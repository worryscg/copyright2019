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신창권\Documents\20180529-성능평가\5 진행\5-4 소프트웨어저장소\"/>
    </mc:Choice>
  </mc:AlternateContent>
  <bookViews>
    <workbookView xWindow="0" yWindow="0" windowWidth="30720" windowHeight="12765" tabRatio="851" activeTab="2"/>
  </bookViews>
  <sheets>
    <sheet name="표지 " sheetId="1" r:id="rId1"/>
    <sheet name="개정이력" sheetId="14" r:id="rId2"/>
    <sheet name="FP산정" sheetId="7" r:id="rId3"/>
    <sheet name="FP집계" sheetId="15" r:id="rId4"/>
    <sheet name="재개발특성 작성 안내" sheetId="17" r:id="rId5"/>
  </sheets>
  <functionGroups builtInGroupCount="18"/>
  <definedNames>
    <definedName name="_xlnm._FilterDatabase" localSheetId="2" hidden="1">FP산정!$B$35:$AN$5002</definedName>
    <definedName name="☞_기능점수__산정방법_선택">FP산정!$W$29:$W$30</definedName>
    <definedName name="_xlnm.Print_Area" localSheetId="2">FP산정!$B$3:$X$45</definedName>
    <definedName name="_xlnm.Print_Area" localSheetId="3">FP집계!$B$3:$J$14</definedName>
    <definedName name="_xlnm.Print_Area" localSheetId="0">'표지 '!$A$1:$I$42</definedName>
    <definedName name="_xlnm.Print_Titles" localSheetId="2">FP산정!$33:$35</definedName>
    <definedName name="개발유형">FP산정!$W$32:$W$35</definedName>
    <definedName name="삭제">FP산정!$Y$34</definedName>
    <definedName name="수정">FP산정!$AA$33:$AA$35</definedName>
    <definedName name="신규">FP산정!$X$32</definedName>
    <definedName name="유지">FP산정!$Y$35</definedName>
    <definedName name="재개발">#REF!</definedName>
    <definedName name="재개발구분">#REF!</definedName>
  </definedNames>
  <calcPr calcId="152511"/>
</workbook>
</file>

<file path=xl/calcChain.xml><?xml version="1.0" encoding="utf-8"?>
<calcChain xmlns="http://schemas.openxmlformats.org/spreadsheetml/2006/main">
  <c r="G529" i="7" l="1"/>
  <c r="G442" i="7"/>
  <c r="G441" i="7"/>
  <c r="G375" i="7"/>
  <c r="G374" i="7"/>
  <c r="G373" i="7"/>
  <c r="G215" i="7"/>
  <c r="G214" i="7"/>
  <c r="G188" i="7"/>
  <c r="G186" i="7"/>
  <c r="G155" i="7"/>
  <c r="G153" i="7"/>
  <c r="G95" i="7"/>
  <c r="G93" i="7"/>
  <c r="G59" i="7"/>
  <c r="S5002" i="7" l="1"/>
  <c r="P5002" i="7"/>
  <c r="Q5002" i="7" s="1"/>
  <c r="S5001" i="7"/>
  <c r="P5001" i="7"/>
  <c r="S5000" i="7"/>
  <c r="P5000" i="7"/>
  <c r="S4999" i="7"/>
  <c r="P4999" i="7"/>
  <c r="S4998" i="7"/>
  <c r="R4998" i="7"/>
  <c r="P4998" i="7"/>
  <c r="Q4998" i="7" s="1"/>
  <c r="S4997" i="7"/>
  <c r="P4997" i="7"/>
  <c r="S4996" i="7"/>
  <c r="P4996" i="7"/>
  <c r="Q4996" i="7" s="1"/>
  <c r="S4995" i="7"/>
  <c r="P4995" i="7"/>
  <c r="S4994" i="7"/>
  <c r="P4994" i="7"/>
  <c r="Q4994" i="7" s="1"/>
  <c r="S4993" i="7"/>
  <c r="P4993" i="7"/>
  <c r="S4992" i="7"/>
  <c r="P4992" i="7"/>
  <c r="S4991" i="7"/>
  <c r="P4991" i="7"/>
  <c r="S4990" i="7"/>
  <c r="P4990" i="7"/>
  <c r="Q4990" i="7" s="1"/>
  <c r="S4989" i="7"/>
  <c r="P4989" i="7"/>
  <c r="S4988" i="7"/>
  <c r="P4988" i="7"/>
  <c r="Q4988" i="7" s="1"/>
  <c r="S4987" i="7"/>
  <c r="P4987" i="7"/>
  <c r="S4986" i="7"/>
  <c r="P4986" i="7"/>
  <c r="Q4986" i="7" s="1"/>
  <c r="S4985" i="7"/>
  <c r="P4985" i="7"/>
  <c r="S4984" i="7"/>
  <c r="P4984" i="7"/>
  <c r="S4983" i="7"/>
  <c r="P4983" i="7"/>
  <c r="S4982" i="7"/>
  <c r="R4982" i="7"/>
  <c r="P4982" i="7"/>
  <c r="Q4982" i="7" s="1"/>
  <c r="S4981" i="7"/>
  <c r="P4981" i="7"/>
  <c r="S4980" i="7"/>
  <c r="P4980" i="7"/>
  <c r="Q4980" i="7" s="1"/>
  <c r="S4979" i="7"/>
  <c r="P4979" i="7"/>
  <c r="S4978" i="7"/>
  <c r="U4978" i="7" s="1"/>
  <c r="P4978" i="7"/>
  <c r="S4977" i="7"/>
  <c r="U4977" i="7" s="1"/>
  <c r="P4977" i="7"/>
  <c r="T4976" i="7"/>
  <c r="S4976" i="7"/>
  <c r="U4976" i="7" s="1"/>
  <c r="P4976" i="7"/>
  <c r="S4975" i="7"/>
  <c r="U4975" i="7" s="1"/>
  <c r="P4975" i="7"/>
  <c r="S4974" i="7"/>
  <c r="T4974" i="7" s="1"/>
  <c r="Q4974" i="7"/>
  <c r="P4974" i="7"/>
  <c r="R4974" i="7" s="1"/>
  <c r="S4973" i="7"/>
  <c r="P4973" i="7"/>
  <c r="S4972" i="7"/>
  <c r="P4972" i="7"/>
  <c r="Q4972" i="7" s="1"/>
  <c r="S4971" i="7"/>
  <c r="P4971" i="7"/>
  <c r="S4970" i="7"/>
  <c r="P4970" i="7"/>
  <c r="Q4970" i="7" s="1"/>
  <c r="S4969" i="7"/>
  <c r="U4969" i="7" s="1"/>
  <c r="P4969" i="7"/>
  <c r="S4968" i="7"/>
  <c r="U4968" i="7" s="1"/>
  <c r="P4968" i="7"/>
  <c r="S4967" i="7"/>
  <c r="U4967" i="7" s="1"/>
  <c r="P4967" i="7"/>
  <c r="S4966" i="7"/>
  <c r="P4966" i="7"/>
  <c r="Q4966" i="7" s="1"/>
  <c r="S4965" i="7"/>
  <c r="P4965" i="7"/>
  <c r="Q4965" i="7" s="1"/>
  <c r="S4964" i="7"/>
  <c r="U4964" i="7" s="1"/>
  <c r="P4964" i="7"/>
  <c r="S4963" i="7"/>
  <c r="U4963" i="7" s="1"/>
  <c r="P4963" i="7"/>
  <c r="S4962" i="7"/>
  <c r="R4962" i="7"/>
  <c r="P4962" i="7"/>
  <c r="Q4962" i="7" s="1"/>
  <c r="S4961" i="7"/>
  <c r="P4961" i="7"/>
  <c r="Q4961" i="7" s="1"/>
  <c r="U4960" i="7"/>
  <c r="S4960" i="7"/>
  <c r="T4960" i="7" s="1"/>
  <c r="P4960" i="7"/>
  <c r="S4959" i="7"/>
  <c r="U4959" i="7" s="1"/>
  <c r="P4959" i="7"/>
  <c r="S4958" i="7"/>
  <c r="U4958" i="7" s="1"/>
  <c r="P4958" i="7"/>
  <c r="Q4958" i="7" s="1"/>
  <c r="S4957" i="7"/>
  <c r="P4957" i="7"/>
  <c r="Q4957" i="7" s="1"/>
  <c r="S4956" i="7"/>
  <c r="P4956" i="7"/>
  <c r="S4955" i="7"/>
  <c r="U4955" i="7" s="1"/>
  <c r="P4955" i="7"/>
  <c r="S4954" i="7"/>
  <c r="P4954" i="7"/>
  <c r="S4953" i="7"/>
  <c r="P4953" i="7"/>
  <c r="Q4953" i="7" s="1"/>
  <c r="S4952" i="7"/>
  <c r="P4952" i="7"/>
  <c r="S4951" i="7"/>
  <c r="U4951" i="7" s="1"/>
  <c r="P4951" i="7"/>
  <c r="S4950" i="7"/>
  <c r="T4950" i="7" s="1"/>
  <c r="P4950" i="7"/>
  <c r="Q4950" i="7" s="1"/>
  <c r="S4949" i="7"/>
  <c r="P4949" i="7"/>
  <c r="Q4949" i="7" s="1"/>
  <c r="S4948" i="7"/>
  <c r="P4948" i="7"/>
  <c r="S4947" i="7"/>
  <c r="U4947" i="7" s="1"/>
  <c r="P4947" i="7"/>
  <c r="S4946" i="7"/>
  <c r="P4946" i="7"/>
  <c r="Q4946" i="7" s="1"/>
  <c r="S4945" i="7"/>
  <c r="P4945" i="7"/>
  <c r="Q4945" i="7" s="1"/>
  <c r="S4944" i="7"/>
  <c r="T4944" i="7" s="1"/>
  <c r="P4944" i="7"/>
  <c r="S4943" i="7"/>
  <c r="U4943" i="7" s="1"/>
  <c r="P4943" i="7"/>
  <c r="S4942" i="7"/>
  <c r="U4942" i="7" s="1"/>
  <c r="P4942" i="7"/>
  <c r="Q4942" i="7" s="1"/>
  <c r="S4941" i="7"/>
  <c r="P4941" i="7"/>
  <c r="Q4941" i="7" s="1"/>
  <c r="S4940" i="7"/>
  <c r="P4940" i="7"/>
  <c r="S4939" i="7"/>
  <c r="U4939" i="7" s="1"/>
  <c r="P4939" i="7"/>
  <c r="T4938" i="7"/>
  <c r="S4938" i="7"/>
  <c r="U4938" i="7" s="1"/>
  <c r="P4938" i="7"/>
  <c r="S4937" i="7"/>
  <c r="P4937" i="7"/>
  <c r="Q4937" i="7" s="1"/>
  <c r="S4936" i="7"/>
  <c r="U4936" i="7" s="1"/>
  <c r="P4936" i="7"/>
  <c r="S4935" i="7"/>
  <c r="U4935" i="7" s="1"/>
  <c r="P4935" i="7"/>
  <c r="S4934" i="7"/>
  <c r="T4934" i="7" s="1"/>
  <c r="P4934" i="7"/>
  <c r="S4933" i="7"/>
  <c r="P4933" i="7"/>
  <c r="Q4933" i="7" s="1"/>
  <c r="T4932" i="7"/>
  <c r="S4932" i="7"/>
  <c r="U4932" i="7" s="1"/>
  <c r="P4932" i="7"/>
  <c r="S4931" i="7"/>
  <c r="U4931" i="7" s="1"/>
  <c r="P4931" i="7"/>
  <c r="S4930" i="7"/>
  <c r="P4930" i="7"/>
  <c r="Q4930" i="7" s="1"/>
  <c r="S4929" i="7"/>
  <c r="P4929" i="7"/>
  <c r="Q4929" i="7" s="1"/>
  <c r="S4928" i="7"/>
  <c r="T4928" i="7" s="1"/>
  <c r="P4928" i="7"/>
  <c r="S4927" i="7"/>
  <c r="U4927" i="7" s="1"/>
  <c r="P4927" i="7"/>
  <c r="S4926" i="7"/>
  <c r="P4926" i="7"/>
  <c r="Q4926" i="7" s="1"/>
  <c r="S4925" i="7"/>
  <c r="P4925" i="7"/>
  <c r="Q4925" i="7" s="1"/>
  <c r="S4924" i="7"/>
  <c r="P4924" i="7"/>
  <c r="Q4924" i="7" s="1"/>
  <c r="S4923" i="7"/>
  <c r="P4923" i="7"/>
  <c r="S4922" i="7"/>
  <c r="T4922" i="7" s="1"/>
  <c r="P4922" i="7"/>
  <c r="S4921" i="7"/>
  <c r="P4921" i="7"/>
  <c r="S4920" i="7"/>
  <c r="P4920" i="7"/>
  <c r="Q4920" i="7" s="1"/>
  <c r="S4919" i="7"/>
  <c r="P4919" i="7"/>
  <c r="S4918" i="7"/>
  <c r="P4918" i="7"/>
  <c r="Q4918" i="7" s="1"/>
  <c r="S4917" i="7"/>
  <c r="P4917" i="7"/>
  <c r="U4916" i="7"/>
  <c r="S4916" i="7"/>
  <c r="T4916" i="7" s="1"/>
  <c r="P4916" i="7"/>
  <c r="S4915" i="7"/>
  <c r="T4915" i="7" s="1"/>
  <c r="P4915" i="7"/>
  <c r="R4915" i="7" s="1"/>
  <c r="S4914" i="7"/>
  <c r="T4914" i="7" s="1"/>
  <c r="P4914" i="7"/>
  <c r="R4914" i="7" s="1"/>
  <c r="S4913" i="7"/>
  <c r="T4913" i="7" s="1"/>
  <c r="P4913" i="7"/>
  <c r="R4913" i="7" s="1"/>
  <c r="S4912" i="7"/>
  <c r="T4912" i="7" s="1"/>
  <c r="P4912" i="7"/>
  <c r="S4911" i="7"/>
  <c r="T4911" i="7" s="1"/>
  <c r="P4911" i="7"/>
  <c r="R4911" i="7" s="1"/>
  <c r="S4910" i="7"/>
  <c r="T4910" i="7" s="1"/>
  <c r="P4910" i="7"/>
  <c r="R4910" i="7" s="1"/>
  <c r="S4909" i="7"/>
  <c r="T4909" i="7" s="1"/>
  <c r="P4909" i="7"/>
  <c r="S4908" i="7"/>
  <c r="T4908" i="7" s="1"/>
  <c r="P4908" i="7"/>
  <c r="S4907" i="7"/>
  <c r="T4907" i="7" s="1"/>
  <c r="P4907" i="7"/>
  <c r="R4907" i="7" s="1"/>
  <c r="S4906" i="7"/>
  <c r="T4906" i="7" s="1"/>
  <c r="P4906" i="7"/>
  <c r="R4906" i="7" s="1"/>
  <c r="S4905" i="7"/>
  <c r="T4905" i="7" s="1"/>
  <c r="P4905" i="7"/>
  <c r="R4905" i="7" s="1"/>
  <c r="S4904" i="7"/>
  <c r="T4904" i="7" s="1"/>
  <c r="P4904" i="7"/>
  <c r="S4903" i="7"/>
  <c r="T4903" i="7" s="1"/>
  <c r="P4903" i="7"/>
  <c r="R4903" i="7" s="1"/>
  <c r="S4902" i="7"/>
  <c r="T4902" i="7" s="1"/>
  <c r="P4902" i="7"/>
  <c r="S4901" i="7"/>
  <c r="T4901" i="7" s="1"/>
  <c r="P4901" i="7"/>
  <c r="S4900" i="7"/>
  <c r="T4900" i="7" s="1"/>
  <c r="P4900" i="7"/>
  <c r="S4899" i="7"/>
  <c r="T4899" i="7" s="1"/>
  <c r="P4899" i="7"/>
  <c r="R4899" i="7" s="1"/>
  <c r="S4898" i="7"/>
  <c r="T4898" i="7" s="1"/>
  <c r="Q4898" i="7"/>
  <c r="P4898" i="7"/>
  <c r="R4898" i="7" s="1"/>
  <c r="S4897" i="7"/>
  <c r="T4897" i="7" s="1"/>
  <c r="P4897" i="7"/>
  <c r="R4897" i="7" s="1"/>
  <c r="S4896" i="7"/>
  <c r="T4896" i="7" s="1"/>
  <c r="P4896" i="7"/>
  <c r="S4895" i="7"/>
  <c r="T4895" i="7" s="1"/>
  <c r="P4895" i="7"/>
  <c r="R4895" i="7" s="1"/>
  <c r="S4894" i="7"/>
  <c r="P4894" i="7"/>
  <c r="R4894" i="7" s="1"/>
  <c r="S4893" i="7"/>
  <c r="P4893" i="7"/>
  <c r="S4892" i="7"/>
  <c r="P4892" i="7"/>
  <c r="S4891" i="7"/>
  <c r="P4891" i="7"/>
  <c r="R4891" i="7" s="1"/>
  <c r="S4890" i="7"/>
  <c r="P4890" i="7"/>
  <c r="R4890" i="7" s="1"/>
  <c r="S4889" i="7"/>
  <c r="P4889" i="7"/>
  <c r="R4889" i="7" s="1"/>
  <c r="S4888" i="7"/>
  <c r="P4888" i="7"/>
  <c r="S4887" i="7"/>
  <c r="P4887" i="7"/>
  <c r="R4887" i="7" s="1"/>
  <c r="S4886" i="7"/>
  <c r="P4886" i="7"/>
  <c r="S4885" i="7"/>
  <c r="P4885" i="7"/>
  <c r="S4884" i="7"/>
  <c r="P4884" i="7"/>
  <c r="S4883" i="7"/>
  <c r="P4883" i="7"/>
  <c r="R4883" i="7" s="1"/>
  <c r="S4882" i="7"/>
  <c r="P4882" i="7"/>
  <c r="R4882" i="7" s="1"/>
  <c r="S4881" i="7"/>
  <c r="P4881" i="7"/>
  <c r="R4881" i="7" s="1"/>
  <c r="S4880" i="7"/>
  <c r="P4880" i="7"/>
  <c r="S4879" i="7"/>
  <c r="P4879" i="7"/>
  <c r="R4879" i="7" s="1"/>
  <c r="S4878" i="7"/>
  <c r="P4878" i="7"/>
  <c r="R4878" i="7" s="1"/>
  <c r="S4877" i="7"/>
  <c r="P4877" i="7"/>
  <c r="S4876" i="7"/>
  <c r="P4876" i="7"/>
  <c r="S4875" i="7"/>
  <c r="P4875" i="7"/>
  <c r="R4875" i="7" s="1"/>
  <c r="S4874" i="7"/>
  <c r="P4874" i="7"/>
  <c r="R4874" i="7" s="1"/>
  <c r="S4873" i="7"/>
  <c r="P4873" i="7"/>
  <c r="R4873" i="7" s="1"/>
  <c r="S4872" i="7"/>
  <c r="P4872" i="7"/>
  <c r="S4871" i="7"/>
  <c r="P4871" i="7"/>
  <c r="S4870" i="7"/>
  <c r="T4870" i="7" s="1"/>
  <c r="P4870" i="7"/>
  <c r="S4869" i="7"/>
  <c r="P4869" i="7"/>
  <c r="S4868" i="7"/>
  <c r="P4868" i="7"/>
  <c r="R4868" i="7" s="1"/>
  <c r="S4867" i="7"/>
  <c r="T4867" i="7" s="1"/>
  <c r="P4867" i="7"/>
  <c r="Q4867" i="7" s="1"/>
  <c r="S4866" i="7"/>
  <c r="Q4866" i="7"/>
  <c r="P4866" i="7"/>
  <c r="R4866" i="7" s="1"/>
  <c r="S4865" i="7"/>
  <c r="P4865" i="7"/>
  <c r="T4864" i="7"/>
  <c r="S4864" i="7"/>
  <c r="U4864" i="7" s="1"/>
  <c r="P4864" i="7"/>
  <c r="S4863" i="7"/>
  <c r="T4863" i="7" s="1"/>
  <c r="P4863" i="7"/>
  <c r="S4862" i="7"/>
  <c r="U4862" i="7" s="1"/>
  <c r="P4862" i="7"/>
  <c r="S4861" i="7"/>
  <c r="T4861" i="7" s="1"/>
  <c r="P4861" i="7"/>
  <c r="Q4861" i="7" s="1"/>
  <c r="S4860" i="7"/>
  <c r="U4860" i="7" s="1"/>
  <c r="P4860" i="7"/>
  <c r="R4860" i="7" s="1"/>
  <c r="S4859" i="7"/>
  <c r="T4859" i="7" s="1"/>
  <c r="P4859" i="7"/>
  <c r="S4858" i="7"/>
  <c r="U4858" i="7" s="1"/>
  <c r="P4858" i="7"/>
  <c r="R4858" i="7" s="1"/>
  <c r="S4857" i="7"/>
  <c r="P4857" i="7"/>
  <c r="S4856" i="7"/>
  <c r="U4856" i="7" s="1"/>
  <c r="P4856" i="7"/>
  <c r="R4856" i="7" s="1"/>
  <c r="S4855" i="7"/>
  <c r="T4855" i="7" s="1"/>
  <c r="P4855" i="7"/>
  <c r="Q4855" i="7" s="1"/>
  <c r="S4854" i="7"/>
  <c r="P4854" i="7"/>
  <c r="R4854" i="7" s="1"/>
  <c r="S4853" i="7"/>
  <c r="P4853" i="7"/>
  <c r="S4852" i="7"/>
  <c r="U4852" i="7" s="1"/>
  <c r="Q4852" i="7"/>
  <c r="P4852" i="7"/>
  <c r="R4852" i="7" s="1"/>
  <c r="S4851" i="7"/>
  <c r="T4851" i="7" s="1"/>
  <c r="Q4851" i="7"/>
  <c r="P4851" i="7"/>
  <c r="R4851" i="7" s="1"/>
  <c r="S4850" i="7"/>
  <c r="P4850" i="7"/>
  <c r="R4850" i="7" s="1"/>
  <c r="S4849" i="7"/>
  <c r="T4849" i="7" s="1"/>
  <c r="Q4849" i="7"/>
  <c r="P4849" i="7"/>
  <c r="R4849" i="7" s="1"/>
  <c r="S4848" i="7"/>
  <c r="U4848" i="7" s="1"/>
  <c r="P4848" i="7"/>
  <c r="S4847" i="7"/>
  <c r="T4847" i="7" s="1"/>
  <c r="P4847" i="7"/>
  <c r="R4847" i="7" s="1"/>
  <c r="S4846" i="7"/>
  <c r="U4846" i="7" s="1"/>
  <c r="P4846" i="7"/>
  <c r="R4846" i="7" s="1"/>
  <c r="S4845" i="7"/>
  <c r="T4845" i="7" s="1"/>
  <c r="P4845" i="7"/>
  <c r="S4844" i="7"/>
  <c r="U4844" i="7" s="1"/>
  <c r="P4844" i="7"/>
  <c r="S4843" i="7"/>
  <c r="T4843" i="7" s="1"/>
  <c r="P4843" i="7"/>
  <c r="S4842" i="7"/>
  <c r="U4842" i="7" s="1"/>
  <c r="P4842" i="7"/>
  <c r="R4842" i="7" s="1"/>
  <c r="S4841" i="7"/>
  <c r="P4841" i="7"/>
  <c r="S4840" i="7"/>
  <c r="U4840" i="7" s="1"/>
  <c r="P4840" i="7"/>
  <c r="R4840" i="7" s="1"/>
  <c r="S4839" i="7"/>
  <c r="T4839" i="7" s="1"/>
  <c r="P4839" i="7"/>
  <c r="Q4839" i="7" s="1"/>
  <c r="S4838" i="7"/>
  <c r="P4838" i="7"/>
  <c r="R4838" i="7" s="1"/>
  <c r="S4837" i="7"/>
  <c r="P4837" i="7"/>
  <c r="S4836" i="7"/>
  <c r="U4836" i="7" s="1"/>
  <c r="P4836" i="7"/>
  <c r="R4836" i="7" s="1"/>
  <c r="S4835" i="7"/>
  <c r="T4835" i="7" s="1"/>
  <c r="P4835" i="7"/>
  <c r="Q4835" i="7" s="1"/>
  <c r="T4834" i="7"/>
  <c r="S4834" i="7"/>
  <c r="U4834" i="7" s="1"/>
  <c r="P4834" i="7"/>
  <c r="R4834" i="7" s="1"/>
  <c r="T4833" i="7"/>
  <c r="S4833" i="7"/>
  <c r="U4833" i="7" s="1"/>
  <c r="P4833" i="7"/>
  <c r="S4832" i="7"/>
  <c r="P4832" i="7"/>
  <c r="R4832" i="7" s="1"/>
  <c r="T4831" i="7"/>
  <c r="S4831" i="7"/>
  <c r="U4831" i="7" s="1"/>
  <c r="P4831" i="7"/>
  <c r="R4831" i="7" s="1"/>
  <c r="S4830" i="7"/>
  <c r="P4830" i="7"/>
  <c r="R4830" i="7" s="1"/>
  <c r="S4829" i="7"/>
  <c r="T4829" i="7" s="1"/>
  <c r="P4829" i="7"/>
  <c r="R4829" i="7" s="1"/>
  <c r="S4828" i="7"/>
  <c r="P4828" i="7"/>
  <c r="R4828" i="7" s="1"/>
  <c r="S4827" i="7"/>
  <c r="P4827" i="7"/>
  <c r="R4827" i="7" s="1"/>
  <c r="S4826" i="7"/>
  <c r="P4826" i="7"/>
  <c r="R4826" i="7" s="1"/>
  <c r="S4825" i="7"/>
  <c r="P4825" i="7"/>
  <c r="S4824" i="7"/>
  <c r="P4824" i="7"/>
  <c r="R4824" i="7" s="1"/>
  <c r="T4823" i="7"/>
  <c r="S4823" i="7"/>
  <c r="U4823" i="7" s="1"/>
  <c r="P4823" i="7"/>
  <c r="R4823" i="7" s="1"/>
  <c r="S4822" i="7"/>
  <c r="P4822" i="7"/>
  <c r="R4822" i="7" s="1"/>
  <c r="S4821" i="7"/>
  <c r="P4821" i="7"/>
  <c r="R4821" i="7" s="1"/>
  <c r="S4820" i="7"/>
  <c r="P4820" i="7"/>
  <c r="R4820" i="7" s="1"/>
  <c r="S4819" i="7"/>
  <c r="T4819" i="7" s="1"/>
  <c r="P4819" i="7"/>
  <c r="S4818" i="7"/>
  <c r="P4818" i="7"/>
  <c r="R4818" i="7" s="1"/>
  <c r="T4817" i="7"/>
  <c r="S4817" i="7"/>
  <c r="U4817" i="7" s="1"/>
  <c r="P4817" i="7"/>
  <c r="S4816" i="7"/>
  <c r="P4816" i="7"/>
  <c r="R4816" i="7" s="1"/>
  <c r="T4815" i="7"/>
  <c r="S4815" i="7"/>
  <c r="U4815" i="7" s="1"/>
  <c r="P4815" i="7"/>
  <c r="R4815" i="7" s="1"/>
  <c r="S4814" i="7"/>
  <c r="P4814" i="7"/>
  <c r="R4814" i="7" s="1"/>
  <c r="S4813" i="7"/>
  <c r="T4813" i="7" s="1"/>
  <c r="P4813" i="7"/>
  <c r="S4812" i="7"/>
  <c r="P4812" i="7"/>
  <c r="R4812" i="7" s="1"/>
  <c r="T4811" i="7"/>
  <c r="S4811" i="7"/>
  <c r="U4811" i="7" s="1"/>
  <c r="P4811" i="7"/>
  <c r="R4811" i="7" s="1"/>
  <c r="S4810" i="7"/>
  <c r="P4810" i="7"/>
  <c r="R4810" i="7" s="1"/>
  <c r="S4809" i="7"/>
  <c r="P4809" i="7"/>
  <c r="R4809" i="7" s="1"/>
  <c r="S4808" i="7"/>
  <c r="P4808" i="7"/>
  <c r="R4808" i="7" s="1"/>
  <c r="S4807" i="7"/>
  <c r="P4807" i="7"/>
  <c r="R4807" i="7" s="1"/>
  <c r="S4806" i="7"/>
  <c r="P4806" i="7"/>
  <c r="R4806" i="7" s="1"/>
  <c r="S4805" i="7"/>
  <c r="Q4805" i="7"/>
  <c r="P4805" i="7"/>
  <c r="R4805" i="7" s="1"/>
  <c r="S4804" i="7"/>
  <c r="P4804" i="7"/>
  <c r="R4804" i="7" s="1"/>
  <c r="S4803" i="7"/>
  <c r="Q4803" i="7"/>
  <c r="P4803" i="7"/>
  <c r="R4803" i="7" s="1"/>
  <c r="S4802" i="7"/>
  <c r="P4802" i="7"/>
  <c r="R4802" i="7" s="1"/>
  <c r="S4801" i="7"/>
  <c r="P4801" i="7"/>
  <c r="R4801" i="7" s="1"/>
  <c r="S4800" i="7"/>
  <c r="P4800" i="7"/>
  <c r="R4800" i="7" s="1"/>
  <c r="S4799" i="7"/>
  <c r="P4799" i="7"/>
  <c r="R4799" i="7" s="1"/>
  <c r="S4798" i="7"/>
  <c r="P4798" i="7"/>
  <c r="R4798" i="7" s="1"/>
  <c r="S4797" i="7"/>
  <c r="P4797" i="7"/>
  <c r="S4796" i="7"/>
  <c r="P4796" i="7"/>
  <c r="R4796" i="7" s="1"/>
  <c r="S4795" i="7"/>
  <c r="P4795" i="7"/>
  <c r="R4795" i="7" s="1"/>
  <c r="S4794" i="7"/>
  <c r="P4794" i="7"/>
  <c r="R4794" i="7" s="1"/>
  <c r="S4793" i="7"/>
  <c r="P4793" i="7"/>
  <c r="R4793" i="7" s="1"/>
  <c r="S4792" i="7"/>
  <c r="P4792" i="7"/>
  <c r="R4792" i="7" s="1"/>
  <c r="S4791" i="7"/>
  <c r="P4791" i="7"/>
  <c r="R4791" i="7" s="1"/>
  <c r="S4790" i="7"/>
  <c r="P4790" i="7"/>
  <c r="R4790" i="7" s="1"/>
  <c r="S4789" i="7"/>
  <c r="T4789" i="7" s="1"/>
  <c r="P4789" i="7"/>
  <c r="S4788" i="7"/>
  <c r="P4788" i="7"/>
  <c r="R4788" i="7" s="1"/>
  <c r="S4787" i="7"/>
  <c r="U4787" i="7" s="1"/>
  <c r="P4787" i="7"/>
  <c r="R4787" i="7" s="1"/>
  <c r="S4786" i="7"/>
  <c r="P4786" i="7"/>
  <c r="R4786" i="7" s="1"/>
  <c r="S4785" i="7"/>
  <c r="P4785" i="7"/>
  <c r="R4785" i="7" s="1"/>
  <c r="S4784" i="7"/>
  <c r="P4784" i="7"/>
  <c r="S4783" i="7"/>
  <c r="P4783" i="7"/>
  <c r="R4783" i="7" s="1"/>
  <c r="S4782" i="7"/>
  <c r="R4782" i="7"/>
  <c r="P4782" i="7"/>
  <c r="Q4782" i="7" s="1"/>
  <c r="S4781" i="7"/>
  <c r="P4781" i="7"/>
  <c r="R4781" i="7" s="1"/>
  <c r="S4780" i="7"/>
  <c r="P4780" i="7"/>
  <c r="Q4780" i="7" s="1"/>
  <c r="S4779" i="7"/>
  <c r="P4779" i="7"/>
  <c r="R4779" i="7" s="1"/>
  <c r="S4778" i="7"/>
  <c r="P4778" i="7"/>
  <c r="Q4778" i="7" s="1"/>
  <c r="S4777" i="7"/>
  <c r="P4777" i="7"/>
  <c r="R4777" i="7" s="1"/>
  <c r="S4776" i="7"/>
  <c r="P4776" i="7"/>
  <c r="S4775" i="7"/>
  <c r="P4775" i="7"/>
  <c r="R4775" i="7" s="1"/>
  <c r="S4774" i="7"/>
  <c r="R4774" i="7"/>
  <c r="P4774" i="7"/>
  <c r="Q4774" i="7" s="1"/>
  <c r="S4773" i="7"/>
  <c r="P4773" i="7"/>
  <c r="R4773" i="7" s="1"/>
  <c r="S4772" i="7"/>
  <c r="P4772" i="7"/>
  <c r="Q4772" i="7" s="1"/>
  <c r="S4771" i="7"/>
  <c r="P4771" i="7"/>
  <c r="R4771" i="7" s="1"/>
  <c r="S4770" i="7"/>
  <c r="P4770" i="7"/>
  <c r="Q4770" i="7" s="1"/>
  <c r="S4769" i="7"/>
  <c r="P4769" i="7"/>
  <c r="R4769" i="7" s="1"/>
  <c r="S4768" i="7"/>
  <c r="P4768" i="7"/>
  <c r="S4767" i="7"/>
  <c r="P4767" i="7"/>
  <c r="R4767" i="7" s="1"/>
  <c r="S4766" i="7"/>
  <c r="P4766" i="7"/>
  <c r="Q4766" i="7" s="1"/>
  <c r="S4765" i="7"/>
  <c r="P4765" i="7"/>
  <c r="R4765" i="7" s="1"/>
  <c r="S4764" i="7"/>
  <c r="P4764" i="7"/>
  <c r="Q4764" i="7" s="1"/>
  <c r="S4763" i="7"/>
  <c r="P4763" i="7"/>
  <c r="R4763" i="7" s="1"/>
  <c r="S4762" i="7"/>
  <c r="P4762" i="7"/>
  <c r="Q4762" i="7" s="1"/>
  <c r="S4761" i="7"/>
  <c r="P4761" i="7"/>
  <c r="R4761" i="7" s="1"/>
  <c r="S4760" i="7"/>
  <c r="P4760" i="7"/>
  <c r="S4759" i="7"/>
  <c r="P4759" i="7"/>
  <c r="R4759" i="7" s="1"/>
  <c r="S4758" i="7"/>
  <c r="P4758" i="7"/>
  <c r="S4757" i="7"/>
  <c r="P4757" i="7"/>
  <c r="R4757" i="7" s="1"/>
  <c r="S4756" i="7"/>
  <c r="P4756" i="7"/>
  <c r="Q4756" i="7" s="1"/>
  <c r="S4755" i="7"/>
  <c r="P4755" i="7"/>
  <c r="R4755" i="7" s="1"/>
  <c r="S4754" i="7"/>
  <c r="R4754" i="7"/>
  <c r="P4754" i="7"/>
  <c r="Q4754" i="7" s="1"/>
  <c r="S4753" i="7"/>
  <c r="P4753" i="7"/>
  <c r="R4753" i="7" s="1"/>
  <c r="S4752" i="7"/>
  <c r="P4752" i="7"/>
  <c r="S4751" i="7"/>
  <c r="P4751" i="7"/>
  <c r="R4751" i="7" s="1"/>
  <c r="S4750" i="7"/>
  <c r="R4750" i="7"/>
  <c r="P4750" i="7"/>
  <c r="Q4750" i="7" s="1"/>
  <c r="S4749" i="7"/>
  <c r="P4749" i="7"/>
  <c r="R4749" i="7" s="1"/>
  <c r="S4748" i="7"/>
  <c r="P4748" i="7"/>
  <c r="Q4748" i="7" s="1"/>
  <c r="S4747" i="7"/>
  <c r="P4747" i="7"/>
  <c r="R4747" i="7" s="1"/>
  <c r="S4746" i="7"/>
  <c r="P4746" i="7"/>
  <c r="Q4746" i="7" s="1"/>
  <c r="S4745" i="7"/>
  <c r="P4745" i="7"/>
  <c r="R4745" i="7" s="1"/>
  <c r="S4744" i="7"/>
  <c r="P4744" i="7"/>
  <c r="S4743" i="7"/>
  <c r="P4743" i="7"/>
  <c r="R4743" i="7" s="1"/>
  <c r="S4742" i="7"/>
  <c r="R4742" i="7"/>
  <c r="P4742" i="7"/>
  <c r="Q4742" i="7" s="1"/>
  <c r="S4741" i="7"/>
  <c r="P4741" i="7"/>
  <c r="R4741" i="7" s="1"/>
  <c r="S4740" i="7"/>
  <c r="P4740" i="7"/>
  <c r="S4739" i="7"/>
  <c r="P4739" i="7"/>
  <c r="R4739" i="7" s="1"/>
  <c r="S4738" i="7"/>
  <c r="P4738" i="7"/>
  <c r="S4737" i="7"/>
  <c r="T4737" i="7" s="1"/>
  <c r="P4737" i="7"/>
  <c r="R4737" i="7" s="1"/>
  <c r="S4736" i="7"/>
  <c r="P4736" i="7"/>
  <c r="Q4736" i="7" s="1"/>
  <c r="S4735" i="7"/>
  <c r="U4735" i="7" s="1"/>
  <c r="P4735" i="7"/>
  <c r="R4735" i="7" s="1"/>
  <c r="S4734" i="7"/>
  <c r="P4734" i="7"/>
  <c r="Q4734" i="7" s="1"/>
  <c r="S4733" i="7"/>
  <c r="P4733" i="7"/>
  <c r="R4733" i="7" s="1"/>
  <c r="S4732" i="7"/>
  <c r="P4732" i="7"/>
  <c r="U4731" i="7"/>
  <c r="S4731" i="7"/>
  <c r="T4731" i="7" s="1"/>
  <c r="P4731" i="7"/>
  <c r="R4731" i="7" s="1"/>
  <c r="S4730" i="7"/>
  <c r="P4730" i="7"/>
  <c r="Q4730" i="7" s="1"/>
  <c r="S4729" i="7"/>
  <c r="P4729" i="7"/>
  <c r="R4729" i="7" s="1"/>
  <c r="S4728" i="7"/>
  <c r="P4728" i="7"/>
  <c r="Q4728" i="7" s="1"/>
  <c r="T4727" i="7"/>
  <c r="S4727" i="7"/>
  <c r="U4727" i="7" s="1"/>
  <c r="P4727" i="7"/>
  <c r="R4727" i="7" s="1"/>
  <c r="S4726" i="7"/>
  <c r="R4726" i="7"/>
  <c r="P4726" i="7"/>
  <c r="Q4726" i="7" s="1"/>
  <c r="S4725" i="7"/>
  <c r="P4725" i="7"/>
  <c r="R4725" i="7" s="1"/>
  <c r="S4724" i="7"/>
  <c r="P4724" i="7"/>
  <c r="S4723" i="7"/>
  <c r="P4723" i="7"/>
  <c r="R4723" i="7" s="1"/>
  <c r="S4722" i="7"/>
  <c r="P4722" i="7"/>
  <c r="S4721" i="7"/>
  <c r="T4721" i="7" s="1"/>
  <c r="P4721" i="7"/>
  <c r="R4721" i="7" s="1"/>
  <c r="S4720" i="7"/>
  <c r="P4720" i="7"/>
  <c r="Q4720" i="7" s="1"/>
  <c r="S4719" i="7"/>
  <c r="U4719" i="7" s="1"/>
  <c r="P4719" i="7"/>
  <c r="S4718" i="7"/>
  <c r="U4718" i="7" s="1"/>
  <c r="P4718" i="7"/>
  <c r="S4717" i="7"/>
  <c r="P4717" i="7"/>
  <c r="Q4717" i="7" s="1"/>
  <c r="S4716" i="7"/>
  <c r="P4716" i="7"/>
  <c r="Q4716" i="7" s="1"/>
  <c r="S4715" i="7"/>
  <c r="T4715" i="7" s="1"/>
  <c r="P4715" i="7"/>
  <c r="S4714" i="7"/>
  <c r="U4714" i="7" s="1"/>
  <c r="P4714" i="7"/>
  <c r="S4713" i="7"/>
  <c r="P4713" i="7"/>
  <c r="Q4713" i="7" s="1"/>
  <c r="S4712" i="7"/>
  <c r="P4712" i="7"/>
  <c r="Q4712" i="7" s="1"/>
  <c r="S4711" i="7"/>
  <c r="P4711" i="7"/>
  <c r="S4710" i="7"/>
  <c r="U4710" i="7" s="1"/>
  <c r="P4710" i="7"/>
  <c r="S4709" i="7"/>
  <c r="P4709" i="7"/>
  <c r="Q4709" i="7" s="1"/>
  <c r="S4708" i="7"/>
  <c r="P4708" i="7"/>
  <c r="Q4708" i="7" s="1"/>
  <c r="S4707" i="7"/>
  <c r="P4707" i="7"/>
  <c r="S4706" i="7"/>
  <c r="U4706" i="7" s="1"/>
  <c r="P4706" i="7"/>
  <c r="S4705" i="7"/>
  <c r="T4705" i="7" s="1"/>
  <c r="P4705" i="7"/>
  <c r="S4704" i="7"/>
  <c r="P4704" i="7"/>
  <c r="Q4704" i="7" s="1"/>
  <c r="T4703" i="7"/>
  <c r="S4703" i="7"/>
  <c r="U4703" i="7" s="1"/>
  <c r="P4703" i="7"/>
  <c r="S4702" i="7"/>
  <c r="U4702" i="7" s="1"/>
  <c r="P4702" i="7"/>
  <c r="S4701" i="7"/>
  <c r="P4701" i="7"/>
  <c r="Q4701" i="7" s="1"/>
  <c r="S4700" i="7"/>
  <c r="P4700" i="7"/>
  <c r="Q4700" i="7" s="1"/>
  <c r="S4699" i="7"/>
  <c r="T4699" i="7" s="1"/>
  <c r="P4699" i="7"/>
  <c r="S4698" i="7"/>
  <c r="U4698" i="7" s="1"/>
  <c r="P4698" i="7"/>
  <c r="S4697" i="7"/>
  <c r="P4697" i="7"/>
  <c r="Q4697" i="7" s="1"/>
  <c r="S4696" i="7"/>
  <c r="P4696" i="7"/>
  <c r="Q4696" i="7" s="1"/>
  <c r="T4695" i="7"/>
  <c r="S4695" i="7"/>
  <c r="U4695" i="7" s="1"/>
  <c r="P4695" i="7"/>
  <c r="S4694" i="7"/>
  <c r="U4694" i="7" s="1"/>
  <c r="P4694" i="7"/>
  <c r="S4693" i="7"/>
  <c r="P4693" i="7"/>
  <c r="Q4693" i="7" s="1"/>
  <c r="S4692" i="7"/>
  <c r="P4692" i="7"/>
  <c r="Q4692" i="7" s="1"/>
  <c r="S4691" i="7"/>
  <c r="P4691" i="7"/>
  <c r="S4690" i="7"/>
  <c r="U4690" i="7" s="1"/>
  <c r="P4690" i="7"/>
  <c r="S4689" i="7"/>
  <c r="T4689" i="7" s="1"/>
  <c r="P4689" i="7"/>
  <c r="S4688" i="7"/>
  <c r="P4688" i="7"/>
  <c r="Q4688" i="7" s="1"/>
  <c r="S4687" i="7"/>
  <c r="U4687" i="7" s="1"/>
  <c r="P4687" i="7"/>
  <c r="S4686" i="7"/>
  <c r="U4686" i="7" s="1"/>
  <c r="P4686" i="7"/>
  <c r="S4685" i="7"/>
  <c r="P4685" i="7"/>
  <c r="Q4685" i="7" s="1"/>
  <c r="S4684" i="7"/>
  <c r="P4684" i="7"/>
  <c r="S4683" i="7"/>
  <c r="P4683" i="7"/>
  <c r="R4683" i="7" s="1"/>
  <c r="S4682" i="7"/>
  <c r="P4682" i="7"/>
  <c r="S4681" i="7"/>
  <c r="P4681" i="7"/>
  <c r="S4680" i="7"/>
  <c r="P4680" i="7"/>
  <c r="S4679" i="7"/>
  <c r="P4679" i="7"/>
  <c r="R4679" i="7" s="1"/>
  <c r="S4678" i="7"/>
  <c r="P4678" i="7"/>
  <c r="S4677" i="7"/>
  <c r="P4677" i="7"/>
  <c r="R4677" i="7" s="1"/>
  <c r="S4676" i="7"/>
  <c r="P4676" i="7"/>
  <c r="S4675" i="7"/>
  <c r="P4675" i="7"/>
  <c r="R4675" i="7" s="1"/>
  <c r="S4674" i="7"/>
  <c r="P4674" i="7"/>
  <c r="S4673" i="7"/>
  <c r="P4673" i="7"/>
  <c r="S4672" i="7"/>
  <c r="P4672" i="7"/>
  <c r="S4671" i="7"/>
  <c r="P4671" i="7"/>
  <c r="S4670" i="7"/>
  <c r="P4670" i="7"/>
  <c r="U4669" i="7"/>
  <c r="S4669" i="7"/>
  <c r="T4669" i="7" s="1"/>
  <c r="P4669" i="7"/>
  <c r="R4669" i="7" s="1"/>
  <c r="S4668" i="7"/>
  <c r="P4668" i="7"/>
  <c r="S4667" i="7"/>
  <c r="P4667" i="7"/>
  <c r="R4667" i="7" s="1"/>
  <c r="S4666" i="7"/>
  <c r="P4666" i="7"/>
  <c r="R4666" i="7" s="1"/>
  <c r="S4665" i="7"/>
  <c r="P4665" i="7"/>
  <c r="R4665" i="7" s="1"/>
  <c r="S4664" i="7"/>
  <c r="Q4664" i="7"/>
  <c r="P4664" i="7"/>
  <c r="R4664" i="7" s="1"/>
  <c r="S4663" i="7"/>
  <c r="T4663" i="7" s="1"/>
  <c r="Q4663" i="7"/>
  <c r="P4663" i="7"/>
  <c r="R4663" i="7" s="1"/>
  <c r="S4662" i="7"/>
  <c r="P4662" i="7"/>
  <c r="R4662" i="7" s="1"/>
  <c r="S4661" i="7"/>
  <c r="R4661" i="7"/>
  <c r="P4661" i="7"/>
  <c r="Q4661" i="7" s="1"/>
  <c r="S4660" i="7"/>
  <c r="T4660" i="7" s="1"/>
  <c r="P4660" i="7"/>
  <c r="S4659" i="7"/>
  <c r="T4659" i="7" s="1"/>
  <c r="P4659" i="7"/>
  <c r="S4658" i="7"/>
  <c r="P4658" i="7"/>
  <c r="R4658" i="7" s="1"/>
  <c r="S4657" i="7"/>
  <c r="P4657" i="7"/>
  <c r="S4656" i="7"/>
  <c r="P4656" i="7"/>
  <c r="S4655" i="7"/>
  <c r="T4655" i="7" s="1"/>
  <c r="P4655" i="7"/>
  <c r="Q4655" i="7" s="1"/>
  <c r="S4654" i="7"/>
  <c r="P4654" i="7"/>
  <c r="R4654" i="7" s="1"/>
  <c r="S4653" i="7"/>
  <c r="P4653" i="7"/>
  <c r="R4653" i="7" s="1"/>
  <c r="S4652" i="7"/>
  <c r="P4652" i="7"/>
  <c r="S4651" i="7"/>
  <c r="T4651" i="7" s="1"/>
  <c r="P4651" i="7"/>
  <c r="R4651" i="7" s="1"/>
  <c r="S4650" i="7"/>
  <c r="P4650" i="7"/>
  <c r="R4650" i="7" s="1"/>
  <c r="S4649" i="7"/>
  <c r="P4649" i="7"/>
  <c r="S4648" i="7"/>
  <c r="T4648" i="7" s="1"/>
  <c r="P4648" i="7"/>
  <c r="S4647" i="7"/>
  <c r="T4647" i="7" s="1"/>
  <c r="P4647" i="7"/>
  <c r="R4647" i="7" s="1"/>
  <c r="S4646" i="7"/>
  <c r="P4646" i="7"/>
  <c r="R4646" i="7" s="1"/>
  <c r="S4645" i="7"/>
  <c r="P4645" i="7"/>
  <c r="S4644" i="7"/>
  <c r="T4644" i="7" s="1"/>
  <c r="P4644" i="7"/>
  <c r="S4643" i="7"/>
  <c r="T4643" i="7" s="1"/>
  <c r="P4643" i="7"/>
  <c r="S4642" i="7"/>
  <c r="P4642" i="7"/>
  <c r="R4642" i="7" s="1"/>
  <c r="S4641" i="7"/>
  <c r="P4641" i="7"/>
  <c r="Q4641" i="7" s="1"/>
  <c r="S4640" i="7"/>
  <c r="P4640" i="7"/>
  <c r="S4639" i="7"/>
  <c r="T4639" i="7" s="1"/>
  <c r="P4639" i="7"/>
  <c r="S4638" i="7"/>
  <c r="P4638" i="7"/>
  <c r="R4638" i="7" s="1"/>
  <c r="S4637" i="7"/>
  <c r="P4637" i="7"/>
  <c r="R4637" i="7" s="1"/>
  <c r="S4636" i="7"/>
  <c r="T4636" i="7" s="1"/>
  <c r="P4636" i="7"/>
  <c r="S4635" i="7"/>
  <c r="T4635" i="7" s="1"/>
  <c r="P4635" i="7"/>
  <c r="R4635" i="7" s="1"/>
  <c r="S4634" i="7"/>
  <c r="P4634" i="7"/>
  <c r="R4634" i="7" s="1"/>
  <c r="S4633" i="7"/>
  <c r="P4633" i="7"/>
  <c r="S4632" i="7"/>
  <c r="P4632" i="7"/>
  <c r="S4631" i="7"/>
  <c r="T4631" i="7" s="1"/>
  <c r="P4631" i="7"/>
  <c r="R4631" i="7" s="1"/>
  <c r="S4630" i="7"/>
  <c r="P4630" i="7"/>
  <c r="R4630" i="7" s="1"/>
  <c r="S4629" i="7"/>
  <c r="P4629" i="7"/>
  <c r="S4628" i="7"/>
  <c r="T4628" i="7" s="1"/>
  <c r="P4628" i="7"/>
  <c r="S4627" i="7"/>
  <c r="T4627" i="7" s="1"/>
  <c r="P4627" i="7"/>
  <c r="S4626" i="7"/>
  <c r="P4626" i="7"/>
  <c r="R4626" i="7" s="1"/>
  <c r="S4625" i="7"/>
  <c r="P4625" i="7"/>
  <c r="S4624" i="7"/>
  <c r="P4624" i="7"/>
  <c r="S4623" i="7"/>
  <c r="T4623" i="7" s="1"/>
  <c r="P4623" i="7"/>
  <c r="Q4623" i="7" s="1"/>
  <c r="S4622" i="7"/>
  <c r="P4622" i="7"/>
  <c r="R4622" i="7" s="1"/>
  <c r="S4621" i="7"/>
  <c r="P4621" i="7"/>
  <c r="R4621" i="7" s="1"/>
  <c r="S4620" i="7"/>
  <c r="P4620" i="7"/>
  <c r="S4619" i="7"/>
  <c r="T4619" i="7" s="1"/>
  <c r="P4619" i="7"/>
  <c r="R4619" i="7" s="1"/>
  <c r="S4618" i="7"/>
  <c r="P4618" i="7"/>
  <c r="R4618" i="7" s="1"/>
  <c r="S4617" i="7"/>
  <c r="P4617" i="7"/>
  <c r="U4616" i="7"/>
  <c r="S4616" i="7"/>
  <c r="T4616" i="7" s="1"/>
  <c r="P4616" i="7"/>
  <c r="S4615" i="7"/>
  <c r="T4615" i="7" s="1"/>
  <c r="P4615" i="7"/>
  <c r="R4615" i="7" s="1"/>
  <c r="S4614" i="7"/>
  <c r="P4614" i="7"/>
  <c r="R4614" i="7" s="1"/>
  <c r="S4613" i="7"/>
  <c r="P4613" i="7"/>
  <c r="S4612" i="7"/>
  <c r="T4612" i="7" s="1"/>
  <c r="P4612" i="7"/>
  <c r="S4611" i="7"/>
  <c r="T4611" i="7" s="1"/>
  <c r="P4611" i="7"/>
  <c r="S4610" i="7"/>
  <c r="P4610" i="7"/>
  <c r="R4610" i="7" s="1"/>
  <c r="S4609" i="7"/>
  <c r="R4609" i="7"/>
  <c r="P4609" i="7"/>
  <c r="Q4609" i="7" s="1"/>
  <c r="S4608" i="7"/>
  <c r="P4608" i="7"/>
  <c r="S4607" i="7"/>
  <c r="T4607" i="7" s="1"/>
  <c r="P4607" i="7"/>
  <c r="S4606" i="7"/>
  <c r="P4606" i="7"/>
  <c r="R4606" i="7" s="1"/>
  <c r="S4605" i="7"/>
  <c r="P4605" i="7"/>
  <c r="R4605" i="7" s="1"/>
  <c r="S4604" i="7"/>
  <c r="T4604" i="7" s="1"/>
  <c r="P4604" i="7"/>
  <c r="S4603" i="7"/>
  <c r="T4603" i="7" s="1"/>
  <c r="Q4603" i="7"/>
  <c r="P4603" i="7"/>
  <c r="R4603" i="7" s="1"/>
  <c r="S4602" i="7"/>
  <c r="P4602" i="7"/>
  <c r="R4602" i="7" s="1"/>
  <c r="S4601" i="7"/>
  <c r="P4601" i="7"/>
  <c r="S4600" i="7"/>
  <c r="T4600" i="7" s="1"/>
  <c r="P4600" i="7"/>
  <c r="S4599" i="7"/>
  <c r="T4599" i="7" s="1"/>
  <c r="P4599" i="7"/>
  <c r="R4599" i="7" s="1"/>
  <c r="S4598" i="7"/>
  <c r="P4598" i="7"/>
  <c r="R4598" i="7" s="1"/>
  <c r="S4597" i="7"/>
  <c r="P4597" i="7"/>
  <c r="Q4597" i="7" s="1"/>
  <c r="S4596" i="7"/>
  <c r="T4596" i="7" s="1"/>
  <c r="P4596" i="7"/>
  <c r="S4595" i="7"/>
  <c r="T4595" i="7" s="1"/>
  <c r="P4595" i="7"/>
  <c r="S4594" i="7"/>
  <c r="P4594" i="7"/>
  <c r="R4594" i="7" s="1"/>
  <c r="S4593" i="7"/>
  <c r="P4593" i="7"/>
  <c r="S4592" i="7"/>
  <c r="P4592" i="7"/>
  <c r="S4591" i="7"/>
  <c r="T4591" i="7" s="1"/>
  <c r="P4591" i="7"/>
  <c r="R4591" i="7" s="1"/>
  <c r="S4590" i="7"/>
  <c r="P4590" i="7"/>
  <c r="R4590" i="7" s="1"/>
  <c r="S4589" i="7"/>
  <c r="P4589" i="7"/>
  <c r="R4589" i="7" s="1"/>
  <c r="S4588" i="7"/>
  <c r="T4588" i="7" s="1"/>
  <c r="P4588" i="7"/>
  <c r="S4587" i="7"/>
  <c r="T4587" i="7" s="1"/>
  <c r="P4587" i="7"/>
  <c r="S4586" i="7"/>
  <c r="P4586" i="7"/>
  <c r="R4586" i="7" s="1"/>
  <c r="S4585" i="7"/>
  <c r="P4585" i="7"/>
  <c r="S4584" i="7"/>
  <c r="T4584" i="7" s="1"/>
  <c r="P4584" i="7"/>
  <c r="S4583" i="7"/>
  <c r="T4583" i="7" s="1"/>
  <c r="P4583" i="7"/>
  <c r="R4583" i="7" s="1"/>
  <c r="S4582" i="7"/>
  <c r="P4582" i="7"/>
  <c r="R4582" i="7" s="1"/>
  <c r="S4581" i="7"/>
  <c r="P4581" i="7"/>
  <c r="R4581" i="7" s="1"/>
  <c r="S4580" i="7"/>
  <c r="T4580" i="7" s="1"/>
  <c r="P4580" i="7"/>
  <c r="S4579" i="7"/>
  <c r="T4579" i="7" s="1"/>
  <c r="P4579" i="7"/>
  <c r="S4578" i="7"/>
  <c r="P4578" i="7"/>
  <c r="R4578" i="7" s="1"/>
  <c r="S4577" i="7"/>
  <c r="P4577" i="7"/>
  <c r="R4577" i="7" s="1"/>
  <c r="S4576" i="7"/>
  <c r="P4576" i="7"/>
  <c r="S4575" i="7"/>
  <c r="T4575" i="7" s="1"/>
  <c r="Q4575" i="7"/>
  <c r="P4575" i="7"/>
  <c r="R4575" i="7" s="1"/>
  <c r="S4574" i="7"/>
  <c r="P4574" i="7"/>
  <c r="R4574" i="7" s="1"/>
  <c r="S4573" i="7"/>
  <c r="P4573" i="7"/>
  <c r="R4573" i="7" s="1"/>
  <c r="U4572" i="7"/>
  <c r="S4572" i="7"/>
  <c r="T4572" i="7" s="1"/>
  <c r="P4572" i="7"/>
  <c r="S4571" i="7"/>
  <c r="T4571" i="7" s="1"/>
  <c r="P4571" i="7"/>
  <c r="S4570" i="7"/>
  <c r="P4570" i="7"/>
  <c r="R4570" i="7" s="1"/>
  <c r="S4569" i="7"/>
  <c r="P4569" i="7"/>
  <c r="S4568" i="7"/>
  <c r="T4568" i="7" s="1"/>
  <c r="P4568" i="7"/>
  <c r="S4567" i="7"/>
  <c r="T4567" i="7" s="1"/>
  <c r="P4567" i="7"/>
  <c r="R4567" i="7" s="1"/>
  <c r="S4566" i="7"/>
  <c r="P4566" i="7"/>
  <c r="R4566" i="7" s="1"/>
  <c r="S4565" i="7"/>
  <c r="P4565" i="7"/>
  <c r="R4565" i="7" s="1"/>
  <c r="S4564" i="7"/>
  <c r="T4564" i="7" s="1"/>
  <c r="P4564" i="7"/>
  <c r="S4563" i="7"/>
  <c r="T4563" i="7" s="1"/>
  <c r="P4563" i="7"/>
  <c r="S4562" i="7"/>
  <c r="P4562" i="7"/>
  <c r="R4562" i="7" s="1"/>
  <c r="S4561" i="7"/>
  <c r="P4561" i="7"/>
  <c r="Q4561" i="7" s="1"/>
  <c r="S4560" i="7"/>
  <c r="P4560" i="7"/>
  <c r="S4559" i="7"/>
  <c r="T4559" i="7" s="1"/>
  <c r="P4559" i="7"/>
  <c r="R4559" i="7" s="1"/>
  <c r="S4558" i="7"/>
  <c r="P4558" i="7"/>
  <c r="R4558" i="7" s="1"/>
  <c r="S4557" i="7"/>
  <c r="P4557" i="7"/>
  <c r="R4557" i="7" s="1"/>
  <c r="S4556" i="7"/>
  <c r="P4556" i="7"/>
  <c r="S4555" i="7"/>
  <c r="T4555" i="7" s="1"/>
  <c r="P4555" i="7"/>
  <c r="Q4555" i="7" s="1"/>
  <c r="S4554" i="7"/>
  <c r="P4554" i="7"/>
  <c r="R4554" i="7" s="1"/>
  <c r="S4553" i="7"/>
  <c r="P4553" i="7"/>
  <c r="S4552" i="7"/>
  <c r="P4552" i="7"/>
  <c r="S4551" i="7"/>
  <c r="T4551" i="7" s="1"/>
  <c r="P4551" i="7"/>
  <c r="R4551" i="7" s="1"/>
  <c r="S4550" i="7"/>
  <c r="P4550" i="7"/>
  <c r="R4550" i="7" s="1"/>
  <c r="S4549" i="7"/>
  <c r="R4549" i="7"/>
  <c r="P4549" i="7"/>
  <c r="Q4549" i="7" s="1"/>
  <c r="S4548" i="7"/>
  <c r="T4548" i="7" s="1"/>
  <c r="P4548" i="7"/>
  <c r="S4547" i="7"/>
  <c r="U4547" i="7" s="1"/>
  <c r="P4547" i="7"/>
  <c r="S4546" i="7"/>
  <c r="U4546" i="7" s="1"/>
  <c r="P4546" i="7"/>
  <c r="S4545" i="7"/>
  <c r="U4545" i="7" s="1"/>
  <c r="P4545" i="7"/>
  <c r="S4544" i="7"/>
  <c r="U4544" i="7" s="1"/>
  <c r="P4544" i="7"/>
  <c r="S4543" i="7"/>
  <c r="U4543" i="7" s="1"/>
  <c r="P4543" i="7"/>
  <c r="S4542" i="7"/>
  <c r="U4542" i="7" s="1"/>
  <c r="P4542" i="7"/>
  <c r="S4541" i="7"/>
  <c r="P4541" i="7"/>
  <c r="S4540" i="7"/>
  <c r="U4540" i="7" s="1"/>
  <c r="P4540" i="7"/>
  <c r="S4539" i="7"/>
  <c r="U4539" i="7" s="1"/>
  <c r="P4539" i="7"/>
  <c r="S4538" i="7"/>
  <c r="U4538" i="7" s="1"/>
  <c r="P4538" i="7"/>
  <c r="S4537" i="7"/>
  <c r="U4537" i="7" s="1"/>
  <c r="P4537" i="7"/>
  <c r="S4536" i="7"/>
  <c r="U4536" i="7" s="1"/>
  <c r="P4536" i="7"/>
  <c r="S4535" i="7"/>
  <c r="U4535" i="7" s="1"/>
  <c r="P4535" i="7"/>
  <c r="S4534" i="7"/>
  <c r="U4534" i="7" s="1"/>
  <c r="P4534" i="7"/>
  <c r="S4533" i="7"/>
  <c r="U4533" i="7" s="1"/>
  <c r="P4533" i="7"/>
  <c r="S4532" i="7"/>
  <c r="U4532" i="7" s="1"/>
  <c r="P4532" i="7"/>
  <c r="S4531" i="7"/>
  <c r="U4531" i="7" s="1"/>
  <c r="P4531" i="7"/>
  <c r="S4530" i="7"/>
  <c r="U4530" i="7" s="1"/>
  <c r="P4530" i="7"/>
  <c r="S4529" i="7"/>
  <c r="U4529" i="7" s="1"/>
  <c r="P4529" i="7"/>
  <c r="S4528" i="7"/>
  <c r="U4528" i="7" s="1"/>
  <c r="P4528" i="7"/>
  <c r="S4527" i="7"/>
  <c r="U4527" i="7" s="1"/>
  <c r="P4527" i="7"/>
  <c r="S4526" i="7"/>
  <c r="U4526" i="7" s="1"/>
  <c r="P4526" i="7"/>
  <c r="S4525" i="7"/>
  <c r="U4525" i="7" s="1"/>
  <c r="P4525" i="7"/>
  <c r="S4524" i="7"/>
  <c r="U4524" i="7" s="1"/>
  <c r="P4524" i="7"/>
  <c r="S4523" i="7"/>
  <c r="U4523" i="7" s="1"/>
  <c r="P4523" i="7"/>
  <c r="S4522" i="7"/>
  <c r="U4522" i="7" s="1"/>
  <c r="P4522" i="7"/>
  <c r="S4521" i="7"/>
  <c r="U4521" i="7" s="1"/>
  <c r="P4521" i="7"/>
  <c r="S4520" i="7"/>
  <c r="U4520" i="7" s="1"/>
  <c r="P4520" i="7"/>
  <c r="S4519" i="7"/>
  <c r="U4519" i="7" s="1"/>
  <c r="P4519" i="7"/>
  <c r="S4518" i="7"/>
  <c r="U4518" i="7" s="1"/>
  <c r="P4518" i="7"/>
  <c r="S4517" i="7"/>
  <c r="U4517" i="7" s="1"/>
  <c r="P4517" i="7"/>
  <c r="S4516" i="7"/>
  <c r="U4516" i="7" s="1"/>
  <c r="P4516" i="7"/>
  <c r="S4515" i="7"/>
  <c r="U4515" i="7" s="1"/>
  <c r="P4515" i="7"/>
  <c r="S4514" i="7"/>
  <c r="U4514" i="7" s="1"/>
  <c r="P4514" i="7"/>
  <c r="S4513" i="7"/>
  <c r="U4513" i="7" s="1"/>
  <c r="P4513" i="7"/>
  <c r="S4512" i="7"/>
  <c r="T4512" i="7" s="1"/>
  <c r="P4512" i="7"/>
  <c r="S4511" i="7"/>
  <c r="U4511" i="7" s="1"/>
  <c r="P4511" i="7"/>
  <c r="S4510" i="7"/>
  <c r="P4510" i="7"/>
  <c r="Q4510" i="7" s="1"/>
  <c r="S4509" i="7"/>
  <c r="P4509" i="7"/>
  <c r="S4508" i="7"/>
  <c r="P4508" i="7"/>
  <c r="Q4508" i="7" s="1"/>
  <c r="S4507" i="7"/>
  <c r="U4507" i="7" s="1"/>
  <c r="P4507" i="7"/>
  <c r="Q4507" i="7" s="1"/>
  <c r="S4506" i="7"/>
  <c r="U4506" i="7" s="1"/>
  <c r="P4506" i="7"/>
  <c r="S4505" i="7"/>
  <c r="U4505" i="7" s="1"/>
  <c r="P4505" i="7"/>
  <c r="S4504" i="7"/>
  <c r="P4504" i="7"/>
  <c r="S4503" i="7"/>
  <c r="U4503" i="7" s="1"/>
  <c r="P4503" i="7"/>
  <c r="S4502" i="7"/>
  <c r="U4502" i="7" s="1"/>
  <c r="P4502" i="7"/>
  <c r="S4501" i="7"/>
  <c r="U4501" i="7" s="1"/>
  <c r="P4501" i="7"/>
  <c r="Q4501" i="7" s="1"/>
  <c r="S4500" i="7"/>
  <c r="P4500" i="7"/>
  <c r="Q4500" i="7" s="1"/>
  <c r="S4499" i="7"/>
  <c r="P4499" i="7"/>
  <c r="Q4499" i="7" s="1"/>
  <c r="U4498" i="7"/>
  <c r="S4498" i="7"/>
  <c r="T4498" i="7" s="1"/>
  <c r="P4498" i="7"/>
  <c r="S4497" i="7"/>
  <c r="U4497" i="7" s="1"/>
  <c r="P4497" i="7"/>
  <c r="U4496" i="7"/>
  <c r="S4496" i="7"/>
  <c r="T4496" i="7" s="1"/>
  <c r="P4496" i="7"/>
  <c r="S4495" i="7"/>
  <c r="P4495" i="7"/>
  <c r="S4494" i="7"/>
  <c r="P4494" i="7"/>
  <c r="S4493" i="7"/>
  <c r="P4493" i="7"/>
  <c r="S4492" i="7"/>
  <c r="P4492" i="7"/>
  <c r="S4491" i="7"/>
  <c r="P4491" i="7"/>
  <c r="Q4491" i="7" s="1"/>
  <c r="S4490" i="7"/>
  <c r="U4490" i="7" s="1"/>
  <c r="P4490" i="7"/>
  <c r="S4489" i="7"/>
  <c r="P4489" i="7"/>
  <c r="S4488" i="7"/>
  <c r="P4488" i="7"/>
  <c r="S4487" i="7"/>
  <c r="P4487" i="7"/>
  <c r="Q4487" i="7" s="1"/>
  <c r="S4486" i="7"/>
  <c r="R4486" i="7"/>
  <c r="P4486" i="7"/>
  <c r="Q4486" i="7" s="1"/>
  <c r="T4485" i="7"/>
  <c r="S4485" i="7"/>
  <c r="U4485" i="7" s="1"/>
  <c r="P4485" i="7"/>
  <c r="Q4485" i="7" s="1"/>
  <c r="S4484" i="7"/>
  <c r="P4484" i="7"/>
  <c r="S4483" i="7"/>
  <c r="U4483" i="7" s="1"/>
  <c r="P4483" i="7"/>
  <c r="S4482" i="7"/>
  <c r="U4482" i="7" s="1"/>
  <c r="P4482" i="7"/>
  <c r="S4481" i="7"/>
  <c r="P4481" i="7"/>
  <c r="S4480" i="7"/>
  <c r="P4480" i="7"/>
  <c r="S4479" i="7"/>
  <c r="U4479" i="7" s="1"/>
  <c r="P4479" i="7"/>
  <c r="S4478" i="7"/>
  <c r="U4478" i="7" s="1"/>
  <c r="P4478" i="7"/>
  <c r="T4477" i="7"/>
  <c r="S4477" i="7"/>
  <c r="U4477" i="7" s="1"/>
  <c r="P4477" i="7"/>
  <c r="S4476" i="7"/>
  <c r="T4476" i="7" s="1"/>
  <c r="P4476" i="7"/>
  <c r="Q4476" i="7" s="1"/>
  <c r="S4475" i="7"/>
  <c r="P4475" i="7"/>
  <c r="S4474" i="7"/>
  <c r="U4474" i="7" s="1"/>
  <c r="P4474" i="7"/>
  <c r="S4473" i="7"/>
  <c r="P4473" i="7"/>
  <c r="S4472" i="7"/>
  <c r="T4472" i="7" s="1"/>
  <c r="P4472" i="7"/>
  <c r="S4471" i="7"/>
  <c r="U4471" i="7" s="1"/>
  <c r="P4471" i="7"/>
  <c r="S4470" i="7"/>
  <c r="R4470" i="7"/>
  <c r="P4470" i="7"/>
  <c r="Q4470" i="7" s="1"/>
  <c r="S4469" i="7"/>
  <c r="P4469" i="7"/>
  <c r="S4468" i="7"/>
  <c r="P4468" i="7"/>
  <c r="Q4468" i="7" s="1"/>
  <c r="S4467" i="7"/>
  <c r="U4467" i="7" s="1"/>
  <c r="P4467" i="7"/>
  <c r="Q4467" i="7" s="1"/>
  <c r="S4466" i="7"/>
  <c r="P4466" i="7"/>
  <c r="T4465" i="7"/>
  <c r="S4465" i="7"/>
  <c r="U4465" i="7" s="1"/>
  <c r="P4465" i="7"/>
  <c r="S4464" i="7"/>
  <c r="P4464" i="7"/>
  <c r="Q4464" i="7" s="1"/>
  <c r="S4463" i="7"/>
  <c r="P4463" i="7"/>
  <c r="Q4463" i="7" s="1"/>
  <c r="S4462" i="7"/>
  <c r="P4462" i="7"/>
  <c r="S4461" i="7"/>
  <c r="U4461" i="7" s="1"/>
  <c r="P4461" i="7"/>
  <c r="S4460" i="7"/>
  <c r="T4460" i="7" s="1"/>
  <c r="P4460" i="7"/>
  <c r="S4459" i="7"/>
  <c r="U4459" i="7" s="1"/>
  <c r="R4459" i="7"/>
  <c r="P4459" i="7"/>
  <c r="Q4459" i="7" s="1"/>
  <c r="S4458" i="7"/>
  <c r="P4458" i="7"/>
  <c r="S4457" i="7"/>
  <c r="U4457" i="7" s="1"/>
  <c r="P4457" i="7"/>
  <c r="S4456" i="7"/>
  <c r="P4456" i="7"/>
  <c r="Q4456" i="7" s="1"/>
  <c r="S4455" i="7"/>
  <c r="U4455" i="7" s="1"/>
  <c r="R4455" i="7"/>
  <c r="P4455" i="7"/>
  <c r="Q4455" i="7" s="1"/>
  <c r="S4454" i="7"/>
  <c r="P4454" i="7"/>
  <c r="S4453" i="7"/>
  <c r="P4453" i="7"/>
  <c r="T4452" i="7"/>
  <c r="S4452" i="7"/>
  <c r="U4452" i="7" s="1"/>
  <c r="P4452" i="7"/>
  <c r="Q4452" i="7" s="1"/>
  <c r="S4451" i="7"/>
  <c r="U4451" i="7" s="1"/>
  <c r="P4451" i="7"/>
  <c r="Q4451" i="7" s="1"/>
  <c r="S4450" i="7"/>
  <c r="P4450" i="7"/>
  <c r="S4449" i="7"/>
  <c r="P4449" i="7"/>
  <c r="T4448" i="7"/>
  <c r="S4448" i="7"/>
  <c r="U4448" i="7" s="1"/>
  <c r="P4448" i="7"/>
  <c r="Q4448" i="7" s="1"/>
  <c r="S4447" i="7"/>
  <c r="P4447" i="7"/>
  <c r="Q4447" i="7" s="1"/>
  <c r="S4446" i="7"/>
  <c r="U4446" i="7" s="1"/>
  <c r="P4446" i="7"/>
  <c r="S4445" i="7"/>
  <c r="U4445" i="7" s="1"/>
  <c r="P4445" i="7"/>
  <c r="S4444" i="7"/>
  <c r="P4444" i="7"/>
  <c r="Q4444" i="7" s="1"/>
  <c r="S4443" i="7"/>
  <c r="P4443" i="7"/>
  <c r="Q4443" i="7" s="1"/>
  <c r="S4442" i="7"/>
  <c r="P4442" i="7"/>
  <c r="T4441" i="7"/>
  <c r="S4441" i="7"/>
  <c r="U4441" i="7" s="1"/>
  <c r="P4441" i="7"/>
  <c r="S4440" i="7"/>
  <c r="T4440" i="7" s="1"/>
  <c r="P4440" i="7"/>
  <c r="S4439" i="7"/>
  <c r="U4439" i="7" s="1"/>
  <c r="R4439" i="7"/>
  <c r="P4439" i="7"/>
  <c r="Q4439" i="7" s="1"/>
  <c r="S4438" i="7"/>
  <c r="P4438" i="7"/>
  <c r="Q4438" i="7" s="1"/>
  <c r="S4437" i="7"/>
  <c r="P4437" i="7"/>
  <c r="Q4437" i="7" s="1"/>
  <c r="S4436" i="7"/>
  <c r="P4436" i="7"/>
  <c r="Q4436" i="7" s="1"/>
  <c r="S4435" i="7"/>
  <c r="P4435" i="7"/>
  <c r="Q4435" i="7" s="1"/>
  <c r="S4434" i="7"/>
  <c r="P4434" i="7"/>
  <c r="S4433" i="7"/>
  <c r="U4433" i="7" s="1"/>
  <c r="P4433" i="7"/>
  <c r="S4432" i="7"/>
  <c r="U4432" i="7" s="1"/>
  <c r="P4432" i="7"/>
  <c r="Q4432" i="7" s="1"/>
  <c r="S4431" i="7"/>
  <c r="U4431" i="7" s="1"/>
  <c r="P4431" i="7"/>
  <c r="Q4431" i="7" s="1"/>
  <c r="S4430" i="7"/>
  <c r="P4430" i="7"/>
  <c r="S4429" i="7"/>
  <c r="U4429" i="7" s="1"/>
  <c r="P4429" i="7"/>
  <c r="S4428" i="7"/>
  <c r="U4428" i="7" s="1"/>
  <c r="P4428" i="7"/>
  <c r="Q4428" i="7" s="1"/>
  <c r="S4427" i="7"/>
  <c r="U4427" i="7" s="1"/>
  <c r="R4427" i="7"/>
  <c r="P4427" i="7"/>
  <c r="Q4427" i="7" s="1"/>
  <c r="S4426" i="7"/>
  <c r="P4426" i="7"/>
  <c r="S4425" i="7"/>
  <c r="U4425" i="7" s="1"/>
  <c r="P4425" i="7"/>
  <c r="S4424" i="7"/>
  <c r="U4424" i="7" s="1"/>
  <c r="P4424" i="7"/>
  <c r="S4423" i="7"/>
  <c r="U4423" i="7" s="1"/>
  <c r="P4423" i="7"/>
  <c r="S4422" i="7"/>
  <c r="P4422" i="7"/>
  <c r="Q4422" i="7" s="1"/>
  <c r="S4421" i="7"/>
  <c r="P4421" i="7"/>
  <c r="Q4421" i="7" s="1"/>
  <c r="S4420" i="7"/>
  <c r="P4420" i="7"/>
  <c r="Q4420" i="7" s="1"/>
  <c r="S4419" i="7"/>
  <c r="U4419" i="7" s="1"/>
  <c r="P4419" i="7"/>
  <c r="Q4419" i="7" s="1"/>
  <c r="S4418" i="7"/>
  <c r="T4418" i="7" s="1"/>
  <c r="P4418" i="7"/>
  <c r="S4417" i="7"/>
  <c r="P4417" i="7"/>
  <c r="S4416" i="7"/>
  <c r="P4416" i="7"/>
  <c r="Q4416" i="7" s="1"/>
  <c r="S4415" i="7"/>
  <c r="U4415" i="7" s="1"/>
  <c r="P4415" i="7"/>
  <c r="Q4415" i="7" s="1"/>
  <c r="S4414" i="7"/>
  <c r="P4414" i="7"/>
  <c r="S4413" i="7"/>
  <c r="U4413" i="7" s="1"/>
  <c r="P4413" i="7"/>
  <c r="Q4413" i="7" s="1"/>
  <c r="S4412" i="7"/>
  <c r="U4412" i="7" s="1"/>
  <c r="P4412" i="7"/>
  <c r="S4411" i="7"/>
  <c r="P4411" i="7"/>
  <c r="S4410" i="7"/>
  <c r="U4410" i="7" s="1"/>
  <c r="P4410" i="7"/>
  <c r="S4409" i="7"/>
  <c r="U4409" i="7" s="1"/>
  <c r="P4409" i="7"/>
  <c r="S4408" i="7"/>
  <c r="P4408" i="7"/>
  <c r="S4407" i="7"/>
  <c r="U4407" i="7" s="1"/>
  <c r="P4407" i="7"/>
  <c r="S4406" i="7"/>
  <c r="U4406" i="7" s="1"/>
  <c r="P4406" i="7"/>
  <c r="Q4406" i="7" s="1"/>
  <c r="S4405" i="7"/>
  <c r="U4405" i="7" s="1"/>
  <c r="P4405" i="7"/>
  <c r="Q4405" i="7" s="1"/>
  <c r="S4404" i="7"/>
  <c r="U4404" i="7" s="1"/>
  <c r="R4404" i="7"/>
  <c r="P4404" i="7"/>
  <c r="Q4404" i="7" s="1"/>
  <c r="S4403" i="7"/>
  <c r="U4403" i="7" s="1"/>
  <c r="P4403" i="7"/>
  <c r="Q4403" i="7" s="1"/>
  <c r="S4402" i="7"/>
  <c r="P4402" i="7"/>
  <c r="S4401" i="7"/>
  <c r="U4401" i="7" s="1"/>
  <c r="P4401" i="7"/>
  <c r="S4400" i="7"/>
  <c r="U4400" i="7" s="1"/>
  <c r="P4400" i="7"/>
  <c r="Q4400" i="7" s="1"/>
  <c r="S4399" i="7"/>
  <c r="U4399" i="7" s="1"/>
  <c r="P4399" i="7"/>
  <c r="S4398" i="7"/>
  <c r="P4398" i="7"/>
  <c r="S4397" i="7"/>
  <c r="P4397" i="7"/>
  <c r="Q4397" i="7" s="1"/>
  <c r="S4396" i="7"/>
  <c r="P4396" i="7"/>
  <c r="S4395" i="7"/>
  <c r="P4395" i="7"/>
  <c r="Q4395" i="7" s="1"/>
  <c r="U4394" i="7"/>
  <c r="S4394" i="7"/>
  <c r="T4394" i="7" s="1"/>
  <c r="P4394" i="7"/>
  <c r="R4394" i="7" s="1"/>
  <c r="S4393" i="7"/>
  <c r="P4393" i="7"/>
  <c r="Q4393" i="7" s="1"/>
  <c r="S4392" i="7"/>
  <c r="P4392" i="7"/>
  <c r="S4391" i="7"/>
  <c r="U4391" i="7" s="1"/>
  <c r="P4391" i="7"/>
  <c r="Q4391" i="7" s="1"/>
  <c r="S4390" i="7"/>
  <c r="P4390" i="7"/>
  <c r="R4390" i="7" s="1"/>
  <c r="S4389" i="7"/>
  <c r="P4389" i="7"/>
  <c r="S4388" i="7"/>
  <c r="P4388" i="7"/>
  <c r="T4387" i="7"/>
  <c r="S4387" i="7"/>
  <c r="U4387" i="7" s="1"/>
  <c r="P4387" i="7"/>
  <c r="S4386" i="7"/>
  <c r="U4386" i="7" s="1"/>
  <c r="P4386" i="7"/>
  <c r="S4385" i="7"/>
  <c r="U4385" i="7" s="1"/>
  <c r="P4385" i="7"/>
  <c r="Q4385" i="7" s="1"/>
  <c r="S4384" i="7"/>
  <c r="P4384" i="7"/>
  <c r="R4384" i="7" s="1"/>
  <c r="S4383" i="7"/>
  <c r="U4383" i="7" s="1"/>
  <c r="P4383" i="7"/>
  <c r="Q4383" i="7" s="1"/>
  <c r="S4382" i="7"/>
  <c r="U4382" i="7" s="1"/>
  <c r="P4382" i="7"/>
  <c r="S4381" i="7"/>
  <c r="P4381" i="7"/>
  <c r="S4380" i="7"/>
  <c r="U4380" i="7" s="1"/>
  <c r="R4380" i="7"/>
  <c r="P4380" i="7"/>
  <c r="Q4380" i="7" s="1"/>
  <c r="S4379" i="7"/>
  <c r="P4379" i="7"/>
  <c r="S4378" i="7"/>
  <c r="P4378" i="7"/>
  <c r="R4378" i="7" s="1"/>
  <c r="S4377" i="7"/>
  <c r="P4377" i="7"/>
  <c r="Q4377" i="7" s="1"/>
  <c r="T4376" i="7"/>
  <c r="S4376" i="7"/>
  <c r="U4376" i="7" s="1"/>
  <c r="P4376" i="7"/>
  <c r="R4376" i="7" s="1"/>
  <c r="S4375" i="7"/>
  <c r="U4375" i="7" s="1"/>
  <c r="R4375" i="7"/>
  <c r="P4375" i="7"/>
  <c r="Q4375" i="7" s="1"/>
  <c r="S4374" i="7"/>
  <c r="P4374" i="7"/>
  <c r="S4373" i="7"/>
  <c r="P4373" i="7"/>
  <c r="Q4373" i="7" s="1"/>
  <c r="U4372" i="7"/>
  <c r="S4372" i="7"/>
  <c r="T4372" i="7" s="1"/>
  <c r="P4372" i="7"/>
  <c r="S4371" i="7"/>
  <c r="U4371" i="7" s="1"/>
  <c r="P4371" i="7"/>
  <c r="S4370" i="7"/>
  <c r="U4370" i="7" s="1"/>
  <c r="P4370" i="7"/>
  <c r="R4370" i="7" s="1"/>
  <c r="S4369" i="7"/>
  <c r="U4369" i="7" s="1"/>
  <c r="P4369" i="7"/>
  <c r="S4368" i="7"/>
  <c r="P4368" i="7"/>
  <c r="R4368" i="7" s="1"/>
  <c r="S4367" i="7"/>
  <c r="P4367" i="7"/>
  <c r="Q4367" i="7" s="1"/>
  <c r="S4366" i="7"/>
  <c r="P4366" i="7"/>
  <c r="T4365" i="7"/>
  <c r="S4365" i="7"/>
  <c r="U4365" i="7" s="1"/>
  <c r="P4365" i="7"/>
  <c r="S4364" i="7"/>
  <c r="U4364" i="7" s="1"/>
  <c r="P4364" i="7"/>
  <c r="Q4364" i="7" s="1"/>
  <c r="S4363" i="7"/>
  <c r="U4363" i="7" s="1"/>
  <c r="P4363" i="7"/>
  <c r="Q4363" i="7" s="1"/>
  <c r="S4362" i="7"/>
  <c r="U4362" i="7" s="1"/>
  <c r="P4362" i="7"/>
  <c r="S4361" i="7"/>
  <c r="U4361" i="7" s="1"/>
  <c r="P4361" i="7"/>
  <c r="S4360" i="7"/>
  <c r="U4360" i="7" s="1"/>
  <c r="P4360" i="7"/>
  <c r="S4359" i="7"/>
  <c r="U4359" i="7" s="1"/>
  <c r="P4359" i="7"/>
  <c r="Q4359" i="7" s="1"/>
  <c r="S4358" i="7"/>
  <c r="U4358" i="7" s="1"/>
  <c r="P4358" i="7"/>
  <c r="R4358" i="7" s="1"/>
  <c r="S4357" i="7"/>
  <c r="U4357" i="7" s="1"/>
  <c r="P4357" i="7"/>
  <c r="S4356" i="7"/>
  <c r="U4356" i="7" s="1"/>
  <c r="P4356" i="7"/>
  <c r="Q4356" i="7" s="1"/>
  <c r="S4355" i="7"/>
  <c r="U4355" i="7" s="1"/>
  <c r="P4355" i="7"/>
  <c r="Q4355" i="7" s="1"/>
  <c r="S4354" i="7"/>
  <c r="U4354" i="7" s="1"/>
  <c r="P4354" i="7"/>
  <c r="S4353" i="7"/>
  <c r="U4353" i="7" s="1"/>
  <c r="P4353" i="7"/>
  <c r="S4352" i="7"/>
  <c r="U4352" i="7" s="1"/>
  <c r="P4352" i="7"/>
  <c r="Q4352" i="7" s="1"/>
  <c r="S4351" i="7"/>
  <c r="U4351" i="7" s="1"/>
  <c r="P4351" i="7"/>
  <c r="Q4351" i="7" s="1"/>
  <c r="S4350" i="7"/>
  <c r="U4350" i="7" s="1"/>
  <c r="Q4350" i="7"/>
  <c r="P4350" i="7"/>
  <c r="R4350" i="7" s="1"/>
  <c r="S4349" i="7"/>
  <c r="U4349" i="7" s="1"/>
  <c r="P4349" i="7"/>
  <c r="S4348" i="7"/>
  <c r="U4348" i="7" s="1"/>
  <c r="R4348" i="7"/>
  <c r="P4348" i="7"/>
  <c r="Q4348" i="7" s="1"/>
  <c r="S4347" i="7"/>
  <c r="U4347" i="7" s="1"/>
  <c r="P4347" i="7"/>
  <c r="Q4347" i="7" s="1"/>
  <c r="S4346" i="7"/>
  <c r="U4346" i="7" s="1"/>
  <c r="P4346" i="7"/>
  <c r="S4345" i="7"/>
  <c r="U4345" i="7" s="1"/>
  <c r="P4345" i="7"/>
  <c r="S4344" i="7"/>
  <c r="R4344" i="7"/>
  <c r="P4344" i="7"/>
  <c r="Q4344" i="7" s="1"/>
  <c r="S4343" i="7"/>
  <c r="P4343" i="7"/>
  <c r="Q4343" i="7" s="1"/>
  <c r="S4342" i="7"/>
  <c r="U4342" i="7" s="1"/>
  <c r="P4342" i="7"/>
  <c r="S4341" i="7"/>
  <c r="U4341" i="7" s="1"/>
  <c r="P4341" i="7"/>
  <c r="S4340" i="7"/>
  <c r="P4340" i="7"/>
  <c r="Q4340" i="7" s="1"/>
  <c r="S4339" i="7"/>
  <c r="P4339" i="7"/>
  <c r="R4339" i="7" s="1"/>
  <c r="S4338" i="7"/>
  <c r="P4338" i="7"/>
  <c r="S4337" i="7"/>
  <c r="P4337" i="7"/>
  <c r="R4337" i="7" s="1"/>
  <c r="S4336" i="7"/>
  <c r="P4336" i="7"/>
  <c r="Q4336" i="7" s="1"/>
  <c r="S4335" i="7"/>
  <c r="P4335" i="7"/>
  <c r="R4335" i="7" s="1"/>
  <c r="S4334" i="7"/>
  <c r="R4334" i="7"/>
  <c r="P4334" i="7"/>
  <c r="Q4334" i="7" s="1"/>
  <c r="S4333" i="7"/>
  <c r="P4333" i="7"/>
  <c r="R4333" i="7" s="1"/>
  <c r="S4332" i="7"/>
  <c r="P4332" i="7"/>
  <c r="Q4332" i="7" s="1"/>
  <c r="S4331" i="7"/>
  <c r="P4331" i="7"/>
  <c r="R4331" i="7" s="1"/>
  <c r="S4330" i="7"/>
  <c r="P4330" i="7"/>
  <c r="S4329" i="7"/>
  <c r="P4329" i="7"/>
  <c r="R4329" i="7" s="1"/>
  <c r="S4328" i="7"/>
  <c r="P4328" i="7"/>
  <c r="Q4328" i="7" s="1"/>
  <c r="S4327" i="7"/>
  <c r="P4327" i="7"/>
  <c r="R4327" i="7" s="1"/>
  <c r="S4326" i="7"/>
  <c r="P4326" i="7"/>
  <c r="Q4326" i="7" s="1"/>
  <c r="S4325" i="7"/>
  <c r="P4325" i="7"/>
  <c r="R4325" i="7" s="1"/>
  <c r="S4324" i="7"/>
  <c r="R4324" i="7"/>
  <c r="P4324" i="7"/>
  <c r="Q4324" i="7" s="1"/>
  <c r="S4323" i="7"/>
  <c r="P4323" i="7"/>
  <c r="R4323" i="7" s="1"/>
  <c r="S4322" i="7"/>
  <c r="P4322" i="7"/>
  <c r="S4321" i="7"/>
  <c r="P4321" i="7"/>
  <c r="R4321" i="7" s="1"/>
  <c r="S4320" i="7"/>
  <c r="P4320" i="7"/>
  <c r="S4319" i="7"/>
  <c r="P4319" i="7"/>
  <c r="R4319" i="7" s="1"/>
  <c r="S4318" i="7"/>
  <c r="P4318" i="7"/>
  <c r="Q4318" i="7" s="1"/>
  <c r="S4317" i="7"/>
  <c r="P4317" i="7"/>
  <c r="R4317" i="7" s="1"/>
  <c r="S4316" i="7"/>
  <c r="P4316" i="7"/>
  <c r="Q4316" i="7" s="1"/>
  <c r="S4315" i="7"/>
  <c r="P4315" i="7"/>
  <c r="R4315" i="7" s="1"/>
  <c r="S4314" i="7"/>
  <c r="P4314" i="7"/>
  <c r="S4313" i="7"/>
  <c r="P4313" i="7"/>
  <c r="R4313" i="7" s="1"/>
  <c r="S4312" i="7"/>
  <c r="P4312" i="7"/>
  <c r="S4311" i="7"/>
  <c r="P4311" i="7"/>
  <c r="R4311" i="7" s="1"/>
  <c r="S4310" i="7"/>
  <c r="P4310" i="7"/>
  <c r="S4309" i="7"/>
  <c r="P4309" i="7"/>
  <c r="R4309" i="7" s="1"/>
  <c r="S4308" i="7"/>
  <c r="P4308" i="7"/>
  <c r="Q4308" i="7" s="1"/>
  <c r="S4307" i="7"/>
  <c r="P4307" i="7"/>
  <c r="R4307" i="7" s="1"/>
  <c r="S4306" i="7"/>
  <c r="P4306" i="7"/>
  <c r="S4305" i="7"/>
  <c r="P4305" i="7"/>
  <c r="R4305" i="7" s="1"/>
  <c r="S4304" i="7"/>
  <c r="P4304" i="7"/>
  <c r="Q4304" i="7" s="1"/>
  <c r="S4303" i="7"/>
  <c r="P4303" i="7"/>
  <c r="R4303" i="7" s="1"/>
  <c r="S4302" i="7"/>
  <c r="R4302" i="7"/>
  <c r="P4302" i="7"/>
  <c r="Q4302" i="7" s="1"/>
  <c r="S4301" i="7"/>
  <c r="P4301" i="7"/>
  <c r="R4301" i="7" s="1"/>
  <c r="S4300" i="7"/>
  <c r="P4300" i="7"/>
  <c r="Q4300" i="7" s="1"/>
  <c r="S4299" i="7"/>
  <c r="P4299" i="7"/>
  <c r="R4299" i="7" s="1"/>
  <c r="S4298" i="7"/>
  <c r="P4298" i="7"/>
  <c r="S4297" i="7"/>
  <c r="P4297" i="7"/>
  <c r="R4297" i="7" s="1"/>
  <c r="S4296" i="7"/>
  <c r="P4296" i="7"/>
  <c r="S4295" i="7"/>
  <c r="P4295" i="7"/>
  <c r="R4295" i="7" s="1"/>
  <c r="S4294" i="7"/>
  <c r="P4294" i="7"/>
  <c r="Q4294" i="7" s="1"/>
  <c r="S4293" i="7"/>
  <c r="P4293" i="7"/>
  <c r="R4293" i="7" s="1"/>
  <c r="S4292" i="7"/>
  <c r="R4292" i="7"/>
  <c r="P4292" i="7"/>
  <c r="Q4292" i="7" s="1"/>
  <c r="S4291" i="7"/>
  <c r="P4291" i="7"/>
  <c r="R4291" i="7" s="1"/>
  <c r="S4290" i="7"/>
  <c r="P4290" i="7"/>
  <c r="S4289" i="7"/>
  <c r="P4289" i="7"/>
  <c r="R4289" i="7" s="1"/>
  <c r="S4288" i="7"/>
  <c r="P4288" i="7"/>
  <c r="Q4288" i="7" s="1"/>
  <c r="S4287" i="7"/>
  <c r="P4287" i="7"/>
  <c r="R4287" i="7" s="1"/>
  <c r="S4286" i="7"/>
  <c r="P4286" i="7"/>
  <c r="S4285" i="7"/>
  <c r="P4285" i="7"/>
  <c r="R4285" i="7" s="1"/>
  <c r="S4284" i="7"/>
  <c r="P4284" i="7"/>
  <c r="Q4284" i="7" s="1"/>
  <c r="S4283" i="7"/>
  <c r="P4283" i="7"/>
  <c r="R4283" i="7" s="1"/>
  <c r="S4282" i="7"/>
  <c r="P4282" i="7"/>
  <c r="S4281" i="7"/>
  <c r="P4281" i="7"/>
  <c r="R4281" i="7" s="1"/>
  <c r="S4280" i="7"/>
  <c r="P4280" i="7"/>
  <c r="S4279" i="7"/>
  <c r="P4279" i="7"/>
  <c r="R4279" i="7" s="1"/>
  <c r="S4278" i="7"/>
  <c r="P4278" i="7"/>
  <c r="Q4278" i="7" s="1"/>
  <c r="S4277" i="7"/>
  <c r="P4277" i="7"/>
  <c r="R4277" i="7" s="1"/>
  <c r="S4276" i="7"/>
  <c r="P4276" i="7"/>
  <c r="Q4276" i="7" s="1"/>
  <c r="S4275" i="7"/>
  <c r="P4275" i="7"/>
  <c r="R4275" i="7" s="1"/>
  <c r="S4274" i="7"/>
  <c r="P4274" i="7"/>
  <c r="S4273" i="7"/>
  <c r="P4273" i="7"/>
  <c r="R4273" i="7" s="1"/>
  <c r="S4272" i="7"/>
  <c r="P4272" i="7"/>
  <c r="Q4272" i="7" s="1"/>
  <c r="S4271" i="7"/>
  <c r="P4271" i="7"/>
  <c r="R4271" i="7" s="1"/>
  <c r="S4270" i="7"/>
  <c r="P4270" i="7"/>
  <c r="Q4270" i="7" s="1"/>
  <c r="S4269" i="7"/>
  <c r="P4269" i="7"/>
  <c r="R4269" i="7" s="1"/>
  <c r="S4268" i="7"/>
  <c r="R4268" i="7"/>
  <c r="P4268" i="7"/>
  <c r="Q4268" i="7" s="1"/>
  <c r="S4267" i="7"/>
  <c r="P4267" i="7"/>
  <c r="R4267" i="7" s="1"/>
  <c r="S4266" i="7"/>
  <c r="P4266" i="7"/>
  <c r="S4265" i="7"/>
  <c r="P4265" i="7"/>
  <c r="R4265" i="7" s="1"/>
  <c r="S4264" i="7"/>
  <c r="R4264" i="7"/>
  <c r="P4264" i="7"/>
  <c r="Q4264" i="7" s="1"/>
  <c r="S4263" i="7"/>
  <c r="P4263" i="7"/>
  <c r="R4263" i="7" s="1"/>
  <c r="S4262" i="7"/>
  <c r="P4262" i="7"/>
  <c r="Q4262" i="7" s="1"/>
  <c r="S4261" i="7"/>
  <c r="P4261" i="7"/>
  <c r="R4261" i="7" s="1"/>
  <c r="S4260" i="7"/>
  <c r="P4260" i="7"/>
  <c r="Q4260" i="7" s="1"/>
  <c r="S4259" i="7"/>
  <c r="P4259" i="7"/>
  <c r="R4259" i="7" s="1"/>
  <c r="S4258" i="7"/>
  <c r="P4258" i="7"/>
  <c r="S4257" i="7"/>
  <c r="P4257" i="7"/>
  <c r="R4257" i="7" s="1"/>
  <c r="S4256" i="7"/>
  <c r="P4256" i="7"/>
  <c r="S4255" i="7"/>
  <c r="P4255" i="7"/>
  <c r="R4255" i="7" s="1"/>
  <c r="S4254" i="7"/>
  <c r="R4254" i="7"/>
  <c r="P4254" i="7"/>
  <c r="Q4254" i="7" s="1"/>
  <c r="S4253" i="7"/>
  <c r="P4253" i="7"/>
  <c r="R4253" i="7" s="1"/>
  <c r="S4252" i="7"/>
  <c r="P4252" i="7"/>
  <c r="Q4252" i="7" s="1"/>
  <c r="S4251" i="7"/>
  <c r="P4251" i="7"/>
  <c r="R4251" i="7" s="1"/>
  <c r="S4250" i="7"/>
  <c r="P4250" i="7"/>
  <c r="S4249" i="7"/>
  <c r="P4249" i="7"/>
  <c r="R4249" i="7" s="1"/>
  <c r="S4248" i="7"/>
  <c r="P4248" i="7"/>
  <c r="S4247" i="7"/>
  <c r="P4247" i="7"/>
  <c r="R4247" i="7" s="1"/>
  <c r="S4246" i="7"/>
  <c r="P4246" i="7"/>
  <c r="Q4246" i="7" s="1"/>
  <c r="S4245" i="7"/>
  <c r="P4245" i="7"/>
  <c r="R4245" i="7" s="1"/>
  <c r="S4244" i="7"/>
  <c r="P4244" i="7"/>
  <c r="S4243" i="7"/>
  <c r="P4243" i="7"/>
  <c r="R4243" i="7" s="1"/>
  <c r="S4242" i="7"/>
  <c r="P4242" i="7"/>
  <c r="S4241" i="7"/>
  <c r="P4241" i="7"/>
  <c r="R4241" i="7" s="1"/>
  <c r="S4240" i="7"/>
  <c r="P4240" i="7"/>
  <c r="Q4240" i="7" s="1"/>
  <c r="S4239" i="7"/>
  <c r="P4239" i="7"/>
  <c r="R4239" i="7" s="1"/>
  <c r="S4238" i="7"/>
  <c r="P4238" i="7"/>
  <c r="Q4238" i="7" s="1"/>
  <c r="S4237" i="7"/>
  <c r="P4237" i="7"/>
  <c r="R4237" i="7" s="1"/>
  <c r="S4236" i="7"/>
  <c r="P4236" i="7"/>
  <c r="Q4236" i="7" s="1"/>
  <c r="S4235" i="7"/>
  <c r="P4235" i="7"/>
  <c r="R4235" i="7" s="1"/>
  <c r="S4234" i="7"/>
  <c r="P4234" i="7"/>
  <c r="S4233" i="7"/>
  <c r="P4233" i="7"/>
  <c r="R4233" i="7" s="1"/>
  <c r="S4232" i="7"/>
  <c r="R4232" i="7"/>
  <c r="P4232" i="7"/>
  <c r="Q4232" i="7" s="1"/>
  <c r="S4231" i="7"/>
  <c r="P4231" i="7"/>
  <c r="R4231" i="7" s="1"/>
  <c r="S4230" i="7"/>
  <c r="P4230" i="7"/>
  <c r="S4229" i="7"/>
  <c r="P4229" i="7"/>
  <c r="R4229" i="7" s="1"/>
  <c r="S4228" i="7"/>
  <c r="P4228" i="7"/>
  <c r="Q4228" i="7" s="1"/>
  <c r="S4227" i="7"/>
  <c r="P4227" i="7"/>
  <c r="R4227" i="7" s="1"/>
  <c r="S4226" i="7"/>
  <c r="P4226" i="7"/>
  <c r="S4225" i="7"/>
  <c r="P4225" i="7"/>
  <c r="R4225" i="7" s="1"/>
  <c r="S4224" i="7"/>
  <c r="P4224" i="7"/>
  <c r="Q4224" i="7" s="1"/>
  <c r="S4223" i="7"/>
  <c r="P4223" i="7"/>
  <c r="R4223" i="7" s="1"/>
  <c r="S4222" i="7"/>
  <c r="P4222" i="7"/>
  <c r="Q4222" i="7" s="1"/>
  <c r="S4221" i="7"/>
  <c r="P4221" i="7"/>
  <c r="R4221" i="7" s="1"/>
  <c r="S4220" i="7"/>
  <c r="P4220" i="7"/>
  <c r="S4219" i="7"/>
  <c r="P4219" i="7"/>
  <c r="R4219" i="7" s="1"/>
  <c r="S4218" i="7"/>
  <c r="P4218" i="7"/>
  <c r="S4217" i="7"/>
  <c r="P4217" i="7"/>
  <c r="R4217" i="7" s="1"/>
  <c r="S4216" i="7"/>
  <c r="P4216" i="7"/>
  <c r="S4215" i="7"/>
  <c r="P4215" i="7"/>
  <c r="R4215" i="7" s="1"/>
  <c r="S4214" i="7"/>
  <c r="P4214" i="7"/>
  <c r="Q4214" i="7" s="1"/>
  <c r="S4213" i="7"/>
  <c r="P4213" i="7"/>
  <c r="R4213" i="7" s="1"/>
  <c r="S4212" i="7"/>
  <c r="P4212" i="7"/>
  <c r="Q4212" i="7" s="1"/>
  <c r="S4211" i="7"/>
  <c r="P4211" i="7"/>
  <c r="R4211" i="7" s="1"/>
  <c r="S4210" i="7"/>
  <c r="P4210" i="7"/>
  <c r="S4209" i="7"/>
  <c r="P4209" i="7"/>
  <c r="R4209" i="7" s="1"/>
  <c r="S4208" i="7"/>
  <c r="P4208" i="7"/>
  <c r="Q4208" i="7" s="1"/>
  <c r="S4207" i="7"/>
  <c r="P4207" i="7"/>
  <c r="S4206" i="7"/>
  <c r="P4206" i="7"/>
  <c r="Q4206" i="7" s="1"/>
  <c r="S4205" i="7"/>
  <c r="T4205" i="7" s="1"/>
  <c r="P4205" i="7"/>
  <c r="S4204" i="7"/>
  <c r="R4204" i="7"/>
  <c r="P4204" i="7"/>
  <c r="Q4204" i="7" s="1"/>
  <c r="S4203" i="7"/>
  <c r="P4203" i="7"/>
  <c r="S4202" i="7"/>
  <c r="P4202" i="7"/>
  <c r="S4201" i="7"/>
  <c r="T4201" i="7" s="1"/>
  <c r="P4201" i="7"/>
  <c r="S4200" i="7"/>
  <c r="P4200" i="7"/>
  <c r="Q4200" i="7" s="1"/>
  <c r="S4199" i="7"/>
  <c r="P4199" i="7"/>
  <c r="S4198" i="7"/>
  <c r="P4198" i="7"/>
  <c r="Q4198" i="7" s="1"/>
  <c r="S4197" i="7"/>
  <c r="T4197" i="7" s="1"/>
  <c r="P4197" i="7"/>
  <c r="S4196" i="7"/>
  <c r="P4196" i="7"/>
  <c r="Q4196" i="7" s="1"/>
  <c r="S4195" i="7"/>
  <c r="P4195" i="7"/>
  <c r="R4195" i="7" s="1"/>
  <c r="S4194" i="7"/>
  <c r="P4194" i="7"/>
  <c r="Q4194" i="7" s="1"/>
  <c r="S4193" i="7"/>
  <c r="T4193" i="7" s="1"/>
  <c r="P4193" i="7"/>
  <c r="R4193" i="7" s="1"/>
  <c r="S4192" i="7"/>
  <c r="P4192" i="7"/>
  <c r="S4191" i="7"/>
  <c r="T4191" i="7" s="1"/>
  <c r="P4191" i="7"/>
  <c r="S4190" i="7"/>
  <c r="P4190" i="7"/>
  <c r="Q4190" i="7" s="1"/>
  <c r="S4189" i="7"/>
  <c r="P4189" i="7"/>
  <c r="S4188" i="7"/>
  <c r="P4188" i="7"/>
  <c r="S4187" i="7"/>
  <c r="T4187" i="7" s="1"/>
  <c r="P4187" i="7"/>
  <c r="S4186" i="7"/>
  <c r="R4186" i="7"/>
  <c r="P4186" i="7"/>
  <c r="Q4186" i="7" s="1"/>
  <c r="S4185" i="7"/>
  <c r="P4185" i="7"/>
  <c r="S4184" i="7"/>
  <c r="P4184" i="7"/>
  <c r="Q4184" i="7" s="1"/>
  <c r="S4183" i="7"/>
  <c r="P4183" i="7"/>
  <c r="S4182" i="7"/>
  <c r="P4182" i="7"/>
  <c r="S4181" i="7"/>
  <c r="T4181" i="7" s="1"/>
  <c r="P4181" i="7"/>
  <c r="S4180" i="7"/>
  <c r="P4180" i="7"/>
  <c r="S4179" i="7"/>
  <c r="U4179" i="7" s="1"/>
  <c r="P4179" i="7"/>
  <c r="S4178" i="7"/>
  <c r="P4178" i="7"/>
  <c r="Q4178" i="7" s="1"/>
  <c r="S4177" i="7"/>
  <c r="U4177" i="7" s="1"/>
  <c r="P4177" i="7"/>
  <c r="S4176" i="7"/>
  <c r="R4176" i="7"/>
  <c r="P4176" i="7"/>
  <c r="Q4176" i="7" s="1"/>
  <c r="S4175" i="7"/>
  <c r="U4175" i="7" s="1"/>
  <c r="P4175" i="7"/>
  <c r="S4174" i="7"/>
  <c r="P4174" i="7"/>
  <c r="Q4174" i="7" s="1"/>
  <c r="U4173" i="7"/>
  <c r="S4173" i="7"/>
  <c r="T4173" i="7" s="1"/>
  <c r="P4173" i="7"/>
  <c r="S4172" i="7"/>
  <c r="P4172" i="7"/>
  <c r="S4171" i="7"/>
  <c r="U4171" i="7" s="1"/>
  <c r="P4171" i="7"/>
  <c r="S4170" i="7"/>
  <c r="P4170" i="7"/>
  <c r="Q4170" i="7" s="1"/>
  <c r="S4169" i="7"/>
  <c r="P4169" i="7"/>
  <c r="S4168" i="7"/>
  <c r="P4168" i="7"/>
  <c r="S4167" i="7"/>
  <c r="U4167" i="7" s="1"/>
  <c r="P4167" i="7"/>
  <c r="S4166" i="7"/>
  <c r="P4166" i="7"/>
  <c r="Q4166" i="7" s="1"/>
  <c r="S4165" i="7"/>
  <c r="P4165" i="7"/>
  <c r="S4164" i="7"/>
  <c r="P4164" i="7"/>
  <c r="S4163" i="7"/>
  <c r="P4163" i="7"/>
  <c r="S4162" i="7"/>
  <c r="P4162" i="7"/>
  <c r="S4161" i="7"/>
  <c r="P4161" i="7"/>
  <c r="S4160" i="7"/>
  <c r="P4160" i="7"/>
  <c r="T4159" i="7"/>
  <c r="S4159" i="7"/>
  <c r="U4159" i="7" s="1"/>
  <c r="P4159" i="7"/>
  <c r="S4158" i="7"/>
  <c r="P4158" i="7"/>
  <c r="Q4158" i="7" s="1"/>
  <c r="S4157" i="7"/>
  <c r="P4157" i="7"/>
  <c r="S4156" i="7"/>
  <c r="P4156" i="7"/>
  <c r="S4155" i="7"/>
  <c r="U4155" i="7" s="1"/>
  <c r="P4155" i="7"/>
  <c r="S4154" i="7"/>
  <c r="P4154" i="7"/>
  <c r="Q4154" i="7" s="1"/>
  <c r="S4153" i="7"/>
  <c r="P4153" i="7"/>
  <c r="S4152" i="7"/>
  <c r="P4152" i="7"/>
  <c r="Q4152" i="7" s="1"/>
  <c r="S4151" i="7"/>
  <c r="P4151" i="7"/>
  <c r="S4150" i="7"/>
  <c r="P4150" i="7"/>
  <c r="S4149" i="7"/>
  <c r="T4149" i="7" s="1"/>
  <c r="P4149" i="7"/>
  <c r="S4148" i="7"/>
  <c r="P4148" i="7"/>
  <c r="S4147" i="7"/>
  <c r="P4147" i="7"/>
  <c r="S4146" i="7"/>
  <c r="P4146" i="7"/>
  <c r="T4145" i="7"/>
  <c r="S4145" i="7"/>
  <c r="U4145" i="7" s="1"/>
  <c r="P4145" i="7"/>
  <c r="S4144" i="7"/>
  <c r="P4144" i="7"/>
  <c r="Q4144" i="7" s="1"/>
  <c r="S4143" i="7"/>
  <c r="U4143" i="7" s="1"/>
  <c r="P4143" i="7"/>
  <c r="S4142" i="7"/>
  <c r="P4142" i="7"/>
  <c r="Q4142" i="7" s="1"/>
  <c r="S4141" i="7"/>
  <c r="T4141" i="7" s="1"/>
  <c r="P4141" i="7"/>
  <c r="S4140" i="7"/>
  <c r="P4140" i="7"/>
  <c r="S4139" i="7"/>
  <c r="U4139" i="7" s="1"/>
  <c r="P4139" i="7"/>
  <c r="S4138" i="7"/>
  <c r="P4138" i="7"/>
  <c r="Q4138" i="7" s="1"/>
  <c r="S4137" i="7"/>
  <c r="P4137" i="7"/>
  <c r="S4136" i="7"/>
  <c r="P4136" i="7"/>
  <c r="S4135" i="7"/>
  <c r="U4135" i="7" s="1"/>
  <c r="P4135" i="7"/>
  <c r="S4134" i="7"/>
  <c r="P4134" i="7"/>
  <c r="Q4134" i="7" s="1"/>
  <c r="S4133" i="7"/>
  <c r="P4133" i="7"/>
  <c r="S4132" i="7"/>
  <c r="P4132" i="7"/>
  <c r="T4131" i="7"/>
  <c r="S4131" i="7"/>
  <c r="U4131" i="7" s="1"/>
  <c r="P4131" i="7"/>
  <c r="S4130" i="7"/>
  <c r="R4130" i="7"/>
  <c r="P4130" i="7"/>
  <c r="Q4130" i="7" s="1"/>
  <c r="S4129" i="7"/>
  <c r="P4129" i="7"/>
  <c r="S4128" i="7"/>
  <c r="P4128" i="7"/>
  <c r="S4127" i="7"/>
  <c r="P4127" i="7"/>
  <c r="S4126" i="7"/>
  <c r="P4126" i="7"/>
  <c r="S4125" i="7"/>
  <c r="P4125" i="7"/>
  <c r="S4124" i="7"/>
  <c r="P4124" i="7"/>
  <c r="S4123" i="7"/>
  <c r="P4123" i="7"/>
  <c r="S4122" i="7"/>
  <c r="P4122" i="7"/>
  <c r="S4121" i="7"/>
  <c r="P4121" i="7"/>
  <c r="S4120" i="7"/>
  <c r="P4120" i="7"/>
  <c r="Q4120" i="7" s="1"/>
  <c r="S4119" i="7"/>
  <c r="P4119" i="7"/>
  <c r="S4118" i="7"/>
  <c r="P4118" i="7"/>
  <c r="S4117" i="7"/>
  <c r="T4117" i="7" s="1"/>
  <c r="P4117" i="7"/>
  <c r="S4116" i="7"/>
  <c r="P4116" i="7"/>
  <c r="S4115" i="7"/>
  <c r="P4115" i="7"/>
  <c r="S4114" i="7"/>
  <c r="P4114" i="7"/>
  <c r="Q4114" i="7" s="1"/>
  <c r="S4113" i="7"/>
  <c r="U4113" i="7" s="1"/>
  <c r="P4113" i="7"/>
  <c r="S4112" i="7"/>
  <c r="R4112" i="7"/>
  <c r="P4112" i="7"/>
  <c r="Q4112" i="7" s="1"/>
  <c r="S4111" i="7"/>
  <c r="U4111" i="7" s="1"/>
  <c r="P4111" i="7"/>
  <c r="S4110" i="7"/>
  <c r="P4110" i="7"/>
  <c r="Q4110" i="7" s="1"/>
  <c r="U4109" i="7"/>
  <c r="S4109" i="7"/>
  <c r="T4109" i="7" s="1"/>
  <c r="P4109" i="7"/>
  <c r="S4108" i="7"/>
  <c r="P4108" i="7"/>
  <c r="T4107" i="7"/>
  <c r="S4107" i="7"/>
  <c r="U4107" i="7" s="1"/>
  <c r="P4107" i="7"/>
  <c r="S4106" i="7"/>
  <c r="R4106" i="7"/>
  <c r="P4106" i="7"/>
  <c r="Q4106" i="7" s="1"/>
  <c r="S4105" i="7"/>
  <c r="P4105" i="7"/>
  <c r="S4104" i="7"/>
  <c r="P4104" i="7"/>
  <c r="S4103" i="7"/>
  <c r="P4103" i="7"/>
  <c r="S4102" i="7"/>
  <c r="P4102" i="7"/>
  <c r="U4101" i="7"/>
  <c r="S4101" i="7"/>
  <c r="T4101" i="7" s="1"/>
  <c r="P4101" i="7"/>
  <c r="S4100" i="7"/>
  <c r="P4100" i="7"/>
  <c r="Q4100" i="7" s="1"/>
  <c r="S4099" i="7"/>
  <c r="P4099" i="7"/>
  <c r="S4098" i="7"/>
  <c r="P4098" i="7"/>
  <c r="S4097" i="7"/>
  <c r="P4097" i="7"/>
  <c r="S4096" i="7"/>
  <c r="P4096" i="7"/>
  <c r="U4095" i="7"/>
  <c r="T4095" i="7"/>
  <c r="S4095" i="7"/>
  <c r="P4095" i="7"/>
  <c r="S4094" i="7"/>
  <c r="R4094" i="7"/>
  <c r="P4094" i="7"/>
  <c r="Q4094" i="7" s="1"/>
  <c r="S4093" i="7"/>
  <c r="P4093" i="7"/>
  <c r="S4092" i="7"/>
  <c r="P4092" i="7"/>
  <c r="Q4092" i="7" s="1"/>
  <c r="S4091" i="7"/>
  <c r="U4091" i="7" s="1"/>
  <c r="P4091" i="7"/>
  <c r="S4090" i="7"/>
  <c r="R4090" i="7"/>
  <c r="P4090" i="7"/>
  <c r="Q4090" i="7" s="1"/>
  <c r="S4089" i="7"/>
  <c r="P4089" i="7"/>
  <c r="S4088" i="7"/>
  <c r="P4088" i="7"/>
  <c r="S4087" i="7"/>
  <c r="U4087" i="7" s="1"/>
  <c r="P4087" i="7"/>
  <c r="S4086" i="7"/>
  <c r="P4086" i="7"/>
  <c r="Q4086" i="7" s="1"/>
  <c r="S4085" i="7"/>
  <c r="T4085" i="7" s="1"/>
  <c r="P4085" i="7"/>
  <c r="S4084" i="7"/>
  <c r="P4084" i="7"/>
  <c r="Q4084" i="7" s="1"/>
  <c r="S4083" i="7"/>
  <c r="P4083" i="7"/>
  <c r="S4082" i="7"/>
  <c r="P4082" i="7"/>
  <c r="S4081" i="7"/>
  <c r="P4081" i="7"/>
  <c r="S4080" i="7"/>
  <c r="P4080" i="7"/>
  <c r="U4079" i="7"/>
  <c r="T4079" i="7"/>
  <c r="S4079" i="7"/>
  <c r="P4079" i="7"/>
  <c r="S4078" i="7"/>
  <c r="P4078" i="7"/>
  <c r="Q4078" i="7" s="1"/>
  <c r="S4077" i="7"/>
  <c r="T4077" i="7" s="1"/>
  <c r="P4077" i="7"/>
  <c r="S4076" i="7"/>
  <c r="P4076" i="7"/>
  <c r="Q4076" i="7" s="1"/>
  <c r="S4075" i="7"/>
  <c r="P4075" i="7"/>
  <c r="S4074" i="7"/>
  <c r="P4074" i="7"/>
  <c r="S4073" i="7"/>
  <c r="P4073" i="7"/>
  <c r="S4072" i="7"/>
  <c r="P4072" i="7"/>
  <c r="T4071" i="7"/>
  <c r="S4071" i="7"/>
  <c r="U4071" i="7" s="1"/>
  <c r="P4071" i="7"/>
  <c r="S4070" i="7"/>
  <c r="P4070" i="7"/>
  <c r="U4069" i="7"/>
  <c r="S4069" i="7"/>
  <c r="T4069" i="7" s="1"/>
  <c r="P4069" i="7"/>
  <c r="S4068" i="7"/>
  <c r="P4068" i="7"/>
  <c r="Q4068" i="7" s="1"/>
  <c r="S4067" i="7"/>
  <c r="P4067" i="7"/>
  <c r="S4066" i="7"/>
  <c r="P4066" i="7"/>
  <c r="S4065" i="7"/>
  <c r="P4065" i="7"/>
  <c r="S4064" i="7"/>
  <c r="P4064" i="7"/>
  <c r="S4063" i="7"/>
  <c r="P4063" i="7"/>
  <c r="S4062" i="7"/>
  <c r="R4062" i="7"/>
  <c r="P4062" i="7"/>
  <c r="Q4062" i="7" s="1"/>
  <c r="S4061" i="7"/>
  <c r="P4061" i="7"/>
  <c r="S4060" i="7"/>
  <c r="P4060" i="7"/>
  <c r="Q4060" i="7" s="1"/>
  <c r="T4059" i="7"/>
  <c r="S4059" i="7"/>
  <c r="U4059" i="7" s="1"/>
  <c r="P4059" i="7"/>
  <c r="S4058" i="7"/>
  <c r="R4058" i="7"/>
  <c r="P4058" i="7"/>
  <c r="Q4058" i="7" s="1"/>
  <c r="S4057" i="7"/>
  <c r="P4057" i="7"/>
  <c r="S4056" i="7"/>
  <c r="P4056" i="7"/>
  <c r="Q4056" i="7" s="1"/>
  <c r="S4055" i="7"/>
  <c r="P4055" i="7"/>
  <c r="S4054" i="7"/>
  <c r="U4054" i="7" s="1"/>
  <c r="P4054" i="7"/>
  <c r="U4053" i="7"/>
  <c r="T4053" i="7"/>
  <c r="S4053" i="7"/>
  <c r="P4053" i="7"/>
  <c r="R4053" i="7" s="1"/>
  <c r="S4052" i="7"/>
  <c r="U4052" i="7" s="1"/>
  <c r="P4052" i="7"/>
  <c r="Q4052" i="7" s="1"/>
  <c r="S4051" i="7"/>
  <c r="P4051" i="7"/>
  <c r="R4051" i="7" s="1"/>
  <c r="S4050" i="7"/>
  <c r="U4050" i="7" s="1"/>
  <c r="P4050" i="7"/>
  <c r="S4049" i="7"/>
  <c r="U4049" i="7" s="1"/>
  <c r="P4049" i="7"/>
  <c r="R4049" i="7" s="1"/>
  <c r="S4048" i="7"/>
  <c r="U4048" i="7" s="1"/>
  <c r="P4048" i="7"/>
  <c r="Q4048" i="7" s="1"/>
  <c r="S4047" i="7"/>
  <c r="R4047" i="7"/>
  <c r="Q4047" i="7"/>
  <c r="P4047" i="7"/>
  <c r="S4046" i="7"/>
  <c r="P4046" i="7"/>
  <c r="R4046" i="7" s="1"/>
  <c r="S4045" i="7"/>
  <c r="T4045" i="7" s="1"/>
  <c r="R4045" i="7"/>
  <c r="Q4045" i="7"/>
  <c r="P4045" i="7"/>
  <c r="S4044" i="7"/>
  <c r="P4044" i="7"/>
  <c r="R4044" i="7" s="1"/>
  <c r="S4043" i="7"/>
  <c r="T4043" i="7" s="1"/>
  <c r="P4043" i="7"/>
  <c r="S4042" i="7"/>
  <c r="P4042" i="7"/>
  <c r="R4042" i="7" s="1"/>
  <c r="S4041" i="7"/>
  <c r="P4041" i="7"/>
  <c r="Q4041" i="7" s="1"/>
  <c r="S4040" i="7"/>
  <c r="P4040" i="7"/>
  <c r="R4040" i="7" s="1"/>
  <c r="S4039" i="7"/>
  <c r="T4039" i="7" s="1"/>
  <c r="P4039" i="7"/>
  <c r="R4039" i="7" s="1"/>
  <c r="S4038" i="7"/>
  <c r="P4038" i="7"/>
  <c r="R4038" i="7" s="1"/>
  <c r="S4037" i="7"/>
  <c r="T4037" i="7" s="1"/>
  <c r="P4037" i="7"/>
  <c r="S4036" i="7"/>
  <c r="P4036" i="7"/>
  <c r="R4036" i="7" s="1"/>
  <c r="S4035" i="7"/>
  <c r="R4035" i="7"/>
  <c r="Q4035" i="7"/>
  <c r="P4035" i="7"/>
  <c r="S4034" i="7"/>
  <c r="P4034" i="7"/>
  <c r="R4034" i="7" s="1"/>
  <c r="U4033" i="7"/>
  <c r="S4033" i="7"/>
  <c r="T4033" i="7" s="1"/>
  <c r="R4033" i="7"/>
  <c r="Q4033" i="7"/>
  <c r="P4033" i="7"/>
  <c r="S4032" i="7"/>
  <c r="P4032" i="7"/>
  <c r="R4032" i="7" s="1"/>
  <c r="S4031" i="7"/>
  <c r="T4031" i="7" s="1"/>
  <c r="P4031" i="7"/>
  <c r="R4031" i="7" s="1"/>
  <c r="S4030" i="7"/>
  <c r="P4030" i="7"/>
  <c r="R4030" i="7" s="1"/>
  <c r="S4029" i="7"/>
  <c r="T4029" i="7" s="1"/>
  <c r="P4029" i="7"/>
  <c r="S4028" i="7"/>
  <c r="P4028" i="7"/>
  <c r="R4028" i="7" s="1"/>
  <c r="S4027" i="7"/>
  <c r="P4027" i="7"/>
  <c r="S4026" i="7"/>
  <c r="P4026" i="7"/>
  <c r="R4026" i="7" s="1"/>
  <c r="U4025" i="7"/>
  <c r="S4025" i="7"/>
  <c r="T4025" i="7" s="1"/>
  <c r="P4025" i="7"/>
  <c r="R4025" i="7" s="1"/>
  <c r="S4024" i="7"/>
  <c r="P4024" i="7"/>
  <c r="R4024" i="7" s="1"/>
  <c r="S4023" i="7"/>
  <c r="T4023" i="7" s="1"/>
  <c r="P4023" i="7"/>
  <c r="R4023" i="7" s="1"/>
  <c r="S4022" i="7"/>
  <c r="P4022" i="7"/>
  <c r="R4022" i="7" s="1"/>
  <c r="S4021" i="7"/>
  <c r="T4021" i="7" s="1"/>
  <c r="P4021" i="7"/>
  <c r="S4020" i="7"/>
  <c r="P4020" i="7"/>
  <c r="R4020" i="7" s="1"/>
  <c r="S4019" i="7"/>
  <c r="P4019" i="7"/>
  <c r="R4019" i="7" s="1"/>
  <c r="S4018" i="7"/>
  <c r="P4018" i="7"/>
  <c r="R4018" i="7" s="1"/>
  <c r="U4017" i="7"/>
  <c r="S4017" i="7"/>
  <c r="T4017" i="7" s="1"/>
  <c r="P4017" i="7"/>
  <c r="Q4017" i="7" s="1"/>
  <c r="S4016" i="7"/>
  <c r="P4016" i="7"/>
  <c r="R4016" i="7" s="1"/>
  <c r="U4015" i="7"/>
  <c r="S4015" i="7"/>
  <c r="T4015" i="7" s="1"/>
  <c r="P4015" i="7"/>
  <c r="R4015" i="7" s="1"/>
  <c r="S4014" i="7"/>
  <c r="P4014" i="7"/>
  <c r="R4014" i="7" s="1"/>
  <c r="S4013" i="7"/>
  <c r="T4013" i="7" s="1"/>
  <c r="P4013" i="7"/>
  <c r="S4012" i="7"/>
  <c r="P4012" i="7"/>
  <c r="R4012" i="7" s="1"/>
  <c r="S4011" i="7"/>
  <c r="Q4011" i="7"/>
  <c r="P4011" i="7"/>
  <c r="R4011" i="7" s="1"/>
  <c r="S4010" i="7"/>
  <c r="P4010" i="7"/>
  <c r="R4010" i="7" s="1"/>
  <c r="S4009" i="7"/>
  <c r="P4009" i="7"/>
  <c r="R4009" i="7" s="1"/>
  <c r="S4008" i="7"/>
  <c r="P4008" i="7"/>
  <c r="R4008" i="7" s="1"/>
  <c r="S4007" i="7"/>
  <c r="T4007" i="7" s="1"/>
  <c r="P4007" i="7"/>
  <c r="R4007" i="7" s="1"/>
  <c r="S4006" i="7"/>
  <c r="P4006" i="7"/>
  <c r="R4006" i="7" s="1"/>
  <c r="S4005" i="7"/>
  <c r="T4005" i="7" s="1"/>
  <c r="P4005" i="7"/>
  <c r="S4004" i="7"/>
  <c r="P4004" i="7"/>
  <c r="R4004" i="7" s="1"/>
  <c r="S4003" i="7"/>
  <c r="R4003" i="7"/>
  <c r="Q4003" i="7"/>
  <c r="P4003" i="7"/>
  <c r="S4002" i="7"/>
  <c r="P4002" i="7"/>
  <c r="R4002" i="7" s="1"/>
  <c r="U4001" i="7"/>
  <c r="S4001" i="7"/>
  <c r="T4001" i="7" s="1"/>
  <c r="R4001" i="7"/>
  <c r="Q4001" i="7"/>
  <c r="P4001" i="7"/>
  <c r="S4000" i="7"/>
  <c r="P4000" i="7"/>
  <c r="R4000" i="7" s="1"/>
  <c r="S3999" i="7"/>
  <c r="T3999" i="7" s="1"/>
  <c r="P3999" i="7"/>
  <c r="R3999" i="7" s="1"/>
  <c r="S3998" i="7"/>
  <c r="P3998" i="7"/>
  <c r="R3998" i="7" s="1"/>
  <c r="S3997" i="7"/>
  <c r="T3997" i="7" s="1"/>
  <c r="P3997" i="7"/>
  <c r="S3996" i="7"/>
  <c r="P3996" i="7"/>
  <c r="R3996" i="7" s="1"/>
  <c r="S3995" i="7"/>
  <c r="P3995" i="7"/>
  <c r="S3994" i="7"/>
  <c r="P3994" i="7"/>
  <c r="R3994" i="7" s="1"/>
  <c r="U3993" i="7"/>
  <c r="S3993" i="7"/>
  <c r="T3993" i="7" s="1"/>
  <c r="P3993" i="7"/>
  <c r="R3993" i="7" s="1"/>
  <c r="S3992" i="7"/>
  <c r="P3992" i="7"/>
  <c r="R3992" i="7" s="1"/>
  <c r="S3991" i="7"/>
  <c r="T3991" i="7" s="1"/>
  <c r="P3991" i="7"/>
  <c r="R3991" i="7" s="1"/>
  <c r="S3990" i="7"/>
  <c r="P3990" i="7"/>
  <c r="R3990" i="7" s="1"/>
  <c r="S3989" i="7"/>
  <c r="T3989" i="7" s="1"/>
  <c r="P3989" i="7"/>
  <c r="S3988" i="7"/>
  <c r="P3988" i="7"/>
  <c r="R3988" i="7" s="1"/>
  <c r="S3987" i="7"/>
  <c r="P3987" i="7"/>
  <c r="R3987" i="7" s="1"/>
  <c r="S3986" i="7"/>
  <c r="P3986" i="7"/>
  <c r="R3986" i="7" s="1"/>
  <c r="U3985" i="7"/>
  <c r="S3985" i="7"/>
  <c r="T3985" i="7" s="1"/>
  <c r="P3985" i="7"/>
  <c r="Q3985" i="7" s="1"/>
  <c r="S3984" i="7"/>
  <c r="P3984" i="7"/>
  <c r="R3984" i="7" s="1"/>
  <c r="U3983" i="7"/>
  <c r="S3983" i="7"/>
  <c r="T3983" i="7" s="1"/>
  <c r="P3983" i="7"/>
  <c r="R3983" i="7" s="1"/>
  <c r="S3982" i="7"/>
  <c r="P3982" i="7"/>
  <c r="R3982" i="7" s="1"/>
  <c r="S3981" i="7"/>
  <c r="T3981" i="7" s="1"/>
  <c r="P3981" i="7"/>
  <c r="S3980" i="7"/>
  <c r="P3980" i="7"/>
  <c r="R3980" i="7" s="1"/>
  <c r="S3979" i="7"/>
  <c r="P3979" i="7"/>
  <c r="R3979" i="7" s="1"/>
  <c r="S3978" i="7"/>
  <c r="P3978" i="7"/>
  <c r="R3978" i="7" s="1"/>
  <c r="S3977" i="7"/>
  <c r="R3977" i="7"/>
  <c r="P3977" i="7"/>
  <c r="Q3977" i="7" s="1"/>
  <c r="S3976" i="7"/>
  <c r="P3976" i="7"/>
  <c r="R3976" i="7" s="1"/>
  <c r="S3975" i="7"/>
  <c r="T3975" i="7" s="1"/>
  <c r="P3975" i="7"/>
  <c r="R3975" i="7" s="1"/>
  <c r="S3974" i="7"/>
  <c r="P3974" i="7"/>
  <c r="R3974" i="7" s="1"/>
  <c r="S3973" i="7"/>
  <c r="T3973" i="7" s="1"/>
  <c r="P3973" i="7"/>
  <c r="S3972" i="7"/>
  <c r="P3972" i="7"/>
  <c r="R3972" i="7" s="1"/>
  <c r="S3971" i="7"/>
  <c r="R3971" i="7"/>
  <c r="P3971" i="7"/>
  <c r="Q3971" i="7" s="1"/>
  <c r="S3970" i="7"/>
  <c r="P3970" i="7"/>
  <c r="R3970" i="7" s="1"/>
  <c r="U3969" i="7"/>
  <c r="S3969" i="7"/>
  <c r="T3969" i="7" s="1"/>
  <c r="R3969" i="7"/>
  <c r="Q3969" i="7"/>
  <c r="P3969" i="7"/>
  <c r="S3968" i="7"/>
  <c r="P3968" i="7"/>
  <c r="R3968" i="7" s="1"/>
  <c r="S3967" i="7"/>
  <c r="T3967" i="7" s="1"/>
  <c r="P3967" i="7"/>
  <c r="R3967" i="7" s="1"/>
  <c r="S3966" i="7"/>
  <c r="P3966" i="7"/>
  <c r="R3966" i="7" s="1"/>
  <c r="S3965" i="7"/>
  <c r="T3965" i="7" s="1"/>
  <c r="P3965" i="7"/>
  <c r="S3964" i="7"/>
  <c r="P3964" i="7"/>
  <c r="R3964" i="7" s="1"/>
  <c r="S3963" i="7"/>
  <c r="P3963" i="7"/>
  <c r="S3962" i="7"/>
  <c r="P3962" i="7"/>
  <c r="R3962" i="7" s="1"/>
  <c r="U3961" i="7"/>
  <c r="S3961" i="7"/>
  <c r="T3961" i="7" s="1"/>
  <c r="P3961" i="7"/>
  <c r="R3961" i="7" s="1"/>
  <c r="S3960" i="7"/>
  <c r="P3960" i="7"/>
  <c r="R3960" i="7" s="1"/>
  <c r="S3959" i="7"/>
  <c r="T3959" i="7" s="1"/>
  <c r="P3959" i="7"/>
  <c r="R3959" i="7" s="1"/>
  <c r="S3958" i="7"/>
  <c r="P3958" i="7"/>
  <c r="R3958" i="7" s="1"/>
  <c r="S3957" i="7"/>
  <c r="T3957" i="7" s="1"/>
  <c r="P3957" i="7"/>
  <c r="S3956" i="7"/>
  <c r="P3956" i="7"/>
  <c r="R3956" i="7" s="1"/>
  <c r="S3955" i="7"/>
  <c r="P3955" i="7"/>
  <c r="R3955" i="7" s="1"/>
  <c r="S3954" i="7"/>
  <c r="P3954" i="7"/>
  <c r="R3954" i="7" s="1"/>
  <c r="S3953" i="7"/>
  <c r="T3953" i="7" s="1"/>
  <c r="P3953" i="7"/>
  <c r="Q3953" i="7" s="1"/>
  <c r="S3952" i="7"/>
  <c r="P3952" i="7"/>
  <c r="R3952" i="7" s="1"/>
  <c r="U3951" i="7"/>
  <c r="S3951" i="7"/>
  <c r="T3951" i="7" s="1"/>
  <c r="P3951" i="7"/>
  <c r="R3951" i="7" s="1"/>
  <c r="S3950" i="7"/>
  <c r="P3950" i="7"/>
  <c r="R3950" i="7" s="1"/>
  <c r="S3949" i="7"/>
  <c r="T3949" i="7" s="1"/>
  <c r="P3949" i="7"/>
  <c r="S3948" i="7"/>
  <c r="P3948" i="7"/>
  <c r="R3948" i="7" s="1"/>
  <c r="S3947" i="7"/>
  <c r="P3947" i="7"/>
  <c r="R3947" i="7" s="1"/>
  <c r="S3946" i="7"/>
  <c r="P3946" i="7"/>
  <c r="R3946" i="7" s="1"/>
  <c r="S3945" i="7"/>
  <c r="R3945" i="7"/>
  <c r="Q3945" i="7"/>
  <c r="P3945" i="7"/>
  <c r="S3944" i="7"/>
  <c r="P3944" i="7"/>
  <c r="R3944" i="7" s="1"/>
  <c r="S3943" i="7"/>
  <c r="T3943" i="7" s="1"/>
  <c r="P3943" i="7"/>
  <c r="R3943" i="7" s="1"/>
  <c r="S3942" i="7"/>
  <c r="P3942" i="7"/>
  <c r="R3942" i="7" s="1"/>
  <c r="S3941" i="7"/>
  <c r="T3941" i="7" s="1"/>
  <c r="P3941" i="7"/>
  <c r="S3940" i="7"/>
  <c r="P3940" i="7"/>
  <c r="R3940" i="7" s="1"/>
  <c r="S3939" i="7"/>
  <c r="R3939" i="7"/>
  <c r="P3939" i="7"/>
  <c r="Q3939" i="7" s="1"/>
  <c r="S3938" i="7"/>
  <c r="P3938" i="7"/>
  <c r="R3938" i="7" s="1"/>
  <c r="S3937" i="7"/>
  <c r="T3937" i="7" s="1"/>
  <c r="R3937" i="7"/>
  <c r="Q3937" i="7"/>
  <c r="P3937" i="7"/>
  <c r="S3936" i="7"/>
  <c r="P3936" i="7"/>
  <c r="R3936" i="7" s="1"/>
  <c r="U3935" i="7"/>
  <c r="S3935" i="7"/>
  <c r="T3935" i="7" s="1"/>
  <c r="P3935" i="7"/>
  <c r="R3935" i="7" s="1"/>
  <c r="S3934" i="7"/>
  <c r="P3934" i="7"/>
  <c r="R3934" i="7" s="1"/>
  <c r="S3933" i="7"/>
  <c r="T3933" i="7" s="1"/>
  <c r="P3933" i="7"/>
  <c r="S3932" i="7"/>
  <c r="P3932" i="7"/>
  <c r="R3932" i="7" s="1"/>
  <c r="S3931" i="7"/>
  <c r="P3931" i="7"/>
  <c r="S3930" i="7"/>
  <c r="P3930" i="7"/>
  <c r="R3930" i="7" s="1"/>
  <c r="S3929" i="7"/>
  <c r="T3929" i="7" s="1"/>
  <c r="P3929" i="7"/>
  <c r="R3929" i="7" s="1"/>
  <c r="S3928" i="7"/>
  <c r="P3928" i="7"/>
  <c r="R3928" i="7" s="1"/>
  <c r="U3927" i="7"/>
  <c r="S3927" i="7"/>
  <c r="T3927" i="7" s="1"/>
  <c r="P3927" i="7"/>
  <c r="R3927" i="7" s="1"/>
  <c r="S3926" i="7"/>
  <c r="P3926" i="7"/>
  <c r="R3926" i="7" s="1"/>
  <c r="S3925" i="7"/>
  <c r="T3925" i="7" s="1"/>
  <c r="P3925" i="7"/>
  <c r="S3924" i="7"/>
  <c r="P3924" i="7"/>
  <c r="R3924" i="7" s="1"/>
  <c r="S3923" i="7"/>
  <c r="R3923" i="7"/>
  <c r="P3923" i="7"/>
  <c r="Q3923" i="7" s="1"/>
  <c r="S3922" i="7"/>
  <c r="P3922" i="7"/>
  <c r="R3922" i="7" s="1"/>
  <c r="S3921" i="7"/>
  <c r="T3921" i="7" s="1"/>
  <c r="Q3921" i="7"/>
  <c r="P3921" i="7"/>
  <c r="R3921" i="7" s="1"/>
  <c r="S3920" i="7"/>
  <c r="P3920" i="7"/>
  <c r="R3920" i="7" s="1"/>
  <c r="U3919" i="7"/>
  <c r="S3919" i="7"/>
  <c r="T3919" i="7" s="1"/>
  <c r="P3919" i="7"/>
  <c r="R3919" i="7" s="1"/>
  <c r="S3918" i="7"/>
  <c r="P3918" i="7"/>
  <c r="R3918" i="7" s="1"/>
  <c r="S3917" i="7"/>
  <c r="T3917" i="7" s="1"/>
  <c r="P3917" i="7"/>
  <c r="S3916" i="7"/>
  <c r="P3916" i="7"/>
  <c r="R3916" i="7" s="1"/>
  <c r="S3915" i="7"/>
  <c r="P3915" i="7"/>
  <c r="R3915" i="7" s="1"/>
  <c r="S3914" i="7"/>
  <c r="P3914" i="7"/>
  <c r="R3914" i="7" s="1"/>
  <c r="S3913" i="7"/>
  <c r="Q3913" i="7"/>
  <c r="P3913" i="7"/>
  <c r="R3913" i="7" s="1"/>
  <c r="S3912" i="7"/>
  <c r="P3912" i="7"/>
  <c r="R3912" i="7" s="1"/>
  <c r="S3911" i="7"/>
  <c r="T3911" i="7" s="1"/>
  <c r="P3911" i="7"/>
  <c r="R3911" i="7" s="1"/>
  <c r="S3910" i="7"/>
  <c r="P3910" i="7"/>
  <c r="R3910" i="7" s="1"/>
  <c r="S3909" i="7"/>
  <c r="T3909" i="7" s="1"/>
  <c r="P3909" i="7"/>
  <c r="S3908" i="7"/>
  <c r="P3908" i="7"/>
  <c r="R3908" i="7" s="1"/>
  <c r="S3907" i="7"/>
  <c r="R3907" i="7"/>
  <c r="P3907" i="7"/>
  <c r="Q3907" i="7" s="1"/>
  <c r="S3906" i="7"/>
  <c r="P3906" i="7"/>
  <c r="R3906" i="7" s="1"/>
  <c r="S3905" i="7"/>
  <c r="T3905" i="7" s="1"/>
  <c r="R3905" i="7"/>
  <c r="Q3905" i="7"/>
  <c r="P3905" i="7"/>
  <c r="S3904" i="7"/>
  <c r="P3904" i="7"/>
  <c r="R3904" i="7" s="1"/>
  <c r="U3903" i="7"/>
  <c r="S3903" i="7"/>
  <c r="T3903" i="7" s="1"/>
  <c r="P3903" i="7"/>
  <c r="R3903" i="7" s="1"/>
  <c r="S3902" i="7"/>
  <c r="P3902" i="7"/>
  <c r="R3902" i="7" s="1"/>
  <c r="S3901" i="7"/>
  <c r="P3901" i="7"/>
  <c r="R3901" i="7" s="1"/>
  <c r="S3900" i="7"/>
  <c r="P3900" i="7"/>
  <c r="R3900" i="7" s="1"/>
  <c r="S3899" i="7"/>
  <c r="T3899" i="7" s="1"/>
  <c r="P3899" i="7"/>
  <c r="S3898" i="7"/>
  <c r="P3898" i="7"/>
  <c r="R3898" i="7" s="1"/>
  <c r="S3897" i="7"/>
  <c r="P3897" i="7"/>
  <c r="S3896" i="7"/>
  <c r="P3896" i="7"/>
  <c r="R3896" i="7" s="1"/>
  <c r="S3895" i="7"/>
  <c r="R3895" i="7"/>
  <c r="P3895" i="7"/>
  <c r="Q3895" i="7" s="1"/>
  <c r="S3894" i="7"/>
  <c r="P3894" i="7"/>
  <c r="R3894" i="7" s="1"/>
  <c r="S3893" i="7"/>
  <c r="P3893" i="7"/>
  <c r="S3892" i="7"/>
  <c r="P3892" i="7"/>
  <c r="R3892" i="7" s="1"/>
  <c r="S3891" i="7"/>
  <c r="T3891" i="7" s="1"/>
  <c r="P3891" i="7"/>
  <c r="R3891" i="7" s="1"/>
  <c r="S3890" i="7"/>
  <c r="P3890" i="7"/>
  <c r="R3890" i="7" s="1"/>
  <c r="S3889" i="7"/>
  <c r="R3889" i="7"/>
  <c r="Q3889" i="7"/>
  <c r="P3889" i="7"/>
  <c r="S3888" i="7"/>
  <c r="P3888" i="7"/>
  <c r="R3888" i="7" s="1"/>
  <c r="S3887" i="7"/>
  <c r="T3887" i="7" s="1"/>
  <c r="Q3887" i="7"/>
  <c r="P3887" i="7"/>
  <c r="R3887" i="7" s="1"/>
  <c r="S3886" i="7"/>
  <c r="P3886" i="7"/>
  <c r="R3886" i="7" s="1"/>
  <c r="S3885" i="7"/>
  <c r="P3885" i="7"/>
  <c r="R3885" i="7" s="1"/>
  <c r="S3884" i="7"/>
  <c r="P3884" i="7"/>
  <c r="R3884" i="7" s="1"/>
  <c r="S3883" i="7"/>
  <c r="T3883" i="7" s="1"/>
  <c r="P3883" i="7"/>
  <c r="R3883" i="7" s="1"/>
  <c r="S3882" i="7"/>
  <c r="P3882" i="7"/>
  <c r="R3882" i="7" s="1"/>
  <c r="S3881" i="7"/>
  <c r="P3881" i="7"/>
  <c r="S3880" i="7"/>
  <c r="P3880" i="7"/>
  <c r="R3880" i="7" s="1"/>
  <c r="S3879" i="7"/>
  <c r="P3879" i="7"/>
  <c r="R3879" i="7" s="1"/>
  <c r="S3878" i="7"/>
  <c r="P3878" i="7"/>
  <c r="R3878" i="7" s="1"/>
  <c r="S3877" i="7"/>
  <c r="P3877" i="7"/>
  <c r="R3877" i="7" s="1"/>
  <c r="S3876" i="7"/>
  <c r="P3876" i="7"/>
  <c r="R3876" i="7" s="1"/>
  <c r="S3875" i="7"/>
  <c r="T3875" i="7" s="1"/>
  <c r="R3875" i="7"/>
  <c r="Q3875" i="7"/>
  <c r="P3875" i="7"/>
  <c r="S3874" i="7"/>
  <c r="P3874" i="7"/>
  <c r="R3874" i="7" s="1"/>
  <c r="S3873" i="7"/>
  <c r="T3873" i="7" s="1"/>
  <c r="R3873" i="7"/>
  <c r="Q3873" i="7"/>
  <c r="P3873" i="7"/>
  <c r="S3872" i="7"/>
  <c r="P3872" i="7"/>
  <c r="R3872" i="7" s="1"/>
  <c r="U3871" i="7"/>
  <c r="S3871" i="7"/>
  <c r="T3871" i="7" s="1"/>
  <c r="P3871" i="7"/>
  <c r="S3870" i="7"/>
  <c r="P3870" i="7"/>
  <c r="R3870" i="7" s="1"/>
  <c r="S3869" i="7"/>
  <c r="P3869" i="7"/>
  <c r="R3869" i="7" s="1"/>
  <c r="S3868" i="7"/>
  <c r="P3868" i="7"/>
  <c r="S3867" i="7"/>
  <c r="P3867" i="7"/>
  <c r="S3866" i="7"/>
  <c r="P3866" i="7"/>
  <c r="S3865" i="7"/>
  <c r="P3865" i="7"/>
  <c r="S3864" i="7"/>
  <c r="P3864" i="7"/>
  <c r="S3863" i="7"/>
  <c r="P3863" i="7"/>
  <c r="S3862" i="7"/>
  <c r="U3862" i="7" s="1"/>
  <c r="P3862" i="7"/>
  <c r="S3861" i="7"/>
  <c r="T3861" i="7" s="1"/>
  <c r="P3861" i="7"/>
  <c r="Q3861" i="7" s="1"/>
  <c r="S3860" i="7"/>
  <c r="P3860" i="7"/>
  <c r="Q3860" i="7" s="1"/>
  <c r="U3859" i="7"/>
  <c r="T3859" i="7"/>
  <c r="S3859" i="7"/>
  <c r="P3859" i="7"/>
  <c r="S3858" i="7"/>
  <c r="U3858" i="7" s="1"/>
  <c r="P3858" i="7"/>
  <c r="S3857" i="7"/>
  <c r="U3857" i="7" s="1"/>
  <c r="P3857" i="7"/>
  <c r="S3856" i="7"/>
  <c r="P3856" i="7"/>
  <c r="Q3856" i="7" s="1"/>
  <c r="S3855" i="7"/>
  <c r="T3855" i="7" s="1"/>
  <c r="P3855" i="7"/>
  <c r="S3854" i="7"/>
  <c r="U3854" i="7" s="1"/>
  <c r="P3854" i="7"/>
  <c r="U3853" i="7"/>
  <c r="S3853" i="7"/>
  <c r="T3853" i="7" s="1"/>
  <c r="P3853" i="7"/>
  <c r="S3852" i="7"/>
  <c r="P3852" i="7"/>
  <c r="Q3852" i="7" s="1"/>
  <c r="S3851" i="7"/>
  <c r="P3851" i="7"/>
  <c r="S3850" i="7"/>
  <c r="U3850" i="7" s="1"/>
  <c r="P3850" i="7"/>
  <c r="S3849" i="7"/>
  <c r="P3849" i="7"/>
  <c r="S3848" i="7"/>
  <c r="P3848" i="7"/>
  <c r="Q3848" i="7" s="1"/>
  <c r="S3847" i="7"/>
  <c r="P3847" i="7"/>
  <c r="S3846" i="7"/>
  <c r="U3846" i="7" s="1"/>
  <c r="P3846" i="7"/>
  <c r="S3845" i="7"/>
  <c r="T3845" i="7" s="1"/>
  <c r="P3845" i="7"/>
  <c r="S3844" i="7"/>
  <c r="P3844" i="7"/>
  <c r="Q3844" i="7" s="1"/>
  <c r="S3843" i="7"/>
  <c r="P3843" i="7"/>
  <c r="S3842" i="7"/>
  <c r="U3842" i="7" s="1"/>
  <c r="P3842" i="7"/>
  <c r="T3841" i="7"/>
  <c r="S3841" i="7"/>
  <c r="U3841" i="7" s="1"/>
  <c r="P3841" i="7"/>
  <c r="Q3841" i="7" s="1"/>
  <c r="S3840" i="7"/>
  <c r="P3840" i="7"/>
  <c r="Q3840" i="7" s="1"/>
  <c r="S3839" i="7"/>
  <c r="P3839" i="7"/>
  <c r="S3838" i="7"/>
  <c r="U3838" i="7" s="1"/>
  <c r="P3838" i="7"/>
  <c r="S3837" i="7"/>
  <c r="P3837" i="7"/>
  <c r="S3836" i="7"/>
  <c r="P3836" i="7"/>
  <c r="Q3836" i="7" s="1"/>
  <c r="S3835" i="7"/>
  <c r="U3835" i="7" s="1"/>
  <c r="P3835" i="7"/>
  <c r="S3834" i="7"/>
  <c r="U3834" i="7" s="1"/>
  <c r="P3834" i="7"/>
  <c r="T3833" i="7"/>
  <c r="S3833" i="7"/>
  <c r="U3833" i="7" s="1"/>
  <c r="P3833" i="7"/>
  <c r="Q3833" i="7" s="1"/>
  <c r="S3832" i="7"/>
  <c r="P3832" i="7"/>
  <c r="Q3832" i="7" s="1"/>
  <c r="S3831" i="7"/>
  <c r="P3831" i="7"/>
  <c r="S3830" i="7"/>
  <c r="U3830" i="7" s="1"/>
  <c r="P3830" i="7"/>
  <c r="S3829" i="7"/>
  <c r="T3829" i="7" s="1"/>
  <c r="P3829" i="7"/>
  <c r="Q3829" i="7" s="1"/>
  <c r="S3828" i="7"/>
  <c r="P3828" i="7"/>
  <c r="Q3828" i="7" s="1"/>
  <c r="S3827" i="7"/>
  <c r="U3827" i="7" s="1"/>
  <c r="P3827" i="7"/>
  <c r="S3826" i="7"/>
  <c r="U3826" i="7" s="1"/>
  <c r="P3826" i="7"/>
  <c r="T3825" i="7"/>
  <c r="S3825" i="7"/>
  <c r="U3825" i="7" s="1"/>
  <c r="P3825" i="7"/>
  <c r="S3824" i="7"/>
  <c r="P3824" i="7"/>
  <c r="Q3824" i="7" s="1"/>
  <c r="S3823" i="7"/>
  <c r="T3823" i="7" s="1"/>
  <c r="P3823" i="7"/>
  <c r="S3822" i="7"/>
  <c r="U3822" i="7" s="1"/>
  <c r="P3822" i="7"/>
  <c r="S3821" i="7"/>
  <c r="P3821" i="7"/>
  <c r="S3820" i="7"/>
  <c r="P3820" i="7"/>
  <c r="Q3820" i="7" s="1"/>
  <c r="S3819" i="7"/>
  <c r="U3819" i="7" s="1"/>
  <c r="P3819" i="7"/>
  <c r="S3818" i="7"/>
  <c r="U3818" i="7" s="1"/>
  <c r="P3818" i="7"/>
  <c r="U3817" i="7"/>
  <c r="T3817" i="7"/>
  <c r="S3817" i="7"/>
  <c r="P3817" i="7"/>
  <c r="Q3817" i="7" s="1"/>
  <c r="S3816" i="7"/>
  <c r="P3816" i="7"/>
  <c r="Q3816" i="7" s="1"/>
  <c r="S3815" i="7"/>
  <c r="U3815" i="7" s="1"/>
  <c r="P3815" i="7"/>
  <c r="S3814" i="7"/>
  <c r="U3814" i="7" s="1"/>
  <c r="P3814" i="7"/>
  <c r="S3813" i="7"/>
  <c r="R3813" i="7"/>
  <c r="P3813" i="7"/>
  <c r="Q3813" i="7" s="1"/>
  <c r="S3812" i="7"/>
  <c r="P3812" i="7"/>
  <c r="Q3812" i="7" s="1"/>
  <c r="U3811" i="7"/>
  <c r="T3811" i="7"/>
  <c r="S3811" i="7"/>
  <c r="P3811" i="7"/>
  <c r="S3810" i="7"/>
  <c r="U3810" i="7" s="1"/>
  <c r="P3810" i="7"/>
  <c r="S3809" i="7"/>
  <c r="P3809" i="7"/>
  <c r="Q3809" i="7" s="1"/>
  <c r="S3808" i="7"/>
  <c r="P3808" i="7"/>
  <c r="Q3808" i="7" s="1"/>
  <c r="S3807" i="7"/>
  <c r="T3807" i="7" s="1"/>
  <c r="P3807" i="7"/>
  <c r="S3806" i="7"/>
  <c r="U3806" i="7" s="1"/>
  <c r="P3806" i="7"/>
  <c r="S3805" i="7"/>
  <c r="P3805" i="7"/>
  <c r="S3804" i="7"/>
  <c r="P3804" i="7"/>
  <c r="Q3804" i="7" s="1"/>
  <c r="S3803" i="7"/>
  <c r="U3803" i="7" s="1"/>
  <c r="P3803" i="7"/>
  <c r="S3802" i="7"/>
  <c r="U3802" i="7" s="1"/>
  <c r="P3802" i="7"/>
  <c r="S3801" i="7"/>
  <c r="R3801" i="7"/>
  <c r="P3801" i="7"/>
  <c r="Q3801" i="7" s="1"/>
  <c r="S3800" i="7"/>
  <c r="P3800" i="7"/>
  <c r="Q3800" i="7" s="1"/>
  <c r="U3799" i="7"/>
  <c r="S3799" i="7"/>
  <c r="T3799" i="7" s="1"/>
  <c r="P3799" i="7"/>
  <c r="S3798" i="7"/>
  <c r="U3798" i="7" s="1"/>
  <c r="P3798" i="7"/>
  <c r="S3797" i="7"/>
  <c r="T3797" i="7" s="1"/>
  <c r="P3797" i="7"/>
  <c r="Q3797" i="7" s="1"/>
  <c r="S3796" i="7"/>
  <c r="P3796" i="7"/>
  <c r="Q3796" i="7" s="1"/>
  <c r="U3795" i="7"/>
  <c r="T3795" i="7"/>
  <c r="S3795" i="7"/>
  <c r="P3795" i="7"/>
  <c r="S3794" i="7"/>
  <c r="U3794" i="7" s="1"/>
  <c r="P3794" i="7"/>
  <c r="S3793" i="7"/>
  <c r="U3793" i="7" s="1"/>
  <c r="P3793" i="7"/>
  <c r="S3792" i="7"/>
  <c r="P3792" i="7"/>
  <c r="Q3792" i="7" s="1"/>
  <c r="S3791" i="7"/>
  <c r="P3791" i="7"/>
  <c r="S3790" i="7"/>
  <c r="U3790" i="7" s="1"/>
  <c r="P3790" i="7"/>
  <c r="S3789" i="7"/>
  <c r="U3789" i="7" s="1"/>
  <c r="P3789" i="7"/>
  <c r="S3788" i="7"/>
  <c r="P3788" i="7"/>
  <c r="Q3788" i="7" s="1"/>
  <c r="S3787" i="7"/>
  <c r="P3787" i="7"/>
  <c r="S3786" i="7"/>
  <c r="U3786" i="7" s="1"/>
  <c r="P3786" i="7"/>
  <c r="S3785" i="7"/>
  <c r="U3785" i="7" s="1"/>
  <c r="P3785" i="7"/>
  <c r="S3784" i="7"/>
  <c r="P3784" i="7"/>
  <c r="Q3784" i="7" s="1"/>
  <c r="S3783" i="7"/>
  <c r="U3783" i="7" s="1"/>
  <c r="P3783" i="7"/>
  <c r="S3782" i="7"/>
  <c r="U3782" i="7" s="1"/>
  <c r="P3782" i="7"/>
  <c r="S3781" i="7"/>
  <c r="P3781" i="7"/>
  <c r="S3780" i="7"/>
  <c r="P3780" i="7"/>
  <c r="Q3780" i="7" s="1"/>
  <c r="U3779" i="7"/>
  <c r="S3779" i="7"/>
  <c r="T3779" i="7" s="1"/>
  <c r="P3779" i="7"/>
  <c r="S3778" i="7"/>
  <c r="U3778" i="7" s="1"/>
  <c r="P3778" i="7"/>
  <c r="S3777" i="7"/>
  <c r="U3777" i="7" s="1"/>
  <c r="P3777" i="7"/>
  <c r="S3776" i="7"/>
  <c r="P3776" i="7"/>
  <c r="Q3776" i="7" s="1"/>
  <c r="S3775" i="7"/>
  <c r="P3775" i="7"/>
  <c r="S3774" i="7"/>
  <c r="U3774" i="7" s="1"/>
  <c r="P3774" i="7"/>
  <c r="U3773" i="7"/>
  <c r="T3773" i="7"/>
  <c r="S3773" i="7"/>
  <c r="P3773" i="7"/>
  <c r="S3772" i="7"/>
  <c r="P3772" i="7"/>
  <c r="Q3772" i="7" s="1"/>
  <c r="S3771" i="7"/>
  <c r="P3771" i="7"/>
  <c r="S3770" i="7"/>
  <c r="U3770" i="7" s="1"/>
  <c r="P3770" i="7"/>
  <c r="S3769" i="7"/>
  <c r="P3769" i="7"/>
  <c r="S3768" i="7"/>
  <c r="P3768" i="7"/>
  <c r="Q3768" i="7" s="1"/>
  <c r="T3767" i="7"/>
  <c r="S3767" i="7"/>
  <c r="U3767" i="7" s="1"/>
  <c r="P3767" i="7"/>
  <c r="S3766" i="7"/>
  <c r="U3766" i="7" s="1"/>
  <c r="P3766" i="7"/>
  <c r="S3765" i="7"/>
  <c r="T3765" i="7" s="1"/>
  <c r="P3765" i="7"/>
  <c r="S3764" i="7"/>
  <c r="P3764" i="7"/>
  <c r="Q3764" i="7" s="1"/>
  <c r="S3763" i="7"/>
  <c r="P3763" i="7"/>
  <c r="S3762" i="7"/>
  <c r="U3762" i="7" s="1"/>
  <c r="P3762" i="7"/>
  <c r="S3761" i="7"/>
  <c r="P3761" i="7"/>
  <c r="Q3761" i="7" s="1"/>
  <c r="S3760" i="7"/>
  <c r="P3760" i="7"/>
  <c r="Q3760" i="7" s="1"/>
  <c r="S3759" i="7"/>
  <c r="T3759" i="7" s="1"/>
  <c r="P3759" i="7"/>
  <c r="S3758" i="7"/>
  <c r="U3758" i="7" s="1"/>
  <c r="P3758" i="7"/>
  <c r="S3757" i="7"/>
  <c r="P3757" i="7"/>
  <c r="Q3757" i="7" s="1"/>
  <c r="S3756" i="7"/>
  <c r="P3756" i="7"/>
  <c r="Q3756" i="7" s="1"/>
  <c r="S3755" i="7"/>
  <c r="P3755" i="7"/>
  <c r="S3754" i="7"/>
  <c r="U3754" i="7" s="1"/>
  <c r="P3754" i="7"/>
  <c r="U3753" i="7"/>
  <c r="T3753" i="7"/>
  <c r="S3753" i="7"/>
  <c r="P3753" i="7"/>
  <c r="S3752" i="7"/>
  <c r="P3752" i="7"/>
  <c r="Q3752" i="7" s="1"/>
  <c r="S3751" i="7"/>
  <c r="U3751" i="7" s="1"/>
  <c r="P3751" i="7"/>
  <c r="S3750" i="7"/>
  <c r="U3750" i="7" s="1"/>
  <c r="P3750" i="7"/>
  <c r="S3749" i="7"/>
  <c r="U3749" i="7" s="1"/>
  <c r="P3749" i="7"/>
  <c r="Q3749" i="7" s="1"/>
  <c r="S3748" i="7"/>
  <c r="P3748" i="7"/>
  <c r="Q3748" i="7" s="1"/>
  <c r="S3747" i="7"/>
  <c r="P3747" i="7"/>
  <c r="S3746" i="7"/>
  <c r="U3746" i="7" s="1"/>
  <c r="P3746" i="7"/>
  <c r="S3745" i="7"/>
  <c r="R3745" i="7"/>
  <c r="P3745" i="7"/>
  <c r="Q3745" i="7" s="1"/>
  <c r="S3744" i="7"/>
  <c r="P3744" i="7"/>
  <c r="S3743" i="7"/>
  <c r="P3743" i="7"/>
  <c r="S3742" i="7"/>
  <c r="P3742" i="7"/>
  <c r="S3741" i="7"/>
  <c r="U3741" i="7" s="1"/>
  <c r="P3741" i="7"/>
  <c r="Q3741" i="7" s="1"/>
  <c r="S3740" i="7"/>
  <c r="P3740" i="7"/>
  <c r="S3739" i="7"/>
  <c r="U3739" i="7" s="1"/>
  <c r="P3739" i="7"/>
  <c r="Q3739" i="7" s="1"/>
  <c r="S3738" i="7"/>
  <c r="P3738" i="7"/>
  <c r="S3737" i="7"/>
  <c r="U3737" i="7" s="1"/>
  <c r="P3737" i="7"/>
  <c r="S3736" i="7"/>
  <c r="P3736" i="7"/>
  <c r="S3735" i="7"/>
  <c r="P3735" i="7"/>
  <c r="S3734" i="7"/>
  <c r="P3734" i="7"/>
  <c r="S3733" i="7"/>
  <c r="P3733" i="7"/>
  <c r="Q3733" i="7" s="1"/>
  <c r="S3732" i="7"/>
  <c r="P3732" i="7"/>
  <c r="S3731" i="7"/>
  <c r="P3731" i="7"/>
  <c r="Q3731" i="7" s="1"/>
  <c r="S3730" i="7"/>
  <c r="P3730" i="7"/>
  <c r="U3729" i="7"/>
  <c r="S3729" i="7"/>
  <c r="T3729" i="7" s="1"/>
  <c r="P3729" i="7"/>
  <c r="S3728" i="7"/>
  <c r="P3728" i="7"/>
  <c r="S3727" i="7"/>
  <c r="P3727" i="7"/>
  <c r="S3726" i="7"/>
  <c r="P3726" i="7"/>
  <c r="U3725" i="7"/>
  <c r="T3725" i="7"/>
  <c r="S3725" i="7"/>
  <c r="P3725" i="7"/>
  <c r="Q3725" i="7" s="1"/>
  <c r="S3724" i="7"/>
  <c r="P3724" i="7"/>
  <c r="T3723" i="7"/>
  <c r="S3723" i="7"/>
  <c r="U3723" i="7" s="1"/>
  <c r="P3723" i="7"/>
  <c r="Q3723" i="7" s="1"/>
  <c r="S3722" i="7"/>
  <c r="P3722" i="7"/>
  <c r="T3721" i="7"/>
  <c r="S3721" i="7"/>
  <c r="U3721" i="7" s="1"/>
  <c r="P3721" i="7"/>
  <c r="S3720" i="7"/>
  <c r="P3720" i="7"/>
  <c r="S3719" i="7"/>
  <c r="P3719" i="7"/>
  <c r="S3718" i="7"/>
  <c r="P3718" i="7"/>
  <c r="S3717" i="7"/>
  <c r="P3717" i="7"/>
  <c r="Q3717" i="7" s="1"/>
  <c r="S3716" i="7"/>
  <c r="P3716" i="7"/>
  <c r="S3715" i="7"/>
  <c r="P3715" i="7"/>
  <c r="U3714" i="7"/>
  <c r="S3714" i="7"/>
  <c r="T3714" i="7" s="1"/>
  <c r="P3714" i="7"/>
  <c r="U3713" i="7"/>
  <c r="S3713" i="7"/>
  <c r="T3713" i="7" s="1"/>
  <c r="P3713" i="7"/>
  <c r="S3712" i="7"/>
  <c r="T3712" i="7" s="1"/>
  <c r="P3712" i="7"/>
  <c r="S3711" i="7"/>
  <c r="T3711" i="7" s="1"/>
  <c r="P3711" i="7"/>
  <c r="S3710" i="7"/>
  <c r="T3710" i="7" s="1"/>
  <c r="P3710" i="7"/>
  <c r="R3710" i="7" s="1"/>
  <c r="S3709" i="7"/>
  <c r="T3709" i="7" s="1"/>
  <c r="P3709" i="7"/>
  <c r="Q3709" i="7" s="1"/>
  <c r="S3708" i="7"/>
  <c r="Q3708" i="7"/>
  <c r="P3708" i="7"/>
  <c r="R3708" i="7" s="1"/>
  <c r="S3707" i="7"/>
  <c r="R3707" i="7"/>
  <c r="P3707" i="7"/>
  <c r="Q3707" i="7" s="1"/>
  <c r="S3706" i="7"/>
  <c r="P3706" i="7"/>
  <c r="R3706" i="7" s="1"/>
  <c r="S3705" i="7"/>
  <c r="P3705" i="7"/>
  <c r="S3704" i="7"/>
  <c r="T3704" i="7" s="1"/>
  <c r="P3704" i="7"/>
  <c r="S3703" i="7"/>
  <c r="T3703" i="7" s="1"/>
  <c r="P3703" i="7"/>
  <c r="S3702" i="7"/>
  <c r="T3702" i="7" s="1"/>
  <c r="P3702" i="7"/>
  <c r="R3702" i="7" s="1"/>
  <c r="S3701" i="7"/>
  <c r="T3701" i="7" s="1"/>
  <c r="P3701" i="7"/>
  <c r="R3701" i="7" s="1"/>
  <c r="S3700" i="7"/>
  <c r="P3700" i="7"/>
  <c r="S3699" i="7"/>
  <c r="P3699" i="7"/>
  <c r="S3698" i="7"/>
  <c r="P3698" i="7"/>
  <c r="S3697" i="7"/>
  <c r="T3697" i="7" s="1"/>
  <c r="Q3697" i="7"/>
  <c r="P3697" i="7"/>
  <c r="R3697" i="7" s="1"/>
  <c r="S3696" i="7"/>
  <c r="T3696" i="7" s="1"/>
  <c r="P3696" i="7"/>
  <c r="S3695" i="7"/>
  <c r="T3695" i="7" s="1"/>
  <c r="P3695" i="7"/>
  <c r="S3694" i="7"/>
  <c r="T3694" i="7" s="1"/>
  <c r="P3694" i="7"/>
  <c r="S3693" i="7"/>
  <c r="T3693" i="7" s="1"/>
  <c r="P3693" i="7"/>
  <c r="S3692" i="7"/>
  <c r="P3692" i="7"/>
  <c r="R3692" i="7" s="1"/>
  <c r="S3691" i="7"/>
  <c r="P3691" i="7"/>
  <c r="R3691" i="7" s="1"/>
  <c r="S3690" i="7"/>
  <c r="Q3690" i="7"/>
  <c r="P3690" i="7"/>
  <c r="R3690" i="7" s="1"/>
  <c r="S3689" i="7"/>
  <c r="R3689" i="7"/>
  <c r="P3689" i="7"/>
  <c r="Q3689" i="7" s="1"/>
  <c r="S3688" i="7"/>
  <c r="T3688" i="7" s="1"/>
  <c r="P3688" i="7"/>
  <c r="R3688" i="7" s="1"/>
  <c r="S3687" i="7"/>
  <c r="T3687" i="7" s="1"/>
  <c r="P3687" i="7"/>
  <c r="S3686" i="7"/>
  <c r="T3686" i="7" s="1"/>
  <c r="P3686" i="7"/>
  <c r="R3686" i="7" s="1"/>
  <c r="S3685" i="7"/>
  <c r="T3685" i="7" s="1"/>
  <c r="P3685" i="7"/>
  <c r="R3685" i="7" s="1"/>
  <c r="S3684" i="7"/>
  <c r="P3684" i="7"/>
  <c r="S3683" i="7"/>
  <c r="P3683" i="7"/>
  <c r="S3682" i="7"/>
  <c r="T3682" i="7" s="1"/>
  <c r="P3682" i="7"/>
  <c r="S3681" i="7"/>
  <c r="T3681" i="7" s="1"/>
  <c r="Q3681" i="7"/>
  <c r="P3681" i="7"/>
  <c r="R3681" i="7" s="1"/>
  <c r="S3680" i="7"/>
  <c r="T3680" i="7" s="1"/>
  <c r="P3680" i="7"/>
  <c r="S3679" i="7"/>
  <c r="T3679" i="7" s="1"/>
  <c r="P3679" i="7"/>
  <c r="S3678" i="7"/>
  <c r="T3678" i="7" s="1"/>
  <c r="P3678" i="7"/>
  <c r="R3678" i="7" s="1"/>
  <c r="S3677" i="7"/>
  <c r="T3677" i="7" s="1"/>
  <c r="R3677" i="7"/>
  <c r="Q3677" i="7"/>
  <c r="P3677" i="7"/>
  <c r="S3676" i="7"/>
  <c r="P3676" i="7"/>
  <c r="R3676" i="7" s="1"/>
  <c r="S3675" i="7"/>
  <c r="R3675" i="7"/>
  <c r="P3675" i="7"/>
  <c r="Q3675" i="7" s="1"/>
  <c r="S3674" i="7"/>
  <c r="P3674" i="7"/>
  <c r="R3674" i="7" s="1"/>
  <c r="S3673" i="7"/>
  <c r="P3673" i="7"/>
  <c r="S3672" i="7"/>
  <c r="T3672" i="7" s="1"/>
  <c r="P3672" i="7"/>
  <c r="R3672" i="7" s="1"/>
  <c r="S3671" i="7"/>
  <c r="T3671" i="7" s="1"/>
  <c r="P3671" i="7"/>
  <c r="Q3671" i="7" s="1"/>
  <c r="S3670" i="7"/>
  <c r="T3670" i="7" s="1"/>
  <c r="P3670" i="7"/>
  <c r="S3669" i="7"/>
  <c r="T3669" i="7" s="1"/>
  <c r="P3669" i="7"/>
  <c r="S3668" i="7"/>
  <c r="P3668" i="7"/>
  <c r="S3667" i="7"/>
  <c r="P3667" i="7"/>
  <c r="S3666" i="7"/>
  <c r="T3666" i="7" s="1"/>
  <c r="P3666" i="7"/>
  <c r="S3665" i="7"/>
  <c r="T3665" i="7" s="1"/>
  <c r="Q3665" i="7"/>
  <c r="P3665" i="7"/>
  <c r="R3665" i="7" s="1"/>
  <c r="U3664" i="7"/>
  <c r="S3664" i="7"/>
  <c r="T3664" i="7" s="1"/>
  <c r="P3664" i="7"/>
  <c r="S3663" i="7"/>
  <c r="T3663" i="7" s="1"/>
  <c r="P3663" i="7"/>
  <c r="S3662" i="7"/>
  <c r="T3662" i="7" s="1"/>
  <c r="P3662" i="7"/>
  <c r="S3661" i="7"/>
  <c r="T3661" i="7" s="1"/>
  <c r="P3661" i="7"/>
  <c r="S3660" i="7"/>
  <c r="Q3660" i="7"/>
  <c r="P3660" i="7"/>
  <c r="R3660" i="7" s="1"/>
  <c r="S3659" i="7"/>
  <c r="P3659" i="7"/>
  <c r="Q3659" i="7" s="1"/>
  <c r="S3658" i="7"/>
  <c r="T3658" i="7" s="1"/>
  <c r="Q3658" i="7"/>
  <c r="P3658" i="7"/>
  <c r="R3658" i="7" s="1"/>
  <c r="S3657" i="7"/>
  <c r="T3657" i="7" s="1"/>
  <c r="P3657" i="7"/>
  <c r="S3656" i="7"/>
  <c r="T3656" i="7" s="1"/>
  <c r="P3656" i="7"/>
  <c r="S3655" i="7"/>
  <c r="T3655" i="7" s="1"/>
  <c r="P3655" i="7"/>
  <c r="R3655" i="7" s="1"/>
  <c r="S3654" i="7"/>
  <c r="T3654" i="7" s="1"/>
  <c r="P3654" i="7"/>
  <c r="S3653" i="7"/>
  <c r="T3653" i="7" s="1"/>
  <c r="P3653" i="7"/>
  <c r="S3652" i="7"/>
  <c r="P3652" i="7"/>
  <c r="R3652" i="7" s="1"/>
  <c r="S3651" i="7"/>
  <c r="P3651" i="7"/>
  <c r="R3651" i="7" s="1"/>
  <c r="S3650" i="7"/>
  <c r="Q3650" i="7"/>
  <c r="P3650" i="7"/>
  <c r="R3650" i="7" s="1"/>
  <c r="S3649" i="7"/>
  <c r="P3649" i="7"/>
  <c r="S3648" i="7"/>
  <c r="T3648" i="7" s="1"/>
  <c r="P3648" i="7"/>
  <c r="S3647" i="7"/>
  <c r="T3647" i="7" s="1"/>
  <c r="P3647" i="7"/>
  <c r="R3647" i="7" s="1"/>
  <c r="S3646" i="7"/>
  <c r="T3646" i="7" s="1"/>
  <c r="P3646" i="7"/>
  <c r="S3645" i="7"/>
  <c r="T3645" i="7" s="1"/>
  <c r="P3645" i="7"/>
  <c r="S3644" i="7"/>
  <c r="Q3644" i="7"/>
  <c r="P3644" i="7"/>
  <c r="R3644" i="7" s="1"/>
  <c r="S3643" i="7"/>
  <c r="P3643" i="7"/>
  <c r="R3643" i="7" s="1"/>
  <c r="U3642" i="7"/>
  <c r="S3642" i="7"/>
  <c r="T3642" i="7" s="1"/>
  <c r="P3642" i="7"/>
  <c r="R3642" i="7" s="1"/>
  <c r="S3641" i="7"/>
  <c r="T3641" i="7" s="1"/>
  <c r="P3641" i="7"/>
  <c r="S3640" i="7"/>
  <c r="T3640" i="7" s="1"/>
  <c r="P3640" i="7"/>
  <c r="S3639" i="7"/>
  <c r="T3639" i="7" s="1"/>
  <c r="P3639" i="7"/>
  <c r="R3639" i="7" s="1"/>
  <c r="S3638" i="7"/>
  <c r="T3638" i="7" s="1"/>
  <c r="P3638" i="7"/>
  <c r="S3637" i="7"/>
  <c r="T3637" i="7" s="1"/>
  <c r="P3637" i="7"/>
  <c r="S3636" i="7"/>
  <c r="P3636" i="7"/>
  <c r="S3635" i="7"/>
  <c r="P3635" i="7"/>
  <c r="S3634" i="7"/>
  <c r="T3634" i="7" s="1"/>
  <c r="P3634" i="7"/>
  <c r="S3633" i="7"/>
  <c r="P3633" i="7"/>
  <c r="S3632" i="7"/>
  <c r="T3632" i="7" s="1"/>
  <c r="P3632" i="7"/>
  <c r="S3631" i="7"/>
  <c r="T3631" i="7" s="1"/>
  <c r="P3631" i="7"/>
  <c r="S3630" i="7"/>
  <c r="T3630" i="7" s="1"/>
  <c r="P3630" i="7"/>
  <c r="S3629" i="7"/>
  <c r="T3629" i="7" s="1"/>
  <c r="P3629" i="7"/>
  <c r="S3628" i="7"/>
  <c r="Q3628" i="7"/>
  <c r="P3628" i="7"/>
  <c r="R3628" i="7" s="1"/>
  <c r="S3627" i="7"/>
  <c r="P3627" i="7"/>
  <c r="S3626" i="7"/>
  <c r="T3626" i="7" s="1"/>
  <c r="P3626" i="7"/>
  <c r="R3626" i="7" s="1"/>
  <c r="S3625" i="7"/>
  <c r="T3625" i="7" s="1"/>
  <c r="P3625" i="7"/>
  <c r="S3624" i="7"/>
  <c r="T3624" i="7" s="1"/>
  <c r="P3624" i="7"/>
  <c r="S3623" i="7"/>
  <c r="T3623" i="7" s="1"/>
  <c r="Q3623" i="7"/>
  <c r="P3623" i="7"/>
  <c r="R3623" i="7" s="1"/>
  <c r="S3622" i="7"/>
  <c r="T3622" i="7" s="1"/>
  <c r="P3622" i="7"/>
  <c r="S3621" i="7"/>
  <c r="T3621" i="7" s="1"/>
  <c r="P3621" i="7"/>
  <c r="S3620" i="7"/>
  <c r="Q3620" i="7"/>
  <c r="P3620" i="7"/>
  <c r="R3620" i="7" s="1"/>
  <c r="S3619" i="7"/>
  <c r="R3619" i="7"/>
  <c r="P3619" i="7"/>
  <c r="Q3619" i="7" s="1"/>
  <c r="S3618" i="7"/>
  <c r="P3618" i="7"/>
  <c r="S3617" i="7"/>
  <c r="P3617" i="7"/>
  <c r="S3616" i="7"/>
  <c r="T3616" i="7" s="1"/>
  <c r="P3616" i="7"/>
  <c r="S3615" i="7"/>
  <c r="T3615" i="7" s="1"/>
  <c r="P3615" i="7"/>
  <c r="R3615" i="7" s="1"/>
  <c r="S3614" i="7"/>
  <c r="T3614" i="7" s="1"/>
  <c r="P3614" i="7"/>
  <c r="S3613" i="7"/>
  <c r="T3613" i="7" s="1"/>
  <c r="P3613" i="7"/>
  <c r="S3612" i="7"/>
  <c r="Q3612" i="7"/>
  <c r="P3612" i="7"/>
  <c r="R3612" i="7" s="1"/>
  <c r="S3611" i="7"/>
  <c r="Q3611" i="7"/>
  <c r="P3611" i="7"/>
  <c r="R3611" i="7" s="1"/>
  <c r="S3610" i="7"/>
  <c r="T3610" i="7" s="1"/>
  <c r="P3610" i="7"/>
  <c r="R3610" i="7" s="1"/>
  <c r="S3609" i="7"/>
  <c r="T3609" i="7" s="1"/>
  <c r="P3609" i="7"/>
  <c r="S3608" i="7"/>
  <c r="T3608" i="7" s="1"/>
  <c r="P3608" i="7"/>
  <c r="S3607" i="7"/>
  <c r="T3607" i="7" s="1"/>
  <c r="P3607" i="7"/>
  <c r="R3607" i="7" s="1"/>
  <c r="S3606" i="7"/>
  <c r="T3606" i="7" s="1"/>
  <c r="P3606" i="7"/>
  <c r="S3605" i="7"/>
  <c r="T3605" i="7" s="1"/>
  <c r="P3605" i="7"/>
  <c r="S3604" i="7"/>
  <c r="P3604" i="7"/>
  <c r="S3603" i="7"/>
  <c r="P3603" i="7"/>
  <c r="S3602" i="7"/>
  <c r="T3602" i="7" s="1"/>
  <c r="P3602" i="7"/>
  <c r="U3601" i="7"/>
  <c r="S3601" i="7"/>
  <c r="T3601" i="7" s="1"/>
  <c r="P3601" i="7"/>
  <c r="S3600" i="7"/>
  <c r="T3600" i="7" s="1"/>
  <c r="P3600" i="7"/>
  <c r="S3599" i="7"/>
  <c r="T3599" i="7" s="1"/>
  <c r="P3599" i="7"/>
  <c r="S3598" i="7"/>
  <c r="T3598" i="7" s="1"/>
  <c r="P3598" i="7"/>
  <c r="S3597" i="7"/>
  <c r="T3597" i="7" s="1"/>
  <c r="P3597" i="7"/>
  <c r="S3596" i="7"/>
  <c r="Q3596" i="7"/>
  <c r="P3596" i="7"/>
  <c r="R3596" i="7" s="1"/>
  <c r="S3595" i="7"/>
  <c r="R3595" i="7"/>
  <c r="Q3595" i="7"/>
  <c r="P3595" i="7"/>
  <c r="S3594" i="7"/>
  <c r="T3594" i="7" s="1"/>
  <c r="P3594" i="7"/>
  <c r="R3594" i="7" s="1"/>
  <c r="S3593" i="7"/>
  <c r="T3593" i="7" s="1"/>
  <c r="P3593" i="7"/>
  <c r="S3592" i="7"/>
  <c r="U3592" i="7" s="1"/>
  <c r="P3592" i="7"/>
  <c r="R3592" i="7" s="1"/>
  <c r="S3591" i="7"/>
  <c r="T3591" i="7" s="1"/>
  <c r="P3591" i="7"/>
  <c r="S3590" i="7"/>
  <c r="T3590" i="7" s="1"/>
  <c r="P3590" i="7"/>
  <c r="R3590" i="7" s="1"/>
  <c r="S3589" i="7"/>
  <c r="P3589" i="7"/>
  <c r="S3588" i="7"/>
  <c r="U3588" i="7" s="1"/>
  <c r="Q3588" i="7"/>
  <c r="P3588" i="7"/>
  <c r="R3588" i="7" s="1"/>
  <c r="S3587" i="7"/>
  <c r="T3587" i="7" s="1"/>
  <c r="P3587" i="7"/>
  <c r="S3586" i="7"/>
  <c r="P3586" i="7"/>
  <c r="R3586" i="7" s="1"/>
  <c r="U3585" i="7"/>
  <c r="S3585" i="7"/>
  <c r="T3585" i="7" s="1"/>
  <c r="P3585" i="7"/>
  <c r="S3584" i="7"/>
  <c r="U3584" i="7" s="1"/>
  <c r="P3584" i="7"/>
  <c r="S3583" i="7"/>
  <c r="T3583" i="7" s="1"/>
  <c r="Q3583" i="7"/>
  <c r="P3583" i="7"/>
  <c r="R3583" i="7" s="1"/>
  <c r="U3582" i="7"/>
  <c r="S3582" i="7"/>
  <c r="T3582" i="7" s="1"/>
  <c r="P3582" i="7"/>
  <c r="R3582" i="7" s="1"/>
  <c r="S3581" i="7"/>
  <c r="P3581" i="7"/>
  <c r="S3580" i="7"/>
  <c r="U3580" i="7" s="1"/>
  <c r="P3580" i="7"/>
  <c r="S3579" i="7"/>
  <c r="T3579" i="7" s="1"/>
  <c r="P3579" i="7"/>
  <c r="S3578" i="7"/>
  <c r="P3578" i="7"/>
  <c r="R3578" i="7" s="1"/>
  <c r="U3577" i="7"/>
  <c r="S3577" i="7"/>
  <c r="T3577" i="7" s="1"/>
  <c r="P3577" i="7"/>
  <c r="S3576" i="7"/>
  <c r="U3576" i="7" s="1"/>
  <c r="Q3576" i="7"/>
  <c r="P3576" i="7"/>
  <c r="R3576" i="7" s="1"/>
  <c r="S3575" i="7"/>
  <c r="T3575" i="7" s="1"/>
  <c r="Q3575" i="7"/>
  <c r="P3575" i="7"/>
  <c r="R3575" i="7" s="1"/>
  <c r="S3574" i="7"/>
  <c r="T3574" i="7" s="1"/>
  <c r="P3574" i="7"/>
  <c r="R3574" i="7" s="1"/>
  <c r="U3573" i="7"/>
  <c r="S3573" i="7"/>
  <c r="T3573" i="7" s="1"/>
  <c r="P3573" i="7"/>
  <c r="S3572" i="7"/>
  <c r="U3572" i="7" s="1"/>
  <c r="Q3572" i="7"/>
  <c r="P3572" i="7"/>
  <c r="R3572" i="7" s="1"/>
  <c r="S3571" i="7"/>
  <c r="T3571" i="7" s="1"/>
  <c r="P3571" i="7"/>
  <c r="R3571" i="7" s="1"/>
  <c r="S3570" i="7"/>
  <c r="P3570" i="7"/>
  <c r="R3570" i="7" s="1"/>
  <c r="U3569" i="7"/>
  <c r="S3569" i="7"/>
  <c r="T3569" i="7" s="1"/>
  <c r="P3569" i="7"/>
  <c r="S3568" i="7"/>
  <c r="U3568" i="7" s="1"/>
  <c r="P3568" i="7"/>
  <c r="R3568" i="7" s="1"/>
  <c r="S3567" i="7"/>
  <c r="T3567" i="7" s="1"/>
  <c r="R3567" i="7"/>
  <c r="Q3567" i="7"/>
  <c r="P3567" i="7"/>
  <c r="U3566" i="7"/>
  <c r="S3566" i="7"/>
  <c r="T3566" i="7" s="1"/>
  <c r="P3566" i="7"/>
  <c r="R3566" i="7" s="1"/>
  <c r="S3565" i="7"/>
  <c r="P3565" i="7"/>
  <c r="S3564" i="7"/>
  <c r="U3564" i="7" s="1"/>
  <c r="P3564" i="7"/>
  <c r="S3563" i="7"/>
  <c r="T3563" i="7" s="1"/>
  <c r="P3563" i="7"/>
  <c r="S3562" i="7"/>
  <c r="T3562" i="7" s="1"/>
  <c r="P3562" i="7"/>
  <c r="R3562" i="7" s="1"/>
  <c r="S3561" i="7"/>
  <c r="T3561" i="7" s="1"/>
  <c r="P3561" i="7"/>
  <c r="S3560" i="7"/>
  <c r="U3560" i="7" s="1"/>
  <c r="Q3560" i="7"/>
  <c r="P3560" i="7"/>
  <c r="R3560" i="7" s="1"/>
  <c r="S3559" i="7"/>
  <c r="T3559" i="7" s="1"/>
  <c r="P3559" i="7"/>
  <c r="S3558" i="7"/>
  <c r="T3558" i="7" s="1"/>
  <c r="P3558" i="7"/>
  <c r="R3558" i="7" s="1"/>
  <c r="S3557" i="7"/>
  <c r="T3557" i="7" s="1"/>
  <c r="P3557" i="7"/>
  <c r="S3556" i="7"/>
  <c r="U3556" i="7" s="1"/>
  <c r="P3556" i="7"/>
  <c r="S3555" i="7"/>
  <c r="T3555" i="7" s="1"/>
  <c r="P3555" i="7"/>
  <c r="R3555" i="7" s="1"/>
  <c r="S3554" i="7"/>
  <c r="P3554" i="7"/>
  <c r="R3554" i="7" s="1"/>
  <c r="S3553" i="7"/>
  <c r="P3553" i="7"/>
  <c r="S3552" i="7"/>
  <c r="U3552" i="7" s="1"/>
  <c r="P3552" i="7"/>
  <c r="R3552" i="7" s="1"/>
  <c r="S3551" i="7"/>
  <c r="T3551" i="7" s="1"/>
  <c r="P3551" i="7"/>
  <c r="U3550" i="7"/>
  <c r="S3550" i="7"/>
  <c r="T3550" i="7" s="1"/>
  <c r="P3550" i="7"/>
  <c r="R3550" i="7" s="1"/>
  <c r="S3549" i="7"/>
  <c r="P3549" i="7"/>
  <c r="S3548" i="7"/>
  <c r="U3548" i="7" s="1"/>
  <c r="P3548" i="7"/>
  <c r="S3547" i="7"/>
  <c r="T3547" i="7" s="1"/>
  <c r="R3547" i="7"/>
  <c r="P3547" i="7"/>
  <c r="Q3547" i="7" s="1"/>
  <c r="S3546" i="7"/>
  <c r="T3546" i="7" s="1"/>
  <c r="P3546" i="7"/>
  <c r="R3546" i="7" s="1"/>
  <c r="S3545" i="7"/>
  <c r="P3545" i="7"/>
  <c r="S3544" i="7"/>
  <c r="U3544" i="7" s="1"/>
  <c r="P3544" i="7"/>
  <c r="S3543" i="7"/>
  <c r="T3543" i="7" s="1"/>
  <c r="P3543" i="7"/>
  <c r="R3543" i="7" s="1"/>
  <c r="S3542" i="7"/>
  <c r="T3542" i="7" s="1"/>
  <c r="P3542" i="7"/>
  <c r="R3542" i="7" s="1"/>
  <c r="S3541" i="7"/>
  <c r="P3541" i="7"/>
  <c r="S3540" i="7"/>
  <c r="U3540" i="7" s="1"/>
  <c r="P3540" i="7"/>
  <c r="S3539" i="7"/>
  <c r="T3539" i="7" s="1"/>
  <c r="P3539" i="7"/>
  <c r="S3538" i="7"/>
  <c r="P3538" i="7"/>
  <c r="R3538" i="7" s="1"/>
  <c r="S3537" i="7"/>
  <c r="T3537" i="7" s="1"/>
  <c r="P3537" i="7"/>
  <c r="S3536" i="7"/>
  <c r="U3536" i="7" s="1"/>
  <c r="Q3536" i="7"/>
  <c r="P3536" i="7"/>
  <c r="R3536" i="7" s="1"/>
  <c r="S3535" i="7"/>
  <c r="T3535" i="7" s="1"/>
  <c r="P3535" i="7"/>
  <c r="R3535" i="7" s="1"/>
  <c r="U3534" i="7"/>
  <c r="S3534" i="7"/>
  <c r="T3534" i="7" s="1"/>
  <c r="P3534" i="7"/>
  <c r="R3534" i="7" s="1"/>
  <c r="S3533" i="7"/>
  <c r="P3533" i="7"/>
  <c r="S3532" i="7"/>
  <c r="U3532" i="7" s="1"/>
  <c r="P3532" i="7"/>
  <c r="S3531" i="7"/>
  <c r="T3531" i="7" s="1"/>
  <c r="R3531" i="7"/>
  <c r="P3531" i="7"/>
  <c r="Q3531" i="7" s="1"/>
  <c r="S3530" i="7"/>
  <c r="P3530" i="7"/>
  <c r="R3530" i="7" s="1"/>
  <c r="U3529" i="7"/>
  <c r="S3529" i="7"/>
  <c r="T3529" i="7" s="1"/>
  <c r="P3529" i="7"/>
  <c r="S3528" i="7"/>
  <c r="U3528" i="7" s="1"/>
  <c r="Q3528" i="7"/>
  <c r="P3528" i="7"/>
  <c r="R3528" i="7" s="1"/>
  <c r="S3527" i="7"/>
  <c r="T3527" i="7" s="1"/>
  <c r="P3527" i="7"/>
  <c r="R3527" i="7" s="1"/>
  <c r="S3526" i="7"/>
  <c r="P3526" i="7"/>
  <c r="R3526" i="7" s="1"/>
  <c r="U3525" i="7"/>
  <c r="S3525" i="7"/>
  <c r="T3525" i="7" s="1"/>
  <c r="P3525" i="7"/>
  <c r="S3524" i="7"/>
  <c r="U3524" i="7" s="1"/>
  <c r="P3524" i="7"/>
  <c r="R3524" i="7" s="1"/>
  <c r="S3523" i="7"/>
  <c r="T3523" i="7" s="1"/>
  <c r="R3523" i="7"/>
  <c r="Q3523" i="7"/>
  <c r="P3523" i="7"/>
  <c r="S3522" i="7"/>
  <c r="P3522" i="7"/>
  <c r="R3522" i="7" s="1"/>
  <c r="S3521" i="7"/>
  <c r="P3521" i="7"/>
  <c r="S3520" i="7"/>
  <c r="U3520" i="7" s="1"/>
  <c r="P3520" i="7"/>
  <c r="S3519" i="7"/>
  <c r="T3519" i="7" s="1"/>
  <c r="P3519" i="7"/>
  <c r="U3518" i="7"/>
  <c r="S3518" i="7"/>
  <c r="T3518" i="7" s="1"/>
  <c r="P3518" i="7"/>
  <c r="R3518" i="7" s="1"/>
  <c r="S3517" i="7"/>
  <c r="P3517" i="7"/>
  <c r="S3516" i="7"/>
  <c r="U3516" i="7" s="1"/>
  <c r="P3516" i="7"/>
  <c r="S3515" i="7"/>
  <c r="T3515" i="7" s="1"/>
  <c r="P3515" i="7"/>
  <c r="S3514" i="7"/>
  <c r="P3514" i="7"/>
  <c r="R3514" i="7" s="1"/>
  <c r="U3513" i="7"/>
  <c r="S3513" i="7"/>
  <c r="T3513" i="7" s="1"/>
  <c r="P3513" i="7"/>
  <c r="S3512" i="7"/>
  <c r="U3512" i="7" s="1"/>
  <c r="P3512" i="7"/>
  <c r="R3512" i="7" s="1"/>
  <c r="S3511" i="7"/>
  <c r="T3511" i="7" s="1"/>
  <c r="R3511" i="7"/>
  <c r="Q3511" i="7"/>
  <c r="P3511" i="7"/>
  <c r="S3510" i="7"/>
  <c r="U3510" i="7" s="1"/>
  <c r="P3510" i="7"/>
  <c r="R3510" i="7" s="1"/>
  <c r="S3509" i="7"/>
  <c r="P3509" i="7"/>
  <c r="S3508" i="7"/>
  <c r="U3508" i="7" s="1"/>
  <c r="P3508" i="7"/>
  <c r="S3507" i="7"/>
  <c r="T3507" i="7" s="1"/>
  <c r="P3507" i="7"/>
  <c r="U3506" i="7"/>
  <c r="S3506" i="7"/>
  <c r="T3506" i="7" s="1"/>
  <c r="P3506" i="7"/>
  <c r="R3506" i="7" s="1"/>
  <c r="S3505" i="7"/>
  <c r="T3505" i="7" s="1"/>
  <c r="P3505" i="7"/>
  <c r="S3504" i="7"/>
  <c r="U3504" i="7" s="1"/>
  <c r="Q3504" i="7"/>
  <c r="P3504" i="7"/>
  <c r="R3504" i="7" s="1"/>
  <c r="S3503" i="7"/>
  <c r="T3503" i="7" s="1"/>
  <c r="P3503" i="7"/>
  <c r="R3503" i="7" s="1"/>
  <c r="T3502" i="7"/>
  <c r="S3502" i="7"/>
  <c r="U3502" i="7" s="1"/>
  <c r="P3502" i="7"/>
  <c r="R3502" i="7" s="1"/>
  <c r="S3501" i="7"/>
  <c r="P3501" i="7"/>
  <c r="S3500" i="7"/>
  <c r="U3500" i="7" s="1"/>
  <c r="P3500" i="7"/>
  <c r="S3499" i="7"/>
  <c r="T3499" i="7" s="1"/>
  <c r="P3499" i="7"/>
  <c r="T3498" i="7"/>
  <c r="S3498" i="7"/>
  <c r="U3498" i="7" s="1"/>
  <c r="P3498" i="7"/>
  <c r="R3498" i="7" s="1"/>
  <c r="U3497" i="7"/>
  <c r="S3497" i="7"/>
  <c r="T3497" i="7" s="1"/>
  <c r="P3497" i="7"/>
  <c r="S3496" i="7"/>
  <c r="U3496" i="7" s="1"/>
  <c r="P3496" i="7"/>
  <c r="S3495" i="7"/>
  <c r="T3495" i="7" s="1"/>
  <c r="R3495" i="7"/>
  <c r="Q3495" i="7"/>
  <c r="P3495" i="7"/>
  <c r="S3494" i="7"/>
  <c r="U3494" i="7" s="1"/>
  <c r="P3494" i="7"/>
  <c r="R3494" i="7" s="1"/>
  <c r="S3493" i="7"/>
  <c r="P3493" i="7"/>
  <c r="S3492" i="7"/>
  <c r="U3492" i="7" s="1"/>
  <c r="P3492" i="7"/>
  <c r="S3491" i="7"/>
  <c r="P3491" i="7"/>
  <c r="R3491" i="7" s="1"/>
  <c r="S3490" i="7"/>
  <c r="R3490" i="7"/>
  <c r="Q3490" i="7"/>
  <c r="P3490" i="7"/>
  <c r="S3489" i="7"/>
  <c r="P3489" i="7"/>
  <c r="R3489" i="7" s="1"/>
  <c r="S3488" i="7"/>
  <c r="P3488" i="7"/>
  <c r="S3487" i="7"/>
  <c r="P3487" i="7"/>
  <c r="R3487" i="7" s="1"/>
  <c r="S3486" i="7"/>
  <c r="Q3486" i="7"/>
  <c r="P3486" i="7"/>
  <c r="R3486" i="7" s="1"/>
  <c r="S3485" i="7"/>
  <c r="P3485" i="7"/>
  <c r="R3485" i="7" s="1"/>
  <c r="S3484" i="7"/>
  <c r="P3484" i="7"/>
  <c r="S3483" i="7"/>
  <c r="P3483" i="7"/>
  <c r="R3483" i="7" s="1"/>
  <c r="S3482" i="7"/>
  <c r="R3482" i="7"/>
  <c r="Q3482" i="7"/>
  <c r="P3482" i="7"/>
  <c r="S3481" i="7"/>
  <c r="P3481" i="7"/>
  <c r="R3481" i="7" s="1"/>
  <c r="S3480" i="7"/>
  <c r="P3480" i="7"/>
  <c r="S3479" i="7"/>
  <c r="P3479" i="7"/>
  <c r="R3479" i="7" s="1"/>
  <c r="S3478" i="7"/>
  <c r="P3478" i="7"/>
  <c r="R3478" i="7" s="1"/>
  <c r="S3477" i="7"/>
  <c r="P3477" i="7"/>
  <c r="R3477" i="7" s="1"/>
  <c r="S3476" i="7"/>
  <c r="P3476" i="7"/>
  <c r="S3475" i="7"/>
  <c r="P3475" i="7"/>
  <c r="R3475" i="7" s="1"/>
  <c r="S3474" i="7"/>
  <c r="R3474" i="7"/>
  <c r="Q3474" i="7"/>
  <c r="P3474" i="7"/>
  <c r="S3473" i="7"/>
  <c r="P3473" i="7"/>
  <c r="R3473" i="7" s="1"/>
  <c r="S3472" i="7"/>
  <c r="P3472" i="7"/>
  <c r="S3471" i="7"/>
  <c r="P3471" i="7"/>
  <c r="R3471" i="7" s="1"/>
  <c r="S3470" i="7"/>
  <c r="P3470" i="7"/>
  <c r="R3470" i="7" s="1"/>
  <c r="S3469" i="7"/>
  <c r="P3469" i="7"/>
  <c r="R3469" i="7" s="1"/>
  <c r="S3468" i="7"/>
  <c r="P3468" i="7"/>
  <c r="S3467" i="7"/>
  <c r="P3467" i="7"/>
  <c r="R3467" i="7" s="1"/>
  <c r="S3466" i="7"/>
  <c r="R3466" i="7"/>
  <c r="Q3466" i="7"/>
  <c r="P3466" i="7"/>
  <c r="S3465" i="7"/>
  <c r="P3465" i="7"/>
  <c r="R3465" i="7" s="1"/>
  <c r="S3464" i="7"/>
  <c r="P3464" i="7"/>
  <c r="S3463" i="7"/>
  <c r="P3463" i="7"/>
  <c r="R3463" i="7" s="1"/>
  <c r="S3462" i="7"/>
  <c r="P3462" i="7"/>
  <c r="R3462" i="7" s="1"/>
  <c r="S3461" i="7"/>
  <c r="P3461" i="7"/>
  <c r="R3461" i="7" s="1"/>
  <c r="S3460" i="7"/>
  <c r="P3460" i="7"/>
  <c r="S3459" i="7"/>
  <c r="P3459" i="7"/>
  <c r="R3459" i="7" s="1"/>
  <c r="S3458" i="7"/>
  <c r="R3458" i="7"/>
  <c r="Q3458" i="7"/>
  <c r="P3458" i="7"/>
  <c r="S3457" i="7"/>
  <c r="P3457" i="7"/>
  <c r="R3457" i="7" s="1"/>
  <c r="S3456" i="7"/>
  <c r="P3456" i="7"/>
  <c r="S3455" i="7"/>
  <c r="P3455" i="7"/>
  <c r="R3455" i="7" s="1"/>
  <c r="S3454" i="7"/>
  <c r="P3454" i="7"/>
  <c r="R3454" i="7" s="1"/>
  <c r="S3453" i="7"/>
  <c r="P3453" i="7"/>
  <c r="R3453" i="7" s="1"/>
  <c r="S3452" i="7"/>
  <c r="P3452" i="7"/>
  <c r="S3451" i="7"/>
  <c r="P3451" i="7"/>
  <c r="R3451" i="7" s="1"/>
  <c r="S3450" i="7"/>
  <c r="R3450" i="7"/>
  <c r="Q3450" i="7"/>
  <c r="P3450" i="7"/>
  <c r="S3449" i="7"/>
  <c r="P3449" i="7"/>
  <c r="R3449" i="7" s="1"/>
  <c r="S3448" i="7"/>
  <c r="P3448" i="7"/>
  <c r="S3447" i="7"/>
  <c r="P3447" i="7"/>
  <c r="R3447" i="7" s="1"/>
  <c r="S3446" i="7"/>
  <c r="P3446" i="7"/>
  <c r="R3446" i="7" s="1"/>
  <c r="S3445" i="7"/>
  <c r="P3445" i="7"/>
  <c r="R3445" i="7" s="1"/>
  <c r="S3444" i="7"/>
  <c r="P3444" i="7"/>
  <c r="S3443" i="7"/>
  <c r="P3443" i="7"/>
  <c r="R3443" i="7" s="1"/>
  <c r="S3442" i="7"/>
  <c r="R3442" i="7"/>
  <c r="Q3442" i="7"/>
  <c r="P3442" i="7"/>
  <c r="S3441" i="7"/>
  <c r="P3441" i="7"/>
  <c r="R3441" i="7" s="1"/>
  <c r="S3440" i="7"/>
  <c r="P3440" i="7"/>
  <c r="S3439" i="7"/>
  <c r="P3439" i="7"/>
  <c r="R3439" i="7" s="1"/>
  <c r="S3438" i="7"/>
  <c r="P3438" i="7"/>
  <c r="R3438" i="7" s="1"/>
  <c r="S3437" i="7"/>
  <c r="P3437" i="7"/>
  <c r="R3437" i="7" s="1"/>
  <c r="S3436" i="7"/>
  <c r="P3436" i="7"/>
  <c r="S3435" i="7"/>
  <c r="P3435" i="7"/>
  <c r="R3435" i="7" s="1"/>
  <c r="S3434" i="7"/>
  <c r="R3434" i="7"/>
  <c r="Q3434" i="7"/>
  <c r="P3434" i="7"/>
  <c r="S3433" i="7"/>
  <c r="P3433" i="7"/>
  <c r="R3433" i="7" s="1"/>
  <c r="S3432" i="7"/>
  <c r="P3432" i="7"/>
  <c r="S3431" i="7"/>
  <c r="P3431" i="7"/>
  <c r="R3431" i="7" s="1"/>
  <c r="S3430" i="7"/>
  <c r="P3430" i="7"/>
  <c r="R3430" i="7" s="1"/>
  <c r="S3429" i="7"/>
  <c r="P3429" i="7"/>
  <c r="R3429" i="7" s="1"/>
  <c r="S3428" i="7"/>
  <c r="P3428" i="7"/>
  <c r="S3427" i="7"/>
  <c r="P3427" i="7"/>
  <c r="R3427" i="7" s="1"/>
  <c r="S3426" i="7"/>
  <c r="R3426" i="7"/>
  <c r="Q3426" i="7"/>
  <c r="P3426" i="7"/>
  <c r="S3425" i="7"/>
  <c r="P3425" i="7"/>
  <c r="R3425" i="7" s="1"/>
  <c r="S3424" i="7"/>
  <c r="P3424" i="7"/>
  <c r="S3423" i="7"/>
  <c r="P3423" i="7"/>
  <c r="R3423" i="7" s="1"/>
  <c r="S3422" i="7"/>
  <c r="P3422" i="7"/>
  <c r="R3422" i="7" s="1"/>
  <c r="S3421" i="7"/>
  <c r="P3421" i="7"/>
  <c r="R3421" i="7" s="1"/>
  <c r="S3420" i="7"/>
  <c r="P3420" i="7"/>
  <c r="S3419" i="7"/>
  <c r="P3419" i="7"/>
  <c r="R3419" i="7" s="1"/>
  <c r="S3418" i="7"/>
  <c r="R3418" i="7"/>
  <c r="Q3418" i="7"/>
  <c r="P3418" i="7"/>
  <c r="S3417" i="7"/>
  <c r="P3417" i="7"/>
  <c r="R3417" i="7" s="1"/>
  <c r="S3416" i="7"/>
  <c r="P3416" i="7"/>
  <c r="S3415" i="7"/>
  <c r="P3415" i="7"/>
  <c r="R3415" i="7" s="1"/>
  <c r="S3414" i="7"/>
  <c r="P3414" i="7"/>
  <c r="R3414" i="7" s="1"/>
  <c r="S3413" i="7"/>
  <c r="P3413" i="7"/>
  <c r="R3413" i="7" s="1"/>
  <c r="S3412" i="7"/>
  <c r="P3412" i="7"/>
  <c r="S3411" i="7"/>
  <c r="P3411" i="7"/>
  <c r="R3411" i="7" s="1"/>
  <c r="S3410" i="7"/>
  <c r="R3410" i="7"/>
  <c r="Q3410" i="7"/>
  <c r="P3410" i="7"/>
  <c r="S3409" i="7"/>
  <c r="P3409" i="7"/>
  <c r="R3409" i="7" s="1"/>
  <c r="S3408" i="7"/>
  <c r="P3408" i="7"/>
  <c r="S3407" i="7"/>
  <c r="P3407" i="7"/>
  <c r="R3407" i="7" s="1"/>
  <c r="S3406" i="7"/>
  <c r="P3406" i="7"/>
  <c r="R3406" i="7" s="1"/>
  <c r="S3405" i="7"/>
  <c r="P3405" i="7"/>
  <c r="R3405" i="7" s="1"/>
  <c r="S3404" i="7"/>
  <c r="P3404" i="7"/>
  <c r="S3403" i="7"/>
  <c r="P3403" i="7"/>
  <c r="R3403" i="7" s="1"/>
  <c r="S3402" i="7"/>
  <c r="R3402" i="7"/>
  <c r="Q3402" i="7"/>
  <c r="P3402" i="7"/>
  <c r="S3401" i="7"/>
  <c r="P3401" i="7"/>
  <c r="R3401" i="7" s="1"/>
  <c r="S3400" i="7"/>
  <c r="P3400" i="7"/>
  <c r="S3399" i="7"/>
  <c r="P3399" i="7"/>
  <c r="R3399" i="7" s="1"/>
  <c r="S3398" i="7"/>
  <c r="P3398" i="7"/>
  <c r="R3398" i="7" s="1"/>
  <c r="S3397" i="7"/>
  <c r="P3397" i="7"/>
  <c r="R3397" i="7" s="1"/>
  <c r="S3396" i="7"/>
  <c r="P3396" i="7"/>
  <c r="S3395" i="7"/>
  <c r="P3395" i="7"/>
  <c r="R3395" i="7" s="1"/>
  <c r="S3394" i="7"/>
  <c r="R3394" i="7"/>
  <c r="Q3394" i="7"/>
  <c r="P3394" i="7"/>
  <c r="S3393" i="7"/>
  <c r="P3393" i="7"/>
  <c r="R3393" i="7" s="1"/>
  <c r="S3392" i="7"/>
  <c r="P3392" i="7"/>
  <c r="S3391" i="7"/>
  <c r="P3391" i="7"/>
  <c r="R3391" i="7" s="1"/>
  <c r="S3390" i="7"/>
  <c r="P3390" i="7"/>
  <c r="R3390" i="7" s="1"/>
  <c r="S3389" i="7"/>
  <c r="P3389" i="7"/>
  <c r="R3389" i="7" s="1"/>
  <c r="S3388" i="7"/>
  <c r="P3388" i="7"/>
  <c r="S3387" i="7"/>
  <c r="P3387" i="7"/>
  <c r="R3387" i="7" s="1"/>
  <c r="S3386" i="7"/>
  <c r="R3386" i="7"/>
  <c r="Q3386" i="7"/>
  <c r="P3386" i="7"/>
  <c r="S3385" i="7"/>
  <c r="P3385" i="7"/>
  <c r="R3385" i="7" s="1"/>
  <c r="S3384" i="7"/>
  <c r="P3384" i="7"/>
  <c r="S3383" i="7"/>
  <c r="P3383" i="7"/>
  <c r="R3383" i="7" s="1"/>
  <c r="S3382" i="7"/>
  <c r="P3382" i="7"/>
  <c r="R3382" i="7" s="1"/>
  <c r="S3381" i="7"/>
  <c r="P3381" i="7"/>
  <c r="R3381" i="7" s="1"/>
  <c r="S3380" i="7"/>
  <c r="P3380" i="7"/>
  <c r="S3379" i="7"/>
  <c r="P3379" i="7"/>
  <c r="R3379" i="7" s="1"/>
  <c r="S3378" i="7"/>
  <c r="R3378" i="7"/>
  <c r="Q3378" i="7"/>
  <c r="P3378" i="7"/>
  <c r="S3377" i="7"/>
  <c r="P3377" i="7"/>
  <c r="R3377" i="7" s="1"/>
  <c r="S3376" i="7"/>
  <c r="P3376" i="7"/>
  <c r="S3375" i="7"/>
  <c r="P3375" i="7"/>
  <c r="R3375" i="7" s="1"/>
  <c r="S3374" i="7"/>
  <c r="P3374" i="7"/>
  <c r="R3374" i="7" s="1"/>
  <c r="S3373" i="7"/>
  <c r="P3373" i="7"/>
  <c r="R3373" i="7" s="1"/>
  <c r="S3372" i="7"/>
  <c r="P3372" i="7"/>
  <c r="S3371" i="7"/>
  <c r="P3371" i="7"/>
  <c r="R3371" i="7" s="1"/>
  <c r="S3370" i="7"/>
  <c r="R3370" i="7"/>
  <c r="Q3370" i="7"/>
  <c r="P3370" i="7"/>
  <c r="S3369" i="7"/>
  <c r="P3369" i="7"/>
  <c r="R3369" i="7" s="1"/>
  <c r="S3368" i="7"/>
  <c r="P3368" i="7"/>
  <c r="S3367" i="7"/>
  <c r="P3367" i="7"/>
  <c r="R3367" i="7" s="1"/>
  <c r="S3366" i="7"/>
  <c r="P3366" i="7"/>
  <c r="R3366" i="7" s="1"/>
  <c r="S3365" i="7"/>
  <c r="P3365" i="7"/>
  <c r="R3365" i="7" s="1"/>
  <c r="S3364" i="7"/>
  <c r="P3364" i="7"/>
  <c r="S3363" i="7"/>
  <c r="P3363" i="7"/>
  <c r="R3363" i="7" s="1"/>
  <c r="S3362" i="7"/>
  <c r="R3362" i="7"/>
  <c r="P3362" i="7"/>
  <c r="Q3362" i="7" s="1"/>
  <c r="S3361" i="7"/>
  <c r="P3361" i="7"/>
  <c r="R3361" i="7" s="1"/>
  <c r="S3360" i="7"/>
  <c r="P3360" i="7"/>
  <c r="S3359" i="7"/>
  <c r="P3359" i="7"/>
  <c r="R3359" i="7" s="1"/>
  <c r="S3358" i="7"/>
  <c r="P3358" i="7"/>
  <c r="R3358" i="7" s="1"/>
  <c r="S3357" i="7"/>
  <c r="P3357" i="7"/>
  <c r="R3357" i="7" s="1"/>
  <c r="S3356" i="7"/>
  <c r="P3356" i="7"/>
  <c r="S3355" i="7"/>
  <c r="P3355" i="7"/>
  <c r="R3355" i="7" s="1"/>
  <c r="S3354" i="7"/>
  <c r="R3354" i="7"/>
  <c r="P3354" i="7"/>
  <c r="Q3354" i="7" s="1"/>
  <c r="S3353" i="7"/>
  <c r="P3353" i="7"/>
  <c r="R3353" i="7" s="1"/>
  <c r="S3352" i="7"/>
  <c r="P3352" i="7"/>
  <c r="S3351" i="7"/>
  <c r="P3351" i="7"/>
  <c r="R3351" i="7" s="1"/>
  <c r="S3350" i="7"/>
  <c r="P3350" i="7"/>
  <c r="R3350" i="7" s="1"/>
  <c r="S3349" i="7"/>
  <c r="P3349" i="7"/>
  <c r="R3349" i="7" s="1"/>
  <c r="S3348" i="7"/>
  <c r="P3348" i="7"/>
  <c r="S3347" i="7"/>
  <c r="P3347" i="7"/>
  <c r="R3347" i="7" s="1"/>
  <c r="S3346" i="7"/>
  <c r="R3346" i="7"/>
  <c r="P3346" i="7"/>
  <c r="Q3346" i="7" s="1"/>
  <c r="S3345" i="7"/>
  <c r="P3345" i="7"/>
  <c r="R3345" i="7" s="1"/>
  <c r="S3344" i="7"/>
  <c r="P3344" i="7"/>
  <c r="S3343" i="7"/>
  <c r="P3343" i="7"/>
  <c r="R3343" i="7" s="1"/>
  <c r="S3342" i="7"/>
  <c r="P3342" i="7"/>
  <c r="R3342" i="7" s="1"/>
  <c r="S3341" i="7"/>
  <c r="P3341" i="7"/>
  <c r="R3341" i="7" s="1"/>
  <c r="S3340" i="7"/>
  <c r="P3340" i="7"/>
  <c r="S3339" i="7"/>
  <c r="P3339" i="7"/>
  <c r="R3339" i="7" s="1"/>
  <c r="S3338" i="7"/>
  <c r="R3338" i="7"/>
  <c r="P3338" i="7"/>
  <c r="Q3338" i="7" s="1"/>
  <c r="S3337" i="7"/>
  <c r="P3337" i="7"/>
  <c r="R3337" i="7" s="1"/>
  <c r="S3336" i="7"/>
  <c r="P3336" i="7"/>
  <c r="S3335" i="7"/>
  <c r="P3335" i="7"/>
  <c r="R3335" i="7" s="1"/>
  <c r="S3334" i="7"/>
  <c r="P3334" i="7"/>
  <c r="R3334" i="7" s="1"/>
  <c r="S3333" i="7"/>
  <c r="P3333" i="7"/>
  <c r="R3333" i="7" s="1"/>
  <c r="S3332" i="7"/>
  <c r="P3332" i="7"/>
  <c r="S3331" i="7"/>
  <c r="P3331" i="7"/>
  <c r="R3331" i="7" s="1"/>
  <c r="S3330" i="7"/>
  <c r="R3330" i="7"/>
  <c r="P3330" i="7"/>
  <c r="Q3330" i="7" s="1"/>
  <c r="S3329" i="7"/>
  <c r="P3329" i="7"/>
  <c r="R3329" i="7" s="1"/>
  <c r="S3328" i="7"/>
  <c r="P3328" i="7"/>
  <c r="S3327" i="7"/>
  <c r="P3327" i="7"/>
  <c r="R3327" i="7" s="1"/>
  <c r="S3326" i="7"/>
  <c r="P3326" i="7"/>
  <c r="R3326" i="7" s="1"/>
  <c r="S3325" i="7"/>
  <c r="P3325" i="7"/>
  <c r="R3325" i="7" s="1"/>
  <c r="S3324" i="7"/>
  <c r="P3324" i="7"/>
  <c r="S3323" i="7"/>
  <c r="P3323" i="7"/>
  <c r="R3323" i="7" s="1"/>
  <c r="S3322" i="7"/>
  <c r="R3322" i="7"/>
  <c r="P3322" i="7"/>
  <c r="Q3322" i="7" s="1"/>
  <c r="S3321" i="7"/>
  <c r="P3321" i="7"/>
  <c r="R3321" i="7" s="1"/>
  <c r="S3320" i="7"/>
  <c r="P3320" i="7"/>
  <c r="S3319" i="7"/>
  <c r="P3319" i="7"/>
  <c r="R3319" i="7" s="1"/>
  <c r="S3318" i="7"/>
  <c r="P3318" i="7"/>
  <c r="R3318" i="7" s="1"/>
  <c r="S3317" i="7"/>
  <c r="P3317" i="7"/>
  <c r="R3317" i="7" s="1"/>
  <c r="S3316" i="7"/>
  <c r="P3316" i="7"/>
  <c r="S3315" i="7"/>
  <c r="P3315" i="7"/>
  <c r="R3315" i="7" s="1"/>
  <c r="S3314" i="7"/>
  <c r="R3314" i="7"/>
  <c r="P3314" i="7"/>
  <c r="Q3314" i="7" s="1"/>
  <c r="S3313" i="7"/>
  <c r="P3313" i="7"/>
  <c r="R3313" i="7" s="1"/>
  <c r="S3312" i="7"/>
  <c r="P3312" i="7"/>
  <c r="S3311" i="7"/>
  <c r="P3311" i="7"/>
  <c r="R3311" i="7" s="1"/>
  <c r="S3310" i="7"/>
  <c r="P3310" i="7"/>
  <c r="R3310" i="7" s="1"/>
  <c r="S3309" i="7"/>
  <c r="P3309" i="7"/>
  <c r="R3309" i="7" s="1"/>
  <c r="S3308" i="7"/>
  <c r="T3308" i="7" s="1"/>
  <c r="P3308" i="7"/>
  <c r="S3307" i="7"/>
  <c r="P3307" i="7"/>
  <c r="R3307" i="7" s="1"/>
  <c r="S3306" i="7"/>
  <c r="T3306" i="7" s="1"/>
  <c r="R3306" i="7"/>
  <c r="P3306" i="7"/>
  <c r="Q3306" i="7" s="1"/>
  <c r="S3305" i="7"/>
  <c r="P3305" i="7"/>
  <c r="R3305" i="7" s="1"/>
  <c r="S3304" i="7"/>
  <c r="T3304" i="7" s="1"/>
  <c r="P3304" i="7"/>
  <c r="R3304" i="7" s="1"/>
  <c r="S3303" i="7"/>
  <c r="P3303" i="7"/>
  <c r="R3303" i="7" s="1"/>
  <c r="S3302" i="7"/>
  <c r="T3302" i="7" s="1"/>
  <c r="P3302" i="7"/>
  <c r="S3301" i="7"/>
  <c r="P3301" i="7"/>
  <c r="R3301" i="7" s="1"/>
  <c r="S3300" i="7"/>
  <c r="T3300" i="7" s="1"/>
  <c r="Q3300" i="7"/>
  <c r="P3300" i="7"/>
  <c r="R3300" i="7" s="1"/>
  <c r="S3299" i="7"/>
  <c r="P3299" i="7"/>
  <c r="R3299" i="7" s="1"/>
  <c r="S3298" i="7"/>
  <c r="T3298" i="7" s="1"/>
  <c r="P3298" i="7"/>
  <c r="S3297" i="7"/>
  <c r="P3297" i="7"/>
  <c r="R3297" i="7" s="1"/>
  <c r="S3296" i="7"/>
  <c r="Q3296" i="7"/>
  <c r="P3296" i="7"/>
  <c r="R3296" i="7" s="1"/>
  <c r="S3295" i="7"/>
  <c r="P3295" i="7"/>
  <c r="R3295" i="7" s="1"/>
  <c r="U3294" i="7"/>
  <c r="S3294" i="7"/>
  <c r="T3294" i="7" s="1"/>
  <c r="R3294" i="7"/>
  <c r="P3294" i="7"/>
  <c r="Q3294" i="7" s="1"/>
  <c r="S3293" i="7"/>
  <c r="P3293" i="7"/>
  <c r="R3293" i="7" s="1"/>
  <c r="S3292" i="7"/>
  <c r="U3292" i="7" s="1"/>
  <c r="P3292" i="7"/>
  <c r="R3292" i="7" s="1"/>
  <c r="S3291" i="7"/>
  <c r="P3291" i="7"/>
  <c r="R3291" i="7" s="1"/>
  <c r="T3290" i="7"/>
  <c r="S3290" i="7"/>
  <c r="U3290" i="7" s="1"/>
  <c r="P3290" i="7"/>
  <c r="R3290" i="7" s="1"/>
  <c r="S3289" i="7"/>
  <c r="P3289" i="7"/>
  <c r="R3289" i="7" s="1"/>
  <c r="S3288" i="7"/>
  <c r="P3288" i="7"/>
  <c r="R3288" i="7" s="1"/>
  <c r="S3287" i="7"/>
  <c r="P3287" i="7"/>
  <c r="R3287" i="7" s="1"/>
  <c r="S3286" i="7"/>
  <c r="P3286" i="7"/>
  <c r="R3286" i="7" s="1"/>
  <c r="S3285" i="7"/>
  <c r="P3285" i="7"/>
  <c r="R3285" i="7" s="1"/>
  <c r="S3284" i="7"/>
  <c r="U3284" i="7" s="1"/>
  <c r="P3284" i="7"/>
  <c r="R3284" i="7" s="1"/>
  <c r="S3283" i="7"/>
  <c r="P3283" i="7"/>
  <c r="R3283" i="7" s="1"/>
  <c r="T3282" i="7"/>
  <c r="S3282" i="7"/>
  <c r="U3282" i="7" s="1"/>
  <c r="P3282" i="7"/>
  <c r="R3282" i="7" s="1"/>
  <c r="S3281" i="7"/>
  <c r="P3281" i="7"/>
  <c r="R3281" i="7" s="1"/>
  <c r="S3280" i="7"/>
  <c r="P3280" i="7"/>
  <c r="R3280" i="7" s="1"/>
  <c r="S3279" i="7"/>
  <c r="P3279" i="7"/>
  <c r="R3279" i="7" s="1"/>
  <c r="S3278" i="7"/>
  <c r="U3278" i="7" s="1"/>
  <c r="P3278" i="7"/>
  <c r="R3278" i="7" s="1"/>
  <c r="S3277" i="7"/>
  <c r="P3277" i="7"/>
  <c r="R3277" i="7" s="1"/>
  <c r="S3276" i="7"/>
  <c r="U3276" i="7" s="1"/>
  <c r="P3276" i="7"/>
  <c r="R3276" i="7" s="1"/>
  <c r="S3275" i="7"/>
  <c r="P3275" i="7"/>
  <c r="R3275" i="7" s="1"/>
  <c r="T3274" i="7"/>
  <c r="S3274" i="7"/>
  <c r="U3274" i="7" s="1"/>
  <c r="P3274" i="7"/>
  <c r="R3274" i="7" s="1"/>
  <c r="S3273" i="7"/>
  <c r="P3273" i="7"/>
  <c r="R3273" i="7" s="1"/>
  <c r="S3272" i="7"/>
  <c r="P3272" i="7"/>
  <c r="R3272" i="7" s="1"/>
  <c r="S3271" i="7"/>
  <c r="P3271" i="7"/>
  <c r="R3271" i="7" s="1"/>
  <c r="S3270" i="7"/>
  <c r="U3270" i="7" s="1"/>
  <c r="P3270" i="7"/>
  <c r="R3270" i="7" s="1"/>
  <c r="S3269" i="7"/>
  <c r="P3269" i="7"/>
  <c r="R3269" i="7" s="1"/>
  <c r="S3268" i="7"/>
  <c r="U3268" i="7" s="1"/>
  <c r="P3268" i="7"/>
  <c r="R3268" i="7" s="1"/>
  <c r="S3267" i="7"/>
  <c r="P3267" i="7"/>
  <c r="R3267" i="7" s="1"/>
  <c r="T3266" i="7"/>
  <c r="S3266" i="7"/>
  <c r="U3266" i="7" s="1"/>
  <c r="P3266" i="7"/>
  <c r="R3266" i="7" s="1"/>
  <c r="S3265" i="7"/>
  <c r="P3265" i="7"/>
  <c r="R3265" i="7" s="1"/>
  <c r="S3264" i="7"/>
  <c r="P3264" i="7"/>
  <c r="R3264" i="7" s="1"/>
  <c r="S3263" i="7"/>
  <c r="P3263" i="7"/>
  <c r="R3263" i="7" s="1"/>
  <c r="S3262" i="7"/>
  <c r="U3262" i="7" s="1"/>
  <c r="P3262" i="7"/>
  <c r="R3262" i="7" s="1"/>
  <c r="S3261" i="7"/>
  <c r="P3261" i="7"/>
  <c r="R3261" i="7" s="1"/>
  <c r="T3260" i="7"/>
  <c r="S3260" i="7"/>
  <c r="U3260" i="7" s="1"/>
  <c r="P3260" i="7"/>
  <c r="R3260" i="7" s="1"/>
  <c r="S3259" i="7"/>
  <c r="P3259" i="7"/>
  <c r="R3259" i="7" s="1"/>
  <c r="S3258" i="7"/>
  <c r="U3258" i="7" s="1"/>
  <c r="P3258" i="7"/>
  <c r="R3258" i="7" s="1"/>
  <c r="S3257" i="7"/>
  <c r="P3257" i="7"/>
  <c r="R3257" i="7" s="1"/>
  <c r="S3256" i="7"/>
  <c r="P3256" i="7"/>
  <c r="R3256" i="7" s="1"/>
  <c r="S3255" i="7"/>
  <c r="P3255" i="7"/>
  <c r="R3255" i="7" s="1"/>
  <c r="S3254" i="7"/>
  <c r="P3254" i="7"/>
  <c r="R3254" i="7" s="1"/>
  <c r="S3253" i="7"/>
  <c r="P3253" i="7"/>
  <c r="R3253" i="7" s="1"/>
  <c r="T3252" i="7"/>
  <c r="S3252" i="7"/>
  <c r="U3252" i="7" s="1"/>
  <c r="P3252" i="7"/>
  <c r="R3252" i="7" s="1"/>
  <c r="S3251" i="7"/>
  <c r="P3251" i="7"/>
  <c r="R3251" i="7" s="1"/>
  <c r="S3250" i="7"/>
  <c r="U3250" i="7" s="1"/>
  <c r="P3250" i="7"/>
  <c r="R3250" i="7" s="1"/>
  <c r="S3249" i="7"/>
  <c r="P3249" i="7"/>
  <c r="R3249" i="7" s="1"/>
  <c r="S3248" i="7"/>
  <c r="P3248" i="7"/>
  <c r="R3248" i="7" s="1"/>
  <c r="S3247" i="7"/>
  <c r="P3247" i="7"/>
  <c r="R3247" i="7" s="1"/>
  <c r="S3246" i="7"/>
  <c r="U3246" i="7" s="1"/>
  <c r="P3246" i="7"/>
  <c r="S3245" i="7"/>
  <c r="P3245" i="7"/>
  <c r="R3245" i="7" s="1"/>
  <c r="T3244" i="7"/>
  <c r="S3244" i="7"/>
  <c r="U3244" i="7" s="1"/>
  <c r="P3244" i="7"/>
  <c r="S3243" i="7"/>
  <c r="P3243" i="7"/>
  <c r="R3243" i="7" s="1"/>
  <c r="S3242" i="7"/>
  <c r="U3242" i="7" s="1"/>
  <c r="P3242" i="7"/>
  <c r="S3241" i="7"/>
  <c r="P3241" i="7"/>
  <c r="R3241" i="7" s="1"/>
  <c r="S3240" i="7"/>
  <c r="P3240" i="7"/>
  <c r="S3239" i="7"/>
  <c r="P3239" i="7"/>
  <c r="R3239" i="7" s="1"/>
  <c r="S3238" i="7"/>
  <c r="U3238" i="7" s="1"/>
  <c r="P3238" i="7"/>
  <c r="S3237" i="7"/>
  <c r="P3237" i="7"/>
  <c r="R3237" i="7" s="1"/>
  <c r="T3236" i="7"/>
  <c r="S3236" i="7"/>
  <c r="U3236" i="7" s="1"/>
  <c r="P3236" i="7"/>
  <c r="S3235" i="7"/>
  <c r="P3235" i="7"/>
  <c r="R3235" i="7" s="1"/>
  <c r="S3234" i="7"/>
  <c r="U3234" i="7" s="1"/>
  <c r="P3234" i="7"/>
  <c r="S3233" i="7"/>
  <c r="P3233" i="7"/>
  <c r="R3233" i="7" s="1"/>
  <c r="S3232" i="7"/>
  <c r="P3232" i="7"/>
  <c r="S3231" i="7"/>
  <c r="P3231" i="7"/>
  <c r="R3231" i="7" s="1"/>
  <c r="T3230" i="7"/>
  <c r="S3230" i="7"/>
  <c r="U3230" i="7" s="1"/>
  <c r="P3230" i="7"/>
  <c r="S3229" i="7"/>
  <c r="P3229" i="7"/>
  <c r="R3229" i="7" s="1"/>
  <c r="S3228" i="7"/>
  <c r="U3228" i="7" s="1"/>
  <c r="P3228" i="7"/>
  <c r="S3227" i="7"/>
  <c r="P3227" i="7"/>
  <c r="R3227" i="7" s="1"/>
  <c r="T3226" i="7"/>
  <c r="S3226" i="7"/>
  <c r="U3226" i="7" s="1"/>
  <c r="P3226" i="7"/>
  <c r="S3225" i="7"/>
  <c r="P3225" i="7"/>
  <c r="R3225" i="7" s="1"/>
  <c r="S3224" i="7"/>
  <c r="P3224" i="7"/>
  <c r="S3223" i="7"/>
  <c r="P3223" i="7"/>
  <c r="R3223" i="7" s="1"/>
  <c r="S3222" i="7"/>
  <c r="P3222" i="7"/>
  <c r="S3221" i="7"/>
  <c r="P3221" i="7"/>
  <c r="R3221" i="7" s="1"/>
  <c r="S3220" i="7"/>
  <c r="U3220" i="7" s="1"/>
  <c r="P3220" i="7"/>
  <c r="S3219" i="7"/>
  <c r="P3219" i="7"/>
  <c r="R3219" i="7" s="1"/>
  <c r="T3218" i="7"/>
  <c r="S3218" i="7"/>
  <c r="U3218" i="7" s="1"/>
  <c r="P3218" i="7"/>
  <c r="S3217" i="7"/>
  <c r="P3217" i="7"/>
  <c r="R3217" i="7" s="1"/>
  <c r="S3216" i="7"/>
  <c r="P3216" i="7"/>
  <c r="S3215" i="7"/>
  <c r="P3215" i="7"/>
  <c r="R3215" i="7" s="1"/>
  <c r="S3214" i="7"/>
  <c r="U3214" i="7" s="1"/>
  <c r="P3214" i="7"/>
  <c r="S3213" i="7"/>
  <c r="P3213" i="7"/>
  <c r="R3213" i="7" s="1"/>
  <c r="S3212" i="7"/>
  <c r="U3212" i="7" s="1"/>
  <c r="P3212" i="7"/>
  <c r="S3211" i="7"/>
  <c r="P3211" i="7"/>
  <c r="R3211" i="7" s="1"/>
  <c r="T3210" i="7"/>
  <c r="S3210" i="7"/>
  <c r="U3210" i="7" s="1"/>
  <c r="P3210" i="7"/>
  <c r="S3209" i="7"/>
  <c r="P3209" i="7"/>
  <c r="R3209" i="7" s="1"/>
  <c r="S3208" i="7"/>
  <c r="P3208" i="7"/>
  <c r="S3207" i="7"/>
  <c r="P3207" i="7"/>
  <c r="R3207" i="7" s="1"/>
  <c r="S3206" i="7"/>
  <c r="U3206" i="7" s="1"/>
  <c r="P3206" i="7"/>
  <c r="S3205" i="7"/>
  <c r="P3205" i="7"/>
  <c r="R3205" i="7" s="1"/>
  <c r="S3204" i="7"/>
  <c r="U3204" i="7" s="1"/>
  <c r="P3204" i="7"/>
  <c r="S3203" i="7"/>
  <c r="P3203" i="7"/>
  <c r="R3203" i="7" s="1"/>
  <c r="T3202" i="7"/>
  <c r="S3202" i="7"/>
  <c r="U3202" i="7" s="1"/>
  <c r="P3202" i="7"/>
  <c r="S3201" i="7"/>
  <c r="P3201" i="7"/>
  <c r="R3201" i="7" s="1"/>
  <c r="S3200" i="7"/>
  <c r="P3200" i="7"/>
  <c r="S3199" i="7"/>
  <c r="P3199" i="7"/>
  <c r="R3199" i="7" s="1"/>
  <c r="S3198" i="7"/>
  <c r="U3198" i="7" s="1"/>
  <c r="P3198" i="7"/>
  <c r="S3197" i="7"/>
  <c r="P3197" i="7"/>
  <c r="R3197" i="7" s="1"/>
  <c r="T3196" i="7"/>
  <c r="S3196" i="7"/>
  <c r="U3196" i="7" s="1"/>
  <c r="P3196" i="7"/>
  <c r="S3195" i="7"/>
  <c r="P3195" i="7"/>
  <c r="R3195" i="7" s="1"/>
  <c r="S3194" i="7"/>
  <c r="U3194" i="7" s="1"/>
  <c r="P3194" i="7"/>
  <c r="S3193" i="7"/>
  <c r="P3193" i="7"/>
  <c r="R3193" i="7" s="1"/>
  <c r="S3192" i="7"/>
  <c r="P3192" i="7"/>
  <c r="S3191" i="7"/>
  <c r="P3191" i="7"/>
  <c r="R3191" i="7" s="1"/>
  <c r="S3190" i="7"/>
  <c r="P3190" i="7"/>
  <c r="S3189" i="7"/>
  <c r="P3189" i="7"/>
  <c r="R3189" i="7" s="1"/>
  <c r="T3188" i="7"/>
  <c r="S3188" i="7"/>
  <c r="U3188" i="7" s="1"/>
  <c r="P3188" i="7"/>
  <c r="S3187" i="7"/>
  <c r="P3187" i="7"/>
  <c r="R3187" i="7" s="1"/>
  <c r="S3186" i="7"/>
  <c r="U3186" i="7" s="1"/>
  <c r="P3186" i="7"/>
  <c r="S3185" i="7"/>
  <c r="P3185" i="7"/>
  <c r="R3185" i="7" s="1"/>
  <c r="S3184" i="7"/>
  <c r="P3184" i="7"/>
  <c r="S3183" i="7"/>
  <c r="P3183" i="7"/>
  <c r="R3183" i="7" s="1"/>
  <c r="S3182" i="7"/>
  <c r="U3182" i="7" s="1"/>
  <c r="P3182" i="7"/>
  <c r="S3181" i="7"/>
  <c r="P3181" i="7"/>
  <c r="R3181" i="7" s="1"/>
  <c r="T3180" i="7"/>
  <c r="S3180" i="7"/>
  <c r="U3180" i="7" s="1"/>
  <c r="P3180" i="7"/>
  <c r="S3179" i="7"/>
  <c r="P3179" i="7"/>
  <c r="R3179" i="7" s="1"/>
  <c r="S3178" i="7"/>
  <c r="U3178" i="7" s="1"/>
  <c r="P3178" i="7"/>
  <c r="S3177" i="7"/>
  <c r="P3177" i="7"/>
  <c r="R3177" i="7" s="1"/>
  <c r="S3176" i="7"/>
  <c r="P3176" i="7"/>
  <c r="S3175" i="7"/>
  <c r="P3175" i="7"/>
  <c r="R3175" i="7" s="1"/>
  <c r="S3174" i="7"/>
  <c r="U3174" i="7" s="1"/>
  <c r="P3174" i="7"/>
  <c r="S3173" i="7"/>
  <c r="P3173" i="7"/>
  <c r="R3173" i="7" s="1"/>
  <c r="T3172" i="7"/>
  <c r="S3172" i="7"/>
  <c r="U3172" i="7" s="1"/>
  <c r="P3172" i="7"/>
  <c r="S3171" i="7"/>
  <c r="P3171" i="7"/>
  <c r="R3171" i="7" s="1"/>
  <c r="S3170" i="7"/>
  <c r="U3170" i="7" s="1"/>
  <c r="P3170" i="7"/>
  <c r="S3169" i="7"/>
  <c r="P3169" i="7"/>
  <c r="R3169" i="7" s="1"/>
  <c r="S3168" i="7"/>
  <c r="P3168" i="7"/>
  <c r="S3167" i="7"/>
  <c r="P3167" i="7"/>
  <c r="R3167" i="7" s="1"/>
  <c r="T3166" i="7"/>
  <c r="S3166" i="7"/>
  <c r="U3166" i="7" s="1"/>
  <c r="P3166" i="7"/>
  <c r="S3165" i="7"/>
  <c r="P3165" i="7"/>
  <c r="R3165" i="7" s="1"/>
  <c r="S3164" i="7"/>
  <c r="U3164" i="7" s="1"/>
  <c r="P3164" i="7"/>
  <c r="S3163" i="7"/>
  <c r="P3163" i="7"/>
  <c r="R3163" i="7" s="1"/>
  <c r="T3162" i="7"/>
  <c r="S3162" i="7"/>
  <c r="U3162" i="7" s="1"/>
  <c r="P3162" i="7"/>
  <c r="S3161" i="7"/>
  <c r="P3161" i="7"/>
  <c r="R3161" i="7" s="1"/>
  <c r="S3160" i="7"/>
  <c r="P3160" i="7"/>
  <c r="S3159" i="7"/>
  <c r="P3159" i="7"/>
  <c r="S3158" i="7"/>
  <c r="P3158" i="7"/>
  <c r="S3157" i="7"/>
  <c r="P3157" i="7"/>
  <c r="S3156" i="7"/>
  <c r="Q3156" i="7"/>
  <c r="P3156" i="7"/>
  <c r="R3156" i="7" s="1"/>
  <c r="S3155" i="7"/>
  <c r="P3155" i="7"/>
  <c r="S3154" i="7"/>
  <c r="Q3154" i="7"/>
  <c r="P3154" i="7"/>
  <c r="R3154" i="7" s="1"/>
  <c r="S3153" i="7"/>
  <c r="U3153" i="7" s="1"/>
  <c r="P3153" i="7"/>
  <c r="S3152" i="7"/>
  <c r="Q3152" i="7"/>
  <c r="P3152" i="7"/>
  <c r="R3152" i="7" s="1"/>
  <c r="S3151" i="7"/>
  <c r="P3151" i="7"/>
  <c r="S3150" i="7"/>
  <c r="Q3150" i="7"/>
  <c r="P3150" i="7"/>
  <c r="R3150" i="7" s="1"/>
  <c r="S3149" i="7"/>
  <c r="P3149" i="7"/>
  <c r="S3148" i="7"/>
  <c r="P3148" i="7"/>
  <c r="R3148" i="7" s="1"/>
  <c r="S3147" i="7"/>
  <c r="U3147" i="7" s="1"/>
  <c r="P3147" i="7"/>
  <c r="T3146" i="7"/>
  <c r="S3146" i="7"/>
  <c r="U3146" i="7" s="1"/>
  <c r="P3146" i="7"/>
  <c r="S3145" i="7"/>
  <c r="U3145" i="7" s="1"/>
  <c r="P3145" i="7"/>
  <c r="S3144" i="7"/>
  <c r="U3144" i="7" s="1"/>
  <c r="P3144" i="7"/>
  <c r="S3143" i="7"/>
  <c r="P3143" i="7"/>
  <c r="S3142" i="7"/>
  <c r="P3142" i="7"/>
  <c r="T3141" i="7"/>
  <c r="S3141" i="7"/>
  <c r="U3141" i="7" s="1"/>
  <c r="P3141" i="7"/>
  <c r="T3140" i="7"/>
  <c r="S3140" i="7"/>
  <c r="U3140" i="7" s="1"/>
  <c r="P3140" i="7"/>
  <c r="S3139" i="7"/>
  <c r="U3139" i="7" s="1"/>
  <c r="P3139" i="7"/>
  <c r="S3138" i="7"/>
  <c r="U3138" i="7" s="1"/>
  <c r="P3138" i="7"/>
  <c r="R3138" i="7" s="1"/>
  <c r="S3137" i="7"/>
  <c r="U3137" i="7" s="1"/>
  <c r="P3137" i="7"/>
  <c r="S3136" i="7"/>
  <c r="U3136" i="7" s="1"/>
  <c r="P3136" i="7"/>
  <c r="R3136" i="7" s="1"/>
  <c r="S3135" i="7"/>
  <c r="P3135" i="7"/>
  <c r="S3134" i="7"/>
  <c r="U3134" i="7" s="1"/>
  <c r="P3134" i="7"/>
  <c r="R3134" i="7" s="1"/>
  <c r="S3133" i="7"/>
  <c r="P3133" i="7"/>
  <c r="S3132" i="7"/>
  <c r="P3132" i="7"/>
  <c r="T3131" i="7"/>
  <c r="S3131" i="7"/>
  <c r="U3131" i="7" s="1"/>
  <c r="P3131" i="7"/>
  <c r="S3130" i="7"/>
  <c r="U3130" i="7" s="1"/>
  <c r="P3130" i="7"/>
  <c r="S3129" i="7"/>
  <c r="U3129" i="7" s="1"/>
  <c r="P3129" i="7"/>
  <c r="T3128" i="7"/>
  <c r="S3128" i="7"/>
  <c r="U3128" i="7" s="1"/>
  <c r="P3128" i="7"/>
  <c r="S3127" i="7"/>
  <c r="P3127" i="7"/>
  <c r="S3126" i="7"/>
  <c r="U3126" i="7" s="1"/>
  <c r="P3126" i="7"/>
  <c r="T3125" i="7"/>
  <c r="S3125" i="7"/>
  <c r="U3125" i="7" s="1"/>
  <c r="P3125" i="7"/>
  <c r="T3124" i="7"/>
  <c r="S3124" i="7"/>
  <c r="U3124" i="7" s="1"/>
  <c r="P3124" i="7"/>
  <c r="S3123" i="7"/>
  <c r="U3123" i="7" s="1"/>
  <c r="P3123" i="7"/>
  <c r="S3122" i="7"/>
  <c r="U3122" i="7" s="1"/>
  <c r="P3122" i="7"/>
  <c r="S3121" i="7"/>
  <c r="U3121" i="7" s="1"/>
  <c r="P3121" i="7"/>
  <c r="U3120" i="7"/>
  <c r="T3120" i="7"/>
  <c r="S3120" i="7"/>
  <c r="P3120" i="7"/>
  <c r="R3120" i="7" s="1"/>
  <c r="S3119" i="7"/>
  <c r="P3119" i="7"/>
  <c r="S3118" i="7"/>
  <c r="U3118" i="7" s="1"/>
  <c r="Q3118" i="7"/>
  <c r="P3118" i="7"/>
  <c r="R3118" i="7" s="1"/>
  <c r="S3117" i="7"/>
  <c r="P3117" i="7"/>
  <c r="S3116" i="7"/>
  <c r="P3116" i="7"/>
  <c r="R3116" i="7" s="1"/>
  <c r="S3115" i="7"/>
  <c r="U3115" i="7" s="1"/>
  <c r="P3115" i="7"/>
  <c r="S3114" i="7"/>
  <c r="P3114" i="7"/>
  <c r="S3113" i="7"/>
  <c r="U3113" i="7" s="1"/>
  <c r="P3113" i="7"/>
  <c r="S3112" i="7"/>
  <c r="U3112" i="7" s="1"/>
  <c r="P3112" i="7"/>
  <c r="S3111" i="7"/>
  <c r="P3111" i="7"/>
  <c r="T3110" i="7"/>
  <c r="S3110" i="7"/>
  <c r="U3110" i="7" s="1"/>
  <c r="P3110" i="7"/>
  <c r="S3109" i="7"/>
  <c r="U3109" i="7" s="1"/>
  <c r="P3109" i="7"/>
  <c r="S3108" i="7"/>
  <c r="P3108" i="7"/>
  <c r="R3108" i="7" s="1"/>
  <c r="S3107" i="7"/>
  <c r="P3107" i="7"/>
  <c r="S3106" i="7"/>
  <c r="U3106" i="7" s="1"/>
  <c r="P3106" i="7"/>
  <c r="S3105" i="7"/>
  <c r="U3105" i="7" s="1"/>
  <c r="P3105" i="7"/>
  <c r="S3104" i="7"/>
  <c r="P3104" i="7"/>
  <c r="S3103" i="7"/>
  <c r="P3103" i="7"/>
  <c r="S3102" i="7"/>
  <c r="U3102" i="7" s="1"/>
  <c r="P3102" i="7"/>
  <c r="S3101" i="7"/>
  <c r="P3101" i="7"/>
  <c r="Q3101" i="7" s="1"/>
  <c r="S3100" i="7"/>
  <c r="P3100" i="7"/>
  <c r="R3100" i="7" s="1"/>
  <c r="S3099" i="7"/>
  <c r="U3099" i="7" s="1"/>
  <c r="P3099" i="7"/>
  <c r="S3098" i="7"/>
  <c r="R3098" i="7"/>
  <c r="P3098" i="7"/>
  <c r="Q3098" i="7" s="1"/>
  <c r="S3097" i="7"/>
  <c r="P3097" i="7"/>
  <c r="Q3097" i="7" s="1"/>
  <c r="S3096" i="7"/>
  <c r="P3096" i="7"/>
  <c r="S3095" i="7"/>
  <c r="U3095" i="7" s="1"/>
  <c r="R3095" i="7"/>
  <c r="P3095" i="7"/>
  <c r="Q3095" i="7" s="1"/>
  <c r="S3094" i="7"/>
  <c r="P3094" i="7"/>
  <c r="Q3094" i="7" s="1"/>
  <c r="S3093" i="7"/>
  <c r="P3093" i="7"/>
  <c r="Q3093" i="7" s="1"/>
  <c r="S3092" i="7"/>
  <c r="Q3092" i="7"/>
  <c r="P3092" i="7"/>
  <c r="R3092" i="7" s="1"/>
  <c r="S3091" i="7"/>
  <c r="U3091" i="7" s="1"/>
  <c r="P3091" i="7"/>
  <c r="Q3091" i="7" s="1"/>
  <c r="S3090" i="7"/>
  <c r="P3090" i="7"/>
  <c r="Q3090" i="7" s="1"/>
  <c r="S3089" i="7"/>
  <c r="P3089" i="7"/>
  <c r="Q3089" i="7" s="1"/>
  <c r="S3088" i="7"/>
  <c r="P3088" i="7"/>
  <c r="R3088" i="7" s="1"/>
  <c r="S3087" i="7"/>
  <c r="U3087" i="7" s="1"/>
  <c r="P3087" i="7"/>
  <c r="Q3087" i="7" s="1"/>
  <c r="S3086" i="7"/>
  <c r="P3086" i="7"/>
  <c r="S3085" i="7"/>
  <c r="P3085" i="7"/>
  <c r="Q3085" i="7" s="1"/>
  <c r="S3084" i="7"/>
  <c r="P3084" i="7"/>
  <c r="S3083" i="7"/>
  <c r="U3083" i="7" s="1"/>
  <c r="P3083" i="7"/>
  <c r="S3082" i="7"/>
  <c r="R3082" i="7"/>
  <c r="P3082" i="7"/>
  <c r="Q3082" i="7" s="1"/>
  <c r="S3081" i="7"/>
  <c r="P3081" i="7"/>
  <c r="Q3081" i="7" s="1"/>
  <c r="S3080" i="7"/>
  <c r="P3080" i="7"/>
  <c r="S3079" i="7"/>
  <c r="U3079" i="7" s="1"/>
  <c r="R3079" i="7"/>
  <c r="P3079" i="7"/>
  <c r="Q3079" i="7" s="1"/>
  <c r="S3078" i="7"/>
  <c r="P3078" i="7"/>
  <c r="Q3078" i="7" s="1"/>
  <c r="S3077" i="7"/>
  <c r="P3077" i="7"/>
  <c r="Q3077" i="7" s="1"/>
  <c r="S3076" i="7"/>
  <c r="Q3076" i="7"/>
  <c r="P3076" i="7"/>
  <c r="R3076" i="7" s="1"/>
  <c r="S3075" i="7"/>
  <c r="U3075" i="7" s="1"/>
  <c r="P3075" i="7"/>
  <c r="Q3075" i="7" s="1"/>
  <c r="S3074" i="7"/>
  <c r="P3074" i="7"/>
  <c r="Q3074" i="7" s="1"/>
  <c r="S3073" i="7"/>
  <c r="P3073" i="7"/>
  <c r="Q3073" i="7" s="1"/>
  <c r="S3072" i="7"/>
  <c r="P3072" i="7"/>
  <c r="R3072" i="7" s="1"/>
  <c r="S3071" i="7"/>
  <c r="U3071" i="7" s="1"/>
  <c r="P3071" i="7"/>
  <c r="Q3071" i="7" s="1"/>
  <c r="S3070" i="7"/>
  <c r="P3070" i="7"/>
  <c r="S3069" i="7"/>
  <c r="P3069" i="7"/>
  <c r="Q3069" i="7" s="1"/>
  <c r="S3068" i="7"/>
  <c r="Q3068" i="7"/>
  <c r="P3068" i="7"/>
  <c r="R3068" i="7" s="1"/>
  <c r="S3067" i="7"/>
  <c r="U3067" i="7" s="1"/>
  <c r="P3067" i="7"/>
  <c r="S3066" i="7"/>
  <c r="R3066" i="7"/>
  <c r="P3066" i="7"/>
  <c r="Q3066" i="7" s="1"/>
  <c r="S3065" i="7"/>
  <c r="P3065" i="7"/>
  <c r="Q3065" i="7" s="1"/>
  <c r="S3064" i="7"/>
  <c r="P3064" i="7"/>
  <c r="S3063" i="7"/>
  <c r="U3063" i="7" s="1"/>
  <c r="R3063" i="7"/>
  <c r="P3063" i="7"/>
  <c r="Q3063" i="7" s="1"/>
  <c r="S3062" i="7"/>
  <c r="R3062" i="7"/>
  <c r="P3062" i="7"/>
  <c r="Q3062" i="7" s="1"/>
  <c r="S3061" i="7"/>
  <c r="P3061" i="7"/>
  <c r="Q3061" i="7" s="1"/>
  <c r="S3060" i="7"/>
  <c r="Q3060" i="7"/>
  <c r="P3060" i="7"/>
  <c r="R3060" i="7" s="1"/>
  <c r="S3059" i="7"/>
  <c r="U3059" i="7" s="1"/>
  <c r="R3059" i="7"/>
  <c r="P3059" i="7"/>
  <c r="Q3059" i="7" s="1"/>
  <c r="S3058" i="7"/>
  <c r="P3058" i="7"/>
  <c r="Q3058" i="7" s="1"/>
  <c r="S3057" i="7"/>
  <c r="P3057" i="7"/>
  <c r="Q3057" i="7" s="1"/>
  <c r="S3056" i="7"/>
  <c r="P3056" i="7"/>
  <c r="R3056" i="7" s="1"/>
  <c r="S3055" i="7"/>
  <c r="U3055" i="7" s="1"/>
  <c r="P3055" i="7"/>
  <c r="Q3055" i="7" s="1"/>
  <c r="S3054" i="7"/>
  <c r="P3054" i="7"/>
  <c r="S3053" i="7"/>
  <c r="P3053" i="7"/>
  <c r="Q3053" i="7" s="1"/>
  <c r="S3052" i="7"/>
  <c r="P3052" i="7"/>
  <c r="R3052" i="7" s="1"/>
  <c r="S3051" i="7"/>
  <c r="U3051" i="7" s="1"/>
  <c r="P3051" i="7"/>
  <c r="S3050" i="7"/>
  <c r="R3050" i="7"/>
  <c r="P3050" i="7"/>
  <c r="Q3050" i="7" s="1"/>
  <c r="S3049" i="7"/>
  <c r="P3049" i="7"/>
  <c r="Q3049" i="7" s="1"/>
  <c r="S3048" i="7"/>
  <c r="P3048" i="7"/>
  <c r="S3047" i="7"/>
  <c r="U3047" i="7" s="1"/>
  <c r="P3047" i="7"/>
  <c r="Q3047" i="7" s="1"/>
  <c r="S3046" i="7"/>
  <c r="P3046" i="7"/>
  <c r="S3045" i="7"/>
  <c r="P3045" i="7"/>
  <c r="Q3045" i="7" s="1"/>
  <c r="S3044" i="7"/>
  <c r="Q3044" i="7"/>
  <c r="P3044" i="7"/>
  <c r="R3044" i="7" s="1"/>
  <c r="S3043" i="7"/>
  <c r="U3043" i="7" s="1"/>
  <c r="P3043" i="7"/>
  <c r="Q3043" i="7" s="1"/>
  <c r="S3042" i="7"/>
  <c r="R3042" i="7"/>
  <c r="P3042" i="7"/>
  <c r="Q3042" i="7" s="1"/>
  <c r="S3041" i="7"/>
  <c r="P3041" i="7"/>
  <c r="Q3041" i="7" s="1"/>
  <c r="S3040" i="7"/>
  <c r="P3040" i="7"/>
  <c r="S3039" i="7"/>
  <c r="U3039" i="7" s="1"/>
  <c r="P3039" i="7"/>
  <c r="Q3039" i="7" s="1"/>
  <c r="S3038" i="7"/>
  <c r="P3038" i="7"/>
  <c r="Q3038" i="7" s="1"/>
  <c r="S3037" i="7"/>
  <c r="P3037" i="7"/>
  <c r="Q3037" i="7" s="1"/>
  <c r="S3036" i="7"/>
  <c r="P3036" i="7"/>
  <c r="R3036" i="7" s="1"/>
  <c r="S3035" i="7"/>
  <c r="U3035" i="7" s="1"/>
  <c r="P3035" i="7"/>
  <c r="Q3035" i="7" s="1"/>
  <c r="S3034" i="7"/>
  <c r="P3034" i="7"/>
  <c r="S3033" i="7"/>
  <c r="P3033" i="7"/>
  <c r="Q3033" i="7" s="1"/>
  <c r="S3032" i="7"/>
  <c r="P3032" i="7"/>
  <c r="R3032" i="7" s="1"/>
  <c r="S3031" i="7"/>
  <c r="U3031" i="7" s="1"/>
  <c r="P3031" i="7"/>
  <c r="Q3031" i="7" s="1"/>
  <c r="S3030" i="7"/>
  <c r="R3030" i="7"/>
  <c r="P3030" i="7"/>
  <c r="Q3030" i="7" s="1"/>
  <c r="S3029" i="7"/>
  <c r="P3029" i="7"/>
  <c r="Q3029" i="7" s="1"/>
  <c r="S3028" i="7"/>
  <c r="Q3028" i="7"/>
  <c r="P3028" i="7"/>
  <c r="R3028" i="7" s="1"/>
  <c r="S3027" i="7"/>
  <c r="U3027" i="7" s="1"/>
  <c r="P3027" i="7"/>
  <c r="Q3027" i="7" s="1"/>
  <c r="S3026" i="7"/>
  <c r="P3026" i="7"/>
  <c r="S3025" i="7"/>
  <c r="P3025" i="7"/>
  <c r="Q3025" i="7" s="1"/>
  <c r="S3024" i="7"/>
  <c r="Q3024" i="7"/>
  <c r="P3024" i="7"/>
  <c r="R3024" i="7" s="1"/>
  <c r="S3023" i="7"/>
  <c r="U3023" i="7" s="1"/>
  <c r="P3023" i="7"/>
  <c r="Q3023" i="7" s="1"/>
  <c r="S3022" i="7"/>
  <c r="P3022" i="7"/>
  <c r="Q3022" i="7" s="1"/>
  <c r="S3021" i="7"/>
  <c r="P3021" i="7"/>
  <c r="Q3021" i="7" s="1"/>
  <c r="S3020" i="7"/>
  <c r="Q3020" i="7"/>
  <c r="P3020" i="7"/>
  <c r="R3020" i="7" s="1"/>
  <c r="S3019" i="7"/>
  <c r="U3019" i="7" s="1"/>
  <c r="P3019" i="7"/>
  <c r="Q3019" i="7" s="1"/>
  <c r="S3018" i="7"/>
  <c r="R3018" i="7"/>
  <c r="P3018" i="7"/>
  <c r="Q3018" i="7" s="1"/>
  <c r="S3017" i="7"/>
  <c r="P3017" i="7"/>
  <c r="Q3017" i="7" s="1"/>
  <c r="S3016" i="7"/>
  <c r="P3016" i="7"/>
  <c r="R3016" i="7" s="1"/>
  <c r="S3015" i="7"/>
  <c r="U3015" i="7" s="1"/>
  <c r="P3015" i="7"/>
  <c r="Q3015" i="7" s="1"/>
  <c r="S3014" i="7"/>
  <c r="R3014" i="7"/>
  <c r="P3014" i="7"/>
  <c r="Q3014" i="7" s="1"/>
  <c r="S3013" i="7"/>
  <c r="P3013" i="7"/>
  <c r="Q3013" i="7" s="1"/>
  <c r="S3012" i="7"/>
  <c r="P3012" i="7"/>
  <c r="S3011" i="7"/>
  <c r="U3011" i="7" s="1"/>
  <c r="P3011" i="7"/>
  <c r="Q3011" i="7" s="1"/>
  <c r="S3010" i="7"/>
  <c r="P3010" i="7"/>
  <c r="S3009" i="7"/>
  <c r="P3009" i="7"/>
  <c r="Q3009" i="7" s="1"/>
  <c r="S3008" i="7"/>
  <c r="Q3008" i="7"/>
  <c r="P3008" i="7"/>
  <c r="R3008" i="7" s="1"/>
  <c r="S3007" i="7"/>
  <c r="U3007" i="7" s="1"/>
  <c r="P3007" i="7"/>
  <c r="Q3007" i="7" s="1"/>
  <c r="S3006" i="7"/>
  <c r="P3006" i="7"/>
  <c r="Q3006" i="7" s="1"/>
  <c r="S3005" i="7"/>
  <c r="P3005" i="7"/>
  <c r="Q3005" i="7" s="1"/>
  <c r="S3004" i="7"/>
  <c r="P3004" i="7"/>
  <c r="S3003" i="7"/>
  <c r="U3003" i="7" s="1"/>
  <c r="R3003" i="7"/>
  <c r="P3003" i="7"/>
  <c r="Q3003" i="7" s="1"/>
  <c r="S3002" i="7"/>
  <c r="R3002" i="7"/>
  <c r="P3002" i="7"/>
  <c r="Q3002" i="7" s="1"/>
  <c r="S3001" i="7"/>
  <c r="P3001" i="7"/>
  <c r="Q3001" i="7" s="1"/>
  <c r="S3000" i="7"/>
  <c r="Q3000" i="7"/>
  <c r="P3000" i="7"/>
  <c r="R3000" i="7" s="1"/>
  <c r="S2999" i="7"/>
  <c r="U2999" i="7" s="1"/>
  <c r="P2999" i="7"/>
  <c r="Q2999" i="7" s="1"/>
  <c r="S2998" i="7"/>
  <c r="P2998" i="7"/>
  <c r="S2997" i="7"/>
  <c r="P2997" i="7"/>
  <c r="Q2997" i="7" s="1"/>
  <c r="S2996" i="7"/>
  <c r="P2996" i="7"/>
  <c r="R2996" i="7" s="1"/>
  <c r="S2995" i="7"/>
  <c r="U2995" i="7" s="1"/>
  <c r="P2995" i="7"/>
  <c r="Q2995" i="7" s="1"/>
  <c r="S2994" i="7"/>
  <c r="P2994" i="7"/>
  <c r="Q2994" i="7" s="1"/>
  <c r="S2993" i="7"/>
  <c r="P2993" i="7"/>
  <c r="Q2993" i="7" s="1"/>
  <c r="S2992" i="7"/>
  <c r="T2992" i="7" s="1"/>
  <c r="P2992" i="7"/>
  <c r="R2992" i="7" s="1"/>
  <c r="S2991" i="7"/>
  <c r="U2991" i="7" s="1"/>
  <c r="P2991" i="7"/>
  <c r="Q2991" i="7" s="1"/>
  <c r="S2990" i="7"/>
  <c r="T2990" i="7" s="1"/>
  <c r="P2990" i="7"/>
  <c r="Q2990" i="7" s="1"/>
  <c r="S2989" i="7"/>
  <c r="P2989" i="7"/>
  <c r="Q2989" i="7" s="1"/>
  <c r="S2988" i="7"/>
  <c r="T2988" i="7" s="1"/>
  <c r="P2988" i="7"/>
  <c r="S2987" i="7"/>
  <c r="U2987" i="7" s="1"/>
  <c r="P2987" i="7"/>
  <c r="Q2987" i="7" s="1"/>
  <c r="S2986" i="7"/>
  <c r="P2986" i="7"/>
  <c r="Q2986" i="7" s="1"/>
  <c r="S2985" i="7"/>
  <c r="P2985" i="7"/>
  <c r="Q2985" i="7" s="1"/>
  <c r="S2984" i="7"/>
  <c r="T2984" i="7" s="1"/>
  <c r="P2984" i="7"/>
  <c r="R2984" i="7" s="1"/>
  <c r="S2983" i="7"/>
  <c r="U2983" i="7" s="1"/>
  <c r="P2983" i="7"/>
  <c r="S2982" i="7"/>
  <c r="T2982" i="7" s="1"/>
  <c r="R2982" i="7"/>
  <c r="P2982" i="7"/>
  <c r="Q2982" i="7" s="1"/>
  <c r="S2981" i="7"/>
  <c r="P2981" i="7"/>
  <c r="Q2981" i="7" s="1"/>
  <c r="U2980" i="7"/>
  <c r="S2980" i="7"/>
  <c r="T2980" i="7" s="1"/>
  <c r="P2980" i="7"/>
  <c r="R2980" i="7" s="1"/>
  <c r="S2979" i="7"/>
  <c r="U2979" i="7" s="1"/>
  <c r="R2979" i="7"/>
  <c r="P2979" i="7"/>
  <c r="Q2979" i="7" s="1"/>
  <c r="S2978" i="7"/>
  <c r="T2978" i="7" s="1"/>
  <c r="P2978" i="7"/>
  <c r="Q2978" i="7" s="1"/>
  <c r="S2977" i="7"/>
  <c r="P2977" i="7"/>
  <c r="Q2977" i="7" s="1"/>
  <c r="S2976" i="7"/>
  <c r="T2976" i="7" s="1"/>
  <c r="P2976" i="7"/>
  <c r="R2976" i="7" s="1"/>
  <c r="S2975" i="7"/>
  <c r="U2975" i="7" s="1"/>
  <c r="P2975" i="7"/>
  <c r="Q2975" i="7" s="1"/>
  <c r="U2974" i="7"/>
  <c r="S2974" i="7"/>
  <c r="T2974" i="7" s="1"/>
  <c r="P2974" i="7"/>
  <c r="Q2974" i="7" s="1"/>
  <c r="S2973" i="7"/>
  <c r="P2973" i="7"/>
  <c r="Q2973" i="7" s="1"/>
  <c r="S2972" i="7"/>
  <c r="T2972" i="7" s="1"/>
  <c r="P2972" i="7"/>
  <c r="R2972" i="7" s="1"/>
  <c r="S2971" i="7"/>
  <c r="U2971" i="7" s="1"/>
  <c r="P2971" i="7"/>
  <c r="U2970" i="7"/>
  <c r="S2970" i="7"/>
  <c r="T2970" i="7" s="1"/>
  <c r="P2970" i="7"/>
  <c r="Q2970" i="7" s="1"/>
  <c r="S2969" i="7"/>
  <c r="P2969" i="7"/>
  <c r="Q2969" i="7" s="1"/>
  <c r="S2968" i="7"/>
  <c r="T2968" i="7" s="1"/>
  <c r="P2968" i="7"/>
  <c r="S2967" i="7"/>
  <c r="U2967" i="7" s="1"/>
  <c r="R2967" i="7"/>
  <c r="P2967" i="7"/>
  <c r="Q2967" i="7" s="1"/>
  <c r="S2966" i="7"/>
  <c r="T2966" i="7" s="1"/>
  <c r="R2966" i="7"/>
  <c r="P2966" i="7"/>
  <c r="Q2966" i="7" s="1"/>
  <c r="S2965" i="7"/>
  <c r="P2965" i="7"/>
  <c r="Q2965" i="7" s="1"/>
  <c r="U2964" i="7"/>
  <c r="S2964" i="7"/>
  <c r="T2964" i="7" s="1"/>
  <c r="P2964" i="7"/>
  <c r="R2964" i="7" s="1"/>
  <c r="S2963" i="7"/>
  <c r="U2963" i="7" s="1"/>
  <c r="R2963" i="7"/>
  <c r="P2963" i="7"/>
  <c r="Q2963" i="7" s="1"/>
  <c r="S2962" i="7"/>
  <c r="T2962" i="7" s="1"/>
  <c r="P2962" i="7"/>
  <c r="Q2962" i="7" s="1"/>
  <c r="S2961" i="7"/>
  <c r="P2961" i="7"/>
  <c r="Q2961" i="7" s="1"/>
  <c r="S2960" i="7"/>
  <c r="T2960" i="7" s="1"/>
  <c r="P2960" i="7"/>
  <c r="R2960" i="7" s="1"/>
  <c r="S2959" i="7"/>
  <c r="U2959" i="7" s="1"/>
  <c r="P2959" i="7"/>
  <c r="Q2959" i="7" s="1"/>
  <c r="U2958" i="7"/>
  <c r="S2958" i="7"/>
  <c r="T2958" i="7" s="1"/>
  <c r="P2958" i="7"/>
  <c r="Q2958" i="7" s="1"/>
  <c r="S2957" i="7"/>
  <c r="P2957" i="7"/>
  <c r="Q2957" i="7" s="1"/>
  <c r="S2956" i="7"/>
  <c r="T2956" i="7" s="1"/>
  <c r="P2956" i="7"/>
  <c r="S2955" i="7"/>
  <c r="U2955" i="7" s="1"/>
  <c r="P2955" i="7"/>
  <c r="Q2955" i="7" s="1"/>
  <c r="S2954" i="7"/>
  <c r="P2954" i="7"/>
  <c r="Q2954" i="7" s="1"/>
  <c r="S2953" i="7"/>
  <c r="P2953" i="7"/>
  <c r="Q2953" i="7" s="1"/>
  <c r="S2952" i="7"/>
  <c r="T2952" i="7" s="1"/>
  <c r="Q2952" i="7"/>
  <c r="P2952" i="7"/>
  <c r="R2952" i="7" s="1"/>
  <c r="S2951" i="7"/>
  <c r="U2951" i="7" s="1"/>
  <c r="P2951" i="7"/>
  <c r="Q2951" i="7" s="1"/>
  <c r="S2950" i="7"/>
  <c r="T2950" i="7" s="1"/>
  <c r="P2950" i="7"/>
  <c r="S2949" i="7"/>
  <c r="P2949" i="7"/>
  <c r="Q2949" i="7" s="1"/>
  <c r="S2948" i="7"/>
  <c r="P2948" i="7"/>
  <c r="R2948" i="7" s="1"/>
  <c r="S2947" i="7"/>
  <c r="U2947" i="7" s="1"/>
  <c r="P2947" i="7"/>
  <c r="S2946" i="7"/>
  <c r="T2946" i="7" s="1"/>
  <c r="P2946" i="7"/>
  <c r="Q2946" i="7" s="1"/>
  <c r="S2945" i="7"/>
  <c r="P2945" i="7"/>
  <c r="Q2945" i="7" s="1"/>
  <c r="S2944" i="7"/>
  <c r="T2944" i="7" s="1"/>
  <c r="P2944" i="7"/>
  <c r="R2944" i="7" s="1"/>
  <c r="S2943" i="7"/>
  <c r="U2943" i="7" s="1"/>
  <c r="P2943" i="7"/>
  <c r="Q2943" i="7" s="1"/>
  <c r="S2942" i="7"/>
  <c r="P2942" i="7"/>
  <c r="Q2942" i="7" s="1"/>
  <c r="S2941" i="7"/>
  <c r="P2941" i="7"/>
  <c r="Q2941" i="7" s="1"/>
  <c r="S2940" i="7"/>
  <c r="T2940" i="7" s="1"/>
  <c r="P2940" i="7"/>
  <c r="R2940" i="7" s="1"/>
  <c r="S2939" i="7"/>
  <c r="U2939" i="7" s="1"/>
  <c r="P2939" i="7"/>
  <c r="Q2939" i="7" s="1"/>
  <c r="U2938" i="7"/>
  <c r="S2938" i="7"/>
  <c r="T2938" i="7" s="1"/>
  <c r="P2938" i="7"/>
  <c r="Q2938" i="7" s="1"/>
  <c r="S2937" i="7"/>
  <c r="P2937" i="7"/>
  <c r="Q2937" i="7" s="1"/>
  <c r="S2936" i="7"/>
  <c r="T2936" i="7" s="1"/>
  <c r="P2936" i="7"/>
  <c r="S2935" i="7"/>
  <c r="U2935" i="7" s="1"/>
  <c r="R2935" i="7"/>
  <c r="P2935" i="7"/>
  <c r="Q2935" i="7" s="1"/>
  <c r="S2934" i="7"/>
  <c r="T2934" i="7" s="1"/>
  <c r="R2934" i="7"/>
  <c r="P2934" i="7"/>
  <c r="Q2934" i="7" s="1"/>
  <c r="S2933" i="7"/>
  <c r="P2933" i="7"/>
  <c r="Q2933" i="7" s="1"/>
  <c r="U2932" i="7"/>
  <c r="S2932" i="7"/>
  <c r="T2932" i="7" s="1"/>
  <c r="P2932" i="7"/>
  <c r="R2932" i="7" s="1"/>
  <c r="S2931" i="7"/>
  <c r="U2931" i="7" s="1"/>
  <c r="R2931" i="7"/>
  <c r="P2931" i="7"/>
  <c r="Q2931" i="7" s="1"/>
  <c r="S2930" i="7"/>
  <c r="P2930" i="7"/>
  <c r="U2929" i="7"/>
  <c r="T2929" i="7"/>
  <c r="S2929" i="7"/>
  <c r="P2929" i="7"/>
  <c r="R2929" i="7" s="1"/>
  <c r="S2928" i="7"/>
  <c r="P2928" i="7"/>
  <c r="S2927" i="7"/>
  <c r="U2927" i="7" s="1"/>
  <c r="P2927" i="7"/>
  <c r="R2927" i="7" s="1"/>
  <c r="S2926" i="7"/>
  <c r="P2926" i="7"/>
  <c r="S2925" i="7"/>
  <c r="P2925" i="7"/>
  <c r="R2925" i="7" s="1"/>
  <c r="S2924" i="7"/>
  <c r="P2924" i="7"/>
  <c r="U2923" i="7"/>
  <c r="T2923" i="7"/>
  <c r="S2923" i="7"/>
  <c r="P2923" i="7"/>
  <c r="S2922" i="7"/>
  <c r="P2922" i="7"/>
  <c r="S2921" i="7"/>
  <c r="U2921" i="7" s="1"/>
  <c r="P2921" i="7"/>
  <c r="R2921" i="7" s="1"/>
  <c r="S2920" i="7"/>
  <c r="P2920" i="7"/>
  <c r="S2919" i="7"/>
  <c r="P2919" i="7"/>
  <c r="R2919" i="7" s="1"/>
  <c r="S2918" i="7"/>
  <c r="P2918" i="7"/>
  <c r="T2917" i="7"/>
  <c r="S2917" i="7"/>
  <c r="U2917" i="7" s="1"/>
  <c r="P2917" i="7"/>
  <c r="R2917" i="7" s="1"/>
  <c r="S2916" i="7"/>
  <c r="P2916" i="7"/>
  <c r="S2915" i="7"/>
  <c r="Q2915" i="7"/>
  <c r="P2915" i="7"/>
  <c r="R2915" i="7" s="1"/>
  <c r="S2914" i="7"/>
  <c r="P2914" i="7"/>
  <c r="S2913" i="7"/>
  <c r="U2913" i="7" s="1"/>
  <c r="P2913" i="7"/>
  <c r="R2913" i="7" s="1"/>
  <c r="S2912" i="7"/>
  <c r="P2912" i="7"/>
  <c r="U2911" i="7"/>
  <c r="T2911" i="7"/>
  <c r="S2911" i="7"/>
  <c r="P2911" i="7"/>
  <c r="R2911" i="7" s="1"/>
  <c r="S2910" i="7"/>
  <c r="P2910" i="7"/>
  <c r="S2909" i="7"/>
  <c r="P2909" i="7"/>
  <c r="R2909" i="7" s="1"/>
  <c r="S2908" i="7"/>
  <c r="P2908" i="7"/>
  <c r="S2907" i="7"/>
  <c r="U2907" i="7" s="1"/>
  <c r="P2907" i="7"/>
  <c r="S2906" i="7"/>
  <c r="P2906" i="7"/>
  <c r="S2905" i="7"/>
  <c r="U2905" i="7" s="1"/>
  <c r="Q2905" i="7"/>
  <c r="P2905" i="7"/>
  <c r="R2905" i="7" s="1"/>
  <c r="S2904" i="7"/>
  <c r="P2904" i="7"/>
  <c r="S2903" i="7"/>
  <c r="P2903" i="7"/>
  <c r="R2903" i="7" s="1"/>
  <c r="S2902" i="7"/>
  <c r="P2902" i="7"/>
  <c r="U2901" i="7"/>
  <c r="T2901" i="7"/>
  <c r="S2901" i="7"/>
  <c r="P2901" i="7"/>
  <c r="R2901" i="7" s="1"/>
  <c r="S2900" i="7"/>
  <c r="P2900" i="7"/>
  <c r="S2899" i="7"/>
  <c r="Q2899" i="7"/>
  <c r="P2899" i="7"/>
  <c r="R2899" i="7" s="1"/>
  <c r="S2898" i="7"/>
  <c r="P2898" i="7"/>
  <c r="U2897" i="7"/>
  <c r="T2897" i="7"/>
  <c r="S2897" i="7"/>
  <c r="P2897" i="7"/>
  <c r="R2897" i="7" s="1"/>
  <c r="S2896" i="7"/>
  <c r="P2896" i="7"/>
  <c r="S2895" i="7"/>
  <c r="U2895" i="7" s="1"/>
  <c r="P2895" i="7"/>
  <c r="R2895" i="7" s="1"/>
  <c r="S2894" i="7"/>
  <c r="P2894" i="7"/>
  <c r="S2893" i="7"/>
  <c r="P2893" i="7"/>
  <c r="R2893" i="7" s="1"/>
  <c r="S2892" i="7"/>
  <c r="P2892" i="7"/>
  <c r="S2891" i="7"/>
  <c r="U2891" i="7" s="1"/>
  <c r="Q2891" i="7"/>
  <c r="P2891" i="7"/>
  <c r="R2891" i="7" s="1"/>
  <c r="S2890" i="7"/>
  <c r="P2890" i="7"/>
  <c r="S2889" i="7"/>
  <c r="U2889" i="7" s="1"/>
  <c r="P2889" i="7"/>
  <c r="S2888" i="7"/>
  <c r="R2888" i="7"/>
  <c r="P2888" i="7"/>
  <c r="Q2888" i="7" s="1"/>
  <c r="S2887" i="7"/>
  <c r="U2887" i="7" s="1"/>
  <c r="P2887" i="7"/>
  <c r="R2887" i="7" s="1"/>
  <c r="S2886" i="7"/>
  <c r="P2886" i="7"/>
  <c r="Q2886" i="7" s="1"/>
  <c r="S2885" i="7"/>
  <c r="U2885" i="7" s="1"/>
  <c r="P2885" i="7"/>
  <c r="S2884" i="7"/>
  <c r="R2884" i="7"/>
  <c r="P2884" i="7"/>
  <c r="Q2884" i="7" s="1"/>
  <c r="S2883" i="7"/>
  <c r="U2883" i="7" s="1"/>
  <c r="Q2883" i="7"/>
  <c r="P2883" i="7"/>
  <c r="R2883" i="7" s="1"/>
  <c r="S2882" i="7"/>
  <c r="P2882" i="7"/>
  <c r="Q2882" i="7" s="1"/>
  <c r="S2881" i="7"/>
  <c r="U2881" i="7" s="1"/>
  <c r="P2881" i="7"/>
  <c r="S2880" i="7"/>
  <c r="R2880" i="7"/>
  <c r="P2880" i="7"/>
  <c r="Q2880" i="7" s="1"/>
  <c r="S2879" i="7"/>
  <c r="U2879" i="7" s="1"/>
  <c r="P2879" i="7"/>
  <c r="R2879" i="7" s="1"/>
  <c r="S2878" i="7"/>
  <c r="R2878" i="7"/>
  <c r="P2878" i="7"/>
  <c r="Q2878" i="7" s="1"/>
  <c r="S2877" i="7"/>
  <c r="U2877" i="7" s="1"/>
  <c r="P2877" i="7"/>
  <c r="S2876" i="7"/>
  <c r="P2876" i="7"/>
  <c r="Q2876" i="7" s="1"/>
  <c r="S2875" i="7"/>
  <c r="U2875" i="7" s="1"/>
  <c r="Q2875" i="7"/>
  <c r="P2875" i="7"/>
  <c r="R2875" i="7" s="1"/>
  <c r="S2874" i="7"/>
  <c r="P2874" i="7"/>
  <c r="S2873" i="7"/>
  <c r="U2873" i="7" s="1"/>
  <c r="P2873" i="7"/>
  <c r="S2872" i="7"/>
  <c r="R2872" i="7"/>
  <c r="P2872" i="7"/>
  <c r="Q2872" i="7" s="1"/>
  <c r="S2871" i="7"/>
  <c r="U2871" i="7" s="1"/>
  <c r="Q2871" i="7"/>
  <c r="P2871" i="7"/>
  <c r="R2871" i="7" s="1"/>
  <c r="S2870" i="7"/>
  <c r="P2870" i="7"/>
  <c r="Q2870" i="7" s="1"/>
  <c r="S2869" i="7"/>
  <c r="U2869" i="7" s="1"/>
  <c r="P2869" i="7"/>
  <c r="S2868" i="7"/>
  <c r="P2868" i="7"/>
  <c r="Q2868" i="7" s="1"/>
  <c r="S2867" i="7"/>
  <c r="U2867" i="7" s="1"/>
  <c r="Q2867" i="7"/>
  <c r="P2867" i="7"/>
  <c r="R2867" i="7" s="1"/>
  <c r="S2866" i="7"/>
  <c r="P2866" i="7"/>
  <c r="Q2866" i="7" s="1"/>
  <c r="S2865" i="7"/>
  <c r="U2865" i="7" s="1"/>
  <c r="P2865" i="7"/>
  <c r="S2864" i="7"/>
  <c r="R2864" i="7"/>
  <c r="P2864" i="7"/>
  <c r="Q2864" i="7" s="1"/>
  <c r="S2863" i="7"/>
  <c r="U2863" i="7" s="1"/>
  <c r="Q2863" i="7"/>
  <c r="P2863" i="7"/>
  <c r="R2863" i="7" s="1"/>
  <c r="S2862" i="7"/>
  <c r="P2862" i="7"/>
  <c r="Q2862" i="7" s="1"/>
  <c r="S2861" i="7"/>
  <c r="U2861" i="7" s="1"/>
  <c r="P2861" i="7"/>
  <c r="S2860" i="7"/>
  <c r="R2860" i="7"/>
  <c r="P2860" i="7"/>
  <c r="Q2860" i="7" s="1"/>
  <c r="S2859" i="7"/>
  <c r="U2859" i="7" s="1"/>
  <c r="P2859" i="7"/>
  <c r="R2859" i="7" s="1"/>
  <c r="S2858" i="7"/>
  <c r="P2858" i="7"/>
  <c r="Q2858" i="7" s="1"/>
  <c r="S2857" i="7"/>
  <c r="U2857" i="7" s="1"/>
  <c r="Q2857" i="7"/>
  <c r="P2857" i="7"/>
  <c r="R2857" i="7" s="1"/>
  <c r="S2856" i="7"/>
  <c r="P2856" i="7"/>
  <c r="Q2856" i="7" s="1"/>
  <c r="S2855" i="7"/>
  <c r="U2855" i="7" s="1"/>
  <c r="P2855" i="7"/>
  <c r="S2854" i="7"/>
  <c r="P2854" i="7"/>
  <c r="Q2854" i="7" s="1"/>
  <c r="S2853" i="7"/>
  <c r="U2853" i="7" s="1"/>
  <c r="P2853" i="7"/>
  <c r="R2853" i="7" s="1"/>
  <c r="S2852" i="7"/>
  <c r="P2852" i="7"/>
  <c r="Q2852" i="7" s="1"/>
  <c r="S2851" i="7"/>
  <c r="U2851" i="7" s="1"/>
  <c r="Q2851" i="7"/>
  <c r="P2851" i="7"/>
  <c r="R2851" i="7" s="1"/>
  <c r="S2850" i="7"/>
  <c r="P2850" i="7"/>
  <c r="S2849" i="7"/>
  <c r="U2849" i="7" s="1"/>
  <c r="Q2849" i="7"/>
  <c r="P2849" i="7"/>
  <c r="R2849" i="7" s="1"/>
  <c r="S2848" i="7"/>
  <c r="P2848" i="7"/>
  <c r="S2847" i="7"/>
  <c r="U2847" i="7" s="1"/>
  <c r="P2847" i="7"/>
  <c r="S2846" i="7"/>
  <c r="P2846" i="7"/>
  <c r="S2845" i="7"/>
  <c r="U2845" i="7" s="1"/>
  <c r="P2845" i="7"/>
  <c r="R2845" i="7" s="1"/>
  <c r="S2844" i="7"/>
  <c r="P2844" i="7"/>
  <c r="S2843" i="7"/>
  <c r="U2843" i="7" s="1"/>
  <c r="P2843" i="7"/>
  <c r="R2843" i="7" s="1"/>
  <c r="S2842" i="7"/>
  <c r="P2842" i="7"/>
  <c r="S2841" i="7"/>
  <c r="U2841" i="7" s="1"/>
  <c r="Q2841" i="7"/>
  <c r="P2841" i="7"/>
  <c r="R2841" i="7" s="1"/>
  <c r="S2840" i="7"/>
  <c r="P2840" i="7"/>
  <c r="S2839" i="7"/>
  <c r="U2839" i="7" s="1"/>
  <c r="P2839" i="7"/>
  <c r="S2838" i="7"/>
  <c r="P2838" i="7"/>
  <c r="S2837" i="7"/>
  <c r="U2837" i="7" s="1"/>
  <c r="Q2837" i="7"/>
  <c r="P2837" i="7"/>
  <c r="R2837" i="7" s="1"/>
  <c r="S2836" i="7"/>
  <c r="P2836" i="7"/>
  <c r="S2835" i="7"/>
  <c r="U2835" i="7" s="1"/>
  <c r="P2835" i="7"/>
  <c r="R2835" i="7" s="1"/>
  <c r="S2834" i="7"/>
  <c r="R2834" i="7"/>
  <c r="P2834" i="7"/>
  <c r="Q2834" i="7" s="1"/>
  <c r="S2833" i="7"/>
  <c r="P2833" i="7"/>
  <c r="S2832" i="7"/>
  <c r="P2832" i="7"/>
  <c r="Q2832" i="7" s="1"/>
  <c r="S2831" i="7"/>
  <c r="Q2831" i="7"/>
  <c r="P2831" i="7"/>
  <c r="R2831" i="7" s="1"/>
  <c r="S2830" i="7"/>
  <c r="P2830" i="7"/>
  <c r="S2829" i="7"/>
  <c r="P2829" i="7"/>
  <c r="S2828" i="7"/>
  <c r="R2828" i="7"/>
  <c r="P2828" i="7"/>
  <c r="Q2828" i="7" s="1"/>
  <c r="S2827" i="7"/>
  <c r="T2827" i="7" s="1"/>
  <c r="P2827" i="7"/>
  <c r="R2827" i="7" s="1"/>
  <c r="S2826" i="7"/>
  <c r="P2826" i="7"/>
  <c r="Q2826" i="7" s="1"/>
  <c r="S2825" i="7"/>
  <c r="T2825" i="7" s="1"/>
  <c r="P2825" i="7"/>
  <c r="R2825" i="7" s="1"/>
  <c r="S2824" i="7"/>
  <c r="R2824" i="7"/>
  <c r="P2824" i="7"/>
  <c r="Q2824" i="7" s="1"/>
  <c r="S2823" i="7"/>
  <c r="Q2823" i="7"/>
  <c r="P2823" i="7"/>
  <c r="R2823" i="7" s="1"/>
  <c r="S2822" i="7"/>
  <c r="P2822" i="7"/>
  <c r="Q2822" i="7" s="1"/>
  <c r="S2821" i="7"/>
  <c r="T2821" i="7" s="1"/>
  <c r="P2821" i="7"/>
  <c r="R2821" i="7" s="1"/>
  <c r="S2820" i="7"/>
  <c r="P2820" i="7"/>
  <c r="Q2820" i="7" s="1"/>
  <c r="U2819" i="7"/>
  <c r="S2819" i="7"/>
  <c r="T2819" i="7" s="1"/>
  <c r="P2819" i="7"/>
  <c r="R2819" i="7" s="1"/>
  <c r="S2818" i="7"/>
  <c r="P2818" i="7"/>
  <c r="Q2818" i="7" s="1"/>
  <c r="S2817" i="7"/>
  <c r="T2817" i="7" s="1"/>
  <c r="P2817" i="7"/>
  <c r="R2817" i="7" s="1"/>
  <c r="S2816" i="7"/>
  <c r="P2816" i="7"/>
  <c r="S2815" i="7"/>
  <c r="T2815" i="7" s="1"/>
  <c r="P2815" i="7"/>
  <c r="S2814" i="7"/>
  <c r="P2814" i="7"/>
  <c r="Q2814" i="7" s="1"/>
  <c r="S2813" i="7"/>
  <c r="T2813" i="7" s="1"/>
  <c r="P2813" i="7"/>
  <c r="R2813" i="7" s="1"/>
  <c r="S2812" i="7"/>
  <c r="P2812" i="7"/>
  <c r="Q2812" i="7" s="1"/>
  <c r="S2811" i="7"/>
  <c r="P2811" i="7"/>
  <c r="R2811" i="7" s="1"/>
  <c r="S2810" i="7"/>
  <c r="P2810" i="7"/>
  <c r="Q2810" i="7" s="1"/>
  <c r="S2809" i="7"/>
  <c r="T2809" i="7" s="1"/>
  <c r="P2809" i="7"/>
  <c r="R2809" i="7" s="1"/>
  <c r="S2808" i="7"/>
  <c r="R2808" i="7"/>
  <c r="P2808" i="7"/>
  <c r="Q2808" i="7" s="1"/>
  <c r="S2807" i="7"/>
  <c r="P2807" i="7"/>
  <c r="R2807" i="7" s="1"/>
  <c r="S2806" i="7"/>
  <c r="P2806" i="7"/>
  <c r="Q2806" i="7" s="1"/>
  <c r="S2805" i="7"/>
  <c r="P2805" i="7"/>
  <c r="S2804" i="7"/>
  <c r="P2804" i="7"/>
  <c r="Q2804" i="7" s="1"/>
  <c r="T2803" i="7"/>
  <c r="S2803" i="7"/>
  <c r="U2803" i="7" s="1"/>
  <c r="P2803" i="7"/>
  <c r="R2803" i="7" s="1"/>
  <c r="S2802" i="7"/>
  <c r="P2802" i="7"/>
  <c r="Q2802" i="7" s="1"/>
  <c r="S2801" i="7"/>
  <c r="P2801" i="7"/>
  <c r="R2801" i="7" s="1"/>
  <c r="S2800" i="7"/>
  <c r="P2800" i="7"/>
  <c r="Q2800" i="7" s="1"/>
  <c r="T2799" i="7"/>
  <c r="S2799" i="7"/>
  <c r="U2799" i="7" s="1"/>
  <c r="P2799" i="7"/>
  <c r="R2799" i="7" s="1"/>
  <c r="S2798" i="7"/>
  <c r="P2798" i="7"/>
  <c r="Q2798" i="7" s="1"/>
  <c r="U2797" i="7"/>
  <c r="T2797" i="7"/>
  <c r="S2797" i="7"/>
  <c r="P2797" i="7"/>
  <c r="S2796" i="7"/>
  <c r="P2796" i="7"/>
  <c r="Q2796" i="7" s="1"/>
  <c r="S2795" i="7"/>
  <c r="U2795" i="7" s="1"/>
  <c r="Q2795" i="7"/>
  <c r="P2795" i="7"/>
  <c r="R2795" i="7" s="1"/>
  <c r="S2794" i="7"/>
  <c r="P2794" i="7"/>
  <c r="Q2794" i="7" s="1"/>
  <c r="S2793" i="7"/>
  <c r="Q2793" i="7"/>
  <c r="P2793" i="7"/>
  <c r="R2793" i="7" s="1"/>
  <c r="S2792" i="7"/>
  <c r="P2792" i="7"/>
  <c r="Q2792" i="7" s="1"/>
  <c r="S2791" i="7"/>
  <c r="P2791" i="7"/>
  <c r="R2791" i="7" s="1"/>
  <c r="S2790" i="7"/>
  <c r="P2790" i="7"/>
  <c r="Q2790" i="7" s="1"/>
  <c r="U2789" i="7"/>
  <c r="T2789" i="7"/>
  <c r="S2789" i="7"/>
  <c r="P2789" i="7"/>
  <c r="S2788" i="7"/>
  <c r="P2788" i="7"/>
  <c r="Q2788" i="7" s="1"/>
  <c r="T2787" i="7"/>
  <c r="S2787" i="7"/>
  <c r="U2787" i="7" s="1"/>
  <c r="Q2787" i="7"/>
  <c r="P2787" i="7"/>
  <c r="R2787" i="7" s="1"/>
  <c r="S2786" i="7"/>
  <c r="P2786" i="7"/>
  <c r="Q2786" i="7" s="1"/>
  <c r="S2785" i="7"/>
  <c r="P2785" i="7"/>
  <c r="R2785" i="7" s="1"/>
  <c r="S2784" i="7"/>
  <c r="P2784" i="7"/>
  <c r="Q2784" i="7" s="1"/>
  <c r="U2783" i="7"/>
  <c r="T2783" i="7"/>
  <c r="S2783" i="7"/>
  <c r="P2783" i="7"/>
  <c r="R2783" i="7" s="1"/>
  <c r="S2782" i="7"/>
  <c r="P2782" i="7"/>
  <c r="Q2782" i="7" s="1"/>
  <c r="T2781" i="7"/>
  <c r="S2781" i="7"/>
  <c r="U2781" i="7" s="1"/>
  <c r="P2781" i="7"/>
  <c r="S2780" i="7"/>
  <c r="P2780" i="7"/>
  <c r="Q2780" i="7" s="1"/>
  <c r="S2779" i="7"/>
  <c r="U2779" i="7" s="1"/>
  <c r="P2779" i="7"/>
  <c r="R2779" i="7" s="1"/>
  <c r="S2778" i="7"/>
  <c r="P2778" i="7"/>
  <c r="Q2778" i="7" s="1"/>
  <c r="S2777" i="7"/>
  <c r="Q2777" i="7"/>
  <c r="P2777" i="7"/>
  <c r="R2777" i="7" s="1"/>
  <c r="S2776" i="7"/>
  <c r="P2776" i="7"/>
  <c r="Q2776" i="7" s="1"/>
  <c r="U2775" i="7"/>
  <c r="T2775" i="7"/>
  <c r="S2775" i="7"/>
  <c r="P2775" i="7"/>
  <c r="R2775" i="7" s="1"/>
  <c r="S2774" i="7"/>
  <c r="P2774" i="7"/>
  <c r="Q2774" i="7" s="1"/>
  <c r="S2773" i="7"/>
  <c r="U2773" i="7" s="1"/>
  <c r="P2773" i="7"/>
  <c r="S2772" i="7"/>
  <c r="P2772" i="7"/>
  <c r="Q2772" i="7" s="1"/>
  <c r="T2771" i="7"/>
  <c r="S2771" i="7"/>
  <c r="U2771" i="7" s="1"/>
  <c r="Q2771" i="7"/>
  <c r="P2771" i="7"/>
  <c r="R2771" i="7" s="1"/>
  <c r="S2770" i="7"/>
  <c r="P2770" i="7"/>
  <c r="Q2770" i="7" s="1"/>
  <c r="S2769" i="7"/>
  <c r="P2769" i="7"/>
  <c r="S2768" i="7"/>
  <c r="P2768" i="7"/>
  <c r="Q2768" i="7" s="1"/>
  <c r="T2767" i="7"/>
  <c r="S2767" i="7"/>
  <c r="U2767" i="7" s="1"/>
  <c r="P2767" i="7"/>
  <c r="R2767" i="7" s="1"/>
  <c r="S2766" i="7"/>
  <c r="P2766" i="7"/>
  <c r="Q2766" i="7" s="1"/>
  <c r="S2765" i="7"/>
  <c r="U2765" i="7" s="1"/>
  <c r="P2765" i="7"/>
  <c r="R2765" i="7" s="1"/>
  <c r="S2764" i="7"/>
  <c r="P2764" i="7"/>
  <c r="Q2764" i="7" s="1"/>
  <c r="U2763" i="7"/>
  <c r="T2763" i="7"/>
  <c r="S2763" i="7"/>
  <c r="P2763" i="7"/>
  <c r="R2763" i="7" s="1"/>
  <c r="S2762" i="7"/>
  <c r="P2762" i="7"/>
  <c r="Q2762" i="7" s="1"/>
  <c r="S2761" i="7"/>
  <c r="U2761" i="7" s="1"/>
  <c r="P2761" i="7"/>
  <c r="R2761" i="7" s="1"/>
  <c r="S2760" i="7"/>
  <c r="P2760" i="7"/>
  <c r="Q2760" i="7" s="1"/>
  <c r="U2759" i="7"/>
  <c r="S2759" i="7"/>
  <c r="T2759" i="7" s="1"/>
  <c r="P2759" i="7"/>
  <c r="R2759" i="7" s="1"/>
  <c r="S2758" i="7"/>
  <c r="P2758" i="7"/>
  <c r="Q2758" i="7" s="1"/>
  <c r="S2757" i="7"/>
  <c r="P2757" i="7"/>
  <c r="R2757" i="7" s="1"/>
  <c r="S2756" i="7"/>
  <c r="P2756" i="7"/>
  <c r="Q2756" i="7" s="1"/>
  <c r="S2755" i="7"/>
  <c r="U2755" i="7" s="1"/>
  <c r="P2755" i="7"/>
  <c r="R2755" i="7" s="1"/>
  <c r="S2754" i="7"/>
  <c r="P2754" i="7"/>
  <c r="Q2754" i="7" s="1"/>
  <c r="S2753" i="7"/>
  <c r="U2753" i="7" s="1"/>
  <c r="P2753" i="7"/>
  <c r="R2753" i="7" s="1"/>
  <c r="S2752" i="7"/>
  <c r="P2752" i="7"/>
  <c r="Q2752" i="7" s="1"/>
  <c r="U2751" i="7"/>
  <c r="T2751" i="7"/>
  <c r="S2751" i="7"/>
  <c r="P2751" i="7"/>
  <c r="R2751" i="7" s="1"/>
  <c r="S2750" i="7"/>
  <c r="P2750" i="7"/>
  <c r="Q2750" i="7" s="1"/>
  <c r="S2749" i="7"/>
  <c r="U2749" i="7" s="1"/>
  <c r="P2749" i="7"/>
  <c r="R2749" i="7" s="1"/>
  <c r="S2748" i="7"/>
  <c r="P2748" i="7"/>
  <c r="Q2748" i="7" s="1"/>
  <c r="S2747" i="7"/>
  <c r="P2747" i="7"/>
  <c r="R2747" i="7" s="1"/>
  <c r="S2746" i="7"/>
  <c r="P2746" i="7"/>
  <c r="Q2746" i="7" s="1"/>
  <c r="T2745" i="7"/>
  <c r="S2745" i="7"/>
  <c r="U2745" i="7" s="1"/>
  <c r="P2745" i="7"/>
  <c r="R2745" i="7" s="1"/>
  <c r="S2744" i="7"/>
  <c r="P2744" i="7"/>
  <c r="Q2744" i="7" s="1"/>
  <c r="U2743" i="7"/>
  <c r="T2743" i="7"/>
  <c r="S2743" i="7"/>
  <c r="P2743" i="7"/>
  <c r="R2743" i="7" s="1"/>
  <c r="S2742" i="7"/>
  <c r="P2742" i="7"/>
  <c r="Q2742" i="7" s="1"/>
  <c r="S2741" i="7"/>
  <c r="P2741" i="7"/>
  <c r="R2741" i="7" s="1"/>
  <c r="S2740" i="7"/>
  <c r="P2740" i="7"/>
  <c r="Q2740" i="7" s="1"/>
  <c r="T2739" i="7"/>
  <c r="S2739" i="7"/>
  <c r="U2739" i="7" s="1"/>
  <c r="P2739" i="7"/>
  <c r="R2739" i="7" s="1"/>
  <c r="S2738" i="7"/>
  <c r="P2738" i="7"/>
  <c r="Q2738" i="7" s="1"/>
  <c r="S2737" i="7"/>
  <c r="U2737" i="7" s="1"/>
  <c r="P2737" i="7"/>
  <c r="R2737" i="7" s="1"/>
  <c r="S2736" i="7"/>
  <c r="P2736" i="7"/>
  <c r="Q2736" i="7" s="1"/>
  <c r="U2735" i="7"/>
  <c r="T2735" i="7"/>
  <c r="S2735" i="7"/>
  <c r="P2735" i="7"/>
  <c r="R2735" i="7" s="1"/>
  <c r="S2734" i="7"/>
  <c r="P2734" i="7"/>
  <c r="Q2734" i="7" s="1"/>
  <c r="S2733" i="7"/>
  <c r="U2733" i="7" s="1"/>
  <c r="P2733" i="7"/>
  <c r="R2733" i="7" s="1"/>
  <c r="S2732" i="7"/>
  <c r="P2732" i="7"/>
  <c r="Q2732" i="7" s="1"/>
  <c r="T2731" i="7"/>
  <c r="S2731" i="7"/>
  <c r="U2731" i="7" s="1"/>
  <c r="P2731" i="7"/>
  <c r="R2731" i="7" s="1"/>
  <c r="S2730" i="7"/>
  <c r="P2730" i="7"/>
  <c r="Q2730" i="7" s="1"/>
  <c r="S2729" i="7"/>
  <c r="U2729" i="7" s="1"/>
  <c r="P2729" i="7"/>
  <c r="R2729" i="7" s="1"/>
  <c r="S2728" i="7"/>
  <c r="P2728" i="7"/>
  <c r="Q2728" i="7" s="1"/>
  <c r="U2727" i="7"/>
  <c r="S2727" i="7"/>
  <c r="T2727" i="7" s="1"/>
  <c r="P2727" i="7"/>
  <c r="R2727" i="7" s="1"/>
  <c r="S2726" i="7"/>
  <c r="P2726" i="7"/>
  <c r="Q2726" i="7" s="1"/>
  <c r="S2725" i="7"/>
  <c r="P2725" i="7"/>
  <c r="R2725" i="7" s="1"/>
  <c r="S2724" i="7"/>
  <c r="P2724" i="7"/>
  <c r="Q2724" i="7" s="1"/>
  <c r="U2723" i="7"/>
  <c r="S2723" i="7"/>
  <c r="T2723" i="7" s="1"/>
  <c r="P2723" i="7"/>
  <c r="R2723" i="7" s="1"/>
  <c r="S2722" i="7"/>
  <c r="P2722" i="7"/>
  <c r="Q2722" i="7" s="1"/>
  <c r="S2721" i="7"/>
  <c r="U2721" i="7" s="1"/>
  <c r="P2721" i="7"/>
  <c r="R2721" i="7" s="1"/>
  <c r="S2720" i="7"/>
  <c r="P2720" i="7"/>
  <c r="Q2720" i="7" s="1"/>
  <c r="S2719" i="7"/>
  <c r="P2719" i="7"/>
  <c r="R2719" i="7" s="1"/>
  <c r="S2718" i="7"/>
  <c r="P2718" i="7"/>
  <c r="Q2718" i="7" s="1"/>
  <c r="S2717" i="7"/>
  <c r="U2717" i="7" s="1"/>
  <c r="P2717" i="7"/>
  <c r="R2717" i="7" s="1"/>
  <c r="S2716" i="7"/>
  <c r="P2716" i="7"/>
  <c r="Q2716" i="7" s="1"/>
  <c r="U2715" i="7"/>
  <c r="S2715" i="7"/>
  <c r="T2715" i="7" s="1"/>
  <c r="P2715" i="7"/>
  <c r="R2715" i="7" s="1"/>
  <c r="S2714" i="7"/>
  <c r="P2714" i="7"/>
  <c r="Q2714" i="7" s="1"/>
  <c r="S2713" i="7"/>
  <c r="U2713" i="7" s="1"/>
  <c r="P2713" i="7"/>
  <c r="R2713" i="7" s="1"/>
  <c r="S2712" i="7"/>
  <c r="P2712" i="7"/>
  <c r="Q2712" i="7" s="1"/>
  <c r="T2711" i="7"/>
  <c r="S2711" i="7"/>
  <c r="U2711" i="7" s="1"/>
  <c r="P2711" i="7"/>
  <c r="R2711" i="7" s="1"/>
  <c r="S2710" i="7"/>
  <c r="P2710" i="7"/>
  <c r="Q2710" i="7" s="1"/>
  <c r="S2709" i="7"/>
  <c r="P2709" i="7"/>
  <c r="R2709" i="7" s="1"/>
  <c r="S2708" i="7"/>
  <c r="P2708" i="7"/>
  <c r="Q2708" i="7" s="1"/>
  <c r="U2707" i="7"/>
  <c r="S2707" i="7"/>
  <c r="T2707" i="7" s="1"/>
  <c r="P2707" i="7"/>
  <c r="R2707" i="7" s="1"/>
  <c r="S2706" i="7"/>
  <c r="P2706" i="7"/>
  <c r="Q2706" i="7" s="1"/>
  <c r="S2705" i="7"/>
  <c r="U2705" i="7" s="1"/>
  <c r="P2705" i="7"/>
  <c r="R2705" i="7" s="1"/>
  <c r="S2704" i="7"/>
  <c r="P2704" i="7"/>
  <c r="Q2704" i="7" s="1"/>
  <c r="T2703" i="7"/>
  <c r="S2703" i="7"/>
  <c r="U2703" i="7" s="1"/>
  <c r="P2703" i="7"/>
  <c r="R2703" i="7" s="1"/>
  <c r="S2702" i="7"/>
  <c r="P2702" i="7"/>
  <c r="Q2702" i="7" s="1"/>
  <c r="S2701" i="7"/>
  <c r="U2701" i="7" s="1"/>
  <c r="P2701" i="7"/>
  <c r="R2701" i="7" s="1"/>
  <c r="S2700" i="7"/>
  <c r="P2700" i="7"/>
  <c r="Q2700" i="7" s="1"/>
  <c r="U2699" i="7"/>
  <c r="T2699" i="7"/>
  <c r="S2699" i="7"/>
  <c r="P2699" i="7"/>
  <c r="R2699" i="7" s="1"/>
  <c r="S2698" i="7"/>
  <c r="P2698" i="7"/>
  <c r="Q2698" i="7" s="1"/>
  <c r="S2697" i="7"/>
  <c r="P2697" i="7"/>
  <c r="R2697" i="7" s="1"/>
  <c r="S2696" i="7"/>
  <c r="P2696" i="7"/>
  <c r="Q2696" i="7" s="1"/>
  <c r="U2695" i="7"/>
  <c r="T2695" i="7"/>
  <c r="S2695" i="7"/>
  <c r="P2695" i="7"/>
  <c r="R2695" i="7" s="1"/>
  <c r="S2694" i="7"/>
  <c r="P2694" i="7"/>
  <c r="Q2694" i="7" s="1"/>
  <c r="S2693" i="7"/>
  <c r="P2693" i="7"/>
  <c r="R2693" i="7" s="1"/>
  <c r="S2692" i="7"/>
  <c r="P2692" i="7"/>
  <c r="Q2692" i="7" s="1"/>
  <c r="S2691" i="7"/>
  <c r="P2691" i="7"/>
  <c r="R2691" i="7" s="1"/>
  <c r="S2690" i="7"/>
  <c r="P2690" i="7"/>
  <c r="Q2690" i="7" s="1"/>
  <c r="S2689" i="7"/>
  <c r="U2689" i="7" s="1"/>
  <c r="P2689" i="7"/>
  <c r="R2689" i="7" s="1"/>
  <c r="S2688" i="7"/>
  <c r="P2688" i="7"/>
  <c r="Q2688" i="7" s="1"/>
  <c r="U2687" i="7"/>
  <c r="S2687" i="7"/>
  <c r="T2687" i="7" s="1"/>
  <c r="P2687" i="7"/>
  <c r="R2687" i="7" s="1"/>
  <c r="S2686" i="7"/>
  <c r="P2686" i="7"/>
  <c r="Q2686" i="7" s="1"/>
  <c r="S2685" i="7"/>
  <c r="U2685" i="7" s="1"/>
  <c r="P2685" i="7"/>
  <c r="R2685" i="7" s="1"/>
  <c r="S2684" i="7"/>
  <c r="P2684" i="7"/>
  <c r="Q2684" i="7" s="1"/>
  <c r="U2683" i="7"/>
  <c r="S2683" i="7"/>
  <c r="T2683" i="7" s="1"/>
  <c r="P2683" i="7"/>
  <c r="R2683" i="7" s="1"/>
  <c r="S2682" i="7"/>
  <c r="P2682" i="7"/>
  <c r="U2681" i="7"/>
  <c r="T2681" i="7"/>
  <c r="S2681" i="7"/>
  <c r="P2681" i="7"/>
  <c r="R2681" i="7" s="1"/>
  <c r="S2680" i="7"/>
  <c r="P2680" i="7"/>
  <c r="Q2680" i="7" s="1"/>
  <c r="S2679" i="7"/>
  <c r="U2679" i="7" s="1"/>
  <c r="P2679" i="7"/>
  <c r="R2679" i="7" s="1"/>
  <c r="S2678" i="7"/>
  <c r="P2678" i="7"/>
  <c r="Q2678" i="7" s="1"/>
  <c r="S2677" i="7"/>
  <c r="T2677" i="7" s="1"/>
  <c r="P2677" i="7"/>
  <c r="R2677" i="7" s="1"/>
  <c r="S2676" i="7"/>
  <c r="P2676" i="7"/>
  <c r="Q2676" i="7" s="1"/>
  <c r="T2675" i="7"/>
  <c r="S2675" i="7"/>
  <c r="U2675" i="7" s="1"/>
  <c r="P2675" i="7"/>
  <c r="R2675" i="7" s="1"/>
  <c r="S2674" i="7"/>
  <c r="R2674" i="7"/>
  <c r="P2674" i="7"/>
  <c r="Q2674" i="7" s="1"/>
  <c r="S2673" i="7"/>
  <c r="P2673" i="7"/>
  <c r="R2673" i="7" s="1"/>
  <c r="S2672" i="7"/>
  <c r="P2672" i="7"/>
  <c r="S2671" i="7"/>
  <c r="U2671" i="7" s="1"/>
  <c r="P2671" i="7"/>
  <c r="R2671" i="7" s="1"/>
  <c r="S2670" i="7"/>
  <c r="P2670" i="7"/>
  <c r="Q2670" i="7" s="1"/>
  <c r="S2669" i="7"/>
  <c r="T2669" i="7" s="1"/>
  <c r="P2669" i="7"/>
  <c r="R2669" i="7" s="1"/>
  <c r="S2668" i="7"/>
  <c r="P2668" i="7"/>
  <c r="Q2668" i="7" s="1"/>
  <c r="U2667" i="7"/>
  <c r="S2667" i="7"/>
  <c r="T2667" i="7" s="1"/>
  <c r="P2667" i="7"/>
  <c r="R2667" i="7" s="1"/>
  <c r="S2666" i="7"/>
  <c r="P2666" i="7"/>
  <c r="U2665" i="7"/>
  <c r="T2665" i="7"/>
  <c r="S2665" i="7"/>
  <c r="P2665" i="7"/>
  <c r="R2665" i="7" s="1"/>
  <c r="S2664" i="7"/>
  <c r="P2664" i="7"/>
  <c r="Q2664" i="7" s="1"/>
  <c r="S2663" i="7"/>
  <c r="U2663" i="7" s="1"/>
  <c r="P2663" i="7"/>
  <c r="R2663" i="7" s="1"/>
  <c r="S2662" i="7"/>
  <c r="P2662" i="7"/>
  <c r="Q2662" i="7" s="1"/>
  <c r="S2661" i="7"/>
  <c r="T2661" i="7" s="1"/>
  <c r="P2661" i="7"/>
  <c r="R2661" i="7" s="1"/>
  <c r="S2660" i="7"/>
  <c r="P2660" i="7"/>
  <c r="Q2660" i="7" s="1"/>
  <c r="T2659" i="7"/>
  <c r="S2659" i="7"/>
  <c r="U2659" i="7" s="1"/>
  <c r="P2659" i="7"/>
  <c r="R2659" i="7" s="1"/>
  <c r="S2658" i="7"/>
  <c r="R2658" i="7"/>
  <c r="P2658" i="7"/>
  <c r="Q2658" i="7" s="1"/>
  <c r="S2657" i="7"/>
  <c r="P2657" i="7"/>
  <c r="R2657" i="7" s="1"/>
  <c r="S2656" i="7"/>
  <c r="P2656" i="7"/>
  <c r="S2655" i="7"/>
  <c r="U2655" i="7" s="1"/>
  <c r="P2655" i="7"/>
  <c r="R2655" i="7" s="1"/>
  <c r="S2654" i="7"/>
  <c r="P2654" i="7"/>
  <c r="Q2654" i="7" s="1"/>
  <c r="S2653" i="7"/>
  <c r="T2653" i="7" s="1"/>
  <c r="P2653" i="7"/>
  <c r="R2653" i="7" s="1"/>
  <c r="S2652" i="7"/>
  <c r="P2652" i="7"/>
  <c r="Q2652" i="7" s="1"/>
  <c r="U2651" i="7"/>
  <c r="S2651" i="7"/>
  <c r="T2651" i="7" s="1"/>
  <c r="P2651" i="7"/>
  <c r="R2651" i="7" s="1"/>
  <c r="S2650" i="7"/>
  <c r="P2650" i="7"/>
  <c r="U2649" i="7"/>
  <c r="T2649" i="7"/>
  <c r="S2649" i="7"/>
  <c r="P2649" i="7"/>
  <c r="R2649" i="7" s="1"/>
  <c r="S2648" i="7"/>
  <c r="P2648" i="7"/>
  <c r="Q2648" i="7" s="1"/>
  <c r="S2647" i="7"/>
  <c r="U2647" i="7" s="1"/>
  <c r="P2647" i="7"/>
  <c r="R2647" i="7" s="1"/>
  <c r="S2646" i="7"/>
  <c r="P2646" i="7"/>
  <c r="Q2646" i="7" s="1"/>
  <c r="S2645" i="7"/>
  <c r="T2645" i="7" s="1"/>
  <c r="P2645" i="7"/>
  <c r="R2645" i="7" s="1"/>
  <c r="S2644" i="7"/>
  <c r="P2644" i="7"/>
  <c r="Q2644" i="7" s="1"/>
  <c r="T2643" i="7"/>
  <c r="S2643" i="7"/>
  <c r="U2643" i="7" s="1"/>
  <c r="P2643" i="7"/>
  <c r="R2643" i="7" s="1"/>
  <c r="S2642" i="7"/>
  <c r="R2642" i="7"/>
  <c r="P2642" i="7"/>
  <c r="Q2642" i="7" s="1"/>
  <c r="S2641" i="7"/>
  <c r="P2641" i="7"/>
  <c r="R2641" i="7" s="1"/>
  <c r="S2640" i="7"/>
  <c r="P2640" i="7"/>
  <c r="S2639" i="7"/>
  <c r="U2639" i="7" s="1"/>
  <c r="P2639" i="7"/>
  <c r="R2639" i="7" s="1"/>
  <c r="S2638" i="7"/>
  <c r="P2638" i="7"/>
  <c r="Q2638" i="7" s="1"/>
  <c r="S2637" i="7"/>
  <c r="T2637" i="7" s="1"/>
  <c r="P2637" i="7"/>
  <c r="R2637" i="7" s="1"/>
  <c r="S2636" i="7"/>
  <c r="P2636" i="7"/>
  <c r="Q2636" i="7" s="1"/>
  <c r="U2635" i="7"/>
  <c r="S2635" i="7"/>
  <c r="T2635" i="7" s="1"/>
  <c r="P2635" i="7"/>
  <c r="R2635" i="7" s="1"/>
  <c r="S2634" i="7"/>
  <c r="P2634" i="7"/>
  <c r="U2633" i="7"/>
  <c r="T2633" i="7"/>
  <c r="S2633" i="7"/>
  <c r="P2633" i="7"/>
  <c r="R2633" i="7" s="1"/>
  <c r="S2632" i="7"/>
  <c r="P2632" i="7"/>
  <c r="Q2632" i="7" s="1"/>
  <c r="S2631" i="7"/>
  <c r="U2631" i="7" s="1"/>
  <c r="P2631" i="7"/>
  <c r="R2631" i="7" s="1"/>
  <c r="S2630" i="7"/>
  <c r="P2630" i="7"/>
  <c r="Q2630" i="7" s="1"/>
  <c r="S2629" i="7"/>
  <c r="T2629" i="7" s="1"/>
  <c r="P2629" i="7"/>
  <c r="R2629" i="7" s="1"/>
  <c r="S2628" i="7"/>
  <c r="P2628" i="7"/>
  <c r="Q2628" i="7" s="1"/>
  <c r="T2627" i="7"/>
  <c r="S2627" i="7"/>
  <c r="U2627" i="7" s="1"/>
  <c r="P2627" i="7"/>
  <c r="R2627" i="7" s="1"/>
  <c r="S2626" i="7"/>
  <c r="R2626" i="7"/>
  <c r="P2626" i="7"/>
  <c r="Q2626" i="7" s="1"/>
  <c r="S2625" i="7"/>
  <c r="P2625" i="7"/>
  <c r="R2625" i="7" s="1"/>
  <c r="S2624" i="7"/>
  <c r="P2624" i="7"/>
  <c r="S2623" i="7"/>
  <c r="U2623" i="7" s="1"/>
  <c r="P2623" i="7"/>
  <c r="R2623" i="7" s="1"/>
  <c r="S2622" i="7"/>
  <c r="P2622" i="7"/>
  <c r="Q2622" i="7" s="1"/>
  <c r="S2621" i="7"/>
  <c r="T2621" i="7" s="1"/>
  <c r="P2621" i="7"/>
  <c r="R2621" i="7" s="1"/>
  <c r="S2620" i="7"/>
  <c r="P2620" i="7"/>
  <c r="Q2620" i="7" s="1"/>
  <c r="U2619" i="7"/>
  <c r="S2619" i="7"/>
  <c r="T2619" i="7" s="1"/>
  <c r="P2619" i="7"/>
  <c r="R2619" i="7" s="1"/>
  <c r="S2618" i="7"/>
  <c r="P2618" i="7"/>
  <c r="U2617" i="7"/>
  <c r="T2617" i="7"/>
  <c r="S2617" i="7"/>
  <c r="P2617" i="7"/>
  <c r="R2617" i="7" s="1"/>
  <c r="S2616" i="7"/>
  <c r="P2616" i="7"/>
  <c r="Q2616" i="7" s="1"/>
  <c r="S2615" i="7"/>
  <c r="U2615" i="7" s="1"/>
  <c r="P2615" i="7"/>
  <c r="R2615" i="7" s="1"/>
  <c r="S2614" i="7"/>
  <c r="P2614" i="7"/>
  <c r="Q2614" i="7" s="1"/>
  <c r="S2613" i="7"/>
  <c r="T2613" i="7" s="1"/>
  <c r="P2613" i="7"/>
  <c r="R2613" i="7" s="1"/>
  <c r="S2612" i="7"/>
  <c r="P2612" i="7"/>
  <c r="Q2612" i="7" s="1"/>
  <c r="T2611" i="7"/>
  <c r="S2611" i="7"/>
  <c r="U2611" i="7" s="1"/>
  <c r="P2611" i="7"/>
  <c r="R2611" i="7" s="1"/>
  <c r="S2610" i="7"/>
  <c r="R2610" i="7"/>
  <c r="P2610" i="7"/>
  <c r="Q2610" i="7" s="1"/>
  <c r="S2609" i="7"/>
  <c r="P2609" i="7"/>
  <c r="R2609" i="7" s="1"/>
  <c r="S2608" i="7"/>
  <c r="P2608" i="7"/>
  <c r="S2607" i="7"/>
  <c r="U2607" i="7" s="1"/>
  <c r="P2607" i="7"/>
  <c r="R2607" i="7" s="1"/>
  <c r="S2606" i="7"/>
  <c r="P2606" i="7"/>
  <c r="Q2606" i="7" s="1"/>
  <c r="S2605" i="7"/>
  <c r="T2605" i="7" s="1"/>
  <c r="P2605" i="7"/>
  <c r="R2605" i="7" s="1"/>
  <c r="S2604" i="7"/>
  <c r="P2604" i="7"/>
  <c r="Q2604" i="7" s="1"/>
  <c r="S2603" i="7"/>
  <c r="U2603" i="7" s="1"/>
  <c r="P2603" i="7"/>
  <c r="R2603" i="7" s="1"/>
  <c r="S2602" i="7"/>
  <c r="P2602" i="7"/>
  <c r="U2601" i="7"/>
  <c r="T2601" i="7"/>
  <c r="S2601" i="7"/>
  <c r="P2601" i="7"/>
  <c r="R2601" i="7" s="1"/>
  <c r="S2600" i="7"/>
  <c r="P2600" i="7"/>
  <c r="Q2600" i="7" s="1"/>
  <c r="S2599" i="7"/>
  <c r="U2599" i="7" s="1"/>
  <c r="P2599" i="7"/>
  <c r="R2599" i="7" s="1"/>
  <c r="S2598" i="7"/>
  <c r="P2598" i="7"/>
  <c r="Q2598" i="7" s="1"/>
  <c r="S2597" i="7"/>
  <c r="T2597" i="7" s="1"/>
  <c r="P2597" i="7"/>
  <c r="R2597" i="7" s="1"/>
  <c r="S2596" i="7"/>
  <c r="P2596" i="7"/>
  <c r="Q2596" i="7" s="1"/>
  <c r="T2595" i="7"/>
  <c r="S2595" i="7"/>
  <c r="U2595" i="7" s="1"/>
  <c r="P2595" i="7"/>
  <c r="R2595" i="7" s="1"/>
  <c r="S2594" i="7"/>
  <c r="P2594" i="7"/>
  <c r="Q2594" i="7" s="1"/>
  <c r="S2593" i="7"/>
  <c r="P2593" i="7"/>
  <c r="R2593" i="7" s="1"/>
  <c r="S2592" i="7"/>
  <c r="P2592" i="7"/>
  <c r="S2591" i="7"/>
  <c r="U2591" i="7" s="1"/>
  <c r="P2591" i="7"/>
  <c r="R2591" i="7" s="1"/>
  <c r="S2590" i="7"/>
  <c r="P2590" i="7"/>
  <c r="Q2590" i="7" s="1"/>
  <c r="S2589" i="7"/>
  <c r="T2589" i="7" s="1"/>
  <c r="P2589" i="7"/>
  <c r="R2589" i="7" s="1"/>
  <c r="S2588" i="7"/>
  <c r="P2588" i="7"/>
  <c r="Q2588" i="7" s="1"/>
  <c r="S2587" i="7"/>
  <c r="U2587" i="7" s="1"/>
  <c r="P2587" i="7"/>
  <c r="R2587" i="7" s="1"/>
  <c r="S2586" i="7"/>
  <c r="P2586" i="7"/>
  <c r="U2585" i="7"/>
  <c r="T2585" i="7"/>
  <c r="S2585" i="7"/>
  <c r="P2585" i="7"/>
  <c r="R2585" i="7" s="1"/>
  <c r="S2584" i="7"/>
  <c r="P2584" i="7"/>
  <c r="Q2584" i="7" s="1"/>
  <c r="S2583" i="7"/>
  <c r="U2583" i="7" s="1"/>
  <c r="P2583" i="7"/>
  <c r="R2583" i="7" s="1"/>
  <c r="S2582" i="7"/>
  <c r="P2582" i="7"/>
  <c r="Q2582" i="7" s="1"/>
  <c r="S2581" i="7"/>
  <c r="T2581" i="7" s="1"/>
  <c r="P2581" i="7"/>
  <c r="R2581" i="7" s="1"/>
  <c r="S2580" i="7"/>
  <c r="P2580" i="7"/>
  <c r="Q2580" i="7" s="1"/>
  <c r="T2579" i="7"/>
  <c r="S2579" i="7"/>
  <c r="U2579" i="7" s="1"/>
  <c r="P2579" i="7"/>
  <c r="R2579" i="7" s="1"/>
  <c r="S2578" i="7"/>
  <c r="R2578" i="7"/>
  <c r="P2578" i="7"/>
  <c r="Q2578" i="7" s="1"/>
  <c r="S2577" i="7"/>
  <c r="P2577" i="7"/>
  <c r="R2577" i="7" s="1"/>
  <c r="S2576" i="7"/>
  <c r="P2576" i="7"/>
  <c r="S2575" i="7"/>
  <c r="U2575" i="7" s="1"/>
  <c r="P2575" i="7"/>
  <c r="R2575" i="7" s="1"/>
  <c r="S2574" i="7"/>
  <c r="P2574" i="7"/>
  <c r="Q2574" i="7" s="1"/>
  <c r="S2573" i="7"/>
  <c r="T2573" i="7" s="1"/>
  <c r="P2573" i="7"/>
  <c r="R2573" i="7" s="1"/>
  <c r="S2572" i="7"/>
  <c r="P2572" i="7"/>
  <c r="Q2572" i="7" s="1"/>
  <c r="S2571" i="7"/>
  <c r="U2571" i="7" s="1"/>
  <c r="P2571" i="7"/>
  <c r="R2571" i="7" s="1"/>
  <c r="S2570" i="7"/>
  <c r="P2570" i="7"/>
  <c r="U2569" i="7"/>
  <c r="T2569" i="7"/>
  <c r="S2569" i="7"/>
  <c r="P2569" i="7"/>
  <c r="R2569" i="7" s="1"/>
  <c r="S2568" i="7"/>
  <c r="P2568" i="7"/>
  <c r="Q2568" i="7" s="1"/>
  <c r="S2567" i="7"/>
  <c r="U2567" i="7" s="1"/>
  <c r="P2567" i="7"/>
  <c r="R2567" i="7" s="1"/>
  <c r="S2566" i="7"/>
  <c r="P2566" i="7"/>
  <c r="Q2566" i="7" s="1"/>
  <c r="S2565" i="7"/>
  <c r="T2565" i="7" s="1"/>
  <c r="P2565" i="7"/>
  <c r="R2565" i="7" s="1"/>
  <c r="S2564" i="7"/>
  <c r="P2564" i="7"/>
  <c r="Q2564" i="7" s="1"/>
  <c r="T2563" i="7"/>
  <c r="S2563" i="7"/>
  <c r="U2563" i="7" s="1"/>
  <c r="P2563" i="7"/>
  <c r="R2563" i="7" s="1"/>
  <c r="S2562" i="7"/>
  <c r="R2562" i="7"/>
  <c r="P2562" i="7"/>
  <c r="Q2562" i="7" s="1"/>
  <c r="S2561" i="7"/>
  <c r="P2561" i="7"/>
  <c r="R2561" i="7" s="1"/>
  <c r="S2560" i="7"/>
  <c r="P2560" i="7"/>
  <c r="S2559" i="7"/>
  <c r="U2559" i="7" s="1"/>
  <c r="P2559" i="7"/>
  <c r="R2559" i="7" s="1"/>
  <c r="S2558" i="7"/>
  <c r="P2558" i="7"/>
  <c r="Q2558" i="7" s="1"/>
  <c r="S2557" i="7"/>
  <c r="T2557" i="7" s="1"/>
  <c r="P2557" i="7"/>
  <c r="R2557" i="7" s="1"/>
  <c r="S2556" i="7"/>
  <c r="P2556" i="7"/>
  <c r="Q2556" i="7" s="1"/>
  <c r="S2555" i="7"/>
  <c r="U2555" i="7" s="1"/>
  <c r="P2555" i="7"/>
  <c r="R2555" i="7" s="1"/>
  <c r="S2554" i="7"/>
  <c r="P2554" i="7"/>
  <c r="U2553" i="7"/>
  <c r="T2553" i="7"/>
  <c r="S2553" i="7"/>
  <c r="P2553" i="7"/>
  <c r="R2553" i="7" s="1"/>
  <c r="S2552" i="7"/>
  <c r="P2552" i="7"/>
  <c r="Q2552" i="7" s="1"/>
  <c r="S2551" i="7"/>
  <c r="U2551" i="7" s="1"/>
  <c r="P2551" i="7"/>
  <c r="R2551" i="7" s="1"/>
  <c r="S2550" i="7"/>
  <c r="P2550" i="7"/>
  <c r="Q2550" i="7" s="1"/>
  <c r="S2549" i="7"/>
  <c r="T2549" i="7" s="1"/>
  <c r="P2549" i="7"/>
  <c r="R2549" i="7" s="1"/>
  <c r="S2548" i="7"/>
  <c r="P2548" i="7"/>
  <c r="Q2548" i="7" s="1"/>
  <c r="T2547" i="7"/>
  <c r="S2547" i="7"/>
  <c r="U2547" i="7" s="1"/>
  <c r="P2547" i="7"/>
  <c r="R2547" i="7" s="1"/>
  <c r="S2546" i="7"/>
  <c r="P2546" i="7"/>
  <c r="Q2546" i="7" s="1"/>
  <c r="S2545" i="7"/>
  <c r="P2545" i="7"/>
  <c r="R2545" i="7" s="1"/>
  <c r="S2544" i="7"/>
  <c r="P2544" i="7"/>
  <c r="S2543" i="7"/>
  <c r="U2543" i="7" s="1"/>
  <c r="P2543" i="7"/>
  <c r="R2543" i="7" s="1"/>
  <c r="S2542" i="7"/>
  <c r="P2542" i="7"/>
  <c r="Q2542" i="7" s="1"/>
  <c r="S2541" i="7"/>
  <c r="T2541" i="7" s="1"/>
  <c r="P2541" i="7"/>
  <c r="R2541" i="7" s="1"/>
  <c r="S2540" i="7"/>
  <c r="P2540" i="7"/>
  <c r="Q2540" i="7" s="1"/>
  <c r="S2539" i="7"/>
  <c r="U2539" i="7" s="1"/>
  <c r="P2539" i="7"/>
  <c r="R2539" i="7" s="1"/>
  <c r="S2538" i="7"/>
  <c r="P2538" i="7"/>
  <c r="U2537" i="7"/>
  <c r="T2537" i="7"/>
  <c r="S2537" i="7"/>
  <c r="P2537" i="7"/>
  <c r="R2537" i="7" s="1"/>
  <c r="S2536" i="7"/>
  <c r="P2536" i="7"/>
  <c r="Q2536" i="7" s="1"/>
  <c r="S2535" i="7"/>
  <c r="U2535" i="7" s="1"/>
  <c r="P2535" i="7"/>
  <c r="R2535" i="7" s="1"/>
  <c r="S2534" i="7"/>
  <c r="P2534" i="7"/>
  <c r="Q2534" i="7" s="1"/>
  <c r="S2533" i="7"/>
  <c r="T2533" i="7" s="1"/>
  <c r="P2533" i="7"/>
  <c r="R2533" i="7" s="1"/>
  <c r="S2532" i="7"/>
  <c r="P2532" i="7"/>
  <c r="Q2532" i="7" s="1"/>
  <c r="T2531" i="7"/>
  <c r="S2531" i="7"/>
  <c r="U2531" i="7" s="1"/>
  <c r="P2531" i="7"/>
  <c r="R2531" i="7" s="1"/>
  <c r="S2530" i="7"/>
  <c r="P2530" i="7"/>
  <c r="Q2530" i="7" s="1"/>
  <c r="S2529" i="7"/>
  <c r="P2529" i="7"/>
  <c r="R2529" i="7" s="1"/>
  <c r="S2528" i="7"/>
  <c r="P2528" i="7"/>
  <c r="S2527" i="7"/>
  <c r="U2527" i="7" s="1"/>
  <c r="P2527" i="7"/>
  <c r="R2527" i="7" s="1"/>
  <c r="S2526" i="7"/>
  <c r="P2526" i="7"/>
  <c r="Q2526" i="7" s="1"/>
  <c r="S2525" i="7"/>
  <c r="T2525" i="7" s="1"/>
  <c r="P2525" i="7"/>
  <c r="R2525" i="7" s="1"/>
  <c r="S2524" i="7"/>
  <c r="P2524" i="7"/>
  <c r="Q2524" i="7" s="1"/>
  <c r="S2523" i="7"/>
  <c r="U2523" i="7" s="1"/>
  <c r="P2523" i="7"/>
  <c r="R2523" i="7" s="1"/>
  <c r="S2522" i="7"/>
  <c r="P2522" i="7"/>
  <c r="U2521" i="7"/>
  <c r="T2521" i="7"/>
  <c r="S2521" i="7"/>
  <c r="P2521" i="7"/>
  <c r="R2521" i="7" s="1"/>
  <c r="S2520" i="7"/>
  <c r="P2520" i="7"/>
  <c r="Q2520" i="7" s="1"/>
  <c r="S2519" i="7"/>
  <c r="U2519" i="7" s="1"/>
  <c r="P2519" i="7"/>
  <c r="R2519" i="7" s="1"/>
  <c r="S2518" i="7"/>
  <c r="P2518" i="7"/>
  <c r="Q2518" i="7" s="1"/>
  <c r="S2517" i="7"/>
  <c r="T2517" i="7" s="1"/>
  <c r="P2517" i="7"/>
  <c r="R2517" i="7" s="1"/>
  <c r="S2516" i="7"/>
  <c r="P2516" i="7"/>
  <c r="Q2516" i="7" s="1"/>
  <c r="T2515" i="7"/>
  <c r="S2515" i="7"/>
  <c r="U2515" i="7" s="1"/>
  <c r="P2515" i="7"/>
  <c r="R2515" i="7" s="1"/>
  <c r="S2514" i="7"/>
  <c r="P2514" i="7"/>
  <c r="Q2514" i="7" s="1"/>
  <c r="S2513" i="7"/>
  <c r="P2513" i="7"/>
  <c r="R2513" i="7" s="1"/>
  <c r="S2512" i="7"/>
  <c r="P2512" i="7"/>
  <c r="S2511" i="7"/>
  <c r="U2511" i="7" s="1"/>
  <c r="P2511" i="7"/>
  <c r="R2511" i="7" s="1"/>
  <c r="S2510" i="7"/>
  <c r="P2510" i="7"/>
  <c r="Q2510" i="7" s="1"/>
  <c r="S2509" i="7"/>
  <c r="T2509" i="7" s="1"/>
  <c r="P2509" i="7"/>
  <c r="R2509" i="7" s="1"/>
  <c r="S2508" i="7"/>
  <c r="P2508" i="7"/>
  <c r="Q2508" i="7" s="1"/>
  <c r="S2507" i="7"/>
  <c r="U2507" i="7" s="1"/>
  <c r="P2507" i="7"/>
  <c r="R2507" i="7" s="1"/>
  <c r="S2506" i="7"/>
  <c r="P2506" i="7"/>
  <c r="U2505" i="7"/>
  <c r="T2505" i="7"/>
  <c r="S2505" i="7"/>
  <c r="P2505" i="7"/>
  <c r="R2505" i="7" s="1"/>
  <c r="S2504" i="7"/>
  <c r="P2504" i="7"/>
  <c r="Q2504" i="7" s="1"/>
  <c r="S2503" i="7"/>
  <c r="U2503" i="7" s="1"/>
  <c r="P2503" i="7"/>
  <c r="R2503" i="7" s="1"/>
  <c r="S2502" i="7"/>
  <c r="P2502" i="7"/>
  <c r="Q2502" i="7" s="1"/>
  <c r="S2501" i="7"/>
  <c r="T2501" i="7" s="1"/>
  <c r="P2501" i="7"/>
  <c r="R2501" i="7" s="1"/>
  <c r="S2500" i="7"/>
  <c r="P2500" i="7"/>
  <c r="Q2500" i="7" s="1"/>
  <c r="T2499" i="7"/>
  <c r="S2499" i="7"/>
  <c r="U2499" i="7" s="1"/>
  <c r="P2499" i="7"/>
  <c r="R2499" i="7" s="1"/>
  <c r="S2498" i="7"/>
  <c r="P2498" i="7"/>
  <c r="Q2498" i="7" s="1"/>
  <c r="S2497" i="7"/>
  <c r="P2497" i="7"/>
  <c r="R2497" i="7" s="1"/>
  <c r="S2496" i="7"/>
  <c r="P2496" i="7"/>
  <c r="S2495" i="7"/>
  <c r="U2495" i="7" s="1"/>
  <c r="P2495" i="7"/>
  <c r="R2495" i="7" s="1"/>
  <c r="S2494" i="7"/>
  <c r="P2494" i="7"/>
  <c r="Q2494" i="7" s="1"/>
  <c r="S2493" i="7"/>
  <c r="T2493" i="7" s="1"/>
  <c r="P2493" i="7"/>
  <c r="R2493" i="7" s="1"/>
  <c r="S2492" i="7"/>
  <c r="P2492" i="7"/>
  <c r="Q2492" i="7" s="1"/>
  <c r="S2491" i="7"/>
  <c r="U2491" i="7" s="1"/>
  <c r="P2491" i="7"/>
  <c r="R2491" i="7" s="1"/>
  <c r="S2490" i="7"/>
  <c r="P2490" i="7"/>
  <c r="U2489" i="7"/>
  <c r="T2489" i="7"/>
  <c r="S2489" i="7"/>
  <c r="P2489" i="7"/>
  <c r="R2489" i="7" s="1"/>
  <c r="S2488" i="7"/>
  <c r="P2488" i="7"/>
  <c r="Q2488" i="7" s="1"/>
  <c r="S2487" i="7"/>
  <c r="U2487" i="7" s="1"/>
  <c r="P2487" i="7"/>
  <c r="R2487" i="7" s="1"/>
  <c r="S2486" i="7"/>
  <c r="P2486" i="7"/>
  <c r="Q2486" i="7" s="1"/>
  <c r="S2485" i="7"/>
  <c r="T2485" i="7" s="1"/>
  <c r="P2485" i="7"/>
  <c r="R2485" i="7" s="1"/>
  <c r="S2484" i="7"/>
  <c r="P2484" i="7"/>
  <c r="Q2484" i="7" s="1"/>
  <c r="T2483" i="7"/>
  <c r="S2483" i="7"/>
  <c r="U2483" i="7" s="1"/>
  <c r="P2483" i="7"/>
  <c r="R2483" i="7" s="1"/>
  <c r="S2482" i="7"/>
  <c r="P2482" i="7"/>
  <c r="Q2482" i="7" s="1"/>
  <c r="S2481" i="7"/>
  <c r="T2481" i="7" s="1"/>
  <c r="P2481" i="7"/>
  <c r="R2481" i="7" s="1"/>
  <c r="S2480" i="7"/>
  <c r="P2480" i="7"/>
  <c r="S2479" i="7"/>
  <c r="U2479" i="7" s="1"/>
  <c r="P2479" i="7"/>
  <c r="R2479" i="7" s="1"/>
  <c r="S2478" i="7"/>
  <c r="P2478" i="7"/>
  <c r="Q2478" i="7" s="1"/>
  <c r="S2477" i="7"/>
  <c r="T2477" i="7" s="1"/>
  <c r="P2477" i="7"/>
  <c r="R2477" i="7" s="1"/>
  <c r="S2476" i="7"/>
  <c r="P2476" i="7"/>
  <c r="Q2476" i="7" s="1"/>
  <c r="S2475" i="7"/>
  <c r="U2475" i="7" s="1"/>
  <c r="P2475" i="7"/>
  <c r="R2475" i="7" s="1"/>
  <c r="S2474" i="7"/>
  <c r="P2474" i="7"/>
  <c r="S2473" i="7"/>
  <c r="P2473" i="7"/>
  <c r="R2473" i="7" s="1"/>
  <c r="S2472" i="7"/>
  <c r="P2472" i="7"/>
  <c r="S2471" i="7"/>
  <c r="U2471" i="7" s="1"/>
  <c r="P2471" i="7"/>
  <c r="R2471" i="7" s="1"/>
  <c r="S2470" i="7"/>
  <c r="P2470" i="7"/>
  <c r="Q2470" i="7" s="1"/>
  <c r="S2469" i="7"/>
  <c r="T2469" i="7" s="1"/>
  <c r="P2469" i="7"/>
  <c r="R2469" i="7" s="1"/>
  <c r="S2468" i="7"/>
  <c r="P2468" i="7"/>
  <c r="Q2468" i="7" s="1"/>
  <c r="S2467" i="7"/>
  <c r="U2467" i="7" s="1"/>
  <c r="P2467" i="7"/>
  <c r="R2467" i="7" s="1"/>
  <c r="S2466" i="7"/>
  <c r="P2466" i="7"/>
  <c r="Q2466" i="7" s="1"/>
  <c r="S2465" i="7"/>
  <c r="P2465" i="7"/>
  <c r="R2465" i="7" s="1"/>
  <c r="S2464" i="7"/>
  <c r="P2464" i="7"/>
  <c r="S2463" i="7"/>
  <c r="U2463" i="7" s="1"/>
  <c r="P2463" i="7"/>
  <c r="R2463" i="7" s="1"/>
  <c r="S2462" i="7"/>
  <c r="P2462" i="7"/>
  <c r="Q2462" i="7" s="1"/>
  <c r="S2461" i="7"/>
  <c r="T2461" i="7" s="1"/>
  <c r="P2461" i="7"/>
  <c r="R2461" i="7" s="1"/>
  <c r="S2460" i="7"/>
  <c r="P2460" i="7"/>
  <c r="Q2460" i="7" s="1"/>
  <c r="U2459" i="7"/>
  <c r="S2459" i="7"/>
  <c r="T2459" i="7" s="1"/>
  <c r="P2459" i="7"/>
  <c r="R2459" i="7" s="1"/>
  <c r="S2458" i="7"/>
  <c r="R2458" i="7"/>
  <c r="P2458" i="7"/>
  <c r="Q2458" i="7" s="1"/>
  <c r="U2457" i="7"/>
  <c r="T2457" i="7"/>
  <c r="S2457" i="7"/>
  <c r="P2457" i="7"/>
  <c r="R2457" i="7" s="1"/>
  <c r="S2456" i="7"/>
  <c r="R2456" i="7"/>
  <c r="P2456" i="7"/>
  <c r="Q2456" i="7" s="1"/>
  <c r="S2455" i="7"/>
  <c r="U2455" i="7" s="1"/>
  <c r="P2455" i="7"/>
  <c r="R2455" i="7" s="1"/>
  <c r="S2454" i="7"/>
  <c r="P2454" i="7"/>
  <c r="Q2454" i="7" s="1"/>
  <c r="S2453" i="7"/>
  <c r="T2453" i="7" s="1"/>
  <c r="P2453" i="7"/>
  <c r="R2453" i="7" s="1"/>
  <c r="S2452" i="7"/>
  <c r="P2452" i="7"/>
  <c r="Q2452" i="7" s="1"/>
  <c r="S2451" i="7"/>
  <c r="U2451" i="7" s="1"/>
  <c r="P2451" i="7"/>
  <c r="R2451" i="7" s="1"/>
  <c r="S2450" i="7"/>
  <c r="P2450" i="7"/>
  <c r="Q2450" i="7" s="1"/>
  <c r="S2449" i="7"/>
  <c r="P2449" i="7"/>
  <c r="R2449" i="7" s="1"/>
  <c r="S2448" i="7"/>
  <c r="P2448" i="7"/>
  <c r="S2447" i="7"/>
  <c r="U2447" i="7" s="1"/>
  <c r="P2447" i="7"/>
  <c r="R2447" i="7" s="1"/>
  <c r="S2446" i="7"/>
  <c r="P2446" i="7"/>
  <c r="Q2446" i="7" s="1"/>
  <c r="S2445" i="7"/>
  <c r="T2445" i="7" s="1"/>
  <c r="P2445" i="7"/>
  <c r="R2445" i="7" s="1"/>
  <c r="S2444" i="7"/>
  <c r="P2444" i="7"/>
  <c r="Q2444" i="7" s="1"/>
  <c r="U2443" i="7"/>
  <c r="T2443" i="7"/>
  <c r="S2443" i="7"/>
  <c r="P2443" i="7"/>
  <c r="R2443" i="7" s="1"/>
  <c r="S2442" i="7"/>
  <c r="R2442" i="7"/>
  <c r="P2442" i="7"/>
  <c r="Q2442" i="7" s="1"/>
  <c r="S2441" i="7"/>
  <c r="T2441" i="7" s="1"/>
  <c r="P2441" i="7"/>
  <c r="R2441" i="7" s="1"/>
  <c r="S2440" i="7"/>
  <c r="P2440" i="7"/>
  <c r="Q2440" i="7" s="1"/>
  <c r="S2439" i="7"/>
  <c r="U2439" i="7" s="1"/>
  <c r="P2439" i="7"/>
  <c r="R2439" i="7" s="1"/>
  <c r="S2438" i="7"/>
  <c r="P2438" i="7"/>
  <c r="Q2438" i="7" s="1"/>
  <c r="S2437" i="7"/>
  <c r="T2437" i="7" s="1"/>
  <c r="P2437" i="7"/>
  <c r="R2437" i="7" s="1"/>
  <c r="S2436" i="7"/>
  <c r="P2436" i="7"/>
  <c r="Q2436" i="7" s="1"/>
  <c r="S2435" i="7"/>
  <c r="P2435" i="7"/>
  <c r="R2435" i="7" s="1"/>
  <c r="S2434" i="7"/>
  <c r="P2434" i="7"/>
  <c r="S2433" i="7"/>
  <c r="T2433" i="7" s="1"/>
  <c r="P2433" i="7"/>
  <c r="R2433" i="7" s="1"/>
  <c r="S2432" i="7"/>
  <c r="P2432" i="7"/>
  <c r="S2431" i="7"/>
  <c r="U2431" i="7" s="1"/>
  <c r="P2431" i="7"/>
  <c r="R2431" i="7" s="1"/>
  <c r="S2430" i="7"/>
  <c r="P2430" i="7"/>
  <c r="Q2430" i="7" s="1"/>
  <c r="S2429" i="7"/>
  <c r="T2429" i="7" s="1"/>
  <c r="P2429" i="7"/>
  <c r="R2429" i="7" s="1"/>
  <c r="S2428" i="7"/>
  <c r="P2428" i="7"/>
  <c r="Q2428" i="7" s="1"/>
  <c r="U2427" i="7"/>
  <c r="T2427" i="7"/>
  <c r="S2427" i="7"/>
  <c r="P2427" i="7"/>
  <c r="R2427" i="7" s="1"/>
  <c r="S2426" i="7"/>
  <c r="R2426" i="7"/>
  <c r="P2426" i="7"/>
  <c r="Q2426" i="7" s="1"/>
  <c r="S2425" i="7"/>
  <c r="U2425" i="7" s="1"/>
  <c r="P2425" i="7"/>
  <c r="R2425" i="7" s="1"/>
  <c r="S2424" i="7"/>
  <c r="P2424" i="7"/>
  <c r="Q2424" i="7" s="1"/>
  <c r="S2423" i="7"/>
  <c r="U2423" i="7" s="1"/>
  <c r="P2423" i="7"/>
  <c r="R2423" i="7" s="1"/>
  <c r="S2422" i="7"/>
  <c r="P2422" i="7"/>
  <c r="Q2422" i="7" s="1"/>
  <c r="S2421" i="7"/>
  <c r="T2421" i="7" s="1"/>
  <c r="P2421" i="7"/>
  <c r="R2421" i="7" s="1"/>
  <c r="S2420" i="7"/>
  <c r="P2420" i="7"/>
  <c r="Q2420" i="7" s="1"/>
  <c r="S2419" i="7"/>
  <c r="U2419" i="7" s="1"/>
  <c r="P2419" i="7"/>
  <c r="R2419" i="7" s="1"/>
  <c r="S2418" i="7"/>
  <c r="P2418" i="7"/>
  <c r="S2417" i="7"/>
  <c r="T2417" i="7" s="1"/>
  <c r="P2417" i="7"/>
  <c r="R2417" i="7" s="1"/>
  <c r="S2416" i="7"/>
  <c r="P2416" i="7"/>
  <c r="S2415" i="7"/>
  <c r="U2415" i="7" s="1"/>
  <c r="P2415" i="7"/>
  <c r="R2415" i="7" s="1"/>
  <c r="S2414" i="7"/>
  <c r="P2414" i="7"/>
  <c r="Q2414" i="7" s="1"/>
  <c r="S2413" i="7"/>
  <c r="T2413" i="7" s="1"/>
  <c r="P2413" i="7"/>
  <c r="R2413" i="7" s="1"/>
  <c r="S2412" i="7"/>
  <c r="P2412" i="7"/>
  <c r="Q2412" i="7" s="1"/>
  <c r="U2411" i="7"/>
  <c r="S2411" i="7"/>
  <c r="T2411" i="7" s="1"/>
  <c r="P2411" i="7"/>
  <c r="R2411" i="7" s="1"/>
  <c r="S2410" i="7"/>
  <c r="R2410" i="7"/>
  <c r="P2410" i="7"/>
  <c r="Q2410" i="7" s="1"/>
  <c r="S2409" i="7"/>
  <c r="P2409" i="7"/>
  <c r="R2409" i="7" s="1"/>
  <c r="S2408" i="7"/>
  <c r="P2408" i="7"/>
  <c r="S2407" i="7"/>
  <c r="U2407" i="7" s="1"/>
  <c r="P2407" i="7"/>
  <c r="R2407" i="7" s="1"/>
  <c r="S2406" i="7"/>
  <c r="P2406" i="7"/>
  <c r="Q2406" i="7" s="1"/>
  <c r="S2405" i="7"/>
  <c r="T2405" i="7" s="1"/>
  <c r="P2405" i="7"/>
  <c r="R2405" i="7" s="1"/>
  <c r="S2404" i="7"/>
  <c r="P2404" i="7"/>
  <c r="Q2404" i="7" s="1"/>
  <c r="S2403" i="7"/>
  <c r="U2403" i="7" s="1"/>
  <c r="P2403" i="7"/>
  <c r="R2403" i="7" s="1"/>
  <c r="S2402" i="7"/>
  <c r="P2402" i="7"/>
  <c r="Q2402" i="7" s="1"/>
  <c r="S2401" i="7"/>
  <c r="P2401" i="7"/>
  <c r="R2401" i="7" s="1"/>
  <c r="S2400" i="7"/>
  <c r="P2400" i="7"/>
  <c r="S2399" i="7"/>
  <c r="U2399" i="7" s="1"/>
  <c r="P2399" i="7"/>
  <c r="R2399" i="7" s="1"/>
  <c r="S2398" i="7"/>
  <c r="P2398" i="7"/>
  <c r="Q2398" i="7" s="1"/>
  <c r="S2397" i="7"/>
  <c r="T2397" i="7" s="1"/>
  <c r="P2397" i="7"/>
  <c r="R2397" i="7" s="1"/>
  <c r="S2396" i="7"/>
  <c r="P2396" i="7"/>
  <c r="Q2396" i="7" s="1"/>
  <c r="U2395" i="7"/>
  <c r="T2395" i="7"/>
  <c r="S2395" i="7"/>
  <c r="P2395" i="7"/>
  <c r="R2395" i="7" s="1"/>
  <c r="S2394" i="7"/>
  <c r="R2394" i="7"/>
  <c r="P2394" i="7"/>
  <c r="Q2394" i="7" s="1"/>
  <c r="T2393" i="7"/>
  <c r="S2393" i="7"/>
  <c r="U2393" i="7" s="1"/>
  <c r="P2393" i="7"/>
  <c r="R2393" i="7" s="1"/>
  <c r="S2392" i="7"/>
  <c r="P2392" i="7"/>
  <c r="Q2392" i="7" s="1"/>
  <c r="S2391" i="7"/>
  <c r="U2391" i="7" s="1"/>
  <c r="P2391" i="7"/>
  <c r="R2391" i="7" s="1"/>
  <c r="S2390" i="7"/>
  <c r="P2390" i="7"/>
  <c r="Q2390" i="7" s="1"/>
  <c r="S2389" i="7"/>
  <c r="T2389" i="7" s="1"/>
  <c r="P2389" i="7"/>
  <c r="R2389" i="7" s="1"/>
  <c r="S2388" i="7"/>
  <c r="P2388" i="7"/>
  <c r="Q2388" i="7" s="1"/>
  <c r="S2387" i="7"/>
  <c r="U2387" i="7" s="1"/>
  <c r="P2387" i="7"/>
  <c r="R2387" i="7" s="1"/>
  <c r="S2386" i="7"/>
  <c r="P2386" i="7"/>
  <c r="Q2386" i="7" s="1"/>
  <c r="S2385" i="7"/>
  <c r="T2385" i="7" s="1"/>
  <c r="P2385" i="7"/>
  <c r="R2385" i="7" s="1"/>
  <c r="S2384" i="7"/>
  <c r="P2384" i="7"/>
  <c r="S2383" i="7"/>
  <c r="U2383" i="7" s="1"/>
  <c r="P2383" i="7"/>
  <c r="R2383" i="7" s="1"/>
  <c r="S2382" i="7"/>
  <c r="P2382" i="7"/>
  <c r="Q2382" i="7" s="1"/>
  <c r="S2381" i="7"/>
  <c r="T2381" i="7" s="1"/>
  <c r="P2381" i="7"/>
  <c r="R2381" i="7" s="1"/>
  <c r="S2380" i="7"/>
  <c r="P2380" i="7"/>
  <c r="Q2380" i="7" s="1"/>
  <c r="T2379" i="7"/>
  <c r="S2379" i="7"/>
  <c r="U2379" i="7" s="1"/>
  <c r="P2379" i="7"/>
  <c r="R2379" i="7" s="1"/>
  <c r="S2378" i="7"/>
  <c r="P2378" i="7"/>
  <c r="Q2378" i="7" s="1"/>
  <c r="S2377" i="7"/>
  <c r="T2377" i="7" s="1"/>
  <c r="P2377" i="7"/>
  <c r="R2377" i="7" s="1"/>
  <c r="S2376" i="7"/>
  <c r="P2376" i="7"/>
  <c r="Q2376" i="7" s="1"/>
  <c r="S2375" i="7"/>
  <c r="U2375" i="7" s="1"/>
  <c r="P2375" i="7"/>
  <c r="R2375" i="7" s="1"/>
  <c r="S2374" i="7"/>
  <c r="P2374" i="7"/>
  <c r="Q2374" i="7" s="1"/>
  <c r="S2373" i="7"/>
  <c r="T2373" i="7" s="1"/>
  <c r="P2373" i="7"/>
  <c r="R2373" i="7" s="1"/>
  <c r="S2372" i="7"/>
  <c r="P2372" i="7"/>
  <c r="Q2372" i="7" s="1"/>
  <c r="S2371" i="7"/>
  <c r="P2371" i="7"/>
  <c r="R2371" i="7" s="1"/>
  <c r="S2370" i="7"/>
  <c r="P2370" i="7"/>
  <c r="S2369" i="7"/>
  <c r="T2369" i="7" s="1"/>
  <c r="P2369" i="7"/>
  <c r="R2369" i="7" s="1"/>
  <c r="S2368" i="7"/>
  <c r="P2368" i="7"/>
  <c r="S2367" i="7"/>
  <c r="U2367" i="7" s="1"/>
  <c r="P2367" i="7"/>
  <c r="R2367" i="7" s="1"/>
  <c r="S2366" i="7"/>
  <c r="P2366" i="7"/>
  <c r="Q2366" i="7" s="1"/>
  <c r="S2365" i="7"/>
  <c r="T2365" i="7" s="1"/>
  <c r="P2365" i="7"/>
  <c r="R2365" i="7" s="1"/>
  <c r="S2364" i="7"/>
  <c r="P2364" i="7"/>
  <c r="Q2364" i="7" s="1"/>
  <c r="S2363" i="7"/>
  <c r="U2363" i="7" s="1"/>
  <c r="P2363" i="7"/>
  <c r="R2363" i="7" s="1"/>
  <c r="S2362" i="7"/>
  <c r="P2362" i="7"/>
  <c r="Q2362" i="7" s="1"/>
  <c r="S2361" i="7"/>
  <c r="U2361" i="7" s="1"/>
  <c r="P2361" i="7"/>
  <c r="S2360" i="7"/>
  <c r="U2360" i="7" s="1"/>
  <c r="P2360" i="7"/>
  <c r="T2359" i="7"/>
  <c r="S2359" i="7"/>
  <c r="U2359" i="7" s="1"/>
  <c r="P2359" i="7"/>
  <c r="Q2359" i="7" s="1"/>
  <c r="S2358" i="7"/>
  <c r="P2358" i="7"/>
  <c r="Q2358" i="7" s="1"/>
  <c r="S2357" i="7"/>
  <c r="U2357" i="7" s="1"/>
  <c r="P2357" i="7"/>
  <c r="S2356" i="7"/>
  <c r="U2356" i="7" s="1"/>
  <c r="P2356" i="7"/>
  <c r="S2355" i="7"/>
  <c r="T2355" i="7" s="1"/>
  <c r="R2355" i="7"/>
  <c r="P2355" i="7"/>
  <c r="Q2355" i="7" s="1"/>
  <c r="S2354" i="7"/>
  <c r="P2354" i="7"/>
  <c r="Q2354" i="7" s="1"/>
  <c r="U2353" i="7"/>
  <c r="S2353" i="7"/>
  <c r="T2353" i="7" s="1"/>
  <c r="P2353" i="7"/>
  <c r="S2352" i="7"/>
  <c r="U2352" i="7" s="1"/>
  <c r="P2352" i="7"/>
  <c r="S2351" i="7"/>
  <c r="U2351" i="7" s="1"/>
  <c r="P2351" i="7"/>
  <c r="S2350" i="7"/>
  <c r="P2350" i="7"/>
  <c r="Q2350" i="7" s="1"/>
  <c r="S2349" i="7"/>
  <c r="T2349" i="7" s="1"/>
  <c r="P2349" i="7"/>
  <c r="S2348" i="7"/>
  <c r="U2348" i="7" s="1"/>
  <c r="P2348" i="7"/>
  <c r="S2347" i="7"/>
  <c r="U2347" i="7" s="1"/>
  <c r="P2347" i="7"/>
  <c r="Q2347" i="7" s="1"/>
  <c r="S2346" i="7"/>
  <c r="P2346" i="7"/>
  <c r="Q2346" i="7" s="1"/>
  <c r="S2345" i="7"/>
  <c r="U2345" i="7" s="1"/>
  <c r="P2345" i="7"/>
  <c r="S2344" i="7"/>
  <c r="U2344" i="7" s="1"/>
  <c r="P2344" i="7"/>
  <c r="S2343" i="7"/>
  <c r="U2343" i="7" s="1"/>
  <c r="P2343" i="7"/>
  <c r="Q2343" i="7" s="1"/>
  <c r="S2342" i="7"/>
  <c r="P2342" i="7"/>
  <c r="Q2342" i="7" s="1"/>
  <c r="S2341" i="7"/>
  <c r="U2341" i="7" s="1"/>
  <c r="P2341" i="7"/>
  <c r="S2340" i="7"/>
  <c r="U2340" i="7" s="1"/>
  <c r="P2340" i="7"/>
  <c r="S2339" i="7"/>
  <c r="T2339" i="7" s="1"/>
  <c r="R2339" i="7"/>
  <c r="P2339" i="7"/>
  <c r="Q2339" i="7" s="1"/>
  <c r="S2338" i="7"/>
  <c r="P2338" i="7"/>
  <c r="Q2338" i="7" s="1"/>
  <c r="S2337" i="7"/>
  <c r="P2337" i="7"/>
  <c r="S2336" i="7"/>
  <c r="U2336" i="7" s="1"/>
  <c r="P2336" i="7"/>
  <c r="S2335" i="7"/>
  <c r="U2335" i="7" s="1"/>
  <c r="P2335" i="7"/>
  <c r="Q2335" i="7" s="1"/>
  <c r="S2334" i="7"/>
  <c r="P2334" i="7"/>
  <c r="Q2334" i="7" s="1"/>
  <c r="S2333" i="7"/>
  <c r="T2333" i="7" s="1"/>
  <c r="P2333" i="7"/>
  <c r="S2332" i="7"/>
  <c r="U2332" i="7" s="1"/>
  <c r="P2332" i="7"/>
  <c r="U2331" i="7"/>
  <c r="S2331" i="7"/>
  <c r="T2331" i="7" s="1"/>
  <c r="P2331" i="7"/>
  <c r="Q2331" i="7" s="1"/>
  <c r="S2330" i="7"/>
  <c r="P2330" i="7"/>
  <c r="Q2330" i="7" s="1"/>
  <c r="S2329" i="7"/>
  <c r="U2329" i="7" s="1"/>
  <c r="P2329" i="7"/>
  <c r="S2328" i="7"/>
  <c r="U2328" i="7" s="1"/>
  <c r="P2328" i="7"/>
  <c r="S2327" i="7"/>
  <c r="P2327" i="7"/>
  <c r="Q2327" i="7" s="1"/>
  <c r="S2326" i="7"/>
  <c r="P2326" i="7"/>
  <c r="Q2326" i="7" s="1"/>
  <c r="S2325" i="7"/>
  <c r="U2325" i="7" s="1"/>
  <c r="P2325" i="7"/>
  <c r="S2324" i="7"/>
  <c r="U2324" i="7" s="1"/>
  <c r="P2324" i="7"/>
  <c r="S2323" i="7"/>
  <c r="T2323" i="7" s="1"/>
  <c r="P2323" i="7"/>
  <c r="S2322" i="7"/>
  <c r="P2322" i="7"/>
  <c r="Q2322" i="7" s="1"/>
  <c r="U2321" i="7"/>
  <c r="S2321" i="7"/>
  <c r="T2321" i="7" s="1"/>
  <c r="P2321" i="7"/>
  <c r="S2320" i="7"/>
  <c r="U2320" i="7" s="1"/>
  <c r="P2320" i="7"/>
  <c r="S2319" i="7"/>
  <c r="U2319" i="7" s="1"/>
  <c r="P2319" i="7"/>
  <c r="S2318" i="7"/>
  <c r="P2318" i="7"/>
  <c r="Q2318" i="7" s="1"/>
  <c r="S2317" i="7"/>
  <c r="T2317" i="7" s="1"/>
  <c r="P2317" i="7"/>
  <c r="S2316" i="7"/>
  <c r="U2316" i="7" s="1"/>
  <c r="P2316" i="7"/>
  <c r="S2315" i="7"/>
  <c r="U2315" i="7" s="1"/>
  <c r="P2315" i="7"/>
  <c r="Q2315" i="7" s="1"/>
  <c r="S2314" i="7"/>
  <c r="P2314" i="7"/>
  <c r="Q2314" i="7" s="1"/>
  <c r="S2313" i="7"/>
  <c r="U2313" i="7" s="1"/>
  <c r="P2313" i="7"/>
  <c r="S2312" i="7"/>
  <c r="U2312" i="7" s="1"/>
  <c r="P2312" i="7"/>
  <c r="S2311" i="7"/>
  <c r="U2311" i="7" s="1"/>
  <c r="P2311" i="7"/>
  <c r="Q2311" i="7" s="1"/>
  <c r="S2310" i="7"/>
  <c r="P2310" i="7"/>
  <c r="Q2310" i="7" s="1"/>
  <c r="T2309" i="7"/>
  <c r="S2309" i="7"/>
  <c r="U2309" i="7" s="1"/>
  <c r="P2309" i="7"/>
  <c r="S2308" i="7"/>
  <c r="U2308" i="7" s="1"/>
  <c r="P2308" i="7"/>
  <c r="S2307" i="7"/>
  <c r="T2307" i="7" s="1"/>
  <c r="P2307" i="7"/>
  <c r="S2306" i="7"/>
  <c r="P2306" i="7"/>
  <c r="Q2306" i="7" s="1"/>
  <c r="S2305" i="7"/>
  <c r="T2305" i="7" s="1"/>
  <c r="P2305" i="7"/>
  <c r="S2304" i="7"/>
  <c r="U2304" i="7" s="1"/>
  <c r="P2304" i="7"/>
  <c r="S2303" i="7"/>
  <c r="U2303" i="7" s="1"/>
  <c r="R2303" i="7"/>
  <c r="P2303" i="7"/>
  <c r="Q2303" i="7" s="1"/>
  <c r="S2302" i="7"/>
  <c r="P2302" i="7"/>
  <c r="Q2302" i="7" s="1"/>
  <c r="S2301" i="7"/>
  <c r="T2301" i="7" s="1"/>
  <c r="P2301" i="7"/>
  <c r="S2300" i="7"/>
  <c r="U2300" i="7" s="1"/>
  <c r="P2300" i="7"/>
  <c r="U2299" i="7"/>
  <c r="T2299" i="7"/>
  <c r="S2299" i="7"/>
  <c r="P2299" i="7"/>
  <c r="Q2299" i="7" s="1"/>
  <c r="S2298" i="7"/>
  <c r="P2298" i="7"/>
  <c r="Q2298" i="7" s="1"/>
  <c r="S2297" i="7"/>
  <c r="U2297" i="7" s="1"/>
  <c r="P2297" i="7"/>
  <c r="S2296" i="7"/>
  <c r="U2296" i="7" s="1"/>
  <c r="P2296" i="7"/>
  <c r="S2295" i="7"/>
  <c r="U2295" i="7" s="1"/>
  <c r="P2295" i="7"/>
  <c r="Q2295" i="7" s="1"/>
  <c r="S2294" i="7"/>
  <c r="P2294" i="7"/>
  <c r="Q2294" i="7" s="1"/>
  <c r="S2293" i="7"/>
  <c r="P2293" i="7"/>
  <c r="S2292" i="7"/>
  <c r="U2292" i="7" s="1"/>
  <c r="P2292" i="7"/>
  <c r="S2291" i="7"/>
  <c r="T2291" i="7" s="1"/>
  <c r="P2291" i="7"/>
  <c r="Q2291" i="7" s="1"/>
  <c r="S2290" i="7"/>
  <c r="P2290" i="7"/>
  <c r="Q2290" i="7" s="1"/>
  <c r="S2289" i="7"/>
  <c r="P2289" i="7"/>
  <c r="S2288" i="7"/>
  <c r="U2288" i="7" s="1"/>
  <c r="P2288" i="7"/>
  <c r="S2287" i="7"/>
  <c r="U2287" i="7" s="1"/>
  <c r="P2287" i="7"/>
  <c r="S2286" i="7"/>
  <c r="P2286" i="7"/>
  <c r="Q2286" i="7" s="1"/>
  <c r="S2285" i="7"/>
  <c r="T2285" i="7" s="1"/>
  <c r="P2285" i="7"/>
  <c r="S2284" i="7"/>
  <c r="U2284" i="7" s="1"/>
  <c r="P2284" i="7"/>
  <c r="S2283" i="7"/>
  <c r="U2283" i="7" s="1"/>
  <c r="P2283" i="7"/>
  <c r="Q2283" i="7" s="1"/>
  <c r="S2282" i="7"/>
  <c r="P2282" i="7"/>
  <c r="Q2282" i="7" s="1"/>
  <c r="S2281" i="7"/>
  <c r="U2281" i="7" s="1"/>
  <c r="P2281" i="7"/>
  <c r="S2280" i="7"/>
  <c r="U2280" i="7" s="1"/>
  <c r="P2280" i="7"/>
  <c r="U2279" i="7"/>
  <c r="S2279" i="7"/>
  <c r="T2279" i="7" s="1"/>
  <c r="P2279" i="7"/>
  <c r="Q2279" i="7" s="1"/>
  <c r="S2278" i="7"/>
  <c r="P2278" i="7"/>
  <c r="Q2278" i="7" s="1"/>
  <c r="S2277" i="7"/>
  <c r="P2277" i="7"/>
  <c r="S2276" i="7"/>
  <c r="U2276" i="7" s="1"/>
  <c r="P2276" i="7"/>
  <c r="S2275" i="7"/>
  <c r="T2275" i="7" s="1"/>
  <c r="R2275" i="7"/>
  <c r="P2275" i="7"/>
  <c r="Q2275" i="7" s="1"/>
  <c r="S2274" i="7"/>
  <c r="P2274" i="7"/>
  <c r="Q2274" i="7" s="1"/>
  <c r="S2273" i="7"/>
  <c r="T2273" i="7" s="1"/>
  <c r="P2273" i="7"/>
  <c r="S2272" i="7"/>
  <c r="U2272" i="7" s="1"/>
  <c r="P2272" i="7"/>
  <c r="S2271" i="7"/>
  <c r="U2271" i="7" s="1"/>
  <c r="P2271" i="7"/>
  <c r="S2270" i="7"/>
  <c r="P2270" i="7"/>
  <c r="Q2270" i="7" s="1"/>
  <c r="S2269" i="7"/>
  <c r="T2269" i="7" s="1"/>
  <c r="P2269" i="7"/>
  <c r="S2268" i="7"/>
  <c r="U2268" i="7" s="1"/>
  <c r="P2268" i="7"/>
  <c r="U2267" i="7"/>
  <c r="T2267" i="7"/>
  <c r="S2267" i="7"/>
  <c r="P2267" i="7"/>
  <c r="Q2267" i="7" s="1"/>
  <c r="S2266" i="7"/>
  <c r="P2266" i="7"/>
  <c r="Q2266" i="7" s="1"/>
  <c r="S2265" i="7"/>
  <c r="U2265" i="7" s="1"/>
  <c r="P2265" i="7"/>
  <c r="S2264" i="7"/>
  <c r="U2264" i="7" s="1"/>
  <c r="P2264" i="7"/>
  <c r="S2263" i="7"/>
  <c r="U2263" i="7" s="1"/>
  <c r="P2263" i="7"/>
  <c r="Q2263" i="7" s="1"/>
  <c r="S2262" i="7"/>
  <c r="P2262" i="7"/>
  <c r="Q2262" i="7" s="1"/>
  <c r="S2261" i="7"/>
  <c r="P2261" i="7"/>
  <c r="S2260" i="7"/>
  <c r="U2260" i="7" s="1"/>
  <c r="P2260" i="7"/>
  <c r="S2259" i="7"/>
  <c r="T2259" i="7" s="1"/>
  <c r="P2259" i="7"/>
  <c r="Q2259" i="7" s="1"/>
  <c r="S2258" i="7"/>
  <c r="P2258" i="7"/>
  <c r="Q2258" i="7" s="1"/>
  <c r="S2257" i="7"/>
  <c r="U2257" i="7" s="1"/>
  <c r="P2257" i="7"/>
  <c r="S2256" i="7"/>
  <c r="U2256" i="7" s="1"/>
  <c r="P2256" i="7"/>
  <c r="S2255" i="7"/>
  <c r="U2255" i="7" s="1"/>
  <c r="P2255" i="7"/>
  <c r="S2254" i="7"/>
  <c r="P2254" i="7"/>
  <c r="Q2254" i="7" s="1"/>
  <c r="S2253" i="7"/>
  <c r="T2253" i="7" s="1"/>
  <c r="P2253" i="7"/>
  <c r="S2252" i="7"/>
  <c r="U2252" i="7" s="1"/>
  <c r="P2252" i="7"/>
  <c r="S2251" i="7"/>
  <c r="P2251" i="7"/>
  <c r="Q2251" i="7" s="1"/>
  <c r="S2250" i="7"/>
  <c r="P2250" i="7"/>
  <c r="Q2250" i="7" s="1"/>
  <c r="S2249" i="7"/>
  <c r="U2249" i="7" s="1"/>
  <c r="P2249" i="7"/>
  <c r="S2248" i="7"/>
  <c r="U2248" i="7" s="1"/>
  <c r="P2248" i="7"/>
  <c r="U2247" i="7"/>
  <c r="T2247" i="7"/>
  <c r="S2247" i="7"/>
  <c r="P2247" i="7"/>
  <c r="Q2247" i="7" s="1"/>
  <c r="S2246" i="7"/>
  <c r="P2246" i="7"/>
  <c r="Q2246" i="7" s="1"/>
  <c r="S2245" i="7"/>
  <c r="U2245" i="7" s="1"/>
  <c r="P2245" i="7"/>
  <c r="S2244" i="7"/>
  <c r="U2244" i="7" s="1"/>
  <c r="P2244" i="7"/>
  <c r="S2243" i="7"/>
  <c r="T2243" i="7" s="1"/>
  <c r="P2243" i="7"/>
  <c r="S2242" i="7"/>
  <c r="P2242" i="7"/>
  <c r="Q2242" i="7" s="1"/>
  <c r="S2241" i="7"/>
  <c r="T2241" i="7" s="1"/>
  <c r="P2241" i="7"/>
  <c r="S2240" i="7"/>
  <c r="U2240" i="7" s="1"/>
  <c r="P2240" i="7"/>
  <c r="S2239" i="7"/>
  <c r="U2239" i="7" s="1"/>
  <c r="P2239" i="7"/>
  <c r="Q2239" i="7" s="1"/>
  <c r="S2238" i="7"/>
  <c r="P2238" i="7"/>
  <c r="Q2238" i="7" s="1"/>
  <c r="S2237" i="7"/>
  <c r="T2237" i="7" s="1"/>
  <c r="P2237" i="7"/>
  <c r="S2236" i="7"/>
  <c r="U2236" i="7" s="1"/>
  <c r="P2236" i="7"/>
  <c r="U2235" i="7"/>
  <c r="T2235" i="7"/>
  <c r="S2235" i="7"/>
  <c r="P2235" i="7"/>
  <c r="Q2235" i="7" s="1"/>
  <c r="S2234" i="7"/>
  <c r="P2234" i="7"/>
  <c r="Q2234" i="7" s="1"/>
  <c r="S2233" i="7"/>
  <c r="U2233" i="7" s="1"/>
  <c r="P2233" i="7"/>
  <c r="S2232" i="7"/>
  <c r="U2232" i="7" s="1"/>
  <c r="P2232" i="7"/>
  <c r="S2231" i="7"/>
  <c r="U2231" i="7" s="1"/>
  <c r="P2231" i="7"/>
  <c r="Q2231" i="7" s="1"/>
  <c r="S2230" i="7"/>
  <c r="P2230" i="7"/>
  <c r="Q2230" i="7" s="1"/>
  <c r="U2229" i="7"/>
  <c r="T2229" i="7"/>
  <c r="S2229" i="7"/>
  <c r="P2229" i="7"/>
  <c r="S2228" i="7"/>
  <c r="U2228" i="7" s="1"/>
  <c r="P2228" i="7"/>
  <c r="S2227" i="7"/>
  <c r="T2227" i="7" s="1"/>
  <c r="P2227" i="7"/>
  <c r="Q2227" i="7" s="1"/>
  <c r="S2226" i="7"/>
  <c r="P2226" i="7"/>
  <c r="Q2226" i="7" s="1"/>
  <c r="S2225" i="7"/>
  <c r="T2225" i="7" s="1"/>
  <c r="P2225" i="7"/>
  <c r="S2224" i="7"/>
  <c r="U2224" i="7" s="1"/>
  <c r="P2224" i="7"/>
  <c r="S2223" i="7"/>
  <c r="U2223" i="7" s="1"/>
  <c r="P2223" i="7"/>
  <c r="S2222" i="7"/>
  <c r="P2222" i="7"/>
  <c r="Q2222" i="7" s="1"/>
  <c r="S2221" i="7"/>
  <c r="T2221" i="7" s="1"/>
  <c r="P2221" i="7"/>
  <c r="S2220" i="7"/>
  <c r="U2220" i="7" s="1"/>
  <c r="P2220" i="7"/>
  <c r="S2219" i="7"/>
  <c r="U2219" i="7" s="1"/>
  <c r="P2219" i="7"/>
  <c r="Q2219" i="7" s="1"/>
  <c r="S2218" i="7"/>
  <c r="P2218" i="7"/>
  <c r="Q2218" i="7" s="1"/>
  <c r="S2217" i="7"/>
  <c r="U2217" i="7" s="1"/>
  <c r="P2217" i="7"/>
  <c r="S2216" i="7"/>
  <c r="U2216" i="7" s="1"/>
  <c r="P2216" i="7"/>
  <c r="U2215" i="7"/>
  <c r="T2215" i="7"/>
  <c r="S2215" i="7"/>
  <c r="P2215" i="7"/>
  <c r="Q2215" i="7" s="1"/>
  <c r="S2214" i="7"/>
  <c r="P2214" i="7"/>
  <c r="Q2214" i="7" s="1"/>
  <c r="S2213" i="7"/>
  <c r="U2213" i="7" s="1"/>
  <c r="P2213" i="7"/>
  <c r="S2212" i="7"/>
  <c r="U2212" i="7" s="1"/>
  <c r="P2212" i="7"/>
  <c r="S2211" i="7"/>
  <c r="T2211" i="7" s="1"/>
  <c r="P2211" i="7"/>
  <c r="Q2211" i="7" s="1"/>
  <c r="S2210" i="7"/>
  <c r="P2210" i="7"/>
  <c r="Q2210" i="7" s="1"/>
  <c r="S2209" i="7"/>
  <c r="P2209" i="7"/>
  <c r="S2208" i="7"/>
  <c r="U2208" i="7" s="1"/>
  <c r="P2208" i="7"/>
  <c r="S2207" i="7"/>
  <c r="U2207" i="7" s="1"/>
  <c r="P2207" i="7"/>
  <c r="Q2207" i="7" s="1"/>
  <c r="S2206" i="7"/>
  <c r="P2206" i="7"/>
  <c r="Q2206" i="7" s="1"/>
  <c r="S2205" i="7"/>
  <c r="T2205" i="7" s="1"/>
  <c r="P2205" i="7"/>
  <c r="S2204" i="7"/>
  <c r="U2204" i="7" s="1"/>
  <c r="P2204" i="7"/>
  <c r="Q2204" i="7" s="1"/>
  <c r="S2203" i="7"/>
  <c r="U2203" i="7" s="1"/>
  <c r="P2203" i="7"/>
  <c r="Q2203" i="7" s="1"/>
  <c r="S2202" i="7"/>
  <c r="U2202" i="7" s="1"/>
  <c r="P2202" i="7"/>
  <c r="Q2202" i="7" s="1"/>
  <c r="S2201" i="7"/>
  <c r="P2201" i="7"/>
  <c r="S2200" i="7"/>
  <c r="U2200" i="7" s="1"/>
  <c r="P2200" i="7"/>
  <c r="S2199" i="7"/>
  <c r="U2199" i="7" s="1"/>
  <c r="P2199" i="7"/>
  <c r="S2198" i="7"/>
  <c r="U2198" i="7" s="1"/>
  <c r="P2198" i="7"/>
  <c r="Q2198" i="7" s="1"/>
  <c r="S2197" i="7"/>
  <c r="T2197" i="7" s="1"/>
  <c r="P2197" i="7"/>
  <c r="S2196" i="7"/>
  <c r="U2196" i="7" s="1"/>
  <c r="P2196" i="7"/>
  <c r="Q2196" i="7" s="1"/>
  <c r="S2195" i="7"/>
  <c r="U2195" i="7" s="1"/>
  <c r="P2195" i="7"/>
  <c r="Q2195" i="7" s="1"/>
  <c r="S2194" i="7"/>
  <c r="U2194" i="7" s="1"/>
  <c r="P2194" i="7"/>
  <c r="Q2194" i="7" s="1"/>
  <c r="U2193" i="7"/>
  <c r="T2193" i="7"/>
  <c r="S2193" i="7"/>
  <c r="P2193" i="7"/>
  <c r="S2192" i="7"/>
  <c r="U2192" i="7" s="1"/>
  <c r="R2192" i="7"/>
  <c r="P2192" i="7"/>
  <c r="Q2192" i="7" s="1"/>
  <c r="S2191" i="7"/>
  <c r="U2191" i="7" s="1"/>
  <c r="P2191" i="7"/>
  <c r="Q2191" i="7" s="1"/>
  <c r="S2190" i="7"/>
  <c r="U2190" i="7" s="1"/>
  <c r="P2190" i="7"/>
  <c r="Q2190" i="7" s="1"/>
  <c r="S2189" i="7"/>
  <c r="T2189" i="7" s="1"/>
  <c r="P2189" i="7"/>
  <c r="S2188" i="7"/>
  <c r="U2188" i="7" s="1"/>
  <c r="P2188" i="7"/>
  <c r="Q2188" i="7" s="1"/>
  <c r="U2187" i="7"/>
  <c r="T2187" i="7"/>
  <c r="S2187" i="7"/>
  <c r="P2187" i="7"/>
  <c r="Q2187" i="7" s="1"/>
  <c r="S2186" i="7"/>
  <c r="U2186" i="7" s="1"/>
  <c r="P2186" i="7"/>
  <c r="Q2186" i="7" s="1"/>
  <c r="T2185" i="7"/>
  <c r="S2185" i="7"/>
  <c r="U2185" i="7" s="1"/>
  <c r="P2185" i="7"/>
  <c r="S2184" i="7"/>
  <c r="U2184" i="7" s="1"/>
  <c r="R2184" i="7"/>
  <c r="P2184" i="7"/>
  <c r="Q2184" i="7" s="1"/>
  <c r="S2183" i="7"/>
  <c r="U2183" i="7" s="1"/>
  <c r="P2183" i="7"/>
  <c r="S2182" i="7"/>
  <c r="U2182" i="7" s="1"/>
  <c r="P2182" i="7"/>
  <c r="Q2182" i="7" s="1"/>
  <c r="S2181" i="7"/>
  <c r="T2181" i="7" s="1"/>
  <c r="P2181" i="7"/>
  <c r="S2180" i="7"/>
  <c r="U2180" i="7" s="1"/>
  <c r="P2180" i="7"/>
  <c r="Q2180" i="7" s="1"/>
  <c r="S2179" i="7"/>
  <c r="U2179" i="7" s="1"/>
  <c r="P2179" i="7"/>
  <c r="Q2179" i="7" s="1"/>
  <c r="S2178" i="7"/>
  <c r="U2178" i="7" s="1"/>
  <c r="P2178" i="7"/>
  <c r="Q2178" i="7" s="1"/>
  <c r="U2177" i="7"/>
  <c r="T2177" i="7"/>
  <c r="S2177" i="7"/>
  <c r="P2177" i="7"/>
  <c r="S2176" i="7"/>
  <c r="U2176" i="7" s="1"/>
  <c r="P2176" i="7"/>
  <c r="Q2176" i="7" s="1"/>
  <c r="S2175" i="7"/>
  <c r="U2175" i="7" s="1"/>
  <c r="P2175" i="7"/>
  <c r="S2174" i="7"/>
  <c r="U2174" i="7" s="1"/>
  <c r="P2174" i="7"/>
  <c r="Q2174" i="7" s="1"/>
  <c r="S2173" i="7"/>
  <c r="T2173" i="7" s="1"/>
  <c r="P2173" i="7"/>
  <c r="S2172" i="7"/>
  <c r="U2172" i="7" s="1"/>
  <c r="P2172" i="7"/>
  <c r="Q2172" i="7" s="1"/>
  <c r="S2171" i="7"/>
  <c r="P2171" i="7"/>
  <c r="S2170" i="7"/>
  <c r="U2170" i="7" s="1"/>
  <c r="P2170" i="7"/>
  <c r="Q2170" i="7" s="1"/>
  <c r="S2169" i="7"/>
  <c r="U2169" i="7" s="1"/>
  <c r="P2169" i="7"/>
  <c r="S2168" i="7"/>
  <c r="U2168" i="7" s="1"/>
  <c r="P2168" i="7"/>
  <c r="Q2168" i="7" s="1"/>
  <c r="S2167" i="7"/>
  <c r="P2167" i="7"/>
  <c r="S2166" i="7"/>
  <c r="U2166" i="7" s="1"/>
  <c r="P2166" i="7"/>
  <c r="Q2166" i="7" s="1"/>
  <c r="S2165" i="7"/>
  <c r="T2165" i="7" s="1"/>
  <c r="P2165" i="7"/>
  <c r="S2164" i="7"/>
  <c r="U2164" i="7" s="1"/>
  <c r="P2164" i="7"/>
  <c r="Q2164" i="7" s="1"/>
  <c r="S2163" i="7"/>
  <c r="P2163" i="7"/>
  <c r="S2162" i="7"/>
  <c r="U2162" i="7" s="1"/>
  <c r="P2162" i="7"/>
  <c r="Q2162" i="7" s="1"/>
  <c r="U2161" i="7"/>
  <c r="T2161" i="7"/>
  <c r="S2161" i="7"/>
  <c r="P2161" i="7"/>
  <c r="S2160" i="7"/>
  <c r="U2160" i="7" s="1"/>
  <c r="P2160" i="7"/>
  <c r="Q2160" i="7" s="1"/>
  <c r="S2159" i="7"/>
  <c r="P2159" i="7"/>
  <c r="Q2159" i="7" s="1"/>
  <c r="S2158" i="7"/>
  <c r="U2158" i="7" s="1"/>
  <c r="P2158" i="7"/>
  <c r="Q2158" i="7" s="1"/>
  <c r="S2157" i="7"/>
  <c r="T2157" i="7" s="1"/>
  <c r="P2157" i="7"/>
  <c r="S2156" i="7"/>
  <c r="U2156" i="7" s="1"/>
  <c r="P2156" i="7"/>
  <c r="Q2156" i="7" s="1"/>
  <c r="U2155" i="7"/>
  <c r="T2155" i="7"/>
  <c r="S2155" i="7"/>
  <c r="P2155" i="7"/>
  <c r="S2154" i="7"/>
  <c r="U2154" i="7" s="1"/>
  <c r="P2154" i="7"/>
  <c r="Q2154" i="7" s="1"/>
  <c r="S2153" i="7"/>
  <c r="U2153" i="7" s="1"/>
  <c r="P2153" i="7"/>
  <c r="S2152" i="7"/>
  <c r="U2152" i="7" s="1"/>
  <c r="P2152" i="7"/>
  <c r="Q2152" i="7" s="1"/>
  <c r="S2151" i="7"/>
  <c r="P2151" i="7"/>
  <c r="S2150" i="7"/>
  <c r="U2150" i="7" s="1"/>
  <c r="P2150" i="7"/>
  <c r="S2149" i="7"/>
  <c r="T2149" i="7" s="1"/>
  <c r="P2149" i="7"/>
  <c r="R2149" i="7" s="1"/>
  <c r="S2148" i="7"/>
  <c r="P2148" i="7"/>
  <c r="S2147" i="7"/>
  <c r="T2147" i="7" s="1"/>
  <c r="P2147" i="7"/>
  <c r="S2146" i="7"/>
  <c r="U2146" i="7" s="1"/>
  <c r="P2146" i="7"/>
  <c r="S2145" i="7"/>
  <c r="T2145" i="7" s="1"/>
  <c r="P2145" i="7"/>
  <c r="S2144" i="7"/>
  <c r="P2144" i="7"/>
  <c r="S2143" i="7"/>
  <c r="T2143" i="7" s="1"/>
  <c r="P2143" i="7"/>
  <c r="Q2143" i="7" s="1"/>
  <c r="S2142" i="7"/>
  <c r="P2142" i="7"/>
  <c r="S2141" i="7"/>
  <c r="P2141" i="7"/>
  <c r="R2141" i="7" s="1"/>
  <c r="S2140" i="7"/>
  <c r="P2140" i="7"/>
  <c r="Q2140" i="7" s="1"/>
  <c r="S2139" i="7"/>
  <c r="R2139" i="7"/>
  <c r="P2139" i="7"/>
  <c r="Q2139" i="7" s="1"/>
  <c r="S2138" i="7"/>
  <c r="P2138" i="7"/>
  <c r="S2137" i="7"/>
  <c r="P2137" i="7"/>
  <c r="S2136" i="7"/>
  <c r="P2136" i="7"/>
  <c r="S2135" i="7"/>
  <c r="T2135" i="7" s="1"/>
  <c r="P2135" i="7"/>
  <c r="S2134" i="7"/>
  <c r="U2134" i="7" s="1"/>
  <c r="P2134" i="7"/>
  <c r="S2133" i="7"/>
  <c r="T2133" i="7" s="1"/>
  <c r="P2133" i="7"/>
  <c r="S2132" i="7"/>
  <c r="P2132" i="7"/>
  <c r="S2131" i="7"/>
  <c r="P2131" i="7"/>
  <c r="Q2131" i="7" s="1"/>
  <c r="S2130" i="7"/>
  <c r="U2130" i="7" s="1"/>
  <c r="P2130" i="7"/>
  <c r="S2129" i="7"/>
  <c r="U2129" i="7" s="1"/>
  <c r="P2129" i="7"/>
  <c r="Q2129" i="7" s="1"/>
  <c r="S2128" i="7"/>
  <c r="P2128" i="7"/>
  <c r="Q2128" i="7" s="1"/>
  <c r="S2127" i="7"/>
  <c r="P2127" i="7"/>
  <c r="Q2127" i="7" s="1"/>
  <c r="S2126" i="7"/>
  <c r="P2126" i="7"/>
  <c r="S2125" i="7"/>
  <c r="T2125" i="7" s="1"/>
  <c r="P2125" i="7"/>
  <c r="R2125" i="7" s="1"/>
  <c r="S2124" i="7"/>
  <c r="P2124" i="7"/>
  <c r="Q2124" i="7" s="1"/>
  <c r="U2123" i="7"/>
  <c r="T2123" i="7"/>
  <c r="S2123" i="7"/>
  <c r="P2123" i="7"/>
  <c r="S2122" i="7"/>
  <c r="U2122" i="7" s="1"/>
  <c r="P2122" i="7"/>
  <c r="S2121" i="7"/>
  <c r="T2121" i="7" s="1"/>
  <c r="P2121" i="7"/>
  <c r="S2120" i="7"/>
  <c r="P2120" i="7"/>
  <c r="Q2120" i="7" s="1"/>
  <c r="S2119" i="7"/>
  <c r="P2119" i="7"/>
  <c r="S2118" i="7"/>
  <c r="U2118" i="7" s="1"/>
  <c r="P2118" i="7"/>
  <c r="S2117" i="7"/>
  <c r="T2117" i="7" s="1"/>
  <c r="P2117" i="7"/>
  <c r="Q2117" i="7" s="1"/>
  <c r="S2116" i="7"/>
  <c r="P2116" i="7"/>
  <c r="S2115" i="7"/>
  <c r="T2115" i="7" s="1"/>
  <c r="P2115" i="7"/>
  <c r="Q2115" i="7" s="1"/>
  <c r="S2114" i="7"/>
  <c r="U2114" i="7" s="1"/>
  <c r="P2114" i="7"/>
  <c r="S2113" i="7"/>
  <c r="T2113" i="7" s="1"/>
  <c r="P2113" i="7"/>
  <c r="S2112" i="7"/>
  <c r="P2112" i="7"/>
  <c r="S2111" i="7"/>
  <c r="T2111" i="7" s="1"/>
  <c r="P2111" i="7"/>
  <c r="Q2111" i="7" s="1"/>
  <c r="S2110" i="7"/>
  <c r="P2110" i="7"/>
  <c r="U2109" i="7"/>
  <c r="T2109" i="7"/>
  <c r="S2109" i="7"/>
  <c r="P2109" i="7"/>
  <c r="R2109" i="7" s="1"/>
  <c r="S2108" i="7"/>
  <c r="P2108" i="7"/>
  <c r="Q2108" i="7" s="1"/>
  <c r="S2107" i="7"/>
  <c r="P2107" i="7"/>
  <c r="Q2107" i="7" s="1"/>
  <c r="S2106" i="7"/>
  <c r="P2106" i="7"/>
  <c r="S2105" i="7"/>
  <c r="P2105" i="7"/>
  <c r="S2104" i="7"/>
  <c r="P2104" i="7"/>
  <c r="S2103" i="7"/>
  <c r="T2103" i="7" s="1"/>
  <c r="P2103" i="7"/>
  <c r="S2102" i="7"/>
  <c r="U2102" i="7" s="1"/>
  <c r="P2102" i="7"/>
  <c r="S2101" i="7"/>
  <c r="P2101" i="7"/>
  <c r="S2100" i="7"/>
  <c r="P2100" i="7"/>
  <c r="U2099" i="7"/>
  <c r="S2099" i="7"/>
  <c r="T2099" i="7" s="1"/>
  <c r="P2099" i="7"/>
  <c r="Q2099" i="7" s="1"/>
  <c r="T2098" i="7"/>
  <c r="S2098" i="7"/>
  <c r="U2098" i="7" s="1"/>
  <c r="P2098" i="7"/>
  <c r="T2097" i="7"/>
  <c r="S2097" i="7"/>
  <c r="U2097" i="7" s="1"/>
  <c r="P2097" i="7"/>
  <c r="Q2097" i="7" s="1"/>
  <c r="S2096" i="7"/>
  <c r="R2096" i="7"/>
  <c r="P2096" i="7"/>
  <c r="Q2096" i="7" s="1"/>
  <c r="S2095" i="7"/>
  <c r="P2095" i="7"/>
  <c r="Q2095" i="7" s="1"/>
  <c r="S2094" i="7"/>
  <c r="P2094" i="7"/>
  <c r="S2093" i="7"/>
  <c r="T2093" i="7" s="1"/>
  <c r="P2093" i="7"/>
  <c r="S2092" i="7"/>
  <c r="P2092" i="7"/>
  <c r="Q2092" i="7" s="1"/>
  <c r="S2091" i="7"/>
  <c r="U2091" i="7" s="1"/>
  <c r="P2091" i="7"/>
  <c r="S2090" i="7"/>
  <c r="P2090" i="7"/>
  <c r="S2089" i="7"/>
  <c r="P2089" i="7"/>
  <c r="S2088" i="7"/>
  <c r="P2088" i="7"/>
  <c r="U2087" i="7"/>
  <c r="T2087" i="7"/>
  <c r="S2087" i="7"/>
  <c r="P2087" i="7"/>
  <c r="S2086" i="7"/>
  <c r="U2086" i="7" s="1"/>
  <c r="P2086" i="7"/>
  <c r="S2085" i="7"/>
  <c r="T2085" i="7" s="1"/>
  <c r="P2085" i="7"/>
  <c r="Q2085" i="7" s="1"/>
  <c r="S2084" i="7"/>
  <c r="P2084" i="7"/>
  <c r="S2083" i="7"/>
  <c r="T2083" i="7" s="1"/>
  <c r="P2083" i="7"/>
  <c r="S2082" i="7"/>
  <c r="U2082" i="7" s="1"/>
  <c r="P2082" i="7"/>
  <c r="S2081" i="7"/>
  <c r="T2081" i="7" s="1"/>
  <c r="P2081" i="7"/>
  <c r="S2080" i="7"/>
  <c r="P2080" i="7"/>
  <c r="S2079" i="7"/>
  <c r="T2079" i="7" s="1"/>
  <c r="P2079" i="7"/>
  <c r="Q2079" i="7" s="1"/>
  <c r="S2078" i="7"/>
  <c r="P2078" i="7"/>
  <c r="S2077" i="7"/>
  <c r="P2077" i="7"/>
  <c r="R2077" i="7" s="1"/>
  <c r="S2076" i="7"/>
  <c r="P2076" i="7"/>
  <c r="Q2076" i="7" s="1"/>
  <c r="S2075" i="7"/>
  <c r="R2075" i="7"/>
  <c r="P2075" i="7"/>
  <c r="Q2075" i="7" s="1"/>
  <c r="S2074" i="7"/>
  <c r="P2074" i="7"/>
  <c r="S2073" i="7"/>
  <c r="P2073" i="7"/>
  <c r="S2072" i="7"/>
  <c r="P2072" i="7"/>
  <c r="S2071" i="7"/>
  <c r="T2071" i="7" s="1"/>
  <c r="P2071" i="7"/>
  <c r="S2070" i="7"/>
  <c r="U2070" i="7" s="1"/>
  <c r="P2070" i="7"/>
  <c r="U2069" i="7"/>
  <c r="S2069" i="7"/>
  <c r="T2069" i="7" s="1"/>
  <c r="P2069" i="7"/>
  <c r="S2068" i="7"/>
  <c r="P2068" i="7"/>
  <c r="S2067" i="7"/>
  <c r="U2067" i="7" s="1"/>
  <c r="P2067" i="7"/>
  <c r="S2066" i="7"/>
  <c r="P2066" i="7"/>
  <c r="S2065" i="7"/>
  <c r="U2065" i="7" s="1"/>
  <c r="P2065" i="7"/>
  <c r="S2064" i="7"/>
  <c r="P2064" i="7"/>
  <c r="Q2064" i="7" s="1"/>
  <c r="S2063" i="7"/>
  <c r="U2063" i="7" s="1"/>
  <c r="P2063" i="7"/>
  <c r="Q2063" i="7" s="1"/>
  <c r="S2062" i="7"/>
  <c r="P2062" i="7"/>
  <c r="S2061" i="7"/>
  <c r="P2061" i="7"/>
  <c r="R2061" i="7" s="1"/>
  <c r="S2060" i="7"/>
  <c r="P2060" i="7"/>
  <c r="Q2060" i="7" s="1"/>
  <c r="S2059" i="7"/>
  <c r="P2059" i="7"/>
  <c r="S2058" i="7"/>
  <c r="U2058" i="7" s="1"/>
  <c r="P2058" i="7"/>
  <c r="S2057" i="7"/>
  <c r="U2057" i="7" s="1"/>
  <c r="P2057" i="7"/>
  <c r="S2056" i="7"/>
  <c r="P2056" i="7"/>
  <c r="Q2056" i="7" s="1"/>
  <c r="T2055" i="7"/>
  <c r="S2055" i="7"/>
  <c r="U2055" i="7" s="1"/>
  <c r="P2055" i="7"/>
  <c r="S2054" i="7"/>
  <c r="U2054" i="7" s="1"/>
  <c r="P2054" i="7"/>
  <c r="S2053" i="7"/>
  <c r="P2053" i="7"/>
  <c r="Q2053" i="7" s="1"/>
  <c r="S2052" i="7"/>
  <c r="P2052" i="7"/>
  <c r="S2051" i="7"/>
  <c r="P2051" i="7"/>
  <c r="S2050" i="7"/>
  <c r="P2050" i="7"/>
  <c r="S2049" i="7"/>
  <c r="P2049" i="7"/>
  <c r="Q2049" i="7" s="1"/>
  <c r="S2048" i="7"/>
  <c r="P2048" i="7"/>
  <c r="Q2048" i="7" s="1"/>
  <c r="S2047" i="7"/>
  <c r="P2047" i="7"/>
  <c r="Q2047" i="7" s="1"/>
  <c r="S2046" i="7"/>
  <c r="P2046" i="7"/>
  <c r="S2045" i="7"/>
  <c r="U2045" i="7" s="1"/>
  <c r="P2045" i="7"/>
  <c r="S2044" i="7"/>
  <c r="P2044" i="7"/>
  <c r="Q2044" i="7" s="1"/>
  <c r="S2043" i="7"/>
  <c r="U2043" i="7" s="1"/>
  <c r="P2043" i="7"/>
  <c r="S2042" i="7"/>
  <c r="U2042" i="7" s="1"/>
  <c r="P2042" i="7"/>
  <c r="S2041" i="7"/>
  <c r="P2041" i="7"/>
  <c r="S2040" i="7"/>
  <c r="P2040" i="7"/>
  <c r="U2039" i="7"/>
  <c r="S2039" i="7"/>
  <c r="T2039" i="7" s="1"/>
  <c r="P2039" i="7"/>
  <c r="S2038" i="7"/>
  <c r="U2038" i="7" s="1"/>
  <c r="P2038" i="7"/>
  <c r="S2037" i="7"/>
  <c r="P2037" i="7"/>
  <c r="S2036" i="7"/>
  <c r="P2036" i="7"/>
  <c r="S2035" i="7"/>
  <c r="U2035" i="7" s="1"/>
  <c r="P2035" i="7"/>
  <c r="S2034" i="7"/>
  <c r="P2034" i="7"/>
  <c r="T2033" i="7"/>
  <c r="S2033" i="7"/>
  <c r="U2033" i="7" s="1"/>
  <c r="P2033" i="7"/>
  <c r="S2032" i="7"/>
  <c r="P2032" i="7"/>
  <c r="Q2032" i="7" s="1"/>
  <c r="S2031" i="7"/>
  <c r="T2031" i="7" s="1"/>
  <c r="P2031" i="7"/>
  <c r="Q2031" i="7" s="1"/>
  <c r="S2030" i="7"/>
  <c r="P2030" i="7"/>
  <c r="S2029" i="7"/>
  <c r="T2029" i="7" s="1"/>
  <c r="P2029" i="7"/>
  <c r="S2028" i="7"/>
  <c r="P2028" i="7"/>
  <c r="Q2028" i="7" s="1"/>
  <c r="S2027" i="7"/>
  <c r="P2027" i="7"/>
  <c r="Q2027" i="7" s="1"/>
  <c r="S2026" i="7"/>
  <c r="P2026" i="7"/>
  <c r="U2025" i="7"/>
  <c r="S2025" i="7"/>
  <c r="T2025" i="7" s="1"/>
  <c r="P2025" i="7"/>
  <c r="S2024" i="7"/>
  <c r="P2024" i="7"/>
  <c r="T2023" i="7"/>
  <c r="S2023" i="7"/>
  <c r="U2023" i="7" s="1"/>
  <c r="P2023" i="7"/>
  <c r="S2022" i="7"/>
  <c r="U2022" i="7" s="1"/>
  <c r="P2022" i="7"/>
  <c r="S2021" i="7"/>
  <c r="T2021" i="7" s="1"/>
  <c r="P2021" i="7"/>
  <c r="S2020" i="7"/>
  <c r="P2020" i="7"/>
  <c r="S2019" i="7"/>
  <c r="P2019" i="7"/>
  <c r="S2018" i="7"/>
  <c r="P2018" i="7"/>
  <c r="S2017" i="7"/>
  <c r="T2017" i="7" s="1"/>
  <c r="P2017" i="7"/>
  <c r="S2016" i="7"/>
  <c r="P2016" i="7"/>
  <c r="Q2016" i="7" s="1"/>
  <c r="S2015" i="7"/>
  <c r="T2015" i="7" s="1"/>
  <c r="P2015" i="7"/>
  <c r="Q2015" i="7" s="1"/>
  <c r="S2014" i="7"/>
  <c r="P2014" i="7"/>
  <c r="S2013" i="7"/>
  <c r="U2013" i="7" s="1"/>
  <c r="P2013" i="7"/>
  <c r="S2012" i="7"/>
  <c r="P2012" i="7"/>
  <c r="Q2012" i="7" s="1"/>
  <c r="S2011" i="7"/>
  <c r="P2011" i="7"/>
  <c r="Q2011" i="7" s="1"/>
  <c r="S2010" i="7"/>
  <c r="P2010" i="7"/>
  <c r="S2009" i="7"/>
  <c r="U2009" i="7" s="1"/>
  <c r="P2009" i="7"/>
  <c r="S2008" i="7"/>
  <c r="P2008" i="7"/>
  <c r="Q2008" i="7" s="1"/>
  <c r="S2007" i="7"/>
  <c r="T2007" i="7" s="1"/>
  <c r="P2007" i="7"/>
  <c r="S2006" i="7"/>
  <c r="U2006" i="7" s="1"/>
  <c r="P2006" i="7"/>
  <c r="S2005" i="7"/>
  <c r="U2005" i="7" s="1"/>
  <c r="P2005" i="7"/>
  <c r="R2005" i="7" s="1"/>
  <c r="S2004" i="7"/>
  <c r="P2004" i="7"/>
  <c r="S2003" i="7"/>
  <c r="P2003" i="7"/>
  <c r="S2002" i="7"/>
  <c r="U2002" i="7" s="1"/>
  <c r="P2002" i="7"/>
  <c r="S2001" i="7"/>
  <c r="T2001" i="7" s="1"/>
  <c r="P2001" i="7"/>
  <c r="S2000" i="7"/>
  <c r="P2000" i="7"/>
  <c r="Q2000" i="7" s="1"/>
  <c r="S1999" i="7"/>
  <c r="T1999" i="7" s="1"/>
  <c r="P1999" i="7"/>
  <c r="Q1999" i="7" s="1"/>
  <c r="S1998" i="7"/>
  <c r="P1998" i="7"/>
  <c r="S1997" i="7"/>
  <c r="T1997" i="7" s="1"/>
  <c r="P1997" i="7"/>
  <c r="R1997" i="7" s="1"/>
  <c r="S1996" i="7"/>
  <c r="P1996" i="7"/>
  <c r="Q1996" i="7" s="1"/>
  <c r="S1995" i="7"/>
  <c r="U1995" i="7" s="1"/>
  <c r="P1995" i="7"/>
  <c r="S1994" i="7"/>
  <c r="U1994" i="7" s="1"/>
  <c r="P1994" i="7"/>
  <c r="T1993" i="7"/>
  <c r="S1993" i="7"/>
  <c r="U1993" i="7" s="1"/>
  <c r="P1993" i="7"/>
  <c r="S1992" i="7"/>
  <c r="R1992" i="7"/>
  <c r="P1992" i="7"/>
  <c r="Q1992" i="7" s="1"/>
  <c r="S1991" i="7"/>
  <c r="U1991" i="7" s="1"/>
  <c r="P1991" i="7"/>
  <c r="S1990" i="7"/>
  <c r="U1990" i="7" s="1"/>
  <c r="P1990" i="7"/>
  <c r="S1989" i="7"/>
  <c r="P1989" i="7"/>
  <c r="S1988" i="7"/>
  <c r="P1988" i="7"/>
  <c r="S1987" i="7"/>
  <c r="T1987" i="7" s="1"/>
  <c r="P1987" i="7"/>
  <c r="Q1987" i="7" s="1"/>
  <c r="S1986" i="7"/>
  <c r="P1986" i="7"/>
  <c r="S1985" i="7"/>
  <c r="T1985" i="7" s="1"/>
  <c r="P1985" i="7"/>
  <c r="Q1985" i="7" s="1"/>
  <c r="S1984" i="7"/>
  <c r="P1984" i="7"/>
  <c r="S1983" i="7"/>
  <c r="T1983" i="7" s="1"/>
  <c r="P1983" i="7"/>
  <c r="Q1983" i="7" s="1"/>
  <c r="S1982" i="7"/>
  <c r="P1982" i="7"/>
  <c r="S1981" i="7"/>
  <c r="P1981" i="7"/>
  <c r="S1980" i="7"/>
  <c r="P1980" i="7"/>
  <c r="Q1980" i="7" s="1"/>
  <c r="S1979" i="7"/>
  <c r="U1979" i="7" s="1"/>
  <c r="R1979" i="7"/>
  <c r="P1979" i="7"/>
  <c r="Q1979" i="7" s="1"/>
  <c r="S1978" i="7"/>
  <c r="U1978" i="7" s="1"/>
  <c r="P1978" i="7"/>
  <c r="T1977" i="7"/>
  <c r="S1977" i="7"/>
  <c r="U1977" i="7" s="1"/>
  <c r="P1977" i="7"/>
  <c r="S1976" i="7"/>
  <c r="R1976" i="7"/>
  <c r="P1976" i="7"/>
  <c r="Q1976" i="7" s="1"/>
  <c r="S1975" i="7"/>
  <c r="P1975" i="7"/>
  <c r="S1974" i="7"/>
  <c r="U1974" i="7" s="1"/>
  <c r="P1974" i="7"/>
  <c r="T1973" i="7"/>
  <c r="S1973" i="7"/>
  <c r="U1973" i="7" s="1"/>
  <c r="P1973" i="7"/>
  <c r="R1973" i="7" s="1"/>
  <c r="S1972" i="7"/>
  <c r="P1972" i="7"/>
  <c r="S1971" i="7"/>
  <c r="T1971" i="7" s="1"/>
  <c r="P1971" i="7"/>
  <c r="S1970" i="7"/>
  <c r="U1970" i="7" s="1"/>
  <c r="P1970" i="7"/>
  <c r="U1969" i="7"/>
  <c r="T1969" i="7"/>
  <c r="S1969" i="7"/>
  <c r="P1969" i="7"/>
  <c r="S1968" i="7"/>
  <c r="P1968" i="7"/>
  <c r="Q1968" i="7" s="1"/>
  <c r="S1967" i="7"/>
  <c r="U1967" i="7" s="1"/>
  <c r="P1967" i="7"/>
  <c r="S1966" i="7"/>
  <c r="U1966" i="7" s="1"/>
  <c r="P1966" i="7"/>
  <c r="S1965" i="7"/>
  <c r="P1965" i="7"/>
  <c r="Q1965" i="7" s="1"/>
  <c r="S1964" i="7"/>
  <c r="P1964" i="7"/>
  <c r="Q1964" i="7" s="1"/>
  <c r="T1963" i="7"/>
  <c r="S1963" i="7"/>
  <c r="U1963" i="7" s="1"/>
  <c r="P1963" i="7"/>
  <c r="S1962" i="7"/>
  <c r="U1962" i="7" s="1"/>
  <c r="P1962" i="7"/>
  <c r="S1961" i="7"/>
  <c r="T1961" i="7" s="1"/>
  <c r="P1961" i="7"/>
  <c r="Q1961" i="7" s="1"/>
  <c r="S1960" i="7"/>
  <c r="P1960" i="7"/>
  <c r="Q1960" i="7" s="1"/>
  <c r="S1959" i="7"/>
  <c r="U1959" i="7" s="1"/>
  <c r="P1959" i="7"/>
  <c r="S1958" i="7"/>
  <c r="U1958" i="7" s="1"/>
  <c r="P1958" i="7"/>
  <c r="S1957" i="7"/>
  <c r="U1957" i="7" s="1"/>
  <c r="R1957" i="7"/>
  <c r="P1957" i="7"/>
  <c r="Q1957" i="7" s="1"/>
  <c r="S1956" i="7"/>
  <c r="P1956" i="7"/>
  <c r="Q1956" i="7" s="1"/>
  <c r="S1955" i="7"/>
  <c r="T1955" i="7" s="1"/>
  <c r="P1955" i="7"/>
  <c r="S1954" i="7"/>
  <c r="U1954" i="7" s="1"/>
  <c r="P1954" i="7"/>
  <c r="S1953" i="7"/>
  <c r="U1953" i="7" s="1"/>
  <c r="P1953" i="7"/>
  <c r="S1952" i="7"/>
  <c r="P1952" i="7"/>
  <c r="Q1952" i="7" s="1"/>
  <c r="U1951" i="7"/>
  <c r="S1951" i="7"/>
  <c r="T1951" i="7" s="1"/>
  <c r="P1951" i="7"/>
  <c r="S1950" i="7"/>
  <c r="U1950" i="7" s="1"/>
  <c r="P1950" i="7"/>
  <c r="S1949" i="7"/>
  <c r="U1949" i="7" s="1"/>
  <c r="P1949" i="7"/>
  <c r="Q1949" i="7" s="1"/>
  <c r="S1948" i="7"/>
  <c r="P1948" i="7"/>
  <c r="Q1948" i="7" s="1"/>
  <c r="T1947" i="7"/>
  <c r="S1947" i="7"/>
  <c r="U1947" i="7" s="1"/>
  <c r="P1947" i="7"/>
  <c r="S1946" i="7"/>
  <c r="U1946" i="7" s="1"/>
  <c r="P1946" i="7"/>
  <c r="S1945" i="7"/>
  <c r="P1945" i="7"/>
  <c r="Q1945" i="7" s="1"/>
  <c r="S1944" i="7"/>
  <c r="P1944" i="7"/>
  <c r="Q1944" i="7" s="1"/>
  <c r="S1943" i="7"/>
  <c r="U1943" i="7" s="1"/>
  <c r="P1943" i="7"/>
  <c r="S1942" i="7"/>
  <c r="U1942" i="7" s="1"/>
  <c r="P1942" i="7"/>
  <c r="S1941" i="7"/>
  <c r="T1941" i="7" s="1"/>
  <c r="P1941" i="7"/>
  <c r="Q1941" i="7" s="1"/>
  <c r="S1940" i="7"/>
  <c r="P1940" i="7"/>
  <c r="Q1940" i="7" s="1"/>
  <c r="S1939" i="7"/>
  <c r="P1939" i="7"/>
  <c r="S1938" i="7"/>
  <c r="U1938" i="7" s="1"/>
  <c r="P1938" i="7"/>
  <c r="T1937" i="7"/>
  <c r="S1937" i="7"/>
  <c r="U1937" i="7" s="1"/>
  <c r="P1937" i="7"/>
  <c r="Q1937" i="7" s="1"/>
  <c r="S1936" i="7"/>
  <c r="P1936" i="7"/>
  <c r="Q1936" i="7" s="1"/>
  <c r="S1935" i="7"/>
  <c r="T1935" i="7" s="1"/>
  <c r="P1935" i="7"/>
  <c r="S1934" i="7"/>
  <c r="U1934" i="7" s="1"/>
  <c r="P1934" i="7"/>
  <c r="S1933" i="7"/>
  <c r="U1933" i="7" s="1"/>
  <c r="P1933" i="7"/>
  <c r="Q1933" i="7" s="1"/>
  <c r="S1932" i="7"/>
  <c r="P1932" i="7"/>
  <c r="Q1932" i="7" s="1"/>
  <c r="S1931" i="7"/>
  <c r="P1931" i="7"/>
  <c r="S1930" i="7"/>
  <c r="U1930" i="7" s="1"/>
  <c r="P1930" i="7"/>
  <c r="U1929" i="7"/>
  <c r="S1929" i="7"/>
  <c r="T1929" i="7" s="1"/>
  <c r="P1929" i="7"/>
  <c r="S1928" i="7"/>
  <c r="P1928" i="7"/>
  <c r="Q1928" i="7" s="1"/>
  <c r="S1927" i="7"/>
  <c r="U1927" i="7" s="1"/>
  <c r="P1927" i="7"/>
  <c r="S1926" i="7"/>
  <c r="U1926" i="7" s="1"/>
  <c r="P1926" i="7"/>
  <c r="S1925" i="7"/>
  <c r="P1925" i="7"/>
  <c r="Q1925" i="7" s="1"/>
  <c r="S1924" i="7"/>
  <c r="P1924" i="7"/>
  <c r="Q1924" i="7" s="1"/>
  <c r="T1923" i="7"/>
  <c r="S1923" i="7"/>
  <c r="U1923" i="7" s="1"/>
  <c r="P1923" i="7"/>
  <c r="S1922" i="7"/>
  <c r="U1922" i="7" s="1"/>
  <c r="P1922" i="7"/>
  <c r="S1921" i="7"/>
  <c r="U1921" i="7" s="1"/>
  <c r="R1921" i="7"/>
  <c r="P1921" i="7"/>
  <c r="Q1921" i="7" s="1"/>
  <c r="S1920" i="7"/>
  <c r="P1920" i="7"/>
  <c r="Q1920" i="7" s="1"/>
  <c r="S1919" i="7"/>
  <c r="T1919" i="7" s="1"/>
  <c r="P1919" i="7"/>
  <c r="S1918" i="7"/>
  <c r="U1918" i="7" s="1"/>
  <c r="P1918" i="7"/>
  <c r="S1917" i="7"/>
  <c r="U1917" i="7" s="1"/>
  <c r="P1917" i="7"/>
  <c r="Q1917" i="7" s="1"/>
  <c r="S1916" i="7"/>
  <c r="P1916" i="7"/>
  <c r="Q1916" i="7" s="1"/>
  <c r="S1915" i="7"/>
  <c r="P1915" i="7"/>
  <c r="S1914" i="7"/>
  <c r="U1914" i="7" s="1"/>
  <c r="P1914" i="7"/>
  <c r="S1913" i="7"/>
  <c r="R1913" i="7"/>
  <c r="P1913" i="7"/>
  <c r="Q1913" i="7" s="1"/>
  <c r="S1912" i="7"/>
  <c r="P1912" i="7"/>
  <c r="Q1912" i="7" s="1"/>
  <c r="S1911" i="7"/>
  <c r="U1911" i="7" s="1"/>
  <c r="P1911" i="7"/>
  <c r="S1910" i="7"/>
  <c r="U1910" i="7" s="1"/>
  <c r="P1910" i="7"/>
  <c r="U1909" i="7"/>
  <c r="S1909" i="7"/>
  <c r="T1909" i="7" s="1"/>
  <c r="P1909" i="7"/>
  <c r="Q1909" i="7" s="1"/>
  <c r="S1908" i="7"/>
  <c r="P1908" i="7"/>
  <c r="Q1908" i="7" s="1"/>
  <c r="S1907" i="7"/>
  <c r="P1907" i="7"/>
  <c r="S1906" i="7"/>
  <c r="U1906" i="7" s="1"/>
  <c r="P1906" i="7"/>
  <c r="S1905" i="7"/>
  <c r="U1905" i="7" s="1"/>
  <c r="P1905" i="7"/>
  <c r="Q1905" i="7" s="1"/>
  <c r="S1904" i="7"/>
  <c r="P1904" i="7"/>
  <c r="Q1904" i="7" s="1"/>
  <c r="S1903" i="7"/>
  <c r="T1903" i="7" s="1"/>
  <c r="P1903" i="7"/>
  <c r="S1902" i="7"/>
  <c r="U1902" i="7" s="1"/>
  <c r="P1902" i="7"/>
  <c r="S1901" i="7"/>
  <c r="U1901" i="7" s="1"/>
  <c r="P1901" i="7"/>
  <c r="Q1901" i="7" s="1"/>
  <c r="S1900" i="7"/>
  <c r="P1900" i="7"/>
  <c r="Q1900" i="7" s="1"/>
  <c r="S1899" i="7"/>
  <c r="P1899" i="7"/>
  <c r="S1898" i="7"/>
  <c r="U1898" i="7" s="1"/>
  <c r="P1898" i="7"/>
  <c r="U1897" i="7"/>
  <c r="T1897" i="7"/>
  <c r="S1897" i="7"/>
  <c r="P1897" i="7"/>
  <c r="S1896" i="7"/>
  <c r="P1896" i="7"/>
  <c r="Q1896" i="7" s="1"/>
  <c r="S1895" i="7"/>
  <c r="U1895" i="7" s="1"/>
  <c r="P1895" i="7"/>
  <c r="S1894" i="7"/>
  <c r="U1894" i="7" s="1"/>
  <c r="P1894" i="7"/>
  <c r="S1893" i="7"/>
  <c r="P1893" i="7"/>
  <c r="Q1893" i="7" s="1"/>
  <c r="S1892" i="7"/>
  <c r="P1892" i="7"/>
  <c r="Q1892" i="7" s="1"/>
  <c r="U1891" i="7"/>
  <c r="S1891" i="7"/>
  <c r="T1891" i="7" s="1"/>
  <c r="P1891" i="7"/>
  <c r="S1890" i="7"/>
  <c r="U1890" i="7" s="1"/>
  <c r="P1890" i="7"/>
  <c r="S1889" i="7"/>
  <c r="U1889" i="7" s="1"/>
  <c r="R1889" i="7"/>
  <c r="P1889" i="7"/>
  <c r="Q1889" i="7" s="1"/>
  <c r="S1888" i="7"/>
  <c r="P1888" i="7"/>
  <c r="Q1888" i="7" s="1"/>
  <c r="U1887" i="7"/>
  <c r="S1887" i="7"/>
  <c r="T1887" i="7" s="1"/>
  <c r="P1887" i="7"/>
  <c r="S1886" i="7"/>
  <c r="U1886" i="7" s="1"/>
  <c r="P1886" i="7"/>
  <c r="S1885" i="7"/>
  <c r="U1885" i="7" s="1"/>
  <c r="P1885" i="7"/>
  <c r="Q1885" i="7" s="1"/>
  <c r="S1884" i="7"/>
  <c r="P1884" i="7"/>
  <c r="Q1884" i="7" s="1"/>
  <c r="S1883" i="7"/>
  <c r="U1883" i="7" s="1"/>
  <c r="P1883" i="7"/>
  <c r="S1882" i="7"/>
  <c r="U1882" i="7" s="1"/>
  <c r="P1882" i="7"/>
  <c r="S1881" i="7"/>
  <c r="P1881" i="7"/>
  <c r="S1880" i="7"/>
  <c r="P1880" i="7"/>
  <c r="Q1880" i="7" s="1"/>
  <c r="S1879" i="7"/>
  <c r="U1879" i="7" s="1"/>
  <c r="P1879" i="7"/>
  <c r="S1878" i="7"/>
  <c r="U1878" i="7" s="1"/>
  <c r="P1878" i="7"/>
  <c r="S1877" i="7"/>
  <c r="P1877" i="7"/>
  <c r="Q1877" i="7" s="1"/>
  <c r="S1876" i="7"/>
  <c r="P1876" i="7"/>
  <c r="Q1876" i="7" s="1"/>
  <c r="S1875" i="7"/>
  <c r="P1875" i="7"/>
  <c r="S1874" i="7"/>
  <c r="U1874" i="7" s="1"/>
  <c r="P1874" i="7"/>
  <c r="T1873" i="7"/>
  <c r="S1873" i="7"/>
  <c r="U1873" i="7" s="1"/>
  <c r="P1873" i="7"/>
  <c r="Q1873" i="7" s="1"/>
  <c r="S1872" i="7"/>
  <c r="P1872" i="7"/>
  <c r="Q1872" i="7" s="1"/>
  <c r="S1871" i="7"/>
  <c r="T1871" i="7" s="1"/>
  <c r="P1871" i="7"/>
  <c r="S1870" i="7"/>
  <c r="U1870" i="7" s="1"/>
  <c r="P1870" i="7"/>
  <c r="S1869" i="7"/>
  <c r="U1869" i="7" s="1"/>
  <c r="P1869" i="7"/>
  <c r="Q1869" i="7" s="1"/>
  <c r="S1868" i="7"/>
  <c r="P1868" i="7"/>
  <c r="Q1868" i="7" s="1"/>
  <c r="S1867" i="7"/>
  <c r="P1867" i="7"/>
  <c r="S1866" i="7"/>
  <c r="U1866" i="7" s="1"/>
  <c r="P1866" i="7"/>
  <c r="T1865" i="7"/>
  <c r="S1865" i="7"/>
  <c r="U1865" i="7" s="1"/>
  <c r="P1865" i="7"/>
  <c r="S1864" i="7"/>
  <c r="P1864" i="7"/>
  <c r="Q1864" i="7" s="1"/>
  <c r="S1863" i="7"/>
  <c r="U1863" i="7" s="1"/>
  <c r="P1863" i="7"/>
  <c r="S1862" i="7"/>
  <c r="U1862" i="7" s="1"/>
  <c r="P1862" i="7"/>
  <c r="S1861" i="7"/>
  <c r="P1861" i="7"/>
  <c r="Q1861" i="7" s="1"/>
  <c r="S1860" i="7"/>
  <c r="P1860" i="7"/>
  <c r="Q1860" i="7" s="1"/>
  <c r="T1859" i="7"/>
  <c r="S1859" i="7"/>
  <c r="U1859" i="7" s="1"/>
  <c r="P1859" i="7"/>
  <c r="S1858" i="7"/>
  <c r="U1858" i="7" s="1"/>
  <c r="P1858" i="7"/>
  <c r="S1857" i="7"/>
  <c r="U1857" i="7" s="1"/>
  <c r="P1857" i="7"/>
  <c r="Q1857" i="7" s="1"/>
  <c r="S1856" i="7"/>
  <c r="P1856" i="7"/>
  <c r="Q1856" i="7" s="1"/>
  <c r="U1855" i="7"/>
  <c r="S1855" i="7"/>
  <c r="T1855" i="7" s="1"/>
  <c r="P1855" i="7"/>
  <c r="S1854" i="7"/>
  <c r="U1854" i="7" s="1"/>
  <c r="P1854" i="7"/>
  <c r="S1853" i="7"/>
  <c r="U1853" i="7" s="1"/>
  <c r="P1853" i="7"/>
  <c r="Q1853" i="7" s="1"/>
  <c r="S1852" i="7"/>
  <c r="P1852" i="7"/>
  <c r="Q1852" i="7" s="1"/>
  <c r="S1851" i="7"/>
  <c r="U1851" i="7" s="1"/>
  <c r="P1851" i="7"/>
  <c r="S1850" i="7"/>
  <c r="U1850" i="7" s="1"/>
  <c r="P1850" i="7"/>
  <c r="S1849" i="7"/>
  <c r="P1849" i="7"/>
  <c r="Q1849" i="7" s="1"/>
  <c r="S1848" i="7"/>
  <c r="P1848" i="7"/>
  <c r="Q1848" i="7" s="1"/>
  <c r="S1847" i="7"/>
  <c r="U1847" i="7" s="1"/>
  <c r="P1847" i="7"/>
  <c r="S1846" i="7"/>
  <c r="U1846" i="7" s="1"/>
  <c r="P1846" i="7"/>
  <c r="S1845" i="7"/>
  <c r="T1845" i="7" s="1"/>
  <c r="P1845" i="7"/>
  <c r="Q1845" i="7" s="1"/>
  <c r="S1844" i="7"/>
  <c r="P1844" i="7"/>
  <c r="Q1844" i="7" s="1"/>
  <c r="S1843" i="7"/>
  <c r="P1843" i="7"/>
  <c r="S1842" i="7"/>
  <c r="U1842" i="7" s="1"/>
  <c r="P1842" i="7"/>
  <c r="T1841" i="7"/>
  <c r="S1841" i="7"/>
  <c r="U1841" i="7" s="1"/>
  <c r="P1841" i="7"/>
  <c r="Q1841" i="7" s="1"/>
  <c r="S1840" i="7"/>
  <c r="P1840" i="7"/>
  <c r="Q1840" i="7" s="1"/>
  <c r="S1839" i="7"/>
  <c r="T1839" i="7" s="1"/>
  <c r="P1839" i="7"/>
  <c r="S1838" i="7"/>
  <c r="U1838" i="7" s="1"/>
  <c r="P1838" i="7"/>
  <c r="S1837" i="7"/>
  <c r="U1837" i="7" s="1"/>
  <c r="P1837" i="7"/>
  <c r="Q1837" i="7" s="1"/>
  <c r="S1836" i="7"/>
  <c r="P1836" i="7"/>
  <c r="Q1836" i="7" s="1"/>
  <c r="S1835" i="7"/>
  <c r="P1835" i="7"/>
  <c r="S1834" i="7"/>
  <c r="U1834" i="7" s="1"/>
  <c r="P1834" i="7"/>
  <c r="T1833" i="7"/>
  <c r="S1833" i="7"/>
  <c r="U1833" i="7" s="1"/>
  <c r="P1833" i="7"/>
  <c r="S1832" i="7"/>
  <c r="P1832" i="7"/>
  <c r="Q1832" i="7" s="1"/>
  <c r="S1831" i="7"/>
  <c r="U1831" i="7" s="1"/>
  <c r="P1831" i="7"/>
  <c r="S1830" i="7"/>
  <c r="U1830" i="7" s="1"/>
  <c r="P1830" i="7"/>
  <c r="S1829" i="7"/>
  <c r="P1829" i="7"/>
  <c r="Q1829" i="7" s="1"/>
  <c r="S1828" i="7"/>
  <c r="P1828" i="7"/>
  <c r="Q1828" i="7" s="1"/>
  <c r="T1827" i="7"/>
  <c r="S1827" i="7"/>
  <c r="U1827" i="7" s="1"/>
  <c r="P1827" i="7"/>
  <c r="S1826" i="7"/>
  <c r="U1826" i="7" s="1"/>
  <c r="P1826" i="7"/>
  <c r="S1825" i="7"/>
  <c r="U1825" i="7" s="1"/>
  <c r="R1825" i="7"/>
  <c r="P1825" i="7"/>
  <c r="Q1825" i="7" s="1"/>
  <c r="S1824" i="7"/>
  <c r="P1824" i="7"/>
  <c r="Q1824" i="7" s="1"/>
  <c r="U1823" i="7"/>
  <c r="S1823" i="7"/>
  <c r="T1823" i="7" s="1"/>
  <c r="P1823" i="7"/>
  <c r="S1822" i="7"/>
  <c r="U1822" i="7" s="1"/>
  <c r="P1822" i="7"/>
  <c r="S1821" i="7"/>
  <c r="U1821" i="7" s="1"/>
  <c r="P1821" i="7"/>
  <c r="Q1821" i="7" s="1"/>
  <c r="S1820" i="7"/>
  <c r="P1820" i="7"/>
  <c r="Q1820" i="7" s="1"/>
  <c r="T1819" i="7"/>
  <c r="S1819" i="7"/>
  <c r="U1819" i="7" s="1"/>
  <c r="P1819" i="7"/>
  <c r="S1818" i="7"/>
  <c r="U1818" i="7" s="1"/>
  <c r="P1818" i="7"/>
  <c r="S1817" i="7"/>
  <c r="P1817" i="7"/>
  <c r="Q1817" i="7" s="1"/>
  <c r="S1816" i="7"/>
  <c r="P1816" i="7"/>
  <c r="Q1816" i="7" s="1"/>
  <c r="S1815" i="7"/>
  <c r="U1815" i="7" s="1"/>
  <c r="P1815" i="7"/>
  <c r="S1814" i="7"/>
  <c r="U1814" i="7" s="1"/>
  <c r="P1814" i="7"/>
  <c r="S1813" i="7"/>
  <c r="T1813" i="7" s="1"/>
  <c r="P1813" i="7"/>
  <c r="Q1813" i="7" s="1"/>
  <c r="S1812" i="7"/>
  <c r="P1812" i="7"/>
  <c r="Q1812" i="7" s="1"/>
  <c r="S1811" i="7"/>
  <c r="P1811" i="7"/>
  <c r="S1810" i="7"/>
  <c r="U1810" i="7" s="1"/>
  <c r="P1810" i="7"/>
  <c r="T1809" i="7"/>
  <c r="S1809" i="7"/>
  <c r="U1809" i="7" s="1"/>
  <c r="P1809" i="7"/>
  <c r="Q1809" i="7" s="1"/>
  <c r="S1808" i="7"/>
  <c r="P1808" i="7"/>
  <c r="Q1808" i="7" s="1"/>
  <c r="S1807" i="7"/>
  <c r="T1807" i="7" s="1"/>
  <c r="P1807" i="7"/>
  <c r="S1806" i="7"/>
  <c r="U1806" i="7" s="1"/>
  <c r="P1806" i="7"/>
  <c r="S1805" i="7"/>
  <c r="U1805" i="7" s="1"/>
  <c r="P1805" i="7"/>
  <c r="Q1805" i="7" s="1"/>
  <c r="S1804" i="7"/>
  <c r="P1804" i="7"/>
  <c r="Q1804" i="7" s="1"/>
  <c r="S1803" i="7"/>
  <c r="P1803" i="7"/>
  <c r="S1802" i="7"/>
  <c r="U1802" i="7" s="1"/>
  <c r="P1802" i="7"/>
  <c r="U1801" i="7"/>
  <c r="T1801" i="7"/>
  <c r="S1801" i="7"/>
  <c r="P1801" i="7"/>
  <c r="S1800" i="7"/>
  <c r="P1800" i="7"/>
  <c r="Q1800" i="7" s="1"/>
  <c r="S1799" i="7"/>
  <c r="U1799" i="7" s="1"/>
  <c r="P1799" i="7"/>
  <c r="S1798" i="7"/>
  <c r="U1798" i="7" s="1"/>
  <c r="P1798" i="7"/>
  <c r="S1797" i="7"/>
  <c r="P1797" i="7"/>
  <c r="Q1797" i="7" s="1"/>
  <c r="S1796" i="7"/>
  <c r="P1796" i="7"/>
  <c r="Q1796" i="7" s="1"/>
  <c r="T1795" i="7"/>
  <c r="S1795" i="7"/>
  <c r="U1795" i="7" s="1"/>
  <c r="P1795" i="7"/>
  <c r="S1794" i="7"/>
  <c r="U1794" i="7" s="1"/>
  <c r="P1794" i="7"/>
  <c r="S1793" i="7"/>
  <c r="U1793" i="7" s="1"/>
  <c r="R1793" i="7"/>
  <c r="P1793" i="7"/>
  <c r="Q1793" i="7" s="1"/>
  <c r="S1792" i="7"/>
  <c r="P1792" i="7"/>
  <c r="Q1792" i="7" s="1"/>
  <c r="U1791" i="7"/>
  <c r="S1791" i="7"/>
  <c r="T1791" i="7" s="1"/>
  <c r="P1791" i="7"/>
  <c r="S1790" i="7"/>
  <c r="U1790" i="7" s="1"/>
  <c r="P1790" i="7"/>
  <c r="S1789" i="7"/>
  <c r="U1789" i="7" s="1"/>
  <c r="P1789" i="7"/>
  <c r="Q1789" i="7" s="1"/>
  <c r="S1788" i="7"/>
  <c r="P1788" i="7"/>
  <c r="Q1788" i="7" s="1"/>
  <c r="S1787" i="7"/>
  <c r="P1787" i="7"/>
  <c r="S1786" i="7"/>
  <c r="U1786" i="7" s="1"/>
  <c r="P1786" i="7"/>
  <c r="S1785" i="7"/>
  <c r="R1785" i="7"/>
  <c r="P1785" i="7"/>
  <c r="Q1785" i="7" s="1"/>
  <c r="S1784" i="7"/>
  <c r="P1784" i="7"/>
  <c r="Q1784" i="7" s="1"/>
  <c r="S1783" i="7"/>
  <c r="U1783" i="7" s="1"/>
  <c r="P1783" i="7"/>
  <c r="S1782" i="7"/>
  <c r="U1782" i="7" s="1"/>
  <c r="P1782" i="7"/>
  <c r="U1781" i="7"/>
  <c r="S1781" i="7"/>
  <c r="T1781" i="7" s="1"/>
  <c r="P1781" i="7"/>
  <c r="Q1781" i="7" s="1"/>
  <c r="S1780" i="7"/>
  <c r="P1780" i="7"/>
  <c r="Q1780" i="7" s="1"/>
  <c r="S1779" i="7"/>
  <c r="P1779" i="7"/>
  <c r="S1778" i="7"/>
  <c r="U1778" i="7" s="1"/>
  <c r="P1778" i="7"/>
  <c r="T1777" i="7"/>
  <c r="S1777" i="7"/>
  <c r="U1777" i="7" s="1"/>
  <c r="P1777" i="7"/>
  <c r="Q1777" i="7" s="1"/>
  <c r="S1776" i="7"/>
  <c r="P1776" i="7"/>
  <c r="Q1776" i="7" s="1"/>
  <c r="S1775" i="7"/>
  <c r="T1775" i="7" s="1"/>
  <c r="P1775" i="7"/>
  <c r="S1774" i="7"/>
  <c r="U1774" i="7" s="1"/>
  <c r="P1774" i="7"/>
  <c r="S1773" i="7"/>
  <c r="U1773" i="7" s="1"/>
  <c r="P1773" i="7"/>
  <c r="Q1773" i="7" s="1"/>
  <c r="S1772" i="7"/>
  <c r="P1772" i="7"/>
  <c r="Q1772" i="7" s="1"/>
  <c r="S1771" i="7"/>
  <c r="P1771" i="7"/>
  <c r="S1770" i="7"/>
  <c r="U1770" i="7" s="1"/>
  <c r="P1770" i="7"/>
  <c r="T1769" i="7"/>
  <c r="S1769" i="7"/>
  <c r="U1769" i="7" s="1"/>
  <c r="P1769" i="7"/>
  <c r="S1768" i="7"/>
  <c r="P1768" i="7"/>
  <c r="Q1768" i="7" s="1"/>
  <c r="S1767" i="7"/>
  <c r="U1767" i="7" s="1"/>
  <c r="P1767" i="7"/>
  <c r="S1766" i="7"/>
  <c r="U1766" i="7" s="1"/>
  <c r="P1766" i="7"/>
  <c r="S1765" i="7"/>
  <c r="P1765" i="7"/>
  <c r="Q1765" i="7" s="1"/>
  <c r="S1764" i="7"/>
  <c r="P1764" i="7"/>
  <c r="Q1764" i="7" s="1"/>
  <c r="U1763" i="7"/>
  <c r="T1763" i="7"/>
  <c r="S1763" i="7"/>
  <c r="P1763" i="7"/>
  <c r="S1762" i="7"/>
  <c r="U1762" i="7" s="1"/>
  <c r="P1762" i="7"/>
  <c r="S1761" i="7"/>
  <c r="U1761" i="7" s="1"/>
  <c r="R1761" i="7"/>
  <c r="P1761" i="7"/>
  <c r="Q1761" i="7" s="1"/>
  <c r="S1760" i="7"/>
  <c r="P1760" i="7"/>
  <c r="Q1760" i="7" s="1"/>
  <c r="U1759" i="7"/>
  <c r="S1759" i="7"/>
  <c r="T1759" i="7" s="1"/>
  <c r="P1759" i="7"/>
  <c r="S1758" i="7"/>
  <c r="U1758" i="7" s="1"/>
  <c r="P1758" i="7"/>
  <c r="S1757" i="7"/>
  <c r="U1757" i="7" s="1"/>
  <c r="P1757" i="7"/>
  <c r="Q1757" i="7" s="1"/>
  <c r="S1756" i="7"/>
  <c r="P1756" i="7"/>
  <c r="Q1756" i="7" s="1"/>
  <c r="S1755" i="7"/>
  <c r="U1755" i="7" s="1"/>
  <c r="P1755" i="7"/>
  <c r="S1754" i="7"/>
  <c r="U1754" i="7" s="1"/>
  <c r="P1754" i="7"/>
  <c r="S1753" i="7"/>
  <c r="P1753" i="7"/>
  <c r="S1752" i="7"/>
  <c r="P1752" i="7"/>
  <c r="Q1752" i="7" s="1"/>
  <c r="S1751" i="7"/>
  <c r="U1751" i="7" s="1"/>
  <c r="P1751" i="7"/>
  <c r="S1750" i="7"/>
  <c r="U1750" i="7" s="1"/>
  <c r="P1750" i="7"/>
  <c r="S1749" i="7"/>
  <c r="P1749" i="7"/>
  <c r="Q1749" i="7" s="1"/>
  <c r="S1748" i="7"/>
  <c r="P1748" i="7"/>
  <c r="Q1748" i="7" s="1"/>
  <c r="S1747" i="7"/>
  <c r="P1747" i="7"/>
  <c r="S1746" i="7"/>
  <c r="U1746" i="7" s="1"/>
  <c r="P1746" i="7"/>
  <c r="T1745" i="7"/>
  <c r="S1745" i="7"/>
  <c r="U1745" i="7" s="1"/>
  <c r="P1745" i="7"/>
  <c r="Q1745" i="7" s="1"/>
  <c r="S1744" i="7"/>
  <c r="P1744" i="7"/>
  <c r="Q1744" i="7" s="1"/>
  <c r="S1743" i="7"/>
  <c r="T1743" i="7" s="1"/>
  <c r="P1743" i="7"/>
  <c r="S1742" i="7"/>
  <c r="U1742" i="7" s="1"/>
  <c r="P1742" i="7"/>
  <c r="S1741" i="7"/>
  <c r="U1741" i="7" s="1"/>
  <c r="P1741" i="7"/>
  <c r="Q1741" i="7" s="1"/>
  <c r="S1740" i="7"/>
  <c r="P1740" i="7"/>
  <c r="Q1740" i="7" s="1"/>
  <c r="S1739" i="7"/>
  <c r="P1739" i="7"/>
  <c r="S1738" i="7"/>
  <c r="U1738" i="7" s="1"/>
  <c r="P1738" i="7"/>
  <c r="U1737" i="7"/>
  <c r="T1737" i="7"/>
  <c r="S1737" i="7"/>
  <c r="P1737" i="7"/>
  <c r="S1736" i="7"/>
  <c r="P1736" i="7"/>
  <c r="Q1736" i="7" s="1"/>
  <c r="S1735" i="7"/>
  <c r="U1735" i="7" s="1"/>
  <c r="P1735" i="7"/>
  <c r="S1734" i="7"/>
  <c r="U1734" i="7" s="1"/>
  <c r="P1734" i="7"/>
  <c r="S1733" i="7"/>
  <c r="P1733" i="7"/>
  <c r="Q1733" i="7" s="1"/>
  <c r="S1732" i="7"/>
  <c r="P1732" i="7"/>
  <c r="Q1732" i="7" s="1"/>
  <c r="T1731" i="7"/>
  <c r="S1731" i="7"/>
  <c r="U1731" i="7" s="1"/>
  <c r="P1731" i="7"/>
  <c r="S1730" i="7"/>
  <c r="U1730" i="7" s="1"/>
  <c r="P1730" i="7"/>
  <c r="S1729" i="7"/>
  <c r="U1729" i="7" s="1"/>
  <c r="R1729" i="7"/>
  <c r="P1729" i="7"/>
  <c r="Q1729" i="7" s="1"/>
  <c r="S1728" i="7"/>
  <c r="P1728" i="7"/>
  <c r="Q1728" i="7" s="1"/>
  <c r="U1727" i="7"/>
  <c r="S1727" i="7"/>
  <c r="T1727" i="7" s="1"/>
  <c r="P1727" i="7"/>
  <c r="S1726" i="7"/>
  <c r="U1726" i="7" s="1"/>
  <c r="P1726" i="7"/>
  <c r="S1725" i="7"/>
  <c r="U1725" i="7" s="1"/>
  <c r="P1725" i="7"/>
  <c r="Q1725" i="7" s="1"/>
  <c r="S1724" i="7"/>
  <c r="P1724" i="7"/>
  <c r="Q1724" i="7" s="1"/>
  <c r="S1723" i="7"/>
  <c r="U1723" i="7" s="1"/>
  <c r="P1723" i="7"/>
  <c r="S1722" i="7"/>
  <c r="U1722" i="7" s="1"/>
  <c r="P1722" i="7"/>
  <c r="S1721" i="7"/>
  <c r="P1721" i="7"/>
  <c r="Q1721" i="7" s="1"/>
  <c r="S1720" i="7"/>
  <c r="P1720" i="7"/>
  <c r="Q1720" i="7" s="1"/>
  <c r="S1719" i="7"/>
  <c r="U1719" i="7" s="1"/>
  <c r="P1719" i="7"/>
  <c r="S1718" i="7"/>
  <c r="U1718" i="7" s="1"/>
  <c r="P1718" i="7"/>
  <c r="S1717" i="7"/>
  <c r="T1717" i="7" s="1"/>
  <c r="P1717" i="7"/>
  <c r="Q1717" i="7" s="1"/>
  <c r="S1716" i="7"/>
  <c r="P1716" i="7"/>
  <c r="Q1716" i="7" s="1"/>
  <c r="S1715" i="7"/>
  <c r="P1715" i="7"/>
  <c r="S1714" i="7"/>
  <c r="U1714" i="7" s="1"/>
  <c r="P1714" i="7"/>
  <c r="T1713" i="7"/>
  <c r="S1713" i="7"/>
  <c r="U1713" i="7" s="1"/>
  <c r="P1713" i="7"/>
  <c r="Q1713" i="7" s="1"/>
  <c r="S1712" i="7"/>
  <c r="P1712" i="7"/>
  <c r="Q1712" i="7" s="1"/>
  <c r="S1711" i="7"/>
  <c r="T1711" i="7" s="1"/>
  <c r="P1711" i="7"/>
  <c r="S1710" i="7"/>
  <c r="U1710" i="7" s="1"/>
  <c r="P1710" i="7"/>
  <c r="S1709" i="7"/>
  <c r="U1709" i="7" s="1"/>
  <c r="P1709" i="7"/>
  <c r="Q1709" i="7" s="1"/>
  <c r="S1708" i="7"/>
  <c r="P1708" i="7"/>
  <c r="Q1708" i="7" s="1"/>
  <c r="S1707" i="7"/>
  <c r="P1707" i="7"/>
  <c r="S1706" i="7"/>
  <c r="U1706" i="7" s="1"/>
  <c r="P1706" i="7"/>
  <c r="T1705" i="7"/>
  <c r="S1705" i="7"/>
  <c r="U1705" i="7" s="1"/>
  <c r="P1705" i="7"/>
  <c r="S1704" i="7"/>
  <c r="P1704" i="7"/>
  <c r="Q1704" i="7" s="1"/>
  <c r="S1703" i="7"/>
  <c r="U1703" i="7" s="1"/>
  <c r="P1703" i="7"/>
  <c r="S1702" i="7"/>
  <c r="U1702" i="7" s="1"/>
  <c r="P1702" i="7"/>
  <c r="S1701" i="7"/>
  <c r="P1701" i="7"/>
  <c r="Q1701" i="7" s="1"/>
  <c r="S1700" i="7"/>
  <c r="P1700" i="7"/>
  <c r="Q1700" i="7" s="1"/>
  <c r="T1699" i="7"/>
  <c r="S1699" i="7"/>
  <c r="U1699" i="7" s="1"/>
  <c r="P1699" i="7"/>
  <c r="S1698" i="7"/>
  <c r="U1698" i="7" s="1"/>
  <c r="P1698" i="7"/>
  <c r="S1697" i="7"/>
  <c r="U1697" i="7" s="1"/>
  <c r="R1697" i="7"/>
  <c r="P1697" i="7"/>
  <c r="Q1697" i="7" s="1"/>
  <c r="S1696" i="7"/>
  <c r="P1696" i="7"/>
  <c r="Q1696" i="7" s="1"/>
  <c r="U1695" i="7"/>
  <c r="S1695" i="7"/>
  <c r="T1695" i="7" s="1"/>
  <c r="P1695" i="7"/>
  <c r="S1694" i="7"/>
  <c r="U1694" i="7" s="1"/>
  <c r="P1694" i="7"/>
  <c r="S1693" i="7"/>
  <c r="U1693" i="7" s="1"/>
  <c r="P1693" i="7"/>
  <c r="Q1693" i="7" s="1"/>
  <c r="S1692" i="7"/>
  <c r="P1692" i="7"/>
  <c r="Q1692" i="7" s="1"/>
  <c r="T1691" i="7"/>
  <c r="S1691" i="7"/>
  <c r="U1691" i="7" s="1"/>
  <c r="P1691" i="7"/>
  <c r="S1690" i="7"/>
  <c r="U1690" i="7" s="1"/>
  <c r="P1690" i="7"/>
  <c r="S1689" i="7"/>
  <c r="P1689" i="7"/>
  <c r="Q1689" i="7" s="1"/>
  <c r="S1688" i="7"/>
  <c r="P1688" i="7"/>
  <c r="Q1688" i="7" s="1"/>
  <c r="S1687" i="7"/>
  <c r="U1687" i="7" s="1"/>
  <c r="P1687" i="7"/>
  <c r="S1686" i="7"/>
  <c r="U1686" i="7" s="1"/>
  <c r="P1686" i="7"/>
  <c r="S1685" i="7"/>
  <c r="T1685" i="7" s="1"/>
  <c r="P1685" i="7"/>
  <c r="Q1685" i="7" s="1"/>
  <c r="S1684" i="7"/>
  <c r="P1684" i="7"/>
  <c r="Q1684" i="7" s="1"/>
  <c r="S1683" i="7"/>
  <c r="P1683" i="7"/>
  <c r="S1682" i="7"/>
  <c r="U1682" i="7" s="1"/>
  <c r="P1682" i="7"/>
  <c r="T1681" i="7"/>
  <c r="S1681" i="7"/>
  <c r="U1681" i="7" s="1"/>
  <c r="P1681" i="7"/>
  <c r="Q1681" i="7" s="1"/>
  <c r="S1680" i="7"/>
  <c r="P1680" i="7"/>
  <c r="Q1680" i="7" s="1"/>
  <c r="S1679" i="7"/>
  <c r="T1679" i="7" s="1"/>
  <c r="P1679" i="7"/>
  <c r="S1678" i="7"/>
  <c r="U1678" i="7" s="1"/>
  <c r="P1678" i="7"/>
  <c r="S1677" i="7"/>
  <c r="U1677" i="7" s="1"/>
  <c r="P1677" i="7"/>
  <c r="Q1677" i="7" s="1"/>
  <c r="S1676" i="7"/>
  <c r="P1676" i="7"/>
  <c r="Q1676" i="7" s="1"/>
  <c r="S1675" i="7"/>
  <c r="P1675" i="7"/>
  <c r="S1674" i="7"/>
  <c r="U1674" i="7" s="1"/>
  <c r="P1674" i="7"/>
  <c r="U1673" i="7"/>
  <c r="S1673" i="7"/>
  <c r="T1673" i="7" s="1"/>
  <c r="P1673" i="7"/>
  <c r="S1672" i="7"/>
  <c r="P1672" i="7"/>
  <c r="Q1672" i="7" s="1"/>
  <c r="S1671" i="7"/>
  <c r="U1671" i="7" s="1"/>
  <c r="P1671" i="7"/>
  <c r="S1670" i="7"/>
  <c r="U1670" i="7" s="1"/>
  <c r="P1670" i="7"/>
  <c r="S1669" i="7"/>
  <c r="P1669" i="7"/>
  <c r="Q1669" i="7" s="1"/>
  <c r="S1668" i="7"/>
  <c r="P1668" i="7"/>
  <c r="Q1668" i="7" s="1"/>
  <c r="T1667" i="7"/>
  <c r="S1667" i="7"/>
  <c r="U1667" i="7" s="1"/>
  <c r="P1667" i="7"/>
  <c r="S1666" i="7"/>
  <c r="U1666" i="7" s="1"/>
  <c r="P1666" i="7"/>
  <c r="S1665" i="7"/>
  <c r="U1665" i="7" s="1"/>
  <c r="R1665" i="7"/>
  <c r="P1665" i="7"/>
  <c r="Q1665" i="7" s="1"/>
  <c r="S1664" i="7"/>
  <c r="P1664" i="7"/>
  <c r="Q1664" i="7" s="1"/>
  <c r="S1663" i="7"/>
  <c r="T1663" i="7" s="1"/>
  <c r="P1663" i="7"/>
  <c r="S1662" i="7"/>
  <c r="U1662" i="7" s="1"/>
  <c r="P1662" i="7"/>
  <c r="S1661" i="7"/>
  <c r="U1661" i="7" s="1"/>
  <c r="P1661" i="7"/>
  <c r="Q1661" i="7" s="1"/>
  <c r="S1660" i="7"/>
  <c r="P1660" i="7"/>
  <c r="Q1660" i="7" s="1"/>
  <c r="S1659" i="7"/>
  <c r="P1659" i="7"/>
  <c r="S1658" i="7"/>
  <c r="U1658" i="7" s="1"/>
  <c r="P1658" i="7"/>
  <c r="S1657" i="7"/>
  <c r="R1657" i="7"/>
  <c r="P1657" i="7"/>
  <c r="Q1657" i="7" s="1"/>
  <c r="S1656" i="7"/>
  <c r="P1656" i="7"/>
  <c r="Q1656" i="7" s="1"/>
  <c r="S1655" i="7"/>
  <c r="U1655" i="7" s="1"/>
  <c r="P1655" i="7"/>
  <c r="S1654" i="7"/>
  <c r="U1654" i="7" s="1"/>
  <c r="P1654" i="7"/>
  <c r="U1653" i="7"/>
  <c r="S1653" i="7"/>
  <c r="T1653" i="7" s="1"/>
  <c r="P1653" i="7"/>
  <c r="Q1653" i="7" s="1"/>
  <c r="S1652" i="7"/>
  <c r="P1652" i="7"/>
  <c r="Q1652" i="7" s="1"/>
  <c r="S1651" i="7"/>
  <c r="P1651" i="7"/>
  <c r="S1650" i="7"/>
  <c r="U1650" i="7" s="1"/>
  <c r="P1650" i="7"/>
  <c r="T1649" i="7"/>
  <c r="S1649" i="7"/>
  <c r="U1649" i="7" s="1"/>
  <c r="P1649" i="7"/>
  <c r="Q1649" i="7" s="1"/>
  <c r="S1648" i="7"/>
  <c r="P1648" i="7"/>
  <c r="Q1648" i="7" s="1"/>
  <c r="S1647" i="7"/>
  <c r="T1647" i="7" s="1"/>
  <c r="P1647" i="7"/>
  <c r="S1646" i="7"/>
  <c r="U1646" i="7" s="1"/>
  <c r="P1646" i="7"/>
  <c r="S1645" i="7"/>
  <c r="U1645" i="7" s="1"/>
  <c r="P1645" i="7"/>
  <c r="Q1645" i="7" s="1"/>
  <c r="S1644" i="7"/>
  <c r="P1644" i="7"/>
  <c r="Q1644" i="7" s="1"/>
  <c r="S1643" i="7"/>
  <c r="P1643" i="7"/>
  <c r="S1642" i="7"/>
  <c r="U1642" i="7" s="1"/>
  <c r="P1642" i="7"/>
  <c r="T1641" i="7"/>
  <c r="S1641" i="7"/>
  <c r="U1641" i="7" s="1"/>
  <c r="P1641" i="7"/>
  <c r="S1640" i="7"/>
  <c r="P1640" i="7"/>
  <c r="Q1640" i="7" s="1"/>
  <c r="S1639" i="7"/>
  <c r="U1639" i="7" s="1"/>
  <c r="P1639" i="7"/>
  <c r="S1638" i="7"/>
  <c r="U1638" i="7" s="1"/>
  <c r="P1638" i="7"/>
  <c r="S1637" i="7"/>
  <c r="P1637" i="7"/>
  <c r="Q1637" i="7" s="1"/>
  <c r="S1636" i="7"/>
  <c r="P1636" i="7"/>
  <c r="Q1636" i="7" s="1"/>
  <c r="U1635" i="7"/>
  <c r="S1635" i="7"/>
  <c r="T1635" i="7" s="1"/>
  <c r="P1635" i="7"/>
  <c r="S1634" i="7"/>
  <c r="U1634" i="7" s="1"/>
  <c r="P1634" i="7"/>
  <c r="S1633" i="7"/>
  <c r="U1633" i="7" s="1"/>
  <c r="P1633" i="7"/>
  <c r="Q1633" i="7" s="1"/>
  <c r="S1632" i="7"/>
  <c r="P1632" i="7"/>
  <c r="Q1632" i="7" s="1"/>
  <c r="U1631" i="7"/>
  <c r="S1631" i="7"/>
  <c r="T1631" i="7" s="1"/>
  <c r="P1631" i="7"/>
  <c r="S1630" i="7"/>
  <c r="U1630" i="7" s="1"/>
  <c r="P1630" i="7"/>
  <c r="S1629" i="7"/>
  <c r="U1629" i="7" s="1"/>
  <c r="P1629" i="7"/>
  <c r="Q1629" i="7" s="1"/>
  <c r="S1628" i="7"/>
  <c r="P1628" i="7"/>
  <c r="Q1628" i="7" s="1"/>
  <c r="S1627" i="7"/>
  <c r="U1627" i="7" s="1"/>
  <c r="P1627" i="7"/>
  <c r="S1626" i="7"/>
  <c r="U1626" i="7" s="1"/>
  <c r="P1626" i="7"/>
  <c r="S1625" i="7"/>
  <c r="P1625" i="7"/>
  <c r="S1624" i="7"/>
  <c r="P1624" i="7"/>
  <c r="Q1624" i="7" s="1"/>
  <c r="S1623" i="7"/>
  <c r="U1623" i="7" s="1"/>
  <c r="P1623" i="7"/>
  <c r="S1622" i="7"/>
  <c r="U1622" i="7" s="1"/>
  <c r="P1622" i="7"/>
  <c r="S1621" i="7"/>
  <c r="P1621" i="7"/>
  <c r="Q1621" i="7" s="1"/>
  <c r="S1620" i="7"/>
  <c r="P1620" i="7"/>
  <c r="Q1620" i="7" s="1"/>
  <c r="S1619" i="7"/>
  <c r="P1619" i="7"/>
  <c r="S1618" i="7"/>
  <c r="U1618" i="7" s="1"/>
  <c r="P1618" i="7"/>
  <c r="T1617" i="7"/>
  <c r="S1617" i="7"/>
  <c r="U1617" i="7" s="1"/>
  <c r="P1617" i="7"/>
  <c r="Q1617" i="7" s="1"/>
  <c r="S1616" i="7"/>
  <c r="P1616" i="7"/>
  <c r="Q1616" i="7" s="1"/>
  <c r="S1615" i="7"/>
  <c r="T1615" i="7" s="1"/>
  <c r="P1615" i="7"/>
  <c r="S1614" i="7"/>
  <c r="U1614" i="7" s="1"/>
  <c r="P1614" i="7"/>
  <c r="S1613" i="7"/>
  <c r="U1613" i="7" s="1"/>
  <c r="P1613" i="7"/>
  <c r="Q1613" i="7" s="1"/>
  <c r="S1612" i="7"/>
  <c r="P1612" i="7"/>
  <c r="Q1612" i="7" s="1"/>
  <c r="S1611" i="7"/>
  <c r="P1611" i="7"/>
  <c r="S1610" i="7"/>
  <c r="U1610" i="7" s="1"/>
  <c r="P1610" i="7"/>
  <c r="T1609" i="7"/>
  <c r="S1609" i="7"/>
  <c r="U1609" i="7" s="1"/>
  <c r="P1609" i="7"/>
  <c r="S1608" i="7"/>
  <c r="P1608" i="7"/>
  <c r="Q1608" i="7" s="1"/>
  <c r="S1607" i="7"/>
  <c r="U1607" i="7" s="1"/>
  <c r="P1607" i="7"/>
  <c r="S1606" i="7"/>
  <c r="U1606" i="7" s="1"/>
  <c r="P1606" i="7"/>
  <c r="S1605" i="7"/>
  <c r="P1605" i="7"/>
  <c r="Q1605" i="7" s="1"/>
  <c r="S1604" i="7"/>
  <c r="P1604" i="7"/>
  <c r="Q1604" i="7" s="1"/>
  <c r="T1603" i="7"/>
  <c r="S1603" i="7"/>
  <c r="U1603" i="7" s="1"/>
  <c r="P1603" i="7"/>
  <c r="S1602" i="7"/>
  <c r="U1602" i="7" s="1"/>
  <c r="P1602" i="7"/>
  <c r="S1601" i="7"/>
  <c r="U1601" i="7" s="1"/>
  <c r="R1601" i="7"/>
  <c r="P1601" i="7"/>
  <c r="Q1601" i="7" s="1"/>
  <c r="S1600" i="7"/>
  <c r="P1600" i="7"/>
  <c r="Q1600" i="7" s="1"/>
  <c r="U1599" i="7"/>
  <c r="S1599" i="7"/>
  <c r="T1599" i="7" s="1"/>
  <c r="P1599" i="7"/>
  <c r="S1598" i="7"/>
  <c r="U1598" i="7" s="1"/>
  <c r="P1598" i="7"/>
  <c r="S1597" i="7"/>
  <c r="U1597" i="7" s="1"/>
  <c r="P1597" i="7"/>
  <c r="Q1597" i="7" s="1"/>
  <c r="S1596" i="7"/>
  <c r="P1596" i="7"/>
  <c r="Q1596" i="7" s="1"/>
  <c r="S1595" i="7"/>
  <c r="U1595" i="7" s="1"/>
  <c r="P1595" i="7"/>
  <c r="S1594" i="7"/>
  <c r="U1594" i="7" s="1"/>
  <c r="P1594" i="7"/>
  <c r="S1593" i="7"/>
  <c r="P1593" i="7"/>
  <c r="Q1593" i="7" s="1"/>
  <c r="S1592" i="7"/>
  <c r="P1592" i="7"/>
  <c r="Q1592" i="7" s="1"/>
  <c r="S1591" i="7"/>
  <c r="U1591" i="7" s="1"/>
  <c r="P1591" i="7"/>
  <c r="S1590" i="7"/>
  <c r="U1590" i="7" s="1"/>
  <c r="P1590" i="7"/>
  <c r="S1589" i="7"/>
  <c r="T1589" i="7" s="1"/>
  <c r="P1589" i="7"/>
  <c r="Q1589" i="7" s="1"/>
  <c r="S1588" i="7"/>
  <c r="P1588" i="7"/>
  <c r="Q1588" i="7" s="1"/>
  <c r="S1587" i="7"/>
  <c r="P1587" i="7"/>
  <c r="S1586" i="7"/>
  <c r="U1586" i="7" s="1"/>
  <c r="P1586" i="7"/>
  <c r="T1585" i="7"/>
  <c r="S1585" i="7"/>
  <c r="U1585" i="7" s="1"/>
  <c r="P1585" i="7"/>
  <c r="Q1585" i="7" s="1"/>
  <c r="S1584" i="7"/>
  <c r="P1584" i="7"/>
  <c r="Q1584" i="7" s="1"/>
  <c r="S1583" i="7"/>
  <c r="U1583" i="7" s="1"/>
  <c r="P1583" i="7"/>
  <c r="S1582" i="7"/>
  <c r="U1582" i="7" s="1"/>
  <c r="R1582" i="7"/>
  <c r="P1582" i="7"/>
  <c r="Q1582" i="7" s="1"/>
  <c r="S1581" i="7"/>
  <c r="U1581" i="7" s="1"/>
  <c r="P1581" i="7"/>
  <c r="S1580" i="7"/>
  <c r="U1580" i="7" s="1"/>
  <c r="P1580" i="7"/>
  <c r="S1579" i="7"/>
  <c r="U1579" i="7" s="1"/>
  <c r="P1579" i="7"/>
  <c r="S1578" i="7"/>
  <c r="U1578" i="7" s="1"/>
  <c r="R1578" i="7"/>
  <c r="P1578" i="7"/>
  <c r="Q1578" i="7" s="1"/>
  <c r="S1577" i="7"/>
  <c r="U1577" i="7" s="1"/>
  <c r="P1577" i="7"/>
  <c r="S1576" i="7"/>
  <c r="U1576" i="7" s="1"/>
  <c r="P1576" i="7"/>
  <c r="Q1576" i="7" s="1"/>
  <c r="S1575" i="7"/>
  <c r="U1575" i="7" s="1"/>
  <c r="P1575" i="7"/>
  <c r="S1574" i="7"/>
  <c r="U1574" i="7" s="1"/>
  <c r="R1574" i="7"/>
  <c r="P1574" i="7"/>
  <c r="Q1574" i="7" s="1"/>
  <c r="S1573" i="7"/>
  <c r="U1573" i="7" s="1"/>
  <c r="P1573" i="7"/>
  <c r="S1572" i="7"/>
  <c r="U1572" i="7" s="1"/>
  <c r="P1572" i="7"/>
  <c r="Q1572" i="7" s="1"/>
  <c r="S1571" i="7"/>
  <c r="U1571" i="7" s="1"/>
  <c r="P1571" i="7"/>
  <c r="S1570" i="7"/>
  <c r="U1570" i="7" s="1"/>
  <c r="R1570" i="7"/>
  <c r="P1570" i="7"/>
  <c r="Q1570" i="7" s="1"/>
  <c r="S1569" i="7"/>
  <c r="U1569" i="7" s="1"/>
  <c r="P1569" i="7"/>
  <c r="S1568" i="7"/>
  <c r="U1568" i="7" s="1"/>
  <c r="R1568" i="7"/>
  <c r="P1568" i="7"/>
  <c r="Q1568" i="7" s="1"/>
  <c r="S1567" i="7"/>
  <c r="U1567" i="7" s="1"/>
  <c r="P1567" i="7"/>
  <c r="S1566" i="7"/>
  <c r="U1566" i="7" s="1"/>
  <c r="R1566" i="7"/>
  <c r="P1566" i="7"/>
  <c r="Q1566" i="7" s="1"/>
  <c r="S1565" i="7"/>
  <c r="U1565" i="7" s="1"/>
  <c r="P1565" i="7"/>
  <c r="S1564" i="7"/>
  <c r="U1564" i="7" s="1"/>
  <c r="P1564" i="7"/>
  <c r="S1563" i="7"/>
  <c r="U1563" i="7" s="1"/>
  <c r="P1563" i="7"/>
  <c r="S1562" i="7"/>
  <c r="U1562" i="7" s="1"/>
  <c r="R1562" i="7"/>
  <c r="P1562" i="7"/>
  <c r="Q1562" i="7" s="1"/>
  <c r="S1561" i="7"/>
  <c r="U1561" i="7" s="1"/>
  <c r="P1561" i="7"/>
  <c r="S1560" i="7"/>
  <c r="U1560" i="7" s="1"/>
  <c r="P1560" i="7"/>
  <c r="Q1560" i="7" s="1"/>
  <c r="S1559" i="7"/>
  <c r="U1559" i="7" s="1"/>
  <c r="P1559" i="7"/>
  <c r="S1558" i="7"/>
  <c r="U1558" i="7" s="1"/>
  <c r="R1558" i="7"/>
  <c r="P1558" i="7"/>
  <c r="Q1558" i="7" s="1"/>
  <c r="S1557" i="7"/>
  <c r="U1557" i="7" s="1"/>
  <c r="P1557" i="7"/>
  <c r="S1556" i="7"/>
  <c r="U1556" i="7" s="1"/>
  <c r="P1556" i="7"/>
  <c r="Q1556" i="7" s="1"/>
  <c r="S1555" i="7"/>
  <c r="U1555" i="7" s="1"/>
  <c r="P1555" i="7"/>
  <c r="S1554" i="7"/>
  <c r="U1554" i="7" s="1"/>
  <c r="R1554" i="7"/>
  <c r="P1554" i="7"/>
  <c r="Q1554" i="7" s="1"/>
  <c r="S1553" i="7"/>
  <c r="U1553" i="7" s="1"/>
  <c r="P1553" i="7"/>
  <c r="S1552" i="7"/>
  <c r="U1552" i="7" s="1"/>
  <c r="R1552" i="7"/>
  <c r="P1552" i="7"/>
  <c r="Q1552" i="7" s="1"/>
  <c r="S1551" i="7"/>
  <c r="U1551" i="7" s="1"/>
  <c r="P1551" i="7"/>
  <c r="S1550" i="7"/>
  <c r="U1550" i="7" s="1"/>
  <c r="R1550" i="7"/>
  <c r="P1550" i="7"/>
  <c r="Q1550" i="7" s="1"/>
  <c r="S1549" i="7"/>
  <c r="U1549" i="7" s="1"/>
  <c r="P1549" i="7"/>
  <c r="S1548" i="7"/>
  <c r="U1548" i="7" s="1"/>
  <c r="P1548" i="7"/>
  <c r="S1547" i="7"/>
  <c r="U1547" i="7" s="1"/>
  <c r="P1547" i="7"/>
  <c r="S1546" i="7"/>
  <c r="U1546" i="7" s="1"/>
  <c r="R1546" i="7"/>
  <c r="P1546" i="7"/>
  <c r="Q1546" i="7" s="1"/>
  <c r="S1545" i="7"/>
  <c r="U1545" i="7" s="1"/>
  <c r="P1545" i="7"/>
  <c r="S1544" i="7"/>
  <c r="U1544" i="7" s="1"/>
  <c r="P1544" i="7"/>
  <c r="Q1544" i="7" s="1"/>
  <c r="S1543" i="7"/>
  <c r="U1543" i="7" s="1"/>
  <c r="P1543" i="7"/>
  <c r="S1542" i="7"/>
  <c r="U1542" i="7" s="1"/>
  <c r="R1542" i="7"/>
  <c r="P1542" i="7"/>
  <c r="Q1542" i="7" s="1"/>
  <c r="S1541" i="7"/>
  <c r="U1541" i="7" s="1"/>
  <c r="P1541" i="7"/>
  <c r="S1540" i="7"/>
  <c r="U1540" i="7" s="1"/>
  <c r="P1540" i="7"/>
  <c r="Q1540" i="7" s="1"/>
  <c r="S1539" i="7"/>
  <c r="U1539" i="7" s="1"/>
  <c r="P1539" i="7"/>
  <c r="S1538" i="7"/>
  <c r="U1538" i="7" s="1"/>
  <c r="R1538" i="7"/>
  <c r="P1538" i="7"/>
  <c r="Q1538" i="7" s="1"/>
  <c r="S1537" i="7"/>
  <c r="U1537" i="7" s="1"/>
  <c r="P1537" i="7"/>
  <c r="S1536" i="7"/>
  <c r="U1536" i="7" s="1"/>
  <c r="R1536" i="7"/>
  <c r="P1536" i="7"/>
  <c r="Q1536" i="7" s="1"/>
  <c r="S1535" i="7"/>
  <c r="U1535" i="7" s="1"/>
  <c r="P1535" i="7"/>
  <c r="S1534" i="7"/>
  <c r="U1534" i="7" s="1"/>
  <c r="R1534" i="7"/>
  <c r="P1534" i="7"/>
  <c r="Q1534" i="7" s="1"/>
  <c r="S1533" i="7"/>
  <c r="U1533" i="7" s="1"/>
  <c r="P1533" i="7"/>
  <c r="S1532" i="7"/>
  <c r="U1532" i="7" s="1"/>
  <c r="P1532" i="7"/>
  <c r="S1531" i="7"/>
  <c r="U1531" i="7" s="1"/>
  <c r="P1531" i="7"/>
  <c r="S1530" i="7"/>
  <c r="U1530" i="7" s="1"/>
  <c r="R1530" i="7"/>
  <c r="P1530" i="7"/>
  <c r="Q1530" i="7" s="1"/>
  <c r="S1529" i="7"/>
  <c r="U1529" i="7" s="1"/>
  <c r="P1529" i="7"/>
  <c r="S1528" i="7"/>
  <c r="U1528" i="7" s="1"/>
  <c r="P1528" i="7"/>
  <c r="Q1528" i="7" s="1"/>
  <c r="S1527" i="7"/>
  <c r="U1527" i="7" s="1"/>
  <c r="P1527" i="7"/>
  <c r="S1526" i="7"/>
  <c r="U1526" i="7" s="1"/>
  <c r="P1526" i="7"/>
  <c r="Q1526" i="7" s="1"/>
  <c r="S1525" i="7"/>
  <c r="U1525" i="7" s="1"/>
  <c r="P1525" i="7"/>
  <c r="S1524" i="7"/>
  <c r="U1524" i="7" s="1"/>
  <c r="P1524" i="7"/>
  <c r="Q1524" i="7" s="1"/>
  <c r="S1523" i="7"/>
  <c r="U1523" i="7" s="1"/>
  <c r="P1523" i="7"/>
  <c r="S1522" i="7"/>
  <c r="U1522" i="7" s="1"/>
  <c r="R1522" i="7"/>
  <c r="P1522" i="7"/>
  <c r="Q1522" i="7" s="1"/>
  <c r="S1521" i="7"/>
  <c r="U1521" i="7" s="1"/>
  <c r="P1521" i="7"/>
  <c r="S1520" i="7"/>
  <c r="U1520" i="7" s="1"/>
  <c r="R1520" i="7"/>
  <c r="P1520" i="7"/>
  <c r="Q1520" i="7" s="1"/>
  <c r="S1519" i="7"/>
  <c r="U1519" i="7" s="1"/>
  <c r="P1519" i="7"/>
  <c r="S1518" i="7"/>
  <c r="U1518" i="7" s="1"/>
  <c r="R1518" i="7"/>
  <c r="P1518" i="7"/>
  <c r="Q1518" i="7" s="1"/>
  <c r="S1517" i="7"/>
  <c r="U1517" i="7" s="1"/>
  <c r="P1517" i="7"/>
  <c r="S1516" i="7"/>
  <c r="U1516" i="7" s="1"/>
  <c r="P1516" i="7"/>
  <c r="S1515" i="7"/>
  <c r="U1515" i="7" s="1"/>
  <c r="P1515" i="7"/>
  <c r="S1514" i="7"/>
  <c r="U1514" i="7" s="1"/>
  <c r="R1514" i="7"/>
  <c r="P1514" i="7"/>
  <c r="Q1514" i="7" s="1"/>
  <c r="S1513" i="7"/>
  <c r="U1513" i="7" s="1"/>
  <c r="P1513" i="7"/>
  <c r="S1512" i="7"/>
  <c r="U1512" i="7" s="1"/>
  <c r="P1512" i="7"/>
  <c r="Q1512" i="7" s="1"/>
  <c r="S1511" i="7"/>
  <c r="U1511" i="7" s="1"/>
  <c r="P1511" i="7"/>
  <c r="S1510" i="7"/>
  <c r="U1510" i="7" s="1"/>
  <c r="P1510" i="7"/>
  <c r="Q1510" i="7" s="1"/>
  <c r="S1509" i="7"/>
  <c r="U1509" i="7" s="1"/>
  <c r="P1509" i="7"/>
  <c r="S1508" i="7"/>
  <c r="U1508" i="7" s="1"/>
  <c r="P1508" i="7"/>
  <c r="Q1508" i="7" s="1"/>
  <c r="S1507" i="7"/>
  <c r="U1507" i="7" s="1"/>
  <c r="P1507" i="7"/>
  <c r="S1506" i="7"/>
  <c r="U1506" i="7" s="1"/>
  <c r="R1506" i="7"/>
  <c r="P1506" i="7"/>
  <c r="Q1506" i="7" s="1"/>
  <c r="S1505" i="7"/>
  <c r="U1505" i="7" s="1"/>
  <c r="P1505" i="7"/>
  <c r="S1504" i="7"/>
  <c r="U1504" i="7" s="1"/>
  <c r="R1504" i="7"/>
  <c r="P1504" i="7"/>
  <c r="Q1504" i="7" s="1"/>
  <c r="S1503" i="7"/>
  <c r="U1503" i="7" s="1"/>
  <c r="P1503" i="7"/>
  <c r="S1502" i="7"/>
  <c r="U1502" i="7" s="1"/>
  <c r="R1502" i="7"/>
  <c r="P1502" i="7"/>
  <c r="Q1502" i="7" s="1"/>
  <c r="S1501" i="7"/>
  <c r="U1501" i="7" s="1"/>
  <c r="P1501" i="7"/>
  <c r="S1500" i="7"/>
  <c r="U1500" i="7" s="1"/>
  <c r="P1500" i="7"/>
  <c r="Q1500" i="7" s="1"/>
  <c r="T1499" i="7"/>
  <c r="S1499" i="7"/>
  <c r="U1499" i="7" s="1"/>
  <c r="P1499" i="7"/>
  <c r="S1498" i="7"/>
  <c r="U1498" i="7" s="1"/>
  <c r="P1498" i="7"/>
  <c r="Q1498" i="7" s="1"/>
  <c r="S1497" i="7"/>
  <c r="P1497" i="7"/>
  <c r="S1496" i="7"/>
  <c r="U1496" i="7" s="1"/>
  <c r="P1496" i="7"/>
  <c r="Q1496" i="7" s="1"/>
  <c r="S1495" i="7"/>
  <c r="P1495" i="7"/>
  <c r="S1494" i="7"/>
  <c r="P1494" i="7"/>
  <c r="Q1494" i="7" s="1"/>
  <c r="S1493" i="7"/>
  <c r="U1493" i="7" s="1"/>
  <c r="P1493" i="7"/>
  <c r="S1492" i="7"/>
  <c r="U1492" i="7" s="1"/>
  <c r="P1492" i="7"/>
  <c r="Q1492" i="7" s="1"/>
  <c r="S1491" i="7"/>
  <c r="U1491" i="7" s="1"/>
  <c r="P1491" i="7"/>
  <c r="T1490" i="7"/>
  <c r="S1490" i="7"/>
  <c r="U1490" i="7" s="1"/>
  <c r="P1490" i="7"/>
  <c r="Q1490" i="7" s="1"/>
  <c r="T1489" i="7"/>
  <c r="S1489" i="7"/>
  <c r="U1489" i="7" s="1"/>
  <c r="P1489" i="7"/>
  <c r="U1488" i="7"/>
  <c r="S1488" i="7"/>
  <c r="T1488" i="7" s="1"/>
  <c r="P1488" i="7"/>
  <c r="Q1488" i="7" s="1"/>
  <c r="S1487" i="7"/>
  <c r="P1487" i="7"/>
  <c r="S1486" i="7"/>
  <c r="P1486" i="7"/>
  <c r="Q1486" i="7" s="1"/>
  <c r="S1485" i="7"/>
  <c r="U1485" i="7" s="1"/>
  <c r="P1485" i="7"/>
  <c r="S1484" i="7"/>
  <c r="U1484" i="7" s="1"/>
  <c r="P1484" i="7"/>
  <c r="Q1484" i="7" s="1"/>
  <c r="S1483" i="7"/>
  <c r="U1483" i="7" s="1"/>
  <c r="P1483" i="7"/>
  <c r="U1482" i="7"/>
  <c r="T1482" i="7"/>
  <c r="S1482" i="7"/>
  <c r="P1482" i="7"/>
  <c r="Q1482" i="7" s="1"/>
  <c r="S1481" i="7"/>
  <c r="U1481" i="7" s="1"/>
  <c r="P1481" i="7"/>
  <c r="S1480" i="7"/>
  <c r="P1480" i="7"/>
  <c r="Q1480" i="7" s="1"/>
  <c r="S1479" i="7"/>
  <c r="P1479" i="7"/>
  <c r="S1478" i="7"/>
  <c r="P1478" i="7"/>
  <c r="Q1478" i="7" s="1"/>
  <c r="S1477" i="7"/>
  <c r="U1477" i="7" s="1"/>
  <c r="P1477" i="7"/>
  <c r="S1476" i="7"/>
  <c r="U1476" i="7" s="1"/>
  <c r="P1476" i="7"/>
  <c r="Q1476" i="7" s="1"/>
  <c r="T1475" i="7"/>
  <c r="S1475" i="7"/>
  <c r="U1475" i="7" s="1"/>
  <c r="P1475" i="7"/>
  <c r="U1474" i="7"/>
  <c r="S1474" i="7"/>
  <c r="T1474" i="7" s="1"/>
  <c r="P1474" i="7"/>
  <c r="Q1474" i="7" s="1"/>
  <c r="S1473" i="7"/>
  <c r="U1473" i="7" s="1"/>
  <c r="P1473" i="7"/>
  <c r="U1472" i="7"/>
  <c r="T1472" i="7"/>
  <c r="S1472" i="7"/>
  <c r="P1472" i="7"/>
  <c r="Q1472" i="7" s="1"/>
  <c r="S1471" i="7"/>
  <c r="P1471" i="7"/>
  <c r="S1470" i="7"/>
  <c r="P1470" i="7"/>
  <c r="Q1470" i="7" s="1"/>
  <c r="S1469" i="7"/>
  <c r="U1469" i="7" s="1"/>
  <c r="P1469" i="7"/>
  <c r="S1468" i="7"/>
  <c r="U1468" i="7" s="1"/>
  <c r="P1468" i="7"/>
  <c r="Q1468" i="7" s="1"/>
  <c r="T1467" i="7"/>
  <c r="S1467" i="7"/>
  <c r="U1467" i="7" s="1"/>
  <c r="P1467" i="7"/>
  <c r="T1466" i="7"/>
  <c r="S1466" i="7"/>
  <c r="U1466" i="7" s="1"/>
  <c r="P1466" i="7"/>
  <c r="Q1466" i="7" s="1"/>
  <c r="S1465" i="7"/>
  <c r="P1465" i="7"/>
  <c r="S1464" i="7"/>
  <c r="U1464" i="7" s="1"/>
  <c r="P1464" i="7"/>
  <c r="Q1464" i="7" s="1"/>
  <c r="S1463" i="7"/>
  <c r="P1463" i="7"/>
  <c r="S1462" i="7"/>
  <c r="P1462" i="7"/>
  <c r="Q1462" i="7" s="1"/>
  <c r="S1461" i="7"/>
  <c r="U1461" i="7" s="1"/>
  <c r="P1461" i="7"/>
  <c r="S1460" i="7"/>
  <c r="U1460" i="7" s="1"/>
  <c r="P1460" i="7"/>
  <c r="Q1460" i="7" s="1"/>
  <c r="S1459" i="7"/>
  <c r="U1459" i="7" s="1"/>
  <c r="P1459" i="7"/>
  <c r="T1458" i="7"/>
  <c r="S1458" i="7"/>
  <c r="U1458" i="7" s="1"/>
  <c r="P1458" i="7"/>
  <c r="Q1458" i="7" s="1"/>
  <c r="T1457" i="7"/>
  <c r="S1457" i="7"/>
  <c r="U1457" i="7" s="1"/>
  <c r="P1457" i="7"/>
  <c r="U1456" i="7"/>
  <c r="S1456" i="7"/>
  <c r="T1456" i="7" s="1"/>
  <c r="P1456" i="7"/>
  <c r="Q1456" i="7" s="1"/>
  <c r="S1455" i="7"/>
  <c r="P1455" i="7"/>
  <c r="S1454" i="7"/>
  <c r="P1454" i="7"/>
  <c r="Q1454" i="7" s="1"/>
  <c r="S1453" i="7"/>
  <c r="U1453" i="7" s="1"/>
  <c r="P1453" i="7"/>
  <c r="S1452" i="7"/>
  <c r="U1452" i="7" s="1"/>
  <c r="P1452" i="7"/>
  <c r="Q1452" i="7" s="1"/>
  <c r="T1451" i="7"/>
  <c r="S1451" i="7"/>
  <c r="U1451" i="7" s="1"/>
  <c r="P1451" i="7"/>
  <c r="U1450" i="7"/>
  <c r="T1450" i="7"/>
  <c r="S1450" i="7"/>
  <c r="P1450" i="7"/>
  <c r="Q1450" i="7" s="1"/>
  <c r="S1449" i="7"/>
  <c r="U1449" i="7" s="1"/>
  <c r="P1449" i="7"/>
  <c r="S1448" i="7"/>
  <c r="P1448" i="7"/>
  <c r="Q1448" i="7" s="1"/>
  <c r="S1447" i="7"/>
  <c r="P1447" i="7"/>
  <c r="S1446" i="7"/>
  <c r="P1446" i="7"/>
  <c r="Q1446" i="7" s="1"/>
  <c r="S1445" i="7"/>
  <c r="U1445" i="7" s="1"/>
  <c r="P1445" i="7"/>
  <c r="S1444" i="7"/>
  <c r="U1444" i="7" s="1"/>
  <c r="P1444" i="7"/>
  <c r="Q1444" i="7" s="1"/>
  <c r="T1443" i="7"/>
  <c r="S1443" i="7"/>
  <c r="U1443" i="7" s="1"/>
  <c r="P1443" i="7"/>
  <c r="U1442" i="7"/>
  <c r="S1442" i="7"/>
  <c r="T1442" i="7" s="1"/>
  <c r="P1442" i="7"/>
  <c r="Q1442" i="7" s="1"/>
  <c r="S1441" i="7"/>
  <c r="U1441" i="7" s="1"/>
  <c r="P1441" i="7"/>
  <c r="U1440" i="7"/>
  <c r="T1440" i="7"/>
  <c r="S1440" i="7"/>
  <c r="P1440" i="7"/>
  <c r="Q1440" i="7" s="1"/>
  <c r="S1439" i="7"/>
  <c r="P1439" i="7"/>
  <c r="S1438" i="7"/>
  <c r="P1438" i="7"/>
  <c r="Q1438" i="7" s="1"/>
  <c r="S1437" i="7"/>
  <c r="U1437" i="7" s="1"/>
  <c r="P1437" i="7"/>
  <c r="S1436" i="7"/>
  <c r="U1436" i="7" s="1"/>
  <c r="P1436" i="7"/>
  <c r="Q1436" i="7" s="1"/>
  <c r="T1435" i="7"/>
  <c r="S1435" i="7"/>
  <c r="U1435" i="7" s="1"/>
  <c r="P1435" i="7"/>
  <c r="T1434" i="7"/>
  <c r="S1434" i="7"/>
  <c r="U1434" i="7" s="1"/>
  <c r="P1434" i="7"/>
  <c r="Q1434" i="7" s="1"/>
  <c r="S1433" i="7"/>
  <c r="P1433" i="7"/>
  <c r="S1432" i="7"/>
  <c r="U1432" i="7" s="1"/>
  <c r="P1432" i="7"/>
  <c r="Q1432" i="7" s="1"/>
  <c r="S1431" i="7"/>
  <c r="P1431" i="7"/>
  <c r="S1430" i="7"/>
  <c r="P1430" i="7"/>
  <c r="Q1430" i="7" s="1"/>
  <c r="S1429" i="7"/>
  <c r="U1429" i="7" s="1"/>
  <c r="P1429" i="7"/>
  <c r="S1428" i="7"/>
  <c r="U1428" i="7" s="1"/>
  <c r="P1428" i="7"/>
  <c r="Q1428" i="7" s="1"/>
  <c r="S1427" i="7"/>
  <c r="U1427" i="7" s="1"/>
  <c r="P1427" i="7"/>
  <c r="T1426" i="7"/>
  <c r="S1426" i="7"/>
  <c r="U1426" i="7" s="1"/>
  <c r="P1426" i="7"/>
  <c r="Q1426" i="7" s="1"/>
  <c r="T1425" i="7"/>
  <c r="S1425" i="7"/>
  <c r="U1425" i="7" s="1"/>
  <c r="P1425" i="7"/>
  <c r="U1424" i="7"/>
  <c r="S1424" i="7"/>
  <c r="T1424" i="7" s="1"/>
  <c r="P1424" i="7"/>
  <c r="Q1424" i="7" s="1"/>
  <c r="S1423" i="7"/>
  <c r="P1423" i="7"/>
  <c r="S1422" i="7"/>
  <c r="P1422" i="7"/>
  <c r="Q1422" i="7" s="1"/>
  <c r="S1421" i="7"/>
  <c r="U1421" i="7" s="1"/>
  <c r="P1421" i="7"/>
  <c r="S1420" i="7"/>
  <c r="U1420" i="7" s="1"/>
  <c r="P1420" i="7"/>
  <c r="Q1420" i="7" s="1"/>
  <c r="T1419" i="7"/>
  <c r="S1419" i="7"/>
  <c r="U1419" i="7" s="1"/>
  <c r="P1419" i="7"/>
  <c r="U1418" i="7"/>
  <c r="T1418" i="7"/>
  <c r="S1418" i="7"/>
  <c r="P1418" i="7"/>
  <c r="Q1418" i="7" s="1"/>
  <c r="S1417" i="7"/>
  <c r="U1417" i="7" s="1"/>
  <c r="P1417" i="7"/>
  <c r="S1416" i="7"/>
  <c r="P1416" i="7"/>
  <c r="Q1416" i="7" s="1"/>
  <c r="S1415" i="7"/>
  <c r="P1415" i="7"/>
  <c r="S1414" i="7"/>
  <c r="P1414" i="7"/>
  <c r="Q1414" i="7" s="1"/>
  <c r="S1413" i="7"/>
  <c r="U1413" i="7" s="1"/>
  <c r="P1413" i="7"/>
  <c r="S1412" i="7"/>
  <c r="U1412" i="7" s="1"/>
  <c r="P1412" i="7"/>
  <c r="Q1412" i="7" s="1"/>
  <c r="T1411" i="7"/>
  <c r="S1411" i="7"/>
  <c r="U1411" i="7" s="1"/>
  <c r="P1411" i="7"/>
  <c r="U1410" i="7"/>
  <c r="S1410" i="7"/>
  <c r="T1410" i="7" s="1"/>
  <c r="P1410" i="7"/>
  <c r="Q1410" i="7" s="1"/>
  <c r="S1409" i="7"/>
  <c r="U1409" i="7" s="1"/>
  <c r="P1409" i="7"/>
  <c r="U1408" i="7"/>
  <c r="T1408" i="7"/>
  <c r="S1408" i="7"/>
  <c r="P1408" i="7"/>
  <c r="Q1408" i="7" s="1"/>
  <c r="S1407" i="7"/>
  <c r="P1407" i="7"/>
  <c r="S1406" i="7"/>
  <c r="P1406" i="7"/>
  <c r="Q1406" i="7" s="1"/>
  <c r="S1405" i="7"/>
  <c r="U1405" i="7" s="1"/>
  <c r="P1405" i="7"/>
  <c r="S1404" i="7"/>
  <c r="U1404" i="7" s="1"/>
  <c r="P1404" i="7"/>
  <c r="Q1404" i="7" s="1"/>
  <c r="T1403" i="7"/>
  <c r="S1403" i="7"/>
  <c r="U1403" i="7" s="1"/>
  <c r="P1403" i="7"/>
  <c r="T1402" i="7"/>
  <c r="S1402" i="7"/>
  <c r="U1402" i="7" s="1"/>
  <c r="P1402" i="7"/>
  <c r="Q1402" i="7" s="1"/>
  <c r="S1401" i="7"/>
  <c r="P1401" i="7"/>
  <c r="S1400" i="7"/>
  <c r="U1400" i="7" s="1"/>
  <c r="P1400" i="7"/>
  <c r="Q1400" i="7" s="1"/>
  <c r="S1399" i="7"/>
  <c r="P1399" i="7"/>
  <c r="S1398" i="7"/>
  <c r="P1398" i="7"/>
  <c r="Q1398" i="7" s="1"/>
  <c r="S1397" i="7"/>
  <c r="U1397" i="7" s="1"/>
  <c r="P1397" i="7"/>
  <c r="S1396" i="7"/>
  <c r="U1396" i="7" s="1"/>
  <c r="P1396" i="7"/>
  <c r="Q1396" i="7" s="1"/>
  <c r="S1395" i="7"/>
  <c r="U1395" i="7" s="1"/>
  <c r="P1395" i="7"/>
  <c r="T1394" i="7"/>
  <c r="S1394" i="7"/>
  <c r="U1394" i="7" s="1"/>
  <c r="P1394" i="7"/>
  <c r="Q1394" i="7" s="1"/>
  <c r="T1393" i="7"/>
  <c r="S1393" i="7"/>
  <c r="U1393" i="7" s="1"/>
  <c r="P1393" i="7"/>
  <c r="U1392" i="7"/>
  <c r="S1392" i="7"/>
  <c r="T1392" i="7" s="1"/>
  <c r="P1392" i="7"/>
  <c r="Q1392" i="7" s="1"/>
  <c r="S1391" i="7"/>
  <c r="P1391" i="7"/>
  <c r="S1390" i="7"/>
  <c r="P1390" i="7"/>
  <c r="Q1390" i="7" s="1"/>
  <c r="S1389" i="7"/>
  <c r="U1389" i="7" s="1"/>
  <c r="P1389" i="7"/>
  <c r="S1388" i="7"/>
  <c r="U1388" i="7" s="1"/>
  <c r="P1388" i="7"/>
  <c r="Q1388" i="7" s="1"/>
  <c r="T1387" i="7"/>
  <c r="S1387" i="7"/>
  <c r="U1387" i="7" s="1"/>
  <c r="P1387" i="7"/>
  <c r="U1386" i="7"/>
  <c r="T1386" i="7"/>
  <c r="S1386" i="7"/>
  <c r="P1386" i="7"/>
  <c r="Q1386" i="7" s="1"/>
  <c r="S1385" i="7"/>
  <c r="U1385" i="7" s="1"/>
  <c r="P1385" i="7"/>
  <c r="S1384" i="7"/>
  <c r="P1384" i="7"/>
  <c r="Q1384" i="7" s="1"/>
  <c r="S1383" i="7"/>
  <c r="P1383" i="7"/>
  <c r="S1382" i="7"/>
  <c r="P1382" i="7"/>
  <c r="Q1382" i="7" s="1"/>
  <c r="S1381" i="7"/>
  <c r="U1381" i="7" s="1"/>
  <c r="P1381" i="7"/>
  <c r="S1380" i="7"/>
  <c r="U1380" i="7" s="1"/>
  <c r="P1380" i="7"/>
  <c r="Q1380" i="7" s="1"/>
  <c r="T1379" i="7"/>
  <c r="S1379" i="7"/>
  <c r="U1379" i="7" s="1"/>
  <c r="P1379" i="7"/>
  <c r="U1378" i="7"/>
  <c r="S1378" i="7"/>
  <c r="T1378" i="7" s="1"/>
  <c r="P1378" i="7"/>
  <c r="Q1378" i="7" s="1"/>
  <c r="S1377" i="7"/>
  <c r="U1377" i="7" s="1"/>
  <c r="P1377" i="7"/>
  <c r="U1376" i="7"/>
  <c r="T1376" i="7"/>
  <c r="S1376" i="7"/>
  <c r="P1376" i="7"/>
  <c r="Q1376" i="7" s="1"/>
  <c r="S1375" i="7"/>
  <c r="P1375" i="7"/>
  <c r="S1374" i="7"/>
  <c r="P1374" i="7"/>
  <c r="Q1374" i="7" s="1"/>
  <c r="S1373" i="7"/>
  <c r="U1373" i="7" s="1"/>
  <c r="P1373" i="7"/>
  <c r="S1372" i="7"/>
  <c r="U1372" i="7" s="1"/>
  <c r="P1372" i="7"/>
  <c r="Q1372" i="7" s="1"/>
  <c r="T1371" i="7"/>
  <c r="S1371" i="7"/>
  <c r="U1371" i="7" s="1"/>
  <c r="P1371" i="7"/>
  <c r="T1370" i="7"/>
  <c r="S1370" i="7"/>
  <c r="U1370" i="7" s="1"/>
  <c r="P1370" i="7"/>
  <c r="Q1370" i="7" s="1"/>
  <c r="S1369" i="7"/>
  <c r="P1369" i="7"/>
  <c r="S1368" i="7"/>
  <c r="U1368" i="7" s="1"/>
  <c r="P1368" i="7"/>
  <c r="Q1368" i="7" s="1"/>
  <c r="S1367" i="7"/>
  <c r="P1367" i="7"/>
  <c r="S1366" i="7"/>
  <c r="P1366" i="7"/>
  <c r="Q1366" i="7" s="1"/>
  <c r="S1365" i="7"/>
  <c r="U1365" i="7" s="1"/>
  <c r="P1365" i="7"/>
  <c r="S1364" i="7"/>
  <c r="U1364" i="7" s="1"/>
  <c r="P1364" i="7"/>
  <c r="Q1364" i="7" s="1"/>
  <c r="T1363" i="7"/>
  <c r="S1363" i="7"/>
  <c r="U1363" i="7" s="1"/>
  <c r="P1363" i="7"/>
  <c r="U1362" i="7"/>
  <c r="T1362" i="7"/>
  <c r="S1362" i="7"/>
  <c r="P1362" i="7"/>
  <c r="Q1362" i="7" s="1"/>
  <c r="T1361" i="7"/>
  <c r="S1361" i="7"/>
  <c r="U1361" i="7" s="1"/>
  <c r="P1361" i="7"/>
  <c r="U1360" i="7"/>
  <c r="S1360" i="7"/>
  <c r="T1360" i="7" s="1"/>
  <c r="P1360" i="7"/>
  <c r="Q1360" i="7" s="1"/>
  <c r="S1359" i="7"/>
  <c r="P1359" i="7"/>
  <c r="S1358" i="7"/>
  <c r="P1358" i="7"/>
  <c r="Q1358" i="7" s="1"/>
  <c r="S1357" i="7"/>
  <c r="U1357" i="7" s="1"/>
  <c r="P1357" i="7"/>
  <c r="S1356" i="7"/>
  <c r="U1356" i="7" s="1"/>
  <c r="P1356" i="7"/>
  <c r="Q1356" i="7" s="1"/>
  <c r="T1355" i="7"/>
  <c r="S1355" i="7"/>
  <c r="U1355" i="7" s="1"/>
  <c r="P1355" i="7"/>
  <c r="T1354" i="7"/>
  <c r="S1354" i="7"/>
  <c r="U1354" i="7" s="1"/>
  <c r="P1354" i="7"/>
  <c r="Q1354" i="7" s="1"/>
  <c r="S1353" i="7"/>
  <c r="U1353" i="7" s="1"/>
  <c r="P1353" i="7"/>
  <c r="S1352" i="7"/>
  <c r="P1352" i="7"/>
  <c r="Q1352" i="7" s="1"/>
  <c r="S1351" i="7"/>
  <c r="P1351" i="7"/>
  <c r="S1350" i="7"/>
  <c r="P1350" i="7"/>
  <c r="Q1350" i="7" s="1"/>
  <c r="S1349" i="7"/>
  <c r="U1349" i="7" s="1"/>
  <c r="P1349" i="7"/>
  <c r="S1348" i="7"/>
  <c r="U1348" i="7" s="1"/>
  <c r="P1348" i="7"/>
  <c r="Q1348" i="7" s="1"/>
  <c r="T1347" i="7"/>
  <c r="S1347" i="7"/>
  <c r="U1347" i="7" s="1"/>
  <c r="P1347" i="7"/>
  <c r="U1346" i="7"/>
  <c r="T1346" i="7"/>
  <c r="S1346" i="7"/>
  <c r="P1346" i="7"/>
  <c r="Q1346" i="7" s="1"/>
  <c r="S1345" i="7"/>
  <c r="U1345" i="7" s="1"/>
  <c r="P1345" i="7"/>
  <c r="U1344" i="7"/>
  <c r="T1344" i="7"/>
  <c r="S1344" i="7"/>
  <c r="P1344" i="7"/>
  <c r="Q1344" i="7" s="1"/>
  <c r="S1343" i="7"/>
  <c r="P1343" i="7"/>
  <c r="S1342" i="7"/>
  <c r="P1342" i="7"/>
  <c r="Q1342" i="7" s="1"/>
  <c r="S1341" i="7"/>
  <c r="U1341" i="7" s="1"/>
  <c r="P1341" i="7"/>
  <c r="S1340" i="7"/>
  <c r="U1340" i="7" s="1"/>
  <c r="P1340" i="7"/>
  <c r="Q1340" i="7" s="1"/>
  <c r="T1339" i="7"/>
  <c r="S1339" i="7"/>
  <c r="U1339" i="7" s="1"/>
  <c r="P1339" i="7"/>
  <c r="S1338" i="7"/>
  <c r="U1338" i="7" s="1"/>
  <c r="P1338" i="7"/>
  <c r="Q1338" i="7" s="1"/>
  <c r="S1337" i="7"/>
  <c r="P1337" i="7"/>
  <c r="S1336" i="7"/>
  <c r="U1336" i="7" s="1"/>
  <c r="P1336" i="7"/>
  <c r="Q1336" i="7" s="1"/>
  <c r="S1335" i="7"/>
  <c r="P1335" i="7"/>
  <c r="S1334" i="7"/>
  <c r="P1334" i="7"/>
  <c r="Q1334" i="7" s="1"/>
  <c r="S1333" i="7"/>
  <c r="U1333" i="7" s="1"/>
  <c r="P1333" i="7"/>
  <c r="S1332" i="7"/>
  <c r="U1332" i="7" s="1"/>
  <c r="P1332" i="7"/>
  <c r="Q1332" i="7" s="1"/>
  <c r="T1331" i="7"/>
  <c r="S1331" i="7"/>
  <c r="U1331" i="7" s="1"/>
  <c r="P1331" i="7"/>
  <c r="U1330" i="7"/>
  <c r="T1330" i="7"/>
  <c r="S1330" i="7"/>
  <c r="P1330" i="7"/>
  <c r="Q1330" i="7" s="1"/>
  <c r="T1329" i="7"/>
  <c r="S1329" i="7"/>
  <c r="U1329" i="7" s="1"/>
  <c r="P1329" i="7"/>
  <c r="U1328" i="7"/>
  <c r="S1328" i="7"/>
  <c r="T1328" i="7" s="1"/>
  <c r="P1328" i="7"/>
  <c r="Q1328" i="7" s="1"/>
  <c r="S1327" i="7"/>
  <c r="P1327" i="7"/>
  <c r="S1326" i="7"/>
  <c r="P1326" i="7"/>
  <c r="Q1326" i="7" s="1"/>
  <c r="S1325" i="7"/>
  <c r="U1325" i="7" s="1"/>
  <c r="P1325" i="7"/>
  <c r="S1324" i="7"/>
  <c r="U1324" i="7" s="1"/>
  <c r="P1324" i="7"/>
  <c r="Q1324" i="7" s="1"/>
  <c r="S1323" i="7"/>
  <c r="U1323" i="7" s="1"/>
  <c r="P1323" i="7"/>
  <c r="T1322" i="7"/>
  <c r="S1322" i="7"/>
  <c r="U1322" i="7" s="1"/>
  <c r="P1322" i="7"/>
  <c r="Q1322" i="7" s="1"/>
  <c r="S1321" i="7"/>
  <c r="U1321" i="7" s="1"/>
  <c r="P1321" i="7"/>
  <c r="S1320" i="7"/>
  <c r="P1320" i="7"/>
  <c r="Q1320" i="7" s="1"/>
  <c r="S1319" i="7"/>
  <c r="P1319" i="7"/>
  <c r="S1318" i="7"/>
  <c r="P1318" i="7"/>
  <c r="Q1318" i="7" s="1"/>
  <c r="S1317" i="7"/>
  <c r="U1317" i="7" s="1"/>
  <c r="P1317" i="7"/>
  <c r="S1316" i="7"/>
  <c r="U1316" i="7" s="1"/>
  <c r="P1316" i="7"/>
  <c r="Q1316" i="7" s="1"/>
  <c r="T1315" i="7"/>
  <c r="S1315" i="7"/>
  <c r="U1315" i="7" s="1"/>
  <c r="P1315" i="7"/>
  <c r="U1314" i="7"/>
  <c r="T1314" i="7"/>
  <c r="S1314" i="7"/>
  <c r="P1314" i="7"/>
  <c r="Q1314" i="7" s="1"/>
  <c r="S1313" i="7"/>
  <c r="U1313" i="7" s="1"/>
  <c r="P1313" i="7"/>
  <c r="U1312" i="7"/>
  <c r="T1312" i="7"/>
  <c r="S1312" i="7"/>
  <c r="P1312" i="7"/>
  <c r="Q1312" i="7" s="1"/>
  <c r="S1311" i="7"/>
  <c r="P1311" i="7"/>
  <c r="S1310" i="7"/>
  <c r="P1310" i="7"/>
  <c r="Q1310" i="7" s="1"/>
  <c r="S1309" i="7"/>
  <c r="U1309" i="7" s="1"/>
  <c r="P1309" i="7"/>
  <c r="S1308" i="7"/>
  <c r="U1308" i="7" s="1"/>
  <c r="P1308" i="7"/>
  <c r="Q1308" i="7" s="1"/>
  <c r="T1307" i="7"/>
  <c r="S1307" i="7"/>
  <c r="U1307" i="7" s="1"/>
  <c r="P1307" i="7"/>
  <c r="T1306" i="7"/>
  <c r="S1306" i="7"/>
  <c r="U1306" i="7" s="1"/>
  <c r="P1306" i="7"/>
  <c r="Q1306" i="7" s="1"/>
  <c r="S1305" i="7"/>
  <c r="P1305" i="7"/>
  <c r="S1304" i="7"/>
  <c r="U1304" i="7" s="1"/>
  <c r="P1304" i="7"/>
  <c r="Q1304" i="7" s="1"/>
  <c r="S1303" i="7"/>
  <c r="P1303" i="7"/>
  <c r="S1302" i="7"/>
  <c r="P1302" i="7"/>
  <c r="Q1302" i="7" s="1"/>
  <c r="S1301" i="7"/>
  <c r="U1301" i="7" s="1"/>
  <c r="P1301" i="7"/>
  <c r="S1300" i="7"/>
  <c r="U1300" i="7" s="1"/>
  <c r="P1300" i="7"/>
  <c r="Q1300" i="7" s="1"/>
  <c r="T1299" i="7"/>
  <c r="S1299" i="7"/>
  <c r="U1299" i="7" s="1"/>
  <c r="P1299" i="7"/>
  <c r="U1298" i="7"/>
  <c r="T1298" i="7"/>
  <c r="S1298" i="7"/>
  <c r="P1298" i="7"/>
  <c r="Q1298" i="7" s="1"/>
  <c r="T1297" i="7"/>
  <c r="S1297" i="7"/>
  <c r="U1297" i="7" s="1"/>
  <c r="P1297" i="7"/>
  <c r="U1296" i="7"/>
  <c r="S1296" i="7"/>
  <c r="T1296" i="7" s="1"/>
  <c r="P1296" i="7"/>
  <c r="Q1296" i="7" s="1"/>
  <c r="S1295" i="7"/>
  <c r="P1295" i="7"/>
  <c r="S1294" i="7"/>
  <c r="P1294" i="7"/>
  <c r="Q1294" i="7" s="1"/>
  <c r="S1293" i="7"/>
  <c r="U1293" i="7" s="1"/>
  <c r="P1293" i="7"/>
  <c r="S1292" i="7"/>
  <c r="U1292" i="7" s="1"/>
  <c r="P1292" i="7"/>
  <c r="Q1292" i="7" s="1"/>
  <c r="T1291" i="7"/>
  <c r="S1291" i="7"/>
  <c r="U1291" i="7" s="1"/>
  <c r="P1291" i="7"/>
  <c r="T1290" i="7"/>
  <c r="S1290" i="7"/>
  <c r="U1290" i="7" s="1"/>
  <c r="P1290" i="7"/>
  <c r="Q1290" i="7" s="1"/>
  <c r="S1289" i="7"/>
  <c r="U1289" i="7" s="1"/>
  <c r="P1289" i="7"/>
  <c r="S1288" i="7"/>
  <c r="P1288" i="7"/>
  <c r="Q1288" i="7" s="1"/>
  <c r="S1287" i="7"/>
  <c r="P1287" i="7"/>
  <c r="S1286" i="7"/>
  <c r="P1286" i="7"/>
  <c r="Q1286" i="7" s="1"/>
  <c r="S1285" i="7"/>
  <c r="U1285" i="7" s="1"/>
  <c r="P1285" i="7"/>
  <c r="S1284" i="7"/>
  <c r="U1284" i="7" s="1"/>
  <c r="P1284" i="7"/>
  <c r="Q1284" i="7" s="1"/>
  <c r="T1283" i="7"/>
  <c r="S1283" i="7"/>
  <c r="U1283" i="7" s="1"/>
  <c r="P1283" i="7"/>
  <c r="U1282" i="7"/>
  <c r="T1282" i="7"/>
  <c r="S1282" i="7"/>
  <c r="P1282" i="7"/>
  <c r="Q1282" i="7" s="1"/>
  <c r="S1281" i="7"/>
  <c r="U1281" i="7" s="1"/>
  <c r="P1281" i="7"/>
  <c r="U1280" i="7"/>
  <c r="T1280" i="7"/>
  <c r="S1280" i="7"/>
  <c r="P1280" i="7"/>
  <c r="Q1280" i="7" s="1"/>
  <c r="S1279" i="7"/>
  <c r="P1279" i="7"/>
  <c r="S1278" i="7"/>
  <c r="P1278" i="7"/>
  <c r="Q1278" i="7" s="1"/>
  <c r="S1277" i="7"/>
  <c r="U1277" i="7" s="1"/>
  <c r="P1277" i="7"/>
  <c r="S1276" i="7"/>
  <c r="U1276" i="7" s="1"/>
  <c r="P1276" i="7"/>
  <c r="Q1276" i="7" s="1"/>
  <c r="T1275" i="7"/>
  <c r="S1275" i="7"/>
  <c r="U1275" i="7" s="1"/>
  <c r="P1275" i="7"/>
  <c r="T1274" i="7"/>
  <c r="S1274" i="7"/>
  <c r="U1274" i="7" s="1"/>
  <c r="P1274" i="7"/>
  <c r="Q1274" i="7" s="1"/>
  <c r="S1273" i="7"/>
  <c r="P1273" i="7"/>
  <c r="S1272" i="7"/>
  <c r="U1272" i="7" s="1"/>
  <c r="P1272" i="7"/>
  <c r="Q1272" i="7" s="1"/>
  <c r="S1271" i="7"/>
  <c r="U1271" i="7" s="1"/>
  <c r="P1271" i="7"/>
  <c r="U1270" i="7"/>
  <c r="S1270" i="7"/>
  <c r="T1270" i="7" s="1"/>
  <c r="P1270" i="7"/>
  <c r="Q1270" i="7" s="1"/>
  <c r="S1269" i="7"/>
  <c r="U1269" i="7" s="1"/>
  <c r="P1269" i="7"/>
  <c r="S1268" i="7"/>
  <c r="T1268" i="7" s="1"/>
  <c r="P1268" i="7"/>
  <c r="Q1268" i="7" s="1"/>
  <c r="S1267" i="7"/>
  <c r="U1267" i="7" s="1"/>
  <c r="P1267" i="7"/>
  <c r="S1266" i="7"/>
  <c r="P1266" i="7"/>
  <c r="Q1266" i="7" s="1"/>
  <c r="S1265" i="7"/>
  <c r="U1265" i="7" s="1"/>
  <c r="P1265" i="7"/>
  <c r="U1264" i="7"/>
  <c r="S1264" i="7"/>
  <c r="T1264" i="7" s="1"/>
  <c r="P1264" i="7"/>
  <c r="Q1264" i="7" s="1"/>
  <c r="S1263" i="7"/>
  <c r="U1263" i="7" s="1"/>
  <c r="P1263" i="7"/>
  <c r="U1262" i="7"/>
  <c r="S1262" i="7"/>
  <c r="T1262" i="7" s="1"/>
  <c r="P1262" i="7"/>
  <c r="Q1262" i="7" s="1"/>
  <c r="S1261" i="7"/>
  <c r="U1261" i="7" s="1"/>
  <c r="P1261" i="7"/>
  <c r="S1260" i="7"/>
  <c r="T1260" i="7" s="1"/>
  <c r="P1260" i="7"/>
  <c r="Q1260" i="7" s="1"/>
  <c r="S1259" i="7"/>
  <c r="U1259" i="7" s="1"/>
  <c r="P1259" i="7"/>
  <c r="S1258" i="7"/>
  <c r="P1258" i="7"/>
  <c r="Q1258" i="7" s="1"/>
  <c r="S1257" i="7"/>
  <c r="U1257" i="7" s="1"/>
  <c r="P1257" i="7"/>
  <c r="S1256" i="7"/>
  <c r="P1256" i="7"/>
  <c r="Q1256" i="7" s="1"/>
  <c r="S1255" i="7"/>
  <c r="U1255" i="7" s="1"/>
  <c r="P1255" i="7"/>
  <c r="U1254" i="7"/>
  <c r="S1254" i="7"/>
  <c r="T1254" i="7" s="1"/>
  <c r="P1254" i="7"/>
  <c r="Q1254" i="7" s="1"/>
  <c r="S1253" i="7"/>
  <c r="U1253" i="7" s="1"/>
  <c r="P1253" i="7"/>
  <c r="S1252" i="7"/>
  <c r="T1252" i="7" s="1"/>
  <c r="P1252" i="7"/>
  <c r="Q1252" i="7" s="1"/>
  <c r="S1251" i="7"/>
  <c r="U1251" i="7" s="1"/>
  <c r="P1251" i="7"/>
  <c r="S1250" i="7"/>
  <c r="P1250" i="7"/>
  <c r="Q1250" i="7" s="1"/>
  <c r="S1249" i="7"/>
  <c r="U1249" i="7" s="1"/>
  <c r="P1249" i="7"/>
  <c r="S1248" i="7"/>
  <c r="T1248" i="7" s="1"/>
  <c r="P1248" i="7"/>
  <c r="Q1248" i="7" s="1"/>
  <c r="S1247" i="7"/>
  <c r="U1247" i="7" s="1"/>
  <c r="P1247" i="7"/>
  <c r="U1246" i="7"/>
  <c r="S1246" i="7"/>
  <c r="T1246" i="7" s="1"/>
  <c r="P1246" i="7"/>
  <c r="Q1246" i="7" s="1"/>
  <c r="S1245" i="7"/>
  <c r="U1245" i="7" s="1"/>
  <c r="P1245" i="7"/>
  <c r="S1244" i="7"/>
  <c r="T1244" i="7" s="1"/>
  <c r="P1244" i="7"/>
  <c r="Q1244" i="7" s="1"/>
  <c r="S1243" i="7"/>
  <c r="U1243" i="7" s="1"/>
  <c r="P1243" i="7"/>
  <c r="S1242" i="7"/>
  <c r="P1242" i="7"/>
  <c r="Q1242" i="7" s="1"/>
  <c r="S1241" i="7"/>
  <c r="U1241" i="7" s="1"/>
  <c r="P1241" i="7"/>
  <c r="S1240" i="7"/>
  <c r="T1240" i="7" s="1"/>
  <c r="P1240" i="7"/>
  <c r="Q1240" i="7" s="1"/>
  <c r="S1239" i="7"/>
  <c r="U1239" i="7" s="1"/>
  <c r="P1239" i="7"/>
  <c r="U1238" i="7"/>
  <c r="S1238" i="7"/>
  <c r="T1238" i="7" s="1"/>
  <c r="P1238" i="7"/>
  <c r="Q1238" i="7" s="1"/>
  <c r="S1237" i="7"/>
  <c r="U1237" i="7" s="1"/>
  <c r="P1237" i="7"/>
  <c r="S1236" i="7"/>
  <c r="T1236" i="7" s="1"/>
  <c r="P1236" i="7"/>
  <c r="Q1236" i="7" s="1"/>
  <c r="S1235" i="7"/>
  <c r="U1235" i="7" s="1"/>
  <c r="P1235" i="7"/>
  <c r="S1234" i="7"/>
  <c r="P1234" i="7"/>
  <c r="Q1234" i="7" s="1"/>
  <c r="S1233" i="7"/>
  <c r="U1233" i="7" s="1"/>
  <c r="P1233" i="7"/>
  <c r="U1232" i="7"/>
  <c r="S1232" i="7"/>
  <c r="T1232" i="7" s="1"/>
  <c r="P1232" i="7"/>
  <c r="Q1232" i="7" s="1"/>
  <c r="S1231" i="7"/>
  <c r="U1231" i="7" s="1"/>
  <c r="P1231" i="7"/>
  <c r="U1230" i="7"/>
  <c r="S1230" i="7"/>
  <c r="T1230" i="7" s="1"/>
  <c r="P1230" i="7"/>
  <c r="Q1230" i="7" s="1"/>
  <c r="S1229" i="7"/>
  <c r="U1229" i="7" s="1"/>
  <c r="P1229" i="7"/>
  <c r="S1228" i="7"/>
  <c r="T1228" i="7" s="1"/>
  <c r="P1228" i="7"/>
  <c r="Q1228" i="7" s="1"/>
  <c r="S1227" i="7"/>
  <c r="U1227" i="7" s="1"/>
  <c r="P1227" i="7"/>
  <c r="Q1227" i="7" s="1"/>
  <c r="T1226" i="7"/>
  <c r="S1226" i="7"/>
  <c r="U1226" i="7" s="1"/>
  <c r="P1226" i="7"/>
  <c r="Q1226" i="7" s="1"/>
  <c r="S1225" i="7"/>
  <c r="P1225" i="7"/>
  <c r="Q1225" i="7" s="1"/>
  <c r="U1224" i="7"/>
  <c r="S1224" i="7"/>
  <c r="T1224" i="7" s="1"/>
  <c r="P1224" i="7"/>
  <c r="Q1224" i="7" s="1"/>
  <c r="S1223" i="7"/>
  <c r="P1223" i="7"/>
  <c r="Q1223" i="7" s="1"/>
  <c r="S1222" i="7"/>
  <c r="U1222" i="7" s="1"/>
  <c r="P1222" i="7"/>
  <c r="Q1222" i="7" s="1"/>
  <c r="S1221" i="7"/>
  <c r="U1221" i="7" s="1"/>
  <c r="P1221" i="7"/>
  <c r="Q1221" i="7" s="1"/>
  <c r="S1220" i="7"/>
  <c r="T1220" i="7" s="1"/>
  <c r="P1220" i="7"/>
  <c r="Q1220" i="7" s="1"/>
  <c r="T1219" i="7"/>
  <c r="S1219" i="7"/>
  <c r="U1219" i="7" s="1"/>
  <c r="P1219" i="7"/>
  <c r="Q1219" i="7" s="1"/>
  <c r="U1218" i="7"/>
  <c r="S1218" i="7"/>
  <c r="T1218" i="7" s="1"/>
  <c r="P1218" i="7"/>
  <c r="T1217" i="7"/>
  <c r="S1217" i="7"/>
  <c r="U1217" i="7" s="1"/>
  <c r="P1217" i="7"/>
  <c r="S1216" i="7"/>
  <c r="T1216" i="7" s="1"/>
  <c r="P1216" i="7"/>
  <c r="Q1216" i="7" s="1"/>
  <c r="S1215" i="7"/>
  <c r="P1215" i="7"/>
  <c r="Q1215" i="7" s="1"/>
  <c r="S1214" i="7"/>
  <c r="P1214" i="7"/>
  <c r="Q1214" i="7" s="1"/>
  <c r="S1213" i="7"/>
  <c r="U1213" i="7" s="1"/>
  <c r="P1213" i="7"/>
  <c r="Q1213" i="7" s="1"/>
  <c r="S1212" i="7"/>
  <c r="P1212" i="7"/>
  <c r="Q1212" i="7" s="1"/>
  <c r="S1211" i="7"/>
  <c r="P1211" i="7"/>
  <c r="Q1211" i="7" s="1"/>
  <c r="S1210" i="7"/>
  <c r="U1210" i="7" s="1"/>
  <c r="R1210" i="7"/>
  <c r="P1210" i="7"/>
  <c r="Q1210" i="7" s="1"/>
  <c r="S1209" i="7"/>
  <c r="U1209" i="7" s="1"/>
  <c r="R1209" i="7"/>
  <c r="P1209" i="7"/>
  <c r="Q1209" i="7" s="1"/>
  <c r="S1208" i="7"/>
  <c r="T1208" i="7" s="1"/>
  <c r="P1208" i="7"/>
  <c r="Q1208" i="7" s="1"/>
  <c r="T1207" i="7"/>
  <c r="S1207" i="7"/>
  <c r="U1207" i="7" s="1"/>
  <c r="P1207" i="7"/>
  <c r="Q1207" i="7" s="1"/>
  <c r="S1206" i="7"/>
  <c r="P1206" i="7"/>
  <c r="Q1206" i="7" s="1"/>
  <c r="S1205" i="7"/>
  <c r="U1205" i="7" s="1"/>
  <c r="P1205" i="7"/>
  <c r="Q1205" i="7" s="1"/>
  <c r="S1204" i="7"/>
  <c r="T1204" i="7" s="1"/>
  <c r="P1204" i="7"/>
  <c r="Q1204" i="7" s="1"/>
  <c r="S1203" i="7"/>
  <c r="P1203" i="7"/>
  <c r="Q1203" i="7" s="1"/>
  <c r="S1202" i="7"/>
  <c r="P1202" i="7"/>
  <c r="Q1202" i="7" s="1"/>
  <c r="S1201" i="7"/>
  <c r="R1201" i="7"/>
  <c r="P1201" i="7"/>
  <c r="Q1201" i="7" s="1"/>
  <c r="S1200" i="7"/>
  <c r="T1200" i="7" s="1"/>
  <c r="P1200" i="7"/>
  <c r="Q1200" i="7" s="1"/>
  <c r="T1199" i="7"/>
  <c r="S1199" i="7"/>
  <c r="U1199" i="7" s="1"/>
  <c r="P1199" i="7"/>
  <c r="Q1199" i="7" s="1"/>
  <c r="T1198" i="7"/>
  <c r="S1198" i="7"/>
  <c r="U1198" i="7" s="1"/>
  <c r="P1198" i="7"/>
  <c r="Q1198" i="7" s="1"/>
  <c r="S1197" i="7"/>
  <c r="U1197" i="7" s="1"/>
  <c r="P1197" i="7"/>
  <c r="Q1197" i="7" s="1"/>
  <c r="S1196" i="7"/>
  <c r="T1196" i="7" s="1"/>
  <c r="P1196" i="7"/>
  <c r="Q1196" i="7" s="1"/>
  <c r="S1195" i="7"/>
  <c r="U1195" i="7" s="1"/>
  <c r="P1195" i="7"/>
  <c r="Q1195" i="7" s="1"/>
  <c r="T1194" i="7"/>
  <c r="S1194" i="7"/>
  <c r="U1194" i="7" s="1"/>
  <c r="P1194" i="7"/>
  <c r="Q1194" i="7" s="1"/>
  <c r="S1193" i="7"/>
  <c r="U1193" i="7" s="1"/>
  <c r="P1193" i="7"/>
  <c r="Q1193" i="7" s="1"/>
  <c r="U1192" i="7"/>
  <c r="S1192" i="7"/>
  <c r="T1192" i="7" s="1"/>
  <c r="P1192" i="7"/>
  <c r="Q1192" i="7" s="1"/>
  <c r="S1191" i="7"/>
  <c r="P1191" i="7"/>
  <c r="Q1191" i="7" s="1"/>
  <c r="S1190" i="7"/>
  <c r="U1190" i="7" s="1"/>
  <c r="P1190" i="7"/>
  <c r="Q1190" i="7" s="1"/>
  <c r="S1189" i="7"/>
  <c r="U1189" i="7" s="1"/>
  <c r="P1189" i="7"/>
  <c r="Q1189" i="7" s="1"/>
  <c r="S1188" i="7"/>
  <c r="T1188" i="7" s="1"/>
  <c r="P1188" i="7"/>
  <c r="Q1188" i="7" s="1"/>
  <c r="S1187" i="7"/>
  <c r="P1187" i="7"/>
  <c r="Q1187" i="7" s="1"/>
  <c r="S1186" i="7"/>
  <c r="U1186" i="7" s="1"/>
  <c r="P1186" i="7"/>
  <c r="T1185" i="7"/>
  <c r="S1185" i="7"/>
  <c r="U1185" i="7" s="1"/>
  <c r="P1185" i="7"/>
  <c r="S1184" i="7"/>
  <c r="T1184" i="7" s="1"/>
  <c r="P1184" i="7"/>
  <c r="Q1184" i="7" s="1"/>
  <c r="S1183" i="7"/>
  <c r="P1183" i="7"/>
  <c r="Q1183" i="7" s="1"/>
  <c r="S1182" i="7"/>
  <c r="P1182" i="7"/>
  <c r="Q1182" i="7" s="1"/>
  <c r="S1181" i="7"/>
  <c r="U1181" i="7" s="1"/>
  <c r="P1181" i="7"/>
  <c r="Q1181" i="7" s="1"/>
  <c r="S1180" i="7"/>
  <c r="T1180" i="7" s="1"/>
  <c r="P1180" i="7"/>
  <c r="Q1180" i="7" s="1"/>
  <c r="S1179" i="7"/>
  <c r="P1179" i="7"/>
  <c r="Q1179" i="7" s="1"/>
  <c r="S1178" i="7"/>
  <c r="U1178" i="7" s="1"/>
  <c r="P1178" i="7"/>
  <c r="S1177" i="7"/>
  <c r="U1177" i="7" s="1"/>
  <c r="R1177" i="7"/>
  <c r="P1177" i="7"/>
  <c r="Q1177" i="7" s="1"/>
  <c r="S1176" i="7"/>
  <c r="T1176" i="7" s="1"/>
  <c r="P1176" i="7"/>
  <c r="Q1176" i="7" s="1"/>
  <c r="T1175" i="7"/>
  <c r="S1175" i="7"/>
  <c r="U1175" i="7" s="1"/>
  <c r="P1175" i="7"/>
  <c r="Q1175" i="7" s="1"/>
  <c r="S1174" i="7"/>
  <c r="U1174" i="7" s="1"/>
  <c r="P1174" i="7"/>
  <c r="Q1174" i="7" s="1"/>
  <c r="S1173" i="7"/>
  <c r="U1173" i="7" s="1"/>
  <c r="P1173" i="7"/>
  <c r="Q1173" i="7" s="1"/>
  <c r="S1172" i="7"/>
  <c r="T1172" i="7" s="1"/>
  <c r="P1172" i="7"/>
  <c r="Q1172" i="7" s="1"/>
  <c r="S1171" i="7"/>
  <c r="P1171" i="7"/>
  <c r="Q1171" i="7" s="1"/>
  <c r="S1170" i="7"/>
  <c r="P1170" i="7"/>
  <c r="Q1170" i="7" s="1"/>
  <c r="S1169" i="7"/>
  <c r="R1169" i="7"/>
  <c r="P1169" i="7"/>
  <c r="Q1169" i="7" s="1"/>
  <c r="S1168" i="7"/>
  <c r="T1168" i="7" s="1"/>
  <c r="P1168" i="7"/>
  <c r="Q1168" i="7" s="1"/>
  <c r="T1167" i="7"/>
  <c r="S1167" i="7"/>
  <c r="U1167" i="7" s="1"/>
  <c r="P1167" i="7"/>
  <c r="Q1167" i="7" s="1"/>
  <c r="U1166" i="7"/>
  <c r="T1166" i="7"/>
  <c r="S1166" i="7"/>
  <c r="P1166" i="7"/>
  <c r="Q1166" i="7" s="1"/>
  <c r="S1165" i="7"/>
  <c r="U1165" i="7" s="1"/>
  <c r="P1165" i="7"/>
  <c r="Q1165" i="7" s="1"/>
  <c r="S1164" i="7"/>
  <c r="T1164" i="7" s="1"/>
  <c r="P1164" i="7"/>
  <c r="Q1164" i="7" s="1"/>
  <c r="T1163" i="7"/>
  <c r="S1163" i="7"/>
  <c r="U1163" i="7" s="1"/>
  <c r="P1163" i="7"/>
  <c r="Q1163" i="7" s="1"/>
  <c r="T1162" i="7"/>
  <c r="S1162" i="7"/>
  <c r="U1162" i="7" s="1"/>
  <c r="P1162" i="7"/>
  <c r="Q1162" i="7" s="1"/>
  <c r="S1161" i="7"/>
  <c r="U1161" i="7" s="1"/>
  <c r="P1161" i="7"/>
  <c r="Q1161" i="7" s="1"/>
  <c r="U1160" i="7"/>
  <c r="S1160" i="7"/>
  <c r="T1160" i="7" s="1"/>
  <c r="P1160" i="7"/>
  <c r="Q1160" i="7" s="1"/>
  <c r="S1159" i="7"/>
  <c r="U1159" i="7" s="1"/>
  <c r="P1159" i="7"/>
  <c r="Q1159" i="7" s="1"/>
  <c r="S1158" i="7"/>
  <c r="T1158" i="7" s="1"/>
  <c r="P1158" i="7"/>
  <c r="Q1158" i="7" s="1"/>
  <c r="T1157" i="7"/>
  <c r="S1157" i="7"/>
  <c r="U1157" i="7" s="1"/>
  <c r="P1157" i="7"/>
  <c r="Q1157" i="7" s="1"/>
  <c r="S1156" i="7"/>
  <c r="P1156" i="7"/>
  <c r="Q1156" i="7" s="1"/>
  <c r="S1155" i="7"/>
  <c r="U1155" i="7" s="1"/>
  <c r="P1155" i="7"/>
  <c r="Q1155" i="7" s="1"/>
  <c r="S1154" i="7"/>
  <c r="T1154" i="7" s="1"/>
  <c r="P1154" i="7"/>
  <c r="Q1154" i="7" s="1"/>
  <c r="S1153" i="7"/>
  <c r="U1153" i="7" s="1"/>
  <c r="P1153" i="7"/>
  <c r="Q1153" i="7" s="1"/>
  <c r="S1152" i="7"/>
  <c r="U1152" i="7" s="1"/>
  <c r="P1152" i="7"/>
  <c r="Q1152" i="7" s="1"/>
  <c r="T1151" i="7"/>
  <c r="S1151" i="7"/>
  <c r="U1151" i="7" s="1"/>
  <c r="P1151" i="7"/>
  <c r="Q1151" i="7" s="1"/>
  <c r="S1150" i="7"/>
  <c r="P1150" i="7"/>
  <c r="Q1150" i="7" s="1"/>
  <c r="S1149" i="7"/>
  <c r="P1149" i="7"/>
  <c r="Q1149" i="7" s="1"/>
  <c r="S1148" i="7"/>
  <c r="U1148" i="7" s="1"/>
  <c r="P1148" i="7"/>
  <c r="Q1148" i="7" s="1"/>
  <c r="S1147" i="7"/>
  <c r="U1147" i="7" s="1"/>
  <c r="P1147" i="7"/>
  <c r="Q1147" i="7" s="1"/>
  <c r="S1146" i="7"/>
  <c r="T1146" i="7" s="1"/>
  <c r="P1146" i="7"/>
  <c r="Q1146" i="7" s="1"/>
  <c r="S1145" i="7"/>
  <c r="U1145" i="7" s="1"/>
  <c r="P1145" i="7"/>
  <c r="Q1145" i="7" s="1"/>
  <c r="S1144" i="7"/>
  <c r="R1144" i="7"/>
  <c r="P1144" i="7"/>
  <c r="Q1144" i="7" s="1"/>
  <c r="S1143" i="7"/>
  <c r="R1143" i="7"/>
  <c r="P1143" i="7"/>
  <c r="Q1143" i="7" s="1"/>
  <c r="S1142" i="7"/>
  <c r="P1142" i="7"/>
  <c r="Q1142" i="7" s="1"/>
  <c r="S1141" i="7"/>
  <c r="U1141" i="7" s="1"/>
  <c r="P1141" i="7"/>
  <c r="Q1141" i="7" s="1"/>
  <c r="T1140" i="7"/>
  <c r="S1140" i="7"/>
  <c r="U1140" i="7" s="1"/>
  <c r="P1140" i="7"/>
  <c r="Q1140" i="7" s="1"/>
  <c r="S1139" i="7"/>
  <c r="U1139" i="7" s="1"/>
  <c r="P1139" i="7"/>
  <c r="Q1139" i="7" s="1"/>
  <c r="S1138" i="7"/>
  <c r="T1138" i="7" s="1"/>
  <c r="P1138" i="7"/>
  <c r="Q1138" i="7" s="1"/>
  <c r="S1137" i="7"/>
  <c r="U1137" i="7" s="1"/>
  <c r="P1137" i="7"/>
  <c r="Q1137" i="7" s="1"/>
  <c r="S1136" i="7"/>
  <c r="U1136" i="7" s="1"/>
  <c r="R1136" i="7"/>
  <c r="P1136" i="7"/>
  <c r="Q1136" i="7" s="1"/>
  <c r="S1135" i="7"/>
  <c r="U1135" i="7" s="1"/>
  <c r="P1135" i="7"/>
  <c r="Q1135" i="7" s="1"/>
  <c r="S1134" i="7"/>
  <c r="T1134" i="7" s="1"/>
  <c r="P1134" i="7"/>
  <c r="Q1134" i="7" s="1"/>
  <c r="S1133" i="7"/>
  <c r="P1133" i="7"/>
  <c r="Q1133" i="7" s="1"/>
  <c r="T1132" i="7"/>
  <c r="S1132" i="7"/>
  <c r="U1132" i="7" s="1"/>
  <c r="P1132" i="7"/>
  <c r="Q1132" i="7" s="1"/>
  <c r="S1131" i="7"/>
  <c r="U1131" i="7" s="1"/>
  <c r="P1131" i="7"/>
  <c r="Q1131" i="7" s="1"/>
  <c r="S1130" i="7"/>
  <c r="T1130" i="7" s="1"/>
  <c r="P1130" i="7"/>
  <c r="Q1130" i="7" s="1"/>
  <c r="S1129" i="7"/>
  <c r="U1129" i="7" s="1"/>
  <c r="P1129" i="7"/>
  <c r="Q1129" i="7" s="1"/>
  <c r="S1128" i="7"/>
  <c r="U1128" i="7" s="1"/>
  <c r="P1128" i="7"/>
  <c r="T1127" i="7"/>
  <c r="S1127" i="7"/>
  <c r="U1127" i="7" s="1"/>
  <c r="P1127" i="7"/>
  <c r="S1126" i="7"/>
  <c r="T1126" i="7" s="1"/>
  <c r="P1126" i="7"/>
  <c r="Q1126" i="7" s="1"/>
  <c r="T1125" i="7"/>
  <c r="S1125" i="7"/>
  <c r="U1125" i="7" s="1"/>
  <c r="P1125" i="7"/>
  <c r="Q1125" i="7" s="1"/>
  <c r="S1124" i="7"/>
  <c r="P1124" i="7"/>
  <c r="Q1124" i="7" s="1"/>
  <c r="S1123" i="7"/>
  <c r="U1123" i="7" s="1"/>
  <c r="P1123" i="7"/>
  <c r="Q1123" i="7" s="1"/>
  <c r="S1122" i="7"/>
  <c r="T1122" i="7" s="1"/>
  <c r="P1122" i="7"/>
  <c r="Q1122" i="7" s="1"/>
  <c r="S1121" i="7"/>
  <c r="U1121" i="7" s="1"/>
  <c r="P1121" i="7"/>
  <c r="Q1121" i="7" s="1"/>
  <c r="T1120" i="7"/>
  <c r="S1120" i="7"/>
  <c r="U1120" i="7" s="1"/>
  <c r="P1120" i="7"/>
  <c r="S1119" i="7"/>
  <c r="U1119" i="7" s="1"/>
  <c r="P1119" i="7"/>
  <c r="U1118" i="7"/>
  <c r="S1118" i="7"/>
  <c r="T1118" i="7" s="1"/>
  <c r="P1118" i="7"/>
  <c r="Q1118" i="7" s="1"/>
  <c r="S1117" i="7"/>
  <c r="U1117" i="7" s="1"/>
  <c r="P1117" i="7"/>
  <c r="Q1117" i="7" s="1"/>
  <c r="S1116" i="7"/>
  <c r="P1116" i="7"/>
  <c r="Q1116" i="7" s="1"/>
  <c r="S1115" i="7"/>
  <c r="U1115" i="7" s="1"/>
  <c r="P1115" i="7"/>
  <c r="Q1115" i="7" s="1"/>
  <c r="S1114" i="7"/>
  <c r="T1114" i="7" s="1"/>
  <c r="P1114" i="7"/>
  <c r="Q1114" i="7" s="1"/>
  <c r="S1113" i="7"/>
  <c r="U1113" i="7" s="1"/>
  <c r="P1113" i="7"/>
  <c r="Q1113" i="7" s="1"/>
  <c r="S1112" i="7"/>
  <c r="U1112" i="7" s="1"/>
  <c r="R1112" i="7"/>
  <c r="P1112" i="7"/>
  <c r="Q1112" i="7" s="1"/>
  <c r="S1111" i="7"/>
  <c r="U1111" i="7" s="1"/>
  <c r="R1111" i="7"/>
  <c r="P1111" i="7"/>
  <c r="Q1111" i="7" s="1"/>
  <c r="S1110" i="7"/>
  <c r="T1110" i="7" s="1"/>
  <c r="P1110" i="7"/>
  <c r="Q1110" i="7" s="1"/>
  <c r="S1109" i="7"/>
  <c r="P1109" i="7"/>
  <c r="Q1109" i="7" s="1"/>
  <c r="T1108" i="7"/>
  <c r="S1108" i="7"/>
  <c r="U1108" i="7" s="1"/>
  <c r="P1108" i="7"/>
  <c r="Q1108" i="7" s="1"/>
  <c r="S1107" i="7"/>
  <c r="U1107" i="7" s="1"/>
  <c r="P1107" i="7"/>
  <c r="Q1107" i="7" s="1"/>
  <c r="S1106" i="7"/>
  <c r="T1106" i="7" s="1"/>
  <c r="P1106" i="7"/>
  <c r="Q1106" i="7" s="1"/>
  <c r="S1105" i="7"/>
  <c r="U1105" i="7" s="1"/>
  <c r="P1105" i="7"/>
  <c r="Q1105" i="7" s="1"/>
  <c r="S1104" i="7"/>
  <c r="P1104" i="7"/>
  <c r="Q1104" i="7" s="1"/>
  <c r="S1103" i="7"/>
  <c r="P1103" i="7"/>
  <c r="Q1103" i="7" s="1"/>
  <c r="S1102" i="7"/>
  <c r="P1102" i="7"/>
  <c r="Q1102" i="7" s="1"/>
  <c r="T1101" i="7"/>
  <c r="S1101" i="7"/>
  <c r="U1101" i="7" s="1"/>
  <c r="P1101" i="7"/>
  <c r="Q1101" i="7" s="1"/>
  <c r="T1100" i="7"/>
  <c r="S1100" i="7"/>
  <c r="U1100" i="7" s="1"/>
  <c r="P1100" i="7"/>
  <c r="Q1100" i="7" s="1"/>
  <c r="S1099" i="7"/>
  <c r="U1099" i="7" s="1"/>
  <c r="P1099" i="7"/>
  <c r="Q1099" i="7" s="1"/>
  <c r="S1098" i="7"/>
  <c r="T1098" i="7" s="1"/>
  <c r="P1098" i="7"/>
  <c r="Q1098" i="7" s="1"/>
  <c r="S1097" i="7"/>
  <c r="U1097" i="7" s="1"/>
  <c r="P1097" i="7"/>
  <c r="Q1097" i="7" s="1"/>
  <c r="S1096" i="7"/>
  <c r="U1096" i="7" s="1"/>
  <c r="P1096" i="7"/>
  <c r="Q1096" i="7" s="1"/>
  <c r="T1095" i="7"/>
  <c r="S1095" i="7"/>
  <c r="U1095" i="7" s="1"/>
  <c r="P1095" i="7"/>
  <c r="Q1095" i="7" s="1"/>
  <c r="S1094" i="7"/>
  <c r="P1094" i="7"/>
  <c r="Q1094" i="7" s="1"/>
  <c r="T1093" i="7"/>
  <c r="S1093" i="7"/>
  <c r="U1093" i="7" s="1"/>
  <c r="P1093" i="7"/>
  <c r="Q1093" i="7" s="1"/>
  <c r="S1092" i="7"/>
  <c r="U1092" i="7" s="1"/>
  <c r="P1092" i="7"/>
  <c r="Q1092" i="7" s="1"/>
  <c r="S1091" i="7"/>
  <c r="U1091" i="7" s="1"/>
  <c r="P1091" i="7"/>
  <c r="Q1091" i="7" s="1"/>
  <c r="S1090" i="7"/>
  <c r="T1090" i="7" s="1"/>
  <c r="P1090" i="7"/>
  <c r="Q1090" i="7" s="1"/>
  <c r="S1089" i="7"/>
  <c r="U1089" i="7" s="1"/>
  <c r="P1089" i="7"/>
  <c r="Q1089" i="7" s="1"/>
  <c r="T1088" i="7"/>
  <c r="S1088" i="7"/>
  <c r="U1088" i="7" s="1"/>
  <c r="P1088" i="7"/>
  <c r="S1087" i="7"/>
  <c r="U1087" i="7" s="1"/>
  <c r="P1087" i="7"/>
  <c r="S1086" i="7"/>
  <c r="T1086" i="7" s="1"/>
  <c r="P1086" i="7"/>
  <c r="Q1086" i="7" s="1"/>
  <c r="T1085" i="7"/>
  <c r="S1085" i="7"/>
  <c r="U1085" i="7" s="1"/>
  <c r="P1085" i="7"/>
  <c r="Q1085" i="7" s="1"/>
  <c r="S1084" i="7"/>
  <c r="P1084" i="7"/>
  <c r="Q1084" i="7" s="1"/>
  <c r="S1083" i="7"/>
  <c r="U1083" i="7" s="1"/>
  <c r="P1083" i="7"/>
  <c r="Q1083" i="7" s="1"/>
  <c r="S1082" i="7"/>
  <c r="T1082" i="7" s="1"/>
  <c r="P1082" i="7"/>
  <c r="Q1082" i="7" s="1"/>
  <c r="S1081" i="7"/>
  <c r="U1081" i="7" s="1"/>
  <c r="P1081" i="7"/>
  <c r="Q1081" i="7" s="1"/>
  <c r="S1080" i="7"/>
  <c r="P1080" i="7"/>
  <c r="Q1080" i="7" s="1"/>
  <c r="S1079" i="7"/>
  <c r="U1079" i="7" s="1"/>
  <c r="R1079" i="7"/>
  <c r="P1079" i="7"/>
  <c r="Q1079" i="7" s="1"/>
  <c r="S1078" i="7"/>
  <c r="P1078" i="7"/>
  <c r="Q1078" i="7" s="1"/>
  <c r="S1077" i="7"/>
  <c r="P1077" i="7"/>
  <c r="Q1077" i="7" s="1"/>
  <c r="T1076" i="7"/>
  <c r="S1076" i="7"/>
  <c r="U1076" i="7" s="1"/>
  <c r="P1076" i="7"/>
  <c r="Q1076" i="7" s="1"/>
  <c r="S1075" i="7"/>
  <c r="U1075" i="7" s="1"/>
  <c r="P1075" i="7"/>
  <c r="Q1075" i="7" s="1"/>
  <c r="S1074" i="7"/>
  <c r="T1074" i="7" s="1"/>
  <c r="P1074" i="7"/>
  <c r="Q1074" i="7" s="1"/>
  <c r="S1073" i="7"/>
  <c r="U1073" i="7" s="1"/>
  <c r="P1073" i="7"/>
  <c r="Q1073" i="7" s="1"/>
  <c r="S1072" i="7"/>
  <c r="P1072" i="7"/>
  <c r="Q1072" i="7" s="1"/>
  <c r="S1071" i="7"/>
  <c r="P1071" i="7"/>
  <c r="Q1071" i="7" s="1"/>
  <c r="S1070" i="7"/>
  <c r="P1070" i="7"/>
  <c r="Q1070" i="7" s="1"/>
  <c r="S1069" i="7"/>
  <c r="U1069" i="7" s="1"/>
  <c r="P1069" i="7"/>
  <c r="Q1069" i="7" s="1"/>
  <c r="T1068" i="7"/>
  <c r="S1068" i="7"/>
  <c r="U1068" i="7" s="1"/>
  <c r="P1068" i="7"/>
  <c r="Q1068" i="7" s="1"/>
  <c r="S1067" i="7"/>
  <c r="U1067" i="7" s="1"/>
  <c r="P1067" i="7"/>
  <c r="Q1067" i="7" s="1"/>
  <c r="S1066" i="7"/>
  <c r="T1066" i="7" s="1"/>
  <c r="P1066" i="7"/>
  <c r="Q1066" i="7" s="1"/>
  <c r="S1065" i="7"/>
  <c r="U1065" i="7" s="1"/>
  <c r="P1065" i="7"/>
  <c r="Q1065" i="7" s="1"/>
  <c r="S1064" i="7"/>
  <c r="P1064" i="7"/>
  <c r="Q1064" i="7" s="1"/>
  <c r="S1063" i="7"/>
  <c r="U1063" i="7" s="1"/>
  <c r="R1063" i="7"/>
  <c r="P1063" i="7"/>
  <c r="Q1063" i="7" s="1"/>
  <c r="S1062" i="7"/>
  <c r="P1062" i="7"/>
  <c r="Q1062" i="7" s="1"/>
  <c r="T1061" i="7"/>
  <c r="S1061" i="7"/>
  <c r="U1061" i="7" s="1"/>
  <c r="P1061" i="7"/>
  <c r="Q1061" i="7" s="1"/>
  <c r="T1060" i="7"/>
  <c r="S1060" i="7"/>
  <c r="U1060" i="7" s="1"/>
  <c r="P1060" i="7"/>
  <c r="Q1060" i="7" s="1"/>
  <c r="S1059" i="7"/>
  <c r="U1059" i="7" s="1"/>
  <c r="P1059" i="7"/>
  <c r="Q1059" i="7" s="1"/>
  <c r="S1058" i="7"/>
  <c r="T1058" i="7" s="1"/>
  <c r="P1058" i="7"/>
  <c r="Q1058" i="7" s="1"/>
  <c r="S1057" i="7"/>
  <c r="U1057" i="7" s="1"/>
  <c r="P1057" i="7"/>
  <c r="Q1057" i="7" s="1"/>
  <c r="T1056" i="7"/>
  <c r="S1056" i="7"/>
  <c r="U1056" i="7" s="1"/>
  <c r="P1056" i="7"/>
  <c r="S1055" i="7"/>
  <c r="U1055" i="7" s="1"/>
  <c r="P1055" i="7"/>
  <c r="S1054" i="7"/>
  <c r="T1054" i="7" s="1"/>
  <c r="P1054" i="7"/>
  <c r="Q1054" i="7" s="1"/>
  <c r="T1053" i="7"/>
  <c r="S1053" i="7"/>
  <c r="U1053" i="7" s="1"/>
  <c r="P1053" i="7"/>
  <c r="Q1053" i="7" s="1"/>
  <c r="S1052" i="7"/>
  <c r="P1052" i="7"/>
  <c r="Q1052" i="7" s="1"/>
  <c r="S1051" i="7"/>
  <c r="U1051" i="7" s="1"/>
  <c r="P1051" i="7"/>
  <c r="Q1051" i="7" s="1"/>
  <c r="S1050" i="7"/>
  <c r="T1050" i="7" s="1"/>
  <c r="P1050" i="7"/>
  <c r="Q1050" i="7" s="1"/>
  <c r="S1049" i="7"/>
  <c r="U1049" i="7" s="1"/>
  <c r="P1049" i="7"/>
  <c r="Q1049" i="7" s="1"/>
  <c r="S1048" i="7"/>
  <c r="U1048" i="7" s="1"/>
  <c r="P1048" i="7"/>
  <c r="Q1048" i="7" s="1"/>
  <c r="T1047" i="7"/>
  <c r="S1047" i="7"/>
  <c r="U1047" i="7" s="1"/>
  <c r="P1047" i="7"/>
  <c r="S1046" i="7"/>
  <c r="T1046" i="7" s="1"/>
  <c r="P1046" i="7"/>
  <c r="Q1046" i="7" s="1"/>
  <c r="S1045" i="7"/>
  <c r="P1045" i="7"/>
  <c r="Q1045" i="7" s="1"/>
  <c r="T1044" i="7"/>
  <c r="S1044" i="7"/>
  <c r="U1044" i="7" s="1"/>
  <c r="P1044" i="7"/>
  <c r="Q1044" i="7" s="1"/>
  <c r="S1043" i="7"/>
  <c r="U1043" i="7" s="1"/>
  <c r="P1043" i="7"/>
  <c r="Q1043" i="7" s="1"/>
  <c r="S1042" i="7"/>
  <c r="T1042" i="7" s="1"/>
  <c r="P1042" i="7"/>
  <c r="Q1042" i="7" s="1"/>
  <c r="S1041" i="7"/>
  <c r="U1041" i="7" s="1"/>
  <c r="P1041" i="7"/>
  <c r="Q1041" i="7" s="1"/>
  <c r="S1040" i="7"/>
  <c r="R1040" i="7"/>
  <c r="P1040" i="7"/>
  <c r="Q1040" i="7" s="1"/>
  <c r="S1039" i="7"/>
  <c r="P1039" i="7"/>
  <c r="Q1039" i="7" s="1"/>
  <c r="S1038" i="7"/>
  <c r="P1038" i="7"/>
  <c r="Q1038" i="7" s="1"/>
  <c r="T1037" i="7"/>
  <c r="S1037" i="7"/>
  <c r="U1037" i="7" s="1"/>
  <c r="P1037" i="7"/>
  <c r="Q1037" i="7" s="1"/>
  <c r="S1036" i="7"/>
  <c r="U1036" i="7" s="1"/>
  <c r="P1036" i="7"/>
  <c r="Q1036" i="7" s="1"/>
  <c r="S1035" i="7"/>
  <c r="P1035" i="7"/>
  <c r="Q1035" i="7" s="1"/>
  <c r="S1034" i="7"/>
  <c r="P1034" i="7"/>
  <c r="Q1034" i="7" s="1"/>
  <c r="S1033" i="7"/>
  <c r="P1033" i="7"/>
  <c r="Q1033" i="7" s="1"/>
  <c r="T1032" i="7"/>
  <c r="S1032" i="7"/>
  <c r="U1032" i="7" s="1"/>
  <c r="R1032" i="7"/>
  <c r="P1032" i="7"/>
  <c r="Q1032" i="7" s="1"/>
  <c r="S1031" i="7"/>
  <c r="U1031" i="7" s="1"/>
  <c r="R1031" i="7"/>
  <c r="P1031" i="7"/>
  <c r="Q1031" i="7" s="1"/>
  <c r="U1030" i="7"/>
  <c r="S1030" i="7"/>
  <c r="T1030" i="7" s="1"/>
  <c r="P1030" i="7"/>
  <c r="Q1030" i="7" s="1"/>
  <c r="T1029" i="7"/>
  <c r="S1029" i="7"/>
  <c r="U1029" i="7" s="1"/>
  <c r="P1029" i="7"/>
  <c r="Q1029" i="7" s="1"/>
  <c r="T1028" i="7"/>
  <c r="S1028" i="7"/>
  <c r="U1028" i="7" s="1"/>
  <c r="P1028" i="7"/>
  <c r="Q1028" i="7" s="1"/>
  <c r="S1027" i="7"/>
  <c r="P1027" i="7"/>
  <c r="Q1027" i="7" s="1"/>
  <c r="S1026" i="7"/>
  <c r="P1026" i="7"/>
  <c r="Q1026" i="7" s="1"/>
  <c r="S1025" i="7"/>
  <c r="P1025" i="7"/>
  <c r="Q1025" i="7" s="1"/>
  <c r="S1024" i="7"/>
  <c r="U1024" i="7" s="1"/>
  <c r="P1024" i="7"/>
  <c r="T1023" i="7"/>
  <c r="S1023" i="7"/>
  <c r="U1023" i="7" s="1"/>
  <c r="P1023" i="7"/>
  <c r="S1022" i="7"/>
  <c r="T1022" i="7" s="1"/>
  <c r="P1022" i="7"/>
  <c r="Q1022" i="7" s="1"/>
  <c r="S1021" i="7"/>
  <c r="U1021" i="7" s="1"/>
  <c r="P1021" i="7"/>
  <c r="Q1021" i="7" s="1"/>
  <c r="S1020" i="7"/>
  <c r="P1020" i="7"/>
  <c r="Q1020" i="7" s="1"/>
  <c r="S1019" i="7"/>
  <c r="P1019" i="7"/>
  <c r="Q1019" i="7" s="1"/>
  <c r="S1018" i="7"/>
  <c r="P1018" i="7"/>
  <c r="Q1018" i="7" s="1"/>
  <c r="S1017" i="7"/>
  <c r="P1017" i="7"/>
  <c r="Q1017" i="7" s="1"/>
  <c r="S1016" i="7"/>
  <c r="U1016" i="7" s="1"/>
  <c r="R1016" i="7"/>
  <c r="P1016" i="7"/>
  <c r="Q1016" i="7" s="1"/>
  <c r="S1015" i="7"/>
  <c r="P1015" i="7"/>
  <c r="Q1015" i="7" s="1"/>
  <c r="S1014" i="7"/>
  <c r="T1014" i="7" s="1"/>
  <c r="P1014" i="7"/>
  <c r="Q1014" i="7" s="1"/>
  <c r="S1013" i="7"/>
  <c r="P1013" i="7"/>
  <c r="Q1013" i="7" s="1"/>
  <c r="T1012" i="7"/>
  <c r="S1012" i="7"/>
  <c r="U1012" i="7" s="1"/>
  <c r="P1012" i="7"/>
  <c r="Q1012" i="7" s="1"/>
  <c r="S1011" i="7"/>
  <c r="P1011" i="7"/>
  <c r="Q1011" i="7" s="1"/>
  <c r="S1010" i="7"/>
  <c r="P1010" i="7"/>
  <c r="Q1010" i="7" s="1"/>
  <c r="S1009" i="7"/>
  <c r="P1009" i="7"/>
  <c r="Q1009" i="7" s="1"/>
  <c r="S1008" i="7"/>
  <c r="R1008" i="7"/>
  <c r="P1008" i="7"/>
  <c r="Q1008" i="7" s="1"/>
  <c r="S1007" i="7"/>
  <c r="P1007" i="7"/>
  <c r="Q1007" i="7" s="1"/>
  <c r="S1006" i="7"/>
  <c r="P1006" i="7"/>
  <c r="Q1006" i="7" s="1"/>
  <c r="T1005" i="7"/>
  <c r="S1005" i="7"/>
  <c r="U1005" i="7" s="1"/>
  <c r="P1005" i="7"/>
  <c r="Q1005" i="7" s="1"/>
  <c r="S1004" i="7"/>
  <c r="U1004" i="7" s="1"/>
  <c r="P1004" i="7"/>
  <c r="Q1004" i="7" s="1"/>
  <c r="S1003" i="7"/>
  <c r="P1003" i="7"/>
  <c r="Q1003" i="7" s="1"/>
  <c r="S1002" i="7"/>
  <c r="P1002" i="7"/>
  <c r="S1001" i="7"/>
  <c r="P1001" i="7"/>
  <c r="T1000" i="7"/>
  <c r="S1000" i="7"/>
  <c r="U1000" i="7" s="1"/>
  <c r="P1000" i="7"/>
  <c r="Q1000" i="7" s="1"/>
  <c r="S999" i="7"/>
  <c r="P999" i="7"/>
  <c r="Q999" i="7" s="1"/>
  <c r="U998" i="7"/>
  <c r="S998" i="7"/>
  <c r="T998" i="7" s="1"/>
  <c r="P998" i="7"/>
  <c r="Q998" i="7" s="1"/>
  <c r="T997" i="7"/>
  <c r="S997" i="7"/>
  <c r="U997" i="7" s="1"/>
  <c r="P997" i="7"/>
  <c r="Q997" i="7" s="1"/>
  <c r="S996" i="7"/>
  <c r="U996" i="7" s="1"/>
  <c r="P996" i="7"/>
  <c r="Q996" i="7" s="1"/>
  <c r="S995" i="7"/>
  <c r="P995" i="7"/>
  <c r="Q995" i="7" s="1"/>
  <c r="S994" i="7"/>
  <c r="T994" i="7" s="1"/>
  <c r="P994" i="7"/>
  <c r="S993" i="7"/>
  <c r="P993" i="7"/>
  <c r="T992" i="7"/>
  <c r="S992" i="7"/>
  <c r="U992" i="7" s="1"/>
  <c r="P992" i="7"/>
  <c r="S991" i="7"/>
  <c r="U991" i="7" s="1"/>
  <c r="P991" i="7"/>
  <c r="S990" i="7"/>
  <c r="T990" i="7" s="1"/>
  <c r="P990" i="7"/>
  <c r="Q990" i="7" s="1"/>
  <c r="S989" i="7"/>
  <c r="P989" i="7"/>
  <c r="Q989" i="7" s="1"/>
  <c r="S988" i="7"/>
  <c r="P988" i="7"/>
  <c r="Q988" i="7" s="1"/>
  <c r="S987" i="7"/>
  <c r="P987" i="7"/>
  <c r="Q987" i="7" s="1"/>
  <c r="S986" i="7"/>
  <c r="T986" i="7" s="1"/>
  <c r="P986" i="7"/>
  <c r="S985" i="7"/>
  <c r="P985" i="7"/>
  <c r="T984" i="7"/>
  <c r="S984" i="7"/>
  <c r="U984" i="7" s="1"/>
  <c r="R984" i="7"/>
  <c r="P984" i="7"/>
  <c r="Q984" i="7" s="1"/>
  <c r="T983" i="7"/>
  <c r="S983" i="7"/>
  <c r="U983" i="7" s="1"/>
  <c r="R983" i="7"/>
  <c r="P983" i="7"/>
  <c r="Q983" i="7" s="1"/>
  <c r="U982" i="7"/>
  <c r="S982" i="7"/>
  <c r="T982" i="7" s="1"/>
  <c r="P982" i="7"/>
  <c r="Q982" i="7" s="1"/>
  <c r="S981" i="7"/>
  <c r="P981" i="7"/>
  <c r="Q981" i="7" s="1"/>
  <c r="S980" i="7"/>
  <c r="P980" i="7"/>
  <c r="Q980" i="7" s="1"/>
  <c r="S979" i="7"/>
  <c r="P979" i="7"/>
  <c r="Q979" i="7" s="1"/>
  <c r="S978" i="7"/>
  <c r="T978" i="7" s="1"/>
  <c r="P978" i="7"/>
  <c r="S977" i="7"/>
  <c r="P977" i="7"/>
  <c r="S976" i="7"/>
  <c r="P976" i="7"/>
  <c r="Q976" i="7" s="1"/>
  <c r="S975" i="7"/>
  <c r="P975" i="7"/>
  <c r="Q975" i="7" s="1"/>
  <c r="S974" i="7"/>
  <c r="P974" i="7"/>
  <c r="Q974" i="7" s="1"/>
  <c r="T973" i="7"/>
  <c r="S973" i="7"/>
  <c r="U973" i="7" s="1"/>
  <c r="P973" i="7"/>
  <c r="Q973" i="7" s="1"/>
  <c r="S972" i="7"/>
  <c r="U972" i="7" s="1"/>
  <c r="P972" i="7"/>
  <c r="Q972" i="7" s="1"/>
  <c r="S971" i="7"/>
  <c r="P971" i="7"/>
  <c r="Q971" i="7" s="1"/>
  <c r="S970" i="7"/>
  <c r="T970" i="7" s="1"/>
  <c r="P970" i="7"/>
  <c r="S969" i="7"/>
  <c r="P969" i="7"/>
  <c r="T968" i="7"/>
  <c r="S968" i="7"/>
  <c r="U968" i="7" s="1"/>
  <c r="R968" i="7"/>
  <c r="P968" i="7"/>
  <c r="Q968" i="7" s="1"/>
  <c r="T967" i="7"/>
  <c r="S967" i="7"/>
  <c r="U967" i="7" s="1"/>
  <c r="R967" i="7"/>
  <c r="P967" i="7"/>
  <c r="Q967" i="7" s="1"/>
  <c r="U966" i="7"/>
  <c r="S966" i="7"/>
  <c r="T966" i="7" s="1"/>
  <c r="P966" i="7"/>
  <c r="Q966" i="7" s="1"/>
  <c r="T965" i="7"/>
  <c r="S965" i="7"/>
  <c r="U965" i="7" s="1"/>
  <c r="P965" i="7"/>
  <c r="Q965" i="7" s="1"/>
  <c r="T964" i="7"/>
  <c r="S964" i="7"/>
  <c r="U964" i="7" s="1"/>
  <c r="P964" i="7"/>
  <c r="Q964" i="7" s="1"/>
  <c r="S963" i="7"/>
  <c r="P963" i="7"/>
  <c r="Q963" i="7" s="1"/>
  <c r="S962" i="7"/>
  <c r="T962" i="7" s="1"/>
  <c r="P962" i="7"/>
  <c r="S961" i="7"/>
  <c r="P961" i="7"/>
  <c r="S960" i="7"/>
  <c r="U960" i="7" s="1"/>
  <c r="P960" i="7"/>
  <c r="T959" i="7"/>
  <c r="S959" i="7"/>
  <c r="U959" i="7" s="1"/>
  <c r="P959" i="7"/>
  <c r="S958" i="7"/>
  <c r="T958" i="7" s="1"/>
  <c r="P958" i="7"/>
  <c r="Q958" i="7" s="1"/>
  <c r="S957" i="7"/>
  <c r="U957" i="7" s="1"/>
  <c r="P957" i="7"/>
  <c r="Q957" i="7" s="1"/>
  <c r="S956" i="7"/>
  <c r="P956" i="7"/>
  <c r="Q956" i="7" s="1"/>
  <c r="S955" i="7"/>
  <c r="P955" i="7"/>
  <c r="Q955" i="7" s="1"/>
  <c r="S954" i="7"/>
  <c r="T954" i="7" s="1"/>
  <c r="P954" i="7"/>
  <c r="Q954" i="7" s="1"/>
  <c r="S953" i="7"/>
  <c r="P953" i="7"/>
  <c r="T952" i="7"/>
  <c r="S952" i="7"/>
  <c r="U952" i="7" s="1"/>
  <c r="P952" i="7"/>
  <c r="S951" i="7"/>
  <c r="P951" i="7"/>
  <c r="S950" i="7"/>
  <c r="T950" i="7" s="1"/>
  <c r="P950" i="7"/>
  <c r="Q950" i="7" s="1"/>
  <c r="S949" i="7"/>
  <c r="P949" i="7"/>
  <c r="Q949" i="7" s="1"/>
  <c r="S948" i="7"/>
  <c r="U948" i="7" s="1"/>
  <c r="P948" i="7"/>
  <c r="Q948" i="7" s="1"/>
  <c r="S947" i="7"/>
  <c r="P947" i="7"/>
  <c r="Q947" i="7" s="1"/>
  <c r="U946" i="7"/>
  <c r="S946" i="7"/>
  <c r="T946" i="7" s="1"/>
  <c r="R946" i="7"/>
  <c r="P946" i="7"/>
  <c r="Q946" i="7" s="1"/>
  <c r="S945" i="7"/>
  <c r="P945" i="7"/>
  <c r="Q945" i="7" s="1"/>
  <c r="S944" i="7"/>
  <c r="U944" i="7" s="1"/>
  <c r="P944" i="7"/>
  <c r="Q944" i="7" s="1"/>
  <c r="S943" i="7"/>
  <c r="U943" i="7" s="1"/>
  <c r="R943" i="7"/>
  <c r="P943" i="7"/>
  <c r="Q943" i="7" s="1"/>
  <c r="S942" i="7"/>
  <c r="T942" i="7" s="1"/>
  <c r="P942" i="7"/>
  <c r="Q942" i="7" s="1"/>
  <c r="S941" i="7"/>
  <c r="U941" i="7" s="1"/>
  <c r="P941" i="7"/>
  <c r="Q941" i="7" s="1"/>
  <c r="S940" i="7"/>
  <c r="U940" i="7" s="1"/>
  <c r="P940" i="7"/>
  <c r="Q940" i="7" s="1"/>
  <c r="S939" i="7"/>
  <c r="P939" i="7"/>
  <c r="Q939" i="7" s="1"/>
  <c r="S938" i="7"/>
  <c r="T938" i="7" s="1"/>
  <c r="P938" i="7"/>
  <c r="Q938" i="7" s="1"/>
  <c r="S937" i="7"/>
  <c r="P937" i="7"/>
  <c r="Q937" i="7" s="1"/>
  <c r="T936" i="7"/>
  <c r="S936" i="7"/>
  <c r="U936" i="7" s="1"/>
  <c r="P936" i="7"/>
  <c r="Q936" i="7" s="1"/>
  <c r="T935" i="7"/>
  <c r="S935" i="7"/>
  <c r="U935" i="7" s="1"/>
  <c r="P935" i="7"/>
  <c r="Q935" i="7" s="1"/>
  <c r="U934" i="7"/>
  <c r="S934" i="7"/>
  <c r="T934" i="7" s="1"/>
  <c r="P934" i="7"/>
  <c r="Q934" i="7" s="1"/>
  <c r="S933" i="7"/>
  <c r="U933" i="7" s="1"/>
  <c r="P933" i="7"/>
  <c r="Q933" i="7" s="1"/>
  <c r="S932" i="7"/>
  <c r="U932" i="7" s="1"/>
  <c r="P932" i="7"/>
  <c r="Q932" i="7" s="1"/>
  <c r="S931" i="7"/>
  <c r="P931" i="7"/>
  <c r="Q931" i="7" s="1"/>
  <c r="S930" i="7"/>
  <c r="T930" i="7" s="1"/>
  <c r="P930" i="7"/>
  <c r="Q930" i="7" s="1"/>
  <c r="S929" i="7"/>
  <c r="P929" i="7"/>
  <c r="Q929" i="7" s="1"/>
  <c r="S928" i="7"/>
  <c r="U928" i="7" s="1"/>
  <c r="P928" i="7"/>
  <c r="S927" i="7"/>
  <c r="U927" i="7" s="1"/>
  <c r="R927" i="7"/>
  <c r="P927" i="7"/>
  <c r="Q927" i="7" s="1"/>
  <c r="S926" i="7"/>
  <c r="U926" i="7" s="1"/>
  <c r="P926" i="7"/>
  <c r="Q926" i="7" s="1"/>
  <c r="S925" i="7"/>
  <c r="U925" i="7" s="1"/>
  <c r="P925" i="7"/>
  <c r="Q925" i="7" s="1"/>
  <c r="S924" i="7"/>
  <c r="U924" i="7" s="1"/>
  <c r="P924" i="7"/>
  <c r="Q924" i="7" s="1"/>
  <c r="S923" i="7"/>
  <c r="P923" i="7"/>
  <c r="Q923" i="7" s="1"/>
  <c r="S922" i="7"/>
  <c r="T922" i="7" s="1"/>
  <c r="P922" i="7"/>
  <c r="Q922" i="7" s="1"/>
  <c r="S921" i="7"/>
  <c r="P921" i="7"/>
  <c r="Q921" i="7" s="1"/>
  <c r="S920" i="7"/>
  <c r="P920" i="7"/>
  <c r="Q920" i="7" s="1"/>
  <c r="S919" i="7"/>
  <c r="P919" i="7"/>
  <c r="Q919" i="7" s="1"/>
  <c r="S918" i="7"/>
  <c r="T918" i="7" s="1"/>
  <c r="P918" i="7"/>
  <c r="Q918" i="7" s="1"/>
  <c r="S917" i="7"/>
  <c r="P917" i="7"/>
  <c r="Q917" i="7" s="1"/>
  <c r="S916" i="7"/>
  <c r="U916" i="7" s="1"/>
  <c r="P916" i="7"/>
  <c r="Q916" i="7" s="1"/>
  <c r="S915" i="7"/>
  <c r="P915" i="7"/>
  <c r="Q915" i="7" s="1"/>
  <c r="S914" i="7"/>
  <c r="T914" i="7" s="1"/>
  <c r="R914" i="7"/>
  <c r="P914" i="7"/>
  <c r="Q914" i="7" s="1"/>
  <c r="S913" i="7"/>
  <c r="P913" i="7"/>
  <c r="Q913" i="7" s="1"/>
  <c r="S912" i="7"/>
  <c r="U912" i="7" s="1"/>
  <c r="P912" i="7"/>
  <c r="S911" i="7"/>
  <c r="U911" i="7" s="1"/>
  <c r="P911" i="7"/>
  <c r="S910" i="7"/>
  <c r="U910" i="7" s="1"/>
  <c r="P910" i="7"/>
  <c r="Q910" i="7" s="1"/>
  <c r="S909" i="7"/>
  <c r="U909" i="7" s="1"/>
  <c r="P909" i="7"/>
  <c r="Q909" i="7" s="1"/>
  <c r="S908" i="7"/>
  <c r="U908" i="7" s="1"/>
  <c r="P908" i="7"/>
  <c r="Q908" i="7" s="1"/>
  <c r="S907" i="7"/>
  <c r="P907" i="7"/>
  <c r="Q907" i="7" s="1"/>
  <c r="S906" i="7"/>
  <c r="T906" i="7" s="1"/>
  <c r="P906" i="7"/>
  <c r="Q906" i="7" s="1"/>
  <c r="S905" i="7"/>
  <c r="P905" i="7"/>
  <c r="Q905" i="7" s="1"/>
  <c r="S904" i="7"/>
  <c r="U904" i="7" s="1"/>
  <c r="P904" i="7"/>
  <c r="Q904" i="7" s="1"/>
  <c r="S903" i="7"/>
  <c r="U903" i="7" s="1"/>
  <c r="R903" i="7"/>
  <c r="P903" i="7"/>
  <c r="Q903" i="7" s="1"/>
  <c r="S902" i="7"/>
  <c r="T902" i="7" s="1"/>
  <c r="P902" i="7"/>
  <c r="Q902" i="7" s="1"/>
  <c r="S901" i="7"/>
  <c r="P901" i="7"/>
  <c r="Q901" i="7" s="1"/>
  <c r="S900" i="7"/>
  <c r="U900" i="7" s="1"/>
  <c r="P900" i="7"/>
  <c r="Q900" i="7" s="1"/>
  <c r="S899" i="7"/>
  <c r="P899" i="7"/>
  <c r="Q899" i="7" s="1"/>
  <c r="S898" i="7"/>
  <c r="T898" i="7" s="1"/>
  <c r="P898" i="7"/>
  <c r="Q898" i="7" s="1"/>
  <c r="S897" i="7"/>
  <c r="P897" i="7"/>
  <c r="Q897" i="7" s="1"/>
  <c r="S896" i="7"/>
  <c r="U896" i="7" s="1"/>
  <c r="P896" i="7"/>
  <c r="Q896" i="7" s="1"/>
  <c r="S895" i="7"/>
  <c r="U895" i="7" s="1"/>
  <c r="P895" i="7"/>
  <c r="Q895" i="7" s="1"/>
  <c r="S894" i="7"/>
  <c r="P894" i="7"/>
  <c r="Q894" i="7" s="1"/>
  <c r="S893" i="7"/>
  <c r="U893" i="7" s="1"/>
  <c r="P893" i="7"/>
  <c r="Q893" i="7" s="1"/>
  <c r="S892" i="7"/>
  <c r="P892" i="7"/>
  <c r="Q892" i="7" s="1"/>
  <c r="S891" i="7"/>
  <c r="P891" i="7"/>
  <c r="Q891" i="7" s="1"/>
  <c r="S890" i="7"/>
  <c r="T890" i="7" s="1"/>
  <c r="P890" i="7"/>
  <c r="Q890" i="7" s="1"/>
  <c r="S889" i="7"/>
  <c r="P889" i="7"/>
  <c r="T888" i="7"/>
  <c r="S888" i="7"/>
  <c r="U888" i="7" s="1"/>
  <c r="P888" i="7"/>
  <c r="S887" i="7"/>
  <c r="P887" i="7"/>
  <c r="S886" i="7"/>
  <c r="T886" i="7" s="1"/>
  <c r="P886" i="7"/>
  <c r="Q886" i="7" s="1"/>
  <c r="S885" i="7"/>
  <c r="P885" i="7"/>
  <c r="Q885" i="7" s="1"/>
  <c r="S884" i="7"/>
  <c r="U884" i="7" s="1"/>
  <c r="P884" i="7"/>
  <c r="Q884" i="7" s="1"/>
  <c r="S883" i="7"/>
  <c r="P883" i="7"/>
  <c r="Q883" i="7" s="1"/>
  <c r="U882" i="7"/>
  <c r="S882" i="7"/>
  <c r="T882" i="7" s="1"/>
  <c r="R882" i="7"/>
  <c r="P882" i="7"/>
  <c r="Q882" i="7" s="1"/>
  <c r="S881" i="7"/>
  <c r="P881" i="7"/>
  <c r="Q881" i="7" s="1"/>
  <c r="S880" i="7"/>
  <c r="U880" i="7" s="1"/>
  <c r="P880" i="7"/>
  <c r="Q880" i="7" s="1"/>
  <c r="S879" i="7"/>
  <c r="U879" i="7" s="1"/>
  <c r="P879" i="7"/>
  <c r="Q879" i="7" s="1"/>
  <c r="S878" i="7"/>
  <c r="T878" i="7" s="1"/>
  <c r="P878" i="7"/>
  <c r="Q878" i="7" s="1"/>
  <c r="S877" i="7"/>
  <c r="U877" i="7" s="1"/>
  <c r="P877" i="7"/>
  <c r="Q877" i="7" s="1"/>
  <c r="S876" i="7"/>
  <c r="U876" i="7" s="1"/>
  <c r="P876" i="7"/>
  <c r="Q876" i="7" s="1"/>
  <c r="S875" i="7"/>
  <c r="P875" i="7"/>
  <c r="Q875" i="7" s="1"/>
  <c r="S874" i="7"/>
  <c r="T874" i="7" s="1"/>
  <c r="P874" i="7"/>
  <c r="Q874" i="7" s="1"/>
  <c r="S873" i="7"/>
  <c r="P873" i="7"/>
  <c r="Q873" i="7" s="1"/>
  <c r="S872" i="7"/>
  <c r="U872" i="7" s="1"/>
  <c r="R872" i="7"/>
  <c r="P872" i="7"/>
  <c r="Q872" i="7" s="1"/>
  <c r="S871" i="7"/>
  <c r="P871" i="7"/>
  <c r="Q871" i="7" s="1"/>
  <c r="S870" i="7"/>
  <c r="T870" i="7" s="1"/>
  <c r="P870" i="7"/>
  <c r="Q870" i="7" s="1"/>
  <c r="S869" i="7"/>
  <c r="U869" i="7" s="1"/>
  <c r="P869" i="7"/>
  <c r="Q869" i="7" s="1"/>
  <c r="S868" i="7"/>
  <c r="U868" i="7" s="1"/>
  <c r="P868" i="7"/>
  <c r="Q868" i="7" s="1"/>
  <c r="S867" i="7"/>
  <c r="P867" i="7"/>
  <c r="Q867" i="7" s="1"/>
  <c r="U866" i="7"/>
  <c r="S866" i="7"/>
  <c r="T866" i="7" s="1"/>
  <c r="P866" i="7"/>
  <c r="S865" i="7"/>
  <c r="P865" i="7"/>
  <c r="Q865" i="7" s="1"/>
  <c r="S864" i="7"/>
  <c r="U864" i="7" s="1"/>
  <c r="P864" i="7"/>
  <c r="S863" i="7"/>
  <c r="U863" i="7" s="1"/>
  <c r="P863" i="7"/>
  <c r="Q863" i="7" s="1"/>
  <c r="S862" i="7"/>
  <c r="U862" i="7" s="1"/>
  <c r="P862" i="7"/>
  <c r="Q862" i="7" s="1"/>
  <c r="S861" i="7"/>
  <c r="U861" i="7" s="1"/>
  <c r="P861" i="7"/>
  <c r="Q861" i="7" s="1"/>
  <c r="T860" i="7"/>
  <c r="S860" i="7"/>
  <c r="U860" i="7" s="1"/>
  <c r="P860" i="7"/>
  <c r="Q860" i="7" s="1"/>
  <c r="S859" i="7"/>
  <c r="P859" i="7"/>
  <c r="Q859" i="7" s="1"/>
  <c r="S858" i="7"/>
  <c r="T858" i="7" s="1"/>
  <c r="P858" i="7"/>
  <c r="Q858" i="7" s="1"/>
  <c r="S857" i="7"/>
  <c r="R857" i="7"/>
  <c r="P857" i="7"/>
  <c r="Q857" i="7" s="1"/>
  <c r="S856" i="7"/>
  <c r="P856" i="7"/>
  <c r="Q856" i="7" s="1"/>
  <c r="S855" i="7"/>
  <c r="P855" i="7"/>
  <c r="Q855" i="7" s="1"/>
  <c r="S854" i="7"/>
  <c r="T854" i="7" s="1"/>
  <c r="P854" i="7"/>
  <c r="Q854" i="7" s="1"/>
  <c r="S853" i="7"/>
  <c r="U853" i="7" s="1"/>
  <c r="P853" i="7"/>
  <c r="Q853" i="7" s="1"/>
  <c r="S852" i="7"/>
  <c r="U852" i="7" s="1"/>
  <c r="P852" i="7"/>
  <c r="Q852" i="7" s="1"/>
  <c r="S851" i="7"/>
  <c r="P851" i="7"/>
  <c r="Q851" i="7" s="1"/>
  <c r="U850" i="7"/>
  <c r="S850" i="7"/>
  <c r="T850" i="7" s="1"/>
  <c r="R850" i="7"/>
  <c r="P850" i="7"/>
  <c r="Q850" i="7" s="1"/>
  <c r="S849" i="7"/>
  <c r="P849" i="7"/>
  <c r="Q849" i="7" s="1"/>
  <c r="S848" i="7"/>
  <c r="U848" i="7" s="1"/>
  <c r="P848" i="7"/>
  <c r="S847" i="7"/>
  <c r="U847" i="7" s="1"/>
  <c r="P847" i="7"/>
  <c r="Q847" i="7" s="1"/>
  <c r="U846" i="7"/>
  <c r="S846" i="7"/>
  <c r="T846" i="7" s="1"/>
  <c r="P846" i="7"/>
  <c r="Q846" i="7" s="1"/>
  <c r="S845" i="7"/>
  <c r="U845" i="7" s="1"/>
  <c r="P845" i="7"/>
  <c r="Q845" i="7" s="1"/>
  <c r="S844" i="7"/>
  <c r="U844" i="7" s="1"/>
  <c r="P844" i="7"/>
  <c r="Q844" i="7" s="1"/>
  <c r="S843" i="7"/>
  <c r="P843" i="7"/>
  <c r="Q843" i="7" s="1"/>
  <c r="S842" i="7"/>
  <c r="T842" i="7" s="1"/>
  <c r="P842" i="7"/>
  <c r="Q842" i="7" s="1"/>
  <c r="S841" i="7"/>
  <c r="P841" i="7"/>
  <c r="Q841" i="7" s="1"/>
  <c r="T840" i="7"/>
  <c r="S840" i="7"/>
  <c r="U840" i="7" s="1"/>
  <c r="P840" i="7"/>
  <c r="S839" i="7"/>
  <c r="U839" i="7" s="1"/>
  <c r="P839" i="7"/>
  <c r="Q839" i="7" s="1"/>
  <c r="S838" i="7"/>
  <c r="T838" i="7" s="1"/>
  <c r="P838" i="7"/>
  <c r="Q838" i="7" s="1"/>
  <c r="S837" i="7"/>
  <c r="P837" i="7"/>
  <c r="Q837" i="7" s="1"/>
  <c r="S836" i="7"/>
  <c r="U836" i="7" s="1"/>
  <c r="P836" i="7"/>
  <c r="Q836" i="7" s="1"/>
  <c r="S835" i="7"/>
  <c r="P835" i="7"/>
  <c r="Q835" i="7" s="1"/>
  <c r="U834" i="7"/>
  <c r="S834" i="7"/>
  <c r="T834" i="7" s="1"/>
  <c r="P834" i="7"/>
  <c r="Q834" i="7" s="1"/>
  <c r="S833" i="7"/>
  <c r="P833" i="7"/>
  <c r="Q833" i="7" s="1"/>
  <c r="S832" i="7"/>
  <c r="U832" i="7" s="1"/>
  <c r="P832" i="7"/>
  <c r="R832" i="7" s="1"/>
  <c r="S831" i="7"/>
  <c r="P831" i="7"/>
  <c r="Q831" i="7" s="1"/>
  <c r="S830" i="7"/>
  <c r="T830" i="7" s="1"/>
  <c r="P830" i="7"/>
  <c r="S829" i="7"/>
  <c r="U829" i="7" s="1"/>
  <c r="R829" i="7"/>
  <c r="P829" i="7"/>
  <c r="Q829" i="7" s="1"/>
  <c r="T828" i="7"/>
  <c r="S828" i="7"/>
  <c r="U828" i="7" s="1"/>
  <c r="P828" i="7"/>
  <c r="R828" i="7" s="1"/>
  <c r="S827" i="7"/>
  <c r="P827" i="7"/>
  <c r="Q827" i="7" s="1"/>
  <c r="S826" i="7"/>
  <c r="T826" i="7" s="1"/>
  <c r="R826" i="7"/>
  <c r="P826" i="7"/>
  <c r="Q826" i="7" s="1"/>
  <c r="S825" i="7"/>
  <c r="U825" i="7" s="1"/>
  <c r="P825" i="7"/>
  <c r="Q825" i="7" s="1"/>
  <c r="S824" i="7"/>
  <c r="U824" i="7" s="1"/>
  <c r="P824" i="7"/>
  <c r="R824" i="7" s="1"/>
  <c r="S823" i="7"/>
  <c r="P823" i="7"/>
  <c r="Q823" i="7" s="1"/>
  <c r="S822" i="7"/>
  <c r="Q822" i="7"/>
  <c r="P822" i="7"/>
  <c r="R822" i="7" s="1"/>
  <c r="S821" i="7"/>
  <c r="U821" i="7" s="1"/>
  <c r="P821" i="7"/>
  <c r="S820" i="7"/>
  <c r="P820" i="7"/>
  <c r="R820" i="7" s="1"/>
  <c r="S819" i="7"/>
  <c r="P819" i="7"/>
  <c r="Q819" i="7" s="1"/>
  <c r="S818" i="7"/>
  <c r="T818" i="7" s="1"/>
  <c r="P818" i="7"/>
  <c r="S817" i="7"/>
  <c r="U817" i="7" s="1"/>
  <c r="P817" i="7"/>
  <c r="Q817" i="7" s="1"/>
  <c r="S816" i="7"/>
  <c r="U816" i="7" s="1"/>
  <c r="P816" i="7"/>
  <c r="R816" i="7" s="1"/>
  <c r="S815" i="7"/>
  <c r="P815" i="7"/>
  <c r="Q815" i="7" s="1"/>
  <c r="S814" i="7"/>
  <c r="P814" i="7"/>
  <c r="R814" i="7" s="1"/>
  <c r="S813" i="7"/>
  <c r="U813" i="7" s="1"/>
  <c r="P813" i="7"/>
  <c r="Q813" i="7" s="1"/>
  <c r="T812" i="7"/>
  <c r="S812" i="7"/>
  <c r="U812" i="7" s="1"/>
  <c r="P812" i="7"/>
  <c r="R812" i="7" s="1"/>
  <c r="S811" i="7"/>
  <c r="P811" i="7"/>
  <c r="Q811" i="7" s="1"/>
  <c r="S810" i="7"/>
  <c r="T810" i="7" s="1"/>
  <c r="P810" i="7"/>
  <c r="R810" i="7" s="1"/>
  <c r="S809" i="7"/>
  <c r="U809" i="7" s="1"/>
  <c r="P809" i="7"/>
  <c r="Q809" i="7" s="1"/>
  <c r="T808" i="7"/>
  <c r="S808" i="7"/>
  <c r="U808" i="7" s="1"/>
  <c r="P808" i="7"/>
  <c r="R808" i="7" s="1"/>
  <c r="S807" i="7"/>
  <c r="U807" i="7" s="1"/>
  <c r="P807" i="7"/>
  <c r="Q807" i="7" s="1"/>
  <c r="S806" i="7"/>
  <c r="T806" i="7" s="1"/>
  <c r="Q806" i="7"/>
  <c r="P806" i="7"/>
  <c r="R806" i="7" s="1"/>
  <c r="S805" i="7"/>
  <c r="U805" i="7" s="1"/>
  <c r="P805" i="7"/>
  <c r="Q805" i="7" s="1"/>
  <c r="S804" i="7"/>
  <c r="U804" i="7" s="1"/>
  <c r="P804" i="7"/>
  <c r="R804" i="7" s="1"/>
  <c r="S803" i="7"/>
  <c r="U803" i="7" s="1"/>
  <c r="P803" i="7"/>
  <c r="Q803" i="7" s="1"/>
  <c r="S802" i="7"/>
  <c r="T802" i="7" s="1"/>
  <c r="P802" i="7"/>
  <c r="R802" i="7" s="1"/>
  <c r="S801" i="7"/>
  <c r="U801" i="7" s="1"/>
  <c r="P801" i="7"/>
  <c r="Q801" i="7" s="1"/>
  <c r="U800" i="7"/>
  <c r="T800" i="7"/>
  <c r="S800" i="7"/>
  <c r="P800" i="7"/>
  <c r="R800" i="7" s="1"/>
  <c r="S799" i="7"/>
  <c r="U799" i="7" s="1"/>
  <c r="P799" i="7"/>
  <c r="Q799" i="7" s="1"/>
  <c r="S798" i="7"/>
  <c r="T798" i="7" s="1"/>
  <c r="Q798" i="7"/>
  <c r="P798" i="7"/>
  <c r="R798" i="7" s="1"/>
  <c r="S797" i="7"/>
  <c r="U797" i="7" s="1"/>
  <c r="P797" i="7"/>
  <c r="Q797" i="7" s="1"/>
  <c r="U796" i="7"/>
  <c r="S796" i="7"/>
  <c r="T796" i="7" s="1"/>
  <c r="P796" i="7"/>
  <c r="R796" i="7" s="1"/>
  <c r="S795" i="7"/>
  <c r="U795" i="7" s="1"/>
  <c r="P795" i="7"/>
  <c r="Q795" i="7" s="1"/>
  <c r="S794" i="7"/>
  <c r="T794" i="7" s="1"/>
  <c r="P794" i="7"/>
  <c r="S793" i="7"/>
  <c r="U793" i="7" s="1"/>
  <c r="P793" i="7"/>
  <c r="Q793" i="7" s="1"/>
  <c r="T792" i="7"/>
  <c r="S792" i="7"/>
  <c r="U792" i="7" s="1"/>
  <c r="P792" i="7"/>
  <c r="R792" i="7" s="1"/>
  <c r="S791" i="7"/>
  <c r="U791" i="7" s="1"/>
  <c r="P791" i="7"/>
  <c r="Q791" i="7" s="1"/>
  <c r="S790" i="7"/>
  <c r="T790" i="7" s="1"/>
  <c r="Q790" i="7"/>
  <c r="P790" i="7"/>
  <c r="R790" i="7" s="1"/>
  <c r="S789" i="7"/>
  <c r="U789" i="7" s="1"/>
  <c r="P789" i="7"/>
  <c r="Q789" i="7" s="1"/>
  <c r="S788" i="7"/>
  <c r="P788" i="7"/>
  <c r="R788" i="7" s="1"/>
  <c r="S787" i="7"/>
  <c r="U787" i="7" s="1"/>
  <c r="P787" i="7"/>
  <c r="Q787" i="7" s="1"/>
  <c r="S786" i="7"/>
  <c r="T786" i="7" s="1"/>
  <c r="P786" i="7"/>
  <c r="R786" i="7" s="1"/>
  <c r="S785" i="7"/>
  <c r="U785" i="7" s="1"/>
  <c r="P785" i="7"/>
  <c r="Q785" i="7" s="1"/>
  <c r="U784" i="7"/>
  <c r="S784" i="7"/>
  <c r="T784" i="7" s="1"/>
  <c r="P784" i="7"/>
  <c r="R784" i="7" s="1"/>
  <c r="S783" i="7"/>
  <c r="U783" i="7" s="1"/>
  <c r="P783" i="7"/>
  <c r="Q783" i="7" s="1"/>
  <c r="S782" i="7"/>
  <c r="T782" i="7" s="1"/>
  <c r="P782" i="7"/>
  <c r="R782" i="7" s="1"/>
  <c r="S781" i="7"/>
  <c r="U781" i="7" s="1"/>
  <c r="P781" i="7"/>
  <c r="Q781" i="7" s="1"/>
  <c r="S780" i="7"/>
  <c r="U780" i="7" s="1"/>
  <c r="P780" i="7"/>
  <c r="R780" i="7" s="1"/>
  <c r="S779" i="7"/>
  <c r="U779" i="7" s="1"/>
  <c r="P779" i="7"/>
  <c r="Q779" i="7" s="1"/>
  <c r="S778" i="7"/>
  <c r="T778" i="7" s="1"/>
  <c r="P778" i="7"/>
  <c r="R778" i="7" s="1"/>
  <c r="S777" i="7"/>
  <c r="U777" i="7" s="1"/>
  <c r="P777" i="7"/>
  <c r="Q777" i="7" s="1"/>
  <c r="S776" i="7"/>
  <c r="U776" i="7" s="1"/>
  <c r="P776" i="7"/>
  <c r="R776" i="7" s="1"/>
  <c r="S775" i="7"/>
  <c r="U775" i="7" s="1"/>
  <c r="P775" i="7"/>
  <c r="Q775" i="7" s="1"/>
  <c r="U774" i="7"/>
  <c r="S774" i="7"/>
  <c r="T774" i="7" s="1"/>
  <c r="P774" i="7"/>
  <c r="R774" i="7" s="1"/>
  <c r="S773" i="7"/>
  <c r="U773" i="7" s="1"/>
  <c r="P773" i="7"/>
  <c r="Q773" i="7" s="1"/>
  <c r="S772" i="7"/>
  <c r="U772" i="7" s="1"/>
  <c r="P772" i="7"/>
  <c r="R772" i="7" s="1"/>
  <c r="S771" i="7"/>
  <c r="U771" i="7" s="1"/>
  <c r="P771" i="7"/>
  <c r="Q771" i="7" s="1"/>
  <c r="S770" i="7"/>
  <c r="T770" i="7" s="1"/>
  <c r="P770" i="7"/>
  <c r="R770" i="7" s="1"/>
  <c r="S769" i="7"/>
  <c r="U769" i="7" s="1"/>
  <c r="P769" i="7"/>
  <c r="Q769" i="7" s="1"/>
  <c r="S768" i="7"/>
  <c r="U768" i="7" s="1"/>
  <c r="P768" i="7"/>
  <c r="R768" i="7" s="1"/>
  <c r="S767" i="7"/>
  <c r="U767" i="7" s="1"/>
  <c r="P767" i="7"/>
  <c r="Q767" i="7" s="1"/>
  <c r="U766" i="7"/>
  <c r="S766" i="7"/>
  <c r="T766" i="7" s="1"/>
  <c r="P766" i="7"/>
  <c r="R766" i="7" s="1"/>
  <c r="S765" i="7"/>
  <c r="U765" i="7" s="1"/>
  <c r="P765" i="7"/>
  <c r="Q765" i="7" s="1"/>
  <c r="S764" i="7"/>
  <c r="U764" i="7" s="1"/>
  <c r="P764" i="7"/>
  <c r="R764" i="7" s="1"/>
  <c r="S763" i="7"/>
  <c r="U763" i="7" s="1"/>
  <c r="P763" i="7"/>
  <c r="Q763" i="7" s="1"/>
  <c r="S762" i="7"/>
  <c r="T762" i="7" s="1"/>
  <c r="P762" i="7"/>
  <c r="R762" i="7" s="1"/>
  <c r="S761" i="7"/>
  <c r="U761" i="7" s="1"/>
  <c r="P761" i="7"/>
  <c r="Q761" i="7" s="1"/>
  <c r="S760" i="7"/>
  <c r="U760" i="7" s="1"/>
  <c r="P760" i="7"/>
  <c r="R760" i="7" s="1"/>
  <c r="S759" i="7"/>
  <c r="U759" i="7" s="1"/>
  <c r="P759" i="7"/>
  <c r="Q759" i="7" s="1"/>
  <c r="U758" i="7"/>
  <c r="S758" i="7"/>
  <c r="T758" i="7" s="1"/>
  <c r="P758" i="7"/>
  <c r="R758" i="7" s="1"/>
  <c r="S757" i="7"/>
  <c r="U757" i="7" s="1"/>
  <c r="P757" i="7"/>
  <c r="Q757" i="7" s="1"/>
  <c r="S756" i="7"/>
  <c r="U756" i="7" s="1"/>
  <c r="P756" i="7"/>
  <c r="R756" i="7" s="1"/>
  <c r="S755" i="7"/>
  <c r="U755" i="7" s="1"/>
  <c r="P755" i="7"/>
  <c r="Q755" i="7" s="1"/>
  <c r="U754" i="7"/>
  <c r="S754" i="7"/>
  <c r="T754" i="7" s="1"/>
  <c r="P754" i="7"/>
  <c r="R754" i="7" s="1"/>
  <c r="S753" i="7"/>
  <c r="U753" i="7" s="1"/>
  <c r="P753" i="7"/>
  <c r="Q753" i="7" s="1"/>
  <c r="S752" i="7"/>
  <c r="U752" i="7" s="1"/>
  <c r="P752" i="7"/>
  <c r="R752" i="7" s="1"/>
  <c r="S751" i="7"/>
  <c r="U751" i="7" s="1"/>
  <c r="P751" i="7"/>
  <c r="Q751" i="7" s="1"/>
  <c r="U750" i="7"/>
  <c r="S750" i="7"/>
  <c r="T750" i="7" s="1"/>
  <c r="P750" i="7"/>
  <c r="R750" i="7" s="1"/>
  <c r="S749" i="7"/>
  <c r="U749" i="7" s="1"/>
  <c r="P749" i="7"/>
  <c r="Q749" i="7" s="1"/>
  <c r="S748" i="7"/>
  <c r="U748" i="7" s="1"/>
  <c r="P748" i="7"/>
  <c r="R748" i="7" s="1"/>
  <c r="S747" i="7"/>
  <c r="U747" i="7" s="1"/>
  <c r="P747" i="7"/>
  <c r="Q747" i="7" s="1"/>
  <c r="S746" i="7"/>
  <c r="P746" i="7"/>
  <c r="R746" i="7" s="1"/>
  <c r="S745" i="7"/>
  <c r="U745" i="7" s="1"/>
  <c r="P745" i="7"/>
  <c r="Q745" i="7" s="1"/>
  <c r="S744" i="7"/>
  <c r="U744" i="7" s="1"/>
  <c r="P744" i="7"/>
  <c r="R744" i="7" s="1"/>
  <c r="S743" i="7"/>
  <c r="U743" i="7" s="1"/>
  <c r="P743" i="7"/>
  <c r="Q743" i="7" s="1"/>
  <c r="U742" i="7"/>
  <c r="S742" i="7"/>
  <c r="T742" i="7" s="1"/>
  <c r="P742" i="7"/>
  <c r="R742" i="7" s="1"/>
  <c r="S741" i="7"/>
  <c r="U741" i="7" s="1"/>
  <c r="P741" i="7"/>
  <c r="Q741" i="7" s="1"/>
  <c r="S740" i="7"/>
  <c r="U740" i="7" s="1"/>
  <c r="P740" i="7"/>
  <c r="R740" i="7" s="1"/>
  <c r="S739" i="7"/>
  <c r="U739" i="7" s="1"/>
  <c r="P739" i="7"/>
  <c r="Q739" i="7" s="1"/>
  <c r="S738" i="7"/>
  <c r="T738" i="7" s="1"/>
  <c r="P738" i="7"/>
  <c r="R738" i="7" s="1"/>
  <c r="S737" i="7"/>
  <c r="U737" i="7" s="1"/>
  <c r="P737" i="7"/>
  <c r="Q737" i="7" s="1"/>
  <c r="S736" i="7"/>
  <c r="U736" i="7" s="1"/>
  <c r="P736" i="7"/>
  <c r="R736" i="7" s="1"/>
  <c r="S735" i="7"/>
  <c r="U735" i="7" s="1"/>
  <c r="P735" i="7"/>
  <c r="Q735" i="7" s="1"/>
  <c r="U734" i="7"/>
  <c r="S734" i="7"/>
  <c r="T734" i="7" s="1"/>
  <c r="P734" i="7"/>
  <c r="R734" i="7" s="1"/>
  <c r="S733" i="7"/>
  <c r="U733" i="7" s="1"/>
  <c r="P733" i="7"/>
  <c r="Q733" i="7" s="1"/>
  <c r="S732" i="7"/>
  <c r="U732" i="7" s="1"/>
  <c r="P732" i="7"/>
  <c r="R732" i="7" s="1"/>
  <c r="S731" i="7"/>
  <c r="U731" i="7" s="1"/>
  <c r="P731" i="7"/>
  <c r="Q731" i="7" s="1"/>
  <c r="S730" i="7"/>
  <c r="T730" i="7" s="1"/>
  <c r="R730" i="7"/>
  <c r="P730" i="7"/>
  <c r="Q730" i="7" s="1"/>
  <c r="S729" i="7"/>
  <c r="U729" i="7" s="1"/>
  <c r="P729" i="7"/>
  <c r="Q729" i="7" s="1"/>
  <c r="S728" i="7"/>
  <c r="U728" i="7" s="1"/>
  <c r="P728" i="7"/>
  <c r="R728" i="7" s="1"/>
  <c r="S727" i="7"/>
  <c r="U727" i="7" s="1"/>
  <c r="P727" i="7"/>
  <c r="Q727" i="7" s="1"/>
  <c r="U726" i="7"/>
  <c r="S726" i="7"/>
  <c r="T726" i="7" s="1"/>
  <c r="P726" i="7"/>
  <c r="S725" i="7"/>
  <c r="U725" i="7" s="1"/>
  <c r="P725" i="7"/>
  <c r="Q725" i="7" s="1"/>
  <c r="S724" i="7"/>
  <c r="U724" i="7" s="1"/>
  <c r="P724" i="7"/>
  <c r="R724" i="7" s="1"/>
  <c r="S723" i="7"/>
  <c r="U723" i="7" s="1"/>
  <c r="P723" i="7"/>
  <c r="Q723" i="7" s="1"/>
  <c r="S722" i="7"/>
  <c r="T722" i="7" s="1"/>
  <c r="R722" i="7"/>
  <c r="P722" i="7"/>
  <c r="Q722" i="7" s="1"/>
  <c r="S721" i="7"/>
  <c r="U721" i="7" s="1"/>
  <c r="P721" i="7"/>
  <c r="Q721" i="7" s="1"/>
  <c r="S720" i="7"/>
  <c r="U720" i="7" s="1"/>
  <c r="P720" i="7"/>
  <c r="R720" i="7" s="1"/>
  <c r="S719" i="7"/>
  <c r="U719" i="7" s="1"/>
  <c r="P719" i="7"/>
  <c r="Q719" i="7" s="1"/>
  <c r="S718" i="7"/>
  <c r="T718" i="7" s="1"/>
  <c r="P718" i="7"/>
  <c r="Q718" i="7" s="1"/>
  <c r="S717" i="7"/>
  <c r="U717" i="7" s="1"/>
  <c r="P717" i="7"/>
  <c r="Q717" i="7" s="1"/>
  <c r="S716" i="7"/>
  <c r="U716" i="7" s="1"/>
  <c r="P716" i="7"/>
  <c r="R716" i="7" s="1"/>
  <c r="S715" i="7"/>
  <c r="U715" i="7" s="1"/>
  <c r="P715" i="7"/>
  <c r="Q715" i="7" s="1"/>
  <c r="S714" i="7"/>
  <c r="T714" i="7" s="1"/>
  <c r="R714" i="7"/>
  <c r="P714" i="7"/>
  <c r="Q714" i="7" s="1"/>
  <c r="S713" i="7"/>
  <c r="U713" i="7" s="1"/>
  <c r="P713" i="7"/>
  <c r="Q713" i="7" s="1"/>
  <c r="S712" i="7"/>
  <c r="U712" i="7" s="1"/>
  <c r="P712" i="7"/>
  <c r="R712" i="7" s="1"/>
  <c r="S711" i="7"/>
  <c r="U711" i="7" s="1"/>
  <c r="P711" i="7"/>
  <c r="Q711" i="7" s="1"/>
  <c r="S710" i="7"/>
  <c r="T710" i="7" s="1"/>
  <c r="P710" i="7"/>
  <c r="Q710" i="7" s="1"/>
  <c r="S709" i="7"/>
  <c r="U709" i="7" s="1"/>
  <c r="P709" i="7"/>
  <c r="Q709" i="7" s="1"/>
  <c r="S708" i="7"/>
  <c r="U708" i="7" s="1"/>
  <c r="P708" i="7"/>
  <c r="R708" i="7" s="1"/>
  <c r="S707" i="7"/>
  <c r="U707" i="7" s="1"/>
  <c r="P707" i="7"/>
  <c r="Q707" i="7" s="1"/>
  <c r="S706" i="7"/>
  <c r="T706" i="7" s="1"/>
  <c r="R706" i="7"/>
  <c r="P706" i="7"/>
  <c r="Q706" i="7" s="1"/>
  <c r="S705" i="7"/>
  <c r="U705" i="7" s="1"/>
  <c r="P705" i="7"/>
  <c r="Q705" i="7" s="1"/>
  <c r="S704" i="7"/>
  <c r="U704" i="7" s="1"/>
  <c r="P704" i="7"/>
  <c r="R704" i="7" s="1"/>
  <c r="S703" i="7"/>
  <c r="U703" i="7" s="1"/>
  <c r="P703" i="7"/>
  <c r="Q703" i="7" s="1"/>
  <c r="S702" i="7"/>
  <c r="T702" i="7" s="1"/>
  <c r="R702" i="7"/>
  <c r="P702" i="7"/>
  <c r="Q702" i="7" s="1"/>
  <c r="S701" i="7"/>
  <c r="U701" i="7" s="1"/>
  <c r="P701" i="7"/>
  <c r="Q701" i="7" s="1"/>
  <c r="S700" i="7"/>
  <c r="U700" i="7" s="1"/>
  <c r="P700" i="7"/>
  <c r="R700" i="7" s="1"/>
  <c r="S699" i="7"/>
  <c r="U699" i="7" s="1"/>
  <c r="P699" i="7"/>
  <c r="Q699" i="7" s="1"/>
  <c r="S698" i="7"/>
  <c r="T698" i="7" s="1"/>
  <c r="P698" i="7"/>
  <c r="Q698" i="7" s="1"/>
  <c r="S697" i="7"/>
  <c r="U697" i="7" s="1"/>
  <c r="P697" i="7"/>
  <c r="Q697" i="7" s="1"/>
  <c r="S696" i="7"/>
  <c r="U696" i="7" s="1"/>
  <c r="P696" i="7"/>
  <c r="R696" i="7" s="1"/>
  <c r="S695" i="7"/>
  <c r="U695" i="7" s="1"/>
  <c r="P695" i="7"/>
  <c r="Q695" i="7" s="1"/>
  <c r="S694" i="7"/>
  <c r="T694" i="7" s="1"/>
  <c r="P694" i="7"/>
  <c r="S693" i="7"/>
  <c r="U693" i="7" s="1"/>
  <c r="P693" i="7"/>
  <c r="Q693" i="7" s="1"/>
  <c r="S692" i="7"/>
  <c r="U692" i="7" s="1"/>
  <c r="P692" i="7"/>
  <c r="R692" i="7" s="1"/>
  <c r="S691" i="7"/>
  <c r="U691" i="7" s="1"/>
  <c r="P691" i="7"/>
  <c r="Q691" i="7" s="1"/>
  <c r="S690" i="7"/>
  <c r="T690" i="7" s="1"/>
  <c r="R690" i="7"/>
  <c r="P690" i="7"/>
  <c r="Q690" i="7" s="1"/>
  <c r="S689" i="7"/>
  <c r="U689" i="7" s="1"/>
  <c r="P689" i="7"/>
  <c r="Q689" i="7" s="1"/>
  <c r="S688" i="7"/>
  <c r="U688" i="7" s="1"/>
  <c r="P688" i="7"/>
  <c r="R688" i="7" s="1"/>
  <c r="S687" i="7"/>
  <c r="U687" i="7" s="1"/>
  <c r="P687" i="7"/>
  <c r="Q687" i="7" s="1"/>
  <c r="S686" i="7"/>
  <c r="T686" i="7" s="1"/>
  <c r="P686" i="7"/>
  <c r="Q686" i="7" s="1"/>
  <c r="S685" i="7"/>
  <c r="U685" i="7" s="1"/>
  <c r="P685" i="7"/>
  <c r="Q685" i="7" s="1"/>
  <c r="S684" i="7"/>
  <c r="U684" i="7" s="1"/>
  <c r="P684" i="7"/>
  <c r="R684" i="7" s="1"/>
  <c r="S683" i="7"/>
  <c r="U683" i="7" s="1"/>
  <c r="P683" i="7"/>
  <c r="Q683" i="7" s="1"/>
  <c r="S682" i="7"/>
  <c r="T682" i="7" s="1"/>
  <c r="R682" i="7"/>
  <c r="P682" i="7"/>
  <c r="Q682" i="7" s="1"/>
  <c r="S681" i="7"/>
  <c r="U681" i="7" s="1"/>
  <c r="P681" i="7"/>
  <c r="Q681" i="7" s="1"/>
  <c r="S680" i="7"/>
  <c r="U680" i="7" s="1"/>
  <c r="P680" i="7"/>
  <c r="R680" i="7" s="1"/>
  <c r="S679" i="7"/>
  <c r="U679" i="7" s="1"/>
  <c r="P679" i="7"/>
  <c r="Q679" i="7" s="1"/>
  <c r="S678" i="7"/>
  <c r="T678" i="7" s="1"/>
  <c r="P678" i="7"/>
  <c r="Q678" i="7" s="1"/>
  <c r="S677" i="7"/>
  <c r="U677" i="7" s="1"/>
  <c r="P677" i="7"/>
  <c r="Q677" i="7" s="1"/>
  <c r="S676" i="7"/>
  <c r="U676" i="7" s="1"/>
  <c r="P676" i="7"/>
  <c r="R676" i="7" s="1"/>
  <c r="S675" i="7"/>
  <c r="U675" i="7" s="1"/>
  <c r="P675" i="7"/>
  <c r="Q675" i="7" s="1"/>
  <c r="S674" i="7"/>
  <c r="T674" i="7" s="1"/>
  <c r="R674" i="7"/>
  <c r="P674" i="7"/>
  <c r="Q674" i="7" s="1"/>
  <c r="S673" i="7"/>
  <c r="U673" i="7" s="1"/>
  <c r="P673" i="7"/>
  <c r="Q673" i="7" s="1"/>
  <c r="S672" i="7"/>
  <c r="U672" i="7" s="1"/>
  <c r="P672" i="7"/>
  <c r="R672" i="7" s="1"/>
  <c r="S671" i="7"/>
  <c r="U671" i="7" s="1"/>
  <c r="P671" i="7"/>
  <c r="Q671" i="7" s="1"/>
  <c r="S670" i="7"/>
  <c r="T670" i="7" s="1"/>
  <c r="R670" i="7"/>
  <c r="P670" i="7"/>
  <c r="Q670" i="7" s="1"/>
  <c r="S669" i="7"/>
  <c r="U669" i="7" s="1"/>
  <c r="P669" i="7"/>
  <c r="Q669" i="7" s="1"/>
  <c r="S668" i="7"/>
  <c r="U668" i="7" s="1"/>
  <c r="P668" i="7"/>
  <c r="R668" i="7" s="1"/>
  <c r="S667" i="7"/>
  <c r="U667" i="7" s="1"/>
  <c r="P667" i="7"/>
  <c r="Q667" i="7" s="1"/>
  <c r="S666" i="7"/>
  <c r="T666" i="7" s="1"/>
  <c r="P666" i="7"/>
  <c r="Q666" i="7" s="1"/>
  <c r="S665" i="7"/>
  <c r="U665" i="7" s="1"/>
  <c r="P665" i="7"/>
  <c r="Q665" i="7" s="1"/>
  <c r="S664" i="7"/>
  <c r="U664" i="7" s="1"/>
  <c r="P664" i="7"/>
  <c r="R664" i="7" s="1"/>
  <c r="S663" i="7"/>
  <c r="U663" i="7" s="1"/>
  <c r="P663" i="7"/>
  <c r="Q663" i="7" s="1"/>
  <c r="S662" i="7"/>
  <c r="T662" i="7" s="1"/>
  <c r="P662" i="7"/>
  <c r="S661" i="7"/>
  <c r="U661" i="7" s="1"/>
  <c r="P661" i="7"/>
  <c r="Q661" i="7" s="1"/>
  <c r="S660" i="7"/>
  <c r="U660" i="7" s="1"/>
  <c r="P660" i="7"/>
  <c r="R660" i="7" s="1"/>
  <c r="S659" i="7"/>
  <c r="U659" i="7" s="1"/>
  <c r="P659" i="7"/>
  <c r="Q659" i="7" s="1"/>
  <c r="S658" i="7"/>
  <c r="T658" i="7" s="1"/>
  <c r="R658" i="7"/>
  <c r="P658" i="7"/>
  <c r="Q658" i="7" s="1"/>
  <c r="S657" i="7"/>
  <c r="U657" i="7" s="1"/>
  <c r="P657" i="7"/>
  <c r="Q657" i="7" s="1"/>
  <c r="S656" i="7"/>
  <c r="U656" i="7" s="1"/>
  <c r="P656" i="7"/>
  <c r="R656" i="7" s="1"/>
  <c r="S655" i="7"/>
  <c r="U655" i="7" s="1"/>
  <c r="P655" i="7"/>
  <c r="Q655" i="7" s="1"/>
  <c r="S654" i="7"/>
  <c r="T654" i="7" s="1"/>
  <c r="P654" i="7"/>
  <c r="Q654" i="7" s="1"/>
  <c r="S653" i="7"/>
  <c r="U653" i="7" s="1"/>
  <c r="P653" i="7"/>
  <c r="Q653" i="7" s="1"/>
  <c r="S652" i="7"/>
  <c r="U652" i="7" s="1"/>
  <c r="P652" i="7"/>
  <c r="R652" i="7" s="1"/>
  <c r="S651" i="7"/>
  <c r="U651" i="7" s="1"/>
  <c r="P651" i="7"/>
  <c r="Q651" i="7" s="1"/>
  <c r="S650" i="7"/>
  <c r="T650" i="7" s="1"/>
  <c r="R650" i="7"/>
  <c r="P650" i="7"/>
  <c r="Q650" i="7" s="1"/>
  <c r="S649" i="7"/>
  <c r="U649" i="7" s="1"/>
  <c r="P649" i="7"/>
  <c r="Q649" i="7" s="1"/>
  <c r="S648" i="7"/>
  <c r="U648" i="7" s="1"/>
  <c r="P648" i="7"/>
  <c r="R648" i="7" s="1"/>
  <c r="S647" i="7"/>
  <c r="U647" i="7" s="1"/>
  <c r="P647" i="7"/>
  <c r="Q647" i="7" s="1"/>
  <c r="S646" i="7"/>
  <c r="T646" i="7" s="1"/>
  <c r="P646" i="7"/>
  <c r="Q646" i="7" s="1"/>
  <c r="S645" i="7"/>
  <c r="U645" i="7" s="1"/>
  <c r="P645" i="7"/>
  <c r="Q645" i="7" s="1"/>
  <c r="S644" i="7"/>
  <c r="U644" i="7" s="1"/>
  <c r="P644" i="7"/>
  <c r="R644" i="7" s="1"/>
  <c r="S643" i="7"/>
  <c r="U643" i="7" s="1"/>
  <c r="P643" i="7"/>
  <c r="Q643" i="7" s="1"/>
  <c r="S642" i="7"/>
  <c r="T642" i="7" s="1"/>
  <c r="P642" i="7"/>
  <c r="Q642" i="7" s="1"/>
  <c r="S641" i="7"/>
  <c r="U641" i="7" s="1"/>
  <c r="P641" i="7"/>
  <c r="Q641" i="7" s="1"/>
  <c r="S640" i="7"/>
  <c r="U640" i="7" s="1"/>
  <c r="P640" i="7"/>
  <c r="R640" i="7" s="1"/>
  <c r="S639" i="7"/>
  <c r="U639" i="7" s="1"/>
  <c r="P639" i="7"/>
  <c r="Q639" i="7" s="1"/>
  <c r="S638" i="7"/>
  <c r="T638" i="7" s="1"/>
  <c r="R638" i="7"/>
  <c r="P638" i="7"/>
  <c r="Q638" i="7" s="1"/>
  <c r="S637" i="7"/>
  <c r="U637" i="7" s="1"/>
  <c r="P637" i="7"/>
  <c r="Q637" i="7" s="1"/>
  <c r="S636" i="7"/>
  <c r="U636" i="7" s="1"/>
  <c r="P636" i="7"/>
  <c r="R636" i="7" s="1"/>
  <c r="S635" i="7"/>
  <c r="U635" i="7" s="1"/>
  <c r="P635" i="7"/>
  <c r="Q635" i="7" s="1"/>
  <c r="S634" i="7"/>
  <c r="T634" i="7" s="1"/>
  <c r="R634" i="7"/>
  <c r="P634" i="7"/>
  <c r="Q634" i="7" s="1"/>
  <c r="S633" i="7"/>
  <c r="U633" i="7" s="1"/>
  <c r="P633" i="7"/>
  <c r="Q633" i="7" s="1"/>
  <c r="S632" i="7"/>
  <c r="U632" i="7" s="1"/>
  <c r="P632" i="7"/>
  <c r="R632" i="7" s="1"/>
  <c r="S631" i="7"/>
  <c r="U631" i="7" s="1"/>
  <c r="P631" i="7"/>
  <c r="Q631" i="7" s="1"/>
  <c r="S630" i="7"/>
  <c r="T630" i="7" s="1"/>
  <c r="P630" i="7"/>
  <c r="S629" i="7"/>
  <c r="U629" i="7" s="1"/>
  <c r="P629" i="7"/>
  <c r="Q629" i="7" s="1"/>
  <c r="S628" i="7"/>
  <c r="U628" i="7" s="1"/>
  <c r="P628" i="7"/>
  <c r="R628" i="7" s="1"/>
  <c r="S627" i="7"/>
  <c r="U627" i="7" s="1"/>
  <c r="P627" i="7"/>
  <c r="Q627" i="7" s="1"/>
  <c r="S626" i="7"/>
  <c r="T626" i="7" s="1"/>
  <c r="R626" i="7"/>
  <c r="P626" i="7"/>
  <c r="Q626" i="7" s="1"/>
  <c r="S625" i="7"/>
  <c r="U625" i="7" s="1"/>
  <c r="P625" i="7"/>
  <c r="Q625" i="7" s="1"/>
  <c r="S624" i="7"/>
  <c r="U624" i="7" s="1"/>
  <c r="P624" i="7"/>
  <c r="R624" i="7" s="1"/>
  <c r="S623" i="7"/>
  <c r="U623" i="7" s="1"/>
  <c r="P623" i="7"/>
  <c r="Q623" i="7" s="1"/>
  <c r="S622" i="7"/>
  <c r="T622" i="7" s="1"/>
  <c r="P622" i="7"/>
  <c r="Q622" i="7" s="1"/>
  <c r="S621" i="7"/>
  <c r="U621" i="7" s="1"/>
  <c r="P621" i="7"/>
  <c r="Q621" i="7" s="1"/>
  <c r="S620" i="7"/>
  <c r="U620" i="7" s="1"/>
  <c r="P620" i="7"/>
  <c r="R620" i="7" s="1"/>
  <c r="S619" i="7"/>
  <c r="U619" i="7" s="1"/>
  <c r="P619" i="7"/>
  <c r="Q619" i="7" s="1"/>
  <c r="S618" i="7"/>
  <c r="T618" i="7" s="1"/>
  <c r="R618" i="7"/>
  <c r="P618" i="7"/>
  <c r="Q618" i="7" s="1"/>
  <c r="S617" i="7"/>
  <c r="U617" i="7" s="1"/>
  <c r="P617" i="7"/>
  <c r="Q617" i="7" s="1"/>
  <c r="S616" i="7"/>
  <c r="U616" i="7" s="1"/>
  <c r="P616" i="7"/>
  <c r="R616" i="7" s="1"/>
  <c r="S615" i="7"/>
  <c r="U615" i="7" s="1"/>
  <c r="P615" i="7"/>
  <c r="Q615" i="7" s="1"/>
  <c r="S614" i="7"/>
  <c r="T614" i="7" s="1"/>
  <c r="P614" i="7"/>
  <c r="Q614" i="7" s="1"/>
  <c r="S613" i="7"/>
  <c r="U613" i="7" s="1"/>
  <c r="P613" i="7"/>
  <c r="Q613" i="7" s="1"/>
  <c r="S612" i="7"/>
  <c r="U612" i="7" s="1"/>
  <c r="P612" i="7"/>
  <c r="R612" i="7" s="1"/>
  <c r="S611" i="7"/>
  <c r="U611" i="7" s="1"/>
  <c r="P611" i="7"/>
  <c r="Q611" i="7" s="1"/>
  <c r="S610" i="7"/>
  <c r="T610" i="7" s="1"/>
  <c r="P610" i="7"/>
  <c r="Q610" i="7" s="1"/>
  <c r="S609" i="7"/>
  <c r="U609" i="7" s="1"/>
  <c r="P609" i="7"/>
  <c r="Q609" i="7" s="1"/>
  <c r="S608" i="7"/>
  <c r="U608" i="7" s="1"/>
  <c r="P608" i="7"/>
  <c r="R608" i="7" s="1"/>
  <c r="S607" i="7"/>
  <c r="U607" i="7" s="1"/>
  <c r="P607" i="7"/>
  <c r="Q607" i="7" s="1"/>
  <c r="S606" i="7"/>
  <c r="T606" i="7" s="1"/>
  <c r="R606" i="7"/>
  <c r="P606" i="7"/>
  <c r="Q606" i="7" s="1"/>
  <c r="S605" i="7"/>
  <c r="U605" i="7" s="1"/>
  <c r="P605" i="7"/>
  <c r="Q605" i="7" s="1"/>
  <c r="S604" i="7"/>
  <c r="U604" i="7" s="1"/>
  <c r="P604" i="7"/>
  <c r="R604" i="7" s="1"/>
  <c r="S603" i="7"/>
  <c r="U603" i="7" s="1"/>
  <c r="P603" i="7"/>
  <c r="Q603" i="7" s="1"/>
  <c r="S602" i="7"/>
  <c r="T602" i="7" s="1"/>
  <c r="P602" i="7"/>
  <c r="Q602" i="7" s="1"/>
  <c r="S601" i="7"/>
  <c r="U601" i="7" s="1"/>
  <c r="P601" i="7"/>
  <c r="Q601" i="7" s="1"/>
  <c r="S600" i="7"/>
  <c r="U600" i="7" s="1"/>
  <c r="P600" i="7"/>
  <c r="R600" i="7" s="1"/>
  <c r="S599" i="7"/>
  <c r="U599" i="7" s="1"/>
  <c r="P599" i="7"/>
  <c r="Q599" i="7" s="1"/>
  <c r="S598" i="7"/>
  <c r="T598" i="7" s="1"/>
  <c r="P598" i="7"/>
  <c r="S597" i="7"/>
  <c r="U597" i="7" s="1"/>
  <c r="P597" i="7"/>
  <c r="R597" i="7" s="1"/>
  <c r="S596" i="7"/>
  <c r="T596" i="7" s="1"/>
  <c r="R596" i="7"/>
  <c r="Q596" i="7"/>
  <c r="P596" i="7"/>
  <c r="S595" i="7"/>
  <c r="U595" i="7" s="1"/>
  <c r="P595" i="7"/>
  <c r="R595" i="7" s="1"/>
  <c r="S594" i="7"/>
  <c r="P594" i="7"/>
  <c r="R594" i="7" s="1"/>
  <c r="S593" i="7"/>
  <c r="U593" i="7" s="1"/>
  <c r="P593" i="7"/>
  <c r="R593" i="7" s="1"/>
  <c r="S592" i="7"/>
  <c r="P592" i="7"/>
  <c r="R592" i="7" s="1"/>
  <c r="S591" i="7"/>
  <c r="U591" i="7" s="1"/>
  <c r="P591" i="7"/>
  <c r="R591" i="7" s="1"/>
  <c r="S590" i="7"/>
  <c r="T590" i="7" s="1"/>
  <c r="R590" i="7"/>
  <c r="P590" i="7"/>
  <c r="Q590" i="7" s="1"/>
  <c r="S589" i="7"/>
  <c r="U589" i="7" s="1"/>
  <c r="P589" i="7"/>
  <c r="R589" i="7" s="1"/>
  <c r="S588" i="7"/>
  <c r="T588" i="7" s="1"/>
  <c r="R588" i="7"/>
  <c r="P588" i="7"/>
  <c r="Q588" i="7" s="1"/>
  <c r="S587" i="7"/>
  <c r="U587" i="7" s="1"/>
  <c r="P587" i="7"/>
  <c r="R587" i="7" s="1"/>
  <c r="S586" i="7"/>
  <c r="P586" i="7"/>
  <c r="S585" i="7"/>
  <c r="U585" i="7" s="1"/>
  <c r="P585" i="7"/>
  <c r="R585" i="7" s="1"/>
  <c r="U584" i="7"/>
  <c r="S584" i="7"/>
  <c r="T584" i="7" s="1"/>
  <c r="P584" i="7"/>
  <c r="R584" i="7" s="1"/>
  <c r="S583" i="7"/>
  <c r="U583" i="7" s="1"/>
  <c r="P583" i="7"/>
  <c r="R583" i="7" s="1"/>
  <c r="S582" i="7"/>
  <c r="T582" i="7" s="1"/>
  <c r="P582" i="7"/>
  <c r="S581" i="7"/>
  <c r="U581" i="7" s="1"/>
  <c r="P581" i="7"/>
  <c r="R581" i="7" s="1"/>
  <c r="S580" i="7"/>
  <c r="T580" i="7" s="1"/>
  <c r="P580" i="7"/>
  <c r="Q580" i="7" s="1"/>
  <c r="S579" i="7"/>
  <c r="U579" i="7" s="1"/>
  <c r="P579" i="7"/>
  <c r="R579" i="7" s="1"/>
  <c r="S578" i="7"/>
  <c r="T578" i="7" s="1"/>
  <c r="P578" i="7"/>
  <c r="S577" i="7"/>
  <c r="U577" i="7" s="1"/>
  <c r="P577" i="7"/>
  <c r="R577" i="7" s="1"/>
  <c r="S576" i="7"/>
  <c r="P576" i="7"/>
  <c r="R576" i="7" s="1"/>
  <c r="S575" i="7"/>
  <c r="U575" i="7" s="1"/>
  <c r="P575" i="7"/>
  <c r="R575" i="7" s="1"/>
  <c r="S574" i="7"/>
  <c r="T574" i="7" s="1"/>
  <c r="P574" i="7"/>
  <c r="S573" i="7"/>
  <c r="U573" i="7" s="1"/>
  <c r="P573" i="7"/>
  <c r="R573" i="7" s="1"/>
  <c r="S572" i="7"/>
  <c r="T572" i="7" s="1"/>
  <c r="P572" i="7"/>
  <c r="S571" i="7"/>
  <c r="U571" i="7" s="1"/>
  <c r="P571" i="7"/>
  <c r="R571" i="7" s="1"/>
  <c r="S570" i="7"/>
  <c r="Q570" i="7"/>
  <c r="P570" i="7"/>
  <c r="R570" i="7" s="1"/>
  <c r="S569" i="7"/>
  <c r="U569" i="7" s="1"/>
  <c r="P569" i="7"/>
  <c r="R569" i="7" s="1"/>
  <c r="S568" i="7"/>
  <c r="P568" i="7"/>
  <c r="R568" i="7" s="1"/>
  <c r="S567" i="7"/>
  <c r="U567" i="7" s="1"/>
  <c r="P567" i="7"/>
  <c r="R567" i="7" s="1"/>
  <c r="S566" i="7"/>
  <c r="T566" i="7" s="1"/>
  <c r="P566" i="7"/>
  <c r="S565" i="7"/>
  <c r="U565" i="7" s="1"/>
  <c r="P565" i="7"/>
  <c r="R565" i="7" s="1"/>
  <c r="S564" i="7"/>
  <c r="T564" i="7" s="1"/>
  <c r="P564" i="7"/>
  <c r="R564" i="7" s="1"/>
  <c r="S563" i="7"/>
  <c r="U563" i="7" s="1"/>
  <c r="P563" i="7"/>
  <c r="R563" i="7" s="1"/>
  <c r="S562" i="7"/>
  <c r="P562" i="7"/>
  <c r="R562" i="7" s="1"/>
  <c r="S561" i="7"/>
  <c r="U561" i="7" s="1"/>
  <c r="P561" i="7"/>
  <c r="R561" i="7" s="1"/>
  <c r="S560" i="7"/>
  <c r="T560" i="7" s="1"/>
  <c r="P560" i="7"/>
  <c r="R560" i="7" s="1"/>
  <c r="S559" i="7"/>
  <c r="U559" i="7" s="1"/>
  <c r="P559" i="7"/>
  <c r="R559" i="7" s="1"/>
  <c r="S558" i="7"/>
  <c r="T558" i="7" s="1"/>
  <c r="P558" i="7"/>
  <c r="Q558" i="7" s="1"/>
  <c r="S557" i="7"/>
  <c r="U557" i="7" s="1"/>
  <c r="P557" i="7"/>
  <c r="R557" i="7" s="1"/>
  <c r="S556" i="7"/>
  <c r="T556" i="7" s="1"/>
  <c r="P556" i="7"/>
  <c r="R556" i="7" s="1"/>
  <c r="S555" i="7"/>
  <c r="U555" i="7" s="1"/>
  <c r="P555" i="7"/>
  <c r="R555" i="7" s="1"/>
  <c r="S554" i="7"/>
  <c r="T554" i="7" s="1"/>
  <c r="P554" i="7"/>
  <c r="R554" i="7" s="1"/>
  <c r="S553" i="7"/>
  <c r="U553" i="7" s="1"/>
  <c r="P553" i="7"/>
  <c r="R553" i="7" s="1"/>
  <c r="S552" i="7"/>
  <c r="T552" i="7" s="1"/>
  <c r="P552" i="7"/>
  <c r="R552" i="7" s="1"/>
  <c r="S551" i="7"/>
  <c r="U551" i="7" s="1"/>
  <c r="P551" i="7"/>
  <c r="R551" i="7" s="1"/>
  <c r="S550" i="7"/>
  <c r="T550" i="7" s="1"/>
  <c r="P550" i="7"/>
  <c r="Q550" i="7" s="1"/>
  <c r="S549" i="7"/>
  <c r="U549" i="7" s="1"/>
  <c r="P549" i="7"/>
  <c r="R549" i="7" s="1"/>
  <c r="S548" i="7"/>
  <c r="T548" i="7" s="1"/>
  <c r="P548" i="7"/>
  <c r="Q548" i="7" s="1"/>
  <c r="S547" i="7"/>
  <c r="U547" i="7" s="1"/>
  <c r="P547" i="7"/>
  <c r="R547" i="7" s="1"/>
  <c r="S546" i="7"/>
  <c r="T546" i="7" s="1"/>
  <c r="P546" i="7"/>
  <c r="R546" i="7" s="1"/>
  <c r="S545" i="7"/>
  <c r="U545" i="7" s="1"/>
  <c r="P545" i="7"/>
  <c r="R545" i="7" s="1"/>
  <c r="S544" i="7"/>
  <c r="T544" i="7" s="1"/>
  <c r="P544" i="7"/>
  <c r="R544" i="7" s="1"/>
  <c r="S543" i="7"/>
  <c r="U543" i="7" s="1"/>
  <c r="P543" i="7"/>
  <c r="R543" i="7" s="1"/>
  <c r="S542" i="7"/>
  <c r="T542" i="7" s="1"/>
  <c r="P542" i="7"/>
  <c r="Q542" i="7" s="1"/>
  <c r="S541" i="7"/>
  <c r="U541" i="7" s="1"/>
  <c r="P541" i="7"/>
  <c r="R541" i="7" s="1"/>
  <c r="S540" i="7"/>
  <c r="T540" i="7" s="1"/>
  <c r="P540" i="7"/>
  <c r="Q540" i="7" s="1"/>
  <c r="S539" i="7"/>
  <c r="U539" i="7" s="1"/>
  <c r="P539" i="7"/>
  <c r="R539" i="7" s="1"/>
  <c r="S538" i="7"/>
  <c r="T538" i="7" s="1"/>
  <c r="P538" i="7"/>
  <c r="R538" i="7" s="1"/>
  <c r="S537" i="7"/>
  <c r="U537" i="7" s="1"/>
  <c r="P537" i="7"/>
  <c r="R537" i="7" s="1"/>
  <c r="S536" i="7"/>
  <c r="T536" i="7" s="1"/>
  <c r="P536" i="7"/>
  <c r="R536" i="7" s="1"/>
  <c r="S535" i="7"/>
  <c r="U535" i="7" s="1"/>
  <c r="P535" i="7"/>
  <c r="R535" i="7" s="1"/>
  <c r="S534" i="7"/>
  <c r="T534" i="7" s="1"/>
  <c r="P534" i="7"/>
  <c r="Q534" i="7" s="1"/>
  <c r="S533" i="7"/>
  <c r="U533" i="7" s="1"/>
  <c r="P533" i="7"/>
  <c r="R533" i="7" s="1"/>
  <c r="S532" i="7"/>
  <c r="T532" i="7" s="1"/>
  <c r="P532" i="7"/>
  <c r="Q532" i="7" s="1"/>
  <c r="S531" i="7"/>
  <c r="U531" i="7" s="1"/>
  <c r="P531" i="7"/>
  <c r="R531" i="7" s="1"/>
  <c r="S530" i="7"/>
  <c r="T530" i="7" s="1"/>
  <c r="P530" i="7"/>
  <c r="R530" i="7" s="1"/>
  <c r="S529" i="7"/>
  <c r="U529" i="7" s="1"/>
  <c r="P529" i="7"/>
  <c r="S528" i="7"/>
  <c r="T528" i="7" s="1"/>
  <c r="P528" i="7"/>
  <c r="R528" i="7" s="1"/>
  <c r="S527" i="7"/>
  <c r="U527" i="7" s="1"/>
  <c r="P527" i="7"/>
  <c r="R527" i="7" s="1"/>
  <c r="S526" i="7"/>
  <c r="T526" i="7" s="1"/>
  <c r="P526" i="7"/>
  <c r="Q526" i="7" s="1"/>
  <c r="S525" i="7"/>
  <c r="U525" i="7" s="1"/>
  <c r="P525" i="7"/>
  <c r="R525" i="7" s="1"/>
  <c r="S524" i="7"/>
  <c r="T524" i="7" s="1"/>
  <c r="P524" i="7"/>
  <c r="R524" i="7" s="1"/>
  <c r="S523" i="7"/>
  <c r="U523" i="7" s="1"/>
  <c r="P523" i="7"/>
  <c r="R523" i="7" s="1"/>
  <c r="S522" i="7"/>
  <c r="T522" i="7" s="1"/>
  <c r="P522" i="7"/>
  <c r="R522" i="7" s="1"/>
  <c r="S521" i="7"/>
  <c r="U521" i="7" s="1"/>
  <c r="P521" i="7"/>
  <c r="R521" i="7" s="1"/>
  <c r="S520" i="7"/>
  <c r="T520" i="7" s="1"/>
  <c r="P520" i="7"/>
  <c r="R520" i="7" s="1"/>
  <c r="S519" i="7"/>
  <c r="U519" i="7" s="1"/>
  <c r="P519" i="7"/>
  <c r="R519" i="7" s="1"/>
  <c r="S518" i="7"/>
  <c r="T518" i="7" s="1"/>
  <c r="P518" i="7"/>
  <c r="Q518" i="7" s="1"/>
  <c r="S517" i="7"/>
  <c r="U517" i="7" s="1"/>
  <c r="P517" i="7"/>
  <c r="R517" i="7" s="1"/>
  <c r="S516" i="7"/>
  <c r="T516" i="7" s="1"/>
  <c r="P516" i="7"/>
  <c r="Q516" i="7" s="1"/>
  <c r="S515" i="7"/>
  <c r="U515" i="7" s="1"/>
  <c r="P515" i="7"/>
  <c r="R515" i="7" s="1"/>
  <c r="S514" i="7"/>
  <c r="U514" i="7" s="1"/>
  <c r="P514" i="7"/>
  <c r="R514" i="7" s="1"/>
  <c r="S513" i="7"/>
  <c r="U513" i="7" s="1"/>
  <c r="P513" i="7"/>
  <c r="R513" i="7" s="1"/>
  <c r="S512" i="7"/>
  <c r="U512" i="7" s="1"/>
  <c r="P512" i="7"/>
  <c r="R512" i="7" s="1"/>
  <c r="S511" i="7"/>
  <c r="U511" i="7" s="1"/>
  <c r="P511" i="7"/>
  <c r="R511" i="7" s="1"/>
  <c r="S510" i="7"/>
  <c r="U510" i="7" s="1"/>
  <c r="P510" i="7"/>
  <c r="R510" i="7" s="1"/>
  <c r="S509" i="7"/>
  <c r="U509" i="7" s="1"/>
  <c r="P509" i="7"/>
  <c r="R509" i="7" s="1"/>
  <c r="S508" i="7"/>
  <c r="U508" i="7" s="1"/>
  <c r="P508" i="7"/>
  <c r="Q508" i="7" s="1"/>
  <c r="S507" i="7"/>
  <c r="U507" i="7" s="1"/>
  <c r="P507" i="7"/>
  <c r="R507" i="7" s="1"/>
  <c r="S506" i="7"/>
  <c r="U506" i="7" s="1"/>
  <c r="P506" i="7"/>
  <c r="R506" i="7" s="1"/>
  <c r="S505" i="7"/>
  <c r="U505" i="7" s="1"/>
  <c r="P505" i="7"/>
  <c r="R505" i="7" s="1"/>
  <c r="S504" i="7"/>
  <c r="U504" i="7" s="1"/>
  <c r="P504" i="7"/>
  <c r="Q504" i="7" s="1"/>
  <c r="S503" i="7"/>
  <c r="U503" i="7" s="1"/>
  <c r="P503" i="7"/>
  <c r="R503" i="7" s="1"/>
  <c r="S502" i="7"/>
  <c r="U502" i="7" s="1"/>
  <c r="P502" i="7"/>
  <c r="R502" i="7" s="1"/>
  <c r="S501" i="7"/>
  <c r="U501" i="7" s="1"/>
  <c r="P501" i="7"/>
  <c r="R501" i="7" s="1"/>
  <c r="S500" i="7"/>
  <c r="U500" i="7" s="1"/>
  <c r="P500" i="7"/>
  <c r="Q500" i="7" s="1"/>
  <c r="S499" i="7"/>
  <c r="U499" i="7" s="1"/>
  <c r="P499" i="7"/>
  <c r="R499" i="7" s="1"/>
  <c r="S498" i="7"/>
  <c r="U498" i="7" s="1"/>
  <c r="P498" i="7"/>
  <c r="R498" i="7" s="1"/>
  <c r="S497" i="7"/>
  <c r="U497" i="7" s="1"/>
  <c r="P497" i="7"/>
  <c r="R497" i="7" s="1"/>
  <c r="S496" i="7"/>
  <c r="U496" i="7" s="1"/>
  <c r="P496" i="7"/>
  <c r="R496" i="7" s="1"/>
  <c r="S495" i="7"/>
  <c r="U495" i="7" s="1"/>
  <c r="P495" i="7"/>
  <c r="R495" i="7" s="1"/>
  <c r="S494" i="7"/>
  <c r="U494" i="7" s="1"/>
  <c r="P494" i="7"/>
  <c r="R494" i="7" s="1"/>
  <c r="S493" i="7"/>
  <c r="U493" i="7" s="1"/>
  <c r="P493" i="7"/>
  <c r="R493" i="7" s="1"/>
  <c r="S492" i="7"/>
  <c r="U492" i="7" s="1"/>
  <c r="P492" i="7"/>
  <c r="Q492" i="7" s="1"/>
  <c r="S491" i="7"/>
  <c r="U491" i="7" s="1"/>
  <c r="P491" i="7"/>
  <c r="R491" i="7" s="1"/>
  <c r="S490" i="7"/>
  <c r="U490" i="7" s="1"/>
  <c r="P490" i="7"/>
  <c r="R490" i="7" s="1"/>
  <c r="S489" i="7"/>
  <c r="U489" i="7" s="1"/>
  <c r="P489" i="7"/>
  <c r="R489" i="7" s="1"/>
  <c r="S488" i="7"/>
  <c r="U488" i="7" s="1"/>
  <c r="P488" i="7"/>
  <c r="Q488" i="7" s="1"/>
  <c r="S487" i="7"/>
  <c r="U487" i="7" s="1"/>
  <c r="P487" i="7"/>
  <c r="R487" i="7" s="1"/>
  <c r="S486" i="7"/>
  <c r="U486" i="7" s="1"/>
  <c r="P486" i="7"/>
  <c r="R486" i="7" s="1"/>
  <c r="S485" i="7"/>
  <c r="U485" i="7" s="1"/>
  <c r="P485" i="7"/>
  <c r="R485" i="7" s="1"/>
  <c r="S484" i="7"/>
  <c r="U484" i="7" s="1"/>
  <c r="P484" i="7"/>
  <c r="Q484" i="7" s="1"/>
  <c r="S483" i="7"/>
  <c r="U483" i="7" s="1"/>
  <c r="P483" i="7"/>
  <c r="R483" i="7" s="1"/>
  <c r="S482" i="7"/>
  <c r="U482" i="7" s="1"/>
  <c r="P482" i="7"/>
  <c r="R482" i="7" s="1"/>
  <c r="S481" i="7"/>
  <c r="U481" i="7" s="1"/>
  <c r="P481" i="7"/>
  <c r="R481" i="7" s="1"/>
  <c r="S480" i="7"/>
  <c r="U480" i="7" s="1"/>
  <c r="P480" i="7"/>
  <c r="R480" i="7" s="1"/>
  <c r="S479" i="7"/>
  <c r="U479" i="7" s="1"/>
  <c r="P479" i="7"/>
  <c r="R479" i="7" s="1"/>
  <c r="S478" i="7"/>
  <c r="U478" i="7" s="1"/>
  <c r="P478" i="7"/>
  <c r="R478" i="7" s="1"/>
  <c r="S477" i="7"/>
  <c r="U477" i="7" s="1"/>
  <c r="P477" i="7"/>
  <c r="R477" i="7" s="1"/>
  <c r="S476" i="7"/>
  <c r="U476" i="7" s="1"/>
  <c r="P476" i="7"/>
  <c r="Q476" i="7" s="1"/>
  <c r="S475" i="7"/>
  <c r="U475" i="7" s="1"/>
  <c r="P475" i="7"/>
  <c r="R475" i="7" s="1"/>
  <c r="S474" i="7"/>
  <c r="U474" i="7" s="1"/>
  <c r="P474" i="7"/>
  <c r="R474" i="7" s="1"/>
  <c r="S473" i="7"/>
  <c r="U473" i="7" s="1"/>
  <c r="P473" i="7"/>
  <c r="R473" i="7" s="1"/>
  <c r="S472" i="7"/>
  <c r="U472" i="7" s="1"/>
  <c r="P472" i="7"/>
  <c r="Q472" i="7" s="1"/>
  <c r="S471" i="7"/>
  <c r="U471" i="7" s="1"/>
  <c r="P471" i="7"/>
  <c r="R471" i="7" s="1"/>
  <c r="S470" i="7"/>
  <c r="U470" i="7" s="1"/>
  <c r="P470" i="7"/>
  <c r="R470" i="7" s="1"/>
  <c r="S469" i="7"/>
  <c r="U469" i="7" s="1"/>
  <c r="P469" i="7"/>
  <c r="R469" i="7" s="1"/>
  <c r="S468" i="7"/>
  <c r="U468" i="7" s="1"/>
  <c r="P468" i="7"/>
  <c r="Q468" i="7" s="1"/>
  <c r="S467" i="7"/>
  <c r="U467" i="7" s="1"/>
  <c r="P467" i="7"/>
  <c r="R467" i="7" s="1"/>
  <c r="S466" i="7"/>
  <c r="U466" i="7" s="1"/>
  <c r="P466" i="7"/>
  <c r="R466" i="7" s="1"/>
  <c r="S465" i="7"/>
  <c r="U465" i="7" s="1"/>
  <c r="P465" i="7"/>
  <c r="R465" i="7" s="1"/>
  <c r="S464" i="7"/>
  <c r="U464" i="7" s="1"/>
  <c r="P464" i="7"/>
  <c r="R464" i="7" s="1"/>
  <c r="S463" i="7"/>
  <c r="U463" i="7" s="1"/>
  <c r="P463" i="7"/>
  <c r="R463" i="7" s="1"/>
  <c r="S462" i="7"/>
  <c r="U462" i="7" s="1"/>
  <c r="P462" i="7"/>
  <c r="R462" i="7" s="1"/>
  <c r="S461" i="7"/>
  <c r="U461" i="7" s="1"/>
  <c r="P461" i="7"/>
  <c r="R461" i="7" s="1"/>
  <c r="S460" i="7"/>
  <c r="U460" i="7" s="1"/>
  <c r="R460" i="7"/>
  <c r="P460" i="7"/>
  <c r="Q460" i="7" s="1"/>
  <c r="S459" i="7"/>
  <c r="U459" i="7" s="1"/>
  <c r="P459" i="7"/>
  <c r="R459" i="7" s="1"/>
  <c r="S458" i="7"/>
  <c r="U458" i="7" s="1"/>
  <c r="P458" i="7"/>
  <c r="R458" i="7" s="1"/>
  <c r="S457" i="7"/>
  <c r="U457" i="7" s="1"/>
  <c r="P457" i="7"/>
  <c r="R457" i="7" s="1"/>
  <c r="S456" i="7"/>
  <c r="U456" i="7" s="1"/>
  <c r="P456" i="7"/>
  <c r="Q456" i="7" s="1"/>
  <c r="S455" i="7"/>
  <c r="U455" i="7" s="1"/>
  <c r="P455" i="7"/>
  <c r="R455" i="7" s="1"/>
  <c r="S454" i="7"/>
  <c r="U454" i="7" s="1"/>
  <c r="P454" i="7"/>
  <c r="R454" i="7" s="1"/>
  <c r="S453" i="7"/>
  <c r="U453" i="7" s="1"/>
  <c r="P453" i="7"/>
  <c r="R453" i="7" s="1"/>
  <c r="S452" i="7"/>
  <c r="U452" i="7" s="1"/>
  <c r="P452" i="7"/>
  <c r="Q452" i="7" s="1"/>
  <c r="S451" i="7"/>
  <c r="U451" i="7" s="1"/>
  <c r="P451" i="7"/>
  <c r="R451" i="7" s="1"/>
  <c r="S450" i="7"/>
  <c r="U450" i="7" s="1"/>
  <c r="P450" i="7"/>
  <c r="R450" i="7" s="1"/>
  <c r="S449" i="7"/>
  <c r="U449" i="7" s="1"/>
  <c r="P449" i="7"/>
  <c r="R449" i="7" s="1"/>
  <c r="S448" i="7"/>
  <c r="U448" i="7" s="1"/>
  <c r="P448" i="7"/>
  <c r="R448" i="7" s="1"/>
  <c r="S447" i="7"/>
  <c r="U447" i="7" s="1"/>
  <c r="P447" i="7"/>
  <c r="R447" i="7" s="1"/>
  <c r="S446" i="7"/>
  <c r="U446" i="7" s="1"/>
  <c r="P446" i="7"/>
  <c r="R446" i="7" s="1"/>
  <c r="S445" i="7"/>
  <c r="U445" i="7" s="1"/>
  <c r="P445" i="7"/>
  <c r="R445" i="7" s="1"/>
  <c r="S444" i="7"/>
  <c r="U444" i="7" s="1"/>
  <c r="P444" i="7"/>
  <c r="Q444" i="7" s="1"/>
  <c r="S443" i="7"/>
  <c r="U443" i="7" s="1"/>
  <c r="P443" i="7"/>
  <c r="R443" i="7" s="1"/>
  <c r="S442" i="7"/>
  <c r="P442" i="7"/>
  <c r="R442" i="7" s="1"/>
  <c r="S441" i="7"/>
  <c r="P441" i="7"/>
  <c r="R441" i="7" s="1"/>
  <c r="S440" i="7"/>
  <c r="U440" i="7" s="1"/>
  <c r="P440" i="7"/>
  <c r="Q440" i="7" s="1"/>
  <c r="S439" i="7"/>
  <c r="U439" i="7" s="1"/>
  <c r="P439" i="7"/>
  <c r="R439" i="7" s="1"/>
  <c r="S438" i="7"/>
  <c r="U438" i="7" s="1"/>
  <c r="P438" i="7"/>
  <c r="R438" i="7" s="1"/>
  <c r="S437" i="7"/>
  <c r="U437" i="7" s="1"/>
  <c r="P437" i="7"/>
  <c r="R437" i="7" s="1"/>
  <c r="S436" i="7"/>
  <c r="U436" i="7" s="1"/>
  <c r="P436" i="7"/>
  <c r="Q436" i="7" s="1"/>
  <c r="S435" i="7"/>
  <c r="U435" i="7" s="1"/>
  <c r="P435" i="7"/>
  <c r="R435" i="7" s="1"/>
  <c r="S434" i="7"/>
  <c r="U434" i="7" s="1"/>
  <c r="P434" i="7"/>
  <c r="R434" i="7" s="1"/>
  <c r="S433" i="7"/>
  <c r="U433" i="7" s="1"/>
  <c r="P433" i="7"/>
  <c r="R433" i="7" s="1"/>
  <c r="S432" i="7"/>
  <c r="U432" i="7" s="1"/>
  <c r="P432" i="7"/>
  <c r="R432" i="7" s="1"/>
  <c r="S431" i="7"/>
  <c r="U431" i="7" s="1"/>
  <c r="P431" i="7"/>
  <c r="R431" i="7" s="1"/>
  <c r="S430" i="7"/>
  <c r="U430" i="7" s="1"/>
  <c r="P430" i="7"/>
  <c r="R430" i="7" s="1"/>
  <c r="S429" i="7"/>
  <c r="U429" i="7" s="1"/>
  <c r="P429" i="7"/>
  <c r="R429" i="7" s="1"/>
  <c r="S428" i="7"/>
  <c r="U428" i="7" s="1"/>
  <c r="P428" i="7"/>
  <c r="Q428" i="7" s="1"/>
  <c r="S427" i="7"/>
  <c r="U427" i="7" s="1"/>
  <c r="P427" i="7"/>
  <c r="R427" i="7" s="1"/>
  <c r="S426" i="7"/>
  <c r="U426" i="7" s="1"/>
  <c r="P426" i="7"/>
  <c r="R426" i="7" s="1"/>
  <c r="S425" i="7"/>
  <c r="U425" i="7" s="1"/>
  <c r="P425" i="7"/>
  <c r="R425" i="7" s="1"/>
  <c r="S424" i="7"/>
  <c r="U424" i="7" s="1"/>
  <c r="P424" i="7"/>
  <c r="Q424" i="7" s="1"/>
  <c r="S423" i="7"/>
  <c r="U423" i="7" s="1"/>
  <c r="P423" i="7"/>
  <c r="R423" i="7" s="1"/>
  <c r="S422" i="7"/>
  <c r="U422" i="7" s="1"/>
  <c r="P422" i="7"/>
  <c r="R422" i="7" s="1"/>
  <c r="S421" i="7"/>
  <c r="U421" i="7" s="1"/>
  <c r="P421" i="7"/>
  <c r="R421" i="7" s="1"/>
  <c r="S420" i="7"/>
  <c r="U420" i="7" s="1"/>
  <c r="P420" i="7"/>
  <c r="Q420" i="7" s="1"/>
  <c r="S419" i="7"/>
  <c r="U419" i="7" s="1"/>
  <c r="P419" i="7"/>
  <c r="R419" i="7" s="1"/>
  <c r="S418" i="7"/>
  <c r="U418" i="7" s="1"/>
  <c r="P418" i="7"/>
  <c r="R418" i="7" s="1"/>
  <c r="S417" i="7"/>
  <c r="U417" i="7" s="1"/>
  <c r="P417" i="7"/>
  <c r="R417" i="7" s="1"/>
  <c r="S416" i="7"/>
  <c r="U416" i="7" s="1"/>
  <c r="P416" i="7"/>
  <c r="R416" i="7" s="1"/>
  <c r="S415" i="7"/>
  <c r="U415" i="7" s="1"/>
  <c r="P415" i="7"/>
  <c r="R415" i="7" s="1"/>
  <c r="S414" i="7"/>
  <c r="U414" i="7" s="1"/>
  <c r="P414" i="7"/>
  <c r="R414" i="7" s="1"/>
  <c r="S413" i="7"/>
  <c r="U413" i="7" s="1"/>
  <c r="P413" i="7"/>
  <c r="R413" i="7" s="1"/>
  <c r="S412" i="7"/>
  <c r="U412" i="7" s="1"/>
  <c r="P412" i="7"/>
  <c r="Q412" i="7" s="1"/>
  <c r="S411" i="7"/>
  <c r="U411" i="7" s="1"/>
  <c r="P411" i="7"/>
  <c r="R411" i="7" s="1"/>
  <c r="S410" i="7"/>
  <c r="U410" i="7" s="1"/>
  <c r="P410" i="7"/>
  <c r="R410" i="7" s="1"/>
  <c r="S409" i="7"/>
  <c r="U409" i="7" s="1"/>
  <c r="P409" i="7"/>
  <c r="R409" i="7" s="1"/>
  <c r="S408" i="7"/>
  <c r="U408" i="7" s="1"/>
  <c r="P408" i="7"/>
  <c r="Q408" i="7" s="1"/>
  <c r="S407" i="7"/>
  <c r="U407" i="7" s="1"/>
  <c r="P407" i="7"/>
  <c r="R407" i="7" s="1"/>
  <c r="S406" i="7"/>
  <c r="U406" i="7" s="1"/>
  <c r="P406" i="7"/>
  <c r="R406" i="7" s="1"/>
  <c r="S405" i="7"/>
  <c r="U405" i="7" s="1"/>
  <c r="P405" i="7"/>
  <c r="R405" i="7" s="1"/>
  <c r="S404" i="7"/>
  <c r="U404" i="7" s="1"/>
  <c r="P404" i="7"/>
  <c r="Q404" i="7" s="1"/>
  <c r="S403" i="7"/>
  <c r="U403" i="7" s="1"/>
  <c r="P403" i="7"/>
  <c r="R403" i="7" s="1"/>
  <c r="S402" i="7"/>
  <c r="U402" i="7" s="1"/>
  <c r="P402" i="7"/>
  <c r="R402" i="7" s="1"/>
  <c r="S401" i="7"/>
  <c r="U401" i="7" s="1"/>
  <c r="P401" i="7"/>
  <c r="R401" i="7" s="1"/>
  <c r="S400" i="7"/>
  <c r="U400" i="7" s="1"/>
  <c r="P400" i="7"/>
  <c r="R400" i="7" s="1"/>
  <c r="S399" i="7"/>
  <c r="U399" i="7" s="1"/>
  <c r="P399" i="7"/>
  <c r="R399" i="7" s="1"/>
  <c r="S398" i="7"/>
  <c r="U398" i="7" s="1"/>
  <c r="P398" i="7"/>
  <c r="R398" i="7" s="1"/>
  <c r="S397" i="7"/>
  <c r="U397" i="7" s="1"/>
  <c r="P397" i="7"/>
  <c r="R397" i="7" s="1"/>
  <c r="S396" i="7"/>
  <c r="U396" i="7" s="1"/>
  <c r="P396" i="7"/>
  <c r="Q396" i="7" s="1"/>
  <c r="S395" i="7"/>
  <c r="U395" i="7" s="1"/>
  <c r="P395" i="7"/>
  <c r="R395" i="7" s="1"/>
  <c r="S394" i="7"/>
  <c r="U394" i="7" s="1"/>
  <c r="P394" i="7"/>
  <c r="R394" i="7" s="1"/>
  <c r="S393" i="7"/>
  <c r="U393" i="7" s="1"/>
  <c r="P393" i="7"/>
  <c r="R393" i="7" s="1"/>
  <c r="S392" i="7"/>
  <c r="U392" i="7" s="1"/>
  <c r="P392" i="7"/>
  <c r="Q392" i="7" s="1"/>
  <c r="S391" i="7"/>
  <c r="U391" i="7" s="1"/>
  <c r="P391" i="7"/>
  <c r="R391" i="7" s="1"/>
  <c r="S390" i="7"/>
  <c r="U390" i="7" s="1"/>
  <c r="P390" i="7"/>
  <c r="R390" i="7" s="1"/>
  <c r="S389" i="7"/>
  <c r="U389" i="7" s="1"/>
  <c r="P389" i="7"/>
  <c r="R389" i="7" s="1"/>
  <c r="S388" i="7"/>
  <c r="U388" i="7" s="1"/>
  <c r="P388" i="7"/>
  <c r="Q388" i="7" s="1"/>
  <c r="S387" i="7"/>
  <c r="U387" i="7" s="1"/>
  <c r="P387" i="7"/>
  <c r="R387" i="7" s="1"/>
  <c r="S386" i="7"/>
  <c r="U386" i="7" s="1"/>
  <c r="P386" i="7"/>
  <c r="R386" i="7" s="1"/>
  <c r="S385" i="7"/>
  <c r="U385" i="7" s="1"/>
  <c r="P385" i="7"/>
  <c r="R385" i="7" s="1"/>
  <c r="S384" i="7"/>
  <c r="U384" i="7" s="1"/>
  <c r="P384" i="7"/>
  <c r="R384" i="7" s="1"/>
  <c r="S383" i="7"/>
  <c r="U383" i="7" s="1"/>
  <c r="P383" i="7"/>
  <c r="R383" i="7" s="1"/>
  <c r="S382" i="7"/>
  <c r="U382" i="7" s="1"/>
  <c r="P382" i="7"/>
  <c r="R382" i="7" s="1"/>
  <c r="S381" i="7"/>
  <c r="U381" i="7" s="1"/>
  <c r="P381" i="7"/>
  <c r="R381" i="7" s="1"/>
  <c r="S380" i="7"/>
  <c r="U380" i="7" s="1"/>
  <c r="P380" i="7"/>
  <c r="Q380" i="7" s="1"/>
  <c r="S379" i="7"/>
  <c r="U379" i="7" s="1"/>
  <c r="P379" i="7"/>
  <c r="R379" i="7" s="1"/>
  <c r="S378" i="7"/>
  <c r="U378" i="7" s="1"/>
  <c r="P378" i="7"/>
  <c r="R378" i="7" s="1"/>
  <c r="S377" i="7"/>
  <c r="U377" i="7" s="1"/>
  <c r="P377" i="7"/>
  <c r="R377" i="7" s="1"/>
  <c r="S376" i="7"/>
  <c r="U376" i="7" s="1"/>
  <c r="R376" i="7"/>
  <c r="P376" i="7"/>
  <c r="Q376" i="7" s="1"/>
  <c r="S375" i="7"/>
  <c r="P375" i="7"/>
  <c r="R375" i="7" s="1"/>
  <c r="S374" i="7"/>
  <c r="P374" i="7"/>
  <c r="R374" i="7" s="1"/>
  <c r="S373" i="7"/>
  <c r="P373" i="7"/>
  <c r="R373" i="7" s="1"/>
  <c r="S372" i="7"/>
  <c r="U372" i="7" s="1"/>
  <c r="P372" i="7"/>
  <c r="Q372" i="7" s="1"/>
  <c r="S371" i="7"/>
  <c r="U371" i="7" s="1"/>
  <c r="P371" i="7"/>
  <c r="R371" i="7" s="1"/>
  <c r="S370" i="7"/>
  <c r="U370" i="7" s="1"/>
  <c r="P370" i="7"/>
  <c r="R370" i="7" s="1"/>
  <c r="S369" i="7"/>
  <c r="U369" i="7" s="1"/>
  <c r="P369" i="7"/>
  <c r="R369" i="7" s="1"/>
  <c r="S368" i="7"/>
  <c r="U368" i="7" s="1"/>
  <c r="P368" i="7"/>
  <c r="R368" i="7" s="1"/>
  <c r="S367" i="7"/>
  <c r="U367" i="7" s="1"/>
  <c r="P367" i="7"/>
  <c r="R367" i="7" s="1"/>
  <c r="S366" i="7"/>
  <c r="U366" i="7" s="1"/>
  <c r="P366" i="7"/>
  <c r="R366" i="7" s="1"/>
  <c r="S365" i="7"/>
  <c r="U365" i="7" s="1"/>
  <c r="P365" i="7"/>
  <c r="R365" i="7" s="1"/>
  <c r="S364" i="7"/>
  <c r="U364" i="7" s="1"/>
  <c r="P364" i="7"/>
  <c r="Q364" i="7" s="1"/>
  <c r="S363" i="7"/>
  <c r="U363" i="7" s="1"/>
  <c r="P363" i="7"/>
  <c r="R363" i="7" s="1"/>
  <c r="S362" i="7"/>
  <c r="U362" i="7" s="1"/>
  <c r="P362" i="7"/>
  <c r="R362" i="7" s="1"/>
  <c r="S361" i="7"/>
  <c r="U361" i="7" s="1"/>
  <c r="P361" i="7"/>
  <c r="R361" i="7" s="1"/>
  <c r="S360" i="7"/>
  <c r="U360" i="7" s="1"/>
  <c r="P360" i="7"/>
  <c r="Q360" i="7" s="1"/>
  <c r="S359" i="7"/>
  <c r="U359" i="7" s="1"/>
  <c r="P359" i="7"/>
  <c r="R359" i="7" s="1"/>
  <c r="S358" i="7"/>
  <c r="U358" i="7" s="1"/>
  <c r="P358" i="7"/>
  <c r="R358" i="7" s="1"/>
  <c r="S357" i="7"/>
  <c r="U357" i="7" s="1"/>
  <c r="P357" i="7"/>
  <c r="R357" i="7" s="1"/>
  <c r="S356" i="7"/>
  <c r="U356" i="7" s="1"/>
  <c r="P356" i="7"/>
  <c r="Q356" i="7" s="1"/>
  <c r="S355" i="7"/>
  <c r="U355" i="7" s="1"/>
  <c r="P355" i="7"/>
  <c r="R355" i="7" s="1"/>
  <c r="S354" i="7"/>
  <c r="U354" i="7" s="1"/>
  <c r="P354" i="7"/>
  <c r="R354" i="7" s="1"/>
  <c r="S353" i="7"/>
  <c r="U353" i="7" s="1"/>
  <c r="P353" i="7"/>
  <c r="R353" i="7" s="1"/>
  <c r="S352" i="7"/>
  <c r="U352" i="7" s="1"/>
  <c r="P352" i="7"/>
  <c r="R352" i="7" s="1"/>
  <c r="S351" i="7"/>
  <c r="U351" i="7" s="1"/>
  <c r="P351" i="7"/>
  <c r="R351" i="7" s="1"/>
  <c r="S350" i="7"/>
  <c r="U350" i="7" s="1"/>
  <c r="P350" i="7"/>
  <c r="R350" i="7" s="1"/>
  <c r="S349" i="7"/>
  <c r="U349" i="7" s="1"/>
  <c r="P349" i="7"/>
  <c r="R349" i="7" s="1"/>
  <c r="S348" i="7"/>
  <c r="U348" i="7" s="1"/>
  <c r="P348" i="7"/>
  <c r="Q348" i="7" s="1"/>
  <c r="S347" i="7"/>
  <c r="U347" i="7" s="1"/>
  <c r="P347" i="7"/>
  <c r="R347" i="7" s="1"/>
  <c r="S346" i="7"/>
  <c r="U346" i="7" s="1"/>
  <c r="P346" i="7"/>
  <c r="R346" i="7" s="1"/>
  <c r="S345" i="7"/>
  <c r="U345" i="7" s="1"/>
  <c r="P345" i="7"/>
  <c r="R345" i="7" s="1"/>
  <c r="S344" i="7"/>
  <c r="U344" i="7" s="1"/>
  <c r="P344" i="7"/>
  <c r="Q344" i="7" s="1"/>
  <c r="S343" i="7"/>
  <c r="U343" i="7" s="1"/>
  <c r="P343" i="7"/>
  <c r="R343" i="7" s="1"/>
  <c r="S342" i="7"/>
  <c r="U342" i="7" s="1"/>
  <c r="P342" i="7"/>
  <c r="R342" i="7" s="1"/>
  <c r="S341" i="7"/>
  <c r="U341" i="7" s="1"/>
  <c r="P341" i="7"/>
  <c r="R341" i="7" s="1"/>
  <c r="S340" i="7"/>
  <c r="U340" i="7" s="1"/>
  <c r="P340" i="7"/>
  <c r="Q340" i="7" s="1"/>
  <c r="S339" i="7"/>
  <c r="U339" i="7" s="1"/>
  <c r="P339" i="7"/>
  <c r="R339" i="7" s="1"/>
  <c r="S338" i="7"/>
  <c r="U338" i="7" s="1"/>
  <c r="P338" i="7"/>
  <c r="R338" i="7" s="1"/>
  <c r="S337" i="7"/>
  <c r="U337" i="7" s="1"/>
  <c r="P337" i="7"/>
  <c r="R337" i="7" s="1"/>
  <c r="S336" i="7"/>
  <c r="U336" i="7" s="1"/>
  <c r="P336" i="7"/>
  <c r="R336" i="7" s="1"/>
  <c r="S335" i="7"/>
  <c r="U335" i="7" s="1"/>
  <c r="P335" i="7"/>
  <c r="R335" i="7" s="1"/>
  <c r="S334" i="7"/>
  <c r="U334" i="7" s="1"/>
  <c r="P334" i="7"/>
  <c r="R334" i="7" s="1"/>
  <c r="S333" i="7"/>
  <c r="U333" i="7" s="1"/>
  <c r="P333" i="7"/>
  <c r="R333" i="7" s="1"/>
  <c r="S332" i="7"/>
  <c r="U332" i="7" s="1"/>
  <c r="P332" i="7"/>
  <c r="Q332" i="7" s="1"/>
  <c r="S331" i="7"/>
  <c r="U331" i="7" s="1"/>
  <c r="P331" i="7"/>
  <c r="R331" i="7" s="1"/>
  <c r="S330" i="7"/>
  <c r="U330" i="7" s="1"/>
  <c r="P330" i="7"/>
  <c r="R330" i="7" s="1"/>
  <c r="S329" i="7"/>
  <c r="U329" i="7" s="1"/>
  <c r="P329" i="7"/>
  <c r="R329" i="7" s="1"/>
  <c r="S328" i="7"/>
  <c r="U328" i="7" s="1"/>
  <c r="P328" i="7"/>
  <c r="Q328" i="7" s="1"/>
  <c r="S327" i="7"/>
  <c r="U327" i="7" s="1"/>
  <c r="P327" i="7"/>
  <c r="R327" i="7" s="1"/>
  <c r="S326" i="7"/>
  <c r="U326" i="7" s="1"/>
  <c r="P326" i="7"/>
  <c r="R326" i="7" s="1"/>
  <c r="S325" i="7"/>
  <c r="U325" i="7" s="1"/>
  <c r="P325" i="7"/>
  <c r="R325" i="7" s="1"/>
  <c r="S324" i="7"/>
  <c r="U324" i="7" s="1"/>
  <c r="P324" i="7"/>
  <c r="Q324" i="7" s="1"/>
  <c r="S323" i="7"/>
  <c r="U323" i="7" s="1"/>
  <c r="P323" i="7"/>
  <c r="R323" i="7" s="1"/>
  <c r="S322" i="7"/>
  <c r="U322" i="7" s="1"/>
  <c r="P322" i="7"/>
  <c r="R322" i="7" s="1"/>
  <c r="S321" i="7"/>
  <c r="U321" i="7" s="1"/>
  <c r="P321" i="7"/>
  <c r="R321" i="7" s="1"/>
  <c r="S320" i="7"/>
  <c r="U320" i="7" s="1"/>
  <c r="P320" i="7"/>
  <c r="R320" i="7" s="1"/>
  <c r="S319" i="7"/>
  <c r="U319" i="7" s="1"/>
  <c r="P319" i="7"/>
  <c r="R319" i="7" s="1"/>
  <c r="S318" i="7"/>
  <c r="U318" i="7" s="1"/>
  <c r="P318" i="7"/>
  <c r="R318" i="7" s="1"/>
  <c r="S317" i="7"/>
  <c r="U317" i="7" s="1"/>
  <c r="P317" i="7"/>
  <c r="R317" i="7" s="1"/>
  <c r="S316" i="7"/>
  <c r="U316" i="7" s="1"/>
  <c r="P316" i="7"/>
  <c r="Q316" i="7" s="1"/>
  <c r="S315" i="7"/>
  <c r="U315" i="7" s="1"/>
  <c r="P315" i="7"/>
  <c r="R315" i="7" s="1"/>
  <c r="S314" i="7"/>
  <c r="U314" i="7" s="1"/>
  <c r="P314" i="7"/>
  <c r="R314" i="7" s="1"/>
  <c r="S313" i="7"/>
  <c r="U313" i="7" s="1"/>
  <c r="P313" i="7"/>
  <c r="R313" i="7" s="1"/>
  <c r="S312" i="7"/>
  <c r="U312" i="7" s="1"/>
  <c r="P312" i="7"/>
  <c r="Q312" i="7" s="1"/>
  <c r="S311" i="7"/>
  <c r="U311" i="7" s="1"/>
  <c r="P311" i="7"/>
  <c r="R311" i="7" s="1"/>
  <c r="S310" i="7"/>
  <c r="U310" i="7" s="1"/>
  <c r="P310" i="7"/>
  <c r="R310" i="7" s="1"/>
  <c r="S309" i="7"/>
  <c r="U309" i="7" s="1"/>
  <c r="P309" i="7"/>
  <c r="R309" i="7" s="1"/>
  <c r="S308" i="7"/>
  <c r="U308" i="7" s="1"/>
  <c r="P308" i="7"/>
  <c r="Q308" i="7" s="1"/>
  <c r="S307" i="7"/>
  <c r="U307" i="7" s="1"/>
  <c r="P307" i="7"/>
  <c r="R307" i="7" s="1"/>
  <c r="S306" i="7"/>
  <c r="U306" i="7" s="1"/>
  <c r="P306" i="7"/>
  <c r="R306" i="7" s="1"/>
  <c r="S305" i="7"/>
  <c r="U305" i="7" s="1"/>
  <c r="P305" i="7"/>
  <c r="R305" i="7" s="1"/>
  <c r="S304" i="7"/>
  <c r="U304" i="7" s="1"/>
  <c r="P304" i="7"/>
  <c r="R304" i="7" s="1"/>
  <c r="S303" i="7"/>
  <c r="U303" i="7" s="1"/>
  <c r="P303" i="7"/>
  <c r="R303" i="7" s="1"/>
  <c r="S302" i="7"/>
  <c r="U302" i="7" s="1"/>
  <c r="P302" i="7"/>
  <c r="R302" i="7" s="1"/>
  <c r="S301" i="7"/>
  <c r="U301" i="7" s="1"/>
  <c r="P301" i="7"/>
  <c r="R301" i="7" s="1"/>
  <c r="S300" i="7"/>
  <c r="U300" i="7" s="1"/>
  <c r="P300" i="7"/>
  <c r="Q300" i="7" s="1"/>
  <c r="S299" i="7"/>
  <c r="U299" i="7" s="1"/>
  <c r="P299" i="7"/>
  <c r="R299" i="7" s="1"/>
  <c r="S298" i="7"/>
  <c r="U298" i="7" s="1"/>
  <c r="P298" i="7"/>
  <c r="R298" i="7" s="1"/>
  <c r="S297" i="7"/>
  <c r="U297" i="7" s="1"/>
  <c r="P297" i="7"/>
  <c r="R297" i="7" s="1"/>
  <c r="S296" i="7"/>
  <c r="U296" i="7" s="1"/>
  <c r="P296" i="7"/>
  <c r="Q296" i="7" s="1"/>
  <c r="S295" i="7"/>
  <c r="U295" i="7" s="1"/>
  <c r="P295" i="7"/>
  <c r="R295" i="7" s="1"/>
  <c r="S294" i="7"/>
  <c r="U294" i="7" s="1"/>
  <c r="P294" i="7"/>
  <c r="R294" i="7" s="1"/>
  <c r="S293" i="7"/>
  <c r="U293" i="7" s="1"/>
  <c r="P293" i="7"/>
  <c r="R293" i="7" s="1"/>
  <c r="S292" i="7"/>
  <c r="U292" i="7" s="1"/>
  <c r="R292" i="7"/>
  <c r="P292" i="7"/>
  <c r="Q292" i="7" s="1"/>
  <c r="S291" i="7"/>
  <c r="U291" i="7" s="1"/>
  <c r="P291" i="7"/>
  <c r="R291" i="7" s="1"/>
  <c r="S290" i="7"/>
  <c r="U290" i="7" s="1"/>
  <c r="P290" i="7"/>
  <c r="R290" i="7" s="1"/>
  <c r="S289" i="7"/>
  <c r="U289" i="7" s="1"/>
  <c r="P289" i="7"/>
  <c r="R289" i="7" s="1"/>
  <c r="S288" i="7"/>
  <c r="U288" i="7" s="1"/>
  <c r="P288" i="7"/>
  <c r="R288" i="7" s="1"/>
  <c r="S287" i="7"/>
  <c r="U287" i="7" s="1"/>
  <c r="P287" i="7"/>
  <c r="R287" i="7" s="1"/>
  <c r="S286" i="7"/>
  <c r="U286" i="7" s="1"/>
  <c r="P286" i="7"/>
  <c r="R286" i="7" s="1"/>
  <c r="S285" i="7"/>
  <c r="U285" i="7" s="1"/>
  <c r="P285" i="7"/>
  <c r="R285" i="7" s="1"/>
  <c r="S284" i="7"/>
  <c r="U284" i="7" s="1"/>
  <c r="P284" i="7"/>
  <c r="Q284" i="7" s="1"/>
  <c r="S283" i="7"/>
  <c r="U283" i="7" s="1"/>
  <c r="P283" i="7"/>
  <c r="R283" i="7" s="1"/>
  <c r="S282" i="7"/>
  <c r="U282" i="7" s="1"/>
  <c r="P282" i="7"/>
  <c r="R282" i="7" s="1"/>
  <c r="S281" i="7"/>
  <c r="U281" i="7" s="1"/>
  <c r="P281" i="7"/>
  <c r="R281" i="7" s="1"/>
  <c r="S280" i="7"/>
  <c r="U280" i="7" s="1"/>
  <c r="P280" i="7"/>
  <c r="Q280" i="7" s="1"/>
  <c r="S279" i="7"/>
  <c r="U279" i="7" s="1"/>
  <c r="P279" i="7"/>
  <c r="R279" i="7" s="1"/>
  <c r="S278" i="7"/>
  <c r="U278" i="7" s="1"/>
  <c r="P278" i="7"/>
  <c r="R278" i="7" s="1"/>
  <c r="S277" i="7"/>
  <c r="U277" i="7" s="1"/>
  <c r="P277" i="7"/>
  <c r="R277" i="7" s="1"/>
  <c r="S276" i="7"/>
  <c r="U276" i="7" s="1"/>
  <c r="P276" i="7"/>
  <c r="Q276" i="7" s="1"/>
  <c r="S275" i="7"/>
  <c r="U275" i="7" s="1"/>
  <c r="P275" i="7"/>
  <c r="R275" i="7" s="1"/>
  <c r="S274" i="7"/>
  <c r="U274" i="7" s="1"/>
  <c r="P274" i="7"/>
  <c r="R274" i="7" s="1"/>
  <c r="S273" i="7"/>
  <c r="U273" i="7" s="1"/>
  <c r="P273" i="7"/>
  <c r="R273" i="7" s="1"/>
  <c r="S272" i="7"/>
  <c r="U272" i="7" s="1"/>
  <c r="P272" i="7"/>
  <c r="R272" i="7" s="1"/>
  <c r="S271" i="7"/>
  <c r="U271" i="7" s="1"/>
  <c r="P271" i="7"/>
  <c r="R271" i="7" s="1"/>
  <c r="S270" i="7"/>
  <c r="U270" i="7" s="1"/>
  <c r="P270" i="7"/>
  <c r="R270" i="7" s="1"/>
  <c r="S269" i="7"/>
  <c r="U269" i="7" s="1"/>
  <c r="P269" i="7"/>
  <c r="R269" i="7" s="1"/>
  <c r="S268" i="7"/>
  <c r="U268" i="7" s="1"/>
  <c r="P268" i="7"/>
  <c r="Q268" i="7" s="1"/>
  <c r="S267" i="7"/>
  <c r="U267" i="7" s="1"/>
  <c r="P267" i="7"/>
  <c r="R267" i="7" s="1"/>
  <c r="S266" i="7"/>
  <c r="U266" i="7" s="1"/>
  <c r="P266" i="7"/>
  <c r="R266" i="7" s="1"/>
  <c r="S265" i="7"/>
  <c r="U265" i="7" s="1"/>
  <c r="P265" i="7"/>
  <c r="R265" i="7" s="1"/>
  <c r="S264" i="7"/>
  <c r="U264" i="7" s="1"/>
  <c r="P264" i="7"/>
  <c r="Q264" i="7" s="1"/>
  <c r="S263" i="7"/>
  <c r="U263" i="7" s="1"/>
  <c r="P263" i="7"/>
  <c r="R263" i="7" s="1"/>
  <c r="S262" i="7"/>
  <c r="U262" i="7" s="1"/>
  <c r="P262" i="7"/>
  <c r="R262" i="7" s="1"/>
  <c r="S261" i="7"/>
  <c r="U261" i="7" s="1"/>
  <c r="P261" i="7"/>
  <c r="R261" i="7" s="1"/>
  <c r="S260" i="7"/>
  <c r="U260" i="7" s="1"/>
  <c r="P260" i="7"/>
  <c r="Q260" i="7" s="1"/>
  <c r="S259" i="7"/>
  <c r="U259" i="7" s="1"/>
  <c r="P259" i="7"/>
  <c r="R259" i="7" s="1"/>
  <c r="S258" i="7"/>
  <c r="U258" i="7" s="1"/>
  <c r="P258" i="7"/>
  <c r="R258" i="7" s="1"/>
  <c r="S257" i="7"/>
  <c r="U257" i="7" s="1"/>
  <c r="P257" i="7"/>
  <c r="R257" i="7" s="1"/>
  <c r="S256" i="7"/>
  <c r="U256" i="7" s="1"/>
  <c r="P256" i="7"/>
  <c r="R256" i="7" s="1"/>
  <c r="S255" i="7"/>
  <c r="U255" i="7" s="1"/>
  <c r="P255" i="7"/>
  <c r="R255" i="7" s="1"/>
  <c r="S254" i="7"/>
  <c r="U254" i="7" s="1"/>
  <c r="P254" i="7"/>
  <c r="R254" i="7" s="1"/>
  <c r="S253" i="7"/>
  <c r="U253" i="7" s="1"/>
  <c r="P253" i="7"/>
  <c r="R253" i="7" s="1"/>
  <c r="S252" i="7"/>
  <c r="U252" i="7" s="1"/>
  <c r="P252" i="7"/>
  <c r="Q252" i="7" s="1"/>
  <c r="S251" i="7"/>
  <c r="U251" i="7" s="1"/>
  <c r="P251" i="7"/>
  <c r="R251" i="7" s="1"/>
  <c r="S250" i="7"/>
  <c r="U250" i="7" s="1"/>
  <c r="P250" i="7"/>
  <c r="R250" i="7" s="1"/>
  <c r="S249" i="7"/>
  <c r="U249" i="7" s="1"/>
  <c r="P249" i="7"/>
  <c r="R249" i="7" s="1"/>
  <c r="S248" i="7"/>
  <c r="U248" i="7" s="1"/>
  <c r="P248" i="7"/>
  <c r="Q248" i="7" s="1"/>
  <c r="S247" i="7"/>
  <c r="U247" i="7" s="1"/>
  <c r="P247" i="7"/>
  <c r="R247" i="7" s="1"/>
  <c r="S246" i="7"/>
  <c r="U246" i="7" s="1"/>
  <c r="P246" i="7"/>
  <c r="R246" i="7" s="1"/>
  <c r="S245" i="7"/>
  <c r="U245" i="7" s="1"/>
  <c r="P245" i="7"/>
  <c r="R245" i="7" s="1"/>
  <c r="S244" i="7"/>
  <c r="U244" i="7" s="1"/>
  <c r="P244" i="7"/>
  <c r="Q244" i="7" s="1"/>
  <c r="S243" i="7"/>
  <c r="U243" i="7" s="1"/>
  <c r="P243" i="7"/>
  <c r="R243" i="7" s="1"/>
  <c r="S242" i="7"/>
  <c r="U242" i="7" s="1"/>
  <c r="P242" i="7"/>
  <c r="R242" i="7" s="1"/>
  <c r="S241" i="7"/>
  <c r="U241" i="7" s="1"/>
  <c r="P241" i="7"/>
  <c r="R241" i="7" s="1"/>
  <c r="S240" i="7"/>
  <c r="U240" i="7" s="1"/>
  <c r="P240" i="7"/>
  <c r="R240" i="7" s="1"/>
  <c r="S239" i="7"/>
  <c r="U239" i="7" s="1"/>
  <c r="P239" i="7"/>
  <c r="R239" i="7" s="1"/>
  <c r="S238" i="7"/>
  <c r="U238" i="7" s="1"/>
  <c r="P238" i="7"/>
  <c r="R238" i="7" s="1"/>
  <c r="S237" i="7"/>
  <c r="U237" i="7" s="1"/>
  <c r="P237" i="7"/>
  <c r="R237" i="7" s="1"/>
  <c r="S236" i="7"/>
  <c r="U236" i="7" s="1"/>
  <c r="P236" i="7"/>
  <c r="Q236" i="7" s="1"/>
  <c r="S235" i="7"/>
  <c r="U235" i="7" s="1"/>
  <c r="P235" i="7"/>
  <c r="R235" i="7" s="1"/>
  <c r="S234" i="7"/>
  <c r="U234" i="7" s="1"/>
  <c r="P234" i="7"/>
  <c r="R234" i="7" s="1"/>
  <c r="S233" i="7"/>
  <c r="U233" i="7" s="1"/>
  <c r="P233" i="7"/>
  <c r="R233" i="7" s="1"/>
  <c r="S232" i="7"/>
  <c r="U232" i="7" s="1"/>
  <c r="P232" i="7"/>
  <c r="Q232" i="7" s="1"/>
  <c r="S231" i="7"/>
  <c r="U231" i="7" s="1"/>
  <c r="P231" i="7"/>
  <c r="R231" i="7" s="1"/>
  <c r="S230" i="7"/>
  <c r="U230" i="7" s="1"/>
  <c r="P230" i="7"/>
  <c r="R230" i="7" s="1"/>
  <c r="S229" i="7"/>
  <c r="U229" i="7" s="1"/>
  <c r="P229" i="7"/>
  <c r="R229" i="7" s="1"/>
  <c r="S228" i="7"/>
  <c r="U228" i="7" s="1"/>
  <c r="P228" i="7"/>
  <c r="Q228" i="7" s="1"/>
  <c r="S227" i="7"/>
  <c r="U227" i="7" s="1"/>
  <c r="P227" i="7"/>
  <c r="R227" i="7" s="1"/>
  <c r="S226" i="7"/>
  <c r="U226" i="7" s="1"/>
  <c r="P226" i="7"/>
  <c r="R226" i="7" s="1"/>
  <c r="S225" i="7"/>
  <c r="U225" i="7" s="1"/>
  <c r="P225" i="7"/>
  <c r="R225" i="7" s="1"/>
  <c r="S224" i="7"/>
  <c r="U224" i="7" s="1"/>
  <c r="P224" i="7"/>
  <c r="R224" i="7" s="1"/>
  <c r="S223" i="7"/>
  <c r="U223" i="7" s="1"/>
  <c r="P223" i="7"/>
  <c r="R223" i="7" s="1"/>
  <c r="S222" i="7"/>
  <c r="U222" i="7" s="1"/>
  <c r="P222" i="7"/>
  <c r="R222" i="7" s="1"/>
  <c r="S221" i="7"/>
  <c r="U221" i="7" s="1"/>
  <c r="P221" i="7"/>
  <c r="R221" i="7" s="1"/>
  <c r="S220" i="7"/>
  <c r="U220" i="7" s="1"/>
  <c r="P220" i="7"/>
  <c r="Q220" i="7" s="1"/>
  <c r="S219" i="7"/>
  <c r="U219" i="7" s="1"/>
  <c r="P219" i="7"/>
  <c r="R219" i="7" s="1"/>
  <c r="S218" i="7"/>
  <c r="U218" i="7" s="1"/>
  <c r="P218" i="7"/>
  <c r="R218" i="7" s="1"/>
  <c r="S217" i="7"/>
  <c r="U217" i="7" s="1"/>
  <c r="P217" i="7"/>
  <c r="R217" i="7" s="1"/>
  <c r="S216" i="7"/>
  <c r="U216" i="7" s="1"/>
  <c r="P216" i="7"/>
  <c r="Q216" i="7" s="1"/>
  <c r="S215" i="7"/>
  <c r="P215" i="7"/>
  <c r="R215" i="7" s="1"/>
  <c r="S214" i="7"/>
  <c r="P214" i="7"/>
  <c r="R214" i="7" s="1"/>
  <c r="S213" i="7"/>
  <c r="U213" i="7" s="1"/>
  <c r="P213" i="7"/>
  <c r="R213" i="7" s="1"/>
  <c r="S212" i="7"/>
  <c r="U212" i="7" s="1"/>
  <c r="P212" i="7"/>
  <c r="Q212" i="7" s="1"/>
  <c r="S211" i="7"/>
  <c r="U211" i="7" s="1"/>
  <c r="P211" i="7"/>
  <c r="R211" i="7" s="1"/>
  <c r="S210" i="7"/>
  <c r="U210" i="7" s="1"/>
  <c r="P210" i="7"/>
  <c r="R210" i="7" s="1"/>
  <c r="S209" i="7"/>
  <c r="U209" i="7" s="1"/>
  <c r="P209" i="7"/>
  <c r="R209" i="7" s="1"/>
  <c r="S208" i="7"/>
  <c r="U208" i="7" s="1"/>
  <c r="P208" i="7"/>
  <c r="R208" i="7" s="1"/>
  <c r="S207" i="7"/>
  <c r="U207" i="7" s="1"/>
  <c r="P207" i="7"/>
  <c r="R207" i="7" s="1"/>
  <c r="S206" i="7"/>
  <c r="U206" i="7" s="1"/>
  <c r="P206" i="7"/>
  <c r="R206" i="7" s="1"/>
  <c r="S205" i="7"/>
  <c r="U205" i="7" s="1"/>
  <c r="P205" i="7"/>
  <c r="R205" i="7" s="1"/>
  <c r="S204" i="7"/>
  <c r="U204" i="7" s="1"/>
  <c r="R204" i="7"/>
  <c r="P204" i="7"/>
  <c r="Q204" i="7" s="1"/>
  <c r="S203" i="7"/>
  <c r="U203" i="7" s="1"/>
  <c r="P203" i="7"/>
  <c r="R203" i="7" s="1"/>
  <c r="S202" i="7"/>
  <c r="U202" i="7" s="1"/>
  <c r="P202" i="7"/>
  <c r="R202" i="7" s="1"/>
  <c r="S201" i="7"/>
  <c r="U201" i="7" s="1"/>
  <c r="P201" i="7"/>
  <c r="R201" i="7" s="1"/>
  <c r="S200" i="7"/>
  <c r="U200" i="7" s="1"/>
  <c r="P200" i="7"/>
  <c r="Q200" i="7" s="1"/>
  <c r="S199" i="7"/>
  <c r="U199" i="7" s="1"/>
  <c r="P199" i="7"/>
  <c r="R199" i="7" s="1"/>
  <c r="S198" i="7"/>
  <c r="U198" i="7" s="1"/>
  <c r="P198" i="7"/>
  <c r="R198" i="7" s="1"/>
  <c r="S197" i="7"/>
  <c r="U197" i="7" s="1"/>
  <c r="P197" i="7"/>
  <c r="R197" i="7" s="1"/>
  <c r="S196" i="7"/>
  <c r="U196" i="7" s="1"/>
  <c r="P196" i="7"/>
  <c r="Q196" i="7" s="1"/>
  <c r="S195" i="7"/>
  <c r="U195" i="7" s="1"/>
  <c r="P195" i="7"/>
  <c r="R195" i="7" s="1"/>
  <c r="S194" i="7"/>
  <c r="U194" i="7" s="1"/>
  <c r="P194" i="7"/>
  <c r="R194" i="7" s="1"/>
  <c r="S193" i="7"/>
  <c r="U193" i="7" s="1"/>
  <c r="P193" i="7"/>
  <c r="R193" i="7" s="1"/>
  <c r="S192" i="7"/>
  <c r="U192" i="7" s="1"/>
  <c r="P192" i="7"/>
  <c r="R192" i="7" s="1"/>
  <c r="S191" i="7"/>
  <c r="U191" i="7" s="1"/>
  <c r="P191" i="7"/>
  <c r="R191" i="7" s="1"/>
  <c r="S190" i="7"/>
  <c r="U190" i="7" s="1"/>
  <c r="P190" i="7"/>
  <c r="R190" i="7" s="1"/>
  <c r="S189" i="7"/>
  <c r="U189" i="7" s="1"/>
  <c r="P189" i="7"/>
  <c r="R189" i="7" s="1"/>
  <c r="S188" i="7"/>
  <c r="P188" i="7"/>
  <c r="Q188" i="7" s="1"/>
  <c r="S187" i="7"/>
  <c r="U187" i="7" s="1"/>
  <c r="P187" i="7"/>
  <c r="R187" i="7" s="1"/>
  <c r="S186" i="7"/>
  <c r="P186" i="7"/>
  <c r="R186" i="7" s="1"/>
  <c r="S185" i="7"/>
  <c r="U185" i="7" s="1"/>
  <c r="P185" i="7"/>
  <c r="R185" i="7" s="1"/>
  <c r="S184" i="7"/>
  <c r="U184" i="7" s="1"/>
  <c r="P184" i="7"/>
  <c r="Q184" i="7" s="1"/>
  <c r="S183" i="7"/>
  <c r="U183" i="7" s="1"/>
  <c r="P183" i="7"/>
  <c r="R183" i="7" s="1"/>
  <c r="S182" i="7"/>
  <c r="U182" i="7" s="1"/>
  <c r="P182" i="7"/>
  <c r="R182" i="7" s="1"/>
  <c r="S181" i="7"/>
  <c r="U181" i="7" s="1"/>
  <c r="P181" i="7"/>
  <c r="R181" i="7" s="1"/>
  <c r="S180" i="7"/>
  <c r="U180" i="7" s="1"/>
  <c r="P180" i="7"/>
  <c r="Q180" i="7" s="1"/>
  <c r="S179" i="7"/>
  <c r="U179" i="7" s="1"/>
  <c r="P179" i="7"/>
  <c r="R179" i="7" s="1"/>
  <c r="S178" i="7"/>
  <c r="U178" i="7" s="1"/>
  <c r="P178" i="7"/>
  <c r="R178" i="7" s="1"/>
  <c r="S177" i="7"/>
  <c r="U177" i="7" s="1"/>
  <c r="P177" i="7"/>
  <c r="R177" i="7" s="1"/>
  <c r="S176" i="7"/>
  <c r="U176" i="7" s="1"/>
  <c r="P176" i="7"/>
  <c r="R176" i="7" s="1"/>
  <c r="S175" i="7"/>
  <c r="U175" i="7" s="1"/>
  <c r="P175" i="7"/>
  <c r="R175" i="7" s="1"/>
  <c r="S174" i="7"/>
  <c r="U174" i="7" s="1"/>
  <c r="P174" i="7"/>
  <c r="R174" i="7" s="1"/>
  <c r="S173" i="7"/>
  <c r="U173" i="7" s="1"/>
  <c r="P173" i="7"/>
  <c r="R173" i="7" s="1"/>
  <c r="S172" i="7"/>
  <c r="U172" i="7" s="1"/>
  <c r="P172" i="7"/>
  <c r="Q172" i="7" s="1"/>
  <c r="S171" i="7"/>
  <c r="U171" i="7" s="1"/>
  <c r="P171" i="7"/>
  <c r="R171" i="7" s="1"/>
  <c r="S170" i="7"/>
  <c r="U170" i="7" s="1"/>
  <c r="P170" i="7"/>
  <c r="R170" i="7" s="1"/>
  <c r="S169" i="7"/>
  <c r="U169" i="7" s="1"/>
  <c r="P169" i="7"/>
  <c r="R169" i="7" s="1"/>
  <c r="S168" i="7"/>
  <c r="U168" i="7" s="1"/>
  <c r="P168" i="7"/>
  <c r="Q168" i="7" s="1"/>
  <c r="S167" i="7"/>
  <c r="U167" i="7" s="1"/>
  <c r="P167" i="7"/>
  <c r="R167" i="7" s="1"/>
  <c r="S166" i="7"/>
  <c r="U166" i="7" s="1"/>
  <c r="P166" i="7"/>
  <c r="R166" i="7" s="1"/>
  <c r="S165" i="7"/>
  <c r="U165" i="7" s="1"/>
  <c r="P165" i="7"/>
  <c r="R165" i="7" s="1"/>
  <c r="S164" i="7"/>
  <c r="U164" i="7" s="1"/>
  <c r="P164" i="7"/>
  <c r="R164" i="7" s="1"/>
  <c r="S163" i="7"/>
  <c r="U163" i="7" s="1"/>
  <c r="P163" i="7"/>
  <c r="R163" i="7" s="1"/>
  <c r="S162" i="7"/>
  <c r="U162" i="7" s="1"/>
  <c r="P162" i="7"/>
  <c r="R162" i="7" s="1"/>
  <c r="S161" i="7"/>
  <c r="U161" i="7" s="1"/>
  <c r="P161" i="7"/>
  <c r="R161" i="7" s="1"/>
  <c r="S160" i="7"/>
  <c r="U160" i="7" s="1"/>
  <c r="P160" i="7"/>
  <c r="R160" i="7" s="1"/>
  <c r="S159" i="7"/>
  <c r="U159" i="7" s="1"/>
  <c r="P159" i="7"/>
  <c r="R159" i="7" s="1"/>
  <c r="S158" i="7"/>
  <c r="U158" i="7" s="1"/>
  <c r="P158" i="7"/>
  <c r="R158" i="7" s="1"/>
  <c r="S157" i="7"/>
  <c r="U157" i="7" s="1"/>
  <c r="P157" i="7"/>
  <c r="R157" i="7" s="1"/>
  <c r="S156" i="7"/>
  <c r="U156" i="7" s="1"/>
  <c r="P156" i="7"/>
  <c r="Q156" i="7" s="1"/>
  <c r="S155" i="7"/>
  <c r="P155" i="7"/>
  <c r="R155" i="7" s="1"/>
  <c r="S154" i="7"/>
  <c r="U154" i="7" s="1"/>
  <c r="P154" i="7"/>
  <c r="R154" i="7" s="1"/>
  <c r="S153" i="7"/>
  <c r="P153" i="7"/>
  <c r="R153" i="7" s="1"/>
  <c r="S152" i="7"/>
  <c r="U152" i="7" s="1"/>
  <c r="P152" i="7"/>
  <c r="Q152" i="7" s="1"/>
  <c r="S151" i="7"/>
  <c r="U151" i="7" s="1"/>
  <c r="P151" i="7"/>
  <c r="R151" i="7" s="1"/>
  <c r="S150" i="7"/>
  <c r="U150" i="7" s="1"/>
  <c r="P150" i="7"/>
  <c r="R150" i="7" s="1"/>
  <c r="S149" i="7"/>
  <c r="U149" i="7" s="1"/>
  <c r="P149" i="7"/>
  <c r="R149" i="7" s="1"/>
  <c r="S148" i="7"/>
  <c r="U148" i="7" s="1"/>
  <c r="P148" i="7"/>
  <c r="R148" i="7" s="1"/>
  <c r="S147" i="7"/>
  <c r="U147" i="7" s="1"/>
  <c r="P147" i="7"/>
  <c r="R147" i="7" s="1"/>
  <c r="S146" i="7"/>
  <c r="U146" i="7" s="1"/>
  <c r="P146" i="7"/>
  <c r="R146" i="7" s="1"/>
  <c r="S145" i="7"/>
  <c r="U145" i="7" s="1"/>
  <c r="P145" i="7"/>
  <c r="R145" i="7" s="1"/>
  <c r="S144" i="7"/>
  <c r="U144" i="7" s="1"/>
  <c r="P144" i="7"/>
  <c r="R144" i="7" s="1"/>
  <c r="S143" i="7"/>
  <c r="U143" i="7" s="1"/>
  <c r="P143" i="7"/>
  <c r="R143" i="7" s="1"/>
  <c r="S142" i="7"/>
  <c r="U142" i="7" s="1"/>
  <c r="P142" i="7"/>
  <c r="R142" i="7" s="1"/>
  <c r="S141" i="7"/>
  <c r="U141" i="7" s="1"/>
  <c r="P141" i="7"/>
  <c r="R141" i="7" s="1"/>
  <c r="S140" i="7"/>
  <c r="U140" i="7" s="1"/>
  <c r="P140" i="7"/>
  <c r="Q140" i="7" s="1"/>
  <c r="S139" i="7"/>
  <c r="U139" i="7" s="1"/>
  <c r="P139" i="7"/>
  <c r="R139" i="7" s="1"/>
  <c r="S138" i="7"/>
  <c r="U138" i="7" s="1"/>
  <c r="P138" i="7"/>
  <c r="R138" i="7" s="1"/>
  <c r="S137" i="7"/>
  <c r="U137" i="7" s="1"/>
  <c r="P137" i="7"/>
  <c r="R137" i="7" s="1"/>
  <c r="S136" i="7"/>
  <c r="U136" i="7" s="1"/>
  <c r="P136" i="7"/>
  <c r="Q136" i="7" s="1"/>
  <c r="S135" i="7"/>
  <c r="U135" i="7" s="1"/>
  <c r="P135" i="7"/>
  <c r="R135" i="7" s="1"/>
  <c r="S134" i="7"/>
  <c r="U134" i="7" s="1"/>
  <c r="P134" i="7"/>
  <c r="R134" i="7" s="1"/>
  <c r="S133" i="7"/>
  <c r="U133" i="7" s="1"/>
  <c r="P133" i="7"/>
  <c r="R133" i="7" s="1"/>
  <c r="S132" i="7"/>
  <c r="U132" i="7" s="1"/>
  <c r="P132" i="7"/>
  <c r="R132" i="7" s="1"/>
  <c r="S131" i="7"/>
  <c r="U131" i="7" s="1"/>
  <c r="P131" i="7"/>
  <c r="R131" i="7" s="1"/>
  <c r="S130" i="7"/>
  <c r="U130" i="7" s="1"/>
  <c r="P130" i="7"/>
  <c r="R130" i="7" s="1"/>
  <c r="S129" i="7"/>
  <c r="U129" i="7" s="1"/>
  <c r="P129" i="7"/>
  <c r="R129" i="7" s="1"/>
  <c r="S128" i="7"/>
  <c r="U128" i="7" s="1"/>
  <c r="P128" i="7"/>
  <c r="R128" i="7" s="1"/>
  <c r="S127" i="7"/>
  <c r="U127" i="7" s="1"/>
  <c r="P127" i="7"/>
  <c r="R127" i="7" s="1"/>
  <c r="S126" i="7"/>
  <c r="U126" i="7" s="1"/>
  <c r="P126" i="7"/>
  <c r="R126" i="7" s="1"/>
  <c r="S125" i="7"/>
  <c r="U125" i="7" s="1"/>
  <c r="P125" i="7"/>
  <c r="R125" i="7" s="1"/>
  <c r="S124" i="7"/>
  <c r="U124" i="7" s="1"/>
  <c r="P124" i="7"/>
  <c r="Q124" i="7" s="1"/>
  <c r="S123" i="7"/>
  <c r="U123" i="7" s="1"/>
  <c r="P123" i="7"/>
  <c r="R123" i="7" s="1"/>
  <c r="S122" i="7"/>
  <c r="U122" i="7" s="1"/>
  <c r="P122" i="7"/>
  <c r="R122" i="7" s="1"/>
  <c r="S121" i="7"/>
  <c r="U121" i="7" s="1"/>
  <c r="P121" i="7"/>
  <c r="R121" i="7" s="1"/>
  <c r="S120" i="7"/>
  <c r="U120" i="7" s="1"/>
  <c r="P120" i="7"/>
  <c r="Q120" i="7" s="1"/>
  <c r="S119" i="7"/>
  <c r="U119" i="7" s="1"/>
  <c r="P119" i="7"/>
  <c r="R119" i="7" s="1"/>
  <c r="S118" i="7"/>
  <c r="U118" i="7" s="1"/>
  <c r="P118" i="7"/>
  <c r="R118" i="7" s="1"/>
  <c r="S117" i="7"/>
  <c r="U117" i="7" s="1"/>
  <c r="P117" i="7"/>
  <c r="R117" i="7" s="1"/>
  <c r="S116" i="7"/>
  <c r="U116" i="7" s="1"/>
  <c r="P116" i="7"/>
  <c r="R116" i="7" s="1"/>
  <c r="S115" i="7"/>
  <c r="U115" i="7" s="1"/>
  <c r="P115" i="7"/>
  <c r="R115" i="7" s="1"/>
  <c r="S114" i="7"/>
  <c r="U114" i="7" s="1"/>
  <c r="P114" i="7"/>
  <c r="R114" i="7" s="1"/>
  <c r="S113" i="7"/>
  <c r="U113" i="7" s="1"/>
  <c r="P113" i="7"/>
  <c r="R113" i="7" s="1"/>
  <c r="S112" i="7"/>
  <c r="U112" i="7" s="1"/>
  <c r="P112" i="7"/>
  <c r="R112" i="7" s="1"/>
  <c r="S111" i="7"/>
  <c r="U111" i="7" s="1"/>
  <c r="P111" i="7"/>
  <c r="R111" i="7" s="1"/>
  <c r="S110" i="7"/>
  <c r="U110" i="7" s="1"/>
  <c r="P110" i="7"/>
  <c r="R110" i="7" s="1"/>
  <c r="S109" i="7"/>
  <c r="U109" i="7" s="1"/>
  <c r="P109" i="7"/>
  <c r="R109" i="7" s="1"/>
  <c r="S108" i="7"/>
  <c r="U108" i="7" s="1"/>
  <c r="P108" i="7"/>
  <c r="Q108" i="7" s="1"/>
  <c r="S107" i="7"/>
  <c r="U107" i="7" s="1"/>
  <c r="P107" i="7"/>
  <c r="R107" i="7" s="1"/>
  <c r="S106" i="7"/>
  <c r="U106" i="7" s="1"/>
  <c r="P106" i="7"/>
  <c r="R106" i="7" s="1"/>
  <c r="S105" i="7"/>
  <c r="U105" i="7" s="1"/>
  <c r="P105" i="7"/>
  <c r="R105" i="7" s="1"/>
  <c r="S104" i="7"/>
  <c r="U104" i="7" s="1"/>
  <c r="P104" i="7"/>
  <c r="Q104" i="7" s="1"/>
  <c r="S103" i="7"/>
  <c r="U103" i="7" s="1"/>
  <c r="P103" i="7"/>
  <c r="R103" i="7" s="1"/>
  <c r="S102" i="7"/>
  <c r="T102" i="7" s="1"/>
  <c r="P102" i="7"/>
  <c r="R102" i="7" s="1"/>
  <c r="S101" i="7"/>
  <c r="U101" i="7" s="1"/>
  <c r="P101" i="7"/>
  <c r="R101" i="7" s="1"/>
  <c r="S100" i="7"/>
  <c r="T100" i="7" s="1"/>
  <c r="P100" i="7"/>
  <c r="R100" i="7" s="1"/>
  <c r="S99" i="7"/>
  <c r="U99" i="7" s="1"/>
  <c r="P99" i="7"/>
  <c r="R99" i="7" s="1"/>
  <c r="S98" i="7"/>
  <c r="T98" i="7" s="1"/>
  <c r="P98" i="7"/>
  <c r="Q98" i="7" s="1"/>
  <c r="S97" i="7"/>
  <c r="U97" i="7" s="1"/>
  <c r="P97" i="7"/>
  <c r="R97" i="7" s="1"/>
  <c r="S96" i="7"/>
  <c r="T96" i="7" s="1"/>
  <c r="P96" i="7"/>
  <c r="R96" i="7" s="1"/>
  <c r="S95" i="7"/>
  <c r="P95" i="7"/>
  <c r="R95" i="7" s="1"/>
  <c r="S94" i="7"/>
  <c r="T94" i="7" s="1"/>
  <c r="P94" i="7"/>
  <c r="Q94" i="7" s="1"/>
  <c r="S93" i="7"/>
  <c r="P93" i="7"/>
  <c r="R93" i="7" s="1"/>
  <c r="S92" i="7"/>
  <c r="T92" i="7" s="1"/>
  <c r="P92" i="7"/>
  <c r="R92" i="7" s="1"/>
  <c r="S91" i="7"/>
  <c r="U91" i="7" s="1"/>
  <c r="P91" i="7"/>
  <c r="R91" i="7" s="1"/>
  <c r="S90" i="7"/>
  <c r="T90" i="7" s="1"/>
  <c r="P90" i="7"/>
  <c r="Q90" i="7" s="1"/>
  <c r="S89" i="7"/>
  <c r="U89" i="7" s="1"/>
  <c r="P89" i="7"/>
  <c r="R89" i="7" s="1"/>
  <c r="S88" i="7"/>
  <c r="T88" i="7" s="1"/>
  <c r="P88" i="7"/>
  <c r="R88" i="7" s="1"/>
  <c r="S87" i="7"/>
  <c r="U87" i="7" s="1"/>
  <c r="P87" i="7"/>
  <c r="R87" i="7" s="1"/>
  <c r="S86" i="7"/>
  <c r="T86" i="7" s="1"/>
  <c r="P86" i="7"/>
  <c r="R86" i="7" s="1"/>
  <c r="S85" i="7"/>
  <c r="U85" i="7" s="1"/>
  <c r="P85" i="7"/>
  <c r="R85" i="7" s="1"/>
  <c r="S84" i="7"/>
  <c r="T84" i="7" s="1"/>
  <c r="P84" i="7"/>
  <c r="R84" i="7" s="1"/>
  <c r="S83" i="7"/>
  <c r="U83" i="7" s="1"/>
  <c r="P83" i="7"/>
  <c r="R83" i="7" s="1"/>
  <c r="S82" i="7"/>
  <c r="U82" i="7" s="1"/>
  <c r="P82" i="7"/>
  <c r="R82" i="7" s="1"/>
  <c r="S81" i="7"/>
  <c r="U81" i="7" s="1"/>
  <c r="P81" i="7"/>
  <c r="R81" i="7" s="1"/>
  <c r="S80" i="7"/>
  <c r="U80" i="7" s="1"/>
  <c r="P80" i="7"/>
  <c r="S79" i="7"/>
  <c r="U79" i="7" s="1"/>
  <c r="P79" i="7"/>
  <c r="S78" i="7"/>
  <c r="U78" i="7" s="1"/>
  <c r="P78" i="7"/>
  <c r="S77" i="7"/>
  <c r="P77" i="7"/>
  <c r="R77" i="7" s="1"/>
  <c r="S76" i="7"/>
  <c r="P76" i="7"/>
  <c r="R76" i="7" s="1"/>
  <c r="S75" i="7"/>
  <c r="U75" i="7" s="1"/>
  <c r="P75" i="7"/>
  <c r="S74" i="7"/>
  <c r="P74" i="7"/>
  <c r="R74" i="7" s="1"/>
  <c r="S73" i="7"/>
  <c r="P73" i="7"/>
  <c r="R73" i="7" s="1"/>
  <c r="S72" i="7"/>
  <c r="P72" i="7"/>
  <c r="Q72" i="7" s="1"/>
  <c r="S71" i="7"/>
  <c r="P71" i="7"/>
  <c r="R71" i="7" s="1"/>
  <c r="S70" i="7"/>
  <c r="T70" i="7" s="1"/>
  <c r="P70" i="7"/>
  <c r="S69" i="7"/>
  <c r="P69" i="7"/>
  <c r="R69" i="7" s="1"/>
  <c r="S68" i="7"/>
  <c r="U68" i="7" s="1"/>
  <c r="P68" i="7"/>
  <c r="S67" i="7"/>
  <c r="P67" i="7"/>
  <c r="R67" i="7" s="1"/>
  <c r="S66" i="7"/>
  <c r="P66" i="7"/>
  <c r="R66" i="7" s="1"/>
  <c r="S65" i="7"/>
  <c r="P65" i="7"/>
  <c r="R65" i="7" s="1"/>
  <c r="S64" i="7"/>
  <c r="P64" i="7"/>
  <c r="R64" i="7" s="1"/>
  <c r="S63" i="7"/>
  <c r="P63" i="7"/>
  <c r="R63" i="7" s="1"/>
  <c r="S62" i="7"/>
  <c r="P62" i="7"/>
  <c r="S61" i="7"/>
  <c r="T61" i="7" s="1"/>
  <c r="P61" i="7"/>
  <c r="S60" i="7"/>
  <c r="U60" i="7" s="1"/>
  <c r="P60" i="7"/>
  <c r="E40" i="7"/>
  <c r="R312" i="7" l="1"/>
  <c r="R396" i="7"/>
  <c r="R484" i="7"/>
  <c r="R228" i="7"/>
  <c r="R156" i="7"/>
  <c r="R420" i="7"/>
  <c r="R504" i="7"/>
  <c r="R580" i="7"/>
  <c r="R124" i="7"/>
  <c r="R248" i="7"/>
  <c r="R332" i="7"/>
  <c r="U578" i="7"/>
  <c r="R184" i="7"/>
  <c r="R268" i="7"/>
  <c r="R356" i="7"/>
  <c r="R440" i="7"/>
  <c r="R540" i="7"/>
  <c r="R108" i="7"/>
  <c r="R172" i="7"/>
  <c r="R216" i="7"/>
  <c r="R260" i="7"/>
  <c r="R300" i="7"/>
  <c r="R344" i="7"/>
  <c r="R388" i="7"/>
  <c r="R428" i="7"/>
  <c r="R472" i="7"/>
  <c r="R516" i="7"/>
  <c r="R140" i="7"/>
  <c r="R196" i="7"/>
  <c r="R236" i="7"/>
  <c r="R280" i="7"/>
  <c r="R324" i="7"/>
  <c r="R364" i="7"/>
  <c r="R408" i="7"/>
  <c r="R452" i="7"/>
  <c r="R492" i="7"/>
  <c r="Q564" i="7"/>
  <c r="R104" i="7"/>
  <c r="R136" i="7"/>
  <c r="R168" i="7"/>
  <c r="R188" i="7"/>
  <c r="R212" i="7"/>
  <c r="R232" i="7"/>
  <c r="R252" i="7"/>
  <c r="R276" i="7"/>
  <c r="R296" i="7"/>
  <c r="R316" i="7"/>
  <c r="R340" i="7"/>
  <c r="R360" i="7"/>
  <c r="R380" i="7"/>
  <c r="R404" i="7"/>
  <c r="R424" i="7"/>
  <c r="R444" i="7"/>
  <c r="R468" i="7"/>
  <c r="R488" i="7"/>
  <c r="R508" i="7"/>
  <c r="R548" i="7"/>
  <c r="R120" i="7"/>
  <c r="R152" i="7"/>
  <c r="R180" i="7"/>
  <c r="R200" i="7"/>
  <c r="R220" i="7"/>
  <c r="R244" i="7"/>
  <c r="R264" i="7"/>
  <c r="R284" i="7"/>
  <c r="R308" i="7"/>
  <c r="R328" i="7"/>
  <c r="R348" i="7"/>
  <c r="R372" i="7"/>
  <c r="R392" i="7"/>
  <c r="R412" i="7"/>
  <c r="R436" i="7"/>
  <c r="R456" i="7"/>
  <c r="R476" i="7"/>
  <c r="R500" i="7"/>
  <c r="R532" i="7"/>
  <c r="M5002" i="7"/>
  <c r="M4998" i="7"/>
  <c r="M4994" i="7"/>
  <c r="M4990" i="7"/>
  <c r="M4986" i="7"/>
  <c r="M4982" i="7"/>
  <c r="M4978" i="7"/>
  <c r="M4974" i="7"/>
  <c r="M4970" i="7"/>
  <c r="M4966" i="7"/>
  <c r="M4962" i="7"/>
  <c r="M4958" i="7"/>
  <c r="M4954" i="7"/>
  <c r="M4950" i="7"/>
  <c r="M4946" i="7"/>
  <c r="M4942" i="7"/>
  <c r="M4938" i="7"/>
  <c r="M4934" i="7"/>
  <c r="M4930" i="7"/>
  <c r="M4926" i="7"/>
  <c r="M4922" i="7"/>
  <c r="M4918" i="7"/>
  <c r="M4914" i="7"/>
  <c r="M4910" i="7"/>
  <c r="M4906" i="7"/>
  <c r="M4902" i="7"/>
  <c r="M4898" i="7"/>
  <c r="M4894" i="7"/>
  <c r="M4890" i="7"/>
  <c r="M4886" i="7"/>
  <c r="M4882" i="7"/>
  <c r="M4878" i="7"/>
  <c r="M4874" i="7"/>
  <c r="M4870" i="7"/>
  <c r="M4866" i="7"/>
  <c r="M4862" i="7"/>
  <c r="M4858" i="7"/>
  <c r="M4854" i="7"/>
  <c r="M4850" i="7"/>
  <c r="M4846" i="7"/>
  <c r="M4842" i="7"/>
  <c r="M4838" i="7"/>
  <c r="M4834" i="7"/>
  <c r="M4830" i="7"/>
  <c r="M4826" i="7"/>
  <c r="M4822" i="7"/>
  <c r="M4818" i="7"/>
  <c r="M4814" i="7"/>
  <c r="M4810" i="7"/>
  <c r="M4806" i="7"/>
  <c r="M4802" i="7"/>
  <c r="M4798" i="7"/>
  <c r="M4794" i="7"/>
  <c r="M4790" i="7"/>
  <c r="M4786" i="7"/>
  <c r="M4782" i="7"/>
  <c r="M4778" i="7"/>
  <c r="M4774" i="7"/>
  <c r="M4770" i="7"/>
  <c r="M4766" i="7"/>
  <c r="M4762" i="7"/>
  <c r="M4758" i="7"/>
  <c r="M4754" i="7"/>
  <c r="M4750" i="7"/>
  <c r="M4746" i="7"/>
  <c r="M4742" i="7"/>
  <c r="M4738" i="7"/>
  <c r="M4734" i="7"/>
  <c r="M4730" i="7"/>
  <c r="M4726" i="7"/>
  <c r="M4722" i="7"/>
  <c r="M4718" i="7"/>
  <c r="M4714" i="7"/>
  <c r="M4710" i="7"/>
  <c r="M4706" i="7"/>
  <c r="M4702" i="7"/>
  <c r="M4698" i="7"/>
  <c r="M4694" i="7"/>
  <c r="M4690" i="7"/>
  <c r="M4686" i="7"/>
  <c r="M4682" i="7"/>
  <c r="M4678" i="7"/>
  <c r="M4674" i="7"/>
  <c r="M4670" i="7"/>
  <c r="M4666" i="7"/>
  <c r="M5001" i="7"/>
  <c r="M4997" i="7"/>
  <c r="M4993" i="7"/>
  <c r="M4989" i="7"/>
  <c r="M4985" i="7"/>
  <c r="M4981" i="7"/>
  <c r="M4977" i="7"/>
  <c r="M4973" i="7"/>
  <c r="M4969" i="7"/>
  <c r="M4965" i="7"/>
  <c r="M4961" i="7"/>
  <c r="M4957" i="7"/>
  <c r="M4953" i="7"/>
  <c r="M4949" i="7"/>
  <c r="M4945" i="7"/>
  <c r="M4941" i="7"/>
  <c r="M4937" i="7"/>
  <c r="M4933" i="7"/>
  <c r="M4929" i="7"/>
  <c r="M4925" i="7"/>
  <c r="M4921" i="7"/>
  <c r="M4917" i="7"/>
  <c r="M4913" i="7"/>
  <c r="M4909" i="7"/>
  <c r="M4905" i="7"/>
  <c r="M4901" i="7"/>
  <c r="M4897" i="7"/>
  <c r="M4893" i="7"/>
  <c r="M4889" i="7"/>
  <c r="M4885" i="7"/>
  <c r="M4881" i="7"/>
  <c r="M4877" i="7"/>
  <c r="M4873" i="7"/>
  <c r="M4869" i="7"/>
  <c r="M4865" i="7"/>
  <c r="M4861" i="7"/>
  <c r="M4857" i="7"/>
  <c r="M4853" i="7"/>
  <c r="M4849" i="7"/>
  <c r="M4845" i="7"/>
  <c r="M4841" i="7"/>
  <c r="M4837" i="7"/>
  <c r="M4833" i="7"/>
  <c r="M4829" i="7"/>
  <c r="M4825" i="7"/>
  <c r="M4821" i="7"/>
  <c r="M4817" i="7"/>
  <c r="M4813" i="7"/>
  <c r="M4809" i="7"/>
  <c r="M4805" i="7"/>
  <c r="M4801" i="7"/>
  <c r="M4797" i="7"/>
  <c r="M4793" i="7"/>
  <c r="M4789" i="7"/>
  <c r="M4785" i="7"/>
  <c r="M4781" i="7"/>
  <c r="M4777" i="7"/>
  <c r="M4773" i="7"/>
  <c r="M4769" i="7"/>
  <c r="M4765" i="7"/>
  <c r="M4761" i="7"/>
  <c r="M4757" i="7"/>
  <c r="M4753" i="7"/>
  <c r="M4749" i="7"/>
  <c r="M4745" i="7"/>
  <c r="M4741" i="7"/>
  <c r="M4737" i="7"/>
  <c r="M4733" i="7"/>
  <c r="M4729" i="7"/>
  <c r="M4725" i="7"/>
  <c r="M4721" i="7"/>
  <c r="M4717" i="7"/>
  <c r="M4713" i="7"/>
  <c r="M4709" i="7"/>
  <c r="M4705" i="7"/>
  <c r="M4701" i="7"/>
  <c r="M4697" i="7"/>
  <c r="M4693" i="7"/>
  <c r="M4689" i="7"/>
  <c r="M4685" i="7"/>
  <c r="M4681" i="7"/>
  <c r="M4677" i="7"/>
  <c r="M4673" i="7"/>
  <c r="M4669" i="7"/>
  <c r="M4665" i="7"/>
  <c r="M5000" i="7"/>
  <c r="M4996" i="7"/>
  <c r="M4992" i="7"/>
  <c r="M4988" i="7"/>
  <c r="M4984" i="7"/>
  <c r="M4980" i="7"/>
  <c r="M4976" i="7"/>
  <c r="M4972" i="7"/>
  <c r="M4968" i="7"/>
  <c r="M4964" i="7"/>
  <c r="M4960" i="7"/>
  <c r="M4956" i="7"/>
  <c r="M4952" i="7"/>
  <c r="M4948" i="7"/>
  <c r="M4944" i="7"/>
  <c r="M4940" i="7"/>
  <c r="M4936" i="7"/>
  <c r="M4932" i="7"/>
  <c r="M4928" i="7"/>
  <c r="M4924" i="7"/>
  <c r="M4920" i="7"/>
  <c r="M4916" i="7"/>
  <c r="M4912" i="7"/>
  <c r="M4908" i="7"/>
  <c r="M4904" i="7"/>
  <c r="M4900" i="7"/>
  <c r="M4896" i="7"/>
  <c r="M4892" i="7"/>
  <c r="M4888" i="7"/>
  <c r="M4884" i="7"/>
  <c r="M4880" i="7"/>
  <c r="M4876" i="7"/>
  <c r="M4872" i="7"/>
  <c r="M4868" i="7"/>
  <c r="M4864" i="7"/>
  <c r="M4860" i="7"/>
  <c r="M4856" i="7"/>
  <c r="M4852" i="7"/>
  <c r="M4848" i="7"/>
  <c r="M4844" i="7"/>
  <c r="M4840" i="7"/>
  <c r="M4836" i="7"/>
  <c r="M4832" i="7"/>
  <c r="M4828" i="7"/>
  <c r="M4824" i="7"/>
  <c r="M4820" i="7"/>
  <c r="M4816" i="7"/>
  <c r="M4812" i="7"/>
  <c r="M4808" i="7"/>
  <c r="M4804" i="7"/>
  <c r="M4800" i="7"/>
  <c r="M4796" i="7"/>
  <c r="M4792" i="7"/>
  <c r="M4788" i="7"/>
  <c r="M4784" i="7"/>
  <c r="M4780" i="7"/>
  <c r="M4776" i="7"/>
  <c r="M4772" i="7"/>
  <c r="M4768" i="7"/>
  <c r="M4764" i="7"/>
  <c r="M4760" i="7"/>
  <c r="M4756" i="7"/>
  <c r="M4752" i="7"/>
  <c r="M4748" i="7"/>
  <c r="M4744" i="7"/>
  <c r="M4740" i="7"/>
  <c r="M4736" i="7"/>
  <c r="M4999" i="7"/>
  <c r="M4983" i="7"/>
  <c r="M4967" i="7"/>
  <c r="M4951" i="7"/>
  <c r="M4935" i="7"/>
  <c r="M4919" i="7"/>
  <c r="M4903" i="7"/>
  <c r="M4887" i="7"/>
  <c r="M4871" i="7"/>
  <c r="M4855" i="7"/>
  <c r="M4839" i="7"/>
  <c r="M4823" i="7"/>
  <c r="M4807" i="7"/>
  <c r="M4791" i="7"/>
  <c r="M4775" i="7"/>
  <c r="M4759" i="7"/>
  <c r="M4743" i="7"/>
  <c r="M4731" i="7"/>
  <c r="M4723" i="7"/>
  <c r="M4715" i="7"/>
  <c r="M4707" i="7"/>
  <c r="M4699" i="7"/>
  <c r="M4691" i="7"/>
  <c r="M4683" i="7"/>
  <c r="M4675" i="7"/>
  <c r="M4667" i="7"/>
  <c r="M4661" i="7"/>
  <c r="M4657" i="7"/>
  <c r="M4653" i="7"/>
  <c r="M4649" i="7"/>
  <c r="M4645" i="7"/>
  <c r="M4641" i="7"/>
  <c r="M4637" i="7"/>
  <c r="M4633" i="7"/>
  <c r="M4629" i="7"/>
  <c r="M4625" i="7"/>
  <c r="M4621" i="7"/>
  <c r="M4617" i="7"/>
  <c r="M4613" i="7"/>
  <c r="M4609" i="7"/>
  <c r="M4605" i="7"/>
  <c r="M4601" i="7"/>
  <c r="M4597" i="7"/>
  <c r="M4593" i="7"/>
  <c r="M4589" i="7"/>
  <c r="M4585" i="7"/>
  <c r="M4581" i="7"/>
  <c r="M4577" i="7"/>
  <c r="M4573" i="7"/>
  <c r="M4569" i="7"/>
  <c r="M4565" i="7"/>
  <c r="M4561" i="7"/>
  <c r="M4557" i="7"/>
  <c r="M4553" i="7"/>
  <c r="M4549" i="7"/>
  <c r="M4545" i="7"/>
  <c r="M4541" i="7"/>
  <c r="M4537" i="7"/>
  <c r="M4533" i="7"/>
  <c r="M4529" i="7"/>
  <c r="M4525" i="7"/>
  <c r="M4521" i="7"/>
  <c r="M4517" i="7"/>
  <c r="M4513" i="7"/>
  <c r="M4509" i="7"/>
  <c r="M4505" i="7"/>
  <c r="M4501" i="7"/>
  <c r="M4497" i="7"/>
  <c r="M4493" i="7"/>
  <c r="M4489" i="7"/>
  <c r="M4485" i="7"/>
  <c r="M4481" i="7"/>
  <c r="M4477" i="7"/>
  <c r="M4473" i="7"/>
  <c r="M4469" i="7"/>
  <c r="M4465" i="7"/>
  <c r="M4461" i="7"/>
  <c r="M4457" i="7"/>
  <c r="M4453" i="7"/>
  <c r="M4449" i="7"/>
  <c r="M4445" i="7"/>
  <c r="M4441" i="7"/>
  <c r="M4437" i="7"/>
  <c r="M4433" i="7"/>
  <c r="M4429" i="7"/>
  <c r="M4425" i="7"/>
  <c r="M4995" i="7"/>
  <c r="M4979" i="7"/>
  <c r="M4963" i="7"/>
  <c r="M4947" i="7"/>
  <c r="M4931" i="7"/>
  <c r="M4915" i="7"/>
  <c r="M4899" i="7"/>
  <c r="M4883" i="7"/>
  <c r="M4867" i="7"/>
  <c r="M4851" i="7"/>
  <c r="M4835" i="7"/>
  <c r="M4819" i="7"/>
  <c r="M4803" i="7"/>
  <c r="M4787" i="7"/>
  <c r="M4771" i="7"/>
  <c r="M4755" i="7"/>
  <c r="M4739" i="7"/>
  <c r="M4728" i="7"/>
  <c r="M4720" i="7"/>
  <c r="M4712" i="7"/>
  <c r="M4704" i="7"/>
  <c r="M4696" i="7"/>
  <c r="M4688" i="7"/>
  <c r="M4680" i="7"/>
  <c r="M4672" i="7"/>
  <c r="M4664" i="7"/>
  <c r="M4660" i="7"/>
  <c r="M4656" i="7"/>
  <c r="M4652" i="7"/>
  <c r="M4648" i="7"/>
  <c r="M4644" i="7"/>
  <c r="M4640" i="7"/>
  <c r="M4636" i="7"/>
  <c r="M4632" i="7"/>
  <c r="M4628" i="7"/>
  <c r="M4624" i="7"/>
  <c r="M4620" i="7"/>
  <c r="M4616" i="7"/>
  <c r="M4612" i="7"/>
  <c r="M4608" i="7"/>
  <c r="M4604" i="7"/>
  <c r="M4600" i="7"/>
  <c r="M4596" i="7"/>
  <c r="M4592" i="7"/>
  <c r="M4588" i="7"/>
  <c r="M4584" i="7"/>
  <c r="M4580" i="7"/>
  <c r="M4576" i="7"/>
  <c r="M4572" i="7"/>
  <c r="M4568" i="7"/>
  <c r="M4564" i="7"/>
  <c r="M4560" i="7"/>
  <c r="M4556" i="7"/>
  <c r="M4552" i="7"/>
  <c r="M4548" i="7"/>
  <c r="M4544" i="7"/>
  <c r="M4540" i="7"/>
  <c r="M4536" i="7"/>
  <c r="M4532" i="7"/>
  <c r="M4528" i="7"/>
  <c r="M4524" i="7"/>
  <c r="M4520" i="7"/>
  <c r="M4516" i="7"/>
  <c r="M4512" i="7"/>
  <c r="M4508" i="7"/>
  <c r="M4504" i="7"/>
  <c r="M4500" i="7"/>
  <c r="M4496" i="7"/>
  <c r="M4492" i="7"/>
  <c r="M4488" i="7"/>
  <c r="M4484" i="7"/>
  <c r="M4480" i="7"/>
  <c r="M4476" i="7"/>
  <c r="M4472" i="7"/>
  <c r="M4468" i="7"/>
  <c r="M4464" i="7"/>
  <c r="M4460" i="7"/>
  <c r="M4456" i="7"/>
  <c r="M4452" i="7"/>
  <c r="M4448" i="7"/>
  <c r="M4444" i="7"/>
  <c r="M4440" i="7"/>
  <c r="M4436" i="7"/>
  <c r="M4432" i="7"/>
  <c r="M4428" i="7"/>
  <c r="M4991" i="7"/>
  <c r="M4975" i="7"/>
  <c r="M4959" i="7"/>
  <c r="M4943" i="7"/>
  <c r="M4927" i="7"/>
  <c r="M4911" i="7"/>
  <c r="M4895" i="7"/>
  <c r="M4879" i="7"/>
  <c r="M4863" i="7"/>
  <c r="M4847" i="7"/>
  <c r="M4831" i="7"/>
  <c r="M4987" i="7"/>
  <c r="M4923" i="7"/>
  <c r="M4859" i="7"/>
  <c r="M4811" i="7"/>
  <c r="M4779" i="7"/>
  <c r="M4747" i="7"/>
  <c r="M4724" i="7"/>
  <c r="M4708" i="7"/>
  <c r="M4692" i="7"/>
  <c r="M4676" i="7"/>
  <c r="M4662" i="7"/>
  <c r="M4654" i="7"/>
  <c r="M4646" i="7"/>
  <c r="M4638" i="7"/>
  <c r="M4630" i="7"/>
  <c r="M4622" i="7"/>
  <c r="M4614" i="7"/>
  <c r="M4606" i="7"/>
  <c r="M4598" i="7"/>
  <c r="M4590" i="7"/>
  <c r="M4582" i="7"/>
  <c r="M4574" i="7"/>
  <c r="M4566" i="7"/>
  <c r="M4558" i="7"/>
  <c r="M4550" i="7"/>
  <c r="M4542" i="7"/>
  <c r="M4534" i="7"/>
  <c r="M4526" i="7"/>
  <c r="M4518" i="7"/>
  <c r="M4510" i="7"/>
  <c r="M4502" i="7"/>
  <c r="M4494" i="7"/>
  <c r="M4486" i="7"/>
  <c r="M4478" i="7"/>
  <c r="M4470" i="7"/>
  <c r="M4462" i="7"/>
  <c r="M4454" i="7"/>
  <c r="M4446" i="7"/>
  <c r="M4438" i="7"/>
  <c r="M4430" i="7"/>
  <c r="M4423" i="7"/>
  <c r="M4419" i="7"/>
  <c r="M4415" i="7"/>
  <c r="M4411" i="7"/>
  <c r="M4407" i="7"/>
  <c r="M4403" i="7"/>
  <c r="M4399" i="7"/>
  <c r="M4395" i="7"/>
  <c r="M4391" i="7"/>
  <c r="M4387" i="7"/>
  <c r="M4383" i="7"/>
  <c r="M4379" i="7"/>
  <c r="M4375" i="7"/>
  <c r="M4371" i="7"/>
  <c r="M4367" i="7"/>
  <c r="M4363" i="7"/>
  <c r="M4359" i="7"/>
  <c r="M4355" i="7"/>
  <c r="M4351" i="7"/>
  <c r="M4347" i="7"/>
  <c r="M4343" i="7"/>
  <c r="M4339" i="7"/>
  <c r="M4335" i="7"/>
  <c r="M4331" i="7"/>
  <c r="M4327" i="7"/>
  <c r="M4323" i="7"/>
  <c r="M4319" i="7"/>
  <c r="M4315" i="7"/>
  <c r="M4311" i="7"/>
  <c r="M4307" i="7"/>
  <c r="M4303" i="7"/>
  <c r="M4299" i="7"/>
  <c r="M4295" i="7"/>
  <c r="M4291" i="7"/>
  <c r="M4287" i="7"/>
  <c r="M4283" i="7"/>
  <c r="M4279" i="7"/>
  <c r="M4275" i="7"/>
  <c r="M4271" i="7"/>
  <c r="M4267" i="7"/>
  <c r="M4263" i="7"/>
  <c r="M4259" i="7"/>
  <c r="M4255" i="7"/>
  <c r="M4251" i="7"/>
  <c r="M4247" i="7"/>
  <c r="M4243" i="7"/>
  <c r="M4971" i="7"/>
  <c r="M4907" i="7"/>
  <c r="M4843" i="7"/>
  <c r="M4799" i="7"/>
  <c r="M4767" i="7"/>
  <c r="M4735" i="7"/>
  <c r="M4719" i="7"/>
  <c r="M4703" i="7"/>
  <c r="M4687" i="7"/>
  <c r="M4671" i="7"/>
  <c r="M4659" i="7"/>
  <c r="M4651" i="7"/>
  <c r="M4643" i="7"/>
  <c r="M4635" i="7"/>
  <c r="M4627" i="7"/>
  <c r="M4619" i="7"/>
  <c r="M4611" i="7"/>
  <c r="M4603" i="7"/>
  <c r="M4595" i="7"/>
  <c r="M4587" i="7"/>
  <c r="M4579" i="7"/>
  <c r="M4571" i="7"/>
  <c r="M4563" i="7"/>
  <c r="M4555" i="7"/>
  <c r="M4547" i="7"/>
  <c r="M4539" i="7"/>
  <c r="M4531" i="7"/>
  <c r="M4523" i="7"/>
  <c r="M4515" i="7"/>
  <c r="M4507" i="7"/>
  <c r="M4499" i="7"/>
  <c r="M4491" i="7"/>
  <c r="M4483" i="7"/>
  <c r="M4475" i="7"/>
  <c r="M4467" i="7"/>
  <c r="M4459" i="7"/>
  <c r="M4451" i="7"/>
  <c r="M4443" i="7"/>
  <c r="M4435" i="7"/>
  <c r="M4427" i="7"/>
  <c r="M4422" i="7"/>
  <c r="M4418" i="7"/>
  <c r="M4414" i="7"/>
  <c r="M4410" i="7"/>
  <c r="M4406" i="7"/>
  <c r="M4402" i="7"/>
  <c r="M4398" i="7"/>
  <c r="M4394" i="7"/>
  <c r="M4390" i="7"/>
  <c r="M4955" i="7"/>
  <c r="M4891" i="7"/>
  <c r="M4827" i="7"/>
  <c r="M4795" i="7"/>
  <c r="M4763" i="7"/>
  <c r="M4732" i="7"/>
  <c r="M4716" i="7"/>
  <c r="M4700" i="7"/>
  <c r="M4684" i="7"/>
  <c r="M4668" i="7"/>
  <c r="M4658" i="7"/>
  <c r="M4650" i="7"/>
  <c r="M4642" i="7"/>
  <c r="M4634" i="7"/>
  <c r="M4626" i="7"/>
  <c r="M4618" i="7"/>
  <c r="M4610" i="7"/>
  <c r="M4602" i="7"/>
  <c r="M4594" i="7"/>
  <c r="M4586" i="7"/>
  <c r="M4578" i="7"/>
  <c r="M4570" i="7"/>
  <c r="M4562" i="7"/>
  <c r="M4554" i="7"/>
  <c r="M4546" i="7"/>
  <c r="M4538" i="7"/>
  <c r="M4530" i="7"/>
  <c r="M4522" i="7"/>
  <c r="M4514" i="7"/>
  <c r="M4506" i="7"/>
  <c r="M4498" i="7"/>
  <c r="M4490" i="7"/>
  <c r="M4482" i="7"/>
  <c r="M4474" i="7"/>
  <c r="M4466" i="7"/>
  <c r="M4458" i="7"/>
  <c r="M4450" i="7"/>
  <c r="M4442" i="7"/>
  <c r="M4434" i="7"/>
  <c r="M4426" i="7"/>
  <c r="M4421" i="7"/>
  <c r="M4417" i="7"/>
  <c r="M4413" i="7"/>
  <c r="M4409" i="7"/>
  <c r="M4405" i="7"/>
  <c r="M4401" i="7"/>
  <c r="M4397" i="7"/>
  <c r="M4393" i="7"/>
  <c r="M4389" i="7"/>
  <c r="M4385" i="7"/>
  <c r="M4381" i="7"/>
  <c r="M4377" i="7"/>
  <c r="M4373" i="7"/>
  <c r="M4369" i="7"/>
  <c r="M4365" i="7"/>
  <c r="M4361" i="7"/>
  <c r="M4357" i="7"/>
  <c r="M4353" i="7"/>
  <c r="M4349" i="7"/>
  <c r="M4345" i="7"/>
  <c r="M4341" i="7"/>
  <c r="M4337" i="7"/>
  <c r="M4333" i="7"/>
  <c r="M4329" i="7"/>
  <c r="M4325" i="7"/>
  <c r="M4321" i="7"/>
  <c r="M4317" i="7"/>
  <c r="M4313" i="7"/>
  <c r="M4309" i="7"/>
  <c r="M4305" i="7"/>
  <c r="M4301" i="7"/>
  <c r="M4297" i="7"/>
  <c r="M4293" i="7"/>
  <c r="M4289" i="7"/>
  <c r="M4285" i="7"/>
  <c r="M4281" i="7"/>
  <c r="M4277" i="7"/>
  <c r="M4273" i="7"/>
  <c r="M4269" i="7"/>
  <c r="M4265" i="7"/>
  <c r="M4261" i="7"/>
  <c r="M4257" i="7"/>
  <c r="M4253" i="7"/>
  <c r="M4249" i="7"/>
  <c r="M4245" i="7"/>
  <c r="M4939" i="7"/>
  <c r="M4751" i="7"/>
  <c r="M4679" i="7"/>
  <c r="M4639" i="7"/>
  <c r="M4607" i="7"/>
  <c r="M4575" i="7"/>
  <c r="M4543" i="7"/>
  <c r="M4511" i="7"/>
  <c r="M4479" i="7"/>
  <c r="M4447" i="7"/>
  <c r="M4420" i="7"/>
  <c r="M4404" i="7"/>
  <c r="M4388" i="7"/>
  <c r="M4380" i="7"/>
  <c r="M4372" i="7"/>
  <c r="M4364" i="7"/>
  <c r="M4356" i="7"/>
  <c r="M4348" i="7"/>
  <c r="M4340" i="7"/>
  <c r="M4332" i="7"/>
  <c r="M4324" i="7"/>
  <c r="M4316" i="7"/>
  <c r="M4308" i="7"/>
  <c r="M4300" i="7"/>
  <c r="M4292" i="7"/>
  <c r="M4284" i="7"/>
  <c r="M4276" i="7"/>
  <c r="M4268" i="7"/>
  <c r="M4260" i="7"/>
  <c r="M4252" i="7"/>
  <c r="M4244" i="7"/>
  <c r="M4239" i="7"/>
  <c r="M4235" i="7"/>
  <c r="M4231" i="7"/>
  <c r="M4227" i="7"/>
  <c r="M4223" i="7"/>
  <c r="M4219" i="7"/>
  <c r="M4215" i="7"/>
  <c r="M4211" i="7"/>
  <c r="M4207" i="7"/>
  <c r="M4203" i="7"/>
  <c r="M4199" i="7"/>
  <c r="M4195" i="7"/>
  <c r="M4191" i="7"/>
  <c r="M4187" i="7"/>
  <c r="M4183" i="7"/>
  <c r="M4179" i="7"/>
  <c r="M4175" i="7"/>
  <c r="M4171" i="7"/>
  <c r="M4167" i="7"/>
  <c r="M4163" i="7"/>
  <c r="M4159" i="7"/>
  <c r="M4155" i="7"/>
  <c r="M4151" i="7"/>
  <c r="M4147" i="7"/>
  <c r="M4143" i="7"/>
  <c r="M4139" i="7"/>
  <c r="M4135" i="7"/>
  <c r="M4131" i="7"/>
  <c r="M4127" i="7"/>
  <c r="M4123" i="7"/>
  <c r="M4119" i="7"/>
  <c r="M4115" i="7"/>
  <c r="M4111" i="7"/>
  <c r="M4107" i="7"/>
  <c r="M4103" i="7"/>
  <c r="M4099" i="7"/>
  <c r="M4095" i="7"/>
  <c r="M4091" i="7"/>
  <c r="M4087" i="7"/>
  <c r="M4083" i="7"/>
  <c r="M4079" i="7"/>
  <c r="M4075" i="7"/>
  <c r="M4071" i="7"/>
  <c r="M4067" i="7"/>
  <c r="M4063" i="7"/>
  <c r="M4059" i="7"/>
  <c r="M4055" i="7"/>
  <c r="M4051" i="7"/>
  <c r="M4047" i="7"/>
  <c r="M4043" i="7"/>
  <c r="M4039" i="7"/>
  <c r="M4035" i="7"/>
  <c r="M4031" i="7"/>
  <c r="M4027" i="7"/>
  <c r="M4023" i="7"/>
  <c r="M4019" i="7"/>
  <c r="M4015" i="7"/>
  <c r="M4011" i="7"/>
  <c r="M4007" i="7"/>
  <c r="M4003" i="7"/>
  <c r="M3999" i="7"/>
  <c r="M3995" i="7"/>
  <c r="M3991" i="7"/>
  <c r="M3987" i="7"/>
  <c r="M3983" i="7"/>
  <c r="M3979" i="7"/>
  <c r="M3975" i="7"/>
  <c r="M3971" i="7"/>
  <c r="M3967" i="7"/>
  <c r="M3963" i="7"/>
  <c r="M3959" i="7"/>
  <c r="M3955" i="7"/>
  <c r="M3951" i="7"/>
  <c r="M3947" i="7"/>
  <c r="M3943" i="7"/>
  <c r="M3939" i="7"/>
  <c r="M3935" i="7"/>
  <c r="M3931" i="7"/>
  <c r="M3927" i="7"/>
  <c r="M4875" i="7"/>
  <c r="M4727" i="7"/>
  <c r="M4663" i="7"/>
  <c r="M4631" i="7"/>
  <c r="M4599" i="7"/>
  <c r="M4567" i="7"/>
  <c r="M4535" i="7"/>
  <c r="M4503" i="7"/>
  <c r="M4471" i="7"/>
  <c r="M4439" i="7"/>
  <c r="M4416" i="7"/>
  <c r="M4400" i="7"/>
  <c r="M4386" i="7"/>
  <c r="M4378" i="7"/>
  <c r="M4370" i="7"/>
  <c r="M4362" i="7"/>
  <c r="M4354" i="7"/>
  <c r="M4346" i="7"/>
  <c r="M4338" i="7"/>
  <c r="M4330" i="7"/>
  <c r="M4322" i="7"/>
  <c r="M4314" i="7"/>
  <c r="M4306" i="7"/>
  <c r="M4298" i="7"/>
  <c r="M4290" i="7"/>
  <c r="M4282" i="7"/>
  <c r="M4274" i="7"/>
  <c r="M4266" i="7"/>
  <c r="M4258" i="7"/>
  <c r="M4250" i="7"/>
  <c r="M4242" i="7"/>
  <c r="M4238" i="7"/>
  <c r="M4234" i="7"/>
  <c r="M4230" i="7"/>
  <c r="M4226" i="7"/>
  <c r="M4222" i="7"/>
  <c r="M4218" i="7"/>
  <c r="M4214" i="7"/>
  <c r="M4210" i="7"/>
  <c r="M4206" i="7"/>
  <c r="M4202" i="7"/>
  <c r="M4198" i="7"/>
  <c r="M4194" i="7"/>
  <c r="M4190" i="7"/>
  <c r="M4186" i="7"/>
  <c r="M4182" i="7"/>
  <c r="M4178" i="7"/>
  <c r="M4174" i="7"/>
  <c r="M4170" i="7"/>
  <c r="M4166" i="7"/>
  <c r="M4162" i="7"/>
  <c r="M4158" i="7"/>
  <c r="M4154" i="7"/>
  <c r="M4150" i="7"/>
  <c r="M4146" i="7"/>
  <c r="M4142" i="7"/>
  <c r="M4138" i="7"/>
  <c r="M4134" i="7"/>
  <c r="M4130" i="7"/>
  <c r="M4126" i="7"/>
  <c r="M4122" i="7"/>
  <c r="M4118" i="7"/>
  <c r="M4114" i="7"/>
  <c r="M4110" i="7"/>
  <c r="M4106" i="7"/>
  <c r="M4102" i="7"/>
  <c r="M4098" i="7"/>
  <c r="M4094" i="7"/>
  <c r="M4090" i="7"/>
  <c r="M4086" i="7"/>
  <c r="M4082" i="7"/>
  <c r="M4078" i="7"/>
  <c r="M4074" i="7"/>
  <c r="M4070" i="7"/>
  <c r="M4066" i="7"/>
  <c r="M4062" i="7"/>
  <c r="M4058" i="7"/>
  <c r="M4054" i="7"/>
  <c r="M4050" i="7"/>
  <c r="M4046" i="7"/>
  <c r="M4042" i="7"/>
  <c r="M4038" i="7"/>
  <c r="M4034" i="7"/>
  <c r="M4030" i="7"/>
  <c r="M4026" i="7"/>
  <c r="M4022" i="7"/>
  <c r="M4018" i="7"/>
  <c r="M4014" i="7"/>
  <c r="M4010" i="7"/>
  <c r="M4006" i="7"/>
  <c r="M4002" i="7"/>
  <c r="M3998" i="7"/>
  <c r="M3994" i="7"/>
  <c r="M3990" i="7"/>
  <c r="M3986" i="7"/>
  <c r="M3982" i="7"/>
  <c r="M3978" i="7"/>
  <c r="M3974" i="7"/>
  <c r="M3970" i="7"/>
  <c r="M3966" i="7"/>
  <c r="M3962" i="7"/>
  <c r="M3958" i="7"/>
  <c r="M3954" i="7"/>
  <c r="M3950" i="7"/>
  <c r="M3946" i="7"/>
  <c r="M3942" i="7"/>
  <c r="M3938" i="7"/>
  <c r="M3934" i="7"/>
  <c r="M3930" i="7"/>
  <c r="M3926" i="7"/>
  <c r="M3922" i="7"/>
  <c r="M3918" i="7"/>
  <c r="M3914" i="7"/>
  <c r="M3910" i="7"/>
  <c r="M3906" i="7"/>
  <c r="M3902" i="7"/>
  <c r="M3898" i="7"/>
  <c r="M3894" i="7"/>
  <c r="M3890" i="7"/>
  <c r="M3886" i="7"/>
  <c r="M3882" i="7"/>
  <c r="M3878" i="7"/>
  <c r="M3874" i="7"/>
  <c r="M3870" i="7"/>
  <c r="M3866" i="7"/>
  <c r="M3862" i="7"/>
  <c r="M3858" i="7"/>
  <c r="M3854" i="7"/>
  <c r="M3850" i="7"/>
  <c r="M3846" i="7"/>
  <c r="M3842" i="7"/>
  <c r="M3838" i="7"/>
  <c r="M3834" i="7"/>
  <c r="M3830" i="7"/>
  <c r="M3826" i="7"/>
  <c r="M3822" i="7"/>
  <c r="M3818" i="7"/>
  <c r="M3814" i="7"/>
  <c r="M3810" i="7"/>
  <c r="M3806" i="7"/>
  <c r="M3802" i="7"/>
  <c r="M3798" i="7"/>
  <c r="M3794" i="7"/>
  <c r="M3790" i="7"/>
  <c r="M3786" i="7"/>
  <c r="M3782" i="7"/>
  <c r="M3778" i="7"/>
  <c r="M3774" i="7"/>
  <c r="M3770" i="7"/>
  <c r="M3766" i="7"/>
  <c r="M3762" i="7"/>
  <c r="M3758" i="7"/>
  <c r="M3754" i="7"/>
  <c r="M3750" i="7"/>
  <c r="M3746" i="7"/>
  <c r="M3742" i="7"/>
  <c r="M3738" i="7"/>
  <c r="M3734" i="7"/>
  <c r="M3730" i="7"/>
  <c r="M3726" i="7"/>
  <c r="M3722" i="7"/>
  <c r="M3718" i="7"/>
  <c r="M3714" i="7"/>
  <c r="M3710" i="7"/>
  <c r="M3706" i="7"/>
  <c r="M3702" i="7"/>
  <c r="M3698" i="7"/>
  <c r="M3694" i="7"/>
  <c r="M3690" i="7"/>
  <c r="M3686" i="7"/>
  <c r="M4815" i="7"/>
  <c r="M4711" i="7"/>
  <c r="M4655" i="7"/>
  <c r="M4623" i="7"/>
  <c r="M4591" i="7"/>
  <c r="M4559" i="7"/>
  <c r="M4527" i="7"/>
  <c r="M4495" i="7"/>
  <c r="M4463" i="7"/>
  <c r="M4431" i="7"/>
  <c r="M4412" i="7"/>
  <c r="M4396" i="7"/>
  <c r="M4384" i="7"/>
  <c r="M4376" i="7"/>
  <c r="M4368" i="7"/>
  <c r="M4360" i="7"/>
  <c r="M4352" i="7"/>
  <c r="M4344" i="7"/>
  <c r="M4336" i="7"/>
  <c r="M4328" i="7"/>
  <c r="M4320" i="7"/>
  <c r="M4312" i="7"/>
  <c r="M4304" i="7"/>
  <c r="M4296" i="7"/>
  <c r="M4288" i="7"/>
  <c r="M4280" i="7"/>
  <c r="M4272" i="7"/>
  <c r="M4264" i="7"/>
  <c r="M4256" i="7"/>
  <c r="M4248" i="7"/>
  <c r="M4241" i="7"/>
  <c r="M4237" i="7"/>
  <c r="M4233" i="7"/>
  <c r="M4229" i="7"/>
  <c r="M4225" i="7"/>
  <c r="M4221" i="7"/>
  <c r="M4217" i="7"/>
  <c r="M4213" i="7"/>
  <c r="M4209" i="7"/>
  <c r="M4205" i="7"/>
  <c r="M4201" i="7"/>
  <c r="M4197" i="7"/>
  <c r="M4193" i="7"/>
  <c r="M4189" i="7"/>
  <c r="M4185" i="7"/>
  <c r="M4181" i="7"/>
  <c r="M4177" i="7"/>
  <c r="M4173" i="7"/>
  <c r="M4169" i="7"/>
  <c r="M4165" i="7"/>
  <c r="M4161" i="7"/>
  <c r="M4157" i="7"/>
  <c r="M4153" i="7"/>
  <c r="M4149" i="7"/>
  <c r="M4145" i="7"/>
  <c r="M4141" i="7"/>
  <c r="M4137" i="7"/>
  <c r="M4133" i="7"/>
  <c r="M4129" i="7"/>
  <c r="M4125" i="7"/>
  <c r="M4121" i="7"/>
  <c r="M4117" i="7"/>
  <c r="M4113" i="7"/>
  <c r="M4109" i="7"/>
  <c r="M4105" i="7"/>
  <c r="M4101" i="7"/>
  <c r="M4097" i="7"/>
  <c r="M4093" i="7"/>
  <c r="M4089" i="7"/>
  <c r="M4085" i="7"/>
  <c r="M4081" i="7"/>
  <c r="M4077" i="7"/>
  <c r="M4073" i="7"/>
  <c r="M4069" i="7"/>
  <c r="M4065" i="7"/>
  <c r="M4061" i="7"/>
  <c r="M4057" i="7"/>
  <c r="M4053" i="7"/>
  <c r="M4049" i="7"/>
  <c r="M4045" i="7"/>
  <c r="M4041" i="7"/>
  <c r="M4037" i="7"/>
  <c r="M4033" i="7"/>
  <c r="M4029" i="7"/>
  <c r="M4025" i="7"/>
  <c r="M4021" i="7"/>
  <c r="M4017" i="7"/>
  <c r="M4013" i="7"/>
  <c r="M4009" i="7"/>
  <c r="M4005" i="7"/>
  <c r="M4001" i="7"/>
  <c r="M3997" i="7"/>
  <c r="M3993" i="7"/>
  <c r="M3989" i="7"/>
  <c r="M3985" i="7"/>
  <c r="M3981" i="7"/>
  <c r="M3977" i="7"/>
  <c r="M3973" i="7"/>
  <c r="M3969" i="7"/>
  <c r="M3965" i="7"/>
  <c r="M3961" i="7"/>
  <c r="M3957" i="7"/>
  <c r="M3953" i="7"/>
  <c r="M3949" i="7"/>
  <c r="M3945" i="7"/>
  <c r="M3941" i="7"/>
  <c r="M3937" i="7"/>
  <c r="M3933" i="7"/>
  <c r="M3929" i="7"/>
  <c r="M3925" i="7"/>
  <c r="M3921" i="7"/>
  <c r="M3917" i="7"/>
  <c r="M3913" i="7"/>
  <c r="M3909" i="7"/>
  <c r="M3905" i="7"/>
  <c r="M3901" i="7"/>
  <c r="M3897" i="7"/>
  <c r="M3893" i="7"/>
  <c r="M3889" i="7"/>
  <c r="M3885" i="7"/>
  <c r="M3881" i="7"/>
  <c r="M3877" i="7"/>
  <c r="M3873" i="7"/>
  <c r="M3869" i="7"/>
  <c r="M3865" i="7"/>
  <c r="M3861" i="7"/>
  <c r="M3857" i="7"/>
  <c r="M3853" i="7"/>
  <c r="M3849" i="7"/>
  <c r="M3845" i="7"/>
  <c r="M3841" i="7"/>
  <c r="M3837" i="7"/>
  <c r="M3833" i="7"/>
  <c r="M3829" i="7"/>
  <c r="M3825" i="7"/>
  <c r="M3821" i="7"/>
  <c r="M3817" i="7"/>
  <c r="M3813" i="7"/>
  <c r="M3809" i="7"/>
  <c r="M3805" i="7"/>
  <c r="M3801" i="7"/>
  <c r="M3797" i="7"/>
  <c r="M3793" i="7"/>
  <c r="M3789" i="7"/>
  <c r="M3785" i="7"/>
  <c r="M3781" i="7"/>
  <c r="M3777" i="7"/>
  <c r="M3773" i="7"/>
  <c r="M3769" i="7"/>
  <c r="M3765" i="7"/>
  <c r="M3761" i="7"/>
  <c r="M3757" i="7"/>
  <c r="M3753" i="7"/>
  <c r="M3749" i="7"/>
  <c r="M3745" i="7"/>
  <c r="M3741" i="7"/>
  <c r="M3737" i="7"/>
  <c r="M3733" i="7"/>
  <c r="M3729" i="7"/>
  <c r="M3725" i="7"/>
  <c r="M3721" i="7"/>
  <c r="M3717" i="7"/>
  <c r="M3713" i="7"/>
  <c r="M3709" i="7"/>
  <c r="M3705" i="7"/>
  <c r="M3701" i="7"/>
  <c r="M3697" i="7"/>
  <c r="M3693" i="7"/>
  <c r="M3689" i="7"/>
  <c r="M3685" i="7"/>
  <c r="M4783" i="7"/>
  <c r="M4695" i="7"/>
  <c r="M4647" i="7"/>
  <c r="M4615" i="7"/>
  <c r="M4583" i="7"/>
  <c r="M4551" i="7"/>
  <c r="M4519" i="7"/>
  <c r="M4487" i="7"/>
  <c r="M4455" i="7"/>
  <c r="M4424" i="7"/>
  <c r="M4408" i="7"/>
  <c r="M4392" i="7"/>
  <c r="M4382" i="7"/>
  <c r="M4350" i="7"/>
  <c r="M4318" i="7"/>
  <c r="M4286" i="7"/>
  <c r="M4254" i="7"/>
  <c r="M4232" i="7"/>
  <c r="M4216" i="7"/>
  <c r="M4200" i="7"/>
  <c r="M4184" i="7"/>
  <c r="M4168" i="7"/>
  <c r="M4152" i="7"/>
  <c r="M4136" i="7"/>
  <c r="M4120" i="7"/>
  <c r="M4104" i="7"/>
  <c r="M4088" i="7"/>
  <c r="M4072" i="7"/>
  <c r="M4056" i="7"/>
  <c r="M4040" i="7"/>
  <c r="M4024" i="7"/>
  <c r="M4008" i="7"/>
  <c r="M3992" i="7"/>
  <c r="M3976" i="7"/>
  <c r="M3960" i="7"/>
  <c r="M3944" i="7"/>
  <c r="M3928" i="7"/>
  <c r="M3919" i="7"/>
  <c r="M3911" i="7"/>
  <c r="M3903" i="7"/>
  <c r="M3895" i="7"/>
  <c r="M3887" i="7"/>
  <c r="M3879" i="7"/>
  <c r="M3871" i="7"/>
  <c r="M3863" i="7"/>
  <c r="M3855" i="7"/>
  <c r="M3847" i="7"/>
  <c r="M3839" i="7"/>
  <c r="M3831" i="7"/>
  <c r="M3823" i="7"/>
  <c r="M3815" i="7"/>
  <c r="M3807" i="7"/>
  <c r="M3799" i="7"/>
  <c r="M3791" i="7"/>
  <c r="M3783" i="7"/>
  <c r="M3775" i="7"/>
  <c r="M3767" i="7"/>
  <c r="M3759" i="7"/>
  <c r="M3751" i="7"/>
  <c r="M3743" i="7"/>
  <c r="M3735" i="7"/>
  <c r="M3727" i="7"/>
  <c r="M3719" i="7"/>
  <c r="M3711" i="7"/>
  <c r="M3703" i="7"/>
  <c r="M3695" i="7"/>
  <c r="M3687" i="7"/>
  <c r="M3681" i="7"/>
  <c r="M3677" i="7"/>
  <c r="M3673" i="7"/>
  <c r="M3669" i="7"/>
  <c r="M3665" i="7"/>
  <c r="M3661" i="7"/>
  <c r="M3657" i="7"/>
  <c r="M3653" i="7"/>
  <c r="M3649" i="7"/>
  <c r="M3645" i="7"/>
  <c r="M3641" i="7"/>
  <c r="M3637" i="7"/>
  <c r="M3633" i="7"/>
  <c r="M3629" i="7"/>
  <c r="M3625" i="7"/>
  <c r="M3621" i="7"/>
  <c r="M3617" i="7"/>
  <c r="M3613" i="7"/>
  <c r="M3609" i="7"/>
  <c r="M3605" i="7"/>
  <c r="M3601" i="7"/>
  <c r="M3597" i="7"/>
  <c r="M3593" i="7"/>
  <c r="M3589" i="7"/>
  <c r="M3585" i="7"/>
  <c r="M3581" i="7"/>
  <c r="M3577" i="7"/>
  <c r="M3573" i="7"/>
  <c r="M3569" i="7"/>
  <c r="M3565" i="7"/>
  <c r="M3561" i="7"/>
  <c r="M3557" i="7"/>
  <c r="M3553" i="7"/>
  <c r="M3549" i="7"/>
  <c r="M3545" i="7"/>
  <c r="M3541" i="7"/>
  <c r="M3537" i="7"/>
  <c r="M3533" i="7"/>
  <c r="M3529" i="7"/>
  <c r="M3525" i="7"/>
  <c r="M3521" i="7"/>
  <c r="M3517" i="7"/>
  <c r="M3513" i="7"/>
  <c r="M3509" i="7"/>
  <c r="M3505" i="7"/>
  <c r="M3501" i="7"/>
  <c r="M3497" i="7"/>
  <c r="M3493" i="7"/>
  <c r="M3489" i="7"/>
  <c r="M3485" i="7"/>
  <c r="M3481" i="7"/>
  <c r="M3477" i="7"/>
  <c r="M3473" i="7"/>
  <c r="M3469" i="7"/>
  <c r="M3465" i="7"/>
  <c r="M3461" i="7"/>
  <c r="M3457" i="7"/>
  <c r="M3453" i="7"/>
  <c r="M3449" i="7"/>
  <c r="M3445" i="7"/>
  <c r="M3441" i="7"/>
  <c r="M3437" i="7"/>
  <c r="M3433" i="7"/>
  <c r="M3429" i="7"/>
  <c r="M3425" i="7"/>
  <c r="M3421" i="7"/>
  <c r="M3417" i="7"/>
  <c r="M3413" i="7"/>
  <c r="M3409" i="7"/>
  <c r="M3405" i="7"/>
  <c r="M3401" i="7"/>
  <c r="M3397" i="7"/>
  <c r="M3393" i="7"/>
  <c r="M3389" i="7"/>
  <c r="M3385" i="7"/>
  <c r="M3381" i="7"/>
  <c r="M3377" i="7"/>
  <c r="M3373" i="7"/>
  <c r="M3369" i="7"/>
  <c r="M3365" i="7"/>
  <c r="M3361" i="7"/>
  <c r="M3357" i="7"/>
  <c r="M3353" i="7"/>
  <c r="M3349" i="7"/>
  <c r="M3345" i="7"/>
  <c r="M3341" i="7"/>
  <c r="M3337" i="7"/>
  <c r="M3333" i="7"/>
  <c r="M3329" i="7"/>
  <c r="M3325" i="7"/>
  <c r="M3321" i="7"/>
  <c r="M3317" i="7"/>
  <c r="M3313" i="7"/>
  <c r="M3309" i="7"/>
  <c r="M3305" i="7"/>
  <c r="M3301" i="7"/>
  <c r="M3297" i="7"/>
  <c r="M3293" i="7"/>
  <c r="M3289" i="7"/>
  <c r="M3285" i="7"/>
  <c r="M3281" i="7"/>
  <c r="M3277" i="7"/>
  <c r="M3273" i="7"/>
  <c r="M3269" i="7"/>
  <c r="M3265" i="7"/>
  <c r="M3261" i="7"/>
  <c r="M3257" i="7"/>
  <c r="M3253" i="7"/>
  <c r="M3249" i="7"/>
  <c r="M3245" i="7"/>
  <c r="M3241" i="7"/>
  <c r="M3237" i="7"/>
  <c r="M3233" i="7"/>
  <c r="M3229" i="7"/>
  <c r="M3225" i="7"/>
  <c r="M4374" i="7"/>
  <c r="M4342" i="7"/>
  <c r="M4310" i="7"/>
  <c r="M4278" i="7"/>
  <c r="M4246" i="7"/>
  <c r="M4228" i="7"/>
  <c r="M4212" i="7"/>
  <c r="M4196" i="7"/>
  <c r="M4180" i="7"/>
  <c r="M4164" i="7"/>
  <c r="M4148" i="7"/>
  <c r="M4132" i="7"/>
  <c r="M4116" i="7"/>
  <c r="M4100" i="7"/>
  <c r="M4084" i="7"/>
  <c r="M4068" i="7"/>
  <c r="M4052" i="7"/>
  <c r="M4036" i="7"/>
  <c r="M4020" i="7"/>
  <c r="M4004" i="7"/>
  <c r="M3988" i="7"/>
  <c r="M3972" i="7"/>
  <c r="M3956" i="7"/>
  <c r="M3940" i="7"/>
  <c r="M3924" i="7"/>
  <c r="M3916" i="7"/>
  <c r="M3908" i="7"/>
  <c r="M3900" i="7"/>
  <c r="M3892" i="7"/>
  <c r="M3884" i="7"/>
  <c r="M3876" i="7"/>
  <c r="M3868" i="7"/>
  <c r="M3860" i="7"/>
  <c r="M3852" i="7"/>
  <c r="M3844" i="7"/>
  <c r="M3836" i="7"/>
  <c r="M3828" i="7"/>
  <c r="M3820" i="7"/>
  <c r="M3812" i="7"/>
  <c r="M3804" i="7"/>
  <c r="M3796" i="7"/>
  <c r="M3788" i="7"/>
  <c r="M3780" i="7"/>
  <c r="M3772" i="7"/>
  <c r="M3764" i="7"/>
  <c r="M3756" i="7"/>
  <c r="M3748" i="7"/>
  <c r="M3740" i="7"/>
  <c r="M3732" i="7"/>
  <c r="M3724" i="7"/>
  <c r="M3716" i="7"/>
  <c r="M3708" i="7"/>
  <c r="M3700" i="7"/>
  <c r="M3692" i="7"/>
  <c r="M3684" i="7"/>
  <c r="M3680" i="7"/>
  <c r="M3676" i="7"/>
  <c r="M3672" i="7"/>
  <c r="M3668" i="7"/>
  <c r="M3664" i="7"/>
  <c r="M3660" i="7"/>
  <c r="M3656" i="7"/>
  <c r="M3652" i="7"/>
  <c r="M3648" i="7"/>
  <c r="M3644" i="7"/>
  <c r="M3640" i="7"/>
  <c r="M3636" i="7"/>
  <c r="M3632" i="7"/>
  <c r="M3628" i="7"/>
  <c r="M3624" i="7"/>
  <c r="M3620" i="7"/>
  <c r="M3616" i="7"/>
  <c r="M3612" i="7"/>
  <c r="M3608" i="7"/>
  <c r="M3604" i="7"/>
  <c r="M3600" i="7"/>
  <c r="M3596" i="7"/>
  <c r="M3592" i="7"/>
  <c r="M3588" i="7"/>
  <c r="M3584" i="7"/>
  <c r="M3580" i="7"/>
  <c r="M3576" i="7"/>
  <c r="M3572" i="7"/>
  <c r="M3568" i="7"/>
  <c r="M3564" i="7"/>
  <c r="M3560" i="7"/>
  <c r="M3556" i="7"/>
  <c r="M3552" i="7"/>
  <c r="M3548" i="7"/>
  <c r="M3544" i="7"/>
  <c r="M3540" i="7"/>
  <c r="M3536" i="7"/>
  <c r="M3532" i="7"/>
  <c r="M3528" i="7"/>
  <c r="M3524" i="7"/>
  <c r="M3520" i="7"/>
  <c r="M3516" i="7"/>
  <c r="M3512" i="7"/>
  <c r="M3508" i="7"/>
  <c r="M3504" i="7"/>
  <c r="M3500" i="7"/>
  <c r="M3496" i="7"/>
  <c r="M3492" i="7"/>
  <c r="M3488" i="7"/>
  <c r="M3484" i="7"/>
  <c r="M3480" i="7"/>
  <c r="M3476" i="7"/>
  <c r="M3472" i="7"/>
  <c r="M3468" i="7"/>
  <c r="M3464" i="7"/>
  <c r="M3460" i="7"/>
  <c r="M3456" i="7"/>
  <c r="M3452" i="7"/>
  <c r="M3448" i="7"/>
  <c r="M3444" i="7"/>
  <c r="M3440" i="7"/>
  <c r="M3436" i="7"/>
  <c r="M3432" i="7"/>
  <c r="M3428" i="7"/>
  <c r="M3424" i="7"/>
  <c r="M3420" i="7"/>
  <c r="M3416" i="7"/>
  <c r="M3412" i="7"/>
  <c r="M3408" i="7"/>
  <c r="M3404" i="7"/>
  <c r="M3400" i="7"/>
  <c r="M3396" i="7"/>
  <c r="M3392" i="7"/>
  <c r="M3388" i="7"/>
  <c r="M3384" i="7"/>
  <c r="M3380" i="7"/>
  <c r="M3376" i="7"/>
  <c r="M3372" i="7"/>
  <c r="M3368" i="7"/>
  <c r="M3364" i="7"/>
  <c r="M3360" i="7"/>
  <c r="M3356" i="7"/>
  <c r="M3352" i="7"/>
  <c r="M3348" i="7"/>
  <c r="M3344" i="7"/>
  <c r="M3340" i="7"/>
  <c r="M3336" i="7"/>
  <c r="M3332" i="7"/>
  <c r="M3328" i="7"/>
  <c r="M3324" i="7"/>
  <c r="M3320" i="7"/>
  <c r="M3316" i="7"/>
  <c r="M3312" i="7"/>
  <c r="M3308" i="7"/>
  <c r="M3304" i="7"/>
  <c r="M3300" i="7"/>
  <c r="M3296" i="7"/>
  <c r="M3292" i="7"/>
  <c r="M3288" i="7"/>
  <c r="M3284" i="7"/>
  <c r="M3280" i="7"/>
  <c r="M3276" i="7"/>
  <c r="M3272" i="7"/>
  <c r="M3268" i="7"/>
  <c r="M3264" i="7"/>
  <c r="M3260" i="7"/>
  <c r="M3256" i="7"/>
  <c r="M3252" i="7"/>
  <c r="M3248" i="7"/>
  <c r="M3244" i="7"/>
  <c r="M3240" i="7"/>
  <c r="M3236" i="7"/>
  <c r="M3232" i="7"/>
  <c r="M3228" i="7"/>
  <c r="M3224" i="7"/>
  <c r="M4366" i="7"/>
  <c r="M4334" i="7"/>
  <c r="M4302" i="7"/>
  <c r="M4270" i="7"/>
  <c r="M4240" i="7"/>
  <c r="M4224" i="7"/>
  <c r="M4208" i="7"/>
  <c r="M4192" i="7"/>
  <c r="M4176" i="7"/>
  <c r="M4160" i="7"/>
  <c r="M4144" i="7"/>
  <c r="M4128" i="7"/>
  <c r="M4112" i="7"/>
  <c r="M4096" i="7"/>
  <c r="M4080" i="7"/>
  <c r="M4064" i="7"/>
  <c r="M4048" i="7"/>
  <c r="M4032" i="7"/>
  <c r="M4016" i="7"/>
  <c r="M4000" i="7"/>
  <c r="M3984" i="7"/>
  <c r="M3968" i="7"/>
  <c r="M3952" i="7"/>
  <c r="M3936" i="7"/>
  <c r="M3923" i="7"/>
  <c r="M3915" i="7"/>
  <c r="M3907" i="7"/>
  <c r="M3899" i="7"/>
  <c r="M3891" i="7"/>
  <c r="M3883" i="7"/>
  <c r="M3875" i="7"/>
  <c r="M3867" i="7"/>
  <c r="M3859" i="7"/>
  <c r="M3851" i="7"/>
  <c r="M3843" i="7"/>
  <c r="M3835" i="7"/>
  <c r="M3827" i="7"/>
  <c r="M3819" i="7"/>
  <c r="M3811" i="7"/>
  <c r="M3803" i="7"/>
  <c r="M3795" i="7"/>
  <c r="M3787" i="7"/>
  <c r="M3779" i="7"/>
  <c r="M3771" i="7"/>
  <c r="M3763" i="7"/>
  <c r="M3755" i="7"/>
  <c r="M3747" i="7"/>
  <c r="M3739" i="7"/>
  <c r="M3731" i="7"/>
  <c r="M3723" i="7"/>
  <c r="M3715" i="7"/>
  <c r="M3707" i="7"/>
  <c r="M3699" i="7"/>
  <c r="M3691" i="7"/>
  <c r="M3683" i="7"/>
  <c r="M3679" i="7"/>
  <c r="M3675" i="7"/>
  <c r="M3671" i="7"/>
  <c r="M3667" i="7"/>
  <c r="M3663" i="7"/>
  <c r="M3659" i="7"/>
  <c r="M3655" i="7"/>
  <c r="M3651" i="7"/>
  <c r="M3647" i="7"/>
  <c r="M3643" i="7"/>
  <c r="M3639" i="7"/>
  <c r="M3635" i="7"/>
  <c r="M3631" i="7"/>
  <c r="M3627" i="7"/>
  <c r="M3623" i="7"/>
  <c r="M3619" i="7"/>
  <c r="M3615" i="7"/>
  <c r="M3611" i="7"/>
  <c r="M3607" i="7"/>
  <c r="M3603" i="7"/>
  <c r="M3599" i="7"/>
  <c r="M3595" i="7"/>
  <c r="M3591" i="7"/>
  <c r="M3587" i="7"/>
  <c r="M3583" i="7"/>
  <c r="M3579" i="7"/>
  <c r="M3575" i="7"/>
  <c r="M3571" i="7"/>
  <c r="M3567" i="7"/>
  <c r="M3563" i="7"/>
  <c r="M3559" i="7"/>
  <c r="M3555" i="7"/>
  <c r="M3551" i="7"/>
  <c r="M3547" i="7"/>
  <c r="M3543" i="7"/>
  <c r="M3539" i="7"/>
  <c r="M3535" i="7"/>
  <c r="M3531" i="7"/>
  <c r="M3527" i="7"/>
  <c r="M3523" i="7"/>
  <c r="M3519" i="7"/>
  <c r="M3515" i="7"/>
  <c r="M3511" i="7"/>
  <c r="M3507" i="7"/>
  <c r="M3503" i="7"/>
  <c r="M3499" i="7"/>
  <c r="M3495" i="7"/>
  <c r="M3491" i="7"/>
  <c r="M3487" i="7"/>
  <c r="M3483" i="7"/>
  <c r="M3479" i="7"/>
  <c r="M3475" i="7"/>
  <c r="M3471" i="7"/>
  <c r="M3467" i="7"/>
  <c r="M3463" i="7"/>
  <c r="M3459" i="7"/>
  <c r="M3455" i="7"/>
  <c r="M3451" i="7"/>
  <c r="M3447" i="7"/>
  <c r="M3443" i="7"/>
  <c r="M3439" i="7"/>
  <c r="M3435" i="7"/>
  <c r="M3431" i="7"/>
  <c r="M3427" i="7"/>
  <c r="M4358" i="7"/>
  <c r="M4236" i="7"/>
  <c r="M4172" i="7"/>
  <c r="M4108" i="7"/>
  <c r="M4044" i="7"/>
  <c r="M3980" i="7"/>
  <c r="M3920" i="7"/>
  <c r="M3888" i="7"/>
  <c r="M3856" i="7"/>
  <c r="M3824" i="7"/>
  <c r="M3792" i="7"/>
  <c r="M3760" i="7"/>
  <c r="M3728" i="7"/>
  <c r="M3696" i="7"/>
  <c r="M3674" i="7"/>
  <c r="M3658" i="7"/>
  <c r="M3642" i="7"/>
  <c r="M3626" i="7"/>
  <c r="M3610" i="7"/>
  <c r="M3594" i="7"/>
  <c r="M3578" i="7"/>
  <c r="M3562" i="7"/>
  <c r="M3546" i="7"/>
  <c r="M3530" i="7"/>
  <c r="M3514" i="7"/>
  <c r="M3498" i="7"/>
  <c r="M3482" i="7"/>
  <c r="M3466" i="7"/>
  <c r="M3450" i="7"/>
  <c r="M3434" i="7"/>
  <c r="M3422" i="7"/>
  <c r="M3414" i="7"/>
  <c r="M3406" i="7"/>
  <c r="M3398" i="7"/>
  <c r="M3390" i="7"/>
  <c r="M3382" i="7"/>
  <c r="M3374" i="7"/>
  <c r="M3366" i="7"/>
  <c r="M3358" i="7"/>
  <c r="M3350" i="7"/>
  <c r="M3342" i="7"/>
  <c r="M3334" i="7"/>
  <c r="M3326" i="7"/>
  <c r="M3318" i="7"/>
  <c r="M3310" i="7"/>
  <c r="M3302" i="7"/>
  <c r="M3294" i="7"/>
  <c r="M3286" i="7"/>
  <c r="M3278" i="7"/>
  <c r="M3270" i="7"/>
  <c r="M3262" i="7"/>
  <c r="M3254" i="7"/>
  <c r="M3246" i="7"/>
  <c r="M3238" i="7"/>
  <c r="M3230" i="7"/>
  <c r="M3222" i="7"/>
  <c r="M3218" i="7"/>
  <c r="M3214" i="7"/>
  <c r="M3210" i="7"/>
  <c r="M3206" i="7"/>
  <c r="M3202" i="7"/>
  <c r="M3198" i="7"/>
  <c r="M3194" i="7"/>
  <c r="M3190" i="7"/>
  <c r="M3186" i="7"/>
  <c r="M3182" i="7"/>
  <c r="M3178" i="7"/>
  <c r="M3174" i="7"/>
  <c r="M3170" i="7"/>
  <c r="M3166" i="7"/>
  <c r="M3162" i="7"/>
  <c r="M3158" i="7"/>
  <c r="M3154" i="7"/>
  <c r="M3150" i="7"/>
  <c r="M3146" i="7"/>
  <c r="M3142" i="7"/>
  <c r="M3138" i="7"/>
  <c r="M3134" i="7"/>
  <c r="M3130" i="7"/>
  <c r="M3126" i="7"/>
  <c r="M3122" i="7"/>
  <c r="M3118" i="7"/>
  <c r="M3114" i="7"/>
  <c r="M3110" i="7"/>
  <c r="M3106" i="7"/>
  <c r="M3102" i="7"/>
  <c r="M3098" i="7"/>
  <c r="M3094" i="7"/>
  <c r="M3090" i="7"/>
  <c r="M3086" i="7"/>
  <c r="M3082" i="7"/>
  <c r="M3078" i="7"/>
  <c r="M3074" i="7"/>
  <c r="M3070" i="7"/>
  <c r="M3066" i="7"/>
  <c r="M3062" i="7"/>
  <c r="M3058" i="7"/>
  <c r="M3054" i="7"/>
  <c r="M3050" i="7"/>
  <c r="M3046" i="7"/>
  <c r="M4326" i="7"/>
  <c r="M4220" i="7"/>
  <c r="M4156" i="7"/>
  <c r="M4092" i="7"/>
  <c r="M4028" i="7"/>
  <c r="M3964" i="7"/>
  <c r="M3912" i="7"/>
  <c r="M3880" i="7"/>
  <c r="M3848" i="7"/>
  <c r="M3816" i="7"/>
  <c r="M3784" i="7"/>
  <c r="M3752" i="7"/>
  <c r="M3720" i="7"/>
  <c r="M3688" i="7"/>
  <c r="M3670" i="7"/>
  <c r="M3654" i="7"/>
  <c r="M3638" i="7"/>
  <c r="M3622" i="7"/>
  <c r="M3606" i="7"/>
  <c r="M3590" i="7"/>
  <c r="M3574" i="7"/>
  <c r="M3558" i="7"/>
  <c r="M3542" i="7"/>
  <c r="M3526" i="7"/>
  <c r="M3510" i="7"/>
  <c r="M3494" i="7"/>
  <c r="M3478" i="7"/>
  <c r="M3462" i="7"/>
  <c r="M3446" i="7"/>
  <c r="M3430" i="7"/>
  <c r="M3419" i="7"/>
  <c r="M3411" i="7"/>
  <c r="M3403" i="7"/>
  <c r="M3395" i="7"/>
  <c r="M3387" i="7"/>
  <c r="M3379" i="7"/>
  <c r="M3371" i="7"/>
  <c r="M3363" i="7"/>
  <c r="M3355" i="7"/>
  <c r="M3347" i="7"/>
  <c r="M3339" i="7"/>
  <c r="M3331" i="7"/>
  <c r="M3323" i="7"/>
  <c r="M3315" i="7"/>
  <c r="M3307" i="7"/>
  <c r="M3299" i="7"/>
  <c r="M3291" i="7"/>
  <c r="M3283" i="7"/>
  <c r="M3275" i="7"/>
  <c r="M3267" i="7"/>
  <c r="M3259" i="7"/>
  <c r="M3251" i="7"/>
  <c r="M3243" i="7"/>
  <c r="M3235" i="7"/>
  <c r="M3227" i="7"/>
  <c r="M3221" i="7"/>
  <c r="M3217" i="7"/>
  <c r="M3213" i="7"/>
  <c r="M3209" i="7"/>
  <c r="M3205" i="7"/>
  <c r="M3201" i="7"/>
  <c r="M3197" i="7"/>
  <c r="M3193" i="7"/>
  <c r="M3189" i="7"/>
  <c r="M3185" i="7"/>
  <c r="M3181" i="7"/>
  <c r="M3177" i="7"/>
  <c r="M3173" i="7"/>
  <c r="M3169" i="7"/>
  <c r="M3165" i="7"/>
  <c r="M3161" i="7"/>
  <c r="M3157" i="7"/>
  <c r="M3153" i="7"/>
  <c r="M3149" i="7"/>
  <c r="M3145" i="7"/>
  <c r="M3141" i="7"/>
  <c r="M3137" i="7"/>
  <c r="M3133" i="7"/>
  <c r="M3129" i="7"/>
  <c r="M3125" i="7"/>
  <c r="M3121" i="7"/>
  <c r="M3117" i="7"/>
  <c r="M3113" i="7"/>
  <c r="M3109" i="7"/>
  <c r="M3105" i="7"/>
  <c r="M3101" i="7"/>
  <c r="M3097" i="7"/>
  <c r="M3093" i="7"/>
  <c r="M3089" i="7"/>
  <c r="M3085" i="7"/>
  <c r="M3081" i="7"/>
  <c r="M3077" i="7"/>
  <c r="M3073" i="7"/>
  <c r="M3069" i="7"/>
  <c r="M3065" i="7"/>
  <c r="M3061" i="7"/>
  <c r="M3057" i="7"/>
  <c r="M3053" i="7"/>
  <c r="M3049" i="7"/>
  <c r="M3045" i="7"/>
  <c r="M3041" i="7"/>
  <c r="M3037" i="7"/>
  <c r="M3033" i="7"/>
  <c r="M3029" i="7"/>
  <c r="M3025" i="7"/>
  <c r="M3021" i="7"/>
  <c r="M3017" i="7"/>
  <c r="M3013" i="7"/>
  <c r="M3009" i="7"/>
  <c r="M3005" i="7"/>
  <c r="M3001" i="7"/>
  <c r="M2997" i="7"/>
  <c r="M2993" i="7"/>
  <c r="M2989" i="7"/>
  <c r="M2985" i="7"/>
  <c r="M2981" i="7"/>
  <c r="M2977" i="7"/>
  <c r="M2973" i="7"/>
  <c r="M2969" i="7"/>
  <c r="M2965" i="7"/>
  <c r="M2961" i="7"/>
  <c r="M2957" i="7"/>
  <c r="M2953" i="7"/>
  <c r="M2949" i="7"/>
  <c r="M2945" i="7"/>
  <c r="M2941" i="7"/>
  <c r="M2937" i="7"/>
  <c r="M2933" i="7"/>
  <c r="M2929" i="7"/>
  <c r="M2925" i="7"/>
  <c r="M2921" i="7"/>
  <c r="M2917" i="7"/>
  <c r="M2913" i="7"/>
  <c r="M2909" i="7"/>
  <c r="M2905" i="7"/>
  <c r="M2901" i="7"/>
  <c r="M2897" i="7"/>
  <c r="M2893" i="7"/>
  <c r="M2889" i="7"/>
  <c r="M2885" i="7"/>
  <c r="M2881" i="7"/>
  <c r="M2877" i="7"/>
  <c r="M2873" i="7"/>
  <c r="M2869" i="7"/>
  <c r="M2865" i="7"/>
  <c r="M2861" i="7"/>
  <c r="M2857" i="7"/>
  <c r="M2853" i="7"/>
  <c r="M2849" i="7"/>
  <c r="M2845" i="7"/>
  <c r="M2841" i="7"/>
  <c r="M2837" i="7"/>
  <c r="M2833" i="7"/>
  <c r="M2829" i="7"/>
  <c r="M2825" i="7"/>
  <c r="M2821" i="7"/>
  <c r="M2817" i="7"/>
  <c r="M2813" i="7"/>
  <c r="M2809" i="7"/>
  <c r="M2805" i="7"/>
  <c r="M2801" i="7"/>
  <c r="M2797" i="7"/>
  <c r="M2793" i="7"/>
  <c r="M2789" i="7"/>
  <c r="M2785" i="7"/>
  <c r="M2781" i="7"/>
  <c r="M2777" i="7"/>
  <c r="M2773" i="7"/>
  <c r="M2769" i="7"/>
  <c r="M2765" i="7"/>
  <c r="M2761" i="7"/>
  <c r="M4294" i="7"/>
  <c r="M4204" i="7"/>
  <c r="M4140" i="7"/>
  <c r="M4076" i="7"/>
  <c r="M4012" i="7"/>
  <c r="M3948" i="7"/>
  <c r="M3904" i="7"/>
  <c r="M3872" i="7"/>
  <c r="M3840" i="7"/>
  <c r="M3808" i="7"/>
  <c r="M3776" i="7"/>
  <c r="M3744" i="7"/>
  <c r="M3712" i="7"/>
  <c r="M3682" i="7"/>
  <c r="M3666" i="7"/>
  <c r="M3650" i="7"/>
  <c r="M3634" i="7"/>
  <c r="M3618" i="7"/>
  <c r="M3602" i="7"/>
  <c r="M3586" i="7"/>
  <c r="M3570" i="7"/>
  <c r="M3554" i="7"/>
  <c r="M3538" i="7"/>
  <c r="M3522" i="7"/>
  <c r="M3506" i="7"/>
  <c r="M3490" i="7"/>
  <c r="M3474" i="7"/>
  <c r="M3458" i="7"/>
  <c r="M3442" i="7"/>
  <c r="M3426" i="7"/>
  <c r="M3418" i="7"/>
  <c r="M3410" i="7"/>
  <c r="M3402" i="7"/>
  <c r="M3394" i="7"/>
  <c r="M3386" i="7"/>
  <c r="M3378" i="7"/>
  <c r="M3370" i="7"/>
  <c r="M3362" i="7"/>
  <c r="M3354" i="7"/>
  <c r="M3346" i="7"/>
  <c r="M3338" i="7"/>
  <c r="M3330" i="7"/>
  <c r="M3322" i="7"/>
  <c r="M3314" i="7"/>
  <c r="M3306" i="7"/>
  <c r="M3298" i="7"/>
  <c r="M3290" i="7"/>
  <c r="M3282" i="7"/>
  <c r="M3274" i="7"/>
  <c r="M3266" i="7"/>
  <c r="M3258" i="7"/>
  <c r="M3250" i="7"/>
  <c r="M3242" i="7"/>
  <c r="M3234" i="7"/>
  <c r="M3226" i="7"/>
  <c r="M3220" i="7"/>
  <c r="M3216" i="7"/>
  <c r="M3212" i="7"/>
  <c r="M3208" i="7"/>
  <c r="M3204" i="7"/>
  <c r="M3200" i="7"/>
  <c r="M3196" i="7"/>
  <c r="M3192" i="7"/>
  <c r="M3188" i="7"/>
  <c r="M3184" i="7"/>
  <c r="M3180" i="7"/>
  <c r="M3176" i="7"/>
  <c r="M3172" i="7"/>
  <c r="M3168" i="7"/>
  <c r="M3164" i="7"/>
  <c r="M3160" i="7"/>
  <c r="M3156" i="7"/>
  <c r="M3152" i="7"/>
  <c r="M3148" i="7"/>
  <c r="M3144" i="7"/>
  <c r="M3140" i="7"/>
  <c r="M3136" i="7"/>
  <c r="M3132" i="7"/>
  <c r="M3128" i="7"/>
  <c r="M3124" i="7"/>
  <c r="M3120" i="7"/>
  <c r="M3116" i="7"/>
  <c r="M3112" i="7"/>
  <c r="M3108" i="7"/>
  <c r="M3104" i="7"/>
  <c r="M3100" i="7"/>
  <c r="M3096" i="7"/>
  <c r="M3092" i="7"/>
  <c r="M3088" i="7"/>
  <c r="M3084" i="7"/>
  <c r="M3080" i="7"/>
  <c r="M3076" i="7"/>
  <c r="M3072" i="7"/>
  <c r="M3068" i="7"/>
  <c r="M3064" i="7"/>
  <c r="M3060" i="7"/>
  <c r="M3056" i="7"/>
  <c r="M3052" i="7"/>
  <c r="M3048" i="7"/>
  <c r="M3044" i="7"/>
  <c r="M3040" i="7"/>
  <c r="M3036" i="7"/>
  <c r="M3032" i="7"/>
  <c r="M3028" i="7"/>
  <c r="M3024" i="7"/>
  <c r="M3020" i="7"/>
  <c r="M3016" i="7"/>
  <c r="M3012" i="7"/>
  <c r="M3008" i="7"/>
  <c r="M3004" i="7"/>
  <c r="M3000" i="7"/>
  <c r="M2996" i="7"/>
  <c r="M2992" i="7"/>
  <c r="M2988" i="7"/>
  <c r="M2984" i="7"/>
  <c r="M2980" i="7"/>
  <c r="M2976" i="7"/>
  <c r="M2972" i="7"/>
  <c r="M2968" i="7"/>
  <c r="M2964" i="7"/>
  <c r="M2960" i="7"/>
  <c r="M2956" i="7"/>
  <c r="M2952" i="7"/>
  <c r="M2948" i="7"/>
  <c r="M2944" i="7"/>
  <c r="M2940" i="7"/>
  <c r="M2936" i="7"/>
  <c r="M2932" i="7"/>
  <c r="M2928" i="7"/>
  <c r="M2924" i="7"/>
  <c r="M2920" i="7"/>
  <c r="M2916" i="7"/>
  <c r="M2912" i="7"/>
  <c r="M2908" i="7"/>
  <c r="M2904" i="7"/>
  <c r="M2900" i="7"/>
  <c r="M2896" i="7"/>
  <c r="M2892" i="7"/>
  <c r="M2888" i="7"/>
  <c r="M2884" i="7"/>
  <c r="M2880" i="7"/>
  <c r="M2876" i="7"/>
  <c r="M2872" i="7"/>
  <c r="M2868" i="7"/>
  <c r="M2864" i="7"/>
  <c r="M2860" i="7"/>
  <c r="M2856" i="7"/>
  <c r="M2852" i="7"/>
  <c r="M2848" i="7"/>
  <c r="M2844" i="7"/>
  <c r="M2840" i="7"/>
  <c r="M2836" i="7"/>
  <c r="M2832" i="7"/>
  <c r="M2828" i="7"/>
  <c r="M2824" i="7"/>
  <c r="M2820" i="7"/>
  <c r="M2816" i="7"/>
  <c r="M2812" i="7"/>
  <c r="M2808" i="7"/>
  <c r="M2804" i="7"/>
  <c r="M2800" i="7"/>
  <c r="M2796" i="7"/>
  <c r="M2792" i="7"/>
  <c r="M2788" i="7"/>
  <c r="M2784" i="7"/>
  <c r="M2780" i="7"/>
  <c r="M2776" i="7"/>
  <c r="M2772" i="7"/>
  <c r="M2768" i="7"/>
  <c r="M2764" i="7"/>
  <c r="M4262" i="7"/>
  <c r="M3996" i="7"/>
  <c r="M3832" i="7"/>
  <c r="M3704" i="7"/>
  <c r="M3630" i="7"/>
  <c r="M3566" i="7"/>
  <c r="M3502" i="7"/>
  <c r="M3438" i="7"/>
  <c r="M3399" i="7"/>
  <c r="M3367" i="7"/>
  <c r="M3335" i="7"/>
  <c r="M3303" i="7"/>
  <c r="M3271" i="7"/>
  <c r="M3239" i="7"/>
  <c r="M3215" i="7"/>
  <c r="M3199" i="7"/>
  <c r="M3183" i="7"/>
  <c r="M3167" i="7"/>
  <c r="M3151" i="7"/>
  <c r="M3135" i="7"/>
  <c r="M3119" i="7"/>
  <c r="M3103" i="7"/>
  <c r="M3087" i="7"/>
  <c r="M3071" i="7"/>
  <c r="M3055" i="7"/>
  <c r="M3042" i="7"/>
  <c r="M3034" i="7"/>
  <c r="M3026" i="7"/>
  <c r="M3018" i="7"/>
  <c r="M3010" i="7"/>
  <c r="M3002" i="7"/>
  <c r="M2994" i="7"/>
  <c r="M2986" i="7"/>
  <c r="M2978" i="7"/>
  <c r="M2970" i="7"/>
  <c r="M2962" i="7"/>
  <c r="M2954" i="7"/>
  <c r="M2946" i="7"/>
  <c r="M2938" i="7"/>
  <c r="M2930" i="7"/>
  <c r="M4188" i="7"/>
  <c r="M3932" i="7"/>
  <c r="M3800" i="7"/>
  <c r="M3678" i="7"/>
  <c r="M3614" i="7"/>
  <c r="M3550" i="7"/>
  <c r="M3486" i="7"/>
  <c r="M3423" i="7"/>
  <c r="M3391" i="7"/>
  <c r="M3359" i="7"/>
  <c r="M3327" i="7"/>
  <c r="M3295" i="7"/>
  <c r="M3263" i="7"/>
  <c r="M3231" i="7"/>
  <c r="M3211" i="7"/>
  <c r="M3195" i="7"/>
  <c r="M3179" i="7"/>
  <c r="M3163" i="7"/>
  <c r="M3147" i="7"/>
  <c r="M3131" i="7"/>
  <c r="M3115" i="7"/>
  <c r="M3099" i="7"/>
  <c r="M3083" i="7"/>
  <c r="M3067" i="7"/>
  <c r="M3051" i="7"/>
  <c r="M3039" i="7"/>
  <c r="M3031" i="7"/>
  <c r="M3023" i="7"/>
  <c r="M3015" i="7"/>
  <c r="M3007" i="7"/>
  <c r="M2999" i="7"/>
  <c r="M2991" i="7"/>
  <c r="M2983" i="7"/>
  <c r="M2975" i="7"/>
  <c r="M2967" i="7"/>
  <c r="M2959" i="7"/>
  <c r="M2951" i="7"/>
  <c r="M2943" i="7"/>
  <c r="M2935" i="7"/>
  <c r="M4124" i="7"/>
  <c r="M3896" i="7"/>
  <c r="M3768" i="7"/>
  <c r="M3662" i="7"/>
  <c r="M3598" i="7"/>
  <c r="M3534" i="7"/>
  <c r="M3470" i="7"/>
  <c r="M3415" i="7"/>
  <c r="M3383" i="7"/>
  <c r="M3351" i="7"/>
  <c r="M3319" i="7"/>
  <c r="M3287" i="7"/>
  <c r="M3255" i="7"/>
  <c r="M3223" i="7"/>
  <c r="M3207" i="7"/>
  <c r="M3191" i="7"/>
  <c r="M3175" i="7"/>
  <c r="M3159" i="7"/>
  <c r="M3143" i="7"/>
  <c r="M3127" i="7"/>
  <c r="M3111" i="7"/>
  <c r="M3095" i="7"/>
  <c r="M3079" i="7"/>
  <c r="M3063" i="7"/>
  <c r="M3047" i="7"/>
  <c r="M3038" i="7"/>
  <c r="M3030" i="7"/>
  <c r="M3022" i="7"/>
  <c r="M3014" i="7"/>
  <c r="M3006" i="7"/>
  <c r="M2998" i="7"/>
  <c r="M2990" i="7"/>
  <c r="M2982" i="7"/>
  <c r="M2974" i="7"/>
  <c r="M2966" i="7"/>
  <c r="M2958" i="7"/>
  <c r="M2950" i="7"/>
  <c r="M2942" i="7"/>
  <c r="M2934" i="7"/>
  <c r="M2926" i="7"/>
  <c r="M2918" i="7"/>
  <c r="M2910" i="7"/>
  <c r="M2902" i="7"/>
  <c r="M2894" i="7"/>
  <c r="M2886" i="7"/>
  <c r="M2878" i="7"/>
  <c r="M2870" i="7"/>
  <c r="M2862" i="7"/>
  <c r="M2854" i="7"/>
  <c r="M2846" i="7"/>
  <c r="M2838" i="7"/>
  <c r="M2830" i="7"/>
  <c r="M2822" i="7"/>
  <c r="M2814" i="7"/>
  <c r="M2806" i="7"/>
  <c r="M2798" i="7"/>
  <c r="M2790" i="7"/>
  <c r="M2782" i="7"/>
  <c r="M2774" i="7"/>
  <c r="M2766" i="7"/>
  <c r="M2759" i="7"/>
  <c r="M2755" i="7"/>
  <c r="M2751" i="7"/>
  <c r="M2747" i="7"/>
  <c r="M2743" i="7"/>
  <c r="M2739" i="7"/>
  <c r="M2735" i="7"/>
  <c r="M2731" i="7"/>
  <c r="M2727" i="7"/>
  <c r="M2723" i="7"/>
  <c r="M2719" i="7"/>
  <c r="M2715" i="7"/>
  <c r="M2711" i="7"/>
  <c r="M2707" i="7"/>
  <c r="M2703" i="7"/>
  <c r="M2699" i="7"/>
  <c r="M2695" i="7"/>
  <c r="M2691" i="7"/>
  <c r="M2687" i="7"/>
  <c r="M2683" i="7"/>
  <c r="M2679" i="7"/>
  <c r="M2675" i="7"/>
  <c r="M2671" i="7"/>
  <c r="M2667" i="7"/>
  <c r="M2663" i="7"/>
  <c r="M2659" i="7"/>
  <c r="M4060" i="7"/>
  <c r="M3864" i="7"/>
  <c r="M3736" i="7"/>
  <c r="M3646" i="7"/>
  <c r="M3582" i="7"/>
  <c r="M3518" i="7"/>
  <c r="M3454" i="7"/>
  <c r="M3407" i="7"/>
  <c r="M3375" i="7"/>
  <c r="M3343" i="7"/>
  <c r="M3311" i="7"/>
  <c r="M3279" i="7"/>
  <c r="M3247" i="7"/>
  <c r="M3219" i="7"/>
  <c r="M3203" i="7"/>
  <c r="M3187" i="7"/>
  <c r="M3171" i="7"/>
  <c r="M3155" i="7"/>
  <c r="M3139" i="7"/>
  <c r="M3123" i="7"/>
  <c r="M3107" i="7"/>
  <c r="M3091" i="7"/>
  <c r="M3075" i="7"/>
  <c r="M3059" i="7"/>
  <c r="M3043" i="7"/>
  <c r="M3035" i="7"/>
  <c r="M3027" i="7"/>
  <c r="M3019" i="7"/>
  <c r="M3011" i="7"/>
  <c r="M3003" i="7"/>
  <c r="M2995" i="7"/>
  <c r="M2987" i="7"/>
  <c r="M2979" i="7"/>
  <c r="M2971" i="7"/>
  <c r="M2963" i="7"/>
  <c r="M2955" i="7"/>
  <c r="M2947" i="7"/>
  <c r="M2939" i="7"/>
  <c r="M2931" i="7"/>
  <c r="M2923" i="7"/>
  <c r="M2915" i="7"/>
  <c r="M2907" i="7"/>
  <c r="M2899" i="7"/>
  <c r="M2891" i="7"/>
  <c r="M2883" i="7"/>
  <c r="M2875" i="7"/>
  <c r="M2867" i="7"/>
  <c r="M2859" i="7"/>
  <c r="M2851" i="7"/>
  <c r="M2843" i="7"/>
  <c r="M2835" i="7"/>
  <c r="M2827" i="7"/>
  <c r="M2819" i="7"/>
  <c r="M2811" i="7"/>
  <c r="M2803" i="7"/>
  <c r="M2795" i="7"/>
  <c r="M2787" i="7"/>
  <c r="M2779" i="7"/>
  <c r="M2771" i="7"/>
  <c r="M2763" i="7"/>
  <c r="M2758" i="7"/>
  <c r="M2754" i="7"/>
  <c r="M2750" i="7"/>
  <c r="M2746" i="7"/>
  <c r="M2742" i="7"/>
  <c r="M2738" i="7"/>
  <c r="M2734" i="7"/>
  <c r="M2730" i="7"/>
  <c r="M2726" i="7"/>
  <c r="M2722" i="7"/>
  <c r="M2718" i="7"/>
  <c r="M2714" i="7"/>
  <c r="M2710" i="7"/>
  <c r="M2706" i="7"/>
  <c r="M2702" i="7"/>
  <c r="M2698" i="7"/>
  <c r="M2694" i="7"/>
  <c r="M2690" i="7"/>
  <c r="M2686" i="7"/>
  <c r="M2682" i="7"/>
  <c r="M2678" i="7"/>
  <c r="M2674" i="7"/>
  <c r="M2670" i="7"/>
  <c r="M2666" i="7"/>
  <c r="M2662" i="7"/>
  <c r="M2927" i="7"/>
  <c r="M2911" i="7"/>
  <c r="M2895" i="7"/>
  <c r="M2879" i="7"/>
  <c r="M2863" i="7"/>
  <c r="M2847" i="7"/>
  <c r="M2831" i="7"/>
  <c r="M2815" i="7"/>
  <c r="M2799" i="7"/>
  <c r="M2783" i="7"/>
  <c r="M2767" i="7"/>
  <c r="M2756" i="7"/>
  <c r="M2748" i="7"/>
  <c r="M2740" i="7"/>
  <c r="M2732" i="7"/>
  <c r="M2724" i="7"/>
  <c r="M2716" i="7"/>
  <c r="M2708" i="7"/>
  <c r="M2700" i="7"/>
  <c r="M2692" i="7"/>
  <c r="M2684" i="7"/>
  <c r="M2676" i="7"/>
  <c r="M2668" i="7"/>
  <c r="M2660" i="7"/>
  <c r="M2655" i="7"/>
  <c r="M2651" i="7"/>
  <c r="M2647" i="7"/>
  <c r="M2643" i="7"/>
  <c r="M2639" i="7"/>
  <c r="M2635" i="7"/>
  <c r="M2631" i="7"/>
  <c r="M2627" i="7"/>
  <c r="M2623" i="7"/>
  <c r="M2619" i="7"/>
  <c r="M2615" i="7"/>
  <c r="M2611" i="7"/>
  <c r="M2607" i="7"/>
  <c r="M2603" i="7"/>
  <c r="M2599" i="7"/>
  <c r="M2595" i="7"/>
  <c r="M2591" i="7"/>
  <c r="M2587" i="7"/>
  <c r="M2583" i="7"/>
  <c r="M2579" i="7"/>
  <c r="M2575" i="7"/>
  <c r="M2571" i="7"/>
  <c r="M2567" i="7"/>
  <c r="M2563" i="7"/>
  <c r="M2559" i="7"/>
  <c r="M2555" i="7"/>
  <c r="M2551" i="7"/>
  <c r="M2547" i="7"/>
  <c r="M2543" i="7"/>
  <c r="M2539" i="7"/>
  <c r="M2535" i="7"/>
  <c r="M2531" i="7"/>
  <c r="M2527" i="7"/>
  <c r="M2523" i="7"/>
  <c r="M2519" i="7"/>
  <c r="M2515" i="7"/>
  <c r="M2511" i="7"/>
  <c r="M2507" i="7"/>
  <c r="M2503" i="7"/>
  <c r="M2499" i="7"/>
  <c r="M2495" i="7"/>
  <c r="M2491" i="7"/>
  <c r="M2487" i="7"/>
  <c r="M2483" i="7"/>
  <c r="M2479" i="7"/>
  <c r="M2475" i="7"/>
  <c r="M2471" i="7"/>
  <c r="M2467" i="7"/>
  <c r="M2463" i="7"/>
  <c r="M2459" i="7"/>
  <c r="M2455" i="7"/>
  <c r="M2451" i="7"/>
  <c r="M2447" i="7"/>
  <c r="M2443" i="7"/>
  <c r="M2439" i="7"/>
  <c r="M2435" i="7"/>
  <c r="M2431" i="7"/>
  <c r="M2427" i="7"/>
  <c r="M2423" i="7"/>
  <c r="M2419" i="7"/>
  <c r="M2415" i="7"/>
  <c r="M2411" i="7"/>
  <c r="M2407" i="7"/>
  <c r="M2403" i="7"/>
  <c r="M2399" i="7"/>
  <c r="M2395" i="7"/>
  <c r="M2391" i="7"/>
  <c r="M2387" i="7"/>
  <c r="M2383" i="7"/>
  <c r="M2379" i="7"/>
  <c r="M2375" i="7"/>
  <c r="M2371" i="7"/>
  <c r="M2367" i="7"/>
  <c r="M2363" i="7"/>
  <c r="M2359" i="7"/>
  <c r="M2355" i="7"/>
  <c r="M2351" i="7"/>
  <c r="M2347" i="7"/>
  <c r="M2343" i="7"/>
  <c r="M2339" i="7"/>
  <c r="M2335" i="7"/>
  <c r="M2331" i="7"/>
  <c r="M2327" i="7"/>
  <c r="M2323" i="7"/>
  <c r="M2319" i="7"/>
  <c r="M2315" i="7"/>
  <c r="M2311" i="7"/>
  <c r="M2307" i="7"/>
  <c r="M2303" i="7"/>
  <c r="M2299" i="7"/>
  <c r="M2295" i="7"/>
  <c r="M2291" i="7"/>
  <c r="M2287" i="7"/>
  <c r="M2283" i="7"/>
  <c r="M2279" i="7"/>
  <c r="M2275" i="7"/>
  <c r="M2271" i="7"/>
  <c r="M2267" i="7"/>
  <c r="M2263" i="7"/>
  <c r="M2259" i="7"/>
  <c r="M2255" i="7"/>
  <c r="M2251" i="7"/>
  <c r="M2247" i="7"/>
  <c r="M2243" i="7"/>
  <c r="M2239" i="7"/>
  <c r="M2235" i="7"/>
  <c r="M2231" i="7"/>
  <c r="M2227" i="7"/>
  <c r="M2223" i="7"/>
  <c r="M2919" i="7"/>
  <c r="M2903" i="7"/>
  <c r="M2887" i="7"/>
  <c r="M2871" i="7"/>
  <c r="M2855" i="7"/>
  <c r="M2839" i="7"/>
  <c r="M2823" i="7"/>
  <c r="M2807" i="7"/>
  <c r="M2791" i="7"/>
  <c r="M2775" i="7"/>
  <c r="M2760" i="7"/>
  <c r="M2752" i="7"/>
  <c r="M2744" i="7"/>
  <c r="M2736" i="7"/>
  <c r="M2728" i="7"/>
  <c r="M2720" i="7"/>
  <c r="M2712" i="7"/>
  <c r="M2704" i="7"/>
  <c r="M2696" i="7"/>
  <c r="M2688" i="7"/>
  <c r="M2680" i="7"/>
  <c r="M2672" i="7"/>
  <c r="M2664" i="7"/>
  <c r="M2657" i="7"/>
  <c r="M2653" i="7"/>
  <c r="M2649" i="7"/>
  <c r="M2645" i="7"/>
  <c r="M2641" i="7"/>
  <c r="M2637" i="7"/>
  <c r="M2633" i="7"/>
  <c r="M2629" i="7"/>
  <c r="M2625" i="7"/>
  <c r="M2621" i="7"/>
  <c r="M2617" i="7"/>
  <c r="M2613" i="7"/>
  <c r="M2609" i="7"/>
  <c r="M2605" i="7"/>
  <c r="M2601" i="7"/>
  <c r="M2597" i="7"/>
  <c r="M2593" i="7"/>
  <c r="M2589" i="7"/>
  <c r="M2585" i="7"/>
  <c r="M2581" i="7"/>
  <c r="M2577" i="7"/>
  <c r="M2573" i="7"/>
  <c r="M2569" i="7"/>
  <c r="M2565" i="7"/>
  <c r="M2561" i="7"/>
  <c r="M2557" i="7"/>
  <c r="M2553" i="7"/>
  <c r="M2549" i="7"/>
  <c r="M2545" i="7"/>
  <c r="M2541" i="7"/>
  <c r="M2537" i="7"/>
  <c r="M2533" i="7"/>
  <c r="M2529" i="7"/>
  <c r="M2525" i="7"/>
  <c r="M2521" i="7"/>
  <c r="M2517" i="7"/>
  <c r="M2513" i="7"/>
  <c r="M2509" i="7"/>
  <c r="M2505" i="7"/>
  <c r="M2501" i="7"/>
  <c r="M2497" i="7"/>
  <c r="M2493" i="7"/>
  <c r="M2489" i="7"/>
  <c r="M2485" i="7"/>
  <c r="M2481" i="7"/>
  <c r="M2477" i="7"/>
  <c r="M2473" i="7"/>
  <c r="M2469" i="7"/>
  <c r="M2465" i="7"/>
  <c r="M2461" i="7"/>
  <c r="M2457" i="7"/>
  <c r="M2453" i="7"/>
  <c r="M2449" i="7"/>
  <c r="M2445" i="7"/>
  <c r="M2441" i="7"/>
  <c r="M2437" i="7"/>
  <c r="M2433" i="7"/>
  <c r="M2429" i="7"/>
  <c r="M2425" i="7"/>
  <c r="M2421" i="7"/>
  <c r="M2417" i="7"/>
  <c r="M2413" i="7"/>
  <c r="M2409" i="7"/>
  <c r="M2405" i="7"/>
  <c r="M2401" i="7"/>
  <c r="M2397" i="7"/>
  <c r="M2393" i="7"/>
  <c r="M2389" i="7"/>
  <c r="M2385" i="7"/>
  <c r="M2381" i="7"/>
  <c r="M2377" i="7"/>
  <c r="M2373" i="7"/>
  <c r="M2369" i="7"/>
  <c r="M2365" i="7"/>
  <c r="M2361" i="7"/>
  <c r="M2357" i="7"/>
  <c r="M2353" i="7"/>
  <c r="M2349" i="7"/>
  <c r="M2345" i="7"/>
  <c r="M2341" i="7"/>
  <c r="M2337" i="7"/>
  <c r="M2333" i="7"/>
  <c r="M2329" i="7"/>
  <c r="M2325" i="7"/>
  <c r="M2321" i="7"/>
  <c r="M2317" i="7"/>
  <c r="M2313" i="7"/>
  <c r="M2309" i="7"/>
  <c r="M2305" i="7"/>
  <c r="M2301" i="7"/>
  <c r="M2297" i="7"/>
  <c r="M2293" i="7"/>
  <c r="M2289" i="7"/>
  <c r="M2285" i="7"/>
  <c r="M2281" i="7"/>
  <c r="M2277" i="7"/>
  <c r="M2273" i="7"/>
  <c r="M2269" i="7"/>
  <c r="M2265" i="7"/>
  <c r="M2261" i="7"/>
  <c r="M2257" i="7"/>
  <c r="M2253" i="7"/>
  <c r="M2249" i="7"/>
  <c r="M2245" i="7"/>
  <c r="M2241" i="7"/>
  <c r="M2237" i="7"/>
  <c r="M2233" i="7"/>
  <c r="M2229" i="7"/>
  <c r="M2225" i="7"/>
  <c r="M2221" i="7"/>
  <c r="M2217" i="7"/>
  <c r="M2213" i="7"/>
  <c r="M2209" i="7"/>
  <c r="M2205" i="7"/>
  <c r="M2201" i="7"/>
  <c r="M2197" i="7"/>
  <c r="M2193" i="7"/>
  <c r="M2189" i="7"/>
  <c r="M2185" i="7"/>
  <c r="M2181" i="7"/>
  <c r="M2177" i="7"/>
  <c r="M2173" i="7"/>
  <c r="M2169" i="7"/>
  <c r="M2165" i="7"/>
  <c r="M2161" i="7"/>
  <c r="M2157" i="7"/>
  <c r="M2153" i="7"/>
  <c r="M2149" i="7"/>
  <c r="M2145" i="7"/>
  <c r="M2141" i="7"/>
  <c r="M2137" i="7"/>
  <c r="M2133" i="7"/>
  <c r="M2129" i="7"/>
  <c r="M2125" i="7"/>
  <c r="M2121" i="7"/>
  <c r="M2117" i="7"/>
  <c r="M2113" i="7"/>
  <c r="M2109" i="7"/>
  <c r="M2105" i="7"/>
  <c r="M2101" i="7"/>
  <c r="M2097" i="7"/>
  <c r="M2093" i="7"/>
  <c r="M2089" i="7"/>
  <c r="M2085" i="7"/>
  <c r="M2081" i="7"/>
  <c r="M2077" i="7"/>
  <c r="M2073" i="7"/>
  <c r="M2069" i="7"/>
  <c r="M2914" i="7"/>
  <c r="M2898" i="7"/>
  <c r="M2882" i="7"/>
  <c r="M2866" i="7"/>
  <c r="M2850" i="7"/>
  <c r="M2834" i="7"/>
  <c r="M2818" i="7"/>
  <c r="M2802" i="7"/>
  <c r="M2786" i="7"/>
  <c r="M2770" i="7"/>
  <c r="M2757" i="7"/>
  <c r="M2749" i="7"/>
  <c r="M2741" i="7"/>
  <c r="M2733" i="7"/>
  <c r="M2725" i="7"/>
  <c r="M2717" i="7"/>
  <c r="M2709" i="7"/>
  <c r="M2701" i="7"/>
  <c r="M2693" i="7"/>
  <c r="M2685" i="7"/>
  <c r="M2677" i="7"/>
  <c r="M2669" i="7"/>
  <c r="M2661" i="7"/>
  <c r="M2656" i="7"/>
  <c r="M2652" i="7"/>
  <c r="M2648" i="7"/>
  <c r="M2644" i="7"/>
  <c r="M2640" i="7"/>
  <c r="M2636" i="7"/>
  <c r="M2632" i="7"/>
  <c r="M2628" i="7"/>
  <c r="M2624" i="7"/>
  <c r="M2620" i="7"/>
  <c r="M2616" i="7"/>
  <c r="M2612" i="7"/>
  <c r="M2608" i="7"/>
  <c r="M2604" i="7"/>
  <c r="M2600" i="7"/>
  <c r="M2596" i="7"/>
  <c r="M2592" i="7"/>
  <c r="M2588" i="7"/>
  <c r="M2584" i="7"/>
  <c r="M2580" i="7"/>
  <c r="M2576" i="7"/>
  <c r="M2572" i="7"/>
  <c r="M2568" i="7"/>
  <c r="M2564" i="7"/>
  <c r="M2560" i="7"/>
  <c r="M2556" i="7"/>
  <c r="M2552" i="7"/>
  <c r="M2548" i="7"/>
  <c r="M2544" i="7"/>
  <c r="M2540" i="7"/>
  <c r="M2536" i="7"/>
  <c r="M2532" i="7"/>
  <c r="M2528" i="7"/>
  <c r="M2524" i="7"/>
  <c r="M2520" i="7"/>
  <c r="M2516" i="7"/>
  <c r="M2512" i="7"/>
  <c r="M2508" i="7"/>
  <c r="M2504" i="7"/>
  <c r="M2500" i="7"/>
  <c r="M2496" i="7"/>
  <c r="M2492" i="7"/>
  <c r="M2488" i="7"/>
  <c r="M2484" i="7"/>
  <c r="M2480" i="7"/>
  <c r="M2476" i="7"/>
  <c r="M2472" i="7"/>
  <c r="M2468" i="7"/>
  <c r="M2464" i="7"/>
  <c r="M2460" i="7"/>
  <c r="M2456" i="7"/>
  <c r="M2452" i="7"/>
  <c r="M2448" i="7"/>
  <c r="M2444" i="7"/>
  <c r="M2440" i="7"/>
  <c r="M2436" i="7"/>
  <c r="M2432" i="7"/>
  <c r="M2428" i="7"/>
  <c r="M2424" i="7"/>
  <c r="M2420" i="7"/>
  <c r="M2416" i="7"/>
  <c r="M2412" i="7"/>
  <c r="M2408" i="7"/>
  <c r="M2404" i="7"/>
  <c r="M2400" i="7"/>
  <c r="M2396" i="7"/>
  <c r="M2392" i="7"/>
  <c r="M2388" i="7"/>
  <c r="M2384" i="7"/>
  <c r="M2380" i="7"/>
  <c r="M2376" i="7"/>
  <c r="M2372" i="7"/>
  <c r="M2368" i="7"/>
  <c r="M2364" i="7"/>
  <c r="M2360" i="7"/>
  <c r="M2356" i="7"/>
  <c r="M2352" i="7"/>
  <c r="M2348" i="7"/>
  <c r="M2344" i="7"/>
  <c r="M2340" i="7"/>
  <c r="M2336" i="7"/>
  <c r="M2332" i="7"/>
  <c r="M2328" i="7"/>
  <c r="M2324" i="7"/>
  <c r="M2320" i="7"/>
  <c r="M2316" i="7"/>
  <c r="M2312" i="7"/>
  <c r="M2308" i="7"/>
  <c r="M2304" i="7"/>
  <c r="M2300" i="7"/>
  <c r="M2296" i="7"/>
  <c r="M2292" i="7"/>
  <c r="M2288" i="7"/>
  <c r="M2284" i="7"/>
  <c r="M2280" i="7"/>
  <c r="M2276" i="7"/>
  <c r="M2272" i="7"/>
  <c r="M2268" i="7"/>
  <c r="M2264" i="7"/>
  <c r="M2260" i="7"/>
  <c r="M2256" i="7"/>
  <c r="M2252" i="7"/>
  <c r="M2248" i="7"/>
  <c r="M2244" i="7"/>
  <c r="M2240" i="7"/>
  <c r="M2236" i="7"/>
  <c r="M2232" i="7"/>
  <c r="M2228" i="7"/>
  <c r="M2224" i="7"/>
  <c r="M2220" i="7"/>
  <c r="M2216" i="7"/>
  <c r="M2212" i="7"/>
  <c r="M2208" i="7"/>
  <c r="M2204" i="7"/>
  <c r="M2200" i="7"/>
  <c r="M2196" i="7"/>
  <c r="M2192" i="7"/>
  <c r="M2188" i="7"/>
  <c r="M2184" i="7"/>
  <c r="M2180" i="7"/>
  <c r="M2176" i="7"/>
  <c r="M2172" i="7"/>
  <c r="M2168" i="7"/>
  <c r="M2164" i="7"/>
  <c r="M2160" i="7"/>
  <c r="M2156" i="7"/>
  <c r="M2152" i="7"/>
  <c r="M2148" i="7"/>
  <c r="M2144" i="7"/>
  <c r="M2140" i="7"/>
  <c r="M2136" i="7"/>
  <c r="M2132" i="7"/>
  <c r="M2128" i="7"/>
  <c r="M2124" i="7"/>
  <c r="M2120" i="7"/>
  <c r="M2116" i="7"/>
  <c r="M2112" i="7"/>
  <c r="M2108" i="7"/>
  <c r="M2104" i="7"/>
  <c r="M2100" i="7"/>
  <c r="M2096" i="7"/>
  <c r="M2092" i="7"/>
  <c r="M2088" i="7"/>
  <c r="M2084" i="7"/>
  <c r="M2080" i="7"/>
  <c r="M2076" i="7"/>
  <c r="M2072" i="7"/>
  <c r="M2922" i="7"/>
  <c r="M2858" i="7"/>
  <c r="M2794" i="7"/>
  <c r="M2745" i="7"/>
  <c r="M2713" i="7"/>
  <c r="M2681" i="7"/>
  <c r="M2654" i="7"/>
  <c r="M2638" i="7"/>
  <c r="M2622" i="7"/>
  <c r="M2606" i="7"/>
  <c r="M2590" i="7"/>
  <c r="M2574" i="7"/>
  <c r="M2558" i="7"/>
  <c r="M2542" i="7"/>
  <c r="M2526" i="7"/>
  <c r="M2510" i="7"/>
  <c r="M2494" i="7"/>
  <c r="M2478" i="7"/>
  <c r="M2462" i="7"/>
  <c r="M2446" i="7"/>
  <c r="M2430" i="7"/>
  <c r="M2414" i="7"/>
  <c r="M2398" i="7"/>
  <c r="M2382" i="7"/>
  <c r="M2366" i="7"/>
  <c r="M2350" i="7"/>
  <c r="M2334" i="7"/>
  <c r="M2318" i="7"/>
  <c r="M2302" i="7"/>
  <c r="M2286" i="7"/>
  <c r="M2270" i="7"/>
  <c r="M2254" i="7"/>
  <c r="M2238" i="7"/>
  <c r="M2222" i="7"/>
  <c r="M2214" i="7"/>
  <c r="M2206" i="7"/>
  <c r="M2198" i="7"/>
  <c r="M2190" i="7"/>
  <c r="M2182" i="7"/>
  <c r="M2174" i="7"/>
  <c r="M2166" i="7"/>
  <c r="M2158" i="7"/>
  <c r="M2150" i="7"/>
  <c r="M2142" i="7"/>
  <c r="M2134" i="7"/>
  <c r="M2126" i="7"/>
  <c r="M2118" i="7"/>
  <c r="M2110" i="7"/>
  <c r="M2102" i="7"/>
  <c r="M2094" i="7"/>
  <c r="M2086" i="7"/>
  <c r="M2078" i="7"/>
  <c r="M2070" i="7"/>
  <c r="M2065" i="7"/>
  <c r="M2061" i="7"/>
  <c r="M2057" i="7"/>
  <c r="M2053" i="7"/>
  <c r="M2049" i="7"/>
  <c r="M2045" i="7"/>
  <c r="M2041" i="7"/>
  <c r="M2037" i="7"/>
  <c r="M2033" i="7"/>
  <c r="M2029" i="7"/>
  <c r="M2025" i="7"/>
  <c r="M2021" i="7"/>
  <c r="M2017" i="7"/>
  <c r="M2013" i="7"/>
  <c r="M2009" i="7"/>
  <c r="M2005" i="7"/>
  <c r="M2001" i="7"/>
  <c r="M1997" i="7"/>
  <c r="M1993" i="7"/>
  <c r="M1989" i="7"/>
  <c r="M1985" i="7"/>
  <c r="M1981" i="7"/>
  <c r="M1977" i="7"/>
  <c r="M1973" i="7"/>
  <c r="M1969" i="7"/>
  <c r="M1965" i="7"/>
  <c r="M1961" i="7"/>
  <c r="M1957" i="7"/>
  <c r="M1953" i="7"/>
  <c r="M1949" i="7"/>
  <c r="M1945" i="7"/>
  <c r="M1941" i="7"/>
  <c r="M1937" i="7"/>
  <c r="M1933" i="7"/>
  <c r="M1929" i="7"/>
  <c r="M1925" i="7"/>
  <c r="M1921" i="7"/>
  <c r="M1917" i="7"/>
  <c r="M1913" i="7"/>
  <c r="M1909" i="7"/>
  <c r="M1905" i="7"/>
  <c r="M1901" i="7"/>
  <c r="M1897" i="7"/>
  <c r="M1893" i="7"/>
  <c r="M1889" i="7"/>
  <c r="M1885" i="7"/>
  <c r="M1881" i="7"/>
  <c r="M1877" i="7"/>
  <c r="M1873" i="7"/>
  <c r="M1869" i="7"/>
  <c r="M1865" i="7"/>
  <c r="M1861" i="7"/>
  <c r="M1857" i="7"/>
  <c r="M1853" i="7"/>
  <c r="M1849" i="7"/>
  <c r="M1845" i="7"/>
  <c r="M1841" i="7"/>
  <c r="M1837" i="7"/>
  <c r="M1833" i="7"/>
  <c r="M1829" i="7"/>
  <c r="M1825" i="7"/>
  <c r="M1821" i="7"/>
  <c r="M1817" i="7"/>
  <c r="M1813" i="7"/>
  <c r="M1809" i="7"/>
  <c r="M1805" i="7"/>
  <c r="M1801" i="7"/>
  <c r="M1797" i="7"/>
  <c r="M1793" i="7"/>
  <c r="M1789" i="7"/>
  <c r="M1785" i="7"/>
  <c r="M1781" i="7"/>
  <c r="M1777" i="7"/>
  <c r="M1773" i="7"/>
  <c r="M1769" i="7"/>
  <c r="M1765" i="7"/>
  <c r="M1761" i="7"/>
  <c r="M1757" i="7"/>
  <c r="M1753" i="7"/>
  <c r="M1749" i="7"/>
  <c r="M1745" i="7"/>
  <c r="M1741" i="7"/>
  <c r="M1737" i="7"/>
  <c r="M1733" i="7"/>
  <c r="M1729" i="7"/>
  <c r="M1725" i="7"/>
  <c r="M1721" i="7"/>
  <c r="M1717" i="7"/>
  <c r="M1713" i="7"/>
  <c r="M1709" i="7"/>
  <c r="M1705" i="7"/>
  <c r="M1701" i="7"/>
  <c r="M1697" i="7"/>
  <c r="M1693" i="7"/>
  <c r="M1689" i="7"/>
  <c r="M1685" i="7"/>
  <c r="M1681" i="7"/>
  <c r="M1677" i="7"/>
  <c r="M1673" i="7"/>
  <c r="M1669" i="7"/>
  <c r="M1665" i="7"/>
  <c r="M1661" i="7"/>
  <c r="M1657" i="7"/>
  <c r="M1653" i="7"/>
  <c r="M1649" i="7"/>
  <c r="M1645" i="7"/>
  <c r="M1641" i="7"/>
  <c r="M1637" i="7"/>
  <c r="M1633" i="7"/>
  <c r="M1629" i="7"/>
  <c r="M1625" i="7"/>
  <c r="M1621" i="7"/>
  <c r="M1617" i="7"/>
  <c r="M1613" i="7"/>
  <c r="M1609" i="7"/>
  <c r="M1605" i="7"/>
  <c r="M1601" i="7"/>
  <c r="M1597" i="7"/>
  <c r="M1593" i="7"/>
  <c r="M1589" i="7"/>
  <c r="M1585" i="7"/>
  <c r="M1581" i="7"/>
  <c r="M1577" i="7"/>
  <c r="M1573" i="7"/>
  <c r="M1569" i="7"/>
  <c r="M1565" i="7"/>
  <c r="M1561" i="7"/>
  <c r="M1557" i="7"/>
  <c r="M1553" i="7"/>
  <c r="M1549" i="7"/>
  <c r="M1545" i="7"/>
  <c r="M1541" i="7"/>
  <c r="M1537" i="7"/>
  <c r="M1533" i="7"/>
  <c r="M1529" i="7"/>
  <c r="M1525" i="7"/>
  <c r="M1521" i="7"/>
  <c r="M1517" i="7"/>
  <c r="M1513" i="7"/>
  <c r="M1509" i="7"/>
  <c r="M1505" i="7"/>
  <c r="M1501" i="7"/>
  <c r="M1497" i="7"/>
  <c r="M1493" i="7"/>
  <c r="M1489" i="7"/>
  <c r="M1485" i="7"/>
  <c r="M1481" i="7"/>
  <c r="M1477" i="7"/>
  <c r="M1473" i="7"/>
  <c r="M1469" i="7"/>
  <c r="M1465" i="7"/>
  <c r="M1461" i="7"/>
  <c r="M1457" i="7"/>
  <c r="M1453" i="7"/>
  <c r="M1449" i="7"/>
  <c r="M1445" i="7"/>
  <c r="M1441" i="7"/>
  <c r="M1437" i="7"/>
  <c r="M1433" i="7"/>
  <c r="M1429" i="7"/>
  <c r="M1425" i="7"/>
  <c r="M1421" i="7"/>
  <c r="M1417" i="7"/>
  <c r="M1413" i="7"/>
  <c r="M1409" i="7"/>
  <c r="M1405" i="7"/>
  <c r="M1401" i="7"/>
  <c r="M1397" i="7"/>
  <c r="M1393" i="7"/>
  <c r="M1389" i="7"/>
  <c r="M1385" i="7"/>
  <c r="M1381" i="7"/>
  <c r="M1377" i="7"/>
  <c r="M1373" i="7"/>
  <c r="M1369" i="7"/>
  <c r="M1365" i="7"/>
  <c r="M1361" i="7"/>
  <c r="M1357" i="7"/>
  <c r="M1353" i="7"/>
  <c r="M1349" i="7"/>
  <c r="M1345" i="7"/>
  <c r="M1341" i="7"/>
  <c r="M1337" i="7"/>
  <c r="M1333" i="7"/>
  <c r="M1329" i="7"/>
  <c r="M1325" i="7"/>
  <c r="M1321" i="7"/>
  <c r="M1317" i="7"/>
  <c r="M1313" i="7"/>
  <c r="M1309" i="7"/>
  <c r="M1305" i="7"/>
  <c r="M1301" i="7"/>
  <c r="M1297" i="7"/>
  <c r="M1293" i="7"/>
  <c r="M1289" i="7"/>
  <c r="M1285" i="7"/>
  <c r="M1281" i="7"/>
  <c r="M1277" i="7"/>
  <c r="M1273" i="7"/>
  <c r="M1269" i="7"/>
  <c r="M1265" i="7"/>
  <c r="M1261" i="7"/>
  <c r="M1257" i="7"/>
  <c r="M1253" i="7"/>
  <c r="M1249" i="7"/>
  <c r="M1245" i="7"/>
  <c r="M1241" i="7"/>
  <c r="M1237" i="7"/>
  <c r="M1233" i="7"/>
  <c r="M1229" i="7"/>
  <c r="M1225" i="7"/>
  <c r="M1221" i="7"/>
  <c r="M1217" i="7"/>
  <c r="M1213" i="7"/>
  <c r="M1209" i="7"/>
  <c r="M1205" i="7"/>
  <c r="M1201" i="7"/>
  <c r="M1197" i="7"/>
  <c r="M1193" i="7"/>
  <c r="M1189" i="7"/>
  <c r="M1185" i="7"/>
  <c r="M1181" i="7"/>
  <c r="M1177" i="7"/>
  <c r="M1173" i="7"/>
  <c r="M1169" i="7"/>
  <c r="M1165" i="7"/>
  <c r="M1161" i="7"/>
  <c r="M1157" i="7"/>
  <c r="M1153" i="7"/>
  <c r="M1149" i="7"/>
  <c r="M1145" i="7"/>
  <c r="M1141" i="7"/>
  <c r="M1137" i="7"/>
  <c r="M1133" i="7"/>
  <c r="M1129" i="7"/>
  <c r="M1125" i="7"/>
  <c r="M1121" i="7"/>
  <c r="M1117" i="7"/>
  <c r="M1113" i="7"/>
  <c r="M1109" i="7"/>
  <c r="M1105" i="7"/>
  <c r="M1101" i="7"/>
  <c r="M1097" i="7"/>
  <c r="M1093" i="7"/>
  <c r="M1089" i="7"/>
  <c r="M1085" i="7"/>
  <c r="M1081" i="7"/>
  <c r="M1077" i="7"/>
  <c r="M1073" i="7"/>
  <c r="M1069" i="7"/>
  <c r="M1065" i="7"/>
  <c r="M1061" i="7"/>
  <c r="M1057" i="7"/>
  <c r="M1053" i="7"/>
  <c r="M1049" i="7"/>
  <c r="M1045" i="7"/>
  <c r="M1041" i="7"/>
  <c r="M1037" i="7"/>
  <c r="M1033" i="7"/>
  <c r="M1029" i="7"/>
  <c r="M1025" i="7"/>
  <c r="M1021" i="7"/>
  <c r="M1017" i="7"/>
  <c r="M1013" i="7"/>
  <c r="M1009" i="7"/>
  <c r="M1005" i="7"/>
  <c r="M1001" i="7"/>
  <c r="M997" i="7"/>
  <c r="M993" i="7"/>
  <c r="M989" i="7"/>
  <c r="M985" i="7"/>
  <c r="M981" i="7"/>
  <c r="M977" i="7"/>
  <c r="M973" i="7"/>
  <c r="M969" i="7"/>
  <c r="M965" i="7"/>
  <c r="M961" i="7"/>
  <c r="M957" i="7"/>
  <c r="M953" i="7"/>
  <c r="M949" i="7"/>
  <c r="M945" i="7"/>
  <c r="M941" i="7"/>
  <c r="M937" i="7"/>
  <c r="M933" i="7"/>
  <c r="M929" i="7"/>
  <c r="M925" i="7"/>
  <c r="M921" i="7"/>
  <c r="M917" i="7"/>
  <c r="M2906" i="7"/>
  <c r="M2842" i="7"/>
  <c r="M2778" i="7"/>
  <c r="M2737" i="7"/>
  <c r="M2705" i="7"/>
  <c r="M2673" i="7"/>
  <c r="M2650" i="7"/>
  <c r="M2634" i="7"/>
  <c r="M2618" i="7"/>
  <c r="M2602" i="7"/>
  <c r="M2586" i="7"/>
  <c r="M2570" i="7"/>
  <c r="M2554" i="7"/>
  <c r="M2538" i="7"/>
  <c r="M2522" i="7"/>
  <c r="M2506" i="7"/>
  <c r="M2490" i="7"/>
  <c r="M2474" i="7"/>
  <c r="M2458" i="7"/>
  <c r="M2442" i="7"/>
  <c r="M2426" i="7"/>
  <c r="M2410" i="7"/>
  <c r="M2394" i="7"/>
  <c r="M2378" i="7"/>
  <c r="M2362" i="7"/>
  <c r="M2346" i="7"/>
  <c r="M2330" i="7"/>
  <c r="M2314" i="7"/>
  <c r="M2298" i="7"/>
  <c r="M2282" i="7"/>
  <c r="M2266" i="7"/>
  <c r="M2250" i="7"/>
  <c r="M2234" i="7"/>
  <c r="M2219" i="7"/>
  <c r="M2211" i="7"/>
  <c r="M2203" i="7"/>
  <c r="M2195" i="7"/>
  <c r="M2187" i="7"/>
  <c r="M2179" i="7"/>
  <c r="M2171" i="7"/>
  <c r="M2163" i="7"/>
  <c r="M2155" i="7"/>
  <c r="M2147" i="7"/>
  <c r="M2139" i="7"/>
  <c r="M2131" i="7"/>
  <c r="M2123" i="7"/>
  <c r="M2115" i="7"/>
  <c r="M2107" i="7"/>
  <c r="M2099" i="7"/>
  <c r="M2091" i="7"/>
  <c r="M2083" i="7"/>
  <c r="M2075" i="7"/>
  <c r="M2068" i="7"/>
  <c r="M2064" i="7"/>
  <c r="M2060" i="7"/>
  <c r="M2056" i="7"/>
  <c r="M2052" i="7"/>
  <c r="M2048" i="7"/>
  <c r="M2044" i="7"/>
  <c r="M2040" i="7"/>
  <c r="M2036" i="7"/>
  <c r="M2032" i="7"/>
  <c r="M2028" i="7"/>
  <c r="M2024" i="7"/>
  <c r="M2020" i="7"/>
  <c r="M2016" i="7"/>
  <c r="M2012" i="7"/>
  <c r="M2008" i="7"/>
  <c r="M2004" i="7"/>
  <c r="M2000" i="7"/>
  <c r="M1996" i="7"/>
  <c r="M1992" i="7"/>
  <c r="M1988" i="7"/>
  <c r="M1984" i="7"/>
  <c r="M1980" i="7"/>
  <c r="M1976" i="7"/>
  <c r="M1972" i="7"/>
  <c r="M1968" i="7"/>
  <c r="M1964" i="7"/>
  <c r="M1960" i="7"/>
  <c r="M1956" i="7"/>
  <c r="M1952" i="7"/>
  <c r="M1948" i="7"/>
  <c r="M1944" i="7"/>
  <c r="M1940" i="7"/>
  <c r="M1936" i="7"/>
  <c r="M1932" i="7"/>
  <c r="M1928" i="7"/>
  <c r="M1924" i="7"/>
  <c r="M1920" i="7"/>
  <c r="M1916" i="7"/>
  <c r="M1912" i="7"/>
  <c r="M1908" i="7"/>
  <c r="M1904" i="7"/>
  <c r="M1900" i="7"/>
  <c r="M1896" i="7"/>
  <c r="M1892" i="7"/>
  <c r="M1888" i="7"/>
  <c r="M1884" i="7"/>
  <c r="M1880" i="7"/>
  <c r="M1876" i="7"/>
  <c r="M1872" i="7"/>
  <c r="M1868" i="7"/>
  <c r="M1864" i="7"/>
  <c r="M1860" i="7"/>
  <c r="M1856" i="7"/>
  <c r="M1852" i="7"/>
  <c r="M1848" i="7"/>
  <c r="M1844" i="7"/>
  <c r="M1840" i="7"/>
  <c r="M1836" i="7"/>
  <c r="M1832" i="7"/>
  <c r="M1828" i="7"/>
  <c r="M1824" i="7"/>
  <c r="M1820" i="7"/>
  <c r="M1816" i="7"/>
  <c r="M1812" i="7"/>
  <c r="M1808" i="7"/>
  <c r="M1804" i="7"/>
  <c r="M1800" i="7"/>
  <c r="M1796" i="7"/>
  <c r="M1792" i="7"/>
  <c r="M1788" i="7"/>
  <c r="M1784" i="7"/>
  <c r="M1780" i="7"/>
  <c r="M1776" i="7"/>
  <c r="M1772" i="7"/>
  <c r="M1768" i="7"/>
  <c r="M1764" i="7"/>
  <c r="M1760" i="7"/>
  <c r="M1756" i="7"/>
  <c r="M1752" i="7"/>
  <c r="M1748" i="7"/>
  <c r="M1744" i="7"/>
  <c r="M1740" i="7"/>
  <c r="M1736" i="7"/>
  <c r="M1732" i="7"/>
  <c r="M1728" i="7"/>
  <c r="M1724" i="7"/>
  <c r="M1720" i="7"/>
  <c r="M1716" i="7"/>
  <c r="M1712" i="7"/>
  <c r="M1708" i="7"/>
  <c r="M1704" i="7"/>
  <c r="M1700" i="7"/>
  <c r="M1696" i="7"/>
  <c r="M1692" i="7"/>
  <c r="M1688" i="7"/>
  <c r="M1684" i="7"/>
  <c r="M1680" i="7"/>
  <c r="M1676" i="7"/>
  <c r="M1672" i="7"/>
  <c r="M1668" i="7"/>
  <c r="M1664" i="7"/>
  <c r="M1660" i="7"/>
  <c r="M1656" i="7"/>
  <c r="M1652" i="7"/>
  <c r="M1648" i="7"/>
  <c r="M1644" i="7"/>
  <c r="M1640" i="7"/>
  <c r="M1636" i="7"/>
  <c r="M1632" i="7"/>
  <c r="M1628" i="7"/>
  <c r="M1624" i="7"/>
  <c r="M1620" i="7"/>
  <c r="M1616" i="7"/>
  <c r="M1612" i="7"/>
  <c r="M1608" i="7"/>
  <c r="M1604" i="7"/>
  <c r="M1600" i="7"/>
  <c r="M1596" i="7"/>
  <c r="M1592" i="7"/>
  <c r="M1588" i="7"/>
  <c r="M1584" i="7"/>
  <c r="M1580" i="7"/>
  <c r="M1576" i="7"/>
  <c r="M1572" i="7"/>
  <c r="M1568" i="7"/>
  <c r="M1564" i="7"/>
  <c r="M1560" i="7"/>
  <c r="M1556" i="7"/>
  <c r="M1552" i="7"/>
  <c r="M1548" i="7"/>
  <c r="M1544" i="7"/>
  <c r="M1540" i="7"/>
  <c r="M1536" i="7"/>
  <c r="M1532" i="7"/>
  <c r="M1528" i="7"/>
  <c r="M1524" i="7"/>
  <c r="M1520" i="7"/>
  <c r="M1516" i="7"/>
  <c r="M1512" i="7"/>
  <c r="M1508" i="7"/>
  <c r="M1504" i="7"/>
  <c r="M1500" i="7"/>
  <c r="M1496" i="7"/>
  <c r="M1492" i="7"/>
  <c r="M1488" i="7"/>
  <c r="M1484" i="7"/>
  <c r="M1480" i="7"/>
  <c r="M1476" i="7"/>
  <c r="M1472" i="7"/>
  <c r="M1468" i="7"/>
  <c r="M1464" i="7"/>
  <c r="M1460" i="7"/>
  <c r="M1456" i="7"/>
  <c r="M1452" i="7"/>
  <c r="M1448" i="7"/>
  <c r="M1444" i="7"/>
  <c r="M1440" i="7"/>
  <c r="M1436" i="7"/>
  <c r="M1432" i="7"/>
  <c r="M1428" i="7"/>
  <c r="M1424" i="7"/>
  <c r="M1420" i="7"/>
  <c r="M1416" i="7"/>
  <c r="M1412" i="7"/>
  <c r="M1408" i="7"/>
  <c r="M1404" i="7"/>
  <c r="M1400" i="7"/>
  <c r="M1396" i="7"/>
  <c r="M1392" i="7"/>
  <c r="M1388" i="7"/>
  <c r="M1384" i="7"/>
  <c r="M1380" i="7"/>
  <c r="M1376" i="7"/>
  <c r="M1372" i="7"/>
  <c r="M1368" i="7"/>
  <c r="M1364" i="7"/>
  <c r="M1360" i="7"/>
  <c r="M1356" i="7"/>
  <c r="M1352" i="7"/>
  <c r="M1348" i="7"/>
  <c r="M1344" i="7"/>
  <c r="M1340" i="7"/>
  <c r="M1336" i="7"/>
  <c r="M1332" i="7"/>
  <c r="M1328" i="7"/>
  <c r="M1324" i="7"/>
  <c r="M1320" i="7"/>
  <c r="M1316" i="7"/>
  <c r="M1312" i="7"/>
  <c r="M1308" i="7"/>
  <c r="M1304" i="7"/>
  <c r="M1300" i="7"/>
  <c r="M1296" i="7"/>
  <c r="M1292" i="7"/>
  <c r="M1288" i="7"/>
  <c r="M1284" i="7"/>
  <c r="M1280" i="7"/>
  <c r="M1276" i="7"/>
  <c r="M1272" i="7"/>
  <c r="M1268" i="7"/>
  <c r="M1264" i="7"/>
  <c r="M1260" i="7"/>
  <c r="M1256" i="7"/>
  <c r="M1252" i="7"/>
  <c r="M1248" i="7"/>
  <c r="M1244" i="7"/>
  <c r="M1240" i="7"/>
  <c r="M1236" i="7"/>
  <c r="M1232" i="7"/>
  <c r="M1228" i="7"/>
  <c r="M1224" i="7"/>
  <c r="M1220" i="7"/>
  <c r="M1216" i="7"/>
  <c r="M1212" i="7"/>
  <c r="M1208" i="7"/>
  <c r="M1204" i="7"/>
  <c r="M1200" i="7"/>
  <c r="M1196" i="7"/>
  <c r="M1192" i="7"/>
  <c r="M1188" i="7"/>
  <c r="M1184" i="7"/>
  <c r="M1180" i="7"/>
  <c r="M1176" i="7"/>
  <c r="M1172" i="7"/>
  <c r="M1168" i="7"/>
  <c r="M1164" i="7"/>
  <c r="M1160" i="7"/>
  <c r="M1156" i="7"/>
  <c r="M1152" i="7"/>
  <c r="M1148" i="7"/>
  <c r="M1144" i="7"/>
  <c r="M1140" i="7"/>
  <c r="M1136" i="7"/>
  <c r="M1132" i="7"/>
  <c r="M1128" i="7"/>
  <c r="M1124" i="7"/>
  <c r="M1120" i="7"/>
  <c r="M1116" i="7"/>
  <c r="M1112" i="7"/>
  <c r="M1108" i="7"/>
  <c r="M1104" i="7"/>
  <c r="M1100" i="7"/>
  <c r="M1096" i="7"/>
  <c r="M1092" i="7"/>
  <c r="M1088" i="7"/>
  <c r="M1084" i="7"/>
  <c r="M1080" i="7"/>
  <c r="M1076" i="7"/>
  <c r="M1072" i="7"/>
  <c r="M1068" i="7"/>
  <c r="M1064" i="7"/>
  <c r="M1060" i="7"/>
  <c r="M1056" i="7"/>
  <c r="M1052" i="7"/>
  <c r="M1048" i="7"/>
  <c r="M1044" i="7"/>
  <c r="M1040" i="7"/>
  <c r="M1036" i="7"/>
  <c r="M1032" i="7"/>
  <c r="M1028" i="7"/>
  <c r="M1024" i="7"/>
  <c r="M1020" i="7"/>
  <c r="M1016" i="7"/>
  <c r="M1012" i="7"/>
  <c r="M1008" i="7"/>
  <c r="M1004" i="7"/>
  <c r="M1000" i="7"/>
  <c r="M996" i="7"/>
  <c r="M992" i="7"/>
  <c r="M988" i="7"/>
  <c r="M984" i="7"/>
  <c r="M980" i="7"/>
  <c r="M976" i="7"/>
  <c r="M972" i="7"/>
  <c r="M968" i="7"/>
  <c r="M964" i="7"/>
  <c r="M960" i="7"/>
  <c r="M956" i="7"/>
  <c r="M952" i="7"/>
  <c r="M948" i="7"/>
  <c r="M944" i="7"/>
  <c r="M940" i="7"/>
  <c r="M936" i="7"/>
  <c r="M932" i="7"/>
  <c r="M928" i="7"/>
  <c r="M924" i="7"/>
  <c r="M920" i="7"/>
  <c r="M916" i="7"/>
  <c r="M2890" i="7"/>
  <c r="M2826" i="7"/>
  <c r="M2762" i="7"/>
  <c r="M2729" i="7"/>
  <c r="M2697" i="7"/>
  <c r="M2665" i="7"/>
  <c r="M2646" i="7"/>
  <c r="M2630" i="7"/>
  <c r="M2614" i="7"/>
  <c r="M2598" i="7"/>
  <c r="M2582" i="7"/>
  <c r="M2566" i="7"/>
  <c r="M2550" i="7"/>
  <c r="M2534" i="7"/>
  <c r="M2518" i="7"/>
  <c r="M2502" i="7"/>
  <c r="M2486" i="7"/>
  <c r="M2470" i="7"/>
  <c r="M2454" i="7"/>
  <c r="M2438" i="7"/>
  <c r="M2422" i="7"/>
  <c r="M2406" i="7"/>
  <c r="M2390" i="7"/>
  <c r="M2374" i="7"/>
  <c r="M2358" i="7"/>
  <c r="M2342" i="7"/>
  <c r="M2326" i="7"/>
  <c r="M2310" i="7"/>
  <c r="M2294" i="7"/>
  <c r="M2278" i="7"/>
  <c r="M2262" i="7"/>
  <c r="M2246" i="7"/>
  <c r="M2230" i="7"/>
  <c r="M2218" i="7"/>
  <c r="M2210" i="7"/>
  <c r="M2202" i="7"/>
  <c r="M2194" i="7"/>
  <c r="M2186" i="7"/>
  <c r="M2178" i="7"/>
  <c r="M2170" i="7"/>
  <c r="M2162" i="7"/>
  <c r="M2154" i="7"/>
  <c r="M2146" i="7"/>
  <c r="M2138" i="7"/>
  <c r="M2130" i="7"/>
  <c r="M2122" i="7"/>
  <c r="M2114" i="7"/>
  <c r="M2106" i="7"/>
  <c r="M2098" i="7"/>
  <c r="M2090" i="7"/>
  <c r="M2082" i="7"/>
  <c r="M2074" i="7"/>
  <c r="M2067" i="7"/>
  <c r="M2063" i="7"/>
  <c r="M2059" i="7"/>
  <c r="M2055" i="7"/>
  <c r="M2051" i="7"/>
  <c r="M2047" i="7"/>
  <c r="M2043" i="7"/>
  <c r="M2039" i="7"/>
  <c r="M2035" i="7"/>
  <c r="M2031" i="7"/>
  <c r="M2027" i="7"/>
  <c r="M2023" i="7"/>
  <c r="M2019" i="7"/>
  <c r="M2015" i="7"/>
  <c r="M2011" i="7"/>
  <c r="M2007" i="7"/>
  <c r="M2003" i="7"/>
  <c r="M1999" i="7"/>
  <c r="M1995" i="7"/>
  <c r="M1991" i="7"/>
  <c r="M1987" i="7"/>
  <c r="M1983" i="7"/>
  <c r="M1979" i="7"/>
  <c r="M1975" i="7"/>
  <c r="M1971" i="7"/>
  <c r="M1967" i="7"/>
  <c r="M1963" i="7"/>
  <c r="M1959" i="7"/>
  <c r="M1955" i="7"/>
  <c r="M1951" i="7"/>
  <c r="M1947" i="7"/>
  <c r="M1943" i="7"/>
  <c r="M1939" i="7"/>
  <c r="M1935" i="7"/>
  <c r="M1931" i="7"/>
  <c r="M1927" i="7"/>
  <c r="M1923" i="7"/>
  <c r="M1919" i="7"/>
  <c r="M1915" i="7"/>
  <c r="M1911" i="7"/>
  <c r="M1907" i="7"/>
  <c r="M1903" i="7"/>
  <c r="M1899" i="7"/>
  <c r="M1895" i="7"/>
  <c r="M1891" i="7"/>
  <c r="M1887" i="7"/>
  <c r="M1883" i="7"/>
  <c r="M1879" i="7"/>
  <c r="M1875" i="7"/>
  <c r="M1871" i="7"/>
  <c r="M1867" i="7"/>
  <c r="M1863" i="7"/>
  <c r="M1859" i="7"/>
  <c r="M1855" i="7"/>
  <c r="M1851" i="7"/>
  <c r="M1847" i="7"/>
  <c r="M1843" i="7"/>
  <c r="M1839" i="7"/>
  <c r="M1835" i="7"/>
  <c r="M1831" i="7"/>
  <c r="M1827" i="7"/>
  <c r="M1823" i="7"/>
  <c r="M1819" i="7"/>
  <c r="M1815" i="7"/>
  <c r="M1811" i="7"/>
  <c r="M1807" i="7"/>
  <c r="M1803" i="7"/>
  <c r="M1799" i="7"/>
  <c r="M1795" i="7"/>
  <c r="M1791" i="7"/>
  <c r="M1787" i="7"/>
  <c r="M1783" i="7"/>
  <c r="M1779" i="7"/>
  <c r="M1775" i="7"/>
  <c r="M1771" i="7"/>
  <c r="M1767" i="7"/>
  <c r="M1763" i="7"/>
  <c r="M1759" i="7"/>
  <c r="M1755" i="7"/>
  <c r="M1751" i="7"/>
  <c r="M1747" i="7"/>
  <c r="M1743" i="7"/>
  <c r="M1739" i="7"/>
  <c r="M1735" i="7"/>
  <c r="M1731" i="7"/>
  <c r="M1727" i="7"/>
  <c r="M1723" i="7"/>
  <c r="M1719" i="7"/>
  <c r="M1715" i="7"/>
  <c r="M1711" i="7"/>
  <c r="M1707" i="7"/>
  <c r="M1703" i="7"/>
  <c r="M1699" i="7"/>
  <c r="M1695" i="7"/>
  <c r="M1691" i="7"/>
  <c r="M1687" i="7"/>
  <c r="M1683" i="7"/>
  <c r="M1679" i="7"/>
  <c r="M1675" i="7"/>
  <c r="M1671" i="7"/>
  <c r="M1667" i="7"/>
  <c r="M1663" i="7"/>
  <c r="M1659" i="7"/>
  <c r="M1655" i="7"/>
  <c r="M1651" i="7"/>
  <c r="M1647" i="7"/>
  <c r="M1643" i="7"/>
  <c r="M1639" i="7"/>
  <c r="M1635" i="7"/>
  <c r="M1631" i="7"/>
  <c r="M1627" i="7"/>
  <c r="M1623" i="7"/>
  <c r="M1619" i="7"/>
  <c r="M1615" i="7"/>
  <c r="M1611" i="7"/>
  <c r="M1607" i="7"/>
  <c r="M1603" i="7"/>
  <c r="M1599" i="7"/>
  <c r="M1595" i="7"/>
  <c r="M1591" i="7"/>
  <c r="M1587" i="7"/>
  <c r="M1583" i="7"/>
  <c r="M1579" i="7"/>
  <c r="M1575" i="7"/>
  <c r="M1571" i="7"/>
  <c r="M1567" i="7"/>
  <c r="M1563" i="7"/>
  <c r="M1559" i="7"/>
  <c r="M1555" i="7"/>
  <c r="M1551" i="7"/>
  <c r="M1547" i="7"/>
  <c r="M1543" i="7"/>
  <c r="M1539" i="7"/>
  <c r="M1535" i="7"/>
  <c r="M1531" i="7"/>
  <c r="M1527" i="7"/>
  <c r="M1523" i="7"/>
  <c r="M1519" i="7"/>
  <c r="M1515" i="7"/>
  <c r="M1511" i="7"/>
  <c r="M1507" i="7"/>
  <c r="M1503" i="7"/>
  <c r="M1499" i="7"/>
  <c r="M1495" i="7"/>
  <c r="M1491" i="7"/>
  <c r="M1487" i="7"/>
  <c r="M1483" i="7"/>
  <c r="M1479" i="7"/>
  <c r="M1475" i="7"/>
  <c r="M1471" i="7"/>
  <c r="M1467" i="7"/>
  <c r="M1463" i="7"/>
  <c r="M1459" i="7"/>
  <c r="M1455" i="7"/>
  <c r="M1451" i="7"/>
  <c r="M1447" i="7"/>
  <c r="M1443" i="7"/>
  <c r="M1439" i="7"/>
  <c r="M1435" i="7"/>
  <c r="M1431" i="7"/>
  <c r="M1427" i="7"/>
  <c r="M1423" i="7"/>
  <c r="M2874" i="7"/>
  <c r="M2689" i="7"/>
  <c r="M2610" i="7"/>
  <c r="M2546" i="7"/>
  <c r="M2482" i="7"/>
  <c r="M2418" i="7"/>
  <c r="M2354" i="7"/>
  <c r="M2290" i="7"/>
  <c r="M2226" i="7"/>
  <c r="M2191" i="7"/>
  <c r="M2159" i="7"/>
  <c r="M2127" i="7"/>
  <c r="M2095" i="7"/>
  <c r="M2066" i="7"/>
  <c r="M2050" i="7"/>
  <c r="M2034" i="7"/>
  <c r="M2018" i="7"/>
  <c r="M2002" i="7"/>
  <c r="M1986" i="7"/>
  <c r="M1970" i="7"/>
  <c r="M1954" i="7"/>
  <c r="M1938" i="7"/>
  <c r="M1922" i="7"/>
  <c r="M1906" i="7"/>
  <c r="M1890" i="7"/>
  <c r="M1874" i="7"/>
  <c r="M1858" i="7"/>
  <c r="M1842" i="7"/>
  <c r="M1826" i="7"/>
  <c r="M1810" i="7"/>
  <c r="M1794" i="7"/>
  <c r="M1778" i="7"/>
  <c r="M1762" i="7"/>
  <c r="M1746" i="7"/>
  <c r="M1730" i="7"/>
  <c r="M1714" i="7"/>
  <c r="M1698" i="7"/>
  <c r="M1682" i="7"/>
  <c r="M1666" i="7"/>
  <c r="M1650" i="7"/>
  <c r="M1634" i="7"/>
  <c r="M1618" i="7"/>
  <c r="M1602" i="7"/>
  <c r="M1586" i="7"/>
  <c r="M1570" i="7"/>
  <c r="M1554" i="7"/>
  <c r="M1538" i="7"/>
  <c r="M1522" i="7"/>
  <c r="M1506" i="7"/>
  <c r="M1490" i="7"/>
  <c r="M1474" i="7"/>
  <c r="M1458" i="7"/>
  <c r="M1442" i="7"/>
  <c r="M1426" i="7"/>
  <c r="M1415" i="7"/>
  <c r="M1407" i="7"/>
  <c r="M1399" i="7"/>
  <c r="M1391" i="7"/>
  <c r="M1383" i="7"/>
  <c r="M1375" i="7"/>
  <c r="M1367" i="7"/>
  <c r="M1359" i="7"/>
  <c r="M1351" i="7"/>
  <c r="M1343" i="7"/>
  <c r="M1335" i="7"/>
  <c r="M1327" i="7"/>
  <c r="M1319" i="7"/>
  <c r="M1311" i="7"/>
  <c r="M1303" i="7"/>
  <c r="M1295" i="7"/>
  <c r="M1287" i="7"/>
  <c r="M1279" i="7"/>
  <c r="M1271" i="7"/>
  <c r="M1263" i="7"/>
  <c r="M1255" i="7"/>
  <c r="M1247" i="7"/>
  <c r="M1239" i="7"/>
  <c r="M1231" i="7"/>
  <c r="M1223" i="7"/>
  <c r="M1215" i="7"/>
  <c r="M1207" i="7"/>
  <c r="M1199" i="7"/>
  <c r="M1191" i="7"/>
  <c r="M1183" i="7"/>
  <c r="M1175" i="7"/>
  <c r="M1167" i="7"/>
  <c r="M1159" i="7"/>
  <c r="M1151" i="7"/>
  <c r="M1143" i="7"/>
  <c r="M1135" i="7"/>
  <c r="M1127" i="7"/>
  <c r="M1119" i="7"/>
  <c r="M1111" i="7"/>
  <c r="M1103" i="7"/>
  <c r="M1095" i="7"/>
  <c r="M1087" i="7"/>
  <c r="M1079" i="7"/>
  <c r="M1071" i="7"/>
  <c r="M1063" i="7"/>
  <c r="M1055" i="7"/>
  <c r="M1047" i="7"/>
  <c r="M1039" i="7"/>
  <c r="M1031" i="7"/>
  <c r="M1023" i="7"/>
  <c r="M1015" i="7"/>
  <c r="M1007" i="7"/>
  <c r="M999" i="7"/>
  <c r="M991" i="7"/>
  <c r="M983" i="7"/>
  <c r="M975" i="7"/>
  <c r="M967" i="7"/>
  <c r="M959" i="7"/>
  <c r="M951" i="7"/>
  <c r="M943" i="7"/>
  <c r="M935" i="7"/>
  <c r="M927" i="7"/>
  <c r="M919" i="7"/>
  <c r="M913" i="7"/>
  <c r="M909" i="7"/>
  <c r="M905" i="7"/>
  <c r="M901" i="7"/>
  <c r="M897" i="7"/>
  <c r="M893" i="7"/>
  <c r="M889" i="7"/>
  <c r="M885" i="7"/>
  <c r="M881" i="7"/>
  <c r="M877" i="7"/>
  <c r="M873" i="7"/>
  <c r="M869" i="7"/>
  <c r="M865" i="7"/>
  <c r="M861" i="7"/>
  <c r="M857" i="7"/>
  <c r="M853" i="7"/>
  <c r="M849" i="7"/>
  <c r="M845" i="7"/>
  <c r="M841" i="7"/>
  <c r="M837" i="7"/>
  <c r="M833" i="7"/>
  <c r="M829" i="7"/>
  <c r="M825" i="7"/>
  <c r="M821" i="7"/>
  <c r="M817" i="7"/>
  <c r="M813" i="7"/>
  <c r="M809" i="7"/>
  <c r="M805" i="7"/>
  <c r="M801" i="7"/>
  <c r="M797" i="7"/>
  <c r="M793" i="7"/>
  <c r="M61" i="7"/>
  <c r="M77" i="7"/>
  <c r="M81" i="7"/>
  <c r="M85" i="7"/>
  <c r="M89" i="7"/>
  <c r="M97" i="7"/>
  <c r="M101" i="7"/>
  <c r="M105" i="7"/>
  <c r="M109" i="7"/>
  <c r="M113" i="7"/>
  <c r="M117" i="7"/>
  <c r="M121" i="7"/>
  <c r="M125" i="7"/>
  <c r="M129" i="7"/>
  <c r="M133" i="7"/>
  <c r="M137" i="7"/>
  <c r="M141" i="7"/>
  <c r="M145" i="7"/>
  <c r="M149" i="7"/>
  <c r="M157" i="7"/>
  <c r="M161" i="7"/>
  <c r="M165" i="7"/>
  <c r="M169" i="7"/>
  <c r="M173" i="7"/>
  <c r="M177" i="7"/>
  <c r="M181" i="7"/>
  <c r="M185" i="7"/>
  <c r="M189" i="7"/>
  <c r="M193" i="7"/>
  <c r="M197" i="7"/>
  <c r="M201" i="7"/>
  <c r="M205" i="7"/>
  <c r="M209" i="7"/>
  <c r="M213" i="7"/>
  <c r="M217" i="7"/>
  <c r="M221" i="7"/>
  <c r="M225" i="7"/>
  <c r="M229" i="7"/>
  <c r="M233" i="7"/>
  <c r="M237" i="7"/>
  <c r="M241" i="7"/>
  <c r="M245" i="7"/>
  <c r="M249" i="7"/>
  <c r="M253" i="7"/>
  <c r="M257" i="7"/>
  <c r="M261" i="7"/>
  <c r="M265" i="7"/>
  <c r="M269" i="7"/>
  <c r="M273" i="7"/>
  <c r="M277" i="7"/>
  <c r="M281" i="7"/>
  <c r="M285" i="7"/>
  <c r="M289" i="7"/>
  <c r="M293" i="7"/>
  <c r="M297" i="7"/>
  <c r="M301" i="7"/>
  <c r="M305" i="7"/>
  <c r="M309" i="7"/>
  <c r="M313" i="7"/>
  <c r="M317" i="7"/>
  <c r="M321" i="7"/>
  <c r="M325" i="7"/>
  <c r="M329" i="7"/>
  <c r="M333" i="7"/>
  <c r="M337" i="7"/>
  <c r="M341" i="7"/>
  <c r="M345" i="7"/>
  <c r="M349" i="7"/>
  <c r="M353" i="7"/>
  <c r="M357" i="7"/>
  <c r="M361" i="7"/>
  <c r="M365" i="7"/>
  <c r="M369" i="7"/>
  <c r="M377" i="7"/>
  <c r="M381" i="7"/>
  <c r="M385" i="7"/>
  <c r="M389" i="7"/>
  <c r="M393" i="7"/>
  <c r="M397" i="7"/>
  <c r="M401" i="7"/>
  <c r="M405" i="7"/>
  <c r="M409" i="7"/>
  <c r="M413" i="7"/>
  <c r="M417" i="7"/>
  <c r="M421" i="7"/>
  <c r="M425" i="7"/>
  <c r="M429" i="7"/>
  <c r="M433" i="7"/>
  <c r="M437" i="7"/>
  <c r="M445" i="7"/>
  <c r="M449" i="7"/>
  <c r="M453" i="7"/>
  <c r="M457" i="7"/>
  <c r="M461" i="7"/>
  <c r="M465" i="7"/>
  <c r="M469" i="7"/>
  <c r="M473" i="7"/>
  <c r="M477" i="7"/>
  <c r="M481" i="7"/>
  <c r="M485" i="7"/>
  <c r="M489" i="7"/>
  <c r="M493" i="7"/>
  <c r="M497" i="7"/>
  <c r="M501" i="7"/>
  <c r="M505" i="7"/>
  <c r="M509" i="7"/>
  <c r="M513" i="7"/>
  <c r="M517" i="7"/>
  <c r="M521" i="7"/>
  <c r="M525" i="7"/>
  <c r="M533" i="7"/>
  <c r="M537" i="7"/>
  <c r="M541" i="7"/>
  <c r="M545" i="7"/>
  <c r="M549" i="7"/>
  <c r="M553" i="7"/>
  <c r="M557" i="7"/>
  <c r="M561" i="7"/>
  <c r="M565" i="7"/>
  <c r="M569" i="7"/>
  <c r="M573" i="7"/>
  <c r="M577" i="7"/>
  <c r="M581" i="7"/>
  <c r="M585" i="7"/>
  <c r="M589" i="7"/>
  <c r="M593" i="7"/>
  <c r="M597" i="7"/>
  <c r="M601" i="7"/>
  <c r="M605" i="7"/>
  <c r="M609" i="7"/>
  <c r="M613" i="7"/>
  <c r="M617" i="7"/>
  <c r="M621" i="7"/>
  <c r="M625" i="7"/>
  <c r="M629" i="7"/>
  <c r="M633" i="7"/>
  <c r="M637" i="7"/>
  <c r="M641" i="7"/>
  <c r="M645" i="7"/>
  <c r="M649" i="7"/>
  <c r="M653" i="7"/>
  <c r="M657" i="7"/>
  <c r="M661" i="7"/>
  <c r="M665" i="7"/>
  <c r="M669" i="7"/>
  <c r="M673" i="7"/>
  <c r="M677" i="7"/>
  <c r="M681" i="7"/>
  <c r="M685" i="7"/>
  <c r="M689" i="7"/>
  <c r="M693" i="7"/>
  <c r="M697" i="7"/>
  <c r="M701" i="7"/>
  <c r="M705" i="7"/>
  <c r="M709" i="7"/>
  <c r="M713" i="7"/>
  <c r="M717" i="7"/>
  <c r="M721" i="7"/>
  <c r="M725" i="7"/>
  <c r="M729" i="7"/>
  <c r="M733" i="7"/>
  <c r="M737" i="7"/>
  <c r="M741" i="7"/>
  <c r="M745" i="7"/>
  <c r="M749" i="7"/>
  <c r="M753" i="7"/>
  <c r="M757" i="7"/>
  <c r="M761" i="7"/>
  <c r="M765" i="7"/>
  <c r="M769" i="7"/>
  <c r="M773" i="7"/>
  <c r="M777" i="7"/>
  <c r="M781" i="7"/>
  <c r="M785" i="7"/>
  <c r="M789" i="7"/>
  <c r="M2642" i="7"/>
  <c r="M2578" i="7"/>
  <c r="M2450" i="7"/>
  <c r="M2322" i="7"/>
  <c r="M2207" i="7"/>
  <c r="M2143" i="7"/>
  <c r="M2079" i="7"/>
  <c r="M2026" i="7"/>
  <c r="M1994" i="7"/>
  <c r="M1962" i="7"/>
  <c r="M2810" i="7"/>
  <c r="M2658" i="7"/>
  <c r="M2594" i="7"/>
  <c r="M2530" i="7"/>
  <c r="M2466" i="7"/>
  <c r="M2402" i="7"/>
  <c r="M2338" i="7"/>
  <c r="M2274" i="7"/>
  <c r="M2215" i="7"/>
  <c r="M2183" i="7"/>
  <c r="M2151" i="7"/>
  <c r="M2119" i="7"/>
  <c r="M2087" i="7"/>
  <c r="M2062" i="7"/>
  <c r="M2046" i="7"/>
  <c r="M2030" i="7"/>
  <c r="M2014" i="7"/>
  <c r="M1998" i="7"/>
  <c r="M1982" i="7"/>
  <c r="M1966" i="7"/>
  <c r="M1950" i="7"/>
  <c r="M1934" i="7"/>
  <c r="M1918" i="7"/>
  <c r="M1902" i="7"/>
  <c r="M1886" i="7"/>
  <c r="M1870" i="7"/>
  <c r="M1854" i="7"/>
  <c r="M1838" i="7"/>
  <c r="M1822" i="7"/>
  <c r="M1806" i="7"/>
  <c r="M1790" i="7"/>
  <c r="M1774" i="7"/>
  <c r="M1758" i="7"/>
  <c r="M1742" i="7"/>
  <c r="M1726" i="7"/>
  <c r="M1710" i="7"/>
  <c r="M1694" i="7"/>
  <c r="M1678" i="7"/>
  <c r="M1662" i="7"/>
  <c r="M1646" i="7"/>
  <c r="M1630" i="7"/>
  <c r="M1614" i="7"/>
  <c r="M1598" i="7"/>
  <c r="M1582" i="7"/>
  <c r="M1566" i="7"/>
  <c r="M1550" i="7"/>
  <c r="M1534" i="7"/>
  <c r="M1518" i="7"/>
  <c r="M1502" i="7"/>
  <c r="M1486" i="7"/>
  <c r="M1470" i="7"/>
  <c r="M1454" i="7"/>
  <c r="M1438" i="7"/>
  <c r="M1422" i="7"/>
  <c r="M1414" i="7"/>
  <c r="M1406" i="7"/>
  <c r="M1398" i="7"/>
  <c r="M1390" i="7"/>
  <c r="M1382" i="7"/>
  <c r="M1374" i="7"/>
  <c r="M1366" i="7"/>
  <c r="M1358" i="7"/>
  <c r="M1350" i="7"/>
  <c r="M1342" i="7"/>
  <c r="M1334" i="7"/>
  <c r="M1326" i="7"/>
  <c r="M1318" i="7"/>
  <c r="M1310" i="7"/>
  <c r="M1302" i="7"/>
  <c r="M1294" i="7"/>
  <c r="M1286" i="7"/>
  <c r="M1278" i="7"/>
  <c r="M1270" i="7"/>
  <c r="M1262" i="7"/>
  <c r="M1254" i="7"/>
  <c r="M1246" i="7"/>
  <c r="M1238" i="7"/>
  <c r="M1230" i="7"/>
  <c r="M1222" i="7"/>
  <c r="M1214" i="7"/>
  <c r="M1206" i="7"/>
  <c r="M1198" i="7"/>
  <c r="M1190" i="7"/>
  <c r="M1182" i="7"/>
  <c r="M1174" i="7"/>
  <c r="M1166" i="7"/>
  <c r="M1158" i="7"/>
  <c r="M1150" i="7"/>
  <c r="M1142" i="7"/>
  <c r="M1134" i="7"/>
  <c r="M1126" i="7"/>
  <c r="M1118" i="7"/>
  <c r="M1110" i="7"/>
  <c r="M1102" i="7"/>
  <c r="M1094" i="7"/>
  <c r="M1086" i="7"/>
  <c r="M1078" i="7"/>
  <c r="M1070" i="7"/>
  <c r="M1062" i="7"/>
  <c r="M1054" i="7"/>
  <c r="M1046" i="7"/>
  <c r="M1038" i="7"/>
  <c r="M1030" i="7"/>
  <c r="M1022" i="7"/>
  <c r="M1014" i="7"/>
  <c r="M1006" i="7"/>
  <c r="M998" i="7"/>
  <c r="M990" i="7"/>
  <c r="M982" i="7"/>
  <c r="M974" i="7"/>
  <c r="M966" i="7"/>
  <c r="M958" i="7"/>
  <c r="M950" i="7"/>
  <c r="M942" i="7"/>
  <c r="M934" i="7"/>
  <c r="M926" i="7"/>
  <c r="M918" i="7"/>
  <c r="M912" i="7"/>
  <c r="M908" i="7"/>
  <c r="M904" i="7"/>
  <c r="M900" i="7"/>
  <c r="M896" i="7"/>
  <c r="M892" i="7"/>
  <c r="M888" i="7"/>
  <c r="M884" i="7"/>
  <c r="M880" i="7"/>
  <c r="M876" i="7"/>
  <c r="M872" i="7"/>
  <c r="M868" i="7"/>
  <c r="M864" i="7"/>
  <c r="M860" i="7"/>
  <c r="M856" i="7"/>
  <c r="M852" i="7"/>
  <c r="M848" i="7"/>
  <c r="M844" i="7"/>
  <c r="M840" i="7"/>
  <c r="M836" i="7"/>
  <c r="M832" i="7"/>
  <c r="M828" i="7"/>
  <c r="M824" i="7"/>
  <c r="M820" i="7"/>
  <c r="M816" i="7"/>
  <c r="M812" i="7"/>
  <c r="M808" i="7"/>
  <c r="M804" i="7"/>
  <c r="M800" i="7"/>
  <c r="M796" i="7"/>
  <c r="M792" i="7"/>
  <c r="M74" i="7"/>
  <c r="M78" i="7"/>
  <c r="M82" i="7"/>
  <c r="M86" i="7"/>
  <c r="M90" i="7"/>
  <c r="M94" i="7"/>
  <c r="M98" i="7"/>
  <c r="M102" i="7"/>
  <c r="M106" i="7"/>
  <c r="M110" i="7"/>
  <c r="M114" i="7"/>
  <c r="M118" i="7"/>
  <c r="M122" i="7"/>
  <c r="M126" i="7"/>
  <c r="M130" i="7"/>
  <c r="M134" i="7"/>
  <c r="M138" i="7"/>
  <c r="M142" i="7"/>
  <c r="M146" i="7"/>
  <c r="M150" i="7"/>
  <c r="M154" i="7"/>
  <c r="M158" i="7"/>
  <c r="M162" i="7"/>
  <c r="M166" i="7"/>
  <c r="M170" i="7"/>
  <c r="M174" i="7"/>
  <c r="M178" i="7"/>
  <c r="M182" i="7"/>
  <c r="M190" i="7"/>
  <c r="M194" i="7"/>
  <c r="M198" i="7"/>
  <c r="M202" i="7"/>
  <c r="M206" i="7"/>
  <c r="M210" i="7"/>
  <c r="M218" i="7"/>
  <c r="M222" i="7"/>
  <c r="M226" i="7"/>
  <c r="M230" i="7"/>
  <c r="M234" i="7"/>
  <c r="M238" i="7"/>
  <c r="M242" i="7"/>
  <c r="M246" i="7"/>
  <c r="M250" i="7"/>
  <c r="M254" i="7"/>
  <c r="M258" i="7"/>
  <c r="M262" i="7"/>
  <c r="M266" i="7"/>
  <c r="M270" i="7"/>
  <c r="M274" i="7"/>
  <c r="M278" i="7"/>
  <c r="M282" i="7"/>
  <c r="M286" i="7"/>
  <c r="M290" i="7"/>
  <c r="M294" i="7"/>
  <c r="M298" i="7"/>
  <c r="M302" i="7"/>
  <c r="M306" i="7"/>
  <c r="M310" i="7"/>
  <c r="M314" i="7"/>
  <c r="M318" i="7"/>
  <c r="M322" i="7"/>
  <c r="M326" i="7"/>
  <c r="M330" i="7"/>
  <c r="M334" i="7"/>
  <c r="M338" i="7"/>
  <c r="M342" i="7"/>
  <c r="M346" i="7"/>
  <c r="M350" i="7"/>
  <c r="M354" i="7"/>
  <c r="M358" i="7"/>
  <c r="M362" i="7"/>
  <c r="M366" i="7"/>
  <c r="M370" i="7"/>
  <c r="M378" i="7"/>
  <c r="M382" i="7"/>
  <c r="M386" i="7"/>
  <c r="M390" i="7"/>
  <c r="M394" i="7"/>
  <c r="M398" i="7"/>
  <c r="M402" i="7"/>
  <c r="M406" i="7"/>
  <c r="M410" i="7"/>
  <c r="M414" i="7"/>
  <c r="M418" i="7"/>
  <c r="M422" i="7"/>
  <c r="M426" i="7"/>
  <c r="M430" i="7"/>
  <c r="M434" i="7"/>
  <c r="M438" i="7"/>
  <c r="M446" i="7"/>
  <c r="M450" i="7"/>
  <c r="M454" i="7"/>
  <c r="M458" i="7"/>
  <c r="M462" i="7"/>
  <c r="M466" i="7"/>
  <c r="M470" i="7"/>
  <c r="M474" i="7"/>
  <c r="M478" i="7"/>
  <c r="M482" i="7"/>
  <c r="M486" i="7"/>
  <c r="M490" i="7"/>
  <c r="M494" i="7"/>
  <c r="M498" i="7"/>
  <c r="M502" i="7"/>
  <c r="M506" i="7"/>
  <c r="M510" i="7"/>
  <c r="M514" i="7"/>
  <c r="M518" i="7"/>
  <c r="M522" i="7"/>
  <c r="M526" i="7"/>
  <c r="M530" i="7"/>
  <c r="M534" i="7"/>
  <c r="M538" i="7"/>
  <c r="M542" i="7"/>
  <c r="M546" i="7"/>
  <c r="M550" i="7"/>
  <c r="M554" i="7"/>
  <c r="M558" i="7"/>
  <c r="M562" i="7"/>
  <c r="M566" i="7"/>
  <c r="M570" i="7"/>
  <c r="M574" i="7"/>
  <c r="M578" i="7"/>
  <c r="M582" i="7"/>
  <c r="M586" i="7"/>
  <c r="M590" i="7"/>
  <c r="M594" i="7"/>
  <c r="M598" i="7"/>
  <c r="M602" i="7"/>
  <c r="M606" i="7"/>
  <c r="M610" i="7"/>
  <c r="M614" i="7"/>
  <c r="M618" i="7"/>
  <c r="M622" i="7"/>
  <c r="M626" i="7"/>
  <c r="M630" i="7"/>
  <c r="M634" i="7"/>
  <c r="M638" i="7"/>
  <c r="M642" i="7"/>
  <c r="M646" i="7"/>
  <c r="M650" i="7"/>
  <c r="M654" i="7"/>
  <c r="M658" i="7"/>
  <c r="M662" i="7"/>
  <c r="M666" i="7"/>
  <c r="M670" i="7"/>
  <c r="M674" i="7"/>
  <c r="M678" i="7"/>
  <c r="M682" i="7"/>
  <c r="M686" i="7"/>
  <c r="M690" i="7"/>
  <c r="M694" i="7"/>
  <c r="M698" i="7"/>
  <c r="M702" i="7"/>
  <c r="M706" i="7"/>
  <c r="M710" i="7"/>
  <c r="M714" i="7"/>
  <c r="M718" i="7"/>
  <c r="M722" i="7"/>
  <c r="M726" i="7"/>
  <c r="M730" i="7"/>
  <c r="M734" i="7"/>
  <c r="M738" i="7"/>
  <c r="M742" i="7"/>
  <c r="M746" i="7"/>
  <c r="M750" i="7"/>
  <c r="M754" i="7"/>
  <c r="M758" i="7"/>
  <c r="M762" i="7"/>
  <c r="M766" i="7"/>
  <c r="M770" i="7"/>
  <c r="M774" i="7"/>
  <c r="M778" i="7"/>
  <c r="M782" i="7"/>
  <c r="M786" i="7"/>
  <c r="M790" i="7"/>
  <c r="M2753" i="7"/>
  <c r="M2514" i="7"/>
  <c r="M2386" i="7"/>
  <c r="M2258" i="7"/>
  <c r="M2175" i="7"/>
  <c r="M2111" i="7"/>
  <c r="M2058" i="7"/>
  <c r="M2042" i="7"/>
  <c r="M2010" i="7"/>
  <c r="M1978" i="7"/>
  <c r="M2721" i="7"/>
  <c r="M2434" i="7"/>
  <c r="M2199" i="7"/>
  <c r="M2071" i="7"/>
  <c r="M2006" i="7"/>
  <c r="M1946" i="7"/>
  <c r="M1914" i="7"/>
  <c r="M1882" i="7"/>
  <c r="M1850" i="7"/>
  <c r="M1818" i="7"/>
  <c r="M1786" i="7"/>
  <c r="M1754" i="7"/>
  <c r="M1722" i="7"/>
  <c r="M1690" i="7"/>
  <c r="M1658" i="7"/>
  <c r="M1626" i="7"/>
  <c r="M1594" i="7"/>
  <c r="M1562" i="7"/>
  <c r="M1530" i="7"/>
  <c r="M1498" i="7"/>
  <c r="M1466" i="7"/>
  <c r="M1434" i="7"/>
  <c r="M1411" i="7"/>
  <c r="M1395" i="7"/>
  <c r="M1379" i="7"/>
  <c r="M1363" i="7"/>
  <c r="M1347" i="7"/>
  <c r="M1331" i="7"/>
  <c r="M1315" i="7"/>
  <c r="M1299" i="7"/>
  <c r="M1283" i="7"/>
  <c r="M1267" i="7"/>
  <c r="M1251" i="7"/>
  <c r="M1235" i="7"/>
  <c r="M1219" i="7"/>
  <c r="M1203" i="7"/>
  <c r="M1187" i="7"/>
  <c r="M1171" i="7"/>
  <c r="M1155" i="7"/>
  <c r="M1139" i="7"/>
  <c r="M1123" i="7"/>
  <c r="M1107" i="7"/>
  <c r="M1091" i="7"/>
  <c r="M1075" i="7"/>
  <c r="M1059" i="7"/>
  <c r="M1043" i="7"/>
  <c r="M1027" i="7"/>
  <c r="M1011" i="7"/>
  <c r="M995" i="7"/>
  <c r="M979" i="7"/>
  <c r="M963" i="7"/>
  <c r="M947" i="7"/>
  <c r="M931" i="7"/>
  <c r="M915" i="7"/>
  <c r="M907" i="7"/>
  <c r="M899" i="7"/>
  <c r="M891" i="7"/>
  <c r="M883" i="7"/>
  <c r="M875" i="7"/>
  <c r="M867" i="7"/>
  <c r="M859" i="7"/>
  <c r="M851" i="7"/>
  <c r="M843" i="7"/>
  <c r="M835" i="7"/>
  <c r="M827" i="7"/>
  <c r="M819" i="7"/>
  <c r="M811" i="7"/>
  <c r="M803" i="7"/>
  <c r="M795" i="7"/>
  <c r="M79" i="7"/>
  <c r="M87" i="7"/>
  <c r="M103" i="7"/>
  <c r="M111" i="7"/>
  <c r="M119" i="7"/>
  <c r="M127" i="7"/>
  <c r="M135" i="7"/>
  <c r="M143" i="7"/>
  <c r="M151" i="7"/>
  <c r="M159" i="7"/>
  <c r="M167" i="7"/>
  <c r="M175" i="7"/>
  <c r="M183" i="7"/>
  <c r="M191" i="7"/>
  <c r="M199" i="7"/>
  <c r="M207" i="7"/>
  <c r="M223" i="7"/>
  <c r="M231" i="7"/>
  <c r="M239" i="7"/>
  <c r="M247" i="7"/>
  <c r="M255" i="7"/>
  <c r="M263" i="7"/>
  <c r="M271" i="7"/>
  <c r="M279" i="7"/>
  <c r="M287" i="7"/>
  <c r="M295" i="7"/>
  <c r="M303" i="7"/>
  <c r="M311" i="7"/>
  <c r="M319" i="7"/>
  <c r="M327" i="7"/>
  <c r="M335" i="7"/>
  <c r="M343" i="7"/>
  <c r="M351" i="7"/>
  <c r="M359" i="7"/>
  <c r="M367" i="7"/>
  <c r="M383" i="7"/>
  <c r="M391" i="7"/>
  <c r="M399" i="7"/>
  <c r="M407" i="7"/>
  <c r="M415" i="7"/>
  <c r="M423" i="7"/>
  <c r="M431" i="7"/>
  <c r="M439" i="7"/>
  <c r="M447" i="7"/>
  <c r="M455" i="7"/>
  <c r="M463" i="7"/>
  <c r="M471" i="7"/>
  <c r="M479" i="7"/>
  <c r="M487" i="7"/>
  <c r="M495" i="7"/>
  <c r="M503" i="7"/>
  <c r="M511" i="7"/>
  <c r="M519" i="7"/>
  <c r="M527" i="7"/>
  <c r="M535" i="7"/>
  <c r="M543" i="7"/>
  <c r="M551" i="7"/>
  <c r="M559" i="7"/>
  <c r="M567" i="7"/>
  <c r="M575" i="7"/>
  <c r="M583" i="7"/>
  <c r="M591" i="7"/>
  <c r="M599" i="7"/>
  <c r="M607" i="7"/>
  <c r="M615" i="7"/>
  <c r="M623" i="7"/>
  <c r="M631" i="7"/>
  <c r="M639" i="7"/>
  <c r="M647" i="7"/>
  <c r="M655" i="7"/>
  <c r="M663" i="7"/>
  <c r="M671" i="7"/>
  <c r="M679" i="7"/>
  <c r="M687" i="7"/>
  <c r="M695" i="7"/>
  <c r="M703" i="7"/>
  <c r="M711" i="7"/>
  <c r="M719" i="7"/>
  <c r="M727" i="7"/>
  <c r="M735" i="7"/>
  <c r="M743" i="7"/>
  <c r="M751" i="7"/>
  <c r="M759" i="7"/>
  <c r="M767" i="7"/>
  <c r="M775" i="7"/>
  <c r="M783" i="7"/>
  <c r="M776" i="7"/>
  <c r="M2562" i="7"/>
  <c r="M2038" i="7"/>
  <c r="M1930" i="7"/>
  <c r="M1866" i="7"/>
  <c r="M1770" i="7"/>
  <c r="M1706" i="7"/>
  <c r="M1642" i="7"/>
  <c r="M1578" i="7"/>
  <c r="M1514" i="7"/>
  <c r="M1482" i="7"/>
  <c r="M1419" i="7"/>
  <c r="M1403" i="7"/>
  <c r="M1371" i="7"/>
  <c r="M1339" i="7"/>
  <c r="M1307" i="7"/>
  <c r="M1275" i="7"/>
  <c r="M1227" i="7"/>
  <c r="M1195" i="7"/>
  <c r="M1163" i="7"/>
  <c r="M1131" i="7"/>
  <c r="M1099" i="7"/>
  <c r="M1067" i="7"/>
  <c r="M1035" i="7"/>
  <c r="M1003" i="7"/>
  <c r="M971" i="7"/>
  <c r="M939" i="7"/>
  <c r="M911" i="7"/>
  <c r="M895" i="7"/>
  <c r="M879" i="7"/>
  <c r="M855" i="7"/>
  <c r="M839" i="7"/>
  <c r="M823" i="7"/>
  <c r="M807" i="7"/>
  <c r="M791" i="7"/>
  <c r="M75" i="7"/>
  <c r="M83" i="7"/>
  <c r="M99" i="7"/>
  <c r="M115" i="7"/>
  <c r="M123" i="7"/>
  <c r="M139" i="7"/>
  <c r="M171" i="7"/>
  <c r="M187" i="7"/>
  <c r="M219" i="7"/>
  <c r="M235" i="7"/>
  <c r="M251" i="7"/>
  <c r="M267" i="7"/>
  <c r="M283" i="7"/>
  <c r="M299" i="7"/>
  <c r="M315" i="7"/>
  <c r="M331" i="7"/>
  <c r="M355" i="7"/>
  <c r="M371" i="7"/>
  <c r="M387" i="7"/>
  <c r="M403" i="7"/>
  <c r="M419" i="7"/>
  <c r="M435" i="7"/>
  <c r="M451" i="7"/>
  <c r="M467" i="7"/>
  <c r="M483" i="7"/>
  <c r="M507" i="7"/>
  <c r="M523" i="7"/>
  <c r="M531" i="7"/>
  <c r="M547" i="7"/>
  <c r="M563" i="7"/>
  <c r="M579" i="7"/>
  <c r="M595" i="7"/>
  <c r="M611" i="7"/>
  <c r="M627" i="7"/>
  <c r="M643" i="7"/>
  <c r="M659" i="7"/>
  <c r="M675" i="7"/>
  <c r="M683" i="7"/>
  <c r="M699" i="7"/>
  <c r="M715" i="7"/>
  <c r="M731" i="7"/>
  <c r="M747" i="7"/>
  <c r="M763" i="7"/>
  <c r="M779" i="7"/>
  <c r="M2498" i="7"/>
  <c r="M2103" i="7"/>
  <c r="M1958" i="7"/>
  <c r="M1894" i="7"/>
  <c r="M1830" i="7"/>
  <c r="M1734" i="7"/>
  <c r="M1670" i="7"/>
  <c r="M1606" i="7"/>
  <c r="M1542" i="7"/>
  <c r="M1478" i="7"/>
  <c r="M1418" i="7"/>
  <c r="M1370" i="7"/>
  <c r="M1338" i="7"/>
  <c r="M1306" i="7"/>
  <c r="M1274" i="7"/>
  <c r="M1242" i="7"/>
  <c r="M1210" i="7"/>
  <c r="M1178" i="7"/>
  <c r="M1146" i="7"/>
  <c r="M1114" i="7"/>
  <c r="M1082" i="7"/>
  <c r="M1050" i="7"/>
  <c r="M1018" i="7"/>
  <c r="M986" i="7"/>
  <c r="M938" i="7"/>
  <c r="M910" i="7"/>
  <c r="M894" i="7"/>
  <c r="M878" i="7"/>
  <c r="M862" i="7"/>
  <c r="M846" i="7"/>
  <c r="M830" i="7"/>
  <c r="M814" i="7"/>
  <c r="M798" i="7"/>
  <c r="M100" i="7"/>
  <c r="M116" i="7"/>
  <c r="M132" i="7"/>
  <c r="M148" i="7"/>
  <c r="M164" i="7"/>
  <c r="M180" i="7"/>
  <c r="M196" i="7"/>
  <c r="M212" i="7"/>
  <c r="M228" i="7"/>
  <c r="M244" i="7"/>
  <c r="M260" i="7"/>
  <c r="M276" i="7"/>
  <c r="M292" i="7"/>
  <c r="M308" i="7"/>
  <c r="M324" i="7"/>
  <c r="M340" i="7"/>
  <c r="M356" i="7"/>
  <c r="M372" i="7"/>
  <c r="M388" i="7"/>
  <c r="M404" i="7"/>
  <c r="M420" i="7"/>
  <c r="M436" i="7"/>
  <c r="M452" i="7"/>
  <c r="M468" i="7"/>
  <c r="M484" i="7"/>
  <c r="M500" i="7"/>
  <c r="M516" i="7"/>
  <c r="M532" i="7"/>
  <c r="M548" i="7"/>
  <c r="M564" i="7"/>
  <c r="M580" i="7"/>
  <c r="M596" i="7"/>
  <c r="M612" i="7"/>
  <c r="M628" i="7"/>
  <c r="M644" i="7"/>
  <c r="M652" i="7"/>
  <c r="M668" i="7"/>
  <c r="M692" i="7"/>
  <c r="M708" i="7"/>
  <c r="M724" i="7"/>
  <c r="M740" i="7"/>
  <c r="M756" i="7"/>
  <c r="M772" i="7"/>
  <c r="M788" i="7"/>
  <c r="M2626" i="7"/>
  <c r="M2370" i="7"/>
  <c r="M2167" i="7"/>
  <c r="M2054" i="7"/>
  <c r="M1990" i="7"/>
  <c r="M1942" i="7"/>
  <c r="M1910" i="7"/>
  <c r="M1878" i="7"/>
  <c r="M1846" i="7"/>
  <c r="M1814" i="7"/>
  <c r="M1782" i="7"/>
  <c r="M1750" i="7"/>
  <c r="M1718" i="7"/>
  <c r="M1686" i="7"/>
  <c r="M1654" i="7"/>
  <c r="M1622" i="7"/>
  <c r="M1590" i="7"/>
  <c r="M1558" i="7"/>
  <c r="M1526" i="7"/>
  <c r="M1494" i="7"/>
  <c r="M1462" i="7"/>
  <c r="M1430" i="7"/>
  <c r="M1410" i="7"/>
  <c r="M1394" i="7"/>
  <c r="M1378" i="7"/>
  <c r="M1362" i="7"/>
  <c r="M1346" i="7"/>
  <c r="M1330" i="7"/>
  <c r="M1314" i="7"/>
  <c r="M1298" i="7"/>
  <c r="M1282" i="7"/>
  <c r="M1266" i="7"/>
  <c r="M1250" i="7"/>
  <c r="M1234" i="7"/>
  <c r="M1218" i="7"/>
  <c r="M1202" i="7"/>
  <c r="M1186" i="7"/>
  <c r="M1170" i="7"/>
  <c r="M1154" i="7"/>
  <c r="M1138" i="7"/>
  <c r="M1122" i="7"/>
  <c r="M1106" i="7"/>
  <c r="M1090" i="7"/>
  <c r="M1074" i="7"/>
  <c r="M1058" i="7"/>
  <c r="M1042" i="7"/>
  <c r="M1026" i="7"/>
  <c r="M1010" i="7"/>
  <c r="M994" i="7"/>
  <c r="M978" i="7"/>
  <c r="M962" i="7"/>
  <c r="M946" i="7"/>
  <c r="M930" i="7"/>
  <c r="M914" i="7"/>
  <c r="M906" i="7"/>
  <c r="M898" i="7"/>
  <c r="M890" i="7"/>
  <c r="M882" i="7"/>
  <c r="M874" i="7"/>
  <c r="M866" i="7"/>
  <c r="M858" i="7"/>
  <c r="M850" i="7"/>
  <c r="M842" i="7"/>
  <c r="M834" i="7"/>
  <c r="M826" i="7"/>
  <c r="M818" i="7"/>
  <c r="M810" i="7"/>
  <c r="M802" i="7"/>
  <c r="M794" i="7"/>
  <c r="M80" i="7"/>
  <c r="M88" i="7"/>
  <c r="M96" i="7"/>
  <c r="M104" i="7"/>
  <c r="M112" i="7"/>
  <c r="M120" i="7"/>
  <c r="M128" i="7"/>
  <c r="M136" i="7"/>
  <c r="M144" i="7"/>
  <c r="M152" i="7"/>
  <c r="M160" i="7"/>
  <c r="M168" i="7"/>
  <c r="M176" i="7"/>
  <c r="M184" i="7"/>
  <c r="M192" i="7"/>
  <c r="M200" i="7"/>
  <c r="M208" i="7"/>
  <c r="M216" i="7"/>
  <c r="M224" i="7"/>
  <c r="M232" i="7"/>
  <c r="M240" i="7"/>
  <c r="M248" i="7"/>
  <c r="M256" i="7"/>
  <c r="M264" i="7"/>
  <c r="M272" i="7"/>
  <c r="M280" i="7"/>
  <c r="M288" i="7"/>
  <c r="M296" i="7"/>
  <c r="M304" i="7"/>
  <c r="M312" i="7"/>
  <c r="M320" i="7"/>
  <c r="M328" i="7"/>
  <c r="M336" i="7"/>
  <c r="M344" i="7"/>
  <c r="M352" i="7"/>
  <c r="M360" i="7"/>
  <c r="M368" i="7"/>
  <c r="M376" i="7"/>
  <c r="M384" i="7"/>
  <c r="M392" i="7"/>
  <c r="M400" i="7"/>
  <c r="M408" i="7"/>
  <c r="M416" i="7"/>
  <c r="M424" i="7"/>
  <c r="M432" i="7"/>
  <c r="M440" i="7"/>
  <c r="M448" i="7"/>
  <c r="M456" i="7"/>
  <c r="M464" i="7"/>
  <c r="M472" i="7"/>
  <c r="M480" i="7"/>
  <c r="M488" i="7"/>
  <c r="M496" i="7"/>
  <c r="M504" i="7"/>
  <c r="M512" i="7"/>
  <c r="M520" i="7"/>
  <c r="M528" i="7"/>
  <c r="M536" i="7"/>
  <c r="M544" i="7"/>
  <c r="M552" i="7"/>
  <c r="M560" i="7"/>
  <c r="M568" i="7"/>
  <c r="M576" i="7"/>
  <c r="M584" i="7"/>
  <c r="M592" i="7"/>
  <c r="M600" i="7"/>
  <c r="M608" i="7"/>
  <c r="M616" i="7"/>
  <c r="M624" i="7"/>
  <c r="M632" i="7"/>
  <c r="M640" i="7"/>
  <c r="M648" i="7"/>
  <c r="M656" i="7"/>
  <c r="M664" i="7"/>
  <c r="M672" i="7"/>
  <c r="M680" i="7"/>
  <c r="M688" i="7"/>
  <c r="M696" i="7"/>
  <c r="M704" i="7"/>
  <c r="M712" i="7"/>
  <c r="M720" i="7"/>
  <c r="M728" i="7"/>
  <c r="M736" i="7"/>
  <c r="M744" i="7"/>
  <c r="M752" i="7"/>
  <c r="M760" i="7"/>
  <c r="M768" i="7"/>
  <c r="M784" i="7"/>
  <c r="M2306" i="7"/>
  <c r="M2135" i="7"/>
  <c r="M1974" i="7"/>
  <c r="M1898" i="7"/>
  <c r="M1834" i="7"/>
  <c r="M1802" i="7"/>
  <c r="M1738" i="7"/>
  <c r="M1674" i="7"/>
  <c r="M1610" i="7"/>
  <c r="M1546" i="7"/>
  <c r="M1450" i="7"/>
  <c r="M1387" i="7"/>
  <c r="M1355" i="7"/>
  <c r="M1323" i="7"/>
  <c r="M1291" i="7"/>
  <c r="M1259" i="7"/>
  <c r="M1243" i="7"/>
  <c r="M1211" i="7"/>
  <c r="M1179" i="7"/>
  <c r="M1147" i="7"/>
  <c r="M1115" i="7"/>
  <c r="M1083" i="7"/>
  <c r="M1051" i="7"/>
  <c r="M1019" i="7"/>
  <c r="M987" i="7"/>
  <c r="M955" i="7"/>
  <c r="M923" i="7"/>
  <c r="M903" i="7"/>
  <c r="M887" i="7"/>
  <c r="M871" i="7"/>
  <c r="M863" i="7"/>
  <c r="M847" i="7"/>
  <c r="M831" i="7"/>
  <c r="M815" i="7"/>
  <c r="M799" i="7"/>
  <c r="M91" i="7"/>
  <c r="M107" i="7"/>
  <c r="M131" i="7"/>
  <c r="M147" i="7"/>
  <c r="M163" i="7"/>
  <c r="M179" i="7"/>
  <c r="M195" i="7"/>
  <c r="M203" i="7"/>
  <c r="M211" i="7"/>
  <c r="M227" i="7"/>
  <c r="M243" i="7"/>
  <c r="M259" i="7"/>
  <c r="M275" i="7"/>
  <c r="M291" i="7"/>
  <c r="M307" i="7"/>
  <c r="M323" i="7"/>
  <c r="M339" i="7"/>
  <c r="M347" i="7"/>
  <c r="M363" i="7"/>
  <c r="M379" i="7"/>
  <c r="M395" i="7"/>
  <c r="M411" i="7"/>
  <c r="M427" i="7"/>
  <c r="M443" i="7"/>
  <c r="M459" i="7"/>
  <c r="M475" i="7"/>
  <c r="M491" i="7"/>
  <c r="M499" i="7"/>
  <c r="M515" i="7"/>
  <c r="M539" i="7"/>
  <c r="M555" i="7"/>
  <c r="M571" i="7"/>
  <c r="M587" i="7"/>
  <c r="M603" i="7"/>
  <c r="M619" i="7"/>
  <c r="M635" i="7"/>
  <c r="M651" i="7"/>
  <c r="M667" i="7"/>
  <c r="M691" i="7"/>
  <c r="M707" i="7"/>
  <c r="M723" i="7"/>
  <c r="M739" i="7"/>
  <c r="M755" i="7"/>
  <c r="M771" i="7"/>
  <c r="M787" i="7"/>
  <c r="M2242" i="7"/>
  <c r="M2022" i="7"/>
  <c r="M1926" i="7"/>
  <c r="M1862" i="7"/>
  <c r="M1798" i="7"/>
  <c r="M1766" i="7"/>
  <c r="M1702" i="7"/>
  <c r="M1638" i="7"/>
  <c r="M1574" i="7"/>
  <c r="M1510" i="7"/>
  <c r="M1446" i="7"/>
  <c r="M1402" i="7"/>
  <c r="M1386" i="7"/>
  <c r="M1354" i="7"/>
  <c r="M1322" i="7"/>
  <c r="M1290" i="7"/>
  <c r="M1258" i="7"/>
  <c r="M1226" i="7"/>
  <c r="M1194" i="7"/>
  <c r="M1162" i="7"/>
  <c r="M1130" i="7"/>
  <c r="M1098" i="7"/>
  <c r="M1066" i="7"/>
  <c r="M1034" i="7"/>
  <c r="M1002" i="7"/>
  <c r="M970" i="7"/>
  <c r="M954" i="7"/>
  <c r="M922" i="7"/>
  <c r="M902" i="7"/>
  <c r="M886" i="7"/>
  <c r="M870" i="7"/>
  <c r="M854" i="7"/>
  <c r="M838" i="7"/>
  <c r="M822" i="7"/>
  <c r="M806" i="7"/>
  <c r="M76" i="7"/>
  <c r="M84" i="7"/>
  <c r="M92" i="7"/>
  <c r="M108" i="7"/>
  <c r="M124" i="7"/>
  <c r="M140" i="7"/>
  <c r="M156" i="7"/>
  <c r="M172" i="7"/>
  <c r="M204" i="7"/>
  <c r="M220" i="7"/>
  <c r="M236" i="7"/>
  <c r="M252" i="7"/>
  <c r="M268" i="7"/>
  <c r="M284" i="7"/>
  <c r="M300" i="7"/>
  <c r="M316" i="7"/>
  <c r="M332" i="7"/>
  <c r="M348" i="7"/>
  <c r="M364" i="7"/>
  <c r="M380" i="7"/>
  <c r="M396" i="7"/>
  <c r="M412" i="7"/>
  <c r="M428" i="7"/>
  <c r="M444" i="7"/>
  <c r="M460" i="7"/>
  <c r="M476" i="7"/>
  <c r="M492" i="7"/>
  <c r="M508" i="7"/>
  <c r="M524" i="7"/>
  <c r="M540" i="7"/>
  <c r="M556" i="7"/>
  <c r="M572" i="7"/>
  <c r="M588" i="7"/>
  <c r="M604" i="7"/>
  <c r="M620" i="7"/>
  <c r="M636" i="7"/>
  <c r="M660" i="7"/>
  <c r="M676" i="7"/>
  <c r="M684" i="7"/>
  <c r="M700" i="7"/>
  <c r="M716" i="7"/>
  <c r="M732" i="7"/>
  <c r="M748" i="7"/>
  <c r="M764" i="7"/>
  <c r="M780" i="7"/>
  <c r="T568" i="7"/>
  <c r="U568" i="7"/>
  <c r="Q866" i="7"/>
  <c r="R866" i="7"/>
  <c r="U2293" i="7"/>
  <c r="T2293" i="7"/>
  <c r="Q2490" i="7"/>
  <c r="R2490" i="7"/>
  <c r="U102" i="7"/>
  <c r="Q112" i="7"/>
  <c r="Q128" i="7"/>
  <c r="Q144" i="7"/>
  <c r="Q160" i="7"/>
  <c r="Q176" i="7"/>
  <c r="Q192" i="7"/>
  <c r="Q208" i="7"/>
  <c r="Q224" i="7"/>
  <c r="Q240" i="7"/>
  <c r="Q256" i="7"/>
  <c r="Q272" i="7"/>
  <c r="Q288" i="7"/>
  <c r="Q304" i="7"/>
  <c r="Q320" i="7"/>
  <c r="Q336" i="7"/>
  <c r="Q352" i="7"/>
  <c r="Q368" i="7"/>
  <c r="Q384" i="7"/>
  <c r="Q400" i="7"/>
  <c r="Q416" i="7"/>
  <c r="Q432" i="7"/>
  <c r="Q448" i="7"/>
  <c r="Q464" i="7"/>
  <c r="Q480" i="7"/>
  <c r="Q496" i="7"/>
  <c r="Q512" i="7"/>
  <c r="R518" i="7"/>
  <c r="Q524" i="7"/>
  <c r="Q530" i="7"/>
  <c r="U538" i="7"/>
  <c r="U544" i="7"/>
  <c r="R550" i="7"/>
  <c r="Q556" i="7"/>
  <c r="Q562" i="7"/>
  <c r="T576" i="7"/>
  <c r="U576" i="7"/>
  <c r="U788" i="7"/>
  <c r="T788" i="7"/>
  <c r="Q830" i="7"/>
  <c r="R830" i="7"/>
  <c r="U951" i="7"/>
  <c r="T951" i="7"/>
  <c r="Q1047" i="7"/>
  <c r="R1047" i="7"/>
  <c r="U1187" i="7"/>
  <c r="T1187" i="7"/>
  <c r="U1225" i="7"/>
  <c r="T1225" i="7"/>
  <c r="U1352" i="7"/>
  <c r="T1352" i="7"/>
  <c r="U1497" i="7"/>
  <c r="T1497" i="7"/>
  <c r="Q1564" i="7"/>
  <c r="R1564" i="7"/>
  <c r="U1915" i="7"/>
  <c r="T1915" i="7"/>
  <c r="T562" i="7"/>
  <c r="U562" i="7"/>
  <c r="T594" i="7"/>
  <c r="U594" i="7"/>
  <c r="Q662" i="7"/>
  <c r="R662" i="7"/>
  <c r="Q726" i="7"/>
  <c r="R726" i="7"/>
  <c r="U1064" i="7"/>
  <c r="T1064" i="7"/>
  <c r="U1273" i="7"/>
  <c r="T1273" i="7"/>
  <c r="U1369" i="7"/>
  <c r="T1369" i="7"/>
  <c r="U1416" i="7"/>
  <c r="T1416" i="7"/>
  <c r="U1433" i="7"/>
  <c r="T1433" i="7"/>
  <c r="U1480" i="7"/>
  <c r="T1480" i="7"/>
  <c r="U1659" i="7"/>
  <c r="T1659" i="7"/>
  <c r="U1787" i="7"/>
  <c r="T1787" i="7"/>
  <c r="R1989" i="7"/>
  <c r="Q1989" i="7"/>
  <c r="R572" i="7"/>
  <c r="Q572" i="7"/>
  <c r="T1078" i="7"/>
  <c r="U1078" i="7"/>
  <c r="U1124" i="7"/>
  <c r="T1124" i="7"/>
  <c r="T1621" i="7"/>
  <c r="U1621" i="7"/>
  <c r="R72" i="7"/>
  <c r="Q116" i="7"/>
  <c r="Q132" i="7"/>
  <c r="Q148" i="7"/>
  <c r="Q164" i="7"/>
  <c r="Q522" i="7"/>
  <c r="U530" i="7"/>
  <c r="U536" i="7"/>
  <c r="R542" i="7"/>
  <c r="Q554" i="7"/>
  <c r="Q566" i="7"/>
  <c r="R566" i="7"/>
  <c r="Q598" i="7"/>
  <c r="R598" i="7"/>
  <c r="Q821" i="7"/>
  <c r="R821" i="7"/>
  <c r="U999" i="7"/>
  <c r="T999" i="7"/>
  <c r="T1150" i="7"/>
  <c r="U1150" i="7"/>
  <c r="T1212" i="7"/>
  <c r="U1212" i="7"/>
  <c r="Q1516" i="7"/>
  <c r="R1516" i="7"/>
  <c r="Q574" i="7"/>
  <c r="R574" i="7"/>
  <c r="R578" i="7"/>
  <c r="Q578" i="7"/>
  <c r="U871" i="7"/>
  <c r="T871" i="7"/>
  <c r="U989" i="7"/>
  <c r="T989" i="7"/>
  <c r="T1094" i="7"/>
  <c r="U1094" i="7"/>
  <c r="U1206" i="7"/>
  <c r="T1206" i="7"/>
  <c r="Q1548" i="7"/>
  <c r="R1548" i="7"/>
  <c r="Q911" i="7"/>
  <c r="R911" i="7"/>
  <c r="U1305" i="7"/>
  <c r="T1305" i="7"/>
  <c r="Q2019" i="7"/>
  <c r="R2019" i="7"/>
  <c r="Q2570" i="7"/>
  <c r="R2570" i="7"/>
  <c r="U522" i="7"/>
  <c r="U528" i="7"/>
  <c r="R534" i="7"/>
  <c r="Q546" i="7"/>
  <c r="U554" i="7"/>
  <c r="U560" i="7"/>
  <c r="T570" i="7"/>
  <c r="U570" i="7"/>
  <c r="R818" i="7"/>
  <c r="Q818" i="7"/>
  <c r="U980" i="7"/>
  <c r="T980" i="7"/>
  <c r="T1062" i="7"/>
  <c r="U1062" i="7"/>
  <c r="U1080" i="7"/>
  <c r="T1080" i="7"/>
  <c r="U1133" i="7"/>
  <c r="T1133" i="7"/>
  <c r="Q1178" i="7"/>
  <c r="R1178" i="7"/>
  <c r="T1256" i="7"/>
  <c r="U1256" i="7"/>
  <c r="U1320" i="7"/>
  <c r="T1320" i="7"/>
  <c r="U1337" i="7"/>
  <c r="T1337" i="7"/>
  <c r="Q1753" i="7"/>
  <c r="R1753" i="7"/>
  <c r="Q1881" i="7"/>
  <c r="R1881" i="7"/>
  <c r="Q582" i="7"/>
  <c r="R582" i="7"/>
  <c r="T592" i="7"/>
  <c r="U592" i="7"/>
  <c r="Q630" i="7"/>
  <c r="R630" i="7"/>
  <c r="Q694" i="7"/>
  <c r="R694" i="7"/>
  <c r="R794" i="7"/>
  <c r="Q794" i="7"/>
  <c r="T814" i="7"/>
  <c r="U814" i="7"/>
  <c r="Q840" i="7"/>
  <c r="R840" i="7"/>
  <c r="U894" i="7"/>
  <c r="T894" i="7"/>
  <c r="U917" i="7"/>
  <c r="T917" i="7"/>
  <c r="U1384" i="7"/>
  <c r="T1384" i="7"/>
  <c r="U1401" i="7"/>
  <c r="T1401" i="7"/>
  <c r="U1448" i="7"/>
  <c r="T1448" i="7"/>
  <c r="U1465" i="7"/>
  <c r="T1465" i="7"/>
  <c r="Q1580" i="7"/>
  <c r="R1580" i="7"/>
  <c r="T1749" i="7"/>
  <c r="U1749" i="7"/>
  <c r="T1877" i="7"/>
  <c r="U1877" i="7"/>
  <c r="T586" i="7"/>
  <c r="U586" i="7"/>
  <c r="Q2634" i="7"/>
  <c r="R2634" i="7"/>
  <c r="U520" i="7"/>
  <c r="R526" i="7"/>
  <c r="Q538" i="7"/>
  <c r="U546" i="7"/>
  <c r="U552" i="7"/>
  <c r="R558" i="7"/>
  <c r="R586" i="7"/>
  <c r="Q586" i="7"/>
  <c r="T746" i="7"/>
  <c r="U746" i="7"/>
  <c r="U887" i="7"/>
  <c r="T887" i="7"/>
  <c r="U1015" i="7"/>
  <c r="T1015" i="7"/>
  <c r="U1288" i="7"/>
  <c r="T1288" i="7"/>
  <c r="Q1532" i="7"/>
  <c r="R1532" i="7"/>
  <c r="Q1625" i="7"/>
  <c r="R1625" i="7"/>
  <c r="Q2538" i="7"/>
  <c r="R2538" i="7"/>
  <c r="U2805" i="7"/>
  <c r="T2805" i="7"/>
  <c r="R602" i="7"/>
  <c r="R666" i="7"/>
  <c r="R698" i="7"/>
  <c r="R863" i="7"/>
  <c r="T869" i="7"/>
  <c r="U898" i="7"/>
  <c r="R905" i="7"/>
  <c r="T908" i="7"/>
  <c r="U914" i="7"/>
  <c r="T1031" i="7"/>
  <c r="T1395" i="7"/>
  <c r="T1427" i="7"/>
  <c r="T1459" i="7"/>
  <c r="T1491" i="7"/>
  <c r="R1510" i="7"/>
  <c r="R1526" i="7"/>
  <c r="U1663" i="7"/>
  <c r="R1857" i="7"/>
  <c r="T1905" i="7"/>
  <c r="U1919" i="7"/>
  <c r="Q2147" i="7"/>
  <c r="R2147" i="7"/>
  <c r="Q2418" i="7"/>
  <c r="R2418" i="7"/>
  <c r="Q2666" i="7"/>
  <c r="R2666" i="7"/>
  <c r="U2697" i="7"/>
  <c r="T2697" i="7"/>
  <c r="Q2506" i="7"/>
  <c r="R2506" i="7"/>
  <c r="Q2618" i="7"/>
  <c r="R2618" i="7"/>
  <c r="R610" i="7"/>
  <c r="R642" i="7"/>
  <c r="T1323" i="7"/>
  <c r="T1338" i="7"/>
  <c r="T1483" i="7"/>
  <c r="T1498" i="7"/>
  <c r="R1633" i="7"/>
  <c r="U2261" i="7"/>
  <c r="T2261" i="7"/>
  <c r="Q2554" i="7"/>
  <c r="R2554" i="7"/>
  <c r="Q2586" i="7"/>
  <c r="R2586" i="7"/>
  <c r="U2691" i="7"/>
  <c r="T2691" i="7"/>
  <c r="U2719" i="7"/>
  <c r="T2719" i="7"/>
  <c r="Q594" i="7"/>
  <c r="R614" i="7"/>
  <c r="R646" i="7"/>
  <c r="R678" i="7"/>
  <c r="R710" i="7"/>
  <c r="U730" i="7"/>
  <c r="U762" i="7"/>
  <c r="T780" i="7"/>
  <c r="T804" i="7"/>
  <c r="Q810" i="7"/>
  <c r="R839" i="7"/>
  <c r="R841" i="7"/>
  <c r="T844" i="7"/>
  <c r="R847" i="7"/>
  <c r="U870" i="7"/>
  <c r="T872" i="7"/>
  <c r="R879" i="7"/>
  <c r="R919" i="7"/>
  <c r="R930" i="7"/>
  <c r="T933" i="7"/>
  <c r="T1004" i="7"/>
  <c r="U1014" i="7"/>
  <c r="T1016" i="7"/>
  <c r="R1048" i="7"/>
  <c r="T1063" i="7"/>
  <c r="T1069" i="7"/>
  <c r="T1079" i="7"/>
  <c r="T1119" i="7"/>
  <c r="T1128" i="7"/>
  <c r="R1135" i="7"/>
  <c r="U1158" i="7"/>
  <c r="T1161" i="7"/>
  <c r="R1170" i="7"/>
  <c r="T1186" i="7"/>
  <c r="T1195" i="7"/>
  <c r="U1240" i="7"/>
  <c r="T1272" i="7"/>
  <c r="T1289" i="7"/>
  <c r="T1304" i="7"/>
  <c r="T1321" i="7"/>
  <c r="T1336" i="7"/>
  <c r="T1353" i="7"/>
  <c r="T1368" i="7"/>
  <c r="T1385" i="7"/>
  <c r="T1400" i="7"/>
  <c r="T1417" i="7"/>
  <c r="T1432" i="7"/>
  <c r="T1449" i="7"/>
  <c r="T1464" i="7"/>
  <c r="T1481" i="7"/>
  <c r="T1496" i="7"/>
  <c r="R1508" i="7"/>
  <c r="R1524" i="7"/>
  <c r="R1540" i="7"/>
  <c r="R1556" i="7"/>
  <c r="R1572" i="7"/>
  <c r="T1595" i="7"/>
  <c r="U1685" i="7"/>
  <c r="R1689" i="7"/>
  <c r="T1723" i="7"/>
  <c r="U1813" i="7"/>
  <c r="R1817" i="7"/>
  <c r="T1851" i="7"/>
  <c r="U1941" i="7"/>
  <c r="R1945" i="7"/>
  <c r="Q2243" i="7"/>
  <c r="R2243" i="7"/>
  <c r="Q2474" i="7"/>
  <c r="R2474" i="7"/>
  <c r="Q2650" i="7"/>
  <c r="R2650" i="7"/>
  <c r="U2747" i="7"/>
  <c r="T2747" i="7"/>
  <c r="Q1984" i="7"/>
  <c r="R1984" i="7"/>
  <c r="T2089" i="7"/>
  <c r="U2089" i="7"/>
  <c r="Q2307" i="7"/>
  <c r="R2307" i="7"/>
  <c r="Q2522" i="7"/>
  <c r="R2522" i="7"/>
  <c r="R2769" i="7"/>
  <c r="Q2769" i="7"/>
  <c r="R622" i="7"/>
  <c r="R654" i="7"/>
  <c r="R686" i="7"/>
  <c r="R718" i="7"/>
  <c r="U738" i="7"/>
  <c r="U770" i="7"/>
  <c r="Q802" i="7"/>
  <c r="Q814" i="7"/>
  <c r="T839" i="7"/>
  <c r="R871" i="7"/>
  <c r="R873" i="7"/>
  <c r="T876" i="7"/>
  <c r="R904" i="7"/>
  <c r="T910" i="7"/>
  <c r="R944" i="7"/>
  <c r="T957" i="7"/>
  <c r="T960" i="7"/>
  <c r="T972" i="7"/>
  <c r="R1015" i="7"/>
  <c r="T1024" i="7"/>
  <c r="T1036" i="7"/>
  <c r="U1046" i="7"/>
  <c r="T1048" i="7"/>
  <c r="T1055" i="7"/>
  <c r="R1064" i="7"/>
  <c r="R1080" i="7"/>
  <c r="T1096" i="7"/>
  <c r="T1117" i="7"/>
  <c r="U1126" i="7"/>
  <c r="T1152" i="7"/>
  <c r="T1174" i="7"/>
  <c r="U1180" i="7"/>
  <c r="T1193" i="7"/>
  <c r="R1202" i="7"/>
  <c r="T1227" i="7"/>
  <c r="U1248" i="7"/>
  <c r="T1281" i="7"/>
  <c r="T1313" i="7"/>
  <c r="T1345" i="7"/>
  <c r="T1377" i="7"/>
  <c r="T1409" i="7"/>
  <c r="T1441" i="7"/>
  <c r="T1473" i="7"/>
  <c r="R1512" i="7"/>
  <c r="R1528" i="7"/>
  <c r="R1544" i="7"/>
  <c r="R1560" i="7"/>
  <c r="R1576" i="7"/>
  <c r="U1589" i="7"/>
  <c r="R1593" i="7"/>
  <c r="T1627" i="7"/>
  <c r="U1717" i="7"/>
  <c r="R1721" i="7"/>
  <c r="T1755" i="7"/>
  <c r="U1845" i="7"/>
  <c r="R1849" i="7"/>
  <c r="T1883" i="7"/>
  <c r="T1970" i="7"/>
  <c r="T1994" i="7"/>
  <c r="Q2083" i="7"/>
  <c r="R2083" i="7"/>
  <c r="U2171" i="7"/>
  <c r="T2171" i="7"/>
  <c r="T2449" i="7"/>
  <c r="U2449" i="7"/>
  <c r="Q2602" i="7"/>
  <c r="R2602" i="7"/>
  <c r="Q2682" i="7"/>
  <c r="R2682" i="7"/>
  <c r="U2791" i="7"/>
  <c r="T2791" i="7"/>
  <c r="T3514" i="7"/>
  <c r="U3514" i="7"/>
  <c r="R3556" i="7"/>
  <c r="Q3556" i="7"/>
  <c r="T3743" i="7"/>
  <c r="U3743" i="7"/>
  <c r="T3913" i="7"/>
  <c r="U3913" i="7"/>
  <c r="R4027" i="7"/>
  <c r="Q4027" i="7"/>
  <c r="T4093" i="7"/>
  <c r="U4093" i="7"/>
  <c r="Q4389" i="7"/>
  <c r="R4389" i="7"/>
  <c r="T4556" i="7"/>
  <c r="U4556" i="7"/>
  <c r="U4838" i="7"/>
  <c r="T4838" i="7"/>
  <c r="Q2859" i="7"/>
  <c r="R2862" i="7"/>
  <c r="R2868" i="7"/>
  <c r="Q2887" i="7"/>
  <c r="Q2921" i="7"/>
  <c r="T2927" i="7"/>
  <c r="R2946" i="7"/>
  <c r="U2960" i="7"/>
  <c r="U2976" i="7"/>
  <c r="Q3056" i="7"/>
  <c r="Q3072" i="7"/>
  <c r="R3075" i="7"/>
  <c r="R3078" i="7"/>
  <c r="Q3088" i="7"/>
  <c r="R3091" i="7"/>
  <c r="R3094" i="7"/>
  <c r="Q3108" i="7"/>
  <c r="T3122" i="7"/>
  <c r="T3130" i="7"/>
  <c r="T3139" i="7"/>
  <c r="Q3148" i="7"/>
  <c r="T3170" i="7"/>
  <c r="T3198" i="7"/>
  <c r="T3212" i="7"/>
  <c r="T3258" i="7"/>
  <c r="T3268" i="7"/>
  <c r="Q3318" i="7"/>
  <c r="Q3334" i="7"/>
  <c r="Q3350" i="7"/>
  <c r="Q3366" i="7"/>
  <c r="Q3382" i="7"/>
  <c r="Q3398" i="7"/>
  <c r="Q3414" i="7"/>
  <c r="Q3430" i="7"/>
  <c r="Q3446" i="7"/>
  <c r="Q3462" i="7"/>
  <c r="Q3478" i="7"/>
  <c r="Q3503" i="7"/>
  <c r="U3505" i="7"/>
  <c r="T3522" i="7"/>
  <c r="U3522" i="7"/>
  <c r="U3537" i="7"/>
  <c r="T3578" i="7"/>
  <c r="U3578" i="7"/>
  <c r="T3977" i="7"/>
  <c r="U3977" i="7"/>
  <c r="T4009" i="7"/>
  <c r="U4009" i="7"/>
  <c r="Q4230" i="7"/>
  <c r="R4230" i="7"/>
  <c r="R4386" i="7"/>
  <c r="Q4386" i="7"/>
  <c r="U4420" i="7"/>
  <c r="T4420" i="7"/>
  <c r="U4450" i="7"/>
  <c r="T4450" i="7"/>
  <c r="Q4472" i="7"/>
  <c r="R4472" i="7"/>
  <c r="U4486" i="7"/>
  <c r="T4486" i="7"/>
  <c r="U4711" i="7"/>
  <c r="T4711" i="7"/>
  <c r="U2121" i="7"/>
  <c r="R2227" i="7"/>
  <c r="U2377" i="7"/>
  <c r="R2488" i="7"/>
  <c r="R2504" i="7"/>
  <c r="R2520" i="7"/>
  <c r="R2536" i="7"/>
  <c r="R2552" i="7"/>
  <c r="R2568" i="7"/>
  <c r="R2584" i="7"/>
  <c r="R2600" i="7"/>
  <c r="R2616" i="7"/>
  <c r="R2632" i="7"/>
  <c r="R2648" i="7"/>
  <c r="R2664" i="7"/>
  <c r="R2680" i="7"/>
  <c r="T2713" i="7"/>
  <c r="Q2803" i="7"/>
  <c r="R2812" i="7"/>
  <c r="U2815" i="7"/>
  <c r="R2832" i="7"/>
  <c r="Q2835" i="7"/>
  <c r="U2990" i="7"/>
  <c r="R2994" i="7"/>
  <c r="Q3134" i="7"/>
  <c r="Q3136" i="7"/>
  <c r="Q3138" i="7"/>
  <c r="T3494" i="7"/>
  <c r="Q3512" i="7"/>
  <c r="Q3535" i="7"/>
  <c r="R3618" i="7"/>
  <c r="Q3618" i="7"/>
  <c r="R3705" i="7"/>
  <c r="Q3705" i="7"/>
  <c r="T3889" i="7"/>
  <c r="U3889" i="7"/>
  <c r="T3945" i="7"/>
  <c r="U3945" i="7"/>
  <c r="Q4296" i="7"/>
  <c r="R4296" i="7"/>
  <c r="U4436" i="7"/>
  <c r="T4436" i="7"/>
  <c r="U4447" i="7"/>
  <c r="T4447" i="7"/>
  <c r="Q4469" i="7"/>
  <c r="R4469" i="7"/>
  <c r="T2729" i="7"/>
  <c r="Q2940" i="7"/>
  <c r="T3164" i="7"/>
  <c r="T3178" i="7"/>
  <c r="T3220" i="7"/>
  <c r="T3234" i="7"/>
  <c r="T3262" i="7"/>
  <c r="T3276" i="7"/>
  <c r="R3516" i="7"/>
  <c r="Q3516" i="7"/>
  <c r="T3553" i="7"/>
  <c r="U3553" i="7"/>
  <c r="T3589" i="7"/>
  <c r="U3589" i="7"/>
  <c r="Q4398" i="7"/>
  <c r="R4398" i="7"/>
  <c r="T4484" i="7"/>
  <c r="U4484" i="7"/>
  <c r="Q4593" i="7"/>
  <c r="R4593" i="7"/>
  <c r="U4825" i="7"/>
  <c r="T4825" i="7"/>
  <c r="R2159" i="7"/>
  <c r="R2176" i="7"/>
  <c r="T2283" i="7"/>
  <c r="T2311" i="7"/>
  <c r="T2325" i="7"/>
  <c r="T2363" i="7"/>
  <c r="R2378" i="7"/>
  <c r="R2392" i="7"/>
  <c r="R2482" i="7"/>
  <c r="R2498" i="7"/>
  <c r="R2514" i="7"/>
  <c r="R2530" i="7"/>
  <c r="R2546" i="7"/>
  <c r="R2594" i="7"/>
  <c r="U3733" i="7"/>
  <c r="T3733" i="7"/>
  <c r="T4115" i="7"/>
  <c r="U4115" i="7"/>
  <c r="Q4758" i="7"/>
  <c r="R4758" i="7"/>
  <c r="R4797" i="7"/>
  <c r="Q4797" i="7"/>
  <c r="U2017" i="7"/>
  <c r="U2031" i="7"/>
  <c r="T2045" i="7"/>
  <c r="T2063" i="7"/>
  <c r="T2203" i="7"/>
  <c r="U2241" i="7"/>
  <c r="T2343" i="7"/>
  <c r="T2357" i="7"/>
  <c r="T2419" i="7"/>
  <c r="U2441" i="7"/>
  <c r="T2475" i="7"/>
  <c r="T2491" i="7"/>
  <c r="T2507" i="7"/>
  <c r="T2523" i="7"/>
  <c r="T2539" i="7"/>
  <c r="T2555" i="7"/>
  <c r="T2571" i="7"/>
  <c r="T2587" i="7"/>
  <c r="T2603" i="7"/>
  <c r="T2755" i="7"/>
  <c r="T2761" i="7"/>
  <c r="T2773" i="7"/>
  <c r="Q2779" i="7"/>
  <c r="T2795" i="7"/>
  <c r="Q2801" i="7"/>
  <c r="Q2807" i="7"/>
  <c r="Q2827" i="7"/>
  <c r="Q2843" i="7"/>
  <c r="R2876" i="7"/>
  <c r="Q2879" i="7"/>
  <c r="T2895" i="7"/>
  <c r="T2907" i="7"/>
  <c r="T2913" i="7"/>
  <c r="U2944" i="7"/>
  <c r="R2962" i="7"/>
  <c r="R2978" i="7"/>
  <c r="Q3016" i="7"/>
  <c r="R3019" i="7"/>
  <c r="R3022" i="7"/>
  <c r="Q3036" i="7"/>
  <c r="T3102" i="7"/>
  <c r="T3109" i="7"/>
  <c r="T3112" i="7"/>
  <c r="Q3116" i="7"/>
  <c r="T3118" i="7"/>
  <c r="T3123" i="7"/>
  <c r="T3134" i="7"/>
  <c r="T3136" i="7"/>
  <c r="T3138" i="7"/>
  <c r="T3186" i="7"/>
  <c r="T3228" i="7"/>
  <c r="T3242" i="7"/>
  <c r="T3284" i="7"/>
  <c r="Q3310" i="7"/>
  <c r="Q3326" i="7"/>
  <c r="Q3342" i="7"/>
  <c r="Q3358" i="7"/>
  <c r="Q3374" i="7"/>
  <c r="Q3390" i="7"/>
  <c r="Q3406" i="7"/>
  <c r="Q3422" i="7"/>
  <c r="Q3438" i="7"/>
  <c r="Q3454" i="7"/>
  <c r="Q3470" i="7"/>
  <c r="R3587" i="7"/>
  <c r="Q3587" i="7"/>
  <c r="T3633" i="7"/>
  <c r="U3633" i="7"/>
  <c r="Q4070" i="7"/>
  <c r="R4070" i="7"/>
  <c r="Q4220" i="7"/>
  <c r="R4220" i="7"/>
  <c r="Q4286" i="7"/>
  <c r="R4286" i="7"/>
  <c r="U4414" i="7"/>
  <c r="T4414" i="7"/>
  <c r="U4466" i="7"/>
  <c r="T4466" i="7"/>
  <c r="T4632" i="7"/>
  <c r="U4632" i="7"/>
  <c r="R2049" i="7"/>
  <c r="T2067" i="7"/>
  <c r="T2091" i="7"/>
  <c r="R2211" i="7"/>
  <c r="U2225" i="7"/>
  <c r="T2231" i="7"/>
  <c r="U2385" i="7"/>
  <c r="R3006" i="7"/>
  <c r="R3071" i="7"/>
  <c r="R3074" i="7"/>
  <c r="R3087" i="7"/>
  <c r="R3090" i="7"/>
  <c r="T3517" i="7"/>
  <c r="U3517" i="7"/>
  <c r="R3551" i="7"/>
  <c r="Q3551" i="7"/>
  <c r="U3558" i="7"/>
  <c r="U3561" i="7"/>
  <c r="R3584" i="7"/>
  <c r="Q3584" i="7"/>
  <c r="Q3721" i="7"/>
  <c r="R3721" i="7"/>
  <c r="Q4244" i="7"/>
  <c r="R4244" i="7"/>
  <c r="Q4629" i="7"/>
  <c r="R4629" i="7"/>
  <c r="R4671" i="7"/>
  <c r="Q4671" i="7"/>
  <c r="U1999" i="7"/>
  <c r="R2011" i="7"/>
  <c r="R2032" i="7"/>
  <c r="R2160" i="7"/>
  <c r="T2779" i="7"/>
  <c r="Q2785" i="7"/>
  <c r="Q2811" i="7"/>
  <c r="T3126" i="7"/>
  <c r="T3144" i="7"/>
  <c r="T3147" i="7"/>
  <c r="T3194" i="7"/>
  <c r="T3204" i="7"/>
  <c r="T3250" i="7"/>
  <c r="T3292" i="7"/>
  <c r="U3304" i="7"/>
  <c r="R3496" i="7"/>
  <c r="Q3496" i="7"/>
  <c r="R3627" i="7"/>
  <c r="Q3627" i="7"/>
  <c r="R3664" i="7"/>
  <c r="Q3664" i="7"/>
  <c r="Q3857" i="7"/>
  <c r="R3857" i="7"/>
  <c r="T3881" i="7"/>
  <c r="U3881" i="7"/>
  <c r="R3931" i="7"/>
  <c r="Q3931" i="7"/>
  <c r="R3963" i="7"/>
  <c r="Q3963" i="7"/>
  <c r="R3995" i="7"/>
  <c r="Q3995" i="7"/>
  <c r="U4063" i="7"/>
  <c r="T4063" i="7"/>
  <c r="Q4310" i="7"/>
  <c r="R4310" i="7"/>
  <c r="U4377" i="7"/>
  <c r="T4377" i="7"/>
  <c r="U4493" i="7"/>
  <c r="T4493" i="7"/>
  <c r="Q4587" i="7"/>
  <c r="R4587" i="7"/>
  <c r="R4668" i="7"/>
  <c r="Q4668" i="7"/>
  <c r="R3659" i="7"/>
  <c r="T3783" i="7"/>
  <c r="R3797" i="7"/>
  <c r="T3827" i="7"/>
  <c r="U3855" i="7"/>
  <c r="Q3869" i="7"/>
  <c r="Q3877" i="7"/>
  <c r="Q3883" i="7"/>
  <c r="Q3891" i="7"/>
  <c r="Q3901" i="7"/>
  <c r="Q3915" i="7"/>
  <c r="U3929" i="7"/>
  <c r="Q3947" i="7"/>
  <c r="R3953" i="7"/>
  <c r="Q3979" i="7"/>
  <c r="R3985" i="7"/>
  <c r="R4017" i="7"/>
  <c r="U4187" i="7"/>
  <c r="R4260" i="7"/>
  <c r="R4270" i="7"/>
  <c r="R4326" i="7"/>
  <c r="R4340" i="7"/>
  <c r="T4415" i="7"/>
  <c r="U4440" i="7"/>
  <c r="T4446" i="7"/>
  <c r="T4461" i="7"/>
  <c r="T4467" i="7"/>
  <c r="R4555" i="7"/>
  <c r="R4561" i="7"/>
  <c r="U4588" i="7"/>
  <c r="Q3543" i="7"/>
  <c r="U3546" i="7"/>
  <c r="Q3552" i="7"/>
  <c r="Q3555" i="7"/>
  <c r="U3557" i="7"/>
  <c r="U3574" i="7"/>
  <c r="U3610" i="7"/>
  <c r="Q3626" i="7"/>
  <c r="Q3639" i="7"/>
  <c r="Q3642" i="7"/>
  <c r="Q3651" i="7"/>
  <c r="U3657" i="7"/>
  <c r="Q3691" i="7"/>
  <c r="R3709" i="7"/>
  <c r="T3777" i="7"/>
  <c r="T3803" i="7"/>
  <c r="U3959" i="7"/>
  <c r="U3991" i="7"/>
  <c r="Q4009" i="7"/>
  <c r="U4023" i="7"/>
  <c r="R4041" i="7"/>
  <c r="T4049" i="7"/>
  <c r="U4085" i="7"/>
  <c r="T4111" i="7"/>
  <c r="T4139" i="7"/>
  <c r="R4142" i="7"/>
  <c r="T4155" i="7"/>
  <c r="R4170" i="7"/>
  <c r="T4175" i="7"/>
  <c r="R4178" i="7"/>
  <c r="R4194" i="7"/>
  <c r="R4222" i="7"/>
  <c r="R4246" i="7"/>
  <c r="R4288" i="7"/>
  <c r="R4316" i="7"/>
  <c r="T4382" i="7"/>
  <c r="R4385" i="7"/>
  <c r="T4413" i="7"/>
  <c r="T4419" i="7"/>
  <c r="T4432" i="7"/>
  <c r="T4483" i="7"/>
  <c r="Q4565" i="7"/>
  <c r="T4687" i="7"/>
  <c r="R4746" i="7"/>
  <c r="R4778" i="7"/>
  <c r="Q4799" i="7"/>
  <c r="Q4815" i="7"/>
  <c r="Q4831" i="7"/>
  <c r="T4858" i="7"/>
  <c r="Q4906" i="7"/>
  <c r="U4928" i="7"/>
  <c r="T4942" i="7"/>
  <c r="R4950" i="7"/>
  <c r="T4977" i="7"/>
  <c r="R4996" i="7"/>
  <c r="Q3686" i="7"/>
  <c r="U3697" i="7"/>
  <c r="Q3701" i="7"/>
  <c r="T3739" i="7"/>
  <c r="T3749" i="7"/>
  <c r="U3845" i="7"/>
  <c r="U3921" i="7"/>
  <c r="U3953" i="7"/>
  <c r="R4198" i="7"/>
  <c r="R4212" i="7"/>
  <c r="R4236" i="7"/>
  <c r="R4278" i="7"/>
  <c r="Q4358" i="7"/>
  <c r="R4391" i="7"/>
  <c r="R4444" i="7"/>
  <c r="R4456" i="7"/>
  <c r="T4474" i="7"/>
  <c r="Q4559" i="7"/>
  <c r="Q4635" i="7"/>
  <c r="T4735" i="7"/>
  <c r="Q4914" i="7"/>
  <c r="T4964" i="7"/>
  <c r="U4950" i="7"/>
  <c r="R4990" i="7"/>
  <c r="U3602" i="7"/>
  <c r="U3609" i="7"/>
  <c r="Q3615" i="7"/>
  <c r="Q3643" i="7"/>
  <c r="Q3652" i="7"/>
  <c r="U3658" i="7"/>
  <c r="R3671" i="7"/>
  <c r="Q3692" i="7"/>
  <c r="Q3702" i="7"/>
  <c r="T3737" i="7"/>
  <c r="U3765" i="7"/>
  <c r="T3785" i="7"/>
  <c r="U3829" i="7"/>
  <c r="Q3879" i="7"/>
  <c r="Q3885" i="7"/>
  <c r="U3887" i="7"/>
  <c r="U3911" i="7"/>
  <c r="Q3929" i="7"/>
  <c r="U3943" i="7"/>
  <c r="Q3961" i="7"/>
  <c r="U3975" i="7"/>
  <c r="Q3993" i="7"/>
  <c r="U4007" i="7"/>
  <c r="Q4025" i="7"/>
  <c r="U4039" i="7"/>
  <c r="U4077" i="7"/>
  <c r="R4110" i="7"/>
  <c r="R4138" i="7"/>
  <c r="T4143" i="7"/>
  <c r="R4154" i="7"/>
  <c r="T4171" i="7"/>
  <c r="R4174" i="7"/>
  <c r="T4179" i="7"/>
  <c r="Q4193" i="7"/>
  <c r="R4206" i="7"/>
  <c r="R4262" i="7"/>
  <c r="R4276" i="7"/>
  <c r="R4300" i="7"/>
  <c r="R4328" i="7"/>
  <c r="R4356" i="7"/>
  <c r="R4373" i="7"/>
  <c r="Q4376" i="7"/>
  <c r="T4383" i="7"/>
  <c r="R4395" i="7"/>
  <c r="T4412" i="7"/>
  <c r="T4433" i="7"/>
  <c r="U4460" i="7"/>
  <c r="T4478" i="7"/>
  <c r="T4490" i="7"/>
  <c r="T4543" i="7"/>
  <c r="Q4577" i="7"/>
  <c r="R4597" i="7"/>
  <c r="U4600" i="7"/>
  <c r="Q4651" i="7"/>
  <c r="Q4675" i="7"/>
  <c r="T4719" i="7"/>
  <c r="R4762" i="7"/>
  <c r="Q4787" i="7"/>
  <c r="Q4807" i="7"/>
  <c r="U4813" i="7"/>
  <c r="U4819" i="7"/>
  <c r="Q4823" i="7"/>
  <c r="U4829" i="7"/>
  <c r="T4842" i="7"/>
  <c r="Q4874" i="7"/>
  <c r="R4930" i="7"/>
  <c r="T4969" i="7"/>
  <c r="Q3568" i="7"/>
  <c r="Q3571" i="7"/>
  <c r="U3873" i="7"/>
  <c r="U3905" i="7"/>
  <c r="U3937" i="7"/>
  <c r="Q3955" i="7"/>
  <c r="Q3987" i="7"/>
  <c r="Q4019" i="7"/>
  <c r="U4045" i="7"/>
  <c r="R4190" i="7"/>
  <c r="R4224" i="7"/>
  <c r="R4252" i="7"/>
  <c r="R4318" i="7"/>
  <c r="R4332" i="7"/>
  <c r="T4342" i="7"/>
  <c r="R4428" i="7"/>
  <c r="T4431" i="7"/>
  <c r="R4476" i="7"/>
  <c r="T4482" i="7"/>
  <c r="R4485" i="7"/>
  <c r="R4501" i="7"/>
  <c r="U4512" i="7"/>
  <c r="T4547" i="7"/>
  <c r="Q4581" i="7"/>
  <c r="Q4591" i="7"/>
  <c r="Q4619" i="7"/>
  <c r="R4655" i="7"/>
  <c r="Q4679" i="7"/>
  <c r="R4734" i="7"/>
  <c r="R4766" i="7"/>
  <c r="Q4801" i="7"/>
  <c r="Q4811" i="7"/>
  <c r="R4867" i="7"/>
  <c r="Q4882" i="7"/>
  <c r="Q3524" i="7"/>
  <c r="Q3527" i="7"/>
  <c r="U3542" i="7"/>
  <c r="U3562" i="7"/>
  <c r="U3590" i="7"/>
  <c r="Q3594" i="7"/>
  <c r="Q3607" i="7"/>
  <c r="Q3610" i="7"/>
  <c r="U3634" i="7"/>
  <c r="U3641" i="7"/>
  <c r="Q3647" i="7"/>
  <c r="Q3678" i="7"/>
  <c r="Q3685" i="7"/>
  <c r="Q3688" i="7"/>
  <c r="Q3706" i="7"/>
  <c r="T3741" i="7"/>
  <c r="R3841" i="7"/>
  <c r="R3861" i="7"/>
  <c r="U3967" i="7"/>
  <c r="U3999" i="7"/>
  <c r="U4031" i="7"/>
  <c r="U4043" i="7"/>
  <c r="R4078" i="7"/>
  <c r="T4091" i="7"/>
  <c r="T4113" i="7"/>
  <c r="U4141" i="7"/>
  <c r="R4144" i="7"/>
  <c r="R4158" i="7"/>
  <c r="T4177" i="7"/>
  <c r="U4193" i="7"/>
  <c r="R4200" i="7"/>
  <c r="R4214" i="7"/>
  <c r="R4228" i="7"/>
  <c r="R4238" i="7"/>
  <c r="R4284" i="7"/>
  <c r="R4294" i="7"/>
  <c r="R4308" i="7"/>
  <c r="R4364" i="7"/>
  <c r="Q4390" i="7"/>
  <c r="R4403" i="7"/>
  <c r="R4406" i="7"/>
  <c r="R4443" i="7"/>
  <c r="R4623" i="7"/>
  <c r="R4641" i="7"/>
  <c r="U4648" i="7"/>
  <c r="Q4683" i="7"/>
  <c r="R4770" i="7"/>
  <c r="T4787" i="7"/>
  <c r="Q4795" i="7"/>
  <c r="R4861" i="7"/>
  <c r="Q4890" i="7"/>
  <c r="R4970" i="7"/>
  <c r="U778" i="7"/>
  <c r="U782" i="7"/>
  <c r="U786" i="7"/>
  <c r="U790" i="7"/>
  <c r="U794" i="7"/>
  <c r="U798" i="7"/>
  <c r="U802" i="7"/>
  <c r="U806" i="7"/>
  <c r="T853" i="7"/>
  <c r="R855" i="7"/>
  <c r="U856" i="7"/>
  <c r="T856" i="7"/>
  <c r="R880" i="7"/>
  <c r="Q887" i="7"/>
  <c r="R887" i="7"/>
  <c r="R895" i="7"/>
  <c r="R898" i="7"/>
  <c r="U901" i="7"/>
  <c r="T901" i="7"/>
  <c r="R920" i="7"/>
  <c r="T926" i="7"/>
  <c r="Q928" i="7"/>
  <c r="R928" i="7"/>
  <c r="U942" i="7"/>
  <c r="Q952" i="7"/>
  <c r="R952" i="7"/>
  <c r="U958" i="7"/>
  <c r="Q960" i="7"/>
  <c r="R960" i="7"/>
  <c r="R976" i="7"/>
  <c r="U981" i="7"/>
  <c r="T981" i="7"/>
  <c r="T991" i="7"/>
  <c r="T996" i="7"/>
  <c r="R999" i="7"/>
  <c r="R1000" i="7"/>
  <c r="T1006" i="7"/>
  <c r="U1006" i="7"/>
  <c r="U1020" i="7"/>
  <c r="T1020" i="7"/>
  <c r="U1039" i="7"/>
  <c r="T1039" i="7"/>
  <c r="Q1055" i="7"/>
  <c r="R1055" i="7"/>
  <c r="R1071" i="7"/>
  <c r="U1072" i="7"/>
  <c r="T1072" i="7"/>
  <c r="U1086" i="7"/>
  <c r="Q1088" i="7"/>
  <c r="R1088" i="7"/>
  <c r="R1104" i="7"/>
  <c r="U1109" i="7"/>
  <c r="T1109" i="7"/>
  <c r="U1143" i="7"/>
  <c r="T1143" i="7"/>
  <c r="U1183" i="7"/>
  <c r="T1183" i="7"/>
  <c r="U1191" i="7"/>
  <c r="T1191" i="7"/>
  <c r="U1201" i="7"/>
  <c r="T1201" i="7"/>
  <c r="U1214" i="7"/>
  <c r="T1214" i="7"/>
  <c r="Q1218" i="7"/>
  <c r="R1218" i="7"/>
  <c r="T1242" i="7"/>
  <c r="U1242" i="7"/>
  <c r="T1258" i="7"/>
  <c r="U1258" i="7"/>
  <c r="T1605" i="7"/>
  <c r="U1605" i="7"/>
  <c r="U1643" i="7"/>
  <c r="T1643" i="7"/>
  <c r="T1669" i="7"/>
  <c r="U1669" i="7"/>
  <c r="U1707" i="7"/>
  <c r="T1707" i="7"/>
  <c r="T1733" i="7"/>
  <c r="U1733" i="7"/>
  <c r="U1771" i="7"/>
  <c r="T1771" i="7"/>
  <c r="T1797" i="7"/>
  <c r="U1797" i="7"/>
  <c r="U1835" i="7"/>
  <c r="T1835" i="7"/>
  <c r="T1861" i="7"/>
  <c r="U1861" i="7"/>
  <c r="U1899" i="7"/>
  <c r="T1899" i="7"/>
  <c r="T1925" i="7"/>
  <c r="U1925" i="7"/>
  <c r="U1981" i="7"/>
  <c r="T1981" i="7"/>
  <c r="Q2017" i="7"/>
  <c r="R2017" i="7"/>
  <c r="R2029" i="7"/>
  <c r="Q2029" i="7"/>
  <c r="Q2043" i="7"/>
  <c r="R2043" i="7"/>
  <c r="U2066" i="7"/>
  <c r="T2066" i="7"/>
  <c r="U2101" i="7"/>
  <c r="T2101" i="7"/>
  <c r="Q2167" i="7"/>
  <c r="R2167" i="7"/>
  <c r="Q2255" i="7"/>
  <c r="R2255" i="7"/>
  <c r="Q2271" i="7"/>
  <c r="R2271" i="7"/>
  <c r="T2337" i="7"/>
  <c r="U2337" i="7"/>
  <c r="T2465" i="7"/>
  <c r="U2465" i="7"/>
  <c r="U2473" i="7"/>
  <c r="T2473" i="7"/>
  <c r="U2709" i="7"/>
  <c r="T2709" i="7"/>
  <c r="U94" i="7"/>
  <c r="Q96" i="7"/>
  <c r="Q106" i="7"/>
  <c r="Q110" i="7"/>
  <c r="Q114" i="7"/>
  <c r="Q118" i="7"/>
  <c r="Q122" i="7"/>
  <c r="Q126" i="7"/>
  <c r="Q130" i="7"/>
  <c r="Q134" i="7"/>
  <c r="Q138" i="7"/>
  <c r="Q142" i="7"/>
  <c r="Q146" i="7"/>
  <c r="Q150" i="7"/>
  <c r="Q154" i="7"/>
  <c r="Q158" i="7"/>
  <c r="Q162" i="7"/>
  <c r="Q166" i="7"/>
  <c r="Q170" i="7"/>
  <c r="Q174" i="7"/>
  <c r="Q178" i="7"/>
  <c r="Q182" i="7"/>
  <c r="Q186" i="7"/>
  <c r="Q190" i="7"/>
  <c r="Q194" i="7"/>
  <c r="Q198" i="7"/>
  <c r="Q202" i="7"/>
  <c r="Q206" i="7"/>
  <c r="Q210" i="7"/>
  <c r="Q214" i="7"/>
  <c r="Q218" i="7"/>
  <c r="Q222" i="7"/>
  <c r="Q226" i="7"/>
  <c r="Q230" i="7"/>
  <c r="Q234" i="7"/>
  <c r="Q238" i="7"/>
  <c r="Q242" i="7"/>
  <c r="Q246" i="7"/>
  <c r="Q250" i="7"/>
  <c r="Q254" i="7"/>
  <c r="Q258" i="7"/>
  <c r="Q262" i="7"/>
  <c r="Q266" i="7"/>
  <c r="Q270" i="7"/>
  <c r="Q274" i="7"/>
  <c r="Q278" i="7"/>
  <c r="Q282" i="7"/>
  <c r="Q286" i="7"/>
  <c r="Q290" i="7"/>
  <c r="Q294" i="7"/>
  <c r="Q298" i="7"/>
  <c r="Q302" i="7"/>
  <c r="Q306" i="7"/>
  <c r="Q310" i="7"/>
  <c r="Q314" i="7"/>
  <c r="Q318" i="7"/>
  <c r="Q322" i="7"/>
  <c r="Q326" i="7"/>
  <c r="Q330" i="7"/>
  <c r="Q334" i="7"/>
  <c r="Q338" i="7"/>
  <c r="Q342" i="7"/>
  <c r="Q346" i="7"/>
  <c r="Q350" i="7"/>
  <c r="Q354" i="7"/>
  <c r="Q358" i="7"/>
  <c r="Q362" i="7"/>
  <c r="Q366" i="7"/>
  <c r="Q370" i="7"/>
  <c r="Q374" i="7"/>
  <c r="Q378" i="7"/>
  <c r="Q382" i="7"/>
  <c r="Q386" i="7"/>
  <c r="Q390" i="7"/>
  <c r="Q394" i="7"/>
  <c r="Q398" i="7"/>
  <c r="Q402" i="7"/>
  <c r="Q406" i="7"/>
  <c r="Q410" i="7"/>
  <c r="Q414" i="7"/>
  <c r="Q418" i="7"/>
  <c r="Q422" i="7"/>
  <c r="Q426" i="7"/>
  <c r="Q430" i="7"/>
  <c r="Q434" i="7"/>
  <c r="Q438" i="7"/>
  <c r="Q442" i="7"/>
  <c r="Q446" i="7"/>
  <c r="Q450" i="7"/>
  <c r="Q454" i="7"/>
  <c r="Q458" i="7"/>
  <c r="Q462" i="7"/>
  <c r="Q466" i="7"/>
  <c r="Q470" i="7"/>
  <c r="Q474" i="7"/>
  <c r="Q478" i="7"/>
  <c r="Q482" i="7"/>
  <c r="Q486" i="7"/>
  <c r="Q490" i="7"/>
  <c r="Q494" i="7"/>
  <c r="Q498" i="7"/>
  <c r="Q502" i="7"/>
  <c r="Q506" i="7"/>
  <c r="Q510" i="7"/>
  <c r="Q514" i="7"/>
  <c r="U518" i="7"/>
  <c r="Q520" i="7"/>
  <c r="U526" i="7"/>
  <c r="Q528" i="7"/>
  <c r="U534" i="7"/>
  <c r="Q536" i="7"/>
  <c r="U542" i="7"/>
  <c r="Q544" i="7"/>
  <c r="U550" i="7"/>
  <c r="Q552" i="7"/>
  <c r="U558" i="7"/>
  <c r="Q560" i="7"/>
  <c r="U566" i="7"/>
  <c r="Q568" i="7"/>
  <c r="U574" i="7"/>
  <c r="Q576" i="7"/>
  <c r="U582" i="7"/>
  <c r="Q584" i="7"/>
  <c r="U590" i="7"/>
  <c r="Q592" i="7"/>
  <c r="U598" i="7"/>
  <c r="U602" i="7"/>
  <c r="U606" i="7"/>
  <c r="U610" i="7"/>
  <c r="U614" i="7"/>
  <c r="U618" i="7"/>
  <c r="U622" i="7"/>
  <c r="U626" i="7"/>
  <c r="U630" i="7"/>
  <c r="U634" i="7"/>
  <c r="U638" i="7"/>
  <c r="U642" i="7"/>
  <c r="U646" i="7"/>
  <c r="U650" i="7"/>
  <c r="U654" i="7"/>
  <c r="U658" i="7"/>
  <c r="U662" i="7"/>
  <c r="U666" i="7"/>
  <c r="U670" i="7"/>
  <c r="U674" i="7"/>
  <c r="U678" i="7"/>
  <c r="U682" i="7"/>
  <c r="U686" i="7"/>
  <c r="U690" i="7"/>
  <c r="U694" i="7"/>
  <c r="U698" i="7"/>
  <c r="U702" i="7"/>
  <c r="U706" i="7"/>
  <c r="U710" i="7"/>
  <c r="U714" i="7"/>
  <c r="U718" i="7"/>
  <c r="U722" i="7"/>
  <c r="U855" i="7"/>
  <c r="T855" i="7"/>
  <c r="U885" i="7"/>
  <c r="T885" i="7"/>
  <c r="U892" i="7"/>
  <c r="T892" i="7"/>
  <c r="U920" i="7"/>
  <c r="T920" i="7"/>
  <c r="Q951" i="7"/>
  <c r="R951" i="7"/>
  <c r="Q959" i="7"/>
  <c r="R959" i="7"/>
  <c r="R975" i="7"/>
  <c r="U976" i="7"/>
  <c r="T976" i="7"/>
  <c r="U990" i="7"/>
  <c r="Q992" i="7"/>
  <c r="R992" i="7"/>
  <c r="U1013" i="7"/>
  <c r="T1013" i="7"/>
  <c r="T1038" i="7"/>
  <c r="U1038" i="7"/>
  <c r="U1052" i="7"/>
  <c r="T1052" i="7"/>
  <c r="U1071" i="7"/>
  <c r="T1071" i="7"/>
  <c r="Q1087" i="7"/>
  <c r="R1087" i="7"/>
  <c r="R1103" i="7"/>
  <c r="U1104" i="7"/>
  <c r="T1104" i="7"/>
  <c r="Q1120" i="7"/>
  <c r="R1120" i="7"/>
  <c r="T1142" i="7"/>
  <c r="U1142" i="7"/>
  <c r="U1149" i="7"/>
  <c r="T1149" i="7"/>
  <c r="U1170" i="7"/>
  <c r="T1170" i="7"/>
  <c r="U1203" i="7"/>
  <c r="T1203" i="7"/>
  <c r="U1211" i="7"/>
  <c r="T1211" i="7"/>
  <c r="Q1217" i="7"/>
  <c r="R1217" i="7"/>
  <c r="U1278" i="7"/>
  <c r="T1278" i="7"/>
  <c r="U1287" i="7"/>
  <c r="T1287" i="7"/>
  <c r="U1294" i="7"/>
  <c r="T1294" i="7"/>
  <c r="U1303" i="7"/>
  <c r="T1303" i="7"/>
  <c r="U1310" i="7"/>
  <c r="T1310" i="7"/>
  <c r="U1319" i="7"/>
  <c r="T1319" i="7"/>
  <c r="U1326" i="7"/>
  <c r="T1326" i="7"/>
  <c r="U1335" i="7"/>
  <c r="T1335" i="7"/>
  <c r="U1342" i="7"/>
  <c r="T1342" i="7"/>
  <c r="U1351" i="7"/>
  <c r="T1351" i="7"/>
  <c r="U1358" i="7"/>
  <c r="T1358" i="7"/>
  <c r="U1367" i="7"/>
  <c r="T1367" i="7"/>
  <c r="U1374" i="7"/>
  <c r="T1374" i="7"/>
  <c r="U1383" i="7"/>
  <c r="T1383" i="7"/>
  <c r="U1390" i="7"/>
  <c r="T1390" i="7"/>
  <c r="U1399" i="7"/>
  <c r="T1399" i="7"/>
  <c r="U1406" i="7"/>
  <c r="T1406" i="7"/>
  <c r="U1415" i="7"/>
  <c r="T1415" i="7"/>
  <c r="U1422" i="7"/>
  <c r="T1422" i="7"/>
  <c r="U1431" i="7"/>
  <c r="T1431" i="7"/>
  <c r="U1438" i="7"/>
  <c r="T1438" i="7"/>
  <c r="U1447" i="7"/>
  <c r="T1447" i="7"/>
  <c r="U1454" i="7"/>
  <c r="T1454" i="7"/>
  <c r="U1463" i="7"/>
  <c r="T1463" i="7"/>
  <c r="U1470" i="7"/>
  <c r="T1470" i="7"/>
  <c r="U1479" i="7"/>
  <c r="T1479" i="7"/>
  <c r="U1486" i="7"/>
  <c r="T1486" i="7"/>
  <c r="U1495" i="7"/>
  <c r="T1495" i="7"/>
  <c r="U1587" i="7"/>
  <c r="T1587" i="7"/>
  <c r="U1625" i="7"/>
  <c r="T1625" i="7"/>
  <c r="Q1641" i="7"/>
  <c r="R1641" i="7"/>
  <c r="U1651" i="7"/>
  <c r="T1651" i="7"/>
  <c r="U1689" i="7"/>
  <c r="T1689" i="7"/>
  <c r="Q1705" i="7"/>
  <c r="R1705" i="7"/>
  <c r="U1715" i="7"/>
  <c r="T1715" i="7"/>
  <c r="U1753" i="7"/>
  <c r="T1753" i="7"/>
  <c r="Q1769" i="7"/>
  <c r="R1769" i="7"/>
  <c r="U1779" i="7"/>
  <c r="T1779" i="7"/>
  <c r="U1817" i="7"/>
  <c r="T1817" i="7"/>
  <c r="Q1833" i="7"/>
  <c r="R1833" i="7"/>
  <c r="U1843" i="7"/>
  <c r="T1843" i="7"/>
  <c r="U1881" i="7"/>
  <c r="T1881" i="7"/>
  <c r="Q1897" i="7"/>
  <c r="R1897" i="7"/>
  <c r="U1907" i="7"/>
  <c r="T1907" i="7"/>
  <c r="U1945" i="7"/>
  <c r="T1945" i="7"/>
  <c r="U1965" i="7"/>
  <c r="T1965" i="7"/>
  <c r="T1975" i="7"/>
  <c r="U1975" i="7"/>
  <c r="U2011" i="7"/>
  <c r="T2011" i="7"/>
  <c r="Q2024" i="7"/>
  <c r="R2024" i="7"/>
  <c r="U2027" i="7"/>
  <c r="T2027" i="7"/>
  <c r="U2041" i="7"/>
  <c r="T2041" i="7"/>
  <c r="U2059" i="7"/>
  <c r="T2059" i="7"/>
  <c r="Q2081" i="7"/>
  <c r="R2081" i="7"/>
  <c r="U86" i="7"/>
  <c r="Q88" i="7"/>
  <c r="U516" i="7"/>
  <c r="U524" i="7"/>
  <c r="U532" i="7"/>
  <c r="U540" i="7"/>
  <c r="U548" i="7"/>
  <c r="U556" i="7"/>
  <c r="U564" i="7"/>
  <c r="U572" i="7"/>
  <c r="U580" i="7"/>
  <c r="U588" i="7"/>
  <c r="U596" i="7"/>
  <c r="T600" i="7"/>
  <c r="T604" i="7"/>
  <c r="T608" i="7"/>
  <c r="T612" i="7"/>
  <c r="T616" i="7"/>
  <c r="T620" i="7"/>
  <c r="T624" i="7"/>
  <c r="T628" i="7"/>
  <c r="T632" i="7"/>
  <c r="T636" i="7"/>
  <c r="T640" i="7"/>
  <c r="T644" i="7"/>
  <c r="T648" i="7"/>
  <c r="T652" i="7"/>
  <c r="T656" i="7"/>
  <c r="T660" i="7"/>
  <c r="T664" i="7"/>
  <c r="T668" i="7"/>
  <c r="T672" i="7"/>
  <c r="T676" i="7"/>
  <c r="T680" i="7"/>
  <c r="T684" i="7"/>
  <c r="T688" i="7"/>
  <c r="T692" i="7"/>
  <c r="T696" i="7"/>
  <c r="T700" i="7"/>
  <c r="T704" i="7"/>
  <c r="T708" i="7"/>
  <c r="T712" i="7"/>
  <c r="T716" i="7"/>
  <c r="T720" i="7"/>
  <c r="T724" i="7"/>
  <c r="T728" i="7"/>
  <c r="T732" i="7"/>
  <c r="Q734" i="7"/>
  <c r="T736" i="7"/>
  <c r="Q738" i="7"/>
  <c r="T740" i="7"/>
  <c r="Q742" i="7"/>
  <c r="T744" i="7"/>
  <c r="Q746" i="7"/>
  <c r="T748" i="7"/>
  <c r="Q750" i="7"/>
  <c r="T752" i="7"/>
  <c r="Q754" i="7"/>
  <c r="T756" i="7"/>
  <c r="Q758" i="7"/>
  <c r="T760" i="7"/>
  <c r="Q762" i="7"/>
  <c r="T764" i="7"/>
  <c r="Q766" i="7"/>
  <c r="T768" i="7"/>
  <c r="Q770" i="7"/>
  <c r="T772" i="7"/>
  <c r="Q774" i="7"/>
  <c r="T776" i="7"/>
  <c r="Q778" i="7"/>
  <c r="Q782" i="7"/>
  <c r="Q786" i="7"/>
  <c r="T822" i="7"/>
  <c r="U822" i="7"/>
  <c r="U838" i="7"/>
  <c r="Q848" i="7"/>
  <c r="R848" i="7"/>
  <c r="Q889" i="7"/>
  <c r="R889" i="7"/>
  <c r="U919" i="7"/>
  <c r="T919" i="7"/>
  <c r="U949" i="7"/>
  <c r="T949" i="7"/>
  <c r="U956" i="7"/>
  <c r="T956" i="7"/>
  <c r="U975" i="7"/>
  <c r="T975" i="7"/>
  <c r="Q991" i="7"/>
  <c r="R991" i="7"/>
  <c r="R1007" i="7"/>
  <c r="U1008" i="7"/>
  <c r="T1008" i="7"/>
  <c r="U1022" i="7"/>
  <c r="Q1024" i="7"/>
  <c r="R1024" i="7"/>
  <c r="U1045" i="7"/>
  <c r="T1045" i="7"/>
  <c r="T1070" i="7"/>
  <c r="U1070" i="7"/>
  <c r="U1084" i="7"/>
  <c r="T1084" i="7"/>
  <c r="U1103" i="7"/>
  <c r="T1103" i="7"/>
  <c r="Q1119" i="7"/>
  <c r="R1119" i="7"/>
  <c r="Q1128" i="7"/>
  <c r="R1128" i="7"/>
  <c r="U1156" i="7"/>
  <c r="T1156" i="7"/>
  <c r="U1169" i="7"/>
  <c r="T1169" i="7"/>
  <c r="U1182" i="7"/>
  <c r="T1182" i="7"/>
  <c r="Q1186" i="7"/>
  <c r="R1186" i="7"/>
  <c r="U1215" i="7"/>
  <c r="T1215" i="7"/>
  <c r="U1223" i="7"/>
  <c r="T1223" i="7"/>
  <c r="T1234" i="7"/>
  <c r="U1234" i="7"/>
  <c r="T1250" i="7"/>
  <c r="U1250" i="7"/>
  <c r="T1266" i="7"/>
  <c r="U1266" i="7"/>
  <c r="U1611" i="7"/>
  <c r="T1611" i="7"/>
  <c r="T1637" i="7"/>
  <c r="U1637" i="7"/>
  <c r="U1675" i="7"/>
  <c r="T1675" i="7"/>
  <c r="T1701" i="7"/>
  <c r="U1701" i="7"/>
  <c r="U1739" i="7"/>
  <c r="T1739" i="7"/>
  <c r="T1765" i="7"/>
  <c r="U1765" i="7"/>
  <c r="U1803" i="7"/>
  <c r="T1803" i="7"/>
  <c r="T1829" i="7"/>
  <c r="U1829" i="7"/>
  <c r="U1867" i="7"/>
  <c r="T1867" i="7"/>
  <c r="T1893" i="7"/>
  <c r="U1893" i="7"/>
  <c r="U1931" i="7"/>
  <c r="T1931" i="7"/>
  <c r="Q1995" i="7"/>
  <c r="R1995" i="7"/>
  <c r="U2010" i="7"/>
  <c r="T2010" i="7"/>
  <c r="R2021" i="7"/>
  <c r="Q2021" i="7"/>
  <c r="Q2040" i="7"/>
  <c r="R2040" i="7"/>
  <c r="U2077" i="7"/>
  <c r="T2077" i="7"/>
  <c r="R813" i="7"/>
  <c r="U820" i="7"/>
  <c r="T820" i="7"/>
  <c r="U830" i="7"/>
  <c r="R834" i="7"/>
  <c r="U837" i="7"/>
  <c r="T837" i="7"/>
  <c r="R856" i="7"/>
  <c r="T862" i="7"/>
  <c r="Q864" i="7"/>
  <c r="R864" i="7"/>
  <c r="U878" i="7"/>
  <c r="Q888" i="7"/>
  <c r="R888" i="7"/>
  <c r="R896" i="7"/>
  <c r="U902" i="7"/>
  <c r="T903" i="7"/>
  <c r="T904" i="7"/>
  <c r="Q912" i="7"/>
  <c r="R912" i="7"/>
  <c r="R921" i="7"/>
  <c r="T924" i="7"/>
  <c r="U930" i="7"/>
  <c r="R935" i="7"/>
  <c r="R936" i="7"/>
  <c r="R937" i="7"/>
  <c r="T940" i="7"/>
  <c r="Q953" i="7"/>
  <c r="R953" i="7"/>
  <c r="T974" i="7"/>
  <c r="U974" i="7"/>
  <c r="U988" i="7"/>
  <c r="T988" i="7"/>
  <c r="U1007" i="7"/>
  <c r="T1007" i="7"/>
  <c r="T1021" i="7"/>
  <c r="Q1023" i="7"/>
  <c r="R1023" i="7"/>
  <c r="R1039" i="7"/>
  <c r="U1040" i="7"/>
  <c r="T1040" i="7"/>
  <c r="U1054" i="7"/>
  <c r="Q1056" i="7"/>
  <c r="R1056" i="7"/>
  <c r="R1072" i="7"/>
  <c r="U1077" i="7"/>
  <c r="T1077" i="7"/>
  <c r="T1087" i="7"/>
  <c r="T1092" i="7"/>
  <c r="R1095" i="7"/>
  <c r="R1096" i="7"/>
  <c r="T1102" i="7"/>
  <c r="U1102" i="7"/>
  <c r="U1110" i="7"/>
  <c r="T1111" i="7"/>
  <c r="T1112" i="7"/>
  <c r="U1116" i="7"/>
  <c r="T1116" i="7"/>
  <c r="Q1127" i="7"/>
  <c r="R1127" i="7"/>
  <c r="U1144" i="7"/>
  <c r="T1144" i="7"/>
  <c r="U1171" i="7"/>
  <c r="T1171" i="7"/>
  <c r="U1179" i="7"/>
  <c r="T1179" i="7"/>
  <c r="Q1185" i="7"/>
  <c r="R1185" i="7"/>
  <c r="U1202" i="7"/>
  <c r="T1202" i="7"/>
  <c r="U1279" i="7"/>
  <c r="T1279" i="7"/>
  <c r="U1286" i="7"/>
  <c r="T1286" i="7"/>
  <c r="U1295" i="7"/>
  <c r="T1295" i="7"/>
  <c r="U1302" i="7"/>
  <c r="T1302" i="7"/>
  <c r="U1311" i="7"/>
  <c r="T1311" i="7"/>
  <c r="U1318" i="7"/>
  <c r="T1318" i="7"/>
  <c r="U1327" i="7"/>
  <c r="T1327" i="7"/>
  <c r="U1334" i="7"/>
  <c r="T1334" i="7"/>
  <c r="U1343" i="7"/>
  <c r="T1343" i="7"/>
  <c r="U1350" i="7"/>
  <c r="T1350" i="7"/>
  <c r="U1359" i="7"/>
  <c r="T1359" i="7"/>
  <c r="U1366" i="7"/>
  <c r="T1366" i="7"/>
  <c r="U1375" i="7"/>
  <c r="T1375" i="7"/>
  <c r="U1382" i="7"/>
  <c r="T1382" i="7"/>
  <c r="U1391" i="7"/>
  <c r="T1391" i="7"/>
  <c r="U1398" i="7"/>
  <c r="T1398" i="7"/>
  <c r="U1407" i="7"/>
  <c r="T1407" i="7"/>
  <c r="U1414" i="7"/>
  <c r="T1414" i="7"/>
  <c r="U1423" i="7"/>
  <c r="T1423" i="7"/>
  <c r="U1430" i="7"/>
  <c r="T1430" i="7"/>
  <c r="U1439" i="7"/>
  <c r="T1439" i="7"/>
  <c r="U1446" i="7"/>
  <c r="T1446" i="7"/>
  <c r="U1455" i="7"/>
  <c r="T1455" i="7"/>
  <c r="U1462" i="7"/>
  <c r="T1462" i="7"/>
  <c r="U1471" i="7"/>
  <c r="T1471" i="7"/>
  <c r="U1478" i="7"/>
  <c r="T1478" i="7"/>
  <c r="U1487" i="7"/>
  <c r="T1487" i="7"/>
  <c r="U1494" i="7"/>
  <c r="T1494" i="7"/>
  <c r="U1593" i="7"/>
  <c r="T1593" i="7"/>
  <c r="Q1609" i="7"/>
  <c r="R1609" i="7"/>
  <c r="U1619" i="7"/>
  <c r="T1619" i="7"/>
  <c r="U1657" i="7"/>
  <c r="T1657" i="7"/>
  <c r="Q1673" i="7"/>
  <c r="R1673" i="7"/>
  <c r="U1683" i="7"/>
  <c r="T1683" i="7"/>
  <c r="U1721" i="7"/>
  <c r="T1721" i="7"/>
  <c r="Q1737" i="7"/>
  <c r="R1737" i="7"/>
  <c r="U1747" i="7"/>
  <c r="T1747" i="7"/>
  <c r="U1785" i="7"/>
  <c r="T1785" i="7"/>
  <c r="Q1801" i="7"/>
  <c r="R1801" i="7"/>
  <c r="U1811" i="7"/>
  <c r="T1811" i="7"/>
  <c r="U1849" i="7"/>
  <c r="T1849" i="7"/>
  <c r="Q1865" i="7"/>
  <c r="R1865" i="7"/>
  <c r="U1875" i="7"/>
  <c r="T1875" i="7"/>
  <c r="U1913" i="7"/>
  <c r="T1913" i="7"/>
  <c r="Q1929" i="7"/>
  <c r="R1929" i="7"/>
  <c r="U1939" i="7"/>
  <c r="T1939" i="7"/>
  <c r="T2019" i="7"/>
  <c r="U2019" i="7"/>
  <c r="R2037" i="7"/>
  <c r="Q2037" i="7"/>
  <c r="Q2051" i="7"/>
  <c r="R2051" i="7"/>
  <c r="R2069" i="7"/>
  <c r="Q2069" i="7"/>
  <c r="Q2816" i="7"/>
  <c r="R2816" i="7"/>
  <c r="R2839" i="7"/>
  <c r="Q2839" i="7"/>
  <c r="Q2874" i="7"/>
  <c r="R2874" i="7"/>
  <c r="Q3010" i="7"/>
  <c r="R3010" i="7"/>
  <c r="Q3046" i="7"/>
  <c r="R3046" i="7"/>
  <c r="Q3070" i="7"/>
  <c r="R3070" i="7"/>
  <c r="R3084" i="7"/>
  <c r="Q3084" i="7"/>
  <c r="U3107" i="7"/>
  <c r="T3107" i="7"/>
  <c r="R3122" i="7"/>
  <c r="Q3122" i="7"/>
  <c r="U3222" i="7"/>
  <c r="T3222" i="7"/>
  <c r="U3264" i="7"/>
  <c r="T3264" i="7"/>
  <c r="Q3687" i="7"/>
  <c r="R3687" i="7"/>
  <c r="T3698" i="7"/>
  <c r="U3698" i="7"/>
  <c r="U3719" i="7"/>
  <c r="T3719" i="7"/>
  <c r="U3757" i="7"/>
  <c r="T3757" i="7"/>
  <c r="U3763" i="7"/>
  <c r="T3763" i="7"/>
  <c r="U3863" i="7"/>
  <c r="T3863" i="7"/>
  <c r="U3865" i="7"/>
  <c r="T3865" i="7"/>
  <c r="T3895" i="7"/>
  <c r="U3895" i="7"/>
  <c r="T3897" i="7"/>
  <c r="U3897" i="7"/>
  <c r="U4443" i="7"/>
  <c r="T4443" i="7"/>
  <c r="Q4454" i="7"/>
  <c r="R4454" i="7"/>
  <c r="Q4477" i="7"/>
  <c r="R4477" i="7"/>
  <c r="U4495" i="7"/>
  <c r="T4495" i="7"/>
  <c r="Q4502" i="7"/>
  <c r="R4502" i="7"/>
  <c r="U4541" i="7"/>
  <c r="T4541" i="7"/>
  <c r="R4613" i="7"/>
  <c r="Q4613" i="7"/>
  <c r="T4652" i="7"/>
  <c r="U4652" i="7"/>
  <c r="R4673" i="7"/>
  <c r="Q4673" i="7"/>
  <c r="U4685" i="7"/>
  <c r="T4685" i="7"/>
  <c r="T1989" i="7"/>
  <c r="U1989" i="7"/>
  <c r="Q2113" i="7"/>
  <c r="R2113" i="7"/>
  <c r="T2127" i="7"/>
  <c r="U2127" i="7"/>
  <c r="U2131" i="7"/>
  <c r="T2131" i="7"/>
  <c r="Q2145" i="7"/>
  <c r="R2145" i="7"/>
  <c r="U2163" i="7"/>
  <c r="T2163" i="7"/>
  <c r="U2201" i="7"/>
  <c r="T2201" i="7"/>
  <c r="U2251" i="7"/>
  <c r="T2251" i="7"/>
  <c r="U2289" i="7"/>
  <c r="T2289" i="7"/>
  <c r="T2401" i="7"/>
  <c r="U2401" i="7"/>
  <c r="U2409" i="7"/>
  <c r="T2409" i="7"/>
  <c r="U2435" i="7"/>
  <c r="T2435" i="7"/>
  <c r="Q2472" i="7"/>
  <c r="R2472" i="7"/>
  <c r="U2725" i="7"/>
  <c r="T2725" i="7"/>
  <c r="T2811" i="7"/>
  <c r="U2811" i="7"/>
  <c r="Q2830" i="7"/>
  <c r="R2830" i="7"/>
  <c r="Q2890" i="7"/>
  <c r="R2890" i="7"/>
  <c r="R2988" i="7"/>
  <c r="Q2988" i="7"/>
  <c r="R3106" i="7"/>
  <c r="Q3106" i="7"/>
  <c r="U3168" i="7"/>
  <c r="T3168" i="7"/>
  <c r="U3254" i="7"/>
  <c r="T3254" i="7"/>
  <c r="T3296" i="7"/>
  <c r="U3296" i="7"/>
  <c r="R3519" i="7"/>
  <c r="Q3519" i="7"/>
  <c r="T3526" i="7"/>
  <c r="U3526" i="7"/>
  <c r="R3540" i="7"/>
  <c r="Q3540" i="7"/>
  <c r="R3548" i="7"/>
  <c r="Q3548" i="7"/>
  <c r="R3559" i="7"/>
  <c r="Q3559" i="7"/>
  <c r="R3871" i="7"/>
  <c r="Q3871" i="7"/>
  <c r="U4435" i="7"/>
  <c r="T4435" i="7"/>
  <c r="U1134" i="7"/>
  <c r="T1135" i="7"/>
  <c r="T1136" i="7"/>
  <c r="T1141" i="7"/>
  <c r="T1148" i="7"/>
  <c r="R1151" i="7"/>
  <c r="R1152" i="7"/>
  <c r="R1161" i="7"/>
  <c r="R1162" i="7"/>
  <c r="U1164" i="7"/>
  <c r="U1176" i="7"/>
  <c r="T1177" i="7"/>
  <c r="T1178" i="7"/>
  <c r="T1190" i="7"/>
  <c r="R1193" i="7"/>
  <c r="R1194" i="7"/>
  <c r="U1196" i="7"/>
  <c r="U1208" i="7"/>
  <c r="T1209" i="7"/>
  <c r="T1210" i="7"/>
  <c r="T1222" i="7"/>
  <c r="R1225" i="7"/>
  <c r="R1226" i="7"/>
  <c r="U1228" i="7"/>
  <c r="U1236" i="7"/>
  <c r="U1244" i="7"/>
  <c r="U1252" i="7"/>
  <c r="U1260" i="7"/>
  <c r="U1268" i="7"/>
  <c r="T1276" i="7"/>
  <c r="T1277" i="7"/>
  <c r="T1284" i="7"/>
  <c r="T1285" i="7"/>
  <c r="T1292" i="7"/>
  <c r="T1293" i="7"/>
  <c r="T1300" i="7"/>
  <c r="T1301" i="7"/>
  <c r="T1308" i="7"/>
  <c r="T1309" i="7"/>
  <c r="T1316" i="7"/>
  <c r="T1317" i="7"/>
  <c r="T1324" i="7"/>
  <c r="T1325" i="7"/>
  <c r="T1332" i="7"/>
  <c r="T1333" i="7"/>
  <c r="T1340" i="7"/>
  <c r="T1341" i="7"/>
  <c r="T1348" i="7"/>
  <c r="T1349" i="7"/>
  <c r="T1356" i="7"/>
  <c r="T1357" i="7"/>
  <c r="T1364" i="7"/>
  <c r="T1365" i="7"/>
  <c r="T1372" i="7"/>
  <c r="T1373" i="7"/>
  <c r="T1380" i="7"/>
  <c r="T1381" i="7"/>
  <c r="T1388" i="7"/>
  <c r="T1389" i="7"/>
  <c r="T1396" i="7"/>
  <c r="T1397" i="7"/>
  <c r="T1404" i="7"/>
  <c r="T1405" i="7"/>
  <c r="T1412" i="7"/>
  <c r="T1413" i="7"/>
  <c r="T1420" i="7"/>
  <c r="T1421" i="7"/>
  <c r="T1428" i="7"/>
  <c r="T1429" i="7"/>
  <c r="T1436" i="7"/>
  <c r="T1437" i="7"/>
  <c r="T1444" i="7"/>
  <c r="T1445" i="7"/>
  <c r="T1452" i="7"/>
  <c r="T1453" i="7"/>
  <c r="T1460" i="7"/>
  <c r="T1461" i="7"/>
  <c r="T1468" i="7"/>
  <c r="T1469" i="7"/>
  <c r="T1476" i="7"/>
  <c r="T1477" i="7"/>
  <c r="T1484" i="7"/>
  <c r="T1485" i="7"/>
  <c r="T1492" i="7"/>
  <c r="T1493" i="7"/>
  <c r="T1500" i="7"/>
  <c r="T1501" i="7"/>
  <c r="T1502" i="7"/>
  <c r="T1503" i="7"/>
  <c r="T1504" i="7"/>
  <c r="T1505" i="7"/>
  <c r="T1506" i="7"/>
  <c r="T1507" i="7"/>
  <c r="T1508" i="7"/>
  <c r="T1509" i="7"/>
  <c r="T1510" i="7"/>
  <c r="T1511" i="7"/>
  <c r="T1512" i="7"/>
  <c r="T1513" i="7"/>
  <c r="T1514" i="7"/>
  <c r="T1515" i="7"/>
  <c r="T1516" i="7"/>
  <c r="T1517" i="7"/>
  <c r="T1518" i="7"/>
  <c r="T1519" i="7"/>
  <c r="T1520" i="7"/>
  <c r="T1521" i="7"/>
  <c r="T1522" i="7"/>
  <c r="T1523" i="7"/>
  <c r="T1524" i="7"/>
  <c r="T1525" i="7"/>
  <c r="T1526" i="7"/>
  <c r="T1527" i="7"/>
  <c r="T1528" i="7"/>
  <c r="T1529" i="7"/>
  <c r="T1530" i="7"/>
  <c r="T1531" i="7"/>
  <c r="T1532" i="7"/>
  <c r="T1533" i="7"/>
  <c r="T1534" i="7"/>
  <c r="T1535" i="7"/>
  <c r="T1536" i="7"/>
  <c r="T1537" i="7"/>
  <c r="T1538" i="7"/>
  <c r="T1539" i="7"/>
  <c r="T1540" i="7"/>
  <c r="T1541" i="7"/>
  <c r="T1542" i="7"/>
  <c r="T1543" i="7"/>
  <c r="T1544" i="7"/>
  <c r="T1545" i="7"/>
  <c r="T1546" i="7"/>
  <c r="T1547" i="7"/>
  <c r="T1548" i="7"/>
  <c r="T1549" i="7"/>
  <c r="T1550" i="7"/>
  <c r="T1551" i="7"/>
  <c r="T1552" i="7"/>
  <c r="T1553" i="7"/>
  <c r="T1554" i="7"/>
  <c r="T1555" i="7"/>
  <c r="T1556" i="7"/>
  <c r="T1557" i="7"/>
  <c r="T1558" i="7"/>
  <c r="T1559" i="7"/>
  <c r="T1560" i="7"/>
  <c r="T1561" i="7"/>
  <c r="T1562" i="7"/>
  <c r="T1563" i="7"/>
  <c r="T1564" i="7"/>
  <c r="T1565" i="7"/>
  <c r="T1566" i="7"/>
  <c r="T1567" i="7"/>
  <c r="T1568" i="7"/>
  <c r="T1569" i="7"/>
  <c r="T1570" i="7"/>
  <c r="T1571" i="7"/>
  <c r="T1572" i="7"/>
  <c r="T1573" i="7"/>
  <c r="T1574" i="7"/>
  <c r="T1575" i="7"/>
  <c r="T1576" i="7"/>
  <c r="T1577" i="7"/>
  <c r="T1578" i="7"/>
  <c r="T1579" i="7"/>
  <c r="T1580" i="7"/>
  <c r="T1581" i="7"/>
  <c r="T1582" i="7"/>
  <c r="T1583" i="7"/>
  <c r="R1585" i="7"/>
  <c r="T1601" i="7"/>
  <c r="U1615" i="7"/>
  <c r="R1617" i="7"/>
  <c r="T1633" i="7"/>
  <c r="U1647" i="7"/>
  <c r="R1649" i="7"/>
  <c r="T1665" i="7"/>
  <c r="U1679" i="7"/>
  <c r="R1681" i="7"/>
  <c r="T1697" i="7"/>
  <c r="U1711" i="7"/>
  <c r="R1713" i="7"/>
  <c r="T1729" i="7"/>
  <c r="U1743" i="7"/>
  <c r="R1745" i="7"/>
  <c r="T1761" i="7"/>
  <c r="U1775" i="7"/>
  <c r="R1777" i="7"/>
  <c r="T1793" i="7"/>
  <c r="U1807" i="7"/>
  <c r="R1809" i="7"/>
  <c r="T1825" i="7"/>
  <c r="U1839" i="7"/>
  <c r="R1841" i="7"/>
  <c r="T1857" i="7"/>
  <c r="U1871" i="7"/>
  <c r="R1873" i="7"/>
  <c r="T1889" i="7"/>
  <c r="U1903" i="7"/>
  <c r="R1905" i="7"/>
  <c r="T1921" i="7"/>
  <c r="U1935" i="7"/>
  <c r="R1937" i="7"/>
  <c r="T1959" i="7"/>
  <c r="U1971" i="7"/>
  <c r="Q1973" i="7"/>
  <c r="U1983" i="7"/>
  <c r="T1995" i="7"/>
  <c r="R2000" i="7"/>
  <c r="U2001" i="7"/>
  <c r="U2003" i="7"/>
  <c r="T2003" i="7"/>
  <c r="U2026" i="7"/>
  <c r="T2026" i="7"/>
  <c r="U2029" i="7"/>
  <c r="U2037" i="7"/>
  <c r="T2037" i="7"/>
  <c r="R2053" i="7"/>
  <c r="R2056" i="7"/>
  <c r="T2057" i="7"/>
  <c r="T2058" i="7"/>
  <c r="Q2061" i="7"/>
  <c r="R2064" i="7"/>
  <c r="T2065" i="7"/>
  <c r="R2085" i="7"/>
  <c r="Q2088" i="7"/>
  <c r="R2088" i="7"/>
  <c r="R2093" i="7"/>
  <c r="Q2093" i="7"/>
  <c r="U2119" i="7"/>
  <c r="T2119" i="7"/>
  <c r="U2141" i="7"/>
  <c r="T2141" i="7"/>
  <c r="Q2175" i="7"/>
  <c r="R2175" i="7"/>
  <c r="Q2200" i="7"/>
  <c r="R2200" i="7"/>
  <c r="U2277" i="7"/>
  <c r="T2277" i="7"/>
  <c r="U2327" i="7"/>
  <c r="T2327" i="7"/>
  <c r="U2371" i="7"/>
  <c r="T2371" i="7"/>
  <c r="Q2408" i="7"/>
  <c r="R2408" i="7"/>
  <c r="Q2434" i="7"/>
  <c r="R2434" i="7"/>
  <c r="Q2448" i="7"/>
  <c r="R2448" i="7"/>
  <c r="U2741" i="7"/>
  <c r="T2741" i="7"/>
  <c r="R2865" i="7"/>
  <c r="Q2865" i="7"/>
  <c r="R2968" i="7"/>
  <c r="Q2968" i="7"/>
  <c r="U3104" i="7"/>
  <c r="T3104" i="7"/>
  <c r="U3114" i="7"/>
  <c r="T3114" i="7"/>
  <c r="U3156" i="7"/>
  <c r="T3156" i="7"/>
  <c r="U3158" i="7"/>
  <c r="T3158" i="7"/>
  <c r="U3200" i="7"/>
  <c r="T3200" i="7"/>
  <c r="U3286" i="7"/>
  <c r="T3286" i="7"/>
  <c r="R3515" i="7"/>
  <c r="Q3515" i="7"/>
  <c r="U3868" i="7"/>
  <c r="T3868" i="7"/>
  <c r="U2034" i="7"/>
  <c r="T2034" i="7"/>
  <c r="Q2059" i="7"/>
  <c r="R2059" i="7"/>
  <c r="U2095" i="7"/>
  <c r="T2095" i="7"/>
  <c r="T2209" i="7"/>
  <c r="U2209" i="7"/>
  <c r="Q2323" i="7"/>
  <c r="R2323" i="7"/>
  <c r="Q2370" i="7"/>
  <c r="R2370" i="7"/>
  <c r="Q2384" i="7"/>
  <c r="R2384" i="7"/>
  <c r="U2693" i="7"/>
  <c r="T2693" i="7"/>
  <c r="U2757" i="7"/>
  <c r="T2757" i="7"/>
  <c r="R2881" i="7"/>
  <c r="Q2881" i="7"/>
  <c r="T2948" i="7"/>
  <c r="U2948" i="7"/>
  <c r="Q3026" i="7"/>
  <c r="R3026" i="7"/>
  <c r="Q3051" i="7"/>
  <c r="R3051" i="7"/>
  <c r="R3096" i="7"/>
  <c r="Q3096" i="7"/>
  <c r="U3108" i="7"/>
  <c r="T3108" i="7"/>
  <c r="R3124" i="7"/>
  <c r="Q3124" i="7"/>
  <c r="R3140" i="7"/>
  <c r="Q3140" i="7"/>
  <c r="U3190" i="7"/>
  <c r="T3190" i="7"/>
  <c r="U3232" i="7"/>
  <c r="T3232" i="7"/>
  <c r="R3312" i="7"/>
  <c r="Q3312" i="7"/>
  <c r="R3320" i="7"/>
  <c r="Q3320" i="7"/>
  <c r="R3328" i="7"/>
  <c r="Q3328" i="7"/>
  <c r="R3336" i="7"/>
  <c r="Q3336" i="7"/>
  <c r="R3344" i="7"/>
  <c r="Q3344" i="7"/>
  <c r="R3352" i="7"/>
  <c r="Q3352" i="7"/>
  <c r="R3360" i="7"/>
  <c r="Q3360" i="7"/>
  <c r="R3368" i="7"/>
  <c r="Q3368" i="7"/>
  <c r="R3376" i="7"/>
  <c r="Q3376" i="7"/>
  <c r="R3384" i="7"/>
  <c r="Q3384" i="7"/>
  <c r="R3392" i="7"/>
  <c r="Q3392" i="7"/>
  <c r="R3400" i="7"/>
  <c r="Q3400" i="7"/>
  <c r="R3408" i="7"/>
  <c r="Q3408" i="7"/>
  <c r="R3416" i="7"/>
  <c r="Q3416" i="7"/>
  <c r="R3424" i="7"/>
  <c r="Q3424" i="7"/>
  <c r="R3432" i="7"/>
  <c r="Q3432" i="7"/>
  <c r="R3440" i="7"/>
  <c r="Q3440" i="7"/>
  <c r="R3448" i="7"/>
  <c r="Q3448" i="7"/>
  <c r="R3456" i="7"/>
  <c r="Q3456" i="7"/>
  <c r="R3464" i="7"/>
  <c r="Q3464" i="7"/>
  <c r="R3472" i="7"/>
  <c r="Q3472" i="7"/>
  <c r="R3480" i="7"/>
  <c r="Q3480" i="7"/>
  <c r="R3488" i="7"/>
  <c r="Q3488" i="7"/>
  <c r="T3501" i="7"/>
  <c r="U3501" i="7"/>
  <c r="R3508" i="7"/>
  <c r="Q3508" i="7"/>
  <c r="Q3867" i="7"/>
  <c r="R3867" i="7"/>
  <c r="U4147" i="7"/>
  <c r="T4147" i="7"/>
  <c r="U4161" i="7"/>
  <c r="T4161" i="7"/>
  <c r="U4163" i="7"/>
  <c r="T4163" i="7"/>
  <c r="Q4202" i="7"/>
  <c r="R4202" i="7"/>
  <c r="Q4216" i="7"/>
  <c r="R4216" i="7"/>
  <c r="Q4256" i="7"/>
  <c r="R4256" i="7"/>
  <c r="U4717" i="7"/>
  <c r="T4717" i="7"/>
  <c r="Q4744" i="7"/>
  <c r="R4744" i="7"/>
  <c r="Q4760" i="7"/>
  <c r="R4760" i="7"/>
  <c r="Q4776" i="7"/>
  <c r="R4776" i="7"/>
  <c r="U4827" i="7"/>
  <c r="T4827" i="7"/>
  <c r="R4848" i="7"/>
  <c r="Q4848" i="7"/>
  <c r="U4854" i="7"/>
  <c r="T4854" i="7"/>
  <c r="Q4865" i="7"/>
  <c r="R4865" i="7"/>
  <c r="R4902" i="7"/>
  <c r="Q4902" i="7"/>
  <c r="U4926" i="7"/>
  <c r="T4926" i="7"/>
  <c r="Q4992" i="7"/>
  <c r="R4992" i="7"/>
  <c r="Q2183" i="7"/>
  <c r="R2183" i="7"/>
  <c r="Q2223" i="7"/>
  <c r="R2223" i="7"/>
  <c r="Q2351" i="7"/>
  <c r="R2351" i="7"/>
  <c r="Q2400" i="7"/>
  <c r="R2400" i="7"/>
  <c r="Q2464" i="7"/>
  <c r="R2464" i="7"/>
  <c r="R2815" i="7"/>
  <c r="Q2815" i="7"/>
  <c r="R2833" i="7"/>
  <c r="Q2833" i="7"/>
  <c r="R2861" i="7"/>
  <c r="Q2861" i="7"/>
  <c r="R2877" i="7"/>
  <c r="Q2877" i="7"/>
  <c r="U2893" i="7"/>
  <c r="T2893" i="7"/>
  <c r="U2903" i="7"/>
  <c r="T2903" i="7"/>
  <c r="U2909" i="7"/>
  <c r="T2909" i="7"/>
  <c r="U2919" i="7"/>
  <c r="T2919" i="7"/>
  <c r="U2925" i="7"/>
  <c r="T2925" i="7"/>
  <c r="Q2947" i="7"/>
  <c r="R2947" i="7"/>
  <c r="R2956" i="7"/>
  <c r="Q2956" i="7"/>
  <c r="T2986" i="7"/>
  <c r="U2986" i="7"/>
  <c r="R3012" i="7"/>
  <c r="Q3012" i="7"/>
  <c r="R3048" i="7"/>
  <c r="Q3048" i="7"/>
  <c r="Q3067" i="7"/>
  <c r="R3067" i="7"/>
  <c r="Q3086" i="7"/>
  <c r="R3086" i="7"/>
  <c r="U3142" i="7"/>
  <c r="T3142" i="7"/>
  <c r="U3152" i="7"/>
  <c r="T3152" i="7"/>
  <c r="U3155" i="7"/>
  <c r="T3155" i="7"/>
  <c r="U3160" i="7"/>
  <c r="T3160" i="7"/>
  <c r="U3192" i="7"/>
  <c r="T3192" i="7"/>
  <c r="U3224" i="7"/>
  <c r="T3224" i="7"/>
  <c r="U3256" i="7"/>
  <c r="T3256" i="7"/>
  <c r="U3288" i="7"/>
  <c r="T3288" i="7"/>
  <c r="R3302" i="7"/>
  <c r="Q3302" i="7"/>
  <c r="T3493" i="7"/>
  <c r="U3493" i="7"/>
  <c r="R3500" i="7"/>
  <c r="Q3500" i="7"/>
  <c r="T3521" i="7"/>
  <c r="U3521" i="7"/>
  <c r="T3538" i="7"/>
  <c r="U3538" i="7"/>
  <c r="T3545" i="7"/>
  <c r="U3545" i="7"/>
  <c r="R3602" i="7"/>
  <c r="Q3602" i="7"/>
  <c r="R3634" i="7"/>
  <c r="Q3634" i="7"/>
  <c r="R3663" i="7"/>
  <c r="Q3663" i="7"/>
  <c r="R3673" i="7"/>
  <c r="Q3673" i="7"/>
  <c r="Q3793" i="7"/>
  <c r="R3793" i="7"/>
  <c r="Q3825" i="7"/>
  <c r="R3825" i="7"/>
  <c r="U3843" i="7"/>
  <c r="T3843" i="7"/>
  <c r="R3893" i="7"/>
  <c r="Q3893" i="7"/>
  <c r="T3907" i="7"/>
  <c r="U3907" i="7"/>
  <c r="T3915" i="7"/>
  <c r="U3915" i="7"/>
  <c r="T3923" i="7"/>
  <c r="U3923" i="7"/>
  <c r="T3931" i="7"/>
  <c r="U3931" i="7"/>
  <c r="T3939" i="7"/>
  <c r="U3939" i="7"/>
  <c r="T3947" i="7"/>
  <c r="U3947" i="7"/>
  <c r="T3955" i="7"/>
  <c r="U3955" i="7"/>
  <c r="T3963" i="7"/>
  <c r="U3963" i="7"/>
  <c r="T3971" i="7"/>
  <c r="U3971" i="7"/>
  <c r="T3979" i="7"/>
  <c r="U3979" i="7"/>
  <c r="T3987" i="7"/>
  <c r="U3987" i="7"/>
  <c r="T3995" i="7"/>
  <c r="U3995" i="7"/>
  <c r="T4003" i="7"/>
  <c r="U4003" i="7"/>
  <c r="T4011" i="7"/>
  <c r="U4011" i="7"/>
  <c r="T4019" i="7"/>
  <c r="U4019" i="7"/>
  <c r="T4027" i="7"/>
  <c r="U4027" i="7"/>
  <c r="T4035" i="7"/>
  <c r="U4035" i="7"/>
  <c r="T4041" i="7"/>
  <c r="U4041" i="7"/>
  <c r="T4051" i="7"/>
  <c r="U4051" i="7"/>
  <c r="T4061" i="7"/>
  <c r="U4061" i="7"/>
  <c r="Q4098" i="7"/>
  <c r="R4098" i="7"/>
  <c r="U4103" i="7"/>
  <c r="T4103" i="7"/>
  <c r="T4121" i="7"/>
  <c r="U4121" i="7"/>
  <c r="U4123" i="7"/>
  <c r="T4123" i="7"/>
  <c r="U4127" i="7"/>
  <c r="T4127" i="7"/>
  <c r="R4342" i="7"/>
  <c r="Q4342" i="7"/>
  <c r="U4378" i="7"/>
  <c r="T4378" i="7"/>
  <c r="U4381" i="7"/>
  <c r="T4381" i="7"/>
  <c r="Q4399" i="7"/>
  <c r="R4399" i="7"/>
  <c r="U4411" i="7"/>
  <c r="T4411" i="7"/>
  <c r="Q4440" i="7"/>
  <c r="R4440" i="7"/>
  <c r="U4449" i="7"/>
  <c r="T4449" i="7"/>
  <c r="Q4471" i="7"/>
  <c r="R4471" i="7"/>
  <c r="T4492" i="7"/>
  <c r="U4492" i="7"/>
  <c r="T4504" i="7"/>
  <c r="U4504" i="7"/>
  <c r="U4510" i="7"/>
  <c r="T4510" i="7"/>
  <c r="R4571" i="7"/>
  <c r="Q4571" i="7"/>
  <c r="T4620" i="7"/>
  <c r="U4620" i="7"/>
  <c r="U4693" i="7"/>
  <c r="T4693" i="7"/>
  <c r="U4723" i="7"/>
  <c r="T4723" i="7"/>
  <c r="U4821" i="7"/>
  <c r="T4821" i="7"/>
  <c r="T4837" i="7"/>
  <c r="U4837" i="7"/>
  <c r="Q4853" i="7"/>
  <c r="R4853" i="7"/>
  <c r="T4868" i="7"/>
  <c r="U4868" i="7"/>
  <c r="U4948" i="7"/>
  <c r="T4948" i="7"/>
  <c r="U2090" i="7"/>
  <c r="T2090" i="7"/>
  <c r="R2107" i="7"/>
  <c r="R2115" i="7"/>
  <c r="T2130" i="7"/>
  <c r="Q2149" i="7"/>
  <c r="R2152" i="7"/>
  <c r="T2153" i="7"/>
  <c r="T2179" i="7"/>
  <c r="R2191" i="7"/>
  <c r="Q2199" i="7"/>
  <c r="R2199" i="7"/>
  <c r="T2219" i="7"/>
  <c r="R2239" i="7"/>
  <c r="T2245" i="7"/>
  <c r="T2257" i="7"/>
  <c r="R2291" i="7"/>
  <c r="T2295" i="7"/>
  <c r="U2305" i="7"/>
  <c r="Q2319" i="7"/>
  <c r="R2319" i="7"/>
  <c r="T2347" i="7"/>
  <c r="R2386" i="7"/>
  <c r="T2387" i="7"/>
  <c r="Q2416" i="7"/>
  <c r="R2416" i="7"/>
  <c r="U2417" i="7"/>
  <c r="R2424" i="7"/>
  <c r="T2425" i="7"/>
  <c r="R2450" i="7"/>
  <c r="T2451" i="7"/>
  <c r="Q2480" i="7"/>
  <c r="R2480" i="7"/>
  <c r="U2481" i="7"/>
  <c r="U2497" i="7"/>
  <c r="T2497" i="7"/>
  <c r="U2513" i="7"/>
  <c r="T2513" i="7"/>
  <c r="U2529" i="7"/>
  <c r="T2529" i="7"/>
  <c r="U2545" i="7"/>
  <c r="T2545" i="7"/>
  <c r="U2561" i="7"/>
  <c r="T2561" i="7"/>
  <c r="U2577" i="7"/>
  <c r="T2577" i="7"/>
  <c r="U2593" i="7"/>
  <c r="T2593" i="7"/>
  <c r="U2609" i="7"/>
  <c r="T2609" i="7"/>
  <c r="U2625" i="7"/>
  <c r="T2625" i="7"/>
  <c r="U2641" i="7"/>
  <c r="T2641" i="7"/>
  <c r="U2657" i="7"/>
  <c r="T2657" i="7"/>
  <c r="U2673" i="7"/>
  <c r="T2673" i="7"/>
  <c r="T2689" i="7"/>
  <c r="T2705" i="7"/>
  <c r="T2721" i="7"/>
  <c r="T2737" i="7"/>
  <c r="T2753" i="7"/>
  <c r="U2769" i="7"/>
  <c r="T2769" i="7"/>
  <c r="Q2775" i="7"/>
  <c r="U2777" i="7"/>
  <c r="T2777" i="7"/>
  <c r="Q2783" i="7"/>
  <c r="U2785" i="7"/>
  <c r="T2785" i="7"/>
  <c r="Q2791" i="7"/>
  <c r="U2793" i="7"/>
  <c r="T2793" i="7"/>
  <c r="Q2799" i="7"/>
  <c r="U2801" i="7"/>
  <c r="T2801" i="7"/>
  <c r="T2807" i="7"/>
  <c r="U2807" i="7"/>
  <c r="U2827" i="7"/>
  <c r="R2829" i="7"/>
  <c r="Q2829" i="7"/>
  <c r="Q2853" i="7"/>
  <c r="R2855" i="7"/>
  <c r="Q2855" i="7"/>
  <c r="R2870" i="7"/>
  <c r="R2873" i="7"/>
  <c r="Q2873" i="7"/>
  <c r="R2886" i="7"/>
  <c r="R2889" i="7"/>
  <c r="Q2889" i="7"/>
  <c r="R2907" i="7"/>
  <c r="Q2907" i="7"/>
  <c r="R2923" i="7"/>
  <c r="Q2923" i="7"/>
  <c r="T2942" i="7"/>
  <c r="U2942" i="7"/>
  <c r="R2951" i="7"/>
  <c r="T2954" i="7"/>
  <c r="U2954" i="7"/>
  <c r="Q2972" i="7"/>
  <c r="Q2983" i="7"/>
  <c r="R2983" i="7"/>
  <c r="R3004" i="7"/>
  <c r="Q3004" i="7"/>
  <c r="R3035" i="7"/>
  <c r="R3038" i="7"/>
  <c r="R3040" i="7"/>
  <c r="Q3040" i="7"/>
  <c r="R3055" i="7"/>
  <c r="R3058" i="7"/>
  <c r="R3064" i="7"/>
  <c r="Q3064" i="7"/>
  <c r="Q3083" i="7"/>
  <c r="R3083" i="7"/>
  <c r="Q3100" i="7"/>
  <c r="R3102" i="7"/>
  <c r="Q3102" i="7"/>
  <c r="T3106" i="7"/>
  <c r="Q3120" i="7"/>
  <c r="U3157" i="7"/>
  <c r="T3157" i="7"/>
  <c r="T3182" i="7"/>
  <c r="U3184" i="7"/>
  <c r="T3184" i="7"/>
  <c r="T3214" i="7"/>
  <c r="U3216" i="7"/>
  <c r="T3216" i="7"/>
  <c r="T3246" i="7"/>
  <c r="U3248" i="7"/>
  <c r="T3248" i="7"/>
  <c r="T3278" i="7"/>
  <c r="U3280" i="7"/>
  <c r="T3280" i="7"/>
  <c r="R3308" i="7"/>
  <c r="Q3308" i="7"/>
  <c r="R3316" i="7"/>
  <c r="Q3316" i="7"/>
  <c r="R3324" i="7"/>
  <c r="Q3324" i="7"/>
  <c r="R3332" i="7"/>
  <c r="Q3332" i="7"/>
  <c r="R3340" i="7"/>
  <c r="Q3340" i="7"/>
  <c r="R3348" i="7"/>
  <c r="Q3348" i="7"/>
  <c r="R3356" i="7"/>
  <c r="Q3356" i="7"/>
  <c r="R3364" i="7"/>
  <c r="Q3364" i="7"/>
  <c r="R3372" i="7"/>
  <c r="Q3372" i="7"/>
  <c r="R3380" i="7"/>
  <c r="Q3380" i="7"/>
  <c r="R3388" i="7"/>
  <c r="Q3388" i="7"/>
  <c r="R3396" i="7"/>
  <c r="Q3396" i="7"/>
  <c r="R3404" i="7"/>
  <c r="Q3404" i="7"/>
  <c r="R3412" i="7"/>
  <c r="Q3412" i="7"/>
  <c r="R3420" i="7"/>
  <c r="Q3420" i="7"/>
  <c r="R3428" i="7"/>
  <c r="Q3428" i="7"/>
  <c r="R3436" i="7"/>
  <c r="Q3436" i="7"/>
  <c r="R3444" i="7"/>
  <c r="Q3444" i="7"/>
  <c r="R3452" i="7"/>
  <c r="Q3452" i="7"/>
  <c r="R3460" i="7"/>
  <c r="Q3460" i="7"/>
  <c r="R3468" i="7"/>
  <c r="Q3468" i="7"/>
  <c r="R3476" i="7"/>
  <c r="Q3476" i="7"/>
  <c r="R3484" i="7"/>
  <c r="Q3484" i="7"/>
  <c r="R3492" i="7"/>
  <c r="Q3492" i="7"/>
  <c r="R3507" i="7"/>
  <c r="Q3507" i="7"/>
  <c r="T3510" i="7"/>
  <c r="R3520" i="7"/>
  <c r="Q3520" i="7"/>
  <c r="T3533" i="7"/>
  <c r="U3533" i="7"/>
  <c r="R3539" i="7"/>
  <c r="Q3539" i="7"/>
  <c r="R3544" i="7"/>
  <c r="Q3544" i="7"/>
  <c r="T3581" i="7"/>
  <c r="U3581" i="7"/>
  <c r="Q3592" i="7"/>
  <c r="U3593" i="7"/>
  <c r="U3594" i="7"/>
  <c r="R3599" i="7"/>
  <c r="Q3599" i="7"/>
  <c r="R3604" i="7"/>
  <c r="Q3604" i="7"/>
  <c r="U3625" i="7"/>
  <c r="U3626" i="7"/>
  <c r="R3631" i="7"/>
  <c r="Q3631" i="7"/>
  <c r="R3636" i="7"/>
  <c r="Q3636" i="7"/>
  <c r="R3670" i="7"/>
  <c r="Q3670" i="7"/>
  <c r="U3769" i="7"/>
  <c r="T3769" i="7"/>
  <c r="T3791" i="7"/>
  <c r="U3791" i="7"/>
  <c r="U3807" i="7"/>
  <c r="R3809" i="7"/>
  <c r="R3817" i="7"/>
  <c r="T3819" i="7"/>
  <c r="U3821" i="7"/>
  <c r="T3821" i="7"/>
  <c r="U3847" i="7"/>
  <c r="T3847" i="7"/>
  <c r="Q3903" i="7"/>
  <c r="U3909" i="7"/>
  <c r="Q3911" i="7"/>
  <c r="U3917" i="7"/>
  <c r="Q3919" i="7"/>
  <c r="U3925" i="7"/>
  <c r="Q3927" i="7"/>
  <c r="U3933" i="7"/>
  <c r="Q3935" i="7"/>
  <c r="U3941" i="7"/>
  <c r="Q3943" i="7"/>
  <c r="U3949" i="7"/>
  <c r="Q3951" i="7"/>
  <c r="U3957" i="7"/>
  <c r="Q3959" i="7"/>
  <c r="U3965" i="7"/>
  <c r="Q3967" i="7"/>
  <c r="U3973" i="7"/>
  <c r="Q3975" i="7"/>
  <c r="U3981" i="7"/>
  <c r="Q3983" i="7"/>
  <c r="U3989" i="7"/>
  <c r="Q3991" i="7"/>
  <c r="U3997" i="7"/>
  <c r="Q3999" i="7"/>
  <c r="U4005" i="7"/>
  <c r="Q4007" i="7"/>
  <c r="U4013" i="7"/>
  <c r="Q4015" i="7"/>
  <c r="U4021" i="7"/>
  <c r="Q4023" i="7"/>
  <c r="U4029" i="7"/>
  <c r="Q4031" i="7"/>
  <c r="U4037" i="7"/>
  <c r="Q4039" i="7"/>
  <c r="R4055" i="7"/>
  <c r="Q4055" i="7"/>
  <c r="R4086" i="7"/>
  <c r="T4087" i="7"/>
  <c r="Q4102" i="7"/>
  <c r="R4102" i="7"/>
  <c r="Q4122" i="7"/>
  <c r="R4122" i="7"/>
  <c r="Q4126" i="7"/>
  <c r="R4126" i="7"/>
  <c r="Q4290" i="7"/>
  <c r="R4290" i="7"/>
  <c r="Q4330" i="7"/>
  <c r="R4330" i="7"/>
  <c r="U4340" i="7"/>
  <c r="T4340" i="7"/>
  <c r="U4366" i="7"/>
  <c r="T4366" i="7"/>
  <c r="Q4370" i="7"/>
  <c r="T4371" i="7"/>
  <c r="R4374" i="7"/>
  <c r="Q4374" i="7"/>
  <c r="Q4379" i="7"/>
  <c r="R4379" i="7"/>
  <c r="U4393" i="7"/>
  <c r="T4393" i="7"/>
  <c r="R2117" i="7"/>
  <c r="R2120" i="7"/>
  <c r="T2122" i="7"/>
  <c r="Q2125" i="7"/>
  <c r="R2128" i="7"/>
  <c r="T2129" i="7"/>
  <c r="U2133" i="7"/>
  <c r="Q2151" i="7"/>
  <c r="R2151" i="7"/>
  <c r="R2168" i="7"/>
  <c r="T2169" i="7"/>
  <c r="T2195" i="7"/>
  <c r="R2207" i="7"/>
  <c r="T2213" i="7"/>
  <c r="R2259" i="7"/>
  <c r="T2263" i="7"/>
  <c r="U2273" i="7"/>
  <c r="Q2287" i="7"/>
  <c r="R2287" i="7"/>
  <c r="T2315" i="7"/>
  <c r="R2335" i="7"/>
  <c r="T2341" i="7"/>
  <c r="Q2368" i="7"/>
  <c r="R2368" i="7"/>
  <c r="U2369" i="7"/>
  <c r="R2376" i="7"/>
  <c r="R2402" i="7"/>
  <c r="T2403" i="7"/>
  <c r="Q2432" i="7"/>
  <c r="R2432" i="7"/>
  <c r="U2433" i="7"/>
  <c r="R2440" i="7"/>
  <c r="R2466" i="7"/>
  <c r="T2467" i="7"/>
  <c r="Q2496" i="7"/>
  <c r="R2496" i="7"/>
  <c r="Q2512" i="7"/>
  <c r="R2512" i="7"/>
  <c r="Q2528" i="7"/>
  <c r="R2528" i="7"/>
  <c r="Q2544" i="7"/>
  <c r="R2544" i="7"/>
  <c r="Q2560" i="7"/>
  <c r="R2560" i="7"/>
  <c r="Q2576" i="7"/>
  <c r="R2576" i="7"/>
  <c r="Q2592" i="7"/>
  <c r="R2592" i="7"/>
  <c r="Q2608" i="7"/>
  <c r="R2608" i="7"/>
  <c r="Q2624" i="7"/>
  <c r="R2624" i="7"/>
  <c r="Q2640" i="7"/>
  <c r="R2640" i="7"/>
  <c r="Q2656" i="7"/>
  <c r="R2656" i="7"/>
  <c r="Q2672" i="7"/>
  <c r="R2672" i="7"/>
  <c r="T2685" i="7"/>
  <c r="T2701" i="7"/>
  <c r="T2717" i="7"/>
  <c r="T2733" i="7"/>
  <c r="T2749" i="7"/>
  <c r="T2765" i="7"/>
  <c r="R2773" i="7"/>
  <c r="Q2773" i="7"/>
  <c r="R2781" i="7"/>
  <c r="Q2781" i="7"/>
  <c r="R2789" i="7"/>
  <c r="Q2789" i="7"/>
  <c r="R2797" i="7"/>
  <c r="Q2797" i="7"/>
  <c r="R2805" i="7"/>
  <c r="Q2805" i="7"/>
  <c r="Q2819" i="7"/>
  <c r="R2820" i="7"/>
  <c r="T2823" i="7"/>
  <c r="U2823" i="7"/>
  <c r="Q2845" i="7"/>
  <c r="R2847" i="7"/>
  <c r="Q2847" i="7"/>
  <c r="R2866" i="7"/>
  <c r="R2869" i="7"/>
  <c r="Q2869" i="7"/>
  <c r="R2882" i="7"/>
  <c r="R2885" i="7"/>
  <c r="Q2885" i="7"/>
  <c r="Q2897" i="7"/>
  <c r="U2899" i="7"/>
  <c r="T2899" i="7"/>
  <c r="T2905" i="7"/>
  <c r="Q2913" i="7"/>
  <c r="U2915" i="7"/>
  <c r="T2915" i="7"/>
  <c r="T2921" i="7"/>
  <c r="Q2929" i="7"/>
  <c r="R2936" i="7"/>
  <c r="Q2936" i="7"/>
  <c r="Q2950" i="7"/>
  <c r="R2950" i="7"/>
  <c r="Q2971" i="7"/>
  <c r="R2971" i="7"/>
  <c r="Q2996" i="7"/>
  <c r="Q2998" i="7"/>
  <c r="R2998" i="7"/>
  <c r="Q3032" i="7"/>
  <c r="Q3034" i="7"/>
  <c r="R3034" i="7"/>
  <c r="Q3052" i="7"/>
  <c r="Q3054" i="7"/>
  <c r="R3054" i="7"/>
  <c r="R3080" i="7"/>
  <c r="Q3080" i="7"/>
  <c r="Q3099" i="7"/>
  <c r="R3099" i="7"/>
  <c r="R3104" i="7"/>
  <c r="Q3104" i="7"/>
  <c r="T3115" i="7"/>
  <c r="R3132" i="7"/>
  <c r="Q3132" i="7"/>
  <c r="U3150" i="7"/>
  <c r="T3150" i="7"/>
  <c r="U3154" i="7"/>
  <c r="T3154" i="7"/>
  <c r="T3174" i="7"/>
  <c r="U3176" i="7"/>
  <c r="T3176" i="7"/>
  <c r="T3206" i="7"/>
  <c r="U3208" i="7"/>
  <c r="T3208" i="7"/>
  <c r="T3238" i="7"/>
  <c r="U3240" i="7"/>
  <c r="T3240" i="7"/>
  <c r="T3270" i="7"/>
  <c r="U3272" i="7"/>
  <c r="T3272" i="7"/>
  <c r="R3298" i="7"/>
  <c r="Q3298" i="7"/>
  <c r="U3302" i="7"/>
  <c r="Q3304" i="7"/>
  <c r="R3499" i="7"/>
  <c r="Q3499" i="7"/>
  <c r="T3509" i="7"/>
  <c r="U3509" i="7"/>
  <c r="T3530" i="7"/>
  <c r="U3530" i="7"/>
  <c r="T3541" i="7"/>
  <c r="U3541" i="7"/>
  <c r="T3549" i="7"/>
  <c r="U3549" i="7"/>
  <c r="R3563" i="7"/>
  <c r="Q3563" i="7"/>
  <c r="T3570" i="7"/>
  <c r="U3570" i="7"/>
  <c r="R3580" i="7"/>
  <c r="Q3580" i="7"/>
  <c r="R3591" i="7"/>
  <c r="Q3591" i="7"/>
  <c r="R3693" i="7"/>
  <c r="Q3693" i="7"/>
  <c r="R3703" i="7"/>
  <c r="Q3703" i="7"/>
  <c r="Q3737" i="7"/>
  <c r="R3737" i="7"/>
  <c r="Q3765" i="7"/>
  <c r="R3765" i="7"/>
  <c r="Q3777" i="7"/>
  <c r="R3777" i="7"/>
  <c r="R3897" i="7"/>
  <c r="Q3897" i="7"/>
  <c r="R3899" i="7"/>
  <c r="Q3899" i="7"/>
  <c r="Q4226" i="7"/>
  <c r="R4226" i="7"/>
  <c r="Q4266" i="7"/>
  <c r="R4266" i="7"/>
  <c r="Q4280" i="7"/>
  <c r="R4280" i="7"/>
  <c r="Q4320" i="7"/>
  <c r="R4320" i="7"/>
  <c r="R3532" i="7"/>
  <c r="Q3532" i="7"/>
  <c r="T3565" i="7"/>
  <c r="U3565" i="7"/>
  <c r="T3618" i="7"/>
  <c r="U3618" i="7"/>
  <c r="T3650" i="7"/>
  <c r="U3650" i="7"/>
  <c r="R3694" i="7"/>
  <c r="Q3694" i="7"/>
  <c r="R3704" i="7"/>
  <c r="Q3704" i="7"/>
  <c r="R3713" i="7"/>
  <c r="Q3713" i="7"/>
  <c r="U3727" i="7"/>
  <c r="T3727" i="7"/>
  <c r="U3747" i="7"/>
  <c r="T3747" i="7"/>
  <c r="T3781" i="7"/>
  <c r="U3781" i="7"/>
  <c r="U3837" i="7"/>
  <c r="T3837" i="7"/>
  <c r="U3849" i="7"/>
  <c r="T3849" i="7"/>
  <c r="U3864" i="7"/>
  <c r="T3864" i="7"/>
  <c r="R3881" i="7"/>
  <c r="Q3881" i="7"/>
  <c r="T4047" i="7"/>
  <c r="U4047" i="7"/>
  <c r="U4075" i="7"/>
  <c r="T4075" i="7"/>
  <c r="U4129" i="7"/>
  <c r="T4129" i="7"/>
  <c r="Q4146" i="7"/>
  <c r="R4146" i="7"/>
  <c r="Q4160" i="7"/>
  <c r="R4160" i="7"/>
  <c r="Q4162" i="7"/>
  <c r="R4162" i="7"/>
  <c r="T4189" i="7"/>
  <c r="U4189" i="7"/>
  <c r="Q4258" i="7"/>
  <c r="R4258" i="7"/>
  <c r="Q4322" i="7"/>
  <c r="R4322" i="7"/>
  <c r="R4346" i="7"/>
  <c r="Q4346" i="7"/>
  <c r="Q4360" i="7"/>
  <c r="R4360" i="7"/>
  <c r="R4392" i="7"/>
  <c r="Q4392" i="7"/>
  <c r="Q4396" i="7"/>
  <c r="R4396" i="7"/>
  <c r="T4430" i="7"/>
  <c r="U4430" i="7"/>
  <c r="U4462" i="7"/>
  <c r="T4462" i="7"/>
  <c r="U4464" i="7"/>
  <c r="T4464" i="7"/>
  <c r="T3554" i="7"/>
  <c r="U3554" i="7"/>
  <c r="R3564" i="7"/>
  <c r="Q3564" i="7"/>
  <c r="R3579" i="7"/>
  <c r="Q3579" i="7"/>
  <c r="T3586" i="7"/>
  <c r="U3586" i="7"/>
  <c r="R3603" i="7"/>
  <c r="Q3603" i="7"/>
  <c r="T3617" i="7"/>
  <c r="U3617" i="7"/>
  <c r="R3635" i="7"/>
  <c r="Q3635" i="7"/>
  <c r="T3649" i="7"/>
  <c r="U3649" i="7"/>
  <c r="R3669" i="7"/>
  <c r="Q3669" i="7"/>
  <c r="U3801" i="7"/>
  <c r="T3801" i="7"/>
  <c r="T3879" i="7"/>
  <c r="U3879" i="7"/>
  <c r="R3909" i="7"/>
  <c r="Q3909" i="7"/>
  <c r="R3917" i="7"/>
  <c r="Q3917" i="7"/>
  <c r="R3925" i="7"/>
  <c r="Q3925" i="7"/>
  <c r="R3933" i="7"/>
  <c r="Q3933" i="7"/>
  <c r="R3941" i="7"/>
  <c r="Q3941" i="7"/>
  <c r="R3949" i="7"/>
  <c r="Q3949" i="7"/>
  <c r="R3957" i="7"/>
  <c r="Q3957" i="7"/>
  <c r="R3965" i="7"/>
  <c r="Q3965" i="7"/>
  <c r="R3973" i="7"/>
  <c r="Q3973" i="7"/>
  <c r="R3981" i="7"/>
  <c r="Q3981" i="7"/>
  <c r="R3989" i="7"/>
  <c r="Q3989" i="7"/>
  <c r="R3997" i="7"/>
  <c r="Q3997" i="7"/>
  <c r="R4005" i="7"/>
  <c r="Q4005" i="7"/>
  <c r="R4013" i="7"/>
  <c r="Q4013" i="7"/>
  <c r="R4021" i="7"/>
  <c r="Q4021" i="7"/>
  <c r="R4029" i="7"/>
  <c r="Q4029" i="7"/>
  <c r="R4037" i="7"/>
  <c r="Q4037" i="7"/>
  <c r="R4043" i="7"/>
  <c r="Q4043" i="7"/>
  <c r="U4067" i="7"/>
  <c r="T4067" i="7"/>
  <c r="Q4074" i="7"/>
  <c r="R4074" i="7"/>
  <c r="Q4234" i="7"/>
  <c r="R4234" i="7"/>
  <c r="Q4248" i="7"/>
  <c r="R4248" i="7"/>
  <c r="Q4298" i="7"/>
  <c r="R4298" i="7"/>
  <c r="Q4312" i="7"/>
  <c r="R4312" i="7"/>
  <c r="U4344" i="7"/>
  <c r="T4344" i="7"/>
  <c r="U4392" i="7"/>
  <c r="T4392" i="7"/>
  <c r="U4417" i="7"/>
  <c r="T4417" i="7"/>
  <c r="Q4424" i="7"/>
  <c r="R4424" i="7"/>
  <c r="T4456" i="7"/>
  <c r="U4456" i="7"/>
  <c r="Q4066" i="7"/>
  <c r="R4066" i="7"/>
  <c r="U4083" i="7"/>
  <c r="T4083" i="7"/>
  <c r="Q4128" i="7"/>
  <c r="R4128" i="7"/>
  <c r="T4157" i="7"/>
  <c r="U4157" i="7"/>
  <c r="T4185" i="7"/>
  <c r="U4185" i="7"/>
  <c r="Q4218" i="7"/>
  <c r="R4218" i="7"/>
  <c r="Q4250" i="7"/>
  <c r="R4250" i="7"/>
  <c r="Q4282" i="7"/>
  <c r="R4282" i="7"/>
  <c r="Q4314" i="7"/>
  <c r="R4314" i="7"/>
  <c r="U4343" i="7"/>
  <c r="T4343" i="7"/>
  <c r="R4362" i="7"/>
  <c r="Q4362" i="7"/>
  <c r="Q4369" i="7"/>
  <c r="R4369" i="7"/>
  <c r="U4388" i="7"/>
  <c r="T4388" i="7"/>
  <c r="U4416" i="7"/>
  <c r="T4416" i="7"/>
  <c r="T4434" i="7"/>
  <c r="U4434" i="7"/>
  <c r="Q4460" i="7"/>
  <c r="R4460" i="7"/>
  <c r="U4468" i="7"/>
  <c r="T4468" i="7"/>
  <c r="T4494" i="7"/>
  <c r="U4494" i="7"/>
  <c r="Q3655" i="7"/>
  <c r="Q3710" i="7"/>
  <c r="R3749" i="7"/>
  <c r="T3751" i="7"/>
  <c r="U3759" i="7"/>
  <c r="R3761" i="7"/>
  <c r="Q4051" i="7"/>
  <c r="T4055" i="7"/>
  <c r="U4055" i="7"/>
  <c r="Q4082" i="7"/>
  <c r="R4082" i="7"/>
  <c r="U4099" i="7"/>
  <c r="T4099" i="7"/>
  <c r="R4114" i="7"/>
  <c r="T4125" i="7"/>
  <c r="U4125" i="7"/>
  <c r="T4153" i="7"/>
  <c r="U4153" i="7"/>
  <c r="R4208" i="7"/>
  <c r="Q4210" i="7"/>
  <c r="R4210" i="7"/>
  <c r="R4240" i="7"/>
  <c r="Q4242" i="7"/>
  <c r="R4242" i="7"/>
  <c r="R4272" i="7"/>
  <c r="Q4274" i="7"/>
  <c r="R4274" i="7"/>
  <c r="R4304" i="7"/>
  <c r="Q4306" i="7"/>
  <c r="R4306" i="7"/>
  <c r="R4336" i="7"/>
  <c r="Q4338" i="7"/>
  <c r="R4338" i="7"/>
  <c r="R4352" i="7"/>
  <c r="R4354" i="7"/>
  <c r="Q4354" i="7"/>
  <c r="U4367" i="7"/>
  <c r="T4367" i="7"/>
  <c r="R4400" i="7"/>
  <c r="T4408" i="7"/>
  <c r="U4408" i="7"/>
  <c r="U4418" i="7"/>
  <c r="Q4423" i="7"/>
  <c r="R4423" i="7"/>
  <c r="U4444" i="7"/>
  <c r="T4444" i="7"/>
  <c r="T4451" i="7"/>
  <c r="Q4453" i="7"/>
  <c r="R4453" i="7"/>
  <c r="U4463" i="7"/>
  <c r="T4463" i="7"/>
  <c r="Q4478" i="7"/>
  <c r="R4478" i="7"/>
  <c r="Q4509" i="7"/>
  <c r="R4509" i="7"/>
  <c r="T4552" i="7"/>
  <c r="U4552" i="7"/>
  <c r="R4639" i="7"/>
  <c r="Q4639" i="7"/>
  <c r="R4657" i="7"/>
  <c r="Q4657" i="7"/>
  <c r="R4681" i="7"/>
  <c r="Q4681" i="7"/>
  <c r="U4701" i="7"/>
  <c r="T4701" i="7"/>
  <c r="Q4722" i="7"/>
  <c r="R4722" i="7"/>
  <c r="U4739" i="7"/>
  <c r="T4739" i="7"/>
  <c r="Q4752" i="7"/>
  <c r="R4752" i="7"/>
  <c r="Q4768" i="7"/>
  <c r="R4768" i="7"/>
  <c r="Q4784" i="7"/>
  <c r="R4784" i="7"/>
  <c r="U4809" i="7"/>
  <c r="T4809" i="7"/>
  <c r="T4841" i="7"/>
  <c r="U4841" i="7"/>
  <c r="T4857" i="7"/>
  <c r="U4857" i="7"/>
  <c r="R4886" i="7"/>
  <c r="Q4886" i="7"/>
  <c r="Q4934" i="7"/>
  <c r="R4934" i="7"/>
  <c r="T4966" i="7"/>
  <c r="U4966" i="7"/>
  <c r="Q5000" i="7"/>
  <c r="R5000" i="7"/>
  <c r="T4488" i="7"/>
  <c r="U4488" i="7"/>
  <c r="U4509" i="7"/>
  <c r="T4509" i="7"/>
  <c r="R4607" i="7"/>
  <c r="Q4607" i="7"/>
  <c r="R4625" i="7"/>
  <c r="Q4625" i="7"/>
  <c r="R4645" i="7"/>
  <c r="Q4645" i="7"/>
  <c r="U4709" i="7"/>
  <c r="T4709" i="7"/>
  <c r="T4729" i="7"/>
  <c r="U4729" i="7"/>
  <c r="Q4738" i="7"/>
  <c r="R4738" i="7"/>
  <c r="U4791" i="7"/>
  <c r="T4791" i="7"/>
  <c r="R4813" i="7"/>
  <c r="Q4813" i="7"/>
  <c r="R4819" i="7"/>
  <c r="Q4819" i="7"/>
  <c r="R4863" i="7"/>
  <c r="Q4863" i="7"/>
  <c r="U4954" i="7"/>
  <c r="T4954" i="7"/>
  <c r="Q4984" i="7"/>
  <c r="R4984" i="7"/>
  <c r="U4870" i="7"/>
  <c r="R4986" i="7"/>
  <c r="R4994" i="7"/>
  <c r="R5002" i="7"/>
  <c r="R4510" i="7"/>
  <c r="T4545" i="7"/>
  <c r="U4568" i="7"/>
  <c r="U4604" i="7"/>
  <c r="U4636" i="7"/>
  <c r="Q4662" i="7"/>
  <c r="Q4666" i="7"/>
  <c r="Q4677" i="7"/>
  <c r="R4685" i="7"/>
  <c r="U4689" i="7"/>
  <c r="R4693" i="7"/>
  <c r="U4699" i="7"/>
  <c r="R4701" i="7"/>
  <c r="U4705" i="7"/>
  <c r="R4709" i="7"/>
  <c r="U4715" i="7"/>
  <c r="R4717" i="7"/>
  <c r="U4721" i="7"/>
  <c r="R4730" i="7"/>
  <c r="U4737" i="7"/>
  <c r="R4748" i="7"/>
  <c r="R4756" i="7"/>
  <c r="R4764" i="7"/>
  <c r="R4772" i="7"/>
  <c r="R4780" i="7"/>
  <c r="U4789" i="7"/>
  <c r="Q4791" i="7"/>
  <c r="Q4809" i="7"/>
  <c r="Q4827" i="7"/>
  <c r="R4835" i="7"/>
  <c r="R4839" i="7"/>
  <c r="U4845" i="7"/>
  <c r="R4855" i="7"/>
  <c r="U4859" i="7"/>
  <c r="U4863" i="7"/>
  <c r="Q4868" i="7"/>
  <c r="Q4878" i="7"/>
  <c r="Q4894" i="7"/>
  <c r="Q4910" i="7"/>
  <c r="U4922" i="7"/>
  <c r="R4924" i="7"/>
  <c r="U4934" i="7"/>
  <c r="U4944" i="7"/>
  <c r="R4946" i="7"/>
  <c r="T4958" i="7"/>
  <c r="R4966" i="7"/>
  <c r="R4972" i="7"/>
  <c r="U4974" i="7"/>
  <c r="T4978" i="7"/>
  <c r="R4980" i="7"/>
  <c r="R4988" i="7"/>
  <c r="U70" i="7"/>
  <c r="T82" i="7"/>
  <c r="U815" i="7"/>
  <c r="T815" i="7"/>
  <c r="U831" i="7"/>
  <c r="T831" i="7"/>
  <c r="U835" i="7"/>
  <c r="T835" i="7"/>
  <c r="U849" i="7"/>
  <c r="T849" i="7"/>
  <c r="U854" i="7"/>
  <c r="U867" i="7"/>
  <c r="T867" i="7"/>
  <c r="U881" i="7"/>
  <c r="T881" i="7"/>
  <c r="U886" i="7"/>
  <c r="U899" i="7"/>
  <c r="T899" i="7"/>
  <c r="U913" i="7"/>
  <c r="T913" i="7"/>
  <c r="U918" i="7"/>
  <c r="U931" i="7"/>
  <c r="T931" i="7"/>
  <c r="U945" i="7"/>
  <c r="T945" i="7"/>
  <c r="U950" i="7"/>
  <c r="U961" i="7"/>
  <c r="T961" i="7"/>
  <c r="U969" i="7"/>
  <c r="T969" i="7"/>
  <c r="U977" i="7"/>
  <c r="T977" i="7"/>
  <c r="U985" i="7"/>
  <c r="T985" i="7"/>
  <c r="U993" i="7"/>
  <c r="T993" i="7"/>
  <c r="U1001" i="7"/>
  <c r="T1001" i="7"/>
  <c r="U1003" i="7"/>
  <c r="T1003" i="7"/>
  <c r="T1018" i="7"/>
  <c r="U1018" i="7"/>
  <c r="U1033" i="7"/>
  <c r="T1033" i="7"/>
  <c r="U1035" i="7"/>
  <c r="T1035" i="7"/>
  <c r="R90" i="7"/>
  <c r="Q82" i="7"/>
  <c r="T104" i="7"/>
  <c r="T106" i="7"/>
  <c r="T108" i="7"/>
  <c r="T110" i="7"/>
  <c r="T112" i="7"/>
  <c r="T114" i="7"/>
  <c r="T116" i="7"/>
  <c r="T118" i="7"/>
  <c r="T120" i="7"/>
  <c r="T122" i="7"/>
  <c r="T124" i="7"/>
  <c r="T126" i="7"/>
  <c r="T128" i="7"/>
  <c r="T130" i="7"/>
  <c r="T132" i="7"/>
  <c r="T134" i="7"/>
  <c r="T136" i="7"/>
  <c r="T138" i="7"/>
  <c r="T140" i="7"/>
  <c r="T142" i="7"/>
  <c r="T144" i="7"/>
  <c r="T146" i="7"/>
  <c r="T148" i="7"/>
  <c r="T150" i="7"/>
  <c r="T152" i="7"/>
  <c r="T154" i="7"/>
  <c r="T156" i="7"/>
  <c r="T158" i="7"/>
  <c r="T160" i="7"/>
  <c r="T162" i="7"/>
  <c r="T164" i="7"/>
  <c r="T166" i="7"/>
  <c r="T168" i="7"/>
  <c r="T170" i="7"/>
  <c r="T172" i="7"/>
  <c r="T174" i="7"/>
  <c r="T176" i="7"/>
  <c r="T178" i="7"/>
  <c r="T180" i="7"/>
  <c r="T182" i="7"/>
  <c r="T184" i="7"/>
  <c r="T190" i="7"/>
  <c r="T192" i="7"/>
  <c r="T194" i="7"/>
  <c r="T196" i="7"/>
  <c r="T198" i="7"/>
  <c r="T200" i="7"/>
  <c r="T202" i="7"/>
  <c r="T204" i="7"/>
  <c r="T206" i="7"/>
  <c r="T208" i="7"/>
  <c r="T210" i="7"/>
  <c r="T212" i="7"/>
  <c r="T216" i="7"/>
  <c r="T218" i="7"/>
  <c r="T220" i="7"/>
  <c r="T222" i="7"/>
  <c r="T224" i="7"/>
  <c r="T226" i="7"/>
  <c r="T228" i="7"/>
  <c r="T230" i="7"/>
  <c r="T232" i="7"/>
  <c r="T234" i="7"/>
  <c r="T236" i="7"/>
  <c r="T238" i="7"/>
  <c r="T240" i="7"/>
  <c r="T242" i="7"/>
  <c r="T244" i="7"/>
  <c r="T246" i="7"/>
  <c r="T248" i="7"/>
  <c r="T250" i="7"/>
  <c r="T252" i="7"/>
  <c r="T254" i="7"/>
  <c r="T256" i="7"/>
  <c r="T258" i="7"/>
  <c r="T260" i="7"/>
  <c r="T262" i="7"/>
  <c r="T264" i="7"/>
  <c r="T266" i="7"/>
  <c r="T268" i="7"/>
  <c r="T270" i="7"/>
  <c r="T272" i="7"/>
  <c r="T274" i="7"/>
  <c r="T276" i="7"/>
  <c r="T278" i="7"/>
  <c r="T280" i="7"/>
  <c r="T282" i="7"/>
  <c r="T284" i="7"/>
  <c r="T286" i="7"/>
  <c r="T288" i="7"/>
  <c r="T290" i="7"/>
  <c r="T292" i="7"/>
  <c r="T294" i="7"/>
  <c r="T296" i="7"/>
  <c r="T298" i="7"/>
  <c r="T300" i="7"/>
  <c r="T302" i="7"/>
  <c r="T304" i="7"/>
  <c r="T306" i="7"/>
  <c r="T308" i="7"/>
  <c r="T310" i="7"/>
  <c r="T312" i="7"/>
  <c r="T314" i="7"/>
  <c r="T316" i="7"/>
  <c r="T318" i="7"/>
  <c r="T320" i="7"/>
  <c r="T322" i="7"/>
  <c r="T324" i="7"/>
  <c r="T326" i="7"/>
  <c r="T328" i="7"/>
  <c r="T330" i="7"/>
  <c r="T332" i="7"/>
  <c r="T334" i="7"/>
  <c r="T336" i="7"/>
  <c r="T338" i="7"/>
  <c r="T340" i="7"/>
  <c r="T342" i="7"/>
  <c r="T344" i="7"/>
  <c r="T346" i="7"/>
  <c r="T348" i="7"/>
  <c r="T350" i="7"/>
  <c r="T352" i="7"/>
  <c r="T354" i="7"/>
  <c r="T356" i="7"/>
  <c r="T358" i="7"/>
  <c r="T360" i="7"/>
  <c r="T362" i="7"/>
  <c r="T364" i="7"/>
  <c r="T366" i="7"/>
  <c r="T368" i="7"/>
  <c r="T370" i="7"/>
  <c r="T372" i="7"/>
  <c r="T376" i="7"/>
  <c r="T378" i="7"/>
  <c r="T380" i="7"/>
  <c r="T382" i="7"/>
  <c r="T384" i="7"/>
  <c r="T386" i="7"/>
  <c r="T388" i="7"/>
  <c r="T390" i="7"/>
  <c r="T392" i="7"/>
  <c r="T394" i="7"/>
  <c r="T396" i="7"/>
  <c r="T398" i="7"/>
  <c r="T400" i="7"/>
  <c r="T402" i="7"/>
  <c r="T404" i="7"/>
  <c r="T406" i="7"/>
  <c r="T408" i="7"/>
  <c r="T410" i="7"/>
  <c r="T412" i="7"/>
  <c r="T414" i="7"/>
  <c r="T416" i="7"/>
  <c r="T418" i="7"/>
  <c r="T420" i="7"/>
  <c r="T422" i="7"/>
  <c r="T424" i="7"/>
  <c r="T426" i="7"/>
  <c r="T428" i="7"/>
  <c r="T430" i="7"/>
  <c r="T432" i="7"/>
  <c r="T434" i="7"/>
  <c r="T436" i="7"/>
  <c r="T438" i="7"/>
  <c r="T440" i="7"/>
  <c r="T444" i="7"/>
  <c r="T446" i="7"/>
  <c r="T448" i="7"/>
  <c r="T450" i="7"/>
  <c r="T452" i="7"/>
  <c r="T454" i="7"/>
  <c r="T456" i="7"/>
  <c r="T458" i="7"/>
  <c r="T460" i="7"/>
  <c r="T462" i="7"/>
  <c r="T464" i="7"/>
  <c r="T466" i="7"/>
  <c r="T468" i="7"/>
  <c r="T470" i="7"/>
  <c r="T472" i="7"/>
  <c r="T474" i="7"/>
  <c r="T476" i="7"/>
  <c r="T478" i="7"/>
  <c r="T480" i="7"/>
  <c r="T482" i="7"/>
  <c r="T484" i="7"/>
  <c r="T486" i="7"/>
  <c r="T488" i="7"/>
  <c r="T490" i="7"/>
  <c r="T492" i="7"/>
  <c r="T494" i="7"/>
  <c r="T496" i="7"/>
  <c r="T498" i="7"/>
  <c r="T500" i="7"/>
  <c r="T502" i="7"/>
  <c r="T504" i="7"/>
  <c r="T506" i="7"/>
  <c r="T508" i="7"/>
  <c r="T510" i="7"/>
  <c r="T512" i="7"/>
  <c r="T514" i="7"/>
  <c r="T599" i="7"/>
  <c r="T603" i="7"/>
  <c r="T607" i="7"/>
  <c r="T611" i="7"/>
  <c r="T615" i="7"/>
  <c r="T619" i="7"/>
  <c r="T623" i="7"/>
  <c r="T627" i="7"/>
  <c r="T631" i="7"/>
  <c r="T635" i="7"/>
  <c r="T639" i="7"/>
  <c r="T643" i="7"/>
  <c r="T647" i="7"/>
  <c r="T651" i="7"/>
  <c r="T655" i="7"/>
  <c r="T659" i="7"/>
  <c r="T663" i="7"/>
  <c r="T667" i="7"/>
  <c r="T671" i="7"/>
  <c r="T675" i="7"/>
  <c r="T679" i="7"/>
  <c r="T683" i="7"/>
  <c r="T687" i="7"/>
  <c r="T691" i="7"/>
  <c r="T695" i="7"/>
  <c r="T699" i="7"/>
  <c r="T703" i="7"/>
  <c r="T707" i="7"/>
  <c r="T711" i="7"/>
  <c r="T715" i="7"/>
  <c r="T719" i="7"/>
  <c r="T723" i="7"/>
  <c r="T727" i="7"/>
  <c r="T731" i="7"/>
  <c r="T735" i="7"/>
  <c r="T739" i="7"/>
  <c r="T743" i="7"/>
  <c r="T747" i="7"/>
  <c r="T751" i="7"/>
  <c r="T755" i="7"/>
  <c r="T759" i="7"/>
  <c r="T763" i="7"/>
  <c r="T767" i="7"/>
  <c r="T771" i="7"/>
  <c r="T775" i="7"/>
  <c r="T779" i="7"/>
  <c r="T783" i="7"/>
  <c r="T787" i="7"/>
  <c r="T791" i="7"/>
  <c r="T795" i="7"/>
  <c r="T799" i="7"/>
  <c r="T803" i="7"/>
  <c r="T807" i="7"/>
  <c r="U810" i="7"/>
  <c r="R817" i="7"/>
  <c r="U819" i="7"/>
  <c r="T819" i="7"/>
  <c r="T824" i="7"/>
  <c r="U826" i="7"/>
  <c r="R833" i="7"/>
  <c r="U841" i="7"/>
  <c r="T841" i="7"/>
  <c r="U842" i="7"/>
  <c r="T845" i="7"/>
  <c r="T847" i="7"/>
  <c r="T848" i="7"/>
  <c r="T852" i="7"/>
  <c r="R858" i="7"/>
  <c r="U859" i="7"/>
  <c r="T859" i="7"/>
  <c r="R865" i="7"/>
  <c r="U873" i="7"/>
  <c r="T873" i="7"/>
  <c r="U874" i="7"/>
  <c r="T877" i="7"/>
  <c r="T879" i="7"/>
  <c r="T880" i="7"/>
  <c r="T884" i="7"/>
  <c r="R890" i="7"/>
  <c r="U891" i="7"/>
  <c r="T891" i="7"/>
  <c r="R897" i="7"/>
  <c r="U905" i="7"/>
  <c r="T905" i="7"/>
  <c r="U906" i="7"/>
  <c r="T909" i="7"/>
  <c r="T911" i="7"/>
  <c r="T912" i="7"/>
  <c r="T916" i="7"/>
  <c r="R922" i="7"/>
  <c r="U923" i="7"/>
  <c r="T923" i="7"/>
  <c r="R929" i="7"/>
  <c r="U937" i="7"/>
  <c r="T937" i="7"/>
  <c r="U938" i="7"/>
  <c r="T941" i="7"/>
  <c r="T943" i="7"/>
  <c r="T944" i="7"/>
  <c r="T948" i="7"/>
  <c r="R954" i="7"/>
  <c r="U955" i="7"/>
  <c r="T955" i="7"/>
  <c r="Q962" i="7"/>
  <c r="R962" i="7"/>
  <c r="U963" i="7"/>
  <c r="T963" i="7"/>
  <c r="Q970" i="7"/>
  <c r="R970" i="7"/>
  <c r="U971" i="7"/>
  <c r="T971" i="7"/>
  <c r="Q978" i="7"/>
  <c r="R978" i="7"/>
  <c r="U979" i="7"/>
  <c r="T979" i="7"/>
  <c r="Q986" i="7"/>
  <c r="R986" i="7"/>
  <c r="U987" i="7"/>
  <c r="T987" i="7"/>
  <c r="Q994" i="7"/>
  <c r="R994" i="7"/>
  <c r="U995" i="7"/>
  <c r="T995" i="7"/>
  <c r="Q1002" i="7"/>
  <c r="R1002" i="7"/>
  <c r="T1010" i="7"/>
  <c r="U1010" i="7"/>
  <c r="U1025" i="7"/>
  <c r="T1025" i="7"/>
  <c r="U1027" i="7"/>
  <c r="T1027" i="7"/>
  <c r="R98" i="7"/>
  <c r="U823" i="7"/>
  <c r="T823" i="7"/>
  <c r="U833" i="7"/>
  <c r="T833" i="7"/>
  <c r="U851" i="7"/>
  <c r="T851" i="7"/>
  <c r="U865" i="7"/>
  <c r="T865" i="7"/>
  <c r="U883" i="7"/>
  <c r="T883" i="7"/>
  <c r="U897" i="7"/>
  <c r="T897" i="7"/>
  <c r="U915" i="7"/>
  <c r="T915" i="7"/>
  <c r="U929" i="7"/>
  <c r="T929" i="7"/>
  <c r="U947" i="7"/>
  <c r="T947" i="7"/>
  <c r="T1002" i="7"/>
  <c r="U1002" i="7"/>
  <c r="U1017" i="7"/>
  <c r="T1017" i="7"/>
  <c r="U1019" i="7"/>
  <c r="T1019" i="7"/>
  <c r="T1034" i="7"/>
  <c r="U1034" i="7"/>
  <c r="R601" i="7"/>
  <c r="R605" i="7"/>
  <c r="R609" i="7"/>
  <c r="R613" i="7"/>
  <c r="R617" i="7"/>
  <c r="R621" i="7"/>
  <c r="R625" i="7"/>
  <c r="R629" i="7"/>
  <c r="R633" i="7"/>
  <c r="R637" i="7"/>
  <c r="R641" i="7"/>
  <c r="R645" i="7"/>
  <c r="R649" i="7"/>
  <c r="R653" i="7"/>
  <c r="R657" i="7"/>
  <c r="R661" i="7"/>
  <c r="R665" i="7"/>
  <c r="R669" i="7"/>
  <c r="R673" i="7"/>
  <c r="R677" i="7"/>
  <c r="R681" i="7"/>
  <c r="R685" i="7"/>
  <c r="R689" i="7"/>
  <c r="R693" i="7"/>
  <c r="R697" i="7"/>
  <c r="R701" i="7"/>
  <c r="R705" i="7"/>
  <c r="R709" i="7"/>
  <c r="R713" i="7"/>
  <c r="R717" i="7"/>
  <c r="R721" i="7"/>
  <c r="R725" i="7"/>
  <c r="R729" i="7"/>
  <c r="R733" i="7"/>
  <c r="R737" i="7"/>
  <c r="R741" i="7"/>
  <c r="R745" i="7"/>
  <c r="R749" i="7"/>
  <c r="R753" i="7"/>
  <c r="R757" i="7"/>
  <c r="R761" i="7"/>
  <c r="R765" i="7"/>
  <c r="R769" i="7"/>
  <c r="R773" i="7"/>
  <c r="R777" i="7"/>
  <c r="R781" i="7"/>
  <c r="R785" i="7"/>
  <c r="R789" i="7"/>
  <c r="R793" i="7"/>
  <c r="R797" i="7"/>
  <c r="R801" i="7"/>
  <c r="R805" i="7"/>
  <c r="R809" i="7"/>
  <c r="U811" i="7"/>
  <c r="T811" i="7"/>
  <c r="T816" i="7"/>
  <c r="U818" i="7"/>
  <c r="R825" i="7"/>
  <c r="U827" i="7"/>
  <c r="T827" i="7"/>
  <c r="T832" i="7"/>
  <c r="T836" i="7"/>
  <c r="R842" i="7"/>
  <c r="U843" i="7"/>
  <c r="T843" i="7"/>
  <c r="R849" i="7"/>
  <c r="U857" i="7"/>
  <c r="T857" i="7"/>
  <c r="U858" i="7"/>
  <c r="T861" i="7"/>
  <c r="T863" i="7"/>
  <c r="T864" i="7"/>
  <c r="T868" i="7"/>
  <c r="R874" i="7"/>
  <c r="U875" i="7"/>
  <c r="T875" i="7"/>
  <c r="R881" i="7"/>
  <c r="U889" i="7"/>
  <c r="T889" i="7"/>
  <c r="U890" i="7"/>
  <c r="T893" i="7"/>
  <c r="T895" i="7"/>
  <c r="T896" i="7"/>
  <c r="T900" i="7"/>
  <c r="R906" i="7"/>
  <c r="U907" i="7"/>
  <c r="T907" i="7"/>
  <c r="R913" i="7"/>
  <c r="U921" i="7"/>
  <c r="T921" i="7"/>
  <c r="U922" i="7"/>
  <c r="T925" i="7"/>
  <c r="T927" i="7"/>
  <c r="T928" i="7"/>
  <c r="T932" i="7"/>
  <c r="R938" i="7"/>
  <c r="U939" i="7"/>
  <c r="T939" i="7"/>
  <c r="R945" i="7"/>
  <c r="U953" i="7"/>
  <c r="T953" i="7"/>
  <c r="U954" i="7"/>
  <c r="Q961" i="7"/>
  <c r="R961" i="7"/>
  <c r="U962" i="7"/>
  <c r="Q969" i="7"/>
  <c r="R969" i="7"/>
  <c r="U970" i="7"/>
  <c r="Q977" i="7"/>
  <c r="R977" i="7"/>
  <c r="U978" i="7"/>
  <c r="Q985" i="7"/>
  <c r="R985" i="7"/>
  <c r="U986" i="7"/>
  <c r="Q993" i="7"/>
  <c r="R993" i="7"/>
  <c r="U994" i="7"/>
  <c r="Q1001" i="7"/>
  <c r="R1001" i="7"/>
  <c r="U1009" i="7"/>
  <c r="T1009" i="7"/>
  <c r="U1011" i="7"/>
  <c r="T1011" i="7"/>
  <c r="T1026" i="7"/>
  <c r="U1026" i="7"/>
  <c r="U1042" i="7"/>
  <c r="U1050" i="7"/>
  <c r="U1058" i="7"/>
  <c r="U1066" i="7"/>
  <c r="U1074" i="7"/>
  <c r="U1082" i="7"/>
  <c r="U1090" i="7"/>
  <c r="U1098" i="7"/>
  <c r="U1106" i="7"/>
  <c r="U1114" i="7"/>
  <c r="U1122" i="7"/>
  <c r="U1130" i="7"/>
  <c r="U1138" i="7"/>
  <c r="U1146" i="7"/>
  <c r="U1154" i="7"/>
  <c r="U1168" i="7"/>
  <c r="U1172" i="7"/>
  <c r="U1184" i="7"/>
  <c r="U1188" i="7"/>
  <c r="U1200" i="7"/>
  <c r="U1204" i="7"/>
  <c r="U1216" i="7"/>
  <c r="U1220" i="7"/>
  <c r="R1597" i="7"/>
  <c r="R1613" i="7"/>
  <c r="R1629" i="7"/>
  <c r="R1645" i="7"/>
  <c r="R1661" i="7"/>
  <c r="R1677" i="7"/>
  <c r="R1693" i="7"/>
  <c r="R1709" i="7"/>
  <c r="R1725" i="7"/>
  <c r="R1741" i="7"/>
  <c r="R1757" i="7"/>
  <c r="R1773" i="7"/>
  <c r="R1789" i="7"/>
  <c r="R1805" i="7"/>
  <c r="R1821" i="7"/>
  <c r="R1837" i="7"/>
  <c r="R1853" i="7"/>
  <c r="R1869" i="7"/>
  <c r="R1885" i="7"/>
  <c r="R1901" i="7"/>
  <c r="R1917" i="7"/>
  <c r="R1933" i="7"/>
  <c r="R1949" i="7"/>
  <c r="Q1953" i="7"/>
  <c r="R1953" i="7"/>
  <c r="U1955" i="7"/>
  <c r="R1961" i="7"/>
  <c r="R1965" i="7"/>
  <c r="T1967" i="7"/>
  <c r="U1985" i="7"/>
  <c r="R1987" i="7"/>
  <c r="U1997" i="7"/>
  <c r="T2002" i="7"/>
  <c r="Q2005" i="7"/>
  <c r="U2007" i="7"/>
  <c r="R2013" i="7"/>
  <c r="Q2013" i="7"/>
  <c r="U2015" i="7"/>
  <c r="U2021" i="7"/>
  <c r="Q2035" i="7"/>
  <c r="R2035" i="7"/>
  <c r="T2042" i="7"/>
  <c r="T2043" i="7"/>
  <c r="R2048" i="7"/>
  <c r="T2049" i="7"/>
  <c r="U2049" i="7"/>
  <c r="U2073" i="7"/>
  <c r="T2073" i="7"/>
  <c r="Q2080" i="7"/>
  <c r="R2080" i="7"/>
  <c r="Q2091" i="7"/>
  <c r="R2091" i="7"/>
  <c r="U2106" i="7"/>
  <c r="T2106" i="7"/>
  <c r="U2137" i="7"/>
  <c r="T2137" i="7"/>
  <c r="Q2144" i="7"/>
  <c r="R2144" i="7"/>
  <c r="U2151" i="7"/>
  <c r="T2151" i="7"/>
  <c r="Q2163" i="7"/>
  <c r="R2163" i="7"/>
  <c r="U2167" i="7"/>
  <c r="T2167" i="7"/>
  <c r="R1009" i="7"/>
  <c r="R1010" i="7"/>
  <c r="R1017" i="7"/>
  <c r="R1018" i="7"/>
  <c r="R1025" i="7"/>
  <c r="R1026" i="7"/>
  <c r="R1033" i="7"/>
  <c r="R1034" i="7"/>
  <c r="R1041" i="7"/>
  <c r="R1042" i="7"/>
  <c r="R1049" i="7"/>
  <c r="R1050" i="7"/>
  <c r="R1057" i="7"/>
  <c r="R1058" i="7"/>
  <c r="R1065" i="7"/>
  <c r="R1066" i="7"/>
  <c r="R1073" i="7"/>
  <c r="R1074" i="7"/>
  <c r="R1081" i="7"/>
  <c r="R1082" i="7"/>
  <c r="R1089" i="7"/>
  <c r="R1090" i="7"/>
  <c r="R1097" i="7"/>
  <c r="R1098" i="7"/>
  <c r="R1105" i="7"/>
  <c r="R1106" i="7"/>
  <c r="R1113" i="7"/>
  <c r="R1114" i="7"/>
  <c r="R1121" i="7"/>
  <c r="R1122" i="7"/>
  <c r="R1129" i="7"/>
  <c r="R1130" i="7"/>
  <c r="R1137" i="7"/>
  <c r="R1138" i="7"/>
  <c r="R1145" i="7"/>
  <c r="R1146" i="7"/>
  <c r="R1153" i="7"/>
  <c r="R1154" i="7"/>
  <c r="T1159" i="7"/>
  <c r="T1165" i="7"/>
  <c r="T1181" i="7"/>
  <c r="T1197" i="7"/>
  <c r="T1213" i="7"/>
  <c r="T1229" i="7"/>
  <c r="T1231" i="7"/>
  <c r="T1233" i="7"/>
  <c r="T1235" i="7"/>
  <c r="T1237" i="7"/>
  <c r="T1239" i="7"/>
  <c r="T1241" i="7"/>
  <c r="T1243" i="7"/>
  <c r="T1245" i="7"/>
  <c r="T1247" i="7"/>
  <c r="T1249" i="7"/>
  <c r="T1251" i="7"/>
  <c r="T1253" i="7"/>
  <c r="T1255" i="7"/>
  <c r="T1257" i="7"/>
  <c r="T1259" i="7"/>
  <c r="T1261" i="7"/>
  <c r="T1263" i="7"/>
  <c r="T1265" i="7"/>
  <c r="T1267" i="7"/>
  <c r="T1269" i="7"/>
  <c r="T1271" i="7"/>
  <c r="R1981" i="7"/>
  <c r="Q1981" i="7"/>
  <c r="Q2003" i="7"/>
  <c r="R2003" i="7"/>
  <c r="U2018" i="7"/>
  <c r="T2018" i="7"/>
  <c r="Q2033" i="7"/>
  <c r="R2033" i="7"/>
  <c r="T2051" i="7"/>
  <c r="U2051" i="7"/>
  <c r="T2061" i="7"/>
  <c r="U2061" i="7"/>
  <c r="Q2072" i="7"/>
  <c r="R2072" i="7"/>
  <c r="U2075" i="7"/>
  <c r="T2075" i="7"/>
  <c r="R2133" i="7"/>
  <c r="Q2133" i="7"/>
  <c r="Q2136" i="7"/>
  <c r="R2136" i="7"/>
  <c r="U2139" i="7"/>
  <c r="T2139" i="7"/>
  <c r="R1589" i="7"/>
  <c r="T1591" i="7"/>
  <c r="T1597" i="7"/>
  <c r="R1605" i="7"/>
  <c r="T1607" i="7"/>
  <c r="T1613" i="7"/>
  <c r="R1621" i="7"/>
  <c r="T1623" i="7"/>
  <c r="T1629" i="7"/>
  <c r="R1637" i="7"/>
  <c r="T1639" i="7"/>
  <c r="T1645" i="7"/>
  <c r="R1653" i="7"/>
  <c r="T1655" i="7"/>
  <c r="T1661" i="7"/>
  <c r="R1669" i="7"/>
  <c r="T1671" i="7"/>
  <c r="T1677" i="7"/>
  <c r="R1685" i="7"/>
  <c r="T1687" i="7"/>
  <c r="T1693" i="7"/>
  <c r="R1701" i="7"/>
  <c r="T1703" i="7"/>
  <c r="T1709" i="7"/>
  <c r="R1717" i="7"/>
  <c r="T1719" i="7"/>
  <c r="T1725" i="7"/>
  <c r="R1733" i="7"/>
  <c r="T1735" i="7"/>
  <c r="T1741" i="7"/>
  <c r="R1749" i="7"/>
  <c r="T1751" i="7"/>
  <c r="T1757" i="7"/>
  <c r="R1765" i="7"/>
  <c r="T1767" i="7"/>
  <c r="T1773" i="7"/>
  <c r="R1781" i="7"/>
  <c r="T1783" i="7"/>
  <c r="T1789" i="7"/>
  <c r="R1797" i="7"/>
  <c r="T1799" i="7"/>
  <c r="T1805" i="7"/>
  <c r="R1813" i="7"/>
  <c r="T1815" i="7"/>
  <c r="T1821" i="7"/>
  <c r="R1829" i="7"/>
  <c r="T1831" i="7"/>
  <c r="T1837" i="7"/>
  <c r="R1845" i="7"/>
  <c r="T1847" i="7"/>
  <c r="T1853" i="7"/>
  <c r="R1861" i="7"/>
  <c r="T1863" i="7"/>
  <c r="T1869" i="7"/>
  <c r="R1877" i="7"/>
  <c r="T1879" i="7"/>
  <c r="T1885" i="7"/>
  <c r="R1893" i="7"/>
  <c r="T1895" i="7"/>
  <c r="T1901" i="7"/>
  <c r="R1909" i="7"/>
  <c r="T1911" i="7"/>
  <c r="T1917" i="7"/>
  <c r="R1925" i="7"/>
  <c r="T1927" i="7"/>
  <c r="T1933" i="7"/>
  <c r="R1941" i="7"/>
  <c r="T1943" i="7"/>
  <c r="T1949" i="7"/>
  <c r="T1953" i="7"/>
  <c r="T1957" i="7"/>
  <c r="U1961" i="7"/>
  <c r="Q1971" i="7"/>
  <c r="R1971" i="7"/>
  <c r="T1978" i="7"/>
  <c r="T1979" i="7"/>
  <c r="R1985" i="7"/>
  <c r="U1986" i="7"/>
  <c r="T1986" i="7"/>
  <c r="U1987" i="7"/>
  <c r="T1991" i="7"/>
  <c r="Q1997" i="7"/>
  <c r="Q2001" i="7"/>
  <c r="R2001" i="7"/>
  <c r="T2005" i="7"/>
  <c r="R2008" i="7"/>
  <c r="T2009" i="7"/>
  <c r="T2013" i="7"/>
  <c r="R2016" i="7"/>
  <c r="R2027" i="7"/>
  <c r="T2035" i="7"/>
  <c r="T2047" i="7"/>
  <c r="U2047" i="7"/>
  <c r="U2050" i="7"/>
  <c r="T2050" i="7"/>
  <c r="Q2067" i="7"/>
  <c r="R2067" i="7"/>
  <c r="U2074" i="7"/>
  <c r="T2074" i="7"/>
  <c r="U2105" i="7"/>
  <c r="T2105" i="7"/>
  <c r="Q2112" i="7"/>
  <c r="R2112" i="7"/>
  <c r="Q2123" i="7"/>
  <c r="R2123" i="7"/>
  <c r="U2138" i="7"/>
  <c r="T2138" i="7"/>
  <c r="Q2155" i="7"/>
  <c r="R2155" i="7"/>
  <c r="U2159" i="7"/>
  <c r="T2159" i="7"/>
  <c r="Q2171" i="7"/>
  <c r="R2171" i="7"/>
  <c r="T1041" i="7"/>
  <c r="T1043" i="7"/>
  <c r="T1049" i="7"/>
  <c r="T1051" i="7"/>
  <c r="T1057" i="7"/>
  <c r="T1059" i="7"/>
  <c r="T1065" i="7"/>
  <c r="T1067" i="7"/>
  <c r="T1073" i="7"/>
  <c r="T1075" i="7"/>
  <c r="T1081" i="7"/>
  <c r="T1083" i="7"/>
  <c r="T1089" i="7"/>
  <c r="T1091" i="7"/>
  <c r="T1097" i="7"/>
  <c r="T1099" i="7"/>
  <c r="T1105" i="7"/>
  <c r="T1107" i="7"/>
  <c r="T1113" i="7"/>
  <c r="T1115" i="7"/>
  <c r="T1121" i="7"/>
  <c r="T1123" i="7"/>
  <c r="T1129" i="7"/>
  <c r="T1131" i="7"/>
  <c r="T1137" i="7"/>
  <c r="T1139" i="7"/>
  <c r="T1145" i="7"/>
  <c r="T1147" i="7"/>
  <c r="T1153" i="7"/>
  <c r="T1155" i="7"/>
  <c r="R1160" i="7"/>
  <c r="T1173" i="7"/>
  <c r="T1189" i="7"/>
  <c r="T1205" i="7"/>
  <c r="T1221" i="7"/>
  <c r="R1230" i="7"/>
  <c r="R1232" i="7"/>
  <c r="R1234" i="7"/>
  <c r="R1236" i="7"/>
  <c r="R1238" i="7"/>
  <c r="R1240" i="7"/>
  <c r="R1242" i="7"/>
  <c r="R1244" i="7"/>
  <c r="R1246" i="7"/>
  <c r="R1248" i="7"/>
  <c r="R1250" i="7"/>
  <c r="R1252" i="7"/>
  <c r="R1254" i="7"/>
  <c r="R1256" i="7"/>
  <c r="R1258" i="7"/>
  <c r="R1260" i="7"/>
  <c r="R1262" i="7"/>
  <c r="R1264" i="7"/>
  <c r="R1266" i="7"/>
  <c r="R1268" i="7"/>
  <c r="R1270" i="7"/>
  <c r="R1272" i="7"/>
  <c r="R1274" i="7"/>
  <c r="R1276" i="7"/>
  <c r="R1278" i="7"/>
  <c r="R1280" i="7"/>
  <c r="R1282" i="7"/>
  <c r="R1284" i="7"/>
  <c r="R1286" i="7"/>
  <c r="R1288" i="7"/>
  <c r="R1290" i="7"/>
  <c r="R1292" i="7"/>
  <c r="R1294" i="7"/>
  <c r="R1296" i="7"/>
  <c r="R1298" i="7"/>
  <c r="R1300" i="7"/>
  <c r="R1302" i="7"/>
  <c r="R1304" i="7"/>
  <c r="R1306" i="7"/>
  <c r="R1308" i="7"/>
  <c r="R1310" i="7"/>
  <c r="R1312" i="7"/>
  <c r="R1314" i="7"/>
  <c r="R1316" i="7"/>
  <c r="R1318" i="7"/>
  <c r="R1320" i="7"/>
  <c r="R1322" i="7"/>
  <c r="R1324" i="7"/>
  <c r="R1326" i="7"/>
  <c r="R1328" i="7"/>
  <c r="R1330" i="7"/>
  <c r="R1332" i="7"/>
  <c r="R1334" i="7"/>
  <c r="R1336" i="7"/>
  <c r="R1338" i="7"/>
  <c r="R1340" i="7"/>
  <c r="R1342" i="7"/>
  <c r="R1344" i="7"/>
  <c r="R1346" i="7"/>
  <c r="R1348" i="7"/>
  <c r="R1350" i="7"/>
  <c r="R1352" i="7"/>
  <c r="R1354" i="7"/>
  <c r="R1356" i="7"/>
  <c r="R1358" i="7"/>
  <c r="R1360" i="7"/>
  <c r="R1362" i="7"/>
  <c r="R1364" i="7"/>
  <c r="R1366" i="7"/>
  <c r="R1368" i="7"/>
  <c r="R1370" i="7"/>
  <c r="R1372" i="7"/>
  <c r="R1374" i="7"/>
  <c r="R1376" i="7"/>
  <c r="R1378" i="7"/>
  <c r="R1380" i="7"/>
  <c r="R1382" i="7"/>
  <c r="R1384" i="7"/>
  <c r="R1386" i="7"/>
  <c r="R1388" i="7"/>
  <c r="R1390" i="7"/>
  <c r="R1392" i="7"/>
  <c r="R1394" i="7"/>
  <c r="R1396" i="7"/>
  <c r="R1398" i="7"/>
  <c r="R1400" i="7"/>
  <c r="R1402" i="7"/>
  <c r="R1404" i="7"/>
  <c r="R1406" i="7"/>
  <c r="R1408" i="7"/>
  <c r="R1410" i="7"/>
  <c r="R1412" i="7"/>
  <c r="R1414" i="7"/>
  <c r="R1416" i="7"/>
  <c r="R1418" i="7"/>
  <c r="R1420" i="7"/>
  <c r="R1422" i="7"/>
  <c r="R1424" i="7"/>
  <c r="R1426" i="7"/>
  <c r="R1428" i="7"/>
  <c r="R1430" i="7"/>
  <c r="R1432" i="7"/>
  <c r="R1434" i="7"/>
  <c r="R1436" i="7"/>
  <c r="R1438" i="7"/>
  <c r="R1440" i="7"/>
  <c r="R1442" i="7"/>
  <c r="R1444" i="7"/>
  <c r="R1446" i="7"/>
  <c r="R1448" i="7"/>
  <c r="R1450" i="7"/>
  <c r="R1452" i="7"/>
  <c r="R1454" i="7"/>
  <c r="R1456" i="7"/>
  <c r="R1458" i="7"/>
  <c r="R1460" i="7"/>
  <c r="R1462" i="7"/>
  <c r="R1464" i="7"/>
  <c r="R1466" i="7"/>
  <c r="R1468" i="7"/>
  <c r="R1470" i="7"/>
  <c r="R1472" i="7"/>
  <c r="R1474" i="7"/>
  <c r="R1476" i="7"/>
  <c r="R1478" i="7"/>
  <c r="R1480" i="7"/>
  <c r="R1482" i="7"/>
  <c r="R1484" i="7"/>
  <c r="R1486" i="7"/>
  <c r="R1488" i="7"/>
  <c r="R1490" i="7"/>
  <c r="R1492" i="7"/>
  <c r="R1494" i="7"/>
  <c r="R1496" i="7"/>
  <c r="R1498" i="7"/>
  <c r="R1500" i="7"/>
  <c r="Q1969" i="7"/>
  <c r="R1969" i="7"/>
  <c r="R2045" i="7"/>
  <c r="Q2045" i="7"/>
  <c r="T2053" i="7"/>
  <c r="U2053" i="7"/>
  <c r="Q2065" i="7"/>
  <c r="R2065" i="7"/>
  <c r="R2101" i="7"/>
  <c r="Q2101" i="7"/>
  <c r="Q2104" i="7"/>
  <c r="R2104" i="7"/>
  <c r="U2107" i="7"/>
  <c r="T2107" i="7"/>
  <c r="U2071" i="7"/>
  <c r="U2079" i="7"/>
  <c r="U2081" i="7"/>
  <c r="U2083" i="7"/>
  <c r="U2085" i="7"/>
  <c r="U2093" i="7"/>
  <c r="U2103" i="7"/>
  <c r="U2111" i="7"/>
  <c r="U2113" i="7"/>
  <c r="U2115" i="7"/>
  <c r="U2117" i="7"/>
  <c r="U2125" i="7"/>
  <c r="U2135" i="7"/>
  <c r="U2143" i="7"/>
  <c r="U2145" i="7"/>
  <c r="U2147" i="7"/>
  <c r="U2149" i="7"/>
  <c r="U2157" i="7"/>
  <c r="U2165" i="7"/>
  <c r="U2173" i="7"/>
  <c r="U2181" i="7"/>
  <c r="U2189" i="7"/>
  <c r="U2197" i="7"/>
  <c r="U2205" i="7"/>
  <c r="U2211" i="7"/>
  <c r="U2221" i="7"/>
  <c r="U2227" i="7"/>
  <c r="U2237" i="7"/>
  <c r="U2243" i="7"/>
  <c r="U2253" i="7"/>
  <c r="U2259" i="7"/>
  <c r="U2269" i="7"/>
  <c r="U2275" i="7"/>
  <c r="U2285" i="7"/>
  <c r="U2291" i="7"/>
  <c r="U2301" i="7"/>
  <c r="U2307" i="7"/>
  <c r="U2317" i="7"/>
  <c r="U2323" i="7"/>
  <c r="U2333" i="7"/>
  <c r="U2339" i="7"/>
  <c r="U2349" i="7"/>
  <c r="U2355" i="7"/>
  <c r="U2365" i="7"/>
  <c r="U2373" i="7"/>
  <c r="U2381" i="7"/>
  <c r="U2389" i="7"/>
  <c r="U2397" i="7"/>
  <c r="U2405" i="7"/>
  <c r="U2413" i="7"/>
  <c r="U2421" i="7"/>
  <c r="U2429" i="7"/>
  <c r="U2437" i="7"/>
  <c r="U2445" i="7"/>
  <c r="U2453" i="7"/>
  <c r="U2461" i="7"/>
  <c r="U2469" i="7"/>
  <c r="U2477" i="7"/>
  <c r="U2485" i="7"/>
  <c r="U2493" i="7"/>
  <c r="U2501" i="7"/>
  <c r="U2509" i="7"/>
  <c r="U2517" i="7"/>
  <c r="U2525" i="7"/>
  <c r="U2533" i="7"/>
  <c r="U2541" i="7"/>
  <c r="U2549" i="7"/>
  <c r="U2557" i="7"/>
  <c r="U2565" i="7"/>
  <c r="U2573" i="7"/>
  <c r="U2581" i="7"/>
  <c r="U2589" i="7"/>
  <c r="U2597" i="7"/>
  <c r="U2605" i="7"/>
  <c r="U2613" i="7"/>
  <c r="U2621" i="7"/>
  <c r="U2629" i="7"/>
  <c r="U2637" i="7"/>
  <c r="U2645" i="7"/>
  <c r="U2653" i="7"/>
  <c r="U2661" i="7"/>
  <c r="U2669" i="7"/>
  <c r="U2677" i="7"/>
  <c r="U2829" i="7"/>
  <c r="T2829" i="7"/>
  <c r="U2833" i="7"/>
  <c r="T2833" i="7"/>
  <c r="Q2838" i="7"/>
  <c r="R2838" i="7"/>
  <c r="Q2846" i="7"/>
  <c r="R2846" i="7"/>
  <c r="Q2809" i="7"/>
  <c r="R2810" i="7"/>
  <c r="U2813" i="7"/>
  <c r="Q2817" i="7"/>
  <c r="R2818" i="7"/>
  <c r="U2821" i="7"/>
  <c r="Q2825" i="7"/>
  <c r="R2826" i="7"/>
  <c r="Q2840" i="7"/>
  <c r="R2840" i="7"/>
  <c r="Q2848" i="7"/>
  <c r="R2848" i="7"/>
  <c r="T2175" i="7"/>
  <c r="R2179" i="7"/>
  <c r="T2183" i="7"/>
  <c r="R2187" i="7"/>
  <c r="T2191" i="7"/>
  <c r="R2195" i="7"/>
  <c r="T2199" i="7"/>
  <c r="R2203" i="7"/>
  <c r="T2207" i="7"/>
  <c r="R2215" i="7"/>
  <c r="T2217" i="7"/>
  <c r="T2223" i="7"/>
  <c r="R2231" i="7"/>
  <c r="T2233" i="7"/>
  <c r="T2239" i="7"/>
  <c r="R2247" i="7"/>
  <c r="T2249" i="7"/>
  <c r="T2255" i="7"/>
  <c r="R2263" i="7"/>
  <c r="T2265" i="7"/>
  <c r="T2271" i="7"/>
  <c r="R2279" i="7"/>
  <c r="T2281" i="7"/>
  <c r="T2287" i="7"/>
  <c r="R2295" i="7"/>
  <c r="T2297" i="7"/>
  <c r="T2303" i="7"/>
  <c r="R2311" i="7"/>
  <c r="T2313" i="7"/>
  <c r="T2319" i="7"/>
  <c r="R2327" i="7"/>
  <c r="T2329" i="7"/>
  <c r="T2335" i="7"/>
  <c r="R2343" i="7"/>
  <c r="T2345" i="7"/>
  <c r="T2351" i="7"/>
  <c r="R2359" i="7"/>
  <c r="T2361" i="7"/>
  <c r="R2366" i="7"/>
  <c r="T2367" i="7"/>
  <c r="R2374" i="7"/>
  <c r="T2375" i="7"/>
  <c r="R2382" i="7"/>
  <c r="T2383" i="7"/>
  <c r="R2390" i="7"/>
  <c r="T2391" i="7"/>
  <c r="R2398" i="7"/>
  <c r="T2399" i="7"/>
  <c r="R2406" i="7"/>
  <c r="T2407" i="7"/>
  <c r="R2414" i="7"/>
  <c r="T2415" i="7"/>
  <c r="R2422" i="7"/>
  <c r="T2423" i="7"/>
  <c r="R2430" i="7"/>
  <c r="T2431" i="7"/>
  <c r="R2438" i="7"/>
  <c r="T2439" i="7"/>
  <c r="R2446" i="7"/>
  <c r="T2447" i="7"/>
  <c r="R2454" i="7"/>
  <c r="T2455" i="7"/>
  <c r="R2462" i="7"/>
  <c r="T2463" i="7"/>
  <c r="R2470" i="7"/>
  <c r="T2471" i="7"/>
  <c r="R2478" i="7"/>
  <c r="T2479" i="7"/>
  <c r="R2486" i="7"/>
  <c r="T2487" i="7"/>
  <c r="R2494" i="7"/>
  <c r="T2495" i="7"/>
  <c r="R2502" i="7"/>
  <c r="T2503" i="7"/>
  <c r="R2510" i="7"/>
  <c r="T2511" i="7"/>
  <c r="R2518" i="7"/>
  <c r="T2519" i="7"/>
  <c r="R2526" i="7"/>
  <c r="T2527" i="7"/>
  <c r="R2534" i="7"/>
  <c r="T2535" i="7"/>
  <c r="R2542" i="7"/>
  <c r="T2543" i="7"/>
  <c r="R2550" i="7"/>
  <c r="T2551" i="7"/>
  <c r="R2558" i="7"/>
  <c r="T2559" i="7"/>
  <c r="R2566" i="7"/>
  <c r="T2567" i="7"/>
  <c r="R2574" i="7"/>
  <c r="T2575" i="7"/>
  <c r="R2582" i="7"/>
  <c r="T2583" i="7"/>
  <c r="R2590" i="7"/>
  <c r="T2591" i="7"/>
  <c r="R2598" i="7"/>
  <c r="T2599" i="7"/>
  <c r="R2606" i="7"/>
  <c r="T2607" i="7"/>
  <c r="R2614" i="7"/>
  <c r="T2615" i="7"/>
  <c r="R2622" i="7"/>
  <c r="T2623" i="7"/>
  <c r="R2630" i="7"/>
  <c r="T2631" i="7"/>
  <c r="R2638" i="7"/>
  <c r="T2639" i="7"/>
  <c r="R2646" i="7"/>
  <c r="T2647" i="7"/>
  <c r="R2654" i="7"/>
  <c r="T2655" i="7"/>
  <c r="R2662" i="7"/>
  <c r="T2663" i="7"/>
  <c r="R2670" i="7"/>
  <c r="T2671" i="7"/>
  <c r="R2678" i="7"/>
  <c r="T2679" i="7"/>
  <c r="Q2685" i="7"/>
  <c r="Q2687" i="7"/>
  <c r="Q2689" i="7"/>
  <c r="Q2691" i="7"/>
  <c r="Q2693" i="7"/>
  <c r="Q2695" i="7"/>
  <c r="Q2697" i="7"/>
  <c r="Q2699" i="7"/>
  <c r="Q2701" i="7"/>
  <c r="Q2703" i="7"/>
  <c r="Q2705" i="7"/>
  <c r="Q2707" i="7"/>
  <c r="Q2709" i="7"/>
  <c r="Q2711" i="7"/>
  <c r="Q2713" i="7"/>
  <c r="Q2715" i="7"/>
  <c r="Q2717" i="7"/>
  <c r="Q2719" i="7"/>
  <c r="Q2721" i="7"/>
  <c r="Q2723" i="7"/>
  <c r="Q2725" i="7"/>
  <c r="Q2727" i="7"/>
  <c r="Q2729" i="7"/>
  <c r="Q2731" i="7"/>
  <c r="Q2733" i="7"/>
  <c r="Q2735" i="7"/>
  <c r="Q2737" i="7"/>
  <c r="Q2739" i="7"/>
  <c r="Q2741" i="7"/>
  <c r="Q2743" i="7"/>
  <c r="Q2745" i="7"/>
  <c r="Q2747" i="7"/>
  <c r="Q2749" i="7"/>
  <c r="Q2751" i="7"/>
  <c r="Q2753" i="7"/>
  <c r="Q2755" i="7"/>
  <c r="Q2757" i="7"/>
  <c r="Q2759" i="7"/>
  <c r="Q2761" i="7"/>
  <c r="Q2763" i="7"/>
  <c r="Q2765" i="7"/>
  <c r="Q2767" i="7"/>
  <c r="U2831" i="7"/>
  <c r="T2831" i="7"/>
  <c r="Q2842" i="7"/>
  <c r="R2842" i="7"/>
  <c r="Q2850" i="7"/>
  <c r="R2850" i="7"/>
  <c r="Q2077" i="7"/>
  <c r="T2082" i="7"/>
  <c r="R2097" i="7"/>
  <c r="R2099" i="7"/>
  <c r="Q2109" i="7"/>
  <c r="T2114" i="7"/>
  <c r="R2129" i="7"/>
  <c r="R2131" i="7"/>
  <c r="Q2141" i="7"/>
  <c r="T2146" i="7"/>
  <c r="R2156" i="7"/>
  <c r="R2164" i="7"/>
  <c r="R2172" i="7"/>
  <c r="R2180" i="7"/>
  <c r="R2188" i="7"/>
  <c r="R2196" i="7"/>
  <c r="R2204" i="7"/>
  <c r="R2219" i="7"/>
  <c r="R2235" i="7"/>
  <c r="R2251" i="7"/>
  <c r="R2267" i="7"/>
  <c r="R2283" i="7"/>
  <c r="R2299" i="7"/>
  <c r="R2315" i="7"/>
  <c r="R2331" i="7"/>
  <c r="R2347" i="7"/>
  <c r="R2364" i="7"/>
  <c r="R2372" i="7"/>
  <c r="R2380" i="7"/>
  <c r="R2388" i="7"/>
  <c r="R2396" i="7"/>
  <c r="R2404" i="7"/>
  <c r="R2412" i="7"/>
  <c r="R2420" i="7"/>
  <c r="R2428" i="7"/>
  <c r="R2436" i="7"/>
  <c r="R2444" i="7"/>
  <c r="R2452" i="7"/>
  <c r="R2460" i="7"/>
  <c r="R2468" i="7"/>
  <c r="R2476" i="7"/>
  <c r="R2484" i="7"/>
  <c r="R2492" i="7"/>
  <c r="R2500" i="7"/>
  <c r="R2508" i="7"/>
  <c r="R2516" i="7"/>
  <c r="R2524" i="7"/>
  <c r="R2532" i="7"/>
  <c r="R2540" i="7"/>
  <c r="R2548" i="7"/>
  <c r="R2556" i="7"/>
  <c r="R2564" i="7"/>
  <c r="R2572" i="7"/>
  <c r="R2580" i="7"/>
  <c r="R2588" i="7"/>
  <c r="R2596" i="7"/>
  <c r="R2604" i="7"/>
  <c r="R2612" i="7"/>
  <c r="R2620" i="7"/>
  <c r="R2628" i="7"/>
  <c r="R2636" i="7"/>
  <c r="R2644" i="7"/>
  <c r="R2652" i="7"/>
  <c r="R2660" i="7"/>
  <c r="R2668" i="7"/>
  <c r="R2676" i="7"/>
  <c r="R2684" i="7"/>
  <c r="R2686" i="7"/>
  <c r="R2688" i="7"/>
  <c r="R2690" i="7"/>
  <c r="R2692" i="7"/>
  <c r="R2694" i="7"/>
  <c r="R2696" i="7"/>
  <c r="R2698" i="7"/>
  <c r="R2700" i="7"/>
  <c r="R2702" i="7"/>
  <c r="R2704" i="7"/>
  <c r="R2706" i="7"/>
  <c r="R2708" i="7"/>
  <c r="R2710" i="7"/>
  <c r="R2712" i="7"/>
  <c r="R2714" i="7"/>
  <c r="R2716" i="7"/>
  <c r="R2718" i="7"/>
  <c r="R2720" i="7"/>
  <c r="R2722" i="7"/>
  <c r="R2724" i="7"/>
  <c r="R2726" i="7"/>
  <c r="R2728" i="7"/>
  <c r="R2730" i="7"/>
  <c r="R2732" i="7"/>
  <c r="R2734" i="7"/>
  <c r="R2736" i="7"/>
  <c r="R2738" i="7"/>
  <c r="R2740" i="7"/>
  <c r="R2742" i="7"/>
  <c r="R2744" i="7"/>
  <c r="R2746" i="7"/>
  <c r="R2748" i="7"/>
  <c r="R2750" i="7"/>
  <c r="R2752" i="7"/>
  <c r="R2754" i="7"/>
  <c r="R2756" i="7"/>
  <c r="R2758" i="7"/>
  <c r="R2760" i="7"/>
  <c r="R2762" i="7"/>
  <c r="R2764" i="7"/>
  <c r="R2766" i="7"/>
  <c r="R2768" i="7"/>
  <c r="R2770" i="7"/>
  <c r="R2772" i="7"/>
  <c r="R2774" i="7"/>
  <c r="R2776" i="7"/>
  <c r="R2778" i="7"/>
  <c r="R2780" i="7"/>
  <c r="R2782" i="7"/>
  <c r="R2784" i="7"/>
  <c r="R2786" i="7"/>
  <c r="R2788" i="7"/>
  <c r="R2790" i="7"/>
  <c r="R2792" i="7"/>
  <c r="R2794" i="7"/>
  <c r="R2796" i="7"/>
  <c r="R2798" i="7"/>
  <c r="R2800" i="7"/>
  <c r="R2802" i="7"/>
  <c r="R2804" i="7"/>
  <c r="R2806" i="7"/>
  <c r="U2809" i="7"/>
  <c r="Q2813" i="7"/>
  <c r="R2814" i="7"/>
  <c r="U2817" i="7"/>
  <c r="Q2821" i="7"/>
  <c r="R2822" i="7"/>
  <c r="U2825" i="7"/>
  <c r="Q2836" i="7"/>
  <c r="R2836" i="7"/>
  <c r="Q2844" i="7"/>
  <c r="R2844" i="7"/>
  <c r="T2835" i="7"/>
  <c r="T2837" i="7"/>
  <c r="T2839" i="7"/>
  <c r="T2841" i="7"/>
  <c r="T2843" i="7"/>
  <c r="T2845" i="7"/>
  <c r="T2847" i="7"/>
  <c r="T2849" i="7"/>
  <c r="T2851" i="7"/>
  <c r="T2853" i="7"/>
  <c r="T2855" i="7"/>
  <c r="T2857" i="7"/>
  <c r="T2859" i="7"/>
  <c r="T2861" i="7"/>
  <c r="T2863" i="7"/>
  <c r="T2865" i="7"/>
  <c r="T2867" i="7"/>
  <c r="T2869" i="7"/>
  <c r="T2871" i="7"/>
  <c r="T2873" i="7"/>
  <c r="T2875" i="7"/>
  <c r="T2877" i="7"/>
  <c r="T2879" i="7"/>
  <c r="T2881" i="7"/>
  <c r="T2883" i="7"/>
  <c r="T2885" i="7"/>
  <c r="T2887" i="7"/>
  <c r="T2889" i="7"/>
  <c r="T2891" i="7"/>
  <c r="Q2895" i="7"/>
  <c r="Q2896" i="7"/>
  <c r="R2896" i="7"/>
  <c r="Q2903" i="7"/>
  <c r="Q2904" i="7"/>
  <c r="R2904" i="7"/>
  <c r="Q2911" i="7"/>
  <c r="Q2912" i="7"/>
  <c r="R2912" i="7"/>
  <c r="Q2919" i="7"/>
  <c r="Q2920" i="7"/>
  <c r="R2920" i="7"/>
  <c r="Q2927" i="7"/>
  <c r="Q2928" i="7"/>
  <c r="R2928" i="7"/>
  <c r="U2936" i="7"/>
  <c r="R2938" i="7"/>
  <c r="R2939" i="7"/>
  <c r="Q2944" i="7"/>
  <c r="U2945" i="7"/>
  <c r="T2945" i="7"/>
  <c r="U2946" i="7"/>
  <c r="U2952" i="7"/>
  <c r="R2954" i="7"/>
  <c r="R2955" i="7"/>
  <c r="Q2960" i="7"/>
  <c r="U2961" i="7"/>
  <c r="T2961" i="7"/>
  <c r="U2962" i="7"/>
  <c r="U2968" i="7"/>
  <c r="R2970" i="7"/>
  <c r="Q2976" i="7"/>
  <c r="U2977" i="7"/>
  <c r="T2977" i="7"/>
  <c r="U2978" i="7"/>
  <c r="U2984" i="7"/>
  <c r="R2986" i="7"/>
  <c r="R2987" i="7"/>
  <c r="Q2992" i="7"/>
  <c r="U2993" i="7"/>
  <c r="T2993" i="7"/>
  <c r="R2999" i="7"/>
  <c r="U3000" i="7"/>
  <c r="T3000" i="7"/>
  <c r="U3006" i="7"/>
  <c r="T3006" i="7"/>
  <c r="U3009" i="7"/>
  <c r="T3009" i="7"/>
  <c r="R3015" i="7"/>
  <c r="U3016" i="7"/>
  <c r="T3016" i="7"/>
  <c r="U3022" i="7"/>
  <c r="T3022" i="7"/>
  <c r="U3025" i="7"/>
  <c r="T3025" i="7"/>
  <c r="R3031" i="7"/>
  <c r="U3032" i="7"/>
  <c r="T3032" i="7"/>
  <c r="U3038" i="7"/>
  <c r="T3038" i="7"/>
  <c r="U3041" i="7"/>
  <c r="T3041" i="7"/>
  <c r="R3047" i="7"/>
  <c r="U3048" i="7"/>
  <c r="T3048" i="7"/>
  <c r="U3054" i="7"/>
  <c r="T3054" i="7"/>
  <c r="U3057" i="7"/>
  <c r="T3057" i="7"/>
  <c r="U3064" i="7"/>
  <c r="T3064" i="7"/>
  <c r="U3070" i="7"/>
  <c r="T3070" i="7"/>
  <c r="U3073" i="7"/>
  <c r="T3073" i="7"/>
  <c r="U3080" i="7"/>
  <c r="T3080" i="7"/>
  <c r="U3086" i="7"/>
  <c r="T3086" i="7"/>
  <c r="U3089" i="7"/>
  <c r="T3089" i="7"/>
  <c r="U3096" i="7"/>
  <c r="T3096" i="7"/>
  <c r="R3112" i="7"/>
  <c r="Q3112" i="7"/>
  <c r="U3117" i="7"/>
  <c r="T3117" i="7"/>
  <c r="R3130" i="7"/>
  <c r="Q3130" i="7"/>
  <c r="U3148" i="7"/>
  <c r="T3148" i="7"/>
  <c r="R3158" i="7"/>
  <c r="Q3158" i="7"/>
  <c r="R3166" i="7"/>
  <c r="Q3166" i="7"/>
  <c r="R3174" i="7"/>
  <c r="Q3174" i="7"/>
  <c r="R3182" i="7"/>
  <c r="Q3182" i="7"/>
  <c r="R3190" i="7"/>
  <c r="Q3190" i="7"/>
  <c r="R3198" i="7"/>
  <c r="Q3198" i="7"/>
  <c r="R3206" i="7"/>
  <c r="Q3206" i="7"/>
  <c r="R3214" i="7"/>
  <c r="Q3214" i="7"/>
  <c r="R3222" i="7"/>
  <c r="Q3222" i="7"/>
  <c r="R3230" i="7"/>
  <c r="Q3230" i="7"/>
  <c r="R3238" i="7"/>
  <c r="Q3238" i="7"/>
  <c r="R3246" i="7"/>
  <c r="Q3246" i="7"/>
  <c r="Q2893" i="7"/>
  <c r="Q2894" i="7"/>
  <c r="R2894" i="7"/>
  <c r="Q2901" i="7"/>
  <c r="Q2902" i="7"/>
  <c r="R2902" i="7"/>
  <c r="Q2909" i="7"/>
  <c r="Q2910" i="7"/>
  <c r="R2910" i="7"/>
  <c r="Q2917" i="7"/>
  <c r="Q2918" i="7"/>
  <c r="R2918" i="7"/>
  <c r="Q2925" i="7"/>
  <c r="Q2926" i="7"/>
  <c r="R2926" i="7"/>
  <c r="Q2932" i="7"/>
  <c r="U2933" i="7"/>
  <c r="T2933" i="7"/>
  <c r="U2934" i="7"/>
  <c r="U2940" i="7"/>
  <c r="R2942" i="7"/>
  <c r="R2943" i="7"/>
  <c r="Q2948" i="7"/>
  <c r="U2949" i="7"/>
  <c r="T2949" i="7"/>
  <c r="U2950" i="7"/>
  <c r="U2956" i="7"/>
  <c r="R2958" i="7"/>
  <c r="R2959" i="7"/>
  <c r="Q2964" i="7"/>
  <c r="U2965" i="7"/>
  <c r="T2965" i="7"/>
  <c r="U2966" i="7"/>
  <c r="U2972" i="7"/>
  <c r="R2974" i="7"/>
  <c r="R2975" i="7"/>
  <c r="Q2980" i="7"/>
  <c r="U2981" i="7"/>
  <c r="T2981" i="7"/>
  <c r="U2982" i="7"/>
  <c r="U2988" i="7"/>
  <c r="R2990" i="7"/>
  <c r="R2991" i="7"/>
  <c r="R2995" i="7"/>
  <c r="U2996" i="7"/>
  <c r="T2996" i="7"/>
  <c r="U3002" i="7"/>
  <c r="T3002" i="7"/>
  <c r="U3005" i="7"/>
  <c r="T3005" i="7"/>
  <c r="R3011" i="7"/>
  <c r="U3012" i="7"/>
  <c r="T3012" i="7"/>
  <c r="U3018" i="7"/>
  <c r="T3018" i="7"/>
  <c r="U3021" i="7"/>
  <c r="T3021" i="7"/>
  <c r="R3027" i="7"/>
  <c r="U3028" i="7"/>
  <c r="T3028" i="7"/>
  <c r="U3034" i="7"/>
  <c r="T3034" i="7"/>
  <c r="U3037" i="7"/>
  <c r="T3037" i="7"/>
  <c r="R3043" i="7"/>
  <c r="U3044" i="7"/>
  <c r="T3044" i="7"/>
  <c r="U3050" i="7"/>
  <c r="T3050" i="7"/>
  <c r="U3053" i="7"/>
  <c r="T3053" i="7"/>
  <c r="U3060" i="7"/>
  <c r="T3060" i="7"/>
  <c r="U3066" i="7"/>
  <c r="T3066" i="7"/>
  <c r="U3069" i="7"/>
  <c r="T3069" i="7"/>
  <c r="U3076" i="7"/>
  <c r="T3076" i="7"/>
  <c r="U3082" i="7"/>
  <c r="T3082" i="7"/>
  <c r="U3085" i="7"/>
  <c r="T3085" i="7"/>
  <c r="U3092" i="7"/>
  <c r="T3092" i="7"/>
  <c r="U3098" i="7"/>
  <c r="T3098" i="7"/>
  <c r="U3101" i="7"/>
  <c r="T3101" i="7"/>
  <c r="R3114" i="7"/>
  <c r="Q3114" i="7"/>
  <c r="U3132" i="7"/>
  <c r="T3132" i="7"/>
  <c r="R3142" i="7"/>
  <c r="Q3142" i="7"/>
  <c r="R3160" i="7"/>
  <c r="Q3160" i="7"/>
  <c r="R3168" i="7"/>
  <c r="Q3168" i="7"/>
  <c r="R3176" i="7"/>
  <c r="Q3176" i="7"/>
  <c r="R3184" i="7"/>
  <c r="Q3184" i="7"/>
  <c r="R3192" i="7"/>
  <c r="Q3192" i="7"/>
  <c r="R3200" i="7"/>
  <c r="Q3200" i="7"/>
  <c r="R3208" i="7"/>
  <c r="Q3208" i="7"/>
  <c r="R3216" i="7"/>
  <c r="Q3216" i="7"/>
  <c r="R3224" i="7"/>
  <c r="Q3224" i="7"/>
  <c r="R3232" i="7"/>
  <c r="Q3232" i="7"/>
  <c r="R3240" i="7"/>
  <c r="Q3240" i="7"/>
  <c r="Q2892" i="7"/>
  <c r="R2892" i="7"/>
  <c r="Q2900" i="7"/>
  <c r="R2900" i="7"/>
  <c r="Q2908" i="7"/>
  <c r="R2908" i="7"/>
  <c r="Q2916" i="7"/>
  <c r="R2916" i="7"/>
  <c r="Q2924" i="7"/>
  <c r="R2924" i="7"/>
  <c r="U2937" i="7"/>
  <c r="T2937" i="7"/>
  <c r="U2953" i="7"/>
  <c r="T2953" i="7"/>
  <c r="U2969" i="7"/>
  <c r="T2969" i="7"/>
  <c r="Q2984" i="7"/>
  <c r="U2985" i="7"/>
  <c r="T2985" i="7"/>
  <c r="U2992" i="7"/>
  <c r="U2998" i="7"/>
  <c r="T2998" i="7"/>
  <c r="U3001" i="7"/>
  <c r="T3001" i="7"/>
  <c r="R3007" i="7"/>
  <c r="U3008" i="7"/>
  <c r="T3008" i="7"/>
  <c r="U3014" i="7"/>
  <c r="T3014" i="7"/>
  <c r="U3017" i="7"/>
  <c r="T3017" i="7"/>
  <c r="R3023" i="7"/>
  <c r="U3024" i="7"/>
  <c r="T3024" i="7"/>
  <c r="U3030" i="7"/>
  <c r="T3030" i="7"/>
  <c r="U3033" i="7"/>
  <c r="T3033" i="7"/>
  <c r="R3039" i="7"/>
  <c r="U3040" i="7"/>
  <c r="T3040" i="7"/>
  <c r="U3046" i="7"/>
  <c r="T3046" i="7"/>
  <c r="U3049" i="7"/>
  <c r="T3049" i="7"/>
  <c r="U3056" i="7"/>
  <c r="T3056" i="7"/>
  <c r="U3062" i="7"/>
  <c r="T3062" i="7"/>
  <c r="U3065" i="7"/>
  <c r="T3065" i="7"/>
  <c r="U3072" i="7"/>
  <c r="T3072" i="7"/>
  <c r="U3078" i="7"/>
  <c r="T3078" i="7"/>
  <c r="U3081" i="7"/>
  <c r="T3081" i="7"/>
  <c r="U3088" i="7"/>
  <c r="T3088" i="7"/>
  <c r="U3094" i="7"/>
  <c r="T3094" i="7"/>
  <c r="U3097" i="7"/>
  <c r="T3097" i="7"/>
  <c r="U3116" i="7"/>
  <c r="T3116" i="7"/>
  <c r="R3126" i="7"/>
  <c r="Q3126" i="7"/>
  <c r="R3144" i="7"/>
  <c r="Q3144" i="7"/>
  <c r="U3149" i="7"/>
  <c r="T3149" i="7"/>
  <c r="R3162" i="7"/>
  <c r="Q3162" i="7"/>
  <c r="R3170" i="7"/>
  <c r="Q3170" i="7"/>
  <c r="R3178" i="7"/>
  <c r="Q3178" i="7"/>
  <c r="R3186" i="7"/>
  <c r="Q3186" i="7"/>
  <c r="R3194" i="7"/>
  <c r="Q3194" i="7"/>
  <c r="R3202" i="7"/>
  <c r="Q3202" i="7"/>
  <c r="R3210" i="7"/>
  <c r="Q3210" i="7"/>
  <c r="R3218" i="7"/>
  <c r="Q3218" i="7"/>
  <c r="R3226" i="7"/>
  <c r="Q3226" i="7"/>
  <c r="R3234" i="7"/>
  <c r="Q3234" i="7"/>
  <c r="R3242" i="7"/>
  <c r="Q3242" i="7"/>
  <c r="R2852" i="7"/>
  <c r="R2854" i="7"/>
  <c r="R2856" i="7"/>
  <c r="R2858" i="7"/>
  <c r="Q2898" i="7"/>
  <c r="R2898" i="7"/>
  <c r="Q2906" i="7"/>
  <c r="R2906" i="7"/>
  <c r="Q2914" i="7"/>
  <c r="R2914" i="7"/>
  <c r="Q2922" i="7"/>
  <c r="R2922" i="7"/>
  <c r="Q2930" i="7"/>
  <c r="R2930" i="7"/>
  <c r="U2941" i="7"/>
  <c r="T2941" i="7"/>
  <c r="U2957" i="7"/>
  <c r="T2957" i="7"/>
  <c r="U2973" i="7"/>
  <c r="T2973" i="7"/>
  <c r="U2989" i="7"/>
  <c r="T2989" i="7"/>
  <c r="U2994" i="7"/>
  <c r="T2994" i="7"/>
  <c r="U2997" i="7"/>
  <c r="T2997" i="7"/>
  <c r="U3004" i="7"/>
  <c r="T3004" i="7"/>
  <c r="U3010" i="7"/>
  <c r="T3010" i="7"/>
  <c r="U3013" i="7"/>
  <c r="T3013" i="7"/>
  <c r="U3020" i="7"/>
  <c r="T3020" i="7"/>
  <c r="U3026" i="7"/>
  <c r="T3026" i="7"/>
  <c r="U3029" i="7"/>
  <c r="T3029" i="7"/>
  <c r="U3036" i="7"/>
  <c r="T3036" i="7"/>
  <c r="U3042" i="7"/>
  <c r="T3042" i="7"/>
  <c r="U3045" i="7"/>
  <c r="T3045" i="7"/>
  <c r="U3052" i="7"/>
  <c r="T3052" i="7"/>
  <c r="U3058" i="7"/>
  <c r="T3058" i="7"/>
  <c r="U3061" i="7"/>
  <c r="T3061" i="7"/>
  <c r="U3068" i="7"/>
  <c r="T3068" i="7"/>
  <c r="U3074" i="7"/>
  <c r="T3074" i="7"/>
  <c r="U3077" i="7"/>
  <c r="T3077" i="7"/>
  <c r="U3084" i="7"/>
  <c r="T3084" i="7"/>
  <c r="U3090" i="7"/>
  <c r="T3090" i="7"/>
  <c r="U3093" i="7"/>
  <c r="T3093" i="7"/>
  <c r="U3100" i="7"/>
  <c r="T3100" i="7"/>
  <c r="R3110" i="7"/>
  <c r="Q3110" i="7"/>
  <c r="R3128" i="7"/>
  <c r="Q3128" i="7"/>
  <c r="U3133" i="7"/>
  <c r="T3133" i="7"/>
  <c r="R3146" i="7"/>
  <c r="Q3146" i="7"/>
  <c r="R3164" i="7"/>
  <c r="Q3164" i="7"/>
  <c r="R3172" i="7"/>
  <c r="Q3172" i="7"/>
  <c r="R3180" i="7"/>
  <c r="Q3180" i="7"/>
  <c r="R3188" i="7"/>
  <c r="Q3188" i="7"/>
  <c r="R3196" i="7"/>
  <c r="Q3196" i="7"/>
  <c r="R3204" i="7"/>
  <c r="Q3204" i="7"/>
  <c r="R3212" i="7"/>
  <c r="Q3212" i="7"/>
  <c r="R3220" i="7"/>
  <c r="Q3220" i="7"/>
  <c r="R3228" i="7"/>
  <c r="Q3228" i="7"/>
  <c r="R3236" i="7"/>
  <c r="Q3236" i="7"/>
  <c r="R3244" i="7"/>
  <c r="Q3244" i="7"/>
  <c r="R3517" i="7"/>
  <c r="Q3517" i="7"/>
  <c r="R3533" i="7"/>
  <c r="Q3533" i="7"/>
  <c r="R3549" i="7"/>
  <c r="Q3549" i="7"/>
  <c r="R3565" i="7"/>
  <c r="Q3565" i="7"/>
  <c r="R3581" i="7"/>
  <c r="Q3581" i="7"/>
  <c r="R3600" i="7"/>
  <c r="Q3600" i="7"/>
  <c r="R3605" i="7"/>
  <c r="Q3605" i="7"/>
  <c r="R3617" i="7"/>
  <c r="Q3617" i="7"/>
  <c r="R3622" i="7"/>
  <c r="Q3622" i="7"/>
  <c r="R3632" i="7"/>
  <c r="Q3632" i="7"/>
  <c r="R3637" i="7"/>
  <c r="Q3637" i="7"/>
  <c r="R3649" i="7"/>
  <c r="Q3649" i="7"/>
  <c r="R3654" i="7"/>
  <c r="Q3654" i="7"/>
  <c r="R3680" i="7"/>
  <c r="Q3680" i="7"/>
  <c r="R3695" i="7"/>
  <c r="Q3695" i="7"/>
  <c r="R3698" i="7"/>
  <c r="Q3698" i="7"/>
  <c r="R3715" i="7"/>
  <c r="Q3715" i="7"/>
  <c r="U3731" i="7"/>
  <c r="T3731" i="7"/>
  <c r="U3761" i="7"/>
  <c r="T3761" i="7"/>
  <c r="Q3769" i="7"/>
  <c r="R3769" i="7"/>
  <c r="Q3781" i="7"/>
  <c r="R3781" i="7"/>
  <c r="Q3789" i="7"/>
  <c r="R3789" i="7"/>
  <c r="U3805" i="7"/>
  <c r="T3805" i="7"/>
  <c r="Q3849" i="7"/>
  <c r="R3849" i="7"/>
  <c r="U4057" i="7"/>
  <c r="T4057" i="7"/>
  <c r="U4073" i="7"/>
  <c r="T4073" i="7"/>
  <c r="U4089" i="7"/>
  <c r="T4089" i="7"/>
  <c r="U4105" i="7"/>
  <c r="T4105" i="7"/>
  <c r="Q4118" i="7"/>
  <c r="R4118" i="7"/>
  <c r="Q4124" i="7"/>
  <c r="R4124" i="7"/>
  <c r="Q4136" i="7"/>
  <c r="R4136" i="7"/>
  <c r="Q4150" i="7"/>
  <c r="R4150" i="7"/>
  <c r="Q4156" i="7"/>
  <c r="R4156" i="7"/>
  <c r="Q4168" i="7"/>
  <c r="R4168" i="7"/>
  <c r="Q4182" i="7"/>
  <c r="R4182" i="7"/>
  <c r="Q4188" i="7"/>
  <c r="R4188" i="7"/>
  <c r="R4191" i="7"/>
  <c r="Q4191" i="7"/>
  <c r="T4195" i="7"/>
  <c r="U4195" i="7"/>
  <c r="U4213" i="7"/>
  <c r="T4213" i="7"/>
  <c r="U4221" i="7"/>
  <c r="T4221" i="7"/>
  <c r="U4229" i="7"/>
  <c r="T4229" i="7"/>
  <c r="U4237" i="7"/>
  <c r="T4237" i="7"/>
  <c r="U4245" i="7"/>
  <c r="T4245" i="7"/>
  <c r="U4253" i="7"/>
  <c r="T4253" i="7"/>
  <c r="U4261" i="7"/>
  <c r="T4261" i="7"/>
  <c r="U4269" i="7"/>
  <c r="T4269" i="7"/>
  <c r="U4277" i="7"/>
  <c r="T4277" i="7"/>
  <c r="U4285" i="7"/>
  <c r="T4285" i="7"/>
  <c r="U4293" i="7"/>
  <c r="T4293" i="7"/>
  <c r="U4301" i="7"/>
  <c r="T4301" i="7"/>
  <c r="U4309" i="7"/>
  <c r="T4309" i="7"/>
  <c r="U4317" i="7"/>
  <c r="T4317" i="7"/>
  <c r="U4325" i="7"/>
  <c r="T4325" i="7"/>
  <c r="U4333" i="7"/>
  <c r="T4333" i="7"/>
  <c r="Q4341" i="7"/>
  <c r="R4341" i="7"/>
  <c r="R4372" i="7"/>
  <c r="Q4372" i="7"/>
  <c r="U4379" i="7"/>
  <c r="T4379" i="7"/>
  <c r="R4382" i="7"/>
  <c r="Q4382" i="7"/>
  <c r="U4384" i="7"/>
  <c r="T4384" i="7"/>
  <c r="U4389" i="7"/>
  <c r="T4389" i="7"/>
  <c r="U4402" i="7"/>
  <c r="T4402" i="7"/>
  <c r="Q4407" i="7"/>
  <c r="R4407" i="7"/>
  <c r="Q4412" i="7"/>
  <c r="R4412" i="7"/>
  <c r="U4421" i="7"/>
  <c r="T4421" i="7"/>
  <c r="U4426" i="7"/>
  <c r="T4426" i="7"/>
  <c r="U4442" i="7"/>
  <c r="T4442" i="7"/>
  <c r="Q4446" i="7"/>
  <c r="R4446" i="7"/>
  <c r="U4454" i="7"/>
  <c r="T4454" i="7"/>
  <c r="Q4479" i="7"/>
  <c r="R4479" i="7"/>
  <c r="Q4493" i="7"/>
  <c r="R4493" i="7"/>
  <c r="U4499" i="7"/>
  <c r="T4499" i="7"/>
  <c r="Q4512" i="7"/>
  <c r="R4512" i="7"/>
  <c r="Q4543" i="7"/>
  <c r="R4543" i="7"/>
  <c r="R4569" i="7"/>
  <c r="Q4569" i="7"/>
  <c r="T4576" i="7"/>
  <c r="U4576" i="7"/>
  <c r="T4592" i="7"/>
  <c r="U4592" i="7"/>
  <c r="R4611" i="7"/>
  <c r="Q4611" i="7"/>
  <c r="R4643" i="7"/>
  <c r="Q4643" i="7"/>
  <c r="R4676" i="7"/>
  <c r="Q4676" i="7"/>
  <c r="T4677" i="7"/>
  <c r="U4677" i="7"/>
  <c r="R4684" i="7"/>
  <c r="Q4684" i="7"/>
  <c r="U4733" i="7"/>
  <c r="T4733" i="7"/>
  <c r="U4745" i="7"/>
  <c r="T4745" i="7"/>
  <c r="U4753" i="7"/>
  <c r="T4753" i="7"/>
  <c r="U4761" i="7"/>
  <c r="T4761" i="7"/>
  <c r="U4769" i="7"/>
  <c r="T4769" i="7"/>
  <c r="U4777" i="7"/>
  <c r="T4777" i="7"/>
  <c r="U4785" i="7"/>
  <c r="T4785" i="7"/>
  <c r="U4795" i="7"/>
  <c r="T4795" i="7"/>
  <c r="U4799" i="7"/>
  <c r="T4799" i="7"/>
  <c r="U4803" i="7"/>
  <c r="T4803" i="7"/>
  <c r="Q3248" i="7"/>
  <c r="Q3250" i="7"/>
  <c r="Q3252" i="7"/>
  <c r="Q3254" i="7"/>
  <c r="Q3256" i="7"/>
  <c r="Q3258" i="7"/>
  <c r="Q3260" i="7"/>
  <c r="Q3262" i="7"/>
  <c r="Q3264" i="7"/>
  <c r="Q3266" i="7"/>
  <c r="Q3268" i="7"/>
  <c r="Q3270" i="7"/>
  <c r="Q3272" i="7"/>
  <c r="Q3274" i="7"/>
  <c r="Q3276" i="7"/>
  <c r="Q3278" i="7"/>
  <c r="Q3280" i="7"/>
  <c r="Q3282" i="7"/>
  <c r="Q3284" i="7"/>
  <c r="Q3286" i="7"/>
  <c r="Q3288" i="7"/>
  <c r="Q3290" i="7"/>
  <c r="Q3292" i="7"/>
  <c r="U3300" i="7"/>
  <c r="U3308" i="7"/>
  <c r="U3312" i="7"/>
  <c r="T3312" i="7"/>
  <c r="U3316" i="7"/>
  <c r="T3316" i="7"/>
  <c r="U3320" i="7"/>
  <c r="T3320" i="7"/>
  <c r="U3324" i="7"/>
  <c r="T3324" i="7"/>
  <c r="U3328" i="7"/>
  <c r="T3328" i="7"/>
  <c r="U3332" i="7"/>
  <c r="T3332" i="7"/>
  <c r="U3336" i="7"/>
  <c r="T3336" i="7"/>
  <c r="U3340" i="7"/>
  <c r="T3340" i="7"/>
  <c r="U3344" i="7"/>
  <c r="T3344" i="7"/>
  <c r="U3348" i="7"/>
  <c r="T3348" i="7"/>
  <c r="U3352" i="7"/>
  <c r="T3352" i="7"/>
  <c r="U3356" i="7"/>
  <c r="T3356" i="7"/>
  <c r="U3360" i="7"/>
  <c r="T3360" i="7"/>
  <c r="U3364" i="7"/>
  <c r="T3364" i="7"/>
  <c r="U3368" i="7"/>
  <c r="T3368" i="7"/>
  <c r="U3372" i="7"/>
  <c r="T3372" i="7"/>
  <c r="U3376" i="7"/>
  <c r="T3376" i="7"/>
  <c r="U3380" i="7"/>
  <c r="T3380" i="7"/>
  <c r="U3384" i="7"/>
  <c r="T3384" i="7"/>
  <c r="U3388" i="7"/>
  <c r="T3388" i="7"/>
  <c r="U3392" i="7"/>
  <c r="T3392" i="7"/>
  <c r="U3396" i="7"/>
  <c r="T3396" i="7"/>
  <c r="U3400" i="7"/>
  <c r="T3400" i="7"/>
  <c r="U3404" i="7"/>
  <c r="T3404" i="7"/>
  <c r="U3408" i="7"/>
  <c r="T3408" i="7"/>
  <c r="U3412" i="7"/>
  <c r="T3412" i="7"/>
  <c r="U3416" i="7"/>
  <c r="T3416" i="7"/>
  <c r="U3420" i="7"/>
  <c r="T3420" i="7"/>
  <c r="U3424" i="7"/>
  <c r="T3424" i="7"/>
  <c r="U3428" i="7"/>
  <c r="T3428" i="7"/>
  <c r="U3432" i="7"/>
  <c r="T3432" i="7"/>
  <c r="U3436" i="7"/>
  <c r="T3436" i="7"/>
  <c r="U3440" i="7"/>
  <c r="T3440" i="7"/>
  <c r="U3444" i="7"/>
  <c r="T3444" i="7"/>
  <c r="U3448" i="7"/>
  <c r="T3448" i="7"/>
  <c r="U3452" i="7"/>
  <c r="T3452" i="7"/>
  <c r="U3456" i="7"/>
  <c r="T3456" i="7"/>
  <c r="U3460" i="7"/>
  <c r="T3460" i="7"/>
  <c r="U3464" i="7"/>
  <c r="T3464" i="7"/>
  <c r="U3468" i="7"/>
  <c r="T3468" i="7"/>
  <c r="U3472" i="7"/>
  <c r="T3472" i="7"/>
  <c r="U3476" i="7"/>
  <c r="T3476" i="7"/>
  <c r="U3480" i="7"/>
  <c r="T3480" i="7"/>
  <c r="U3484" i="7"/>
  <c r="T3484" i="7"/>
  <c r="U3488" i="7"/>
  <c r="T3488" i="7"/>
  <c r="R3493" i="7"/>
  <c r="Q3493" i="7"/>
  <c r="R3501" i="7"/>
  <c r="Q3501" i="7"/>
  <c r="R3509" i="7"/>
  <c r="Q3509" i="7"/>
  <c r="R3521" i="7"/>
  <c r="Q3521" i="7"/>
  <c r="R3537" i="7"/>
  <c r="Q3537" i="7"/>
  <c r="R3553" i="7"/>
  <c r="Q3553" i="7"/>
  <c r="R3569" i="7"/>
  <c r="Q3569" i="7"/>
  <c r="R3585" i="7"/>
  <c r="Q3585" i="7"/>
  <c r="R3597" i="7"/>
  <c r="Q3597" i="7"/>
  <c r="R3609" i="7"/>
  <c r="Q3609" i="7"/>
  <c r="R3614" i="7"/>
  <c r="Q3614" i="7"/>
  <c r="R3624" i="7"/>
  <c r="Q3624" i="7"/>
  <c r="R3629" i="7"/>
  <c r="Q3629" i="7"/>
  <c r="R3641" i="7"/>
  <c r="Q3641" i="7"/>
  <c r="R3646" i="7"/>
  <c r="Q3646" i="7"/>
  <c r="R3656" i="7"/>
  <c r="Q3656" i="7"/>
  <c r="R3661" i="7"/>
  <c r="Q3661" i="7"/>
  <c r="R3667" i="7"/>
  <c r="Q3667" i="7"/>
  <c r="T3674" i="7"/>
  <c r="U3674" i="7"/>
  <c r="R3682" i="7"/>
  <c r="Q3682" i="7"/>
  <c r="R3684" i="7"/>
  <c r="Q3684" i="7"/>
  <c r="T3690" i="7"/>
  <c r="U3690" i="7"/>
  <c r="R3700" i="7"/>
  <c r="Q3700" i="7"/>
  <c r="R3711" i="7"/>
  <c r="Q3711" i="7"/>
  <c r="R3714" i="7"/>
  <c r="Q3714" i="7"/>
  <c r="U3717" i="7"/>
  <c r="T3717" i="7"/>
  <c r="Q3729" i="7"/>
  <c r="R3729" i="7"/>
  <c r="U3745" i="7"/>
  <c r="T3745" i="7"/>
  <c r="U3755" i="7"/>
  <c r="T3755" i="7"/>
  <c r="T3775" i="7"/>
  <c r="U3775" i="7"/>
  <c r="U3787" i="7"/>
  <c r="T3787" i="7"/>
  <c r="T3813" i="7"/>
  <c r="U3813" i="7"/>
  <c r="T3869" i="7"/>
  <c r="U3869" i="7"/>
  <c r="T3885" i="7"/>
  <c r="U3885" i="7"/>
  <c r="T3901" i="7"/>
  <c r="U3901" i="7"/>
  <c r="U3298" i="7"/>
  <c r="U3306" i="7"/>
  <c r="R3525" i="7"/>
  <c r="Q3525" i="7"/>
  <c r="R3541" i="7"/>
  <c r="Q3541" i="7"/>
  <c r="R3557" i="7"/>
  <c r="Q3557" i="7"/>
  <c r="R3573" i="7"/>
  <c r="Q3573" i="7"/>
  <c r="R3589" i="7"/>
  <c r="Q3589" i="7"/>
  <c r="R3601" i="7"/>
  <c r="Q3601" i="7"/>
  <c r="R3606" i="7"/>
  <c r="Q3606" i="7"/>
  <c r="R3616" i="7"/>
  <c r="Q3616" i="7"/>
  <c r="R3621" i="7"/>
  <c r="Q3621" i="7"/>
  <c r="R3633" i="7"/>
  <c r="Q3633" i="7"/>
  <c r="R3638" i="7"/>
  <c r="Q3638" i="7"/>
  <c r="R3648" i="7"/>
  <c r="Q3648" i="7"/>
  <c r="R3653" i="7"/>
  <c r="Q3653" i="7"/>
  <c r="R3679" i="7"/>
  <c r="Q3679" i="7"/>
  <c r="T3689" i="7"/>
  <c r="U3689" i="7"/>
  <c r="R3696" i="7"/>
  <c r="Q3696" i="7"/>
  <c r="T3706" i="7"/>
  <c r="U3706" i="7"/>
  <c r="R3716" i="7"/>
  <c r="Q3716" i="7"/>
  <c r="U3735" i="7"/>
  <c r="T3735" i="7"/>
  <c r="Q3753" i="7"/>
  <c r="R3753" i="7"/>
  <c r="Q3785" i="7"/>
  <c r="R3785" i="7"/>
  <c r="U3809" i="7"/>
  <c r="T3809" i="7"/>
  <c r="Q3845" i="7"/>
  <c r="R3845" i="7"/>
  <c r="Q3853" i="7"/>
  <c r="R3853" i="7"/>
  <c r="U3867" i="7"/>
  <c r="T3867" i="7"/>
  <c r="U3310" i="7"/>
  <c r="T3310" i="7"/>
  <c r="U3314" i="7"/>
  <c r="T3314" i="7"/>
  <c r="U3318" i="7"/>
  <c r="T3318" i="7"/>
  <c r="U3322" i="7"/>
  <c r="T3322" i="7"/>
  <c r="U3326" i="7"/>
  <c r="T3326" i="7"/>
  <c r="U3330" i="7"/>
  <c r="T3330" i="7"/>
  <c r="U3334" i="7"/>
  <c r="T3334" i="7"/>
  <c r="U3338" i="7"/>
  <c r="T3338" i="7"/>
  <c r="U3342" i="7"/>
  <c r="T3342" i="7"/>
  <c r="U3346" i="7"/>
  <c r="T3346" i="7"/>
  <c r="U3350" i="7"/>
  <c r="T3350" i="7"/>
  <c r="U3354" i="7"/>
  <c r="T3354" i="7"/>
  <c r="U3358" i="7"/>
  <c r="T3358" i="7"/>
  <c r="U3362" i="7"/>
  <c r="T3362" i="7"/>
  <c r="U3366" i="7"/>
  <c r="T3366" i="7"/>
  <c r="U3370" i="7"/>
  <c r="T3370" i="7"/>
  <c r="U3374" i="7"/>
  <c r="T3374" i="7"/>
  <c r="U3378" i="7"/>
  <c r="T3378" i="7"/>
  <c r="U3382" i="7"/>
  <c r="T3382" i="7"/>
  <c r="U3386" i="7"/>
  <c r="T3386" i="7"/>
  <c r="U3390" i="7"/>
  <c r="T3390" i="7"/>
  <c r="U3394" i="7"/>
  <c r="T3394" i="7"/>
  <c r="U3398" i="7"/>
  <c r="T3398" i="7"/>
  <c r="U3402" i="7"/>
  <c r="T3402" i="7"/>
  <c r="U3406" i="7"/>
  <c r="T3406" i="7"/>
  <c r="U3410" i="7"/>
  <c r="T3410" i="7"/>
  <c r="U3414" i="7"/>
  <c r="T3414" i="7"/>
  <c r="U3418" i="7"/>
  <c r="T3418" i="7"/>
  <c r="U3422" i="7"/>
  <c r="T3422" i="7"/>
  <c r="U3426" i="7"/>
  <c r="T3426" i="7"/>
  <c r="U3430" i="7"/>
  <c r="T3430" i="7"/>
  <c r="U3434" i="7"/>
  <c r="T3434" i="7"/>
  <c r="U3438" i="7"/>
  <c r="T3438" i="7"/>
  <c r="U3442" i="7"/>
  <c r="T3442" i="7"/>
  <c r="U3446" i="7"/>
  <c r="T3446" i="7"/>
  <c r="U3450" i="7"/>
  <c r="T3450" i="7"/>
  <c r="U3454" i="7"/>
  <c r="T3454" i="7"/>
  <c r="U3458" i="7"/>
  <c r="T3458" i="7"/>
  <c r="U3462" i="7"/>
  <c r="T3462" i="7"/>
  <c r="U3466" i="7"/>
  <c r="T3466" i="7"/>
  <c r="U3470" i="7"/>
  <c r="T3470" i="7"/>
  <c r="U3474" i="7"/>
  <c r="T3474" i="7"/>
  <c r="U3478" i="7"/>
  <c r="T3478" i="7"/>
  <c r="U3482" i="7"/>
  <c r="T3482" i="7"/>
  <c r="U3486" i="7"/>
  <c r="T3486" i="7"/>
  <c r="U3490" i="7"/>
  <c r="T3490" i="7"/>
  <c r="R3497" i="7"/>
  <c r="Q3497" i="7"/>
  <c r="R3505" i="7"/>
  <c r="Q3505" i="7"/>
  <c r="R3513" i="7"/>
  <c r="Q3513" i="7"/>
  <c r="R3529" i="7"/>
  <c r="Q3529" i="7"/>
  <c r="R3545" i="7"/>
  <c r="Q3545" i="7"/>
  <c r="R3561" i="7"/>
  <c r="Q3561" i="7"/>
  <c r="R3577" i="7"/>
  <c r="Q3577" i="7"/>
  <c r="R3593" i="7"/>
  <c r="Q3593" i="7"/>
  <c r="R3598" i="7"/>
  <c r="Q3598" i="7"/>
  <c r="R3608" i="7"/>
  <c r="Q3608" i="7"/>
  <c r="R3613" i="7"/>
  <c r="Q3613" i="7"/>
  <c r="R3625" i="7"/>
  <c r="Q3625" i="7"/>
  <c r="R3630" i="7"/>
  <c r="Q3630" i="7"/>
  <c r="R3640" i="7"/>
  <c r="Q3640" i="7"/>
  <c r="R3645" i="7"/>
  <c r="Q3645" i="7"/>
  <c r="R3657" i="7"/>
  <c r="Q3657" i="7"/>
  <c r="R3662" i="7"/>
  <c r="Q3662" i="7"/>
  <c r="R3666" i="7"/>
  <c r="Q3666" i="7"/>
  <c r="R3668" i="7"/>
  <c r="Q3668" i="7"/>
  <c r="T3673" i="7"/>
  <c r="U3673" i="7"/>
  <c r="R3683" i="7"/>
  <c r="Q3683" i="7"/>
  <c r="R3699" i="7"/>
  <c r="Q3699" i="7"/>
  <c r="T3705" i="7"/>
  <c r="U3705" i="7"/>
  <c r="R3712" i="7"/>
  <c r="Q3712" i="7"/>
  <c r="U3771" i="7"/>
  <c r="T3771" i="7"/>
  <c r="U3831" i="7"/>
  <c r="T3831" i="7"/>
  <c r="T3839" i="7"/>
  <c r="U3839" i="7"/>
  <c r="U3851" i="7"/>
  <c r="T3851" i="7"/>
  <c r="Q3865" i="7"/>
  <c r="R3865" i="7"/>
  <c r="T3877" i="7"/>
  <c r="U3877" i="7"/>
  <c r="T3893" i="7"/>
  <c r="U3893" i="7"/>
  <c r="R4825" i="7"/>
  <c r="Q4825" i="7"/>
  <c r="R4877" i="7"/>
  <c r="Q4877" i="7"/>
  <c r="R4893" i="7"/>
  <c r="Q4893" i="7"/>
  <c r="R4909" i="7"/>
  <c r="Q4909" i="7"/>
  <c r="U4946" i="7"/>
  <c r="T4946" i="7"/>
  <c r="U4952" i="7"/>
  <c r="T4952" i="7"/>
  <c r="U4980" i="7"/>
  <c r="T4980" i="7"/>
  <c r="U4985" i="7"/>
  <c r="T4985" i="7"/>
  <c r="U4988" i="7"/>
  <c r="T4988" i="7"/>
  <c r="U4993" i="7"/>
  <c r="T4993" i="7"/>
  <c r="U4996" i="7"/>
  <c r="T4996" i="7"/>
  <c r="U5001" i="7"/>
  <c r="T5001" i="7"/>
  <c r="Q3773" i="7"/>
  <c r="R3773" i="7"/>
  <c r="Q3837" i="7"/>
  <c r="R3837" i="7"/>
  <c r="Q4072" i="7"/>
  <c r="R4072" i="7"/>
  <c r="Q4088" i="7"/>
  <c r="R4088" i="7"/>
  <c r="Q4104" i="7"/>
  <c r="R4104" i="7"/>
  <c r="T4199" i="7"/>
  <c r="U4199" i="7"/>
  <c r="T4207" i="7"/>
  <c r="U4207" i="7"/>
  <c r="R3757" i="7"/>
  <c r="T3789" i="7"/>
  <c r="T3793" i="7"/>
  <c r="U3797" i="7"/>
  <c r="T3815" i="7"/>
  <c r="Q3821" i="7"/>
  <c r="R3821" i="7"/>
  <c r="U3823" i="7"/>
  <c r="R3829" i="7"/>
  <c r="R3833" i="7"/>
  <c r="T3835" i="7"/>
  <c r="T3857" i="7"/>
  <c r="U3861" i="7"/>
  <c r="U3875" i="7"/>
  <c r="U3883" i="7"/>
  <c r="U3891" i="7"/>
  <c r="U3899" i="7"/>
  <c r="U4065" i="7"/>
  <c r="T4065" i="7"/>
  <c r="U4081" i="7"/>
  <c r="T4081" i="7"/>
  <c r="U4097" i="7"/>
  <c r="T4097" i="7"/>
  <c r="Q4192" i="7"/>
  <c r="R4192" i="7"/>
  <c r="U3599" i="7"/>
  <c r="U3600" i="7"/>
  <c r="U3607" i="7"/>
  <c r="U3608" i="7"/>
  <c r="U3615" i="7"/>
  <c r="U3616" i="7"/>
  <c r="U3623" i="7"/>
  <c r="U3624" i="7"/>
  <c r="U3631" i="7"/>
  <c r="U3632" i="7"/>
  <c r="U3639" i="7"/>
  <c r="U3640" i="7"/>
  <c r="U3647" i="7"/>
  <c r="U3648" i="7"/>
  <c r="U3655" i="7"/>
  <c r="U3656" i="7"/>
  <c r="U3665" i="7"/>
  <c r="U3666" i="7"/>
  <c r="Q3672" i="7"/>
  <c r="Q3674" i="7"/>
  <c r="Q3676" i="7"/>
  <c r="U3681" i="7"/>
  <c r="U3682" i="7"/>
  <c r="Q3805" i="7"/>
  <c r="R3805" i="7"/>
  <c r="Q4050" i="7"/>
  <c r="R4050" i="7"/>
  <c r="Q4054" i="7"/>
  <c r="R4054" i="7"/>
  <c r="Q4064" i="7"/>
  <c r="R4064" i="7"/>
  <c r="Q4080" i="7"/>
  <c r="R4080" i="7"/>
  <c r="Q4096" i="7"/>
  <c r="R4096" i="7"/>
  <c r="U4119" i="7"/>
  <c r="T4119" i="7"/>
  <c r="T4133" i="7"/>
  <c r="U4133" i="7"/>
  <c r="U4137" i="7"/>
  <c r="T4137" i="7"/>
  <c r="U4151" i="7"/>
  <c r="T4151" i="7"/>
  <c r="T4165" i="7"/>
  <c r="U4165" i="7"/>
  <c r="U4169" i="7"/>
  <c r="T4169" i="7"/>
  <c r="U4183" i="7"/>
  <c r="T4183" i="7"/>
  <c r="T4203" i="7"/>
  <c r="U4203" i="7"/>
  <c r="Q4132" i="7"/>
  <c r="R4132" i="7"/>
  <c r="Q4164" i="7"/>
  <c r="R4164" i="7"/>
  <c r="R4197" i="7"/>
  <c r="Q4197" i="7"/>
  <c r="R4201" i="7"/>
  <c r="Q4201" i="7"/>
  <c r="R4205" i="7"/>
  <c r="Q4205" i="7"/>
  <c r="U4215" i="7"/>
  <c r="T4215" i="7"/>
  <c r="U4223" i="7"/>
  <c r="T4223" i="7"/>
  <c r="U4231" i="7"/>
  <c r="T4231" i="7"/>
  <c r="U4239" i="7"/>
  <c r="T4239" i="7"/>
  <c r="U4247" i="7"/>
  <c r="T4247" i="7"/>
  <c r="U4255" i="7"/>
  <c r="T4255" i="7"/>
  <c r="U4263" i="7"/>
  <c r="T4263" i="7"/>
  <c r="U4271" i="7"/>
  <c r="T4271" i="7"/>
  <c r="U4279" i="7"/>
  <c r="T4279" i="7"/>
  <c r="U4287" i="7"/>
  <c r="T4287" i="7"/>
  <c r="U4295" i="7"/>
  <c r="T4295" i="7"/>
  <c r="U4303" i="7"/>
  <c r="T4303" i="7"/>
  <c r="U4311" i="7"/>
  <c r="T4311" i="7"/>
  <c r="U4319" i="7"/>
  <c r="T4319" i="7"/>
  <c r="U4327" i="7"/>
  <c r="T4327" i="7"/>
  <c r="U4335" i="7"/>
  <c r="T4335" i="7"/>
  <c r="Q4345" i="7"/>
  <c r="R4345" i="7"/>
  <c r="Q4353" i="7"/>
  <c r="R4353" i="7"/>
  <c r="Q4361" i="7"/>
  <c r="R4361" i="7"/>
  <c r="Q4371" i="7"/>
  <c r="R4371" i="7"/>
  <c r="U4374" i="7"/>
  <c r="T4374" i="7"/>
  <c r="Q4381" i="7"/>
  <c r="R4381" i="7"/>
  <c r="U4396" i="7"/>
  <c r="T4396" i="7"/>
  <c r="Q4411" i="7"/>
  <c r="R4411" i="7"/>
  <c r="Q4430" i="7"/>
  <c r="R4430" i="7"/>
  <c r="U4437" i="7"/>
  <c r="T4437" i="7"/>
  <c r="U4453" i="7"/>
  <c r="T4453" i="7"/>
  <c r="U4481" i="7"/>
  <c r="T4481" i="7"/>
  <c r="Q4492" i="7"/>
  <c r="R4492" i="7"/>
  <c r="Q4108" i="7"/>
  <c r="R4108" i="7"/>
  <c r="Q4140" i="7"/>
  <c r="R4140" i="7"/>
  <c r="Q4172" i="7"/>
  <c r="R4172" i="7"/>
  <c r="U4209" i="7"/>
  <c r="T4209" i="7"/>
  <c r="U4217" i="7"/>
  <c r="T4217" i="7"/>
  <c r="U4225" i="7"/>
  <c r="T4225" i="7"/>
  <c r="U4233" i="7"/>
  <c r="T4233" i="7"/>
  <c r="U4241" i="7"/>
  <c r="T4241" i="7"/>
  <c r="U4249" i="7"/>
  <c r="T4249" i="7"/>
  <c r="U4257" i="7"/>
  <c r="T4257" i="7"/>
  <c r="U4265" i="7"/>
  <c r="T4265" i="7"/>
  <c r="U4273" i="7"/>
  <c r="T4273" i="7"/>
  <c r="U4281" i="7"/>
  <c r="T4281" i="7"/>
  <c r="U4289" i="7"/>
  <c r="T4289" i="7"/>
  <c r="U4297" i="7"/>
  <c r="T4297" i="7"/>
  <c r="U4305" i="7"/>
  <c r="T4305" i="7"/>
  <c r="U4313" i="7"/>
  <c r="T4313" i="7"/>
  <c r="U4321" i="7"/>
  <c r="T4321" i="7"/>
  <c r="U4329" i="7"/>
  <c r="T4329" i="7"/>
  <c r="U4337" i="7"/>
  <c r="T4337" i="7"/>
  <c r="R4366" i="7"/>
  <c r="Q4366" i="7"/>
  <c r="U4368" i="7"/>
  <c r="T4368" i="7"/>
  <c r="U4373" i="7"/>
  <c r="T4373" i="7"/>
  <c r="R4388" i="7"/>
  <c r="Q4388" i="7"/>
  <c r="U4395" i="7"/>
  <c r="T4395" i="7"/>
  <c r="U4398" i="7"/>
  <c r="T4398" i="7"/>
  <c r="Q4408" i="7"/>
  <c r="R4408" i="7"/>
  <c r="U4422" i="7"/>
  <c r="T4422" i="7"/>
  <c r="Q4445" i="7"/>
  <c r="R4445" i="7"/>
  <c r="Q4462" i="7"/>
  <c r="R4462" i="7"/>
  <c r="U4470" i="7"/>
  <c r="T4470" i="7"/>
  <c r="U4473" i="7"/>
  <c r="T4473" i="7"/>
  <c r="Q4475" i="7"/>
  <c r="R4475" i="7"/>
  <c r="Q4496" i="7"/>
  <c r="R4496" i="7"/>
  <c r="T4048" i="7"/>
  <c r="T4052" i="7"/>
  <c r="R4060" i="7"/>
  <c r="R4068" i="7"/>
  <c r="R4076" i="7"/>
  <c r="R4084" i="7"/>
  <c r="R4092" i="7"/>
  <c r="R4100" i="7"/>
  <c r="Q4116" i="7"/>
  <c r="R4116" i="7"/>
  <c r="U4117" i="7"/>
  <c r="R4120" i="7"/>
  <c r="R4134" i="7"/>
  <c r="T4135" i="7"/>
  <c r="Q4148" i="7"/>
  <c r="R4148" i="7"/>
  <c r="U4149" i="7"/>
  <c r="R4152" i="7"/>
  <c r="R4166" i="7"/>
  <c r="T4167" i="7"/>
  <c r="Q4180" i="7"/>
  <c r="R4180" i="7"/>
  <c r="U4181" i="7"/>
  <c r="R4184" i="7"/>
  <c r="U4191" i="7"/>
  <c r="Q4195" i="7"/>
  <c r="R4196" i="7"/>
  <c r="U4197" i="7"/>
  <c r="R4199" i="7"/>
  <c r="Q4199" i="7"/>
  <c r="U4201" i="7"/>
  <c r="R4203" i="7"/>
  <c r="Q4203" i="7"/>
  <c r="U4205" i="7"/>
  <c r="R4207" i="7"/>
  <c r="Q4207" i="7"/>
  <c r="U4211" i="7"/>
  <c r="T4211" i="7"/>
  <c r="U4219" i="7"/>
  <c r="T4219" i="7"/>
  <c r="U4227" i="7"/>
  <c r="T4227" i="7"/>
  <c r="U4235" i="7"/>
  <c r="T4235" i="7"/>
  <c r="U4243" i="7"/>
  <c r="T4243" i="7"/>
  <c r="U4251" i="7"/>
  <c r="T4251" i="7"/>
  <c r="U4259" i="7"/>
  <c r="T4259" i="7"/>
  <c r="U4267" i="7"/>
  <c r="T4267" i="7"/>
  <c r="U4275" i="7"/>
  <c r="T4275" i="7"/>
  <c r="U4283" i="7"/>
  <c r="T4283" i="7"/>
  <c r="U4291" i="7"/>
  <c r="T4291" i="7"/>
  <c r="U4299" i="7"/>
  <c r="T4299" i="7"/>
  <c r="U4307" i="7"/>
  <c r="T4307" i="7"/>
  <c r="U4315" i="7"/>
  <c r="T4315" i="7"/>
  <c r="U4323" i="7"/>
  <c r="T4323" i="7"/>
  <c r="U4331" i="7"/>
  <c r="T4331" i="7"/>
  <c r="U4339" i="7"/>
  <c r="T4339" i="7"/>
  <c r="Q4349" i="7"/>
  <c r="R4349" i="7"/>
  <c r="Q4357" i="7"/>
  <c r="R4357" i="7"/>
  <c r="Q4365" i="7"/>
  <c r="R4365" i="7"/>
  <c r="Q4387" i="7"/>
  <c r="R4387" i="7"/>
  <c r="U4390" i="7"/>
  <c r="T4390" i="7"/>
  <c r="U4397" i="7"/>
  <c r="T4397" i="7"/>
  <c r="Q4414" i="7"/>
  <c r="R4414" i="7"/>
  <c r="Q4429" i="7"/>
  <c r="R4429" i="7"/>
  <c r="U4438" i="7"/>
  <c r="T4438" i="7"/>
  <c r="U4458" i="7"/>
  <c r="T4458" i="7"/>
  <c r="Q4461" i="7"/>
  <c r="R4461" i="7"/>
  <c r="U4469" i="7"/>
  <c r="T4469" i="7"/>
  <c r="U4480" i="7"/>
  <c r="T4480" i="7"/>
  <c r="Q4488" i="7"/>
  <c r="R4488" i="7"/>
  <c r="Q4494" i="7"/>
  <c r="R4494" i="7"/>
  <c r="Q4484" i="7"/>
  <c r="R4484" i="7"/>
  <c r="U4489" i="7"/>
  <c r="T4489" i="7"/>
  <c r="Q4495" i="7"/>
  <c r="R4495" i="7"/>
  <c r="Q4503" i="7"/>
  <c r="R4503" i="7"/>
  <c r="U4508" i="7"/>
  <c r="T4508" i="7"/>
  <c r="Q4545" i="7"/>
  <c r="R4545" i="7"/>
  <c r="R4563" i="7"/>
  <c r="Q4563" i="7"/>
  <c r="R4585" i="7"/>
  <c r="Q4585" i="7"/>
  <c r="R4601" i="7"/>
  <c r="Q4601" i="7"/>
  <c r="T4608" i="7"/>
  <c r="U4608" i="7"/>
  <c r="R4633" i="7"/>
  <c r="Q4633" i="7"/>
  <c r="T4640" i="7"/>
  <c r="U4640" i="7"/>
  <c r="T4665" i="7"/>
  <c r="U4665" i="7"/>
  <c r="T4346" i="7"/>
  <c r="T4347" i="7"/>
  <c r="T4348" i="7"/>
  <c r="T4350" i="7"/>
  <c r="T4351" i="7"/>
  <c r="T4352" i="7"/>
  <c r="T4354" i="7"/>
  <c r="T4355" i="7"/>
  <c r="T4356" i="7"/>
  <c r="T4358" i="7"/>
  <c r="T4359" i="7"/>
  <c r="T4360" i="7"/>
  <c r="T4362" i="7"/>
  <c r="T4363" i="7"/>
  <c r="T4364" i="7"/>
  <c r="R4367" i="7"/>
  <c r="Q4368" i="7"/>
  <c r="T4369" i="7"/>
  <c r="T4370" i="7"/>
  <c r="T4375" i="7"/>
  <c r="R4377" i="7"/>
  <c r="Q4378" i="7"/>
  <c r="T4380" i="7"/>
  <c r="R4383" i="7"/>
  <c r="Q4384" i="7"/>
  <c r="T4385" i="7"/>
  <c r="T4386" i="7"/>
  <c r="T4391" i="7"/>
  <c r="R4393" i="7"/>
  <c r="Q4394" i="7"/>
  <c r="T4399" i="7"/>
  <c r="T4400" i="7"/>
  <c r="T4401" i="7"/>
  <c r="T4403" i="7"/>
  <c r="T4404" i="7"/>
  <c r="T4405" i="7"/>
  <c r="T4406" i="7"/>
  <c r="T4410" i="7"/>
  <c r="R4415" i="7"/>
  <c r="R4416" i="7"/>
  <c r="R4419" i="7"/>
  <c r="R4420" i="7"/>
  <c r="T4423" i="7"/>
  <c r="T4424" i="7"/>
  <c r="T4425" i="7"/>
  <c r="T4427" i="7"/>
  <c r="T4428" i="7"/>
  <c r="R4431" i="7"/>
  <c r="R4432" i="7"/>
  <c r="R4435" i="7"/>
  <c r="R4436" i="7"/>
  <c r="T4439" i="7"/>
  <c r="R4447" i="7"/>
  <c r="R4448" i="7"/>
  <c r="R4451" i="7"/>
  <c r="R4452" i="7"/>
  <c r="T4455" i="7"/>
  <c r="T4457" i="7"/>
  <c r="T4459" i="7"/>
  <c r="R4463" i="7"/>
  <c r="R4464" i="7"/>
  <c r="R4467" i="7"/>
  <c r="R4468" i="7"/>
  <c r="T4471" i="7"/>
  <c r="U4472" i="7"/>
  <c r="U4475" i="7"/>
  <c r="T4475" i="7"/>
  <c r="U4476" i="7"/>
  <c r="T4479" i="7"/>
  <c r="Q4483" i="7"/>
  <c r="R4483" i="7"/>
  <c r="R4487" i="7"/>
  <c r="R4491" i="7"/>
  <c r="T4497" i="7"/>
  <c r="U4500" i="7"/>
  <c r="T4500" i="7"/>
  <c r="Q4511" i="7"/>
  <c r="R4511" i="7"/>
  <c r="Q4547" i="7"/>
  <c r="R4547" i="7"/>
  <c r="R4553" i="7"/>
  <c r="Q4553" i="7"/>
  <c r="T4560" i="7"/>
  <c r="U4560" i="7"/>
  <c r="R4595" i="7"/>
  <c r="Q4595" i="7"/>
  <c r="R4627" i="7"/>
  <c r="Q4627" i="7"/>
  <c r="R4659" i="7"/>
  <c r="Q4659" i="7"/>
  <c r="T4667" i="7"/>
  <c r="U4667" i="7"/>
  <c r="Q4209" i="7"/>
  <c r="Q4211" i="7"/>
  <c r="Q4213" i="7"/>
  <c r="Q4215" i="7"/>
  <c r="Q4217" i="7"/>
  <c r="Q4219" i="7"/>
  <c r="Q4221" i="7"/>
  <c r="Q4223" i="7"/>
  <c r="Q4225" i="7"/>
  <c r="Q4227" i="7"/>
  <c r="Q4229" i="7"/>
  <c r="Q4231" i="7"/>
  <c r="Q4233" i="7"/>
  <c r="Q4235" i="7"/>
  <c r="Q4237" i="7"/>
  <c r="Q4239" i="7"/>
  <c r="Q4241" i="7"/>
  <c r="Q4243" i="7"/>
  <c r="Q4245" i="7"/>
  <c r="Q4247" i="7"/>
  <c r="Q4249" i="7"/>
  <c r="Q4251" i="7"/>
  <c r="Q4253" i="7"/>
  <c r="Q4255" i="7"/>
  <c r="Q4257" i="7"/>
  <c r="Q4259" i="7"/>
  <c r="Q4261" i="7"/>
  <c r="Q4263" i="7"/>
  <c r="Q4265" i="7"/>
  <c r="Q4267" i="7"/>
  <c r="Q4269" i="7"/>
  <c r="Q4271" i="7"/>
  <c r="Q4273" i="7"/>
  <c r="Q4275" i="7"/>
  <c r="Q4277" i="7"/>
  <c r="Q4279" i="7"/>
  <c r="Q4281" i="7"/>
  <c r="Q4283" i="7"/>
  <c r="Q4285" i="7"/>
  <c r="Q4287" i="7"/>
  <c r="Q4289" i="7"/>
  <c r="Q4291" i="7"/>
  <c r="Q4293" i="7"/>
  <c r="Q4295" i="7"/>
  <c r="Q4297" i="7"/>
  <c r="Q4299" i="7"/>
  <c r="Q4301" i="7"/>
  <c r="Q4303" i="7"/>
  <c r="Q4305" i="7"/>
  <c r="Q4307" i="7"/>
  <c r="Q4309" i="7"/>
  <c r="Q4311" i="7"/>
  <c r="Q4313" i="7"/>
  <c r="Q4315" i="7"/>
  <c r="Q4317" i="7"/>
  <c r="Q4319" i="7"/>
  <c r="Q4321" i="7"/>
  <c r="Q4323" i="7"/>
  <c r="Q4325" i="7"/>
  <c r="Q4327" i="7"/>
  <c r="Q4329" i="7"/>
  <c r="Q4331" i="7"/>
  <c r="Q4333" i="7"/>
  <c r="Q4335" i="7"/>
  <c r="Q4337" i="7"/>
  <c r="Q4339" i="7"/>
  <c r="T4407" i="7"/>
  <c r="T4409" i="7"/>
  <c r="R4421" i="7"/>
  <c r="R4422" i="7"/>
  <c r="T4429" i="7"/>
  <c r="R4437" i="7"/>
  <c r="R4438" i="7"/>
  <c r="T4445" i="7"/>
  <c r="Q4480" i="7"/>
  <c r="R4480" i="7"/>
  <c r="U4487" i="7"/>
  <c r="T4487" i="7"/>
  <c r="U4491" i="7"/>
  <c r="T4491" i="7"/>
  <c r="Q4504" i="7"/>
  <c r="R4504" i="7"/>
  <c r="Q4515" i="7"/>
  <c r="R4515" i="7"/>
  <c r="Q4517" i="7"/>
  <c r="R4517" i="7"/>
  <c r="Q4519" i="7"/>
  <c r="R4519" i="7"/>
  <c r="Q4521" i="7"/>
  <c r="R4521" i="7"/>
  <c r="Q4523" i="7"/>
  <c r="R4523" i="7"/>
  <c r="Q4525" i="7"/>
  <c r="R4525" i="7"/>
  <c r="Q4527" i="7"/>
  <c r="R4527" i="7"/>
  <c r="Q4529" i="7"/>
  <c r="R4529" i="7"/>
  <c r="Q4531" i="7"/>
  <c r="R4531" i="7"/>
  <c r="Q4533" i="7"/>
  <c r="R4533" i="7"/>
  <c r="Q4535" i="7"/>
  <c r="R4535" i="7"/>
  <c r="Q4537" i="7"/>
  <c r="R4537" i="7"/>
  <c r="Q4539" i="7"/>
  <c r="R4539" i="7"/>
  <c r="Q4541" i="7"/>
  <c r="R4541" i="7"/>
  <c r="R4579" i="7"/>
  <c r="Q4579" i="7"/>
  <c r="R4617" i="7"/>
  <c r="Q4617" i="7"/>
  <c r="T4624" i="7"/>
  <c r="U4624" i="7"/>
  <c r="R4649" i="7"/>
  <c r="Q4649" i="7"/>
  <c r="T4656" i="7"/>
  <c r="U4656" i="7"/>
  <c r="R4670" i="7"/>
  <c r="Q4670" i="7"/>
  <c r="T4671" i="7"/>
  <c r="U4671" i="7"/>
  <c r="R4678" i="7"/>
  <c r="Q4678" i="7"/>
  <c r="T4679" i="7"/>
  <c r="U4679" i="7"/>
  <c r="Q4689" i="7"/>
  <c r="R4689" i="7"/>
  <c r="Q4705" i="7"/>
  <c r="R4705" i="7"/>
  <c r="Q4732" i="7"/>
  <c r="R4732" i="7"/>
  <c r="U4747" i="7"/>
  <c r="T4747" i="7"/>
  <c r="U4755" i="7"/>
  <c r="T4755" i="7"/>
  <c r="U4763" i="7"/>
  <c r="T4763" i="7"/>
  <c r="U4771" i="7"/>
  <c r="T4771" i="7"/>
  <c r="U4779" i="7"/>
  <c r="T4779" i="7"/>
  <c r="R4789" i="7"/>
  <c r="Q4789" i="7"/>
  <c r="R4843" i="7"/>
  <c r="Q4843" i="7"/>
  <c r="R4845" i="7"/>
  <c r="Q4845" i="7"/>
  <c r="U4866" i="7"/>
  <c r="T4866" i="7"/>
  <c r="R4872" i="7"/>
  <c r="Q4872" i="7"/>
  <c r="R4888" i="7"/>
  <c r="Q4888" i="7"/>
  <c r="R4904" i="7"/>
  <c r="Q4904" i="7"/>
  <c r="R4978" i="7"/>
  <c r="Q4978" i="7"/>
  <c r="U4979" i="7"/>
  <c r="T4979" i="7"/>
  <c r="T4501" i="7"/>
  <c r="T4502" i="7"/>
  <c r="T4506" i="7"/>
  <c r="T4507" i="7"/>
  <c r="T4514" i="7"/>
  <c r="T4516" i="7"/>
  <c r="T4518" i="7"/>
  <c r="T4520" i="7"/>
  <c r="T4522" i="7"/>
  <c r="T4524" i="7"/>
  <c r="T4526" i="7"/>
  <c r="T4528" i="7"/>
  <c r="T4530" i="7"/>
  <c r="T4532" i="7"/>
  <c r="T4534" i="7"/>
  <c r="T4536" i="7"/>
  <c r="T4538" i="7"/>
  <c r="T4540" i="7"/>
  <c r="T4542" i="7"/>
  <c r="T4544" i="7"/>
  <c r="T4546" i="7"/>
  <c r="U4548" i="7"/>
  <c r="Q4551" i="7"/>
  <c r="Q4557" i="7"/>
  <c r="U4564" i="7"/>
  <c r="Q4567" i="7"/>
  <c r="Q4573" i="7"/>
  <c r="U4580" i="7"/>
  <c r="Q4583" i="7"/>
  <c r="Q4589" i="7"/>
  <c r="U4596" i="7"/>
  <c r="Q4599" i="7"/>
  <c r="Q4605" i="7"/>
  <c r="U4612" i="7"/>
  <c r="Q4615" i="7"/>
  <c r="Q4621" i="7"/>
  <c r="U4628" i="7"/>
  <c r="Q4631" i="7"/>
  <c r="Q4637" i="7"/>
  <c r="U4644" i="7"/>
  <c r="Q4647" i="7"/>
  <c r="Q4653" i="7"/>
  <c r="U4660" i="7"/>
  <c r="Q4665" i="7"/>
  <c r="Q4667" i="7"/>
  <c r="Q4669" i="7"/>
  <c r="R4672" i="7"/>
  <c r="Q4672" i="7"/>
  <c r="T4673" i="7"/>
  <c r="U4673" i="7"/>
  <c r="R4680" i="7"/>
  <c r="Q4680" i="7"/>
  <c r="T4681" i="7"/>
  <c r="U4681" i="7"/>
  <c r="U4697" i="7"/>
  <c r="T4697" i="7"/>
  <c r="U4713" i="7"/>
  <c r="T4713" i="7"/>
  <c r="U4725" i="7"/>
  <c r="T4725" i="7"/>
  <c r="U4741" i="7"/>
  <c r="T4741" i="7"/>
  <c r="U4749" i="7"/>
  <c r="T4749" i="7"/>
  <c r="U4757" i="7"/>
  <c r="T4757" i="7"/>
  <c r="U4765" i="7"/>
  <c r="T4765" i="7"/>
  <c r="U4773" i="7"/>
  <c r="T4773" i="7"/>
  <c r="U4781" i="7"/>
  <c r="T4781" i="7"/>
  <c r="U4793" i="7"/>
  <c r="T4793" i="7"/>
  <c r="U4797" i="7"/>
  <c r="T4797" i="7"/>
  <c r="U4801" i="7"/>
  <c r="T4801" i="7"/>
  <c r="U4805" i="7"/>
  <c r="T4805" i="7"/>
  <c r="R4817" i="7"/>
  <c r="Q4817" i="7"/>
  <c r="R4833" i="7"/>
  <c r="Q4833" i="7"/>
  <c r="R4862" i="7"/>
  <c r="Q4862" i="7"/>
  <c r="R4885" i="7"/>
  <c r="Q4885" i="7"/>
  <c r="R4901" i="7"/>
  <c r="Q4901" i="7"/>
  <c r="U4918" i="7"/>
  <c r="T4918" i="7"/>
  <c r="U4920" i="7"/>
  <c r="T4920" i="7"/>
  <c r="U4973" i="7"/>
  <c r="T4973" i="7"/>
  <c r="R4976" i="7"/>
  <c r="Q4976" i="7"/>
  <c r="R4499" i="7"/>
  <c r="R4500" i="7"/>
  <c r="T4503" i="7"/>
  <c r="T4505" i="7"/>
  <c r="T4511" i="7"/>
  <c r="T4513" i="7"/>
  <c r="T4515" i="7"/>
  <c r="T4517" i="7"/>
  <c r="T4519" i="7"/>
  <c r="T4521" i="7"/>
  <c r="T4523" i="7"/>
  <c r="T4525" i="7"/>
  <c r="T4527" i="7"/>
  <c r="T4529" i="7"/>
  <c r="T4531" i="7"/>
  <c r="T4533" i="7"/>
  <c r="T4535" i="7"/>
  <c r="T4537" i="7"/>
  <c r="T4539" i="7"/>
  <c r="U4584" i="7"/>
  <c r="R4674" i="7"/>
  <c r="Q4674" i="7"/>
  <c r="T4675" i="7"/>
  <c r="U4675" i="7"/>
  <c r="R4682" i="7"/>
  <c r="Q4682" i="7"/>
  <c r="T4683" i="7"/>
  <c r="U4683" i="7"/>
  <c r="U4691" i="7"/>
  <c r="T4691" i="7"/>
  <c r="U4707" i="7"/>
  <c r="T4707" i="7"/>
  <c r="Q4724" i="7"/>
  <c r="R4724" i="7"/>
  <c r="Q4740" i="7"/>
  <c r="R4740" i="7"/>
  <c r="U4743" i="7"/>
  <c r="T4743" i="7"/>
  <c r="U4751" i="7"/>
  <c r="T4751" i="7"/>
  <c r="U4759" i="7"/>
  <c r="T4759" i="7"/>
  <c r="U4767" i="7"/>
  <c r="T4767" i="7"/>
  <c r="U4775" i="7"/>
  <c r="T4775" i="7"/>
  <c r="U4783" i="7"/>
  <c r="T4783" i="7"/>
  <c r="U4807" i="7"/>
  <c r="T4807" i="7"/>
  <c r="R4857" i="7"/>
  <c r="Q4857" i="7"/>
  <c r="R4880" i="7"/>
  <c r="Q4880" i="7"/>
  <c r="R4896" i="7"/>
  <c r="Q4896" i="7"/>
  <c r="R4912" i="7"/>
  <c r="Q4912" i="7"/>
  <c r="Q4954" i="7"/>
  <c r="R4954" i="7"/>
  <c r="U4850" i="7"/>
  <c r="T4850" i="7"/>
  <c r="T4865" i="7"/>
  <c r="U4865" i="7"/>
  <c r="R4869" i="7"/>
  <c r="Q4869" i="7"/>
  <c r="R4917" i="7"/>
  <c r="Q4917" i="7"/>
  <c r="U4940" i="7"/>
  <c r="T4940" i="7"/>
  <c r="U4970" i="7"/>
  <c r="T4970" i="7"/>
  <c r="U4982" i="7"/>
  <c r="T4982" i="7"/>
  <c r="U4987" i="7"/>
  <c r="T4987" i="7"/>
  <c r="U4990" i="7"/>
  <c r="T4990" i="7"/>
  <c r="U4995" i="7"/>
  <c r="T4995" i="7"/>
  <c r="U4998" i="7"/>
  <c r="T4998" i="7"/>
  <c r="R4837" i="7"/>
  <c r="Q4837" i="7"/>
  <c r="R4841" i="7"/>
  <c r="Q4841" i="7"/>
  <c r="R4844" i="7"/>
  <c r="Q4844" i="7"/>
  <c r="R4859" i="7"/>
  <c r="Q4859" i="7"/>
  <c r="R4871" i="7"/>
  <c r="Q4871" i="7"/>
  <c r="R4876" i="7"/>
  <c r="Q4876" i="7"/>
  <c r="R4884" i="7"/>
  <c r="Q4884" i="7"/>
  <c r="R4892" i="7"/>
  <c r="Q4892" i="7"/>
  <c r="R4900" i="7"/>
  <c r="Q4900" i="7"/>
  <c r="R4908" i="7"/>
  <c r="Q4908" i="7"/>
  <c r="R4916" i="7"/>
  <c r="Q4916" i="7"/>
  <c r="U4930" i="7"/>
  <c r="T4930" i="7"/>
  <c r="Q4938" i="7"/>
  <c r="R4938" i="7"/>
  <c r="U4962" i="7"/>
  <c r="T4962" i="7"/>
  <c r="U4972" i="7"/>
  <c r="T4972" i="7"/>
  <c r="U4981" i="7"/>
  <c r="T4981" i="7"/>
  <c r="U4984" i="7"/>
  <c r="T4984" i="7"/>
  <c r="U4989" i="7"/>
  <c r="T4989" i="7"/>
  <c r="U4992" i="7"/>
  <c r="T4992" i="7"/>
  <c r="U4997" i="7"/>
  <c r="T4997" i="7"/>
  <c r="U5000" i="7"/>
  <c r="T5000" i="7"/>
  <c r="R4697" i="7"/>
  <c r="R4713" i="7"/>
  <c r="R4720" i="7"/>
  <c r="R4728" i="7"/>
  <c r="R4736" i="7"/>
  <c r="Q4743" i="7"/>
  <c r="Q4745" i="7"/>
  <c r="Q4747" i="7"/>
  <c r="Q4749" i="7"/>
  <c r="Q4751" i="7"/>
  <c r="Q4753" i="7"/>
  <c r="Q4755" i="7"/>
  <c r="Q4757" i="7"/>
  <c r="Q4759" i="7"/>
  <c r="Q4761" i="7"/>
  <c r="Q4763" i="7"/>
  <c r="Q4765" i="7"/>
  <c r="Q4767" i="7"/>
  <c r="Q4769" i="7"/>
  <c r="Q4771" i="7"/>
  <c r="Q4773" i="7"/>
  <c r="Q4775" i="7"/>
  <c r="Q4777" i="7"/>
  <c r="Q4779" i="7"/>
  <c r="Q4781" i="7"/>
  <c r="Q4783" i="7"/>
  <c r="Q4785" i="7"/>
  <c r="Q4793" i="7"/>
  <c r="Q4821" i="7"/>
  <c r="Q4829" i="7"/>
  <c r="Q4847" i="7"/>
  <c r="T4853" i="7"/>
  <c r="U4853" i="7"/>
  <c r="T4860" i="7"/>
  <c r="R4864" i="7"/>
  <c r="Q4864" i="7"/>
  <c r="Q4873" i="7"/>
  <c r="Q4881" i="7"/>
  <c r="Q4889" i="7"/>
  <c r="Q4897" i="7"/>
  <c r="Q4905" i="7"/>
  <c r="Q4913" i="7"/>
  <c r="U4924" i="7"/>
  <c r="T4924" i="7"/>
  <c r="T4936" i="7"/>
  <c r="U4956" i="7"/>
  <c r="T4956" i="7"/>
  <c r="T4968" i="7"/>
  <c r="U4983" i="7"/>
  <c r="T4983" i="7"/>
  <c r="U4986" i="7"/>
  <c r="T4986" i="7"/>
  <c r="U4991" i="7"/>
  <c r="T4991" i="7"/>
  <c r="U4994" i="7"/>
  <c r="T4994" i="7"/>
  <c r="U4999" i="7"/>
  <c r="T4999" i="7"/>
  <c r="U5002" i="7"/>
  <c r="T5002" i="7"/>
  <c r="Q4836" i="7"/>
  <c r="Q4840" i="7"/>
  <c r="T4846" i="7"/>
  <c r="U4849" i="7"/>
  <c r="Q4856" i="7"/>
  <c r="Q4860" i="7"/>
  <c r="U4861" i="7"/>
  <c r="T4862" i="7"/>
  <c r="U4867" i="7"/>
  <c r="Q4875" i="7"/>
  <c r="Q4879" i="7"/>
  <c r="Q4883" i="7"/>
  <c r="Q4887" i="7"/>
  <c r="Q4891" i="7"/>
  <c r="Q4895" i="7"/>
  <c r="Q4899" i="7"/>
  <c r="Q4903" i="7"/>
  <c r="Q4907" i="7"/>
  <c r="Q4911" i="7"/>
  <c r="Q4915" i="7"/>
  <c r="R4920" i="7"/>
  <c r="R4926" i="7"/>
  <c r="R4942" i="7"/>
  <c r="R4958" i="7"/>
  <c r="T4975" i="7"/>
  <c r="T80" i="7"/>
  <c r="T78" i="7"/>
  <c r="U92" i="7"/>
  <c r="Q86" i="7"/>
  <c r="Q102" i="7"/>
  <c r="Q84" i="7"/>
  <c r="U90" i="7"/>
  <c r="Q92" i="7"/>
  <c r="R94" i="7"/>
  <c r="U98" i="7"/>
  <c r="Q100" i="7"/>
  <c r="U84" i="7"/>
  <c r="U100" i="7"/>
  <c r="U88" i="7"/>
  <c r="U96" i="7"/>
  <c r="Q64" i="7"/>
  <c r="T60" i="7"/>
  <c r="T68" i="7"/>
  <c r="Q66" i="7"/>
  <c r="Q76" i="7"/>
  <c r="Q74" i="7"/>
  <c r="Q1590" i="7"/>
  <c r="R1590" i="7"/>
  <c r="U1596" i="7"/>
  <c r="T1596" i="7"/>
  <c r="Q1606" i="7"/>
  <c r="R1606" i="7"/>
  <c r="U1612" i="7"/>
  <c r="T1612" i="7"/>
  <c r="Q1622" i="7"/>
  <c r="R1622" i="7"/>
  <c r="Q1638" i="7"/>
  <c r="R1638" i="7"/>
  <c r="R1647" i="7"/>
  <c r="Q1647" i="7"/>
  <c r="U1676" i="7"/>
  <c r="T1676" i="7"/>
  <c r="Q1686" i="7"/>
  <c r="R1686" i="7"/>
  <c r="U1692" i="7"/>
  <c r="T1692" i="7"/>
  <c r="Q1702" i="7"/>
  <c r="R1702" i="7"/>
  <c r="R1727" i="7"/>
  <c r="Q1727" i="7"/>
  <c r="Q1734" i="7"/>
  <c r="R1734" i="7"/>
  <c r="U1772" i="7"/>
  <c r="T1772" i="7"/>
  <c r="Q1782" i="7"/>
  <c r="R1782" i="7"/>
  <c r="U1820" i="7"/>
  <c r="T1820" i="7"/>
  <c r="Q1830" i="7"/>
  <c r="R1830" i="7"/>
  <c r="U1836" i="7"/>
  <c r="T1836" i="7"/>
  <c r="R1855" i="7"/>
  <c r="Q1855" i="7"/>
  <c r="R1887" i="7"/>
  <c r="Q1887" i="7"/>
  <c r="Q1894" i="7"/>
  <c r="R1894" i="7"/>
  <c r="R1977" i="7"/>
  <c r="Q1977" i="7"/>
  <c r="R2073" i="7"/>
  <c r="Q2073" i="7"/>
  <c r="R2137" i="7"/>
  <c r="Q2137" i="7"/>
  <c r="U2230" i="7"/>
  <c r="T2230" i="7"/>
  <c r="Q2240" i="7"/>
  <c r="R2240" i="7"/>
  <c r="U2246" i="7"/>
  <c r="T2246" i="7"/>
  <c r="R2297" i="7"/>
  <c r="Q2297" i="7"/>
  <c r="R2313" i="7"/>
  <c r="Q2313" i="7"/>
  <c r="U2326" i="7"/>
  <c r="T2326" i="7"/>
  <c r="R2345" i="7"/>
  <c r="Q2345" i="7"/>
  <c r="R2361" i="7"/>
  <c r="Q2361" i="7"/>
  <c r="U2452" i="7"/>
  <c r="T2452" i="7"/>
  <c r="U2484" i="7"/>
  <c r="T2484" i="7"/>
  <c r="U2508" i="7"/>
  <c r="T2508" i="7"/>
  <c r="U2540" i="7"/>
  <c r="T2540" i="7"/>
  <c r="U2556" i="7"/>
  <c r="T2556" i="7"/>
  <c r="U2604" i="7"/>
  <c r="T2604" i="7"/>
  <c r="U2660" i="7"/>
  <c r="T2660" i="7"/>
  <c r="U2676" i="7"/>
  <c r="T2676" i="7"/>
  <c r="U2686" i="7"/>
  <c r="T2686" i="7"/>
  <c r="U2692" i="7"/>
  <c r="T2692" i="7"/>
  <c r="U2698" i="7"/>
  <c r="T2698" i="7"/>
  <c r="U2704" i="7"/>
  <c r="T2704" i="7"/>
  <c r="U2710" i="7"/>
  <c r="T2710" i="7"/>
  <c r="U2716" i="7"/>
  <c r="T2716" i="7"/>
  <c r="U2722" i="7"/>
  <c r="T2722" i="7"/>
  <c r="U2732" i="7"/>
  <c r="T2732" i="7"/>
  <c r="U2738" i="7"/>
  <c r="T2738" i="7"/>
  <c r="U2746" i="7"/>
  <c r="T2746" i="7"/>
  <c r="U2752" i="7"/>
  <c r="T2752" i="7"/>
  <c r="U2758" i="7"/>
  <c r="T2758" i="7"/>
  <c r="U2764" i="7"/>
  <c r="T2764" i="7"/>
  <c r="U2774" i="7"/>
  <c r="T2774" i="7"/>
  <c r="U2780" i="7"/>
  <c r="T2780" i="7"/>
  <c r="U2788" i="7"/>
  <c r="T2788" i="7"/>
  <c r="U2796" i="7"/>
  <c r="T2796" i="7"/>
  <c r="U2802" i="7"/>
  <c r="T2802" i="7"/>
  <c r="U2808" i="7"/>
  <c r="T2808" i="7"/>
  <c r="U2814" i="7"/>
  <c r="T2814" i="7"/>
  <c r="U2820" i="7"/>
  <c r="T2820" i="7"/>
  <c r="U2830" i="7"/>
  <c r="T2830" i="7"/>
  <c r="U2836" i="7"/>
  <c r="T2836" i="7"/>
  <c r="U2844" i="7"/>
  <c r="T2844" i="7"/>
  <c r="U2852" i="7"/>
  <c r="T2852" i="7"/>
  <c r="U2858" i="7"/>
  <c r="T2858" i="7"/>
  <c r="U2868" i="7"/>
  <c r="T2868" i="7"/>
  <c r="U2874" i="7"/>
  <c r="T2874" i="7"/>
  <c r="U2880" i="7"/>
  <c r="T2880" i="7"/>
  <c r="U2890" i="7"/>
  <c r="T2890" i="7"/>
  <c r="U2896" i="7"/>
  <c r="T2896" i="7"/>
  <c r="U2902" i="7"/>
  <c r="T2902" i="7"/>
  <c r="U2908" i="7"/>
  <c r="T2908" i="7"/>
  <c r="U2914" i="7"/>
  <c r="T2914" i="7"/>
  <c r="U2920" i="7"/>
  <c r="T2920" i="7"/>
  <c r="U2930" i="7"/>
  <c r="T2930" i="7"/>
  <c r="R3113" i="7"/>
  <c r="Q3113" i="7"/>
  <c r="T3604" i="7"/>
  <c r="U3604" i="7"/>
  <c r="T3636" i="7"/>
  <c r="U3636" i="7"/>
  <c r="T3715" i="7"/>
  <c r="U3715" i="7"/>
  <c r="R3868" i="7"/>
  <c r="Q3868" i="7"/>
  <c r="R4095" i="7"/>
  <c r="Q4095" i="7"/>
  <c r="R4127" i="7"/>
  <c r="Q4127" i="7"/>
  <c r="R4167" i="7"/>
  <c r="Q4167" i="7"/>
  <c r="T4553" i="7"/>
  <c r="U4553" i="7"/>
  <c r="R4560" i="7"/>
  <c r="Q4560" i="7"/>
  <c r="T4569" i="7"/>
  <c r="U4569" i="7"/>
  <c r="R4576" i="7"/>
  <c r="Q4576" i="7"/>
  <c r="T4585" i="7"/>
  <c r="U4585" i="7"/>
  <c r="R4592" i="7"/>
  <c r="Q4592" i="7"/>
  <c r="U4610" i="7"/>
  <c r="T4610" i="7"/>
  <c r="T4617" i="7"/>
  <c r="U4617" i="7"/>
  <c r="R4624" i="7"/>
  <c r="Q4624" i="7"/>
  <c r="R4715" i="7"/>
  <c r="Q4715" i="7"/>
  <c r="U4734" i="7"/>
  <c r="T4734" i="7"/>
  <c r="U4744" i="7"/>
  <c r="T4744" i="7"/>
  <c r="U4750" i="7"/>
  <c r="T4750" i="7"/>
  <c r="U4756" i="7"/>
  <c r="T4756" i="7"/>
  <c r="U4766" i="7"/>
  <c r="T4766" i="7"/>
  <c r="U4772" i="7"/>
  <c r="T4772" i="7"/>
  <c r="U4778" i="7"/>
  <c r="T4778" i="7"/>
  <c r="U4784" i="7"/>
  <c r="T4784" i="7"/>
  <c r="T4887" i="7"/>
  <c r="U4887" i="7"/>
  <c r="R4973" i="7"/>
  <c r="Q4973" i="7"/>
  <c r="R4981" i="7"/>
  <c r="Q4981" i="7"/>
  <c r="R4985" i="7"/>
  <c r="Q4985" i="7"/>
  <c r="R4991" i="7"/>
  <c r="Q4991" i="7"/>
  <c r="R4997" i="7"/>
  <c r="Q4997" i="7"/>
  <c r="T83" i="7"/>
  <c r="T89" i="7"/>
  <c r="T91" i="7"/>
  <c r="T99" i="7"/>
  <c r="T109" i="7"/>
  <c r="T115" i="7"/>
  <c r="T119" i="7"/>
  <c r="T125" i="7"/>
  <c r="T127" i="7"/>
  <c r="T141" i="7"/>
  <c r="T147" i="7"/>
  <c r="T159" i="7"/>
  <c r="T167" i="7"/>
  <c r="T175" i="7"/>
  <c r="T179" i="7"/>
  <c r="T181" i="7"/>
  <c r="T185" i="7"/>
  <c r="T193" i="7"/>
  <c r="T197" i="7"/>
  <c r="T203" i="7"/>
  <c r="T209" i="7"/>
  <c r="T219" i="7"/>
  <c r="T225" i="7"/>
  <c r="T231" i="7"/>
  <c r="T235" i="7"/>
  <c r="T243" i="7"/>
  <c r="T253" i="7"/>
  <c r="T257" i="7"/>
  <c r="T265" i="7"/>
  <c r="T271" i="7"/>
  <c r="T277" i="7"/>
  <c r="T281" i="7"/>
  <c r="T289" i="7"/>
  <c r="T293" i="7"/>
  <c r="T305" i="7"/>
  <c r="T311" i="7"/>
  <c r="T317" i="7"/>
  <c r="T325" i="7"/>
  <c r="T335" i="7"/>
  <c r="T339" i="7"/>
  <c r="T345" i="7"/>
  <c r="T351" i="7"/>
  <c r="T353" i="7"/>
  <c r="T355" i="7"/>
  <c r="T359" i="7"/>
  <c r="T363" i="7"/>
  <c r="T369" i="7"/>
  <c r="T379" i="7"/>
  <c r="T389" i="7"/>
  <c r="T395" i="7"/>
  <c r="T401" i="7"/>
  <c r="T405" i="7"/>
  <c r="T413" i="7"/>
  <c r="T417" i="7"/>
  <c r="T421" i="7"/>
  <c r="T427" i="7"/>
  <c r="T431" i="7"/>
  <c r="T435" i="7"/>
  <c r="T437" i="7"/>
  <c r="T439" i="7"/>
  <c r="T443" i="7"/>
  <c r="T445" i="7"/>
  <c r="T447" i="7"/>
  <c r="T449" i="7"/>
  <c r="T451" i="7"/>
  <c r="T453" i="7"/>
  <c r="T455" i="7"/>
  <c r="T457" i="7"/>
  <c r="T459" i="7"/>
  <c r="T461" i="7"/>
  <c r="T463" i="7"/>
  <c r="T465" i="7"/>
  <c r="T467" i="7"/>
  <c r="T469" i="7"/>
  <c r="T471" i="7"/>
  <c r="T473" i="7"/>
  <c r="T475" i="7"/>
  <c r="T477" i="7"/>
  <c r="T479" i="7"/>
  <c r="T481" i="7"/>
  <c r="T483" i="7"/>
  <c r="T485" i="7"/>
  <c r="T487" i="7"/>
  <c r="T489" i="7"/>
  <c r="T491" i="7"/>
  <c r="T493" i="7"/>
  <c r="T495" i="7"/>
  <c r="T497" i="7"/>
  <c r="T499" i="7"/>
  <c r="T501" i="7"/>
  <c r="T503" i="7"/>
  <c r="T505" i="7"/>
  <c r="T507" i="7"/>
  <c r="T509" i="7"/>
  <c r="T511" i="7"/>
  <c r="T513" i="7"/>
  <c r="T515" i="7"/>
  <c r="T517" i="7"/>
  <c r="T519" i="7"/>
  <c r="T521" i="7"/>
  <c r="T523" i="7"/>
  <c r="T525" i="7"/>
  <c r="T527" i="7"/>
  <c r="T529" i="7"/>
  <c r="T531" i="7"/>
  <c r="T533" i="7"/>
  <c r="T535" i="7"/>
  <c r="T537" i="7"/>
  <c r="T539" i="7"/>
  <c r="T541" i="7"/>
  <c r="T543" i="7"/>
  <c r="T545" i="7"/>
  <c r="T547" i="7"/>
  <c r="T549" i="7"/>
  <c r="T551" i="7"/>
  <c r="T553" i="7"/>
  <c r="T555" i="7"/>
  <c r="T557" i="7"/>
  <c r="T559" i="7"/>
  <c r="T561" i="7"/>
  <c r="T563" i="7"/>
  <c r="T565" i="7"/>
  <c r="T567" i="7"/>
  <c r="T569" i="7"/>
  <c r="T571" i="7"/>
  <c r="T573" i="7"/>
  <c r="T575" i="7"/>
  <c r="T577" i="7"/>
  <c r="T579" i="7"/>
  <c r="T581" i="7"/>
  <c r="T583" i="7"/>
  <c r="T585" i="7"/>
  <c r="T587" i="7"/>
  <c r="T589" i="7"/>
  <c r="T591" i="7"/>
  <c r="T593" i="7"/>
  <c r="T595" i="7"/>
  <c r="T597" i="7"/>
  <c r="R835" i="7"/>
  <c r="R836" i="7"/>
  <c r="R843" i="7"/>
  <c r="R844" i="7"/>
  <c r="R851" i="7"/>
  <c r="R852" i="7"/>
  <c r="R859" i="7"/>
  <c r="R860" i="7"/>
  <c r="R867" i="7"/>
  <c r="R868" i="7"/>
  <c r="R875" i="7"/>
  <c r="R876" i="7"/>
  <c r="R883" i="7"/>
  <c r="R884" i="7"/>
  <c r="R891" i="7"/>
  <c r="R892" i="7"/>
  <c r="R899" i="7"/>
  <c r="R900" i="7"/>
  <c r="R907" i="7"/>
  <c r="R908" i="7"/>
  <c r="R915" i="7"/>
  <c r="R916" i="7"/>
  <c r="R923" i="7"/>
  <c r="R924" i="7"/>
  <c r="R931" i="7"/>
  <c r="R932" i="7"/>
  <c r="R939" i="7"/>
  <c r="R940" i="7"/>
  <c r="R947" i="7"/>
  <c r="R948" i="7"/>
  <c r="R955" i="7"/>
  <c r="R956" i="7"/>
  <c r="R963" i="7"/>
  <c r="R964" i="7"/>
  <c r="R971" i="7"/>
  <c r="R972" i="7"/>
  <c r="R979" i="7"/>
  <c r="R980" i="7"/>
  <c r="R987" i="7"/>
  <c r="R988" i="7"/>
  <c r="R995" i="7"/>
  <c r="R996" i="7"/>
  <c r="R1003" i="7"/>
  <c r="R1004" i="7"/>
  <c r="R1011" i="7"/>
  <c r="R1012" i="7"/>
  <c r="R1019" i="7"/>
  <c r="R1020" i="7"/>
  <c r="R1027" i="7"/>
  <c r="R1028" i="7"/>
  <c r="R1035" i="7"/>
  <c r="R1036" i="7"/>
  <c r="R1043" i="7"/>
  <c r="R1044" i="7"/>
  <c r="R1051" i="7"/>
  <c r="R1052" i="7"/>
  <c r="R1059" i="7"/>
  <c r="R1060" i="7"/>
  <c r="R1067" i="7"/>
  <c r="R1068" i="7"/>
  <c r="R1075" i="7"/>
  <c r="R1076" i="7"/>
  <c r="R1083" i="7"/>
  <c r="R1084" i="7"/>
  <c r="R1091" i="7"/>
  <c r="R1092" i="7"/>
  <c r="R1099" i="7"/>
  <c r="R1100" i="7"/>
  <c r="R1107" i="7"/>
  <c r="R1108" i="7"/>
  <c r="R1115" i="7"/>
  <c r="R1116" i="7"/>
  <c r="R1123" i="7"/>
  <c r="R1124" i="7"/>
  <c r="R1131" i="7"/>
  <c r="R1132" i="7"/>
  <c r="R1139" i="7"/>
  <c r="R1140" i="7"/>
  <c r="R1147" i="7"/>
  <c r="R1148" i="7"/>
  <c r="R1155" i="7"/>
  <c r="R1156" i="7"/>
  <c r="R1163" i="7"/>
  <c r="R1164" i="7"/>
  <c r="R1171" i="7"/>
  <c r="R1172" i="7"/>
  <c r="R1179" i="7"/>
  <c r="R1180" i="7"/>
  <c r="R1187" i="7"/>
  <c r="R1188" i="7"/>
  <c r="R1195" i="7"/>
  <c r="R1196" i="7"/>
  <c r="R1203" i="7"/>
  <c r="R1204" i="7"/>
  <c r="R1211" i="7"/>
  <c r="R1212" i="7"/>
  <c r="R1219" i="7"/>
  <c r="R1220" i="7"/>
  <c r="R1227" i="7"/>
  <c r="R1228" i="7"/>
  <c r="R1229" i="7"/>
  <c r="Q1229" i="7"/>
  <c r="R1231" i="7"/>
  <c r="Q1231" i="7"/>
  <c r="R1233" i="7"/>
  <c r="Q1233" i="7"/>
  <c r="R1235" i="7"/>
  <c r="Q1235" i="7"/>
  <c r="R1237" i="7"/>
  <c r="Q1237" i="7"/>
  <c r="R1239" i="7"/>
  <c r="Q1239" i="7"/>
  <c r="R1241" i="7"/>
  <c r="Q1241" i="7"/>
  <c r="R1243" i="7"/>
  <c r="Q1243" i="7"/>
  <c r="R1245" i="7"/>
  <c r="Q1245" i="7"/>
  <c r="R1247" i="7"/>
  <c r="Q1247" i="7"/>
  <c r="R1249" i="7"/>
  <c r="Q1249" i="7"/>
  <c r="R1251" i="7"/>
  <c r="Q1251" i="7"/>
  <c r="R1253" i="7"/>
  <c r="Q1253" i="7"/>
  <c r="R1255" i="7"/>
  <c r="Q1255" i="7"/>
  <c r="R1257" i="7"/>
  <c r="Q1257" i="7"/>
  <c r="R1259" i="7"/>
  <c r="Q1259" i="7"/>
  <c r="R1261" i="7"/>
  <c r="Q1261" i="7"/>
  <c r="R1263" i="7"/>
  <c r="Q1263" i="7"/>
  <c r="R1265" i="7"/>
  <c r="Q1265" i="7"/>
  <c r="R1267" i="7"/>
  <c r="Q1267" i="7"/>
  <c r="R1269" i="7"/>
  <c r="Q1269" i="7"/>
  <c r="R1271" i="7"/>
  <c r="Q1271" i="7"/>
  <c r="R1273" i="7"/>
  <c r="Q1273" i="7"/>
  <c r="R1275" i="7"/>
  <c r="Q1275" i="7"/>
  <c r="R1277" i="7"/>
  <c r="Q1277" i="7"/>
  <c r="R1279" i="7"/>
  <c r="Q1279" i="7"/>
  <c r="R1281" i="7"/>
  <c r="Q1281" i="7"/>
  <c r="R1283" i="7"/>
  <c r="Q1283" i="7"/>
  <c r="R1285" i="7"/>
  <c r="Q1285" i="7"/>
  <c r="R1287" i="7"/>
  <c r="Q1287" i="7"/>
  <c r="R1289" i="7"/>
  <c r="Q1289" i="7"/>
  <c r="R1291" i="7"/>
  <c r="Q1291" i="7"/>
  <c r="R1293" i="7"/>
  <c r="Q1293" i="7"/>
  <c r="R1295" i="7"/>
  <c r="Q1295" i="7"/>
  <c r="R1297" i="7"/>
  <c r="Q1297" i="7"/>
  <c r="R1299" i="7"/>
  <c r="Q1299" i="7"/>
  <c r="R1301" i="7"/>
  <c r="Q1301" i="7"/>
  <c r="R1303" i="7"/>
  <c r="Q1303" i="7"/>
  <c r="R1305" i="7"/>
  <c r="Q1305" i="7"/>
  <c r="R1307" i="7"/>
  <c r="Q1307" i="7"/>
  <c r="R1309" i="7"/>
  <c r="Q1309" i="7"/>
  <c r="R1311" i="7"/>
  <c r="Q1311" i="7"/>
  <c r="R1313" i="7"/>
  <c r="Q1313" i="7"/>
  <c r="R1315" i="7"/>
  <c r="Q1315" i="7"/>
  <c r="R1317" i="7"/>
  <c r="Q1317" i="7"/>
  <c r="R1319" i="7"/>
  <c r="Q1319" i="7"/>
  <c r="R1321" i="7"/>
  <c r="Q1321" i="7"/>
  <c r="R1323" i="7"/>
  <c r="Q1323" i="7"/>
  <c r="R1325" i="7"/>
  <c r="Q1325" i="7"/>
  <c r="R1327" i="7"/>
  <c r="Q1327" i="7"/>
  <c r="R1329" i="7"/>
  <c r="Q1329" i="7"/>
  <c r="R1331" i="7"/>
  <c r="Q1331" i="7"/>
  <c r="R1333" i="7"/>
  <c r="Q1333" i="7"/>
  <c r="R1335" i="7"/>
  <c r="Q1335" i="7"/>
  <c r="R1337" i="7"/>
  <c r="Q1337" i="7"/>
  <c r="R1339" i="7"/>
  <c r="Q1339" i="7"/>
  <c r="R1341" i="7"/>
  <c r="Q1341" i="7"/>
  <c r="R1343" i="7"/>
  <c r="Q1343" i="7"/>
  <c r="R1345" i="7"/>
  <c r="Q1345" i="7"/>
  <c r="R1347" i="7"/>
  <c r="Q1347" i="7"/>
  <c r="R1349" i="7"/>
  <c r="Q1349" i="7"/>
  <c r="R1351" i="7"/>
  <c r="Q1351" i="7"/>
  <c r="R1353" i="7"/>
  <c r="Q1353" i="7"/>
  <c r="R1355" i="7"/>
  <c r="Q1355" i="7"/>
  <c r="R1357" i="7"/>
  <c r="Q1357" i="7"/>
  <c r="R1359" i="7"/>
  <c r="Q1359" i="7"/>
  <c r="R1361" i="7"/>
  <c r="Q1361" i="7"/>
  <c r="R1363" i="7"/>
  <c r="Q1363" i="7"/>
  <c r="R1365" i="7"/>
  <c r="Q1365" i="7"/>
  <c r="R1367" i="7"/>
  <c r="Q1367" i="7"/>
  <c r="R1369" i="7"/>
  <c r="Q1369" i="7"/>
  <c r="R1371" i="7"/>
  <c r="Q1371" i="7"/>
  <c r="R1373" i="7"/>
  <c r="Q1373" i="7"/>
  <c r="R1375" i="7"/>
  <c r="Q1375" i="7"/>
  <c r="R1377" i="7"/>
  <c r="Q1377" i="7"/>
  <c r="R1379" i="7"/>
  <c r="Q1379" i="7"/>
  <c r="R1381" i="7"/>
  <c r="Q1381" i="7"/>
  <c r="R1383" i="7"/>
  <c r="Q1383" i="7"/>
  <c r="R1385" i="7"/>
  <c r="Q1385" i="7"/>
  <c r="R1387" i="7"/>
  <c r="Q1387" i="7"/>
  <c r="R1389" i="7"/>
  <c r="Q1389" i="7"/>
  <c r="R1391" i="7"/>
  <c r="Q1391" i="7"/>
  <c r="R1393" i="7"/>
  <c r="Q1393" i="7"/>
  <c r="R1395" i="7"/>
  <c r="Q1395" i="7"/>
  <c r="R1397" i="7"/>
  <c r="Q1397" i="7"/>
  <c r="R1399" i="7"/>
  <c r="Q1399" i="7"/>
  <c r="R1401" i="7"/>
  <c r="Q1401" i="7"/>
  <c r="R1403" i="7"/>
  <c r="Q1403" i="7"/>
  <c r="R1405" i="7"/>
  <c r="Q1405" i="7"/>
  <c r="R1407" i="7"/>
  <c r="Q1407" i="7"/>
  <c r="R1409" i="7"/>
  <c r="Q1409" i="7"/>
  <c r="R1411" i="7"/>
  <c r="Q1411" i="7"/>
  <c r="R1413" i="7"/>
  <c r="Q1413" i="7"/>
  <c r="R1415" i="7"/>
  <c r="Q1415" i="7"/>
  <c r="R1417" i="7"/>
  <c r="Q1417" i="7"/>
  <c r="R1419" i="7"/>
  <c r="Q1419" i="7"/>
  <c r="R1421" i="7"/>
  <c r="Q1421" i="7"/>
  <c r="R1423" i="7"/>
  <c r="Q1423" i="7"/>
  <c r="R1425" i="7"/>
  <c r="Q1425" i="7"/>
  <c r="R1427" i="7"/>
  <c r="Q1427" i="7"/>
  <c r="R1429" i="7"/>
  <c r="Q1429" i="7"/>
  <c r="R1431" i="7"/>
  <c r="Q1431" i="7"/>
  <c r="R1433" i="7"/>
  <c r="Q1433" i="7"/>
  <c r="R1435" i="7"/>
  <c r="Q1435" i="7"/>
  <c r="R1437" i="7"/>
  <c r="Q1437" i="7"/>
  <c r="R1439" i="7"/>
  <c r="Q1439" i="7"/>
  <c r="R1441" i="7"/>
  <c r="Q1441" i="7"/>
  <c r="R1443" i="7"/>
  <c r="Q1443" i="7"/>
  <c r="R1445" i="7"/>
  <c r="Q1445" i="7"/>
  <c r="R1447" i="7"/>
  <c r="Q1447" i="7"/>
  <c r="R1449" i="7"/>
  <c r="Q1449" i="7"/>
  <c r="R1451" i="7"/>
  <c r="Q1451" i="7"/>
  <c r="R1453" i="7"/>
  <c r="Q1453" i="7"/>
  <c r="R1455" i="7"/>
  <c r="Q1455" i="7"/>
  <c r="R1457" i="7"/>
  <c r="Q1457" i="7"/>
  <c r="R1459" i="7"/>
  <c r="Q1459" i="7"/>
  <c r="R1461" i="7"/>
  <c r="Q1461" i="7"/>
  <c r="R1463" i="7"/>
  <c r="Q1463" i="7"/>
  <c r="R1465" i="7"/>
  <c r="Q1465" i="7"/>
  <c r="R1467" i="7"/>
  <c r="Q1467" i="7"/>
  <c r="R1469" i="7"/>
  <c r="Q1469" i="7"/>
  <c r="R1471" i="7"/>
  <c r="Q1471" i="7"/>
  <c r="R1473" i="7"/>
  <c r="Q1473" i="7"/>
  <c r="R1475" i="7"/>
  <c r="Q1475" i="7"/>
  <c r="R1477" i="7"/>
  <c r="Q1477" i="7"/>
  <c r="R1479" i="7"/>
  <c r="Q1479" i="7"/>
  <c r="R1481" i="7"/>
  <c r="Q1481" i="7"/>
  <c r="R1483" i="7"/>
  <c r="Q1483" i="7"/>
  <c r="R1485" i="7"/>
  <c r="Q1485" i="7"/>
  <c r="R1487" i="7"/>
  <c r="Q1487" i="7"/>
  <c r="R1489" i="7"/>
  <c r="Q1489" i="7"/>
  <c r="R1491" i="7"/>
  <c r="Q1491" i="7"/>
  <c r="R1493" i="7"/>
  <c r="Q1493" i="7"/>
  <c r="R1495" i="7"/>
  <c r="Q1495" i="7"/>
  <c r="R1497" i="7"/>
  <c r="Q1497" i="7"/>
  <c r="R1499" i="7"/>
  <c r="Q1499" i="7"/>
  <c r="R1501" i="7"/>
  <c r="Q1501" i="7"/>
  <c r="R1503" i="7"/>
  <c r="Q1503" i="7"/>
  <c r="R1505" i="7"/>
  <c r="Q1505" i="7"/>
  <c r="R1507" i="7"/>
  <c r="Q1507" i="7"/>
  <c r="R1509" i="7"/>
  <c r="Q1509" i="7"/>
  <c r="R1511" i="7"/>
  <c r="Q1511" i="7"/>
  <c r="R1513" i="7"/>
  <c r="Q1513" i="7"/>
  <c r="R1515" i="7"/>
  <c r="Q1515" i="7"/>
  <c r="R1517" i="7"/>
  <c r="Q1517" i="7"/>
  <c r="R1519" i="7"/>
  <c r="Q1519" i="7"/>
  <c r="R1521" i="7"/>
  <c r="Q1521" i="7"/>
  <c r="R1523" i="7"/>
  <c r="Q1523" i="7"/>
  <c r="R1525" i="7"/>
  <c r="Q1525" i="7"/>
  <c r="R1527" i="7"/>
  <c r="Q1527" i="7"/>
  <c r="R1529" i="7"/>
  <c r="Q1529" i="7"/>
  <c r="R1531" i="7"/>
  <c r="Q1531" i="7"/>
  <c r="R1533" i="7"/>
  <c r="Q1533" i="7"/>
  <c r="R1535" i="7"/>
  <c r="Q1535" i="7"/>
  <c r="R1537" i="7"/>
  <c r="Q1537" i="7"/>
  <c r="R1539" i="7"/>
  <c r="Q1539" i="7"/>
  <c r="R1541" i="7"/>
  <c r="Q1541" i="7"/>
  <c r="R1543" i="7"/>
  <c r="Q1543" i="7"/>
  <c r="R1545" i="7"/>
  <c r="Q1545" i="7"/>
  <c r="R1547" i="7"/>
  <c r="Q1547" i="7"/>
  <c r="R1549" i="7"/>
  <c r="Q1549" i="7"/>
  <c r="R1551" i="7"/>
  <c r="Q1551" i="7"/>
  <c r="R1553" i="7"/>
  <c r="Q1553" i="7"/>
  <c r="R1555" i="7"/>
  <c r="Q1555" i="7"/>
  <c r="R1557" i="7"/>
  <c r="Q1557" i="7"/>
  <c r="R1559" i="7"/>
  <c r="Q1559" i="7"/>
  <c r="R1561" i="7"/>
  <c r="Q1561" i="7"/>
  <c r="R1563" i="7"/>
  <c r="Q1563" i="7"/>
  <c r="R1565" i="7"/>
  <c r="Q1565" i="7"/>
  <c r="R1567" i="7"/>
  <c r="Q1567" i="7"/>
  <c r="R1569" i="7"/>
  <c r="Q1569" i="7"/>
  <c r="R1571" i="7"/>
  <c r="Q1571" i="7"/>
  <c r="R1573" i="7"/>
  <c r="Q1573" i="7"/>
  <c r="R1575" i="7"/>
  <c r="Q1575" i="7"/>
  <c r="R1577" i="7"/>
  <c r="Q1577" i="7"/>
  <c r="R1579" i="7"/>
  <c r="Q1579" i="7"/>
  <c r="R1581" i="7"/>
  <c r="Q1581" i="7"/>
  <c r="R1583" i="7"/>
  <c r="Q1583" i="7"/>
  <c r="U1584" i="7"/>
  <c r="T1584" i="7"/>
  <c r="R1587" i="7"/>
  <c r="Q1587" i="7"/>
  <c r="Q1594" i="7"/>
  <c r="R1594" i="7"/>
  <c r="U1600" i="7"/>
  <c r="T1600" i="7"/>
  <c r="R1603" i="7"/>
  <c r="Q1603" i="7"/>
  <c r="Q1610" i="7"/>
  <c r="R1610" i="7"/>
  <c r="U1616" i="7"/>
  <c r="T1616" i="7"/>
  <c r="R1619" i="7"/>
  <c r="Q1619" i="7"/>
  <c r="Q1626" i="7"/>
  <c r="R1626" i="7"/>
  <c r="U1632" i="7"/>
  <c r="T1632" i="7"/>
  <c r="R1635" i="7"/>
  <c r="Q1635" i="7"/>
  <c r="Q1642" i="7"/>
  <c r="R1642" i="7"/>
  <c r="U1648" i="7"/>
  <c r="T1648" i="7"/>
  <c r="R1651" i="7"/>
  <c r="Q1651" i="7"/>
  <c r="Q1658" i="7"/>
  <c r="R1658" i="7"/>
  <c r="U1664" i="7"/>
  <c r="T1664" i="7"/>
  <c r="R1667" i="7"/>
  <c r="Q1667" i="7"/>
  <c r="Q1674" i="7"/>
  <c r="R1674" i="7"/>
  <c r="U1680" i="7"/>
  <c r="T1680" i="7"/>
  <c r="R1683" i="7"/>
  <c r="Q1683" i="7"/>
  <c r="Q1690" i="7"/>
  <c r="R1690" i="7"/>
  <c r="U1696" i="7"/>
  <c r="T1696" i="7"/>
  <c r="R1699" i="7"/>
  <c r="Q1699" i="7"/>
  <c r="Q1706" i="7"/>
  <c r="R1706" i="7"/>
  <c r="U1712" i="7"/>
  <c r="T1712" i="7"/>
  <c r="R1715" i="7"/>
  <c r="Q1715" i="7"/>
  <c r="Q1722" i="7"/>
  <c r="R1722" i="7"/>
  <c r="U1728" i="7"/>
  <c r="T1728" i="7"/>
  <c r="R1731" i="7"/>
  <c r="Q1731" i="7"/>
  <c r="Q1738" i="7"/>
  <c r="R1738" i="7"/>
  <c r="U1744" i="7"/>
  <c r="T1744" i="7"/>
  <c r="R1747" i="7"/>
  <c r="Q1747" i="7"/>
  <c r="Q1754" i="7"/>
  <c r="R1754" i="7"/>
  <c r="U1760" i="7"/>
  <c r="T1760" i="7"/>
  <c r="R1763" i="7"/>
  <c r="Q1763" i="7"/>
  <c r="Q1770" i="7"/>
  <c r="R1770" i="7"/>
  <c r="U1776" i="7"/>
  <c r="T1776" i="7"/>
  <c r="R1779" i="7"/>
  <c r="Q1779" i="7"/>
  <c r="Q1786" i="7"/>
  <c r="R1786" i="7"/>
  <c r="U1792" i="7"/>
  <c r="T1792" i="7"/>
  <c r="R1795" i="7"/>
  <c r="Q1795" i="7"/>
  <c r="Q1802" i="7"/>
  <c r="R1802" i="7"/>
  <c r="U1808" i="7"/>
  <c r="T1808" i="7"/>
  <c r="R1811" i="7"/>
  <c r="Q1811" i="7"/>
  <c r="Q1818" i="7"/>
  <c r="R1818" i="7"/>
  <c r="U1824" i="7"/>
  <c r="T1824" i="7"/>
  <c r="R1827" i="7"/>
  <c r="Q1827" i="7"/>
  <c r="Q1834" i="7"/>
  <c r="R1834" i="7"/>
  <c r="U1840" i="7"/>
  <c r="T1840" i="7"/>
  <c r="R1843" i="7"/>
  <c r="Q1843" i="7"/>
  <c r="Q1850" i="7"/>
  <c r="R1850" i="7"/>
  <c r="U1856" i="7"/>
  <c r="T1856" i="7"/>
  <c r="R1859" i="7"/>
  <c r="Q1859" i="7"/>
  <c r="Q1866" i="7"/>
  <c r="R1866" i="7"/>
  <c r="U1872" i="7"/>
  <c r="T1872" i="7"/>
  <c r="R1875" i="7"/>
  <c r="Q1875" i="7"/>
  <c r="Q1882" i="7"/>
  <c r="R1882" i="7"/>
  <c r="U1888" i="7"/>
  <c r="T1888" i="7"/>
  <c r="R1891" i="7"/>
  <c r="Q1891" i="7"/>
  <c r="Q1898" i="7"/>
  <c r="R1898" i="7"/>
  <c r="U1904" i="7"/>
  <c r="T1904" i="7"/>
  <c r="R1907" i="7"/>
  <c r="Q1907" i="7"/>
  <c r="Q1914" i="7"/>
  <c r="R1914" i="7"/>
  <c r="U1920" i="7"/>
  <c r="T1920" i="7"/>
  <c r="R1923" i="7"/>
  <c r="Q1923" i="7"/>
  <c r="Q1930" i="7"/>
  <c r="R1930" i="7"/>
  <c r="U1936" i="7"/>
  <c r="T1936" i="7"/>
  <c r="R1939" i="7"/>
  <c r="Q1939" i="7"/>
  <c r="Q1946" i="7"/>
  <c r="R1946" i="7"/>
  <c r="U1952" i="7"/>
  <c r="T1952" i="7"/>
  <c r="R1955" i="7"/>
  <c r="Q1955" i="7"/>
  <c r="Q1962" i="7"/>
  <c r="R1962" i="7"/>
  <c r="U1968" i="7"/>
  <c r="T1968" i="7"/>
  <c r="Q1975" i="7"/>
  <c r="R1975" i="7"/>
  <c r="U1980" i="7"/>
  <c r="T1980" i="7"/>
  <c r="Q1986" i="7"/>
  <c r="R1986" i="7"/>
  <c r="Q1988" i="7"/>
  <c r="R1988" i="7"/>
  <c r="Q2007" i="7"/>
  <c r="R2007" i="7"/>
  <c r="U2012" i="7"/>
  <c r="T2012" i="7"/>
  <c r="Q2018" i="7"/>
  <c r="R2018" i="7"/>
  <c r="Q2020" i="7"/>
  <c r="R2020" i="7"/>
  <c r="Q2039" i="7"/>
  <c r="R2039" i="7"/>
  <c r="U2044" i="7"/>
  <c r="T2044" i="7"/>
  <c r="Q2050" i="7"/>
  <c r="R2050" i="7"/>
  <c r="Q2052" i="7"/>
  <c r="R2052" i="7"/>
  <c r="Q2071" i="7"/>
  <c r="R2071" i="7"/>
  <c r="U2076" i="7"/>
  <c r="T2076" i="7"/>
  <c r="Q2082" i="7"/>
  <c r="R2082" i="7"/>
  <c r="Q2084" i="7"/>
  <c r="R2084" i="7"/>
  <c r="Q2103" i="7"/>
  <c r="R2103" i="7"/>
  <c r="U2108" i="7"/>
  <c r="T2108" i="7"/>
  <c r="Q2114" i="7"/>
  <c r="R2114" i="7"/>
  <c r="Q2116" i="7"/>
  <c r="R2116" i="7"/>
  <c r="Q2135" i="7"/>
  <c r="R2135" i="7"/>
  <c r="U2140" i="7"/>
  <c r="T2140" i="7"/>
  <c r="Q2146" i="7"/>
  <c r="R2146" i="7"/>
  <c r="Q2148" i="7"/>
  <c r="R2148" i="7"/>
  <c r="R2157" i="7"/>
  <c r="Q2157" i="7"/>
  <c r="R2165" i="7"/>
  <c r="Q2165" i="7"/>
  <c r="R2173" i="7"/>
  <c r="Q2173" i="7"/>
  <c r="R2181" i="7"/>
  <c r="Q2181" i="7"/>
  <c r="R2189" i="7"/>
  <c r="Q2189" i="7"/>
  <c r="R2197" i="7"/>
  <c r="Q2197" i="7"/>
  <c r="R2205" i="7"/>
  <c r="Q2205" i="7"/>
  <c r="R1615" i="7"/>
  <c r="Q1615" i="7"/>
  <c r="R1631" i="7"/>
  <c r="Q1631" i="7"/>
  <c r="U1644" i="7"/>
  <c r="T1644" i="7"/>
  <c r="Q1654" i="7"/>
  <c r="R1654" i="7"/>
  <c r="U1660" i="7"/>
  <c r="T1660" i="7"/>
  <c r="R1679" i="7"/>
  <c r="Q1679" i="7"/>
  <c r="R1695" i="7"/>
  <c r="Q1695" i="7"/>
  <c r="R1711" i="7"/>
  <c r="Q1711" i="7"/>
  <c r="Q1718" i="7"/>
  <c r="R1718" i="7"/>
  <c r="U1724" i="7"/>
  <c r="T1724" i="7"/>
  <c r="R1743" i="7"/>
  <c r="Q1743" i="7"/>
  <c r="R1759" i="7"/>
  <c r="Q1759" i="7"/>
  <c r="Q1766" i="7"/>
  <c r="R1766" i="7"/>
  <c r="U1788" i="7"/>
  <c r="T1788" i="7"/>
  <c r="R1807" i="7"/>
  <c r="Q1807" i="7"/>
  <c r="Q1814" i="7"/>
  <c r="R1814" i="7"/>
  <c r="R1839" i="7"/>
  <c r="Q1839" i="7"/>
  <c r="Q1846" i="7"/>
  <c r="R1846" i="7"/>
  <c r="U1852" i="7"/>
  <c r="T1852" i="7"/>
  <c r="Q1862" i="7"/>
  <c r="R1862" i="7"/>
  <c r="U1868" i="7"/>
  <c r="T1868" i="7"/>
  <c r="R1903" i="7"/>
  <c r="Q1903" i="7"/>
  <c r="Q1910" i="7"/>
  <c r="R1910" i="7"/>
  <c r="U1916" i="7"/>
  <c r="T1916" i="7"/>
  <c r="Q1926" i="7"/>
  <c r="R1926" i="7"/>
  <c r="U1932" i="7"/>
  <c r="T1932" i="7"/>
  <c r="Q1942" i="7"/>
  <c r="R1942" i="7"/>
  <c r="U1948" i="7"/>
  <c r="T1948" i="7"/>
  <c r="Q1958" i="7"/>
  <c r="R1958" i="7"/>
  <c r="U1964" i="7"/>
  <c r="T1964" i="7"/>
  <c r="U2014" i="7"/>
  <c r="T2014" i="7"/>
  <c r="R2041" i="7"/>
  <c r="Q2041" i="7"/>
  <c r="U2078" i="7"/>
  <c r="T2078" i="7"/>
  <c r="R2105" i="7"/>
  <c r="Q2105" i="7"/>
  <c r="U2142" i="7"/>
  <c r="T2142" i="7"/>
  <c r="R2217" i="7"/>
  <c r="Q2217" i="7"/>
  <c r="R2233" i="7"/>
  <c r="Q2233" i="7"/>
  <c r="R2249" i="7"/>
  <c r="Q2249" i="7"/>
  <c r="Q2256" i="7"/>
  <c r="R2256" i="7"/>
  <c r="U2262" i="7"/>
  <c r="T2262" i="7"/>
  <c r="R2281" i="7"/>
  <c r="Q2281" i="7"/>
  <c r="Q2304" i="7"/>
  <c r="R2304" i="7"/>
  <c r="U2310" i="7"/>
  <c r="T2310" i="7"/>
  <c r="Q2320" i="7"/>
  <c r="R2320" i="7"/>
  <c r="Q2336" i="7"/>
  <c r="R2336" i="7"/>
  <c r="U2342" i="7"/>
  <c r="T2342" i="7"/>
  <c r="Q2352" i="7"/>
  <c r="R2352" i="7"/>
  <c r="U2358" i="7"/>
  <c r="T2358" i="7"/>
  <c r="U2380" i="7"/>
  <c r="T2380" i="7"/>
  <c r="U2388" i="7"/>
  <c r="T2388" i="7"/>
  <c r="U2412" i="7"/>
  <c r="T2412" i="7"/>
  <c r="U2420" i="7"/>
  <c r="T2420" i="7"/>
  <c r="U2460" i="7"/>
  <c r="T2460" i="7"/>
  <c r="U2468" i="7"/>
  <c r="T2468" i="7"/>
  <c r="U2476" i="7"/>
  <c r="T2476" i="7"/>
  <c r="U2516" i="7"/>
  <c r="T2516" i="7"/>
  <c r="U2524" i="7"/>
  <c r="T2524" i="7"/>
  <c r="U2532" i="7"/>
  <c r="T2532" i="7"/>
  <c r="U2564" i="7"/>
  <c r="T2564" i="7"/>
  <c r="U2580" i="7"/>
  <c r="T2580" i="7"/>
  <c r="U2612" i="7"/>
  <c r="T2612" i="7"/>
  <c r="U2636" i="7"/>
  <c r="T2636" i="7"/>
  <c r="U2652" i="7"/>
  <c r="T2652" i="7"/>
  <c r="U2690" i="7"/>
  <c r="T2690" i="7"/>
  <c r="U2694" i="7"/>
  <c r="T2694" i="7"/>
  <c r="U2702" i="7"/>
  <c r="T2702" i="7"/>
  <c r="U2708" i="7"/>
  <c r="T2708" i="7"/>
  <c r="U2712" i="7"/>
  <c r="T2712" i="7"/>
  <c r="U2720" i="7"/>
  <c r="T2720" i="7"/>
  <c r="U2726" i="7"/>
  <c r="T2726" i="7"/>
  <c r="U2730" i="7"/>
  <c r="T2730" i="7"/>
  <c r="U2736" i="7"/>
  <c r="T2736" i="7"/>
  <c r="U2744" i="7"/>
  <c r="T2744" i="7"/>
  <c r="U2748" i="7"/>
  <c r="T2748" i="7"/>
  <c r="U2756" i="7"/>
  <c r="T2756" i="7"/>
  <c r="U2760" i="7"/>
  <c r="T2760" i="7"/>
  <c r="U2768" i="7"/>
  <c r="T2768" i="7"/>
  <c r="U2772" i="7"/>
  <c r="T2772" i="7"/>
  <c r="U2778" i="7"/>
  <c r="T2778" i="7"/>
  <c r="U2784" i="7"/>
  <c r="T2784" i="7"/>
  <c r="U2790" i="7"/>
  <c r="T2790" i="7"/>
  <c r="U2792" i="7"/>
  <c r="T2792" i="7"/>
  <c r="U2798" i="7"/>
  <c r="T2798" i="7"/>
  <c r="U2806" i="7"/>
  <c r="T2806" i="7"/>
  <c r="U2812" i="7"/>
  <c r="T2812" i="7"/>
  <c r="U2818" i="7"/>
  <c r="T2818" i="7"/>
  <c r="U2824" i="7"/>
  <c r="T2824" i="7"/>
  <c r="U2828" i="7"/>
  <c r="T2828" i="7"/>
  <c r="U2832" i="7"/>
  <c r="T2832" i="7"/>
  <c r="U2840" i="7"/>
  <c r="T2840" i="7"/>
  <c r="U2846" i="7"/>
  <c r="T2846" i="7"/>
  <c r="U2850" i="7"/>
  <c r="T2850" i="7"/>
  <c r="U2854" i="7"/>
  <c r="T2854" i="7"/>
  <c r="U2860" i="7"/>
  <c r="T2860" i="7"/>
  <c r="U2864" i="7"/>
  <c r="T2864" i="7"/>
  <c r="U2872" i="7"/>
  <c r="T2872" i="7"/>
  <c r="U2876" i="7"/>
  <c r="T2876" i="7"/>
  <c r="U2884" i="7"/>
  <c r="T2884" i="7"/>
  <c r="U2888" i="7"/>
  <c r="T2888" i="7"/>
  <c r="U2892" i="7"/>
  <c r="T2892" i="7"/>
  <c r="U2900" i="7"/>
  <c r="T2900" i="7"/>
  <c r="U2904" i="7"/>
  <c r="T2904" i="7"/>
  <c r="U2910" i="7"/>
  <c r="T2910" i="7"/>
  <c r="U2918" i="7"/>
  <c r="T2918" i="7"/>
  <c r="U2924" i="7"/>
  <c r="T2924" i="7"/>
  <c r="U2926" i="7"/>
  <c r="T2926" i="7"/>
  <c r="R3129" i="7"/>
  <c r="Q3129" i="7"/>
  <c r="T3620" i="7"/>
  <c r="U3620" i="7"/>
  <c r="T3652" i="7"/>
  <c r="U3652" i="7"/>
  <c r="T3667" i="7"/>
  <c r="U3667" i="7"/>
  <c r="T3683" i="7"/>
  <c r="U3683" i="7"/>
  <c r="U3724" i="7"/>
  <c r="T3724" i="7"/>
  <c r="Q3735" i="7"/>
  <c r="R3735" i="7"/>
  <c r="R3755" i="7"/>
  <c r="Q3755" i="7"/>
  <c r="R3771" i="7"/>
  <c r="Q3771" i="7"/>
  <c r="R3787" i="7"/>
  <c r="Q3787" i="7"/>
  <c r="Q3794" i="7"/>
  <c r="R3794" i="7"/>
  <c r="U3800" i="7"/>
  <c r="T3800" i="7"/>
  <c r="R3819" i="7"/>
  <c r="Q3819" i="7"/>
  <c r="R3835" i="7"/>
  <c r="Q3835" i="7"/>
  <c r="Q3842" i="7"/>
  <c r="R3842" i="7"/>
  <c r="U3848" i="7"/>
  <c r="T3848" i="7"/>
  <c r="Q3858" i="7"/>
  <c r="R3858" i="7"/>
  <c r="R4071" i="7"/>
  <c r="Q4071" i="7"/>
  <c r="R4079" i="7"/>
  <c r="Q4079" i="7"/>
  <c r="R4103" i="7"/>
  <c r="Q4103" i="7"/>
  <c r="R4111" i="7"/>
  <c r="Q4111" i="7"/>
  <c r="R4135" i="7"/>
  <c r="Q4135" i="7"/>
  <c r="R4143" i="7"/>
  <c r="Q4143" i="7"/>
  <c r="R4151" i="7"/>
  <c r="Q4151" i="7"/>
  <c r="R4175" i="7"/>
  <c r="Q4175" i="7"/>
  <c r="Q4417" i="7"/>
  <c r="R4417" i="7"/>
  <c r="Q4433" i="7"/>
  <c r="R4433" i="7"/>
  <c r="Q4449" i="7"/>
  <c r="R4449" i="7"/>
  <c r="Q4465" i="7"/>
  <c r="R4465" i="7"/>
  <c r="Q4481" i="7"/>
  <c r="R4481" i="7"/>
  <c r="U4562" i="7"/>
  <c r="T4562" i="7"/>
  <c r="R4640" i="7"/>
  <c r="Q4640" i="7"/>
  <c r="U4658" i="7"/>
  <c r="T4658" i="7"/>
  <c r="R4699" i="7"/>
  <c r="Q4699" i="7"/>
  <c r="Q4706" i="7"/>
  <c r="R4706" i="7"/>
  <c r="U4712" i="7"/>
  <c r="T4712" i="7"/>
  <c r="U4726" i="7"/>
  <c r="T4726" i="7"/>
  <c r="U4742" i="7"/>
  <c r="T4742" i="7"/>
  <c r="U4746" i="7"/>
  <c r="T4746" i="7"/>
  <c r="U4752" i="7"/>
  <c r="T4752" i="7"/>
  <c r="U4760" i="7"/>
  <c r="T4760" i="7"/>
  <c r="U4764" i="7"/>
  <c r="T4764" i="7"/>
  <c r="U4768" i="7"/>
  <c r="T4768" i="7"/>
  <c r="U4776" i="7"/>
  <c r="T4776" i="7"/>
  <c r="U4780" i="7"/>
  <c r="T4780" i="7"/>
  <c r="U4792" i="7"/>
  <c r="T4792" i="7"/>
  <c r="T4875" i="7"/>
  <c r="U4875" i="7"/>
  <c r="R4940" i="7"/>
  <c r="Q4940" i="7"/>
  <c r="R4956" i="7"/>
  <c r="Q4956" i="7"/>
  <c r="Q4963" i="7"/>
  <c r="R4963" i="7"/>
  <c r="R4983" i="7"/>
  <c r="Q4983" i="7"/>
  <c r="R4989" i="7"/>
  <c r="Q4989" i="7"/>
  <c r="R4999" i="7"/>
  <c r="Q4999" i="7"/>
  <c r="T75" i="7"/>
  <c r="T79" i="7"/>
  <c r="T81" i="7"/>
  <c r="T85" i="7"/>
  <c r="T87" i="7"/>
  <c r="T97" i="7"/>
  <c r="T101" i="7"/>
  <c r="T103" i="7"/>
  <c r="T105" i="7"/>
  <c r="T107" i="7"/>
  <c r="T111" i="7"/>
  <c r="T113" i="7"/>
  <c r="T117" i="7"/>
  <c r="T121" i="7"/>
  <c r="T123" i="7"/>
  <c r="T129" i="7"/>
  <c r="T131" i="7"/>
  <c r="T133" i="7"/>
  <c r="T135" i="7"/>
  <c r="T137" i="7"/>
  <c r="T139" i="7"/>
  <c r="T143" i="7"/>
  <c r="T145" i="7"/>
  <c r="T149" i="7"/>
  <c r="T151" i="7"/>
  <c r="T157" i="7"/>
  <c r="T161" i="7"/>
  <c r="T163" i="7"/>
  <c r="T165" i="7"/>
  <c r="T169" i="7"/>
  <c r="T171" i="7"/>
  <c r="T173" i="7"/>
  <c r="T177" i="7"/>
  <c r="T183" i="7"/>
  <c r="T187" i="7"/>
  <c r="T189" i="7"/>
  <c r="T191" i="7"/>
  <c r="T195" i="7"/>
  <c r="T199" i="7"/>
  <c r="T201" i="7"/>
  <c r="T205" i="7"/>
  <c r="T207" i="7"/>
  <c r="T211" i="7"/>
  <c r="T213" i="7"/>
  <c r="T217" i="7"/>
  <c r="T221" i="7"/>
  <c r="T223" i="7"/>
  <c r="T227" i="7"/>
  <c r="T229" i="7"/>
  <c r="T233" i="7"/>
  <c r="T237" i="7"/>
  <c r="T239" i="7"/>
  <c r="T241" i="7"/>
  <c r="T245" i="7"/>
  <c r="T247" i="7"/>
  <c r="T249" i="7"/>
  <c r="T251" i="7"/>
  <c r="T255" i="7"/>
  <c r="T259" i="7"/>
  <c r="T261" i="7"/>
  <c r="T263" i="7"/>
  <c r="T267" i="7"/>
  <c r="T269" i="7"/>
  <c r="T273" i="7"/>
  <c r="T275" i="7"/>
  <c r="T279" i="7"/>
  <c r="T283" i="7"/>
  <c r="T285" i="7"/>
  <c r="T287" i="7"/>
  <c r="T291" i="7"/>
  <c r="T295" i="7"/>
  <c r="T297" i="7"/>
  <c r="T299" i="7"/>
  <c r="T301" i="7"/>
  <c r="T303" i="7"/>
  <c r="T307" i="7"/>
  <c r="T309" i="7"/>
  <c r="T313" i="7"/>
  <c r="T315" i="7"/>
  <c r="T319" i="7"/>
  <c r="T321" i="7"/>
  <c r="T323" i="7"/>
  <c r="T327" i="7"/>
  <c r="T329" i="7"/>
  <c r="T331" i="7"/>
  <c r="T333" i="7"/>
  <c r="T337" i="7"/>
  <c r="T341" i="7"/>
  <c r="T343" i="7"/>
  <c r="T347" i="7"/>
  <c r="T349" i="7"/>
  <c r="T357" i="7"/>
  <c r="T361" i="7"/>
  <c r="T365" i="7"/>
  <c r="T367" i="7"/>
  <c r="T371" i="7"/>
  <c r="T377" i="7"/>
  <c r="T381" i="7"/>
  <c r="T383" i="7"/>
  <c r="T385" i="7"/>
  <c r="T387" i="7"/>
  <c r="T391" i="7"/>
  <c r="T393" i="7"/>
  <c r="T397" i="7"/>
  <c r="T399" i="7"/>
  <c r="T403" i="7"/>
  <c r="T407" i="7"/>
  <c r="T409" i="7"/>
  <c r="T411" i="7"/>
  <c r="T415" i="7"/>
  <c r="T419" i="7"/>
  <c r="T423" i="7"/>
  <c r="T425" i="7"/>
  <c r="T429" i="7"/>
  <c r="T433" i="7"/>
  <c r="U61" i="7"/>
  <c r="Q63" i="7"/>
  <c r="Q65" i="7"/>
  <c r="Q67" i="7"/>
  <c r="Q69" i="7"/>
  <c r="Q71" i="7"/>
  <c r="Q73" i="7"/>
  <c r="Q77" i="7"/>
  <c r="Q81" i="7"/>
  <c r="Q83" i="7"/>
  <c r="Q85" i="7"/>
  <c r="Q87" i="7"/>
  <c r="Q89" i="7"/>
  <c r="Q91" i="7"/>
  <c r="Q93" i="7"/>
  <c r="Q95" i="7"/>
  <c r="Q97" i="7"/>
  <c r="Q99" i="7"/>
  <c r="Q101" i="7"/>
  <c r="Q103" i="7"/>
  <c r="Q105" i="7"/>
  <c r="Q107" i="7"/>
  <c r="Q109" i="7"/>
  <c r="Q111" i="7"/>
  <c r="Q113" i="7"/>
  <c r="Q115" i="7"/>
  <c r="Q117" i="7"/>
  <c r="Q119" i="7"/>
  <c r="Q121" i="7"/>
  <c r="Q123" i="7"/>
  <c r="Q125" i="7"/>
  <c r="Q127" i="7"/>
  <c r="Q129" i="7"/>
  <c r="Q131" i="7"/>
  <c r="Q133" i="7"/>
  <c r="Q135" i="7"/>
  <c r="Q137" i="7"/>
  <c r="Q139" i="7"/>
  <c r="Q141" i="7"/>
  <c r="Q143" i="7"/>
  <c r="Q145" i="7"/>
  <c r="Q147" i="7"/>
  <c r="Q149" i="7"/>
  <c r="Q151" i="7"/>
  <c r="Q153" i="7"/>
  <c r="Q155" i="7"/>
  <c r="Q157" i="7"/>
  <c r="Q159" i="7"/>
  <c r="Q161" i="7"/>
  <c r="Q163" i="7"/>
  <c r="Q165" i="7"/>
  <c r="Q167" i="7"/>
  <c r="Q169" i="7"/>
  <c r="Q171" i="7"/>
  <c r="Q173" i="7"/>
  <c r="Q175" i="7"/>
  <c r="Q177" i="7"/>
  <c r="Q179" i="7"/>
  <c r="Q181" i="7"/>
  <c r="Q183" i="7"/>
  <c r="Q185" i="7"/>
  <c r="Q187" i="7"/>
  <c r="Q189" i="7"/>
  <c r="Q191" i="7"/>
  <c r="Q193" i="7"/>
  <c r="Q195" i="7"/>
  <c r="Q197" i="7"/>
  <c r="Q199" i="7"/>
  <c r="Q201" i="7"/>
  <c r="Q203" i="7"/>
  <c r="Q205" i="7"/>
  <c r="Q207" i="7"/>
  <c r="Q209" i="7"/>
  <c r="Q211" i="7"/>
  <c r="Q213" i="7"/>
  <c r="Q215" i="7"/>
  <c r="Q217" i="7"/>
  <c r="Q219" i="7"/>
  <c r="Q221" i="7"/>
  <c r="Q223" i="7"/>
  <c r="Q225" i="7"/>
  <c r="Q227" i="7"/>
  <c r="Q229" i="7"/>
  <c r="Q231" i="7"/>
  <c r="Q233" i="7"/>
  <c r="Q235" i="7"/>
  <c r="Q237" i="7"/>
  <c r="Q239" i="7"/>
  <c r="Q241" i="7"/>
  <c r="Q243" i="7"/>
  <c r="Q245" i="7"/>
  <c r="Q247" i="7"/>
  <c r="Q249" i="7"/>
  <c r="Q251" i="7"/>
  <c r="Q253" i="7"/>
  <c r="Q255" i="7"/>
  <c r="Q257" i="7"/>
  <c r="Q259" i="7"/>
  <c r="Q261" i="7"/>
  <c r="Q263" i="7"/>
  <c r="Q265" i="7"/>
  <c r="Q267" i="7"/>
  <c r="Q269" i="7"/>
  <c r="Q271" i="7"/>
  <c r="Q273" i="7"/>
  <c r="Q275" i="7"/>
  <c r="Q277" i="7"/>
  <c r="Q279" i="7"/>
  <c r="Q281" i="7"/>
  <c r="Q283" i="7"/>
  <c r="Q285" i="7"/>
  <c r="Q287" i="7"/>
  <c r="Q289" i="7"/>
  <c r="Q291" i="7"/>
  <c r="Q293" i="7"/>
  <c r="Q295" i="7"/>
  <c r="Q297" i="7"/>
  <c r="Q299" i="7"/>
  <c r="Q301" i="7"/>
  <c r="Q303" i="7"/>
  <c r="Q305" i="7"/>
  <c r="Q307" i="7"/>
  <c r="Q309" i="7"/>
  <c r="Q311" i="7"/>
  <c r="Q313" i="7"/>
  <c r="Q315" i="7"/>
  <c r="Q317" i="7"/>
  <c r="Q319" i="7"/>
  <c r="Q321" i="7"/>
  <c r="Q323" i="7"/>
  <c r="Q325" i="7"/>
  <c r="Q327" i="7"/>
  <c r="Q329" i="7"/>
  <c r="Q331" i="7"/>
  <c r="Q333" i="7"/>
  <c r="Q335" i="7"/>
  <c r="Q337" i="7"/>
  <c r="Q339" i="7"/>
  <c r="Q341" i="7"/>
  <c r="Q343" i="7"/>
  <c r="Q345" i="7"/>
  <c r="Q347" i="7"/>
  <c r="Q349" i="7"/>
  <c r="Q351" i="7"/>
  <c r="Q353" i="7"/>
  <c r="Q355" i="7"/>
  <c r="Q357" i="7"/>
  <c r="Q359" i="7"/>
  <c r="Q361" i="7"/>
  <c r="Q363" i="7"/>
  <c r="Q365" i="7"/>
  <c r="Q367" i="7"/>
  <c r="Q369" i="7"/>
  <c r="Q371" i="7"/>
  <c r="Q373" i="7"/>
  <c r="Q375" i="7"/>
  <c r="Q377" i="7"/>
  <c r="Q379" i="7"/>
  <c r="Q381" i="7"/>
  <c r="Q383" i="7"/>
  <c r="Q385" i="7"/>
  <c r="Q387" i="7"/>
  <c r="Q389" i="7"/>
  <c r="Q391" i="7"/>
  <c r="Q393" i="7"/>
  <c r="Q395" i="7"/>
  <c r="Q397" i="7"/>
  <c r="Q399" i="7"/>
  <c r="Q401" i="7"/>
  <c r="Q403" i="7"/>
  <c r="Q405" i="7"/>
  <c r="Q407" i="7"/>
  <c r="Q409" i="7"/>
  <c r="Q411" i="7"/>
  <c r="Q413" i="7"/>
  <c r="Q415" i="7"/>
  <c r="Q417" i="7"/>
  <c r="Q419" i="7"/>
  <c r="Q421" i="7"/>
  <c r="Q423" i="7"/>
  <c r="Q425" i="7"/>
  <c r="Q427" i="7"/>
  <c r="Q429" i="7"/>
  <c r="Q431" i="7"/>
  <c r="Q433" i="7"/>
  <c r="Q435" i="7"/>
  <c r="Q437" i="7"/>
  <c r="Q439" i="7"/>
  <c r="Q441" i="7"/>
  <c r="Q443" i="7"/>
  <c r="Q445" i="7"/>
  <c r="Q447" i="7"/>
  <c r="Q449" i="7"/>
  <c r="Q451" i="7"/>
  <c r="Q453" i="7"/>
  <c r="Q455" i="7"/>
  <c r="Q457" i="7"/>
  <c r="Q459" i="7"/>
  <c r="Q461" i="7"/>
  <c r="Q463" i="7"/>
  <c r="Q465" i="7"/>
  <c r="Q467" i="7"/>
  <c r="Q469" i="7"/>
  <c r="Q471" i="7"/>
  <c r="Q473" i="7"/>
  <c r="Q475" i="7"/>
  <c r="Q477" i="7"/>
  <c r="Q479" i="7"/>
  <c r="Q481" i="7"/>
  <c r="Q483" i="7"/>
  <c r="Q485" i="7"/>
  <c r="Q487" i="7"/>
  <c r="Q489" i="7"/>
  <c r="Q491" i="7"/>
  <c r="Q493" i="7"/>
  <c r="Q495" i="7"/>
  <c r="Q497" i="7"/>
  <c r="Q499" i="7"/>
  <c r="Q501" i="7"/>
  <c r="Q503" i="7"/>
  <c r="Q505" i="7"/>
  <c r="Q507" i="7"/>
  <c r="Q509" i="7"/>
  <c r="Q511" i="7"/>
  <c r="Q513" i="7"/>
  <c r="Q515" i="7"/>
  <c r="Q517" i="7"/>
  <c r="Q519" i="7"/>
  <c r="Q521" i="7"/>
  <c r="Q523" i="7"/>
  <c r="Q525" i="7"/>
  <c r="Q527" i="7"/>
  <c r="Q531" i="7"/>
  <c r="Q533" i="7"/>
  <c r="Q535" i="7"/>
  <c r="Q537" i="7"/>
  <c r="Q539" i="7"/>
  <c r="Q541" i="7"/>
  <c r="Q543" i="7"/>
  <c r="Q545" i="7"/>
  <c r="Q547" i="7"/>
  <c r="Q549" i="7"/>
  <c r="Q551" i="7"/>
  <c r="Q553" i="7"/>
  <c r="Q555" i="7"/>
  <c r="Q557" i="7"/>
  <c r="Q559" i="7"/>
  <c r="Q561" i="7"/>
  <c r="Q563" i="7"/>
  <c r="Q565" i="7"/>
  <c r="Q567" i="7"/>
  <c r="Q569" i="7"/>
  <c r="Q571" i="7"/>
  <c r="Q573" i="7"/>
  <c r="Q575" i="7"/>
  <c r="Q577" i="7"/>
  <c r="Q579" i="7"/>
  <c r="Q581" i="7"/>
  <c r="Q583" i="7"/>
  <c r="Q585" i="7"/>
  <c r="Q587" i="7"/>
  <c r="Q589" i="7"/>
  <c r="Q591" i="7"/>
  <c r="Q593" i="7"/>
  <c r="Q595" i="7"/>
  <c r="Q597" i="7"/>
  <c r="R599" i="7"/>
  <c r="Q600" i="7"/>
  <c r="T601" i="7"/>
  <c r="R603" i="7"/>
  <c r="Q604" i="7"/>
  <c r="T605" i="7"/>
  <c r="R607" i="7"/>
  <c r="Q608" i="7"/>
  <c r="T609" i="7"/>
  <c r="R611" i="7"/>
  <c r="Q612" i="7"/>
  <c r="T613" i="7"/>
  <c r="R615" i="7"/>
  <c r="Q616" i="7"/>
  <c r="T617" i="7"/>
  <c r="R619" i="7"/>
  <c r="Q620" i="7"/>
  <c r="T621" i="7"/>
  <c r="R623" i="7"/>
  <c r="Q624" i="7"/>
  <c r="T625" i="7"/>
  <c r="R627" i="7"/>
  <c r="Q628" i="7"/>
  <c r="T629" i="7"/>
  <c r="R631" i="7"/>
  <c r="Q632" i="7"/>
  <c r="T633" i="7"/>
  <c r="R635" i="7"/>
  <c r="Q636" i="7"/>
  <c r="T637" i="7"/>
  <c r="R639" i="7"/>
  <c r="Q640" i="7"/>
  <c r="T641" i="7"/>
  <c r="R643" i="7"/>
  <c r="Q644" i="7"/>
  <c r="T645" i="7"/>
  <c r="R647" i="7"/>
  <c r="Q648" i="7"/>
  <c r="T649" i="7"/>
  <c r="R651" i="7"/>
  <c r="Q652" i="7"/>
  <c r="T653" i="7"/>
  <c r="R655" i="7"/>
  <c r="Q656" i="7"/>
  <c r="T657" i="7"/>
  <c r="R659" i="7"/>
  <c r="Q660" i="7"/>
  <c r="T661" i="7"/>
  <c r="R663" i="7"/>
  <c r="Q664" i="7"/>
  <c r="T665" i="7"/>
  <c r="R667" i="7"/>
  <c r="Q668" i="7"/>
  <c r="T669" i="7"/>
  <c r="R671" i="7"/>
  <c r="Q672" i="7"/>
  <c r="T673" i="7"/>
  <c r="R675" i="7"/>
  <c r="Q676" i="7"/>
  <c r="T677" i="7"/>
  <c r="R679" i="7"/>
  <c r="Q680" i="7"/>
  <c r="T681" i="7"/>
  <c r="R683" i="7"/>
  <c r="Q684" i="7"/>
  <c r="T685" i="7"/>
  <c r="R687" i="7"/>
  <c r="Q688" i="7"/>
  <c r="T689" i="7"/>
  <c r="R691" i="7"/>
  <c r="Q692" i="7"/>
  <c r="T693" i="7"/>
  <c r="R695" i="7"/>
  <c r="Q696" i="7"/>
  <c r="T697" i="7"/>
  <c r="R699" i="7"/>
  <c r="Q700" i="7"/>
  <c r="T701" i="7"/>
  <c r="R703" i="7"/>
  <c r="Q704" i="7"/>
  <c r="T705" i="7"/>
  <c r="R707" i="7"/>
  <c r="Q708" i="7"/>
  <c r="T709" i="7"/>
  <c r="R711" i="7"/>
  <c r="Q712" i="7"/>
  <c r="T713" i="7"/>
  <c r="R715" i="7"/>
  <c r="Q716" i="7"/>
  <c r="T717" i="7"/>
  <c r="R719" i="7"/>
  <c r="Q720" i="7"/>
  <c r="T721" i="7"/>
  <c r="R723" i="7"/>
  <c r="Q724" i="7"/>
  <c r="T725" i="7"/>
  <c r="R727" i="7"/>
  <c r="Q728" i="7"/>
  <c r="T729" i="7"/>
  <c r="R731" i="7"/>
  <c r="Q732" i="7"/>
  <c r="T733" i="7"/>
  <c r="R735" i="7"/>
  <c r="Q736" i="7"/>
  <c r="T737" i="7"/>
  <c r="R739" i="7"/>
  <c r="Q740" i="7"/>
  <c r="T741" i="7"/>
  <c r="R743" i="7"/>
  <c r="Q744" i="7"/>
  <c r="T745" i="7"/>
  <c r="R747" i="7"/>
  <c r="Q748" i="7"/>
  <c r="T749" i="7"/>
  <c r="R751" i="7"/>
  <c r="Q752" i="7"/>
  <c r="T753" i="7"/>
  <c r="R755" i="7"/>
  <c r="Q756" i="7"/>
  <c r="T757" i="7"/>
  <c r="R759" i="7"/>
  <c r="Q760" i="7"/>
  <c r="T761" i="7"/>
  <c r="R763" i="7"/>
  <c r="Q764" i="7"/>
  <c r="T765" i="7"/>
  <c r="R767" i="7"/>
  <c r="Q768" i="7"/>
  <c r="T769" i="7"/>
  <c r="R771" i="7"/>
  <c r="Q772" i="7"/>
  <c r="T773" i="7"/>
  <c r="R775" i="7"/>
  <c r="Q776" i="7"/>
  <c r="T777" i="7"/>
  <c r="R779" i="7"/>
  <c r="Q780" i="7"/>
  <c r="T781" i="7"/>
  <c r="R783" i="7"/>
  <c r="Q784" i="7"/>
  <c r="T785" i="7"/>
  <c r="R787" i="7"/>
  <c r="Q788" i="7"/>
  <c r="T789" i="7"/>
  <c r="R791" i="7"/>
  <c r="Q792" i="7"/>
  <c r="T793" i="7"/>
  <c r="R795" i="7"/>
  <c r="Q796" i="7"/>
  <c r="T797" i="7"/>
  <c r="R799" i="7"/>
  <c r="Q800" i="7"/>
  <c r="T801" i="7"/>
  <c r="R803" i="7"/>
  <c r="Q804" i="7"/>
  <c r="T805" i="7"/>
  <c r="R807" i="7"/>
  <c r="Q808" i="7"/>
  <c r="T809" i="7"/>
  <c r="R811" i="7"/>
  <c r="Q812" i="7"/>
  <c r="T813" i="7"/>
  <c r="R815" i="7"/>
  <c r="Q816" i="7"/>
  <c r="T817" i="7"/>
  <c r="R819" i="7"/>
  <c r="Q820" i="7"/>
  <c r="T821" i="7"/>
  <c r="R823" i="7"/>
  <c r="Q824" i="7"/>
  <c r="T825" i="7"/>
  <c r="R827" i="7"/>
  <c r="Q828" i="7"/>
  <c r="T829" i="7"/>
  <c r="R831" i="7"/>
  <c r="Q832" i="7"/>
  <c r="R837" i="7"/>
  <c r="R838" i="7"/>
  <c r="R845" i="7"/>
  <c r="R846" i="7"/>
  <c r="R853" i="7"/>
  <c r="R854" i="7"/>
  <c r="R861" i="7"/>
  <c r="R862" i="7"/>
  <c r="R869" i="7"/>
  <c r="R870" i="7"/>
  <c r="R877" i="7"/>
  <c r="R878" i="7"/>
  <c r="R885" i="7"/>
  <c r="R886" i="7"/>
  <c r="R893" i="7"/>
  <c r="R894" i="7"/>
  <c r="R901" i="7"/>
  <c r="R902" i="7"/>
  <c r="R909" i="7"/>
  <c r="R910" i="7"/>
  <c r="R917" i="7"/>
  <c r="R918" i="7"/>
  <c r="R925" i="7"/>
  <c r="R926" i="7"/>
  <c r="R933" i="7"/>
  <c r="R934" i="7"/>
  <c r="R941" i="7"/>
  <c r="R942" i="7"/>
  <c r="R949" i="7"/>
  <c r="R950" i="7"/>
  <c r="R957" i="7"/>
  <c r="R958" i="7"/>
  <c r="R965" i="7"/>
  <c r="R966" i="7"/>
  <c r="R973" i="7"/>
  <c r="R974" i="7"/>
  <c r="R981" i="7"/>
  <c r="R982" i="7"/>
  <c r="R989" i="7"/>
  <c r="R990" i="7"/>
  <c r="R997" i="7"/>
  <c r="R998" i="7"/>
  <c r="R1005" i="7"/>
  <c r="R1006" i="7"/>
  <c r="R1013" i="7"/>
  <c r="R1014" i="7"/>
  <c r="R1021" i="7"/>
  <c r="R1022" i="7"/>
  <c r="R1029" i="7"/>
  <c r="R1030" i="7"/>
  <c r="R1037" i="7"/>
  <c r="R1038" i="7"/>
  <c r="R1045" i="7"/>
  <c r="R1046" i="7"/>
  <c r="R1053" i="7"/>
  <c r="R1054" i="7"/>
  <c r="R1061" i="7"/>
  <c r="R1062" i="7"/>
  <c r="R1069" i="7"/>
  <c r="R1070" i="7"/>
  <c r="R1077" i="7"/>
  <c r="R1078" i="7"/>
  <c r="R1085" i="7"/>
  <c r="R1086" i="7"/>
  <c r="R1093" i="7"/>
  <c r="R1094" i="7"/>
  <c r="R1101" i="7"/>
  <c r="R1102" i="7"/>
  <c r="R1109" i="7"/>
  <c r="R1110" i="7"/>
  <c r="R1117" i="7"/>
  <c r="R1118" i="7"/>
  <c r="R1125" i="7"/>
  <c r="R1126" i="7"/>
  <c r="R1133" i="7"/>
  <c r="R1134" i="7"/>
  <c r="R1141" i="7"/>
  <c r="R1142" i="7"/>
  <c r="R1149" i="7"/>
  <c r="R1150" i="7"/>
  <c r="R1157" i="7"/>
  <c r="R1158" i="7"/>
  <c r="R1165" i="7"/>
  <c r="R1166" i="7"/>
  <c r="R1173" i="7"/>
  <c r="R1174" i="7"/>
  <c r="R1181" i="7"/>
  <c r="R1182" i="7"/>
  <c r="R1189" i="7"/>
  <c r="R1190" i="7"/>
  <c r="R1197" i="7"/>
  <c r="R1198" i="7"/>
  <c r="R1205" i="7"/>
  <c r="R1206" i="7"/>
  <c r="R1213" i="7"/>
  <c r="R1214" i="7"/>
  <c r="R1221" i="7"/>
  <c r="R1222" i="7"/>
  <c r="U1588" i="7"/>
  <c r="T1588" i="7"/>
  <c r="R1591" i="7"/>
  <c r="Q1591" i="7"/>
  <c r="Q1598" i="7"/>
  <c r="R1598" i="7"/>
  <c r="U1604" i="7"/>
  <c r="T1604" i="7"/>
  <c r="R1607" i="7"/>
  <c r="Q1607" i="7"/>
  <c r="Q1614" i="7"/>
  <c r="R1614" i="7"/>
  <c r="U1620" i="7"/>
  <c r="T1620" i="7"/>
  <c r="R1623" i="7"/>
  <c r="Q1623" i="7"/>
  <c r="Q1630" i="7"/>
  <c r="R1630" i="7"/>
  <c r="U1636" i="7"/>
  <c r="T1636" i="7"/>
  <c r="R1639" i="7"/>
  <c r="Q1639" i="7"/>
  <c r="Q1646" i="7"/>
  <c r="R1646" i="7"/>
  <c r="U1652" i="7"/>
  <c r="T1652" i="7"/>
  <c r="R1655" i="7"/>
  <c r="Q1655" i="7"/>
  <c r="Q1662" i="7"/>
  <c r="R1662" i="7"/>
  <c r="U1668" i="7"/>
  <c r="T1668" i="7"/>
  <c r="R1671" i="7"/>
  <c r="Q1671" i="7"/>
  <c r="Q1678" i="7"/>
  <c r="R1678" i="7"/>
  <c r="U1684" i="7"/>
  <c r="T1684" i="7"/>
  <c r="R1687" i="7"/>
  <c r="Q1687" i="7"/>
  <c r="Q1694" i="7"/>
  <c r="R1694" i="7"/>
  <c r="U1700" i="7"/>
  <c r="T1700" i="7"/>
  <c r="R1703" i="7"/>
  <c r="Q1703" i="7"/>
  <c r="Q1710" i="7"/>
  <c r="R1710" i="7"/>
  <c r="U1716" i="7"/>
  <c r="T1716" i="7"/>
  <c r="R1719" i="7"/>
  <c r="Q1719" i="7"/>
  <c r="Q1726" i="7"/>
  <c r="R1726" i="7"/>
  <c r="U1732" i="7"/>
  <c r="T1732" i="7"/>
  <c r="R1735" i="7"/>
  <c r="Q1735" i="7"/>
  <c r="Q1742" i="7"/>
  <c r="R1742" i="7"/>
  <c r="U1748" i="7"/>
  <c r="T1748" i="7"/>
  <c r="R1751" i="7"/>
  <c r="Q1751" i="7"/>
  <c r="Q1758" i="7"/>
  <c r="R1758" i="7"/>
  <c r="U1764" i="7"/>
  <c r="T1764" i="7"/>
  <c r="R1767" i="7"/>
  <c r="Q1767" i="7"/>
  <c r="Q1774" i="7"/>
  <c r="R1774" i="7"/>
  <c r="U1780" i="7"/>
  <c r="T1780" i="7"/>
  <c r="R1783" i="7"/>
  <c r="Q1783" i="7"/>
  <c r="Q1790" i="7"/>
  <c r="R1790" i="7"/>
  <c r="U1796" i="7"/>
  <c r="T1796" i="7"/>
  <c r="R1799" i="7"/>
  <c r="Q1799" i="7"/>
  <c r="Q1806" i="7"/>
  <c r="R1806" i="7"/>
  <c r="U1812" i="7"/>
  <c r="T1812" i="7"/>
  <c r="R1815" i="7"/>
  <c r="Q1815" i="7"/>
  <c r="Q1822" i="7"/>
  <c r="R1822" i="7"/>
  <c r="U1828" i="7"/>
  <c r="T1828" i="7"/>
  <c r="R1831" i="7"/>
  <c r="Q1831" i="7"/>
  <c r="Q1838" i="7"/>
  <c r="R1838" i="7"/>
  <c r="U1844" i="7"/>
  <c r="T1844" i="7"/>
  <c r="R1847" i="7"/>
  <c r="Q1847" i="7"/>
  <c r="Q1854" i="7"/>
  <c r="R1854" i="7"/>
  <c r="U1860" i="7"/>
  <c r="T1860" i="7"/>
  <c r="R1863" i="7"/>
  <c r="Q1863" i="7"/>
  <c r="Q1870" i="7"/>
  <c r="R1870" i="7"/>
  <c r="U1876" i="7"/>
  <c r="T1876" i="7"/>
  <c r="R1879" i="7"/>
  <c r="Q1879" i="7"/>
  <c r="Q1886" i="7"/>
  <c r="R1886" i="7"/>
  <c r="U1892" i="7"/>
  <c r="T1892" i="7"/>
  <c r="R1895" i="7"/>
  <c r="Q1895" i="7"/>
  <c r="Q1902" i="7"/>
  <c r="R1902" i="7"/>
  <c r="U1908" i="7"/>
  <c r="T1908" i="7"/>
  <c r="R1911" i="7"/>
  <c r="Q1911" i="7"/>
  <c r="Q1918" i="7"/>
  <c r="R1918" i="7"/>
  <c r="U1924" i="7"/>
  <c r="T1924" i="7"/>
  <c r="R1927" i="7"/>
  <c r="Q1927" i="7"/>
  <c r="Q1934" i="7"/>
  <c r="R1934" i="7"/>
  <c r="U1940" i="7"/>
  <c r="T1940" i="7"/>
  <c r="R1943" i="7"/>
  <c r="Q1943" i="7"/>
  <c r="Q1950" i="7"/>
  <c r="R1950" i="7"/>
  <c r="U1956" i="7"/>
  <c r="T1956" i="7"/>
  <c r="R1959" i="7"/>
  <c r="Q1959" i="7"/>
  <c r="Q1966" i="7"/>
  <c r="R1966" i="7"/>
  <c r="R1993" i="7"/>
  <c r="Q1993" i="7"/>
  <c r="U1998" i="7"/>
  <c r="T1998" i="7"/>
  <c r="R2025" i="7"/>
  <c r="Q2025" i="7"/>
  <c r="U2030" i="7"/>
  <c r="T2030" i="7"/>
  <c r="R2057" i="7"/>
  <c r="Q2057" i="7"/>
  <c r="U2062" i="7"/>
  <c r="T2062" i="7"/>
  <c r="R2089" i="7"/>
  <c r="Q2089" i="7"/>
  <c r="U2094" i="7"/>
  <c r="T2094" i="7"/>
  <c r="R2121" i="7"/>
  <c r="Q2121" i="7"/>
  <c r="U2126" i="7"/>
  <c r="T2126" i="7"/>
  <c r="R1599" i="7"/>
  <c r="Q1599" i="7"/>
  <c r="U1628" i="7"/>
  <c r="T1628" i="7"/>
  <c r="R1663" i="7"/>
  <c r="Q1663" i="7"/>
  <c r="Q1670" i="7"/>
  <c r="R1670" i="7"/>
  <c r="U1708" i="7"/>
  <c r="T1708" i="7"/>
  <c r="U1740" i="7"/>
  <c r="T1740" i="7"/>
  <c r="Q1750" i="7"/>
  <c r="R1750" i="7"/>
  <c r="U1756" i="7"/>
  <c r="T1756" i="7"/>
  <c r="R1775" i="7"/>
  <c r="Q1775" i="7"/>
  <c r="R1791" i="7"/>
  <c r="Q1791" i="7"/>
  <c r="Q1798" i="7"/>
  <c r="R1798" i="7"/>
  <c r="U1804" i="7"/>
  <c r="T1804" i="7"/>
  <c r="R1823" i="7"/>
  <c r="Q1823" i="7"/>
  <c r="R1871" i="7"/>
  <c r="Q1871" i="7"/>
  <c r="Q1878" i="7"/>
  <c r="R1878" i="7"/>
  <c r="U1884" i="7"/>
  <c r="T1884" i="7"/>
  <c r="U1900" i="7"/>
  <c r="T1900" i="7"/>
  <c r="R1919" i="7"/>
  <c r="Q1919" i="7"/>
  <c r="R1935" i="7"/>
  <c r="Q1935" i="7"/>
  <c r="R1951" i="7"/>
  <c r="Q1951" i="7"/>
  <c r="R1967" i="7"/>
  <c r="Q1967" i="7"/>
  <c r="U1982" i="7"/>
  <c r="T1982" i="7"/>
  <c r="R2009" i="7"/>
  <c r="Q2009" i="7"/>
  <c r="U2046" i="7"/>
  <c r="T2046" i="7"/>
  <c r="U2110" i="7"/>
  <c r="T2110" i="7"/>
  <c r="Q2208" i="7"/>
  <c r="R2208" i="7"/>
  <c r="U2214" i="7"/>
  <c r="T2214" i="7"/>
  <c r="Q2224" i="7"/>
  <c r="R2224" i="7"/>
  <c r="R2265" i="7"/>
  <c r="Q2265" i="7"/>
  <c r="Q2272" i="7"/>
  <c r="R2272" i="7"/>
  <c r="U2278" i="7"/>
  <c r="T2278" i="7"/>
  <c r="Q2288" i="7"/>
  <c r="R2288" i="7"/>
  <c r="U2294" i="7"/>
  <c r="T2294" i="7"/>
  <c r="R2329" i="7"/>
  <c r="Q2329" i="7"/>
  <c r="U2364" i="7"/>
  <c r="T2364" i="7"/>
  <c r="U2372" i="7"/>
  <c r="T2372" i="7"/>
  <c r="U2396" i="7"/>
  <c r="T2396" i="7"/>
  <c r="U2404" i="7"/>
  <c r="T2404" i="7"/>
  <c r="U2428" i="7"/>
  <c r="T2428" i="7"/>
  <c r="U2436" i="7"/>
  <c r="T2436" i="7"/>
  <c r="U2444" i="7"/>
  <c r="T2444" i="7"/>
  <c r="U2492" i="7"/>
  <c r="T2492" i="7"/>
  <c r="U2500" i="7"/>
  <c r="T2500" i="7"/>
  <c r="U2548" i="7"/>
  <c r="T2548" i="7"/>
  <c r="U2572" i="7"/>
  <c r="T2572" i="7"/>
  <c r="U2588" i="7"/>
  <c r="T2588" i="7"/>
  <c r="U2596" i="7"/>
  <c r="T2596" i="7"/>
  <c r="U2620" i="7"/>
  <c r="T2620" i="7"/>
  <c r="U2628" i="7"/>
  <c r="T2628" i="7"/>
  <c r="U2644" i="7"/>
  <c r="T2644" i="7"/>
  <c r="U2668" i="7"/>
  <c r="T2668" i="7"/>
  <c r="U2684" i="7"/>
  <c r="T2684" i="7"/>
  <c r="U2688" i="7"/>
  <c r="T2688" i="7"/>
  <c r="U2696" i="7"/>
  <c r="T2696" i="7"/>
  <c r="U2700" i="7"/>
  <c r="T2700" i="7"/>
  <c r="U2706" i="7"/>
  <c r="T2706" i="7"/>
  <c r="U2714" i="7"/>
  <c r="T2714" i="7"/>
  <c r="U2718" i="7"/>
  <c r="T2718" i="7"/>
  <c r="U2724" i="7"/>
  <c r="T2724" i="7"/>
  <c r="U2728" i="7"/>
  <c r="T2728" i="7"/>
  <c r="U2734" i="7"/>
  <c r="T2734" i="7"/>
  <c r="U2740" i="7"/>
  <c r="T2740" i="7"/>
  <c r="U2742" i="7"/>
  <c r="T2742" i="7"/>
  <c r="U2750" i="7"/>
  <c r="T2750" i="7"/>
  <c r="U2754" i="7"/>
  <c r="T2754" i="7"/>
  <c r="U2762" i="7"/>
  <c r="T2762" i="7"/>
  <c r="U2766" i="7"/>
  <c r="T2766" i="7"/>
  <c r="U2770" i="7"/>
  <c r="T2770" i="7"/>
  <c r="U2776" i="7"/>
  <c r="T2776" i="7"/>
  <c r="U2782" i="7"/>
  <c r="T2782" i="7"/>
  <c r="U2786" i="7"/>
  <c r="T2786" i="7"/>
  <c r="U2794" i="7"/>
  <c r="T2794" i="7"/>
  <c r="U2800" i="7"/>
  <c r="T2800" i="7"/>
  <c r="U2804" i="7"/>
  <c r="T2804" i="7"/>
  <c r="U2810" i="7"/>
  <c r="T2810" i="7"/>
  <c r="U2816" i="7"/>
  <c r="T2816" i="7"/>
  <c r="U2822" i="7"/>
  <c r="T2822" i="7"/>
  <c r="U2826" i="7"/>
  <c r="T2826" i="7"/>
  <c r="U2834" i="7"/>
  <c r="T2834" i="7"/>
  <c r="U2838" i="7"/>
  <c r="T2838" i="7"/>
  <c r="U2842" i="7"/>
  <c r="T2842" i="7"/>
  <c r="U2848" i="7"/>
  <c r="T2848" i="7"/>
  <c r="U2856" i="7"/>
  <c r="T2856" i="7"/>
  <c r="U2862" i="7"/>
  <c r="T2862" i="7"/>
  <c r="U2866" i="7"/>
  <c r="T2866" i="7"/>
  <c r="U2870" i="7"/>
  <c r="T2870" i="7"/>
  <c r="U2878" i="7"/>
  <c r="T2878" i="7"/>
  <c r="U2882" i="7"/>
  <c r="T2882" i="7"/>
  <c r="U2886" i="7"/>
  <c r="T2886" i="7"/>
  <c r="U2894" i="7"/>
  <c r="T2894" i="7"/>
  <c r="U2898" i="7"/>
  <c r="T2898" i="7"/>
  <c r="U2906" i="7"/>
  <c r="T2906" i="7"/>
  <c r="U2912" i="7"/>
  <c r="T2912" i="7"/>
  <c r="U2916" i="7"/>
  <c r="T2916" i="7"/>
  <c r="U2922" i="7"/>
  <c r="T2922" i="7"/>
  <c r="U2928" i="7"/>
  <c r="T2928" i="7"/>
  <c r="R3145" i="7"/>
  <c r="Q3145" i="7"/>
  <c r="T3596" i="7"/>
  <c r="U3596" i="7"/>
  <c r="T3612" i="7"/>
  <c r="U3612" i="7"/>
  <c r="T3628" i="7"/>
  <c r="U3628" i="7"/>
  <c r="T3644" i="7"/>
  <c r="U3644" i="7"/>
  <c r="T3660" i="7"/>
  <c r="U3660" i="7"/>
  <c r="T3699" i="7"/>
  <c r="U3699" i="7"/>
  <c r="Q3746" i="7"/>
  <c r="R3746" i="7"/>
  <c r="U3752" i="7"/>
  <c r="T3752" i="7"/>
  <c r="Q3762" i="7"/>
  <c r="R3762" i="7"/>
  <c r="U3768" i="7"/>
  <c r="T3768" i="7"/>
  <c r="Q3778" i="7"/>
  <c r="R3778" i="7"/>
  <c r="U3784" i="7"/>
  <c r="T3784" i="7"/>
  <c r="R3803" i="7"/>
  <c r="Q3803" i="7"/>
  <c r="Q3810" i="7"/>
  <c r="R3810" i="7"/>
  <c r="U3816" i="7"/>
  <c r="T3816" i="7"/>
  <c r="Q3826" i="7"/>
  <c r="R3826" i="7"/>
  <c r="U3832" i="7"/>
  <c r="T3832" i="7"/>
  <c r="R3851" i="7"/>
  <c r="Q3851" i="7"/>
  <c r="R4063" i="7"/>
  <c r="Q4063" i="7"/>
  <c r="R4087" i="7"/>
  <c r="Q4087" i="7"/>
  <c r="R4119" i="7"/>
  <c r="Q4119" i="7"/>
  <c r="R4159" i="7"/>
  <c r="Q4159" i="7"/>
  <c r="R4183" i="7"/>
  <c r="Q4183" i="7"/>
  <c r="Q4497" i="7"/>
  <c r="R4497" i="7"/>
  <c r="U4578" i="7"/>
  <c r="T4578" i="7"/>
  <c r="U4594" i="7"/>
  <c r="T4594" i="7"/>
  <c r="T4601" i="7"/>
  <c r="U4601" i="7"/>
  <c r="R4608" i="7"/>
  <c r="Q4608" i="7"/>
  <c r="U4626" i="7"/>
  <c r="T4626" i="7"/>
  <c r="T4633" i="7"/>
  <c r="U4633" i="7"/>
  <c r="U4642" i="7"/>
  <c r="T4642" i="7"/>
  <c r="T4649" i="7"/>
  <c r="U4649" i="7"/>
  <c r="R4656" i="7"/>
  <c r="Q4656" i="7"/>
  <c r="Q4690" i="7"/>
  <c r="R4690" i="7"/>
  <c r="U4696" i="7"/>
  <c r="T4696" i="7"/>
  <c r="U4748" i="7"/>
  <c r="T4748" i="7"/>
  <c r="U4754" i="7"/>
  <c r="T4754" i="7"/>
  <c r="U4758" i="7"/>
  <c r="T4758" i="7"/>
  <c r="U4762" i="7"/>
  <c r="T4762" i="7"/>
  <c r="U4770" i="7"/>
  <c r="T4770" i="7"/>
  <c r="U4774" i="7"/>
  <c r="T4774" i="7"/>
  <c r="U4782" i="7"/>
  <c r="T4782" i="7"/>
  <c r="T4871" i="7"/>
  <c r="U4871" i="7"/>
  <c r="T4879" i="7"/>
  <c r="U4879" i="7"/>
  <c r="T4883" i="7"/>
  <c r="U4883" i="7"/>
  <c r="T4891" i="7"/>
  <c r="U4891" i="7"/>
  <c r="Q4931" i="7"/>
  <c r="R4931" i="7"/>
  <c r="U4937" i="7"/>
  <c r="T4937" i="7"/>
  <c r="Q4947" i="7"/>
  <c r="R4947" i="7"/>
  <c r="U4953" i="7"/>
  <c r="T4953" i="7"/>
  <c r="R4987" i="7"/>
  <c r="Q4987" i="7"/>
  <c r="R4993" i="7"/>
  <c r="Q4993" i="7"/>
  <c r="R4995" i="7"/>
  <c r="Q4995" i="7"/>
  <c r="R5001" i="7"/>
  <c r="Q5001" i="7"/>
  <c r="R1159" i="7"/>
  <c r="R1167" i="7"/>
  <c r="R1168" i="7"/>
  <c r="R1175" i="7"/>
  <c r="R1176" i="7"/>
  <c r="R1183" i="7"/>
  <c r="R1184" i="7"/>
  <c r="R1191" i="7"/>
  <c r="R1192" i="7"/>
  <c r="R1199" i="7"/>
  <c r="R1200" i="7"/>
  <c r="R1207" i="7"/>
  <c r="R1208" i="7"/>
  <c r="R1215" i="7"/>
  <c r="R1216" i="7"/>
  <c r="R1223" i="7"/>
  <c r="R1224" i="7"/>
  <c r="Q1586" i="7"/>
  <c r="R1586" i="7"/>
  <c r="U1592" i="7"/>
  <c r="T1592" i="7"/>
  <c r="R1595" i="7"/>
  <c r="Q1595" i="7"/>
  <c r="Q1602" i="7"/>
  <c r="R1602" i="7"/>
  <c r="U1608" i="7"/>
  <c r="T1608" i="7"/>
  <c r="R1611" i="7"/>
  <c r="Q1611" i="7"/>
  <c r="Q1618" i="7"/>
  <c r="R1618" i="7"/>
  <c r="U1624" i="7"/>
  <c r="T1624" i="7"/>
  <c r="R1627" i="7"/>
  <c r="Q1627" i="7"/>
  <c r="Q1634" i="7"/>
  <c r="R1634" i="7"/>
  <c r="U1640" i="7"/>
  <c r="T1640" i="7"/>
  <c r="R1643" i="7"/>
  <c r="Q1643" i="7"/>
  <c r="Q1650" i="7"/>
  <c r="R1650" i="7"/>
  <c r="U1656" i="7"/>
  <c r="T1656" i="7"/>
  <c r="R1659" i="7"/>
  <c r="Q1659" i="7"/>
  <c r="Q1666" i="7"/>
  <c r="R1666" i="7"/>
  <c r="U1672" i="7"/>
  <c r="T1672" i="7"/>
  <c r="R1675" i="7"/>
  <c r="Q1675" i="7"/>
  <c r="Q1682" i="7"/>
  <c r="R1682" i="7"/>
  <c r="U1688" i="7"/>
  <c r="T1688" i="7"/>
  <c r="R1691" i="7"/>
  <c r="Q1691" i="7"/>
  <c r="Q1698" i="7"/>
  <c r="R1698" i="7"/>
  <c r="U1704" i="7"/>
  <c r="T1704" i="7"/>
  <c r="R1707" i="7"/>
  <c r="Q1707" i="7"/>
  <c r="Q1714" i="7"/>
  <c r="R1714" i="7"/>
  <c r="U1720" i="7"/>
  <c r="T1720" i="7"/>
  <c r="R1723" i="7"/>
  <c r="Q1723" i="7"/>
  <c r="Q1730" i="7"/>
  <c r="R1730" i="7"/>
  <c r="U1736" i="7"/>
  <c r="T1736" i="7"/>
  <c r="R1739" i="7"/>
  <c r="Q1739" i="7"/>
  <c r="Q1746" i="7"/>
  <c r="R1746" i="7"/>
  <c r="U1752" i="7"/>
  <c r="T1752" i="7"/>
  <c r="R1755" i="7"/>
  <c r="Q1755" i="7"/>
  <c r="Q1762" i="7"/>
  <c r="R1762" i="7"/>
  <c r="U1768" i="7"/>
  <c r="T1768" i="7"/>
  <c r="R1771" i="7"/>
  <c r="Q1771" i="7"/>
  <c r="Q1778" i="7"/>
  <c r="R1778" i="7"/>
  <c r="U1784" i="7"/>
  <c r="T1784" i="7"/>
  <c r="R1787" i="7"/>
  <c r="Q1787" i="7"/>
  <c r="Q1794" i="7"/>
  <c r="R1794" i="7"/>
  <c r="U1800" i="7"/>
  <c r="T1800" i="7"/>
  <c r="R1803" i="7"/>
  <c r="Q1803" i="7"/>
  <c r="Q1810" i="7"/>
  <c r="R1810" i="7"/>
  <c r="U1816" i="7"/>
  <c r="T1816" i="7"/>
  <c r="R1819" i="7"/>
  <c r="Q1819" i="7"/>
  <c r="Q1826" i="7"/>
  <c r="R1826" i="7"/>
  <c r="U1832" i="7"/>
  <c r="T1832" i="7"/>
  <c r="R1835" i="7"/>
  <c r="Q1835" i="7"/>
  <c r="Q1842" i="7"/>
  <c r="R1842" i="7"/>
  <c r="U1848" i="7"/>
  <c r="T1848" i="7"/>
  <c r="R1851" i="7"/>
  <c r="Q1851" i="7"/>
  <c r="Q1858" i="7"/>
  <c r="R1858" i="7"/>
  <c r="U1864" i="7"/>
  <c r="T1864" i="7"/>
  <c r="R1867" i="7"/>
  <c r="Q1867" i="7"/>
  <c r="Q1874" i="7"/>
  <c r="R1874" i="7"/>
  <c r="U1880" i="7"/>
  <c r="T1880" i="7"/>
  <c r="R1883" i="7"/>
  <c r="Q1883" i="7"/>
  <c r="Q1890" i="7"/>
  <c r="R1890" i="7"/>
  <c r="U1896" i="7"/>
  <c r="T1896" i="7"/>
  <c r="R1899" i="7"/>
  <c r="Q1899" i="7"/>
  <c r="Q1906" i="7"/>
  <c r="R1906" i="7"/>
  <c r="U1912" i="7"/>
  <c r="T1912" i="7"/>
  <c r="R1915" i="7"/>
  <c r="Q1915" i="7"/>
  <c r="Q1922" i="7"/>
  <c r="R1922" i="7"/>
  <c r="U1928" i="7"/>
  <c r="T1928" i="7"/>
  <c r="R1931" i="7"/>
  <c r="Q1931" i="7"/>
  <c r="Q1938" i="7"/>
  <c r="R1938" i="7"/>
  <c r="U1944" i="7"/>
  <c r="T1944" i="7"/>
  <c r="R1947" i="7"/>
  <c r="Q1947" i="7"/>
  <c r="Q1954" i="7"/>
  <c r="R1954" i="7"/>
  <c r="U1960" i="7"/>
  <c r="T1960" i="7"/>
  <c r="R1963" i="7"/>
  <c r="Q1963" i="7"/>
  <c r="Q1970" i="7"/>
  <c r="R1970" i="7"/>
  <c r="Q1972" i="7"/>
  <c r="R1972" i="7"/>
  <c r="Q1991" i="7"/>
  <c r="R1991" i="7"/>
  <c r="U1996" i="7"/>
  <c r="T1996" i="7"/>
  <c r="Q2002" i="7"/>
  <c r="R2002" i="7"/>
  <c r="Q2004" i="7"/>
  <c r="R2004" i="7"/>
  <c r="Q2023" i="7"/>
  <c r="R2023" i="7"/>
  <c r="U2028" i="7"/>
  <c r="T2028" i="7"/>
  <c r="Q2034" i="7"/>
  <c r="R2034" i="7"/>
  <c r="Q2036" i="7"/>
  <c r="R2036" i="7"/>
  <c r="Q2055" i="7"/>
  <c r="R2055" i="7"/>
  <c r="U2060" i="7"/>
  <c r="T2060" i="7"/>
  <c r="Q2066" i="7"/>
  <c r="R2066" i="7"/>
  <c r="Q2068" i="7"/>
  <c r="R2068" i="7"/>
  <c r="Q2087" i="7"/>
  <c r="R2087" i="7"/>
  <c r="U2092" i="7"/>
  <c r="T2092" i="7"/>
  <c r="Q2098" i="7"/>
  <c r="R2098" i="7"/>
  <c r="Q2100" i="7"/>
  <c r="R2100" i="7"/>
  <c r="Q2119" i="7"/>
  <c r="R2119" i="7"/>
  <c r="U2124" i="7"/>
  <c r="T2124" i="7"/>
  <c r="Q2130" i="7"/>
  <c r="R2130" i="7"/>
  <c r="Q2132" i="7"/>
  <c r="R2132" i="7"/>
  <c r="R2153" i="7"/>
  <c r="Q2153" i="7"/>
  <c r="R2161" i="7"/>
  <c r="Q2161" i="7"/>
  <c r="R2169" i="7"/>
  <c r="Q2169" i="7"/>
  <c r="R2177" i="7"/>
  <c r="Q2177" i="7"/>
  <c r="R2185" i="7"/>
  <c r="Q2185" i="7"/>
  <c r="R2193" i="7"/>
  <c r="Q2193" i="7"/>
  <c r="R2201" i="7"/>
  <c r="Q2201" i="7"/>
  <c r="Q1974" i="7"/>
  <c r="R1974" i="7"/>
  <c r="U1984" i="7"/>
  <c r="T1984" i="7"/>
  <c r="Q1990" i="7"/>
  <c r="R1990" i="7"/>
  <c r="U2000" i="7"/>
  <c r="T2000" i="7"/>
  <c r="Q2006" i="7"/>
  <c r="R2006" i="7"/>
  <c r="U2016" i="7"/>
  <c r="T2016" i="7"/>
  <c r="Q2022" i="7"/>
  <c r="R2022" i="7"/>
  <c r="U2032" i="7"/>
  <c r="T2032" i="7"/>
  <c r="Q2038" i="7"/>
  <c r="R2038" i="7"/>
  <c r="U2048" i="7"/>
  <c r="T2048" i="7"/>
  <c r="Q2054" i="7"/>
  <c r="R2054" i="7"/>
  <c r="U2064" i="7"/>
  <c r="T2064" i="7"/>
  <c r="Q2070" i="7"/>
  <c r="R2070" i="7"/>
  <c r="U2080" i="7"/>
  <c r="T2080" i="7"/>
  <c r="Q2086" i="7"/>
  <c r="R2086" i="7"/>
  <c r="U2096" i="7"/>
  <c r="T2096" i="7"/>
  <c r="Q2102" i="7"/>
  <c r="R2102" i="7"/>
  <c r="U2112" i="7"/>
  <c r="T2112" i="7"/>
  <c r="Q2118" i="7"/>
  <c r="R2118" i="7"/>
  <c r="U2128" i="7"/>
  <c r="T2128" i="7"/>
  <c r="Q2134" i="7"/>
  <c r="R2134" i="7"/>
  <c r="U2144" i="7"/>
  <c r="T2144" i="7"/>
  <c r="Q2150" i="7"/>
  <c r="R2150" i="7"/>
  <c r="Q2212" i="7"/>
  <c r="R2212" i="7"/>
  <c r="U2218" i="7"/>
  <c r="T2218" i="7"/>
  <c r="R2221" i="7"/>
  <c r="Q2221" i="7"/>
  <c r="Q2228" i="7"/>
  <c r="R2228" i="7"/>
  <c r="U2234" i="7"/>
  <c r="T2234" i="7"/>
  <c r="R2237" i="7"/>
  <c r="Q2237" i="7"/>
  <c r="Q2244" i="7"/>
  <c r="R2244" i="7"/>
  <c r="U2250" i="7"/>
  <c r="T2250" i="7"/>
  <c r="R2253" i="7"/>
  <c r="Q2253" i="7"/>
  <c r="Q2260" i="7"/>
  <c r="R2260" i="7"/>
  <c r="U2266" i="7"/>
  <c r="T2266" i="7"/>
  <c r="R2269" i="7"/>
  <c r="Q2269" i="7"/>
  <c r="Q2276" i="7"/>
  <c r="R2276" i="7"/>
  <c r="U2282" i="7"/>
  <c r="T2282" i="7"/>
  <c r="R2285" i="7"/>
  <c r="Q2285" i="7"/>
  <c r="Q2292" i="7"/>
  <c r="R2292" i="7"/>
  <c r="U2298" i="7"/>
  <c r="T2298" i="7"/>
  <c r="R2301" i="7"/>
  <c r="Q2301" i="7"/>
  <c r="Q2308" i="7"/>
  <c r="R2308" i="7"/>
  <c r="U2314" i="7"/>
  <c r="T2314" i="7"/>
  <c r="R2317" i="7"/>
  <c r="Q2317" i="7"/>
  <c r="Q2324" i="7"/>
  <c r="R2324" i="7"/>
  <c r="U2330" i="7"/>
  <c r="T2330" i="7"/>
  <c r="R2333" i="7"/>
  <c r="Q2333" i="7"/>
  <c r="Q2340" i="7"/>
  <c r="R2340" i="7"/>
  <c r="U2346" i="7"/>
  <c r="T2346" i="7"/>
  <c r="R2349" i="7"/>
  <c r="Q2349" i="7"/>
  <c r="Q2356" i="7"/>
  <c r="R2356" i="7"/>
  <c r="U2362" i="7"/>
  <c r="T2362" i="7"/>
  <c r="U2370" i="7"/>
  <c r="T2370" i="7"/>
  <c r="U2378" i="7"/>
  <c r="T2378" i="7"/>
  <c r="U2386" i="7"/>
  <c r="T2386" i="7"/>
  <c r="U2394" i="7"/>
  <c r="T2394" i="7"/>
  <c r="U2402" i="7"/>
  <c r="T2402" i="7"/>
  <c r="U2410" i="7"/>
  <c r="T2410" i="7"/>
  <c r="U2418" i="7"/>
  <c r="T2418" i="7"/>
  <c r="U2426" i="7"/>
  <c r="T2426" i="7"/>
  <c r="U2434" i="7"/>
  <c r="T2434" i="7"/>
  <c r="U2442" i="7"/>
  <c r="T2442" i="7"/>
  <c r="U2450" i="7"/>
  <c r="T2450" i="7"/>
  <c r="U2458" i="7"/>
  <c r="T2458" i="7"/>
  <c r="U2466" i="7"/>
  <c r="T2466" i="7"/>
  <c r="U2474" i="7"/>
  <c r="T2474" i="7"/>
  <c r="U2482" i="7"/>
  <c r="T2482" i="7"/>
  <c r="U2490" i="7"/>
  <c r="T2490" i="7"/>
  <c r="U2498" i="7"/>
  <c r="T2498" i="7"/>
  <c r="U2506" i="7"/>
  <c r="T2506" i="7"/>
  <c r="U2514" i="7"/>
  <c r="T2514" i="7"/>
  <c r="U2522" i="7"/>
  <c r="T2522" i="7"/>
  <c r="U2530" i="7"/>
  <c r="T2530" i="7"/>
  <c r="U2538" i="7"/>
  <c r="T2538" i="7"/>
  <c r="U2546" i="7"/>
  <c r="T2546" i="7"/>
  <c r="U2554" i="7"/>
  <c r="T2554" i="7"/>
  <c r="U2562" i="7"/>
  <c r="T2562" i="7"/>
  <c r="U2570" i="7"/>
  <c r="T2570" i="7"/>
  <c r="U2578" i="7"/>
  <c r="T2578" i="7"/>
  <c r="U2586" i="7"/>
  <c r="T2586" i="7"/>
  <c r="U2594" i="7"/>
  <c r="T2594" i="7"/>
  <c r="U2602" i="7"/>
  <c r="T2602" i="7"/>
  <c r="U2610" i="7"/>
  <c r="T2610" i="7"/>
  <c r="U2618" i="7"/>
  <c r="T2618" i="7"/>
  <c r="U2626" i="7"/>
  <c r="T2626" i="7"/>
  <c r="U2634" i="7"/>
  <c r="T2634" i="7"/>
  <c r="U2642" i="7"/>
  <c r="T2642" i="7"/>
  <c r="U2650" i="7"/>
  <c r="T2650" i="7"/>
  <c r="U2658" i="7"/>
  <c r="T2658" i="7"/>
  <c r="U2666" i="7"/>
  <c r="T2666" i="7"/>
  <c r="U2674" i="7"/>
  <c r="T2674" i="7"/>
  <c r="U2682" i="7"/>
  <c r="T2682" i="7"/>
  <c r="U1972" i="7"/>
  <c r="T1972" i="7"/>
  <c r="Q1978" i="7"/>
  <c r="R1978" i="7"/>
  <c r="U1988" i="7"/>
  <c r="T1988" i="7"/>
  <c r="Q1994" i="7"/>
  <c r="R1994" i="7"/>
  <c r="U2004" i="7"/>
  <c r="T2004" i="7"/>
  <c r="Q2010" i="7"/>
  <c r="R2010" i="7"/>
  <c r="U2020" i="7"/>
  <c r="T2020" i="7"/>
  <c r="Q2026" i="7"/>
  <c r="R2026" i="7"/>
  <c r="U2036" i="7"/>
  <c r="T2036" i="7"/>
  <c r="Q2042" i="7"/>
  <c r="R2042" i="7"/>
  <c r="U2052" i="7"/>
  <c r="T2052" i="7"/>
  <c r="Q2058" i="7"/>
  <c r="R2058" i="7"/>
  <c r="U2068" i="7"/>
  <c r="T2068" i="7"/>
  <c r="Q2074" i="7"/>
  <c r="R2074" i="7"/>
  <c r="U2084" i="7"/>
  <c r="T2084" i="7"/>
  <c r="Q2090" i="7"/>
  <c r="R2090" i="7"/>
  <c r="U2100" i="7"/>
  <c r="T2100" i="7"/>
  <c r="Q2106" i="7"/>
  <c r="R2106" i="7"/>
  <c r="U2116" i="7"/>
  <c r="T2116" i="7"/>
  <c r="Q2122" i="7"/>
  <c r="R2122" i="7"/>
  <c r="U2132" i="7"/>
  <c r="T2132" i="7"/>
  <c r="Q2138" i="7"/>
  <c r="R2138" i="7"/>
  <c r="U2148" i="7"/>
  <c r="T2148" i="7"/>
  <c r="U2206" i="7"/>
  <c r="T2206" i="7"/>
  <c r="R2209" i="7"/>
  <c r="Q2209" i="7"/>
  <c r="Q2216" i="7"/>
  <c r="R2216" i="7"/>
  <c r="U2222" i="7"/>
  <c r="T2222" i="7"/>
  <c r="R2225" i="7"/>
  <c r="Q2225" i="7"/>
  <c r="Q2232" i="7"/>
  <c r="R2232" i="7"/>
  <c r="U2238" i="7"/>
  <c r="T2238" i="7"/>
  <c r="R2241" i="7"/>
  <c r="Q2241" i="7"/>
  <c r="Q2248" i="7"/>
  <c r="R2248" i="7"/>
  <c r="U2254" i="7"/>
  <c r="T2254" i="7"/>
  <c r="R2257" i="7"/>
  <c r="Q2257" i="7"/>
  <c r="Q2264" i="7"/>
  <c r="R2264" i="7"/>
  <c r="U2270" i="7"/>
  <c r="T2270" i="7"/>
  <c r="R2273" i="7"/>
  <c r="Q2273" i="7"/>
  <c r="Q2280" i="7"/>
  <c r="R2280" i="7"/>
  <c r="U2286" i="7"/>
  <c r="T2286" i="7"/>
  <c r="R2289" i="7"/>
  <c r="Q2289" i="7"/>
  <c r="Q2296" i="7"/>
  <c r="R2296" i="7"/>
  <c r="U2302" i="7"/>
  <c r="T2302" i="7"/>
  <c r="R2305" i="7"/>
  <c r="Q2305" i="7"/>
  <c r="Q2312" i="7"/>
  <c r="R2312" i="7"/>
  <c r="U2318" i="7"/>
  <c r="T2318" i="7"/>
  <c r="R2321" i="7"/>
  <c r="Q2321" i="7"/>
  <c r="Q2328" i="7"/>
  <c r="R2328" i="7"/>
  <c r="U2334" i="7"/>
  <c r="T2334" i="7"/>
  <c r="R2337" i="7"/>
  <c r="Q2337" i="7"/>
  <c r="Q2344" i="7"/>
  <c r="R2344" i="7"/>
  <c r="U2350" i="7"/>
  <c r="T2350" i="7"/>
  <c r="R2353" i="7"/>
  <c r="Q2353" i="7"/>
  <c r="Q2360" i="7"/>
  <c r="R2360" i="7"/>
  <c r="U2368" i="7"/>
  <c r="T2368" i="7"/>
  <c r="U2376" i="7"/>
  <c r="T2376" i="7"/>
  <c r="U2384" i="7"/>
  <c r="T2384" i="7"/>
  <c r="U2392" i="7"/>
  <c r="T2392" i="7"/>
  <c r="U2400" i="7"/>
  <c r="T2400" i="7"/>
  <c r="U2408" i="7"/>
  <c r="T2408" i="7"/>
  <c r="U2416" i="7"/>
  <c r="T2416" i="7"/>
  <c r="U2424" i="7"/>
  <c r="T2424" i="7"/>
  <c r="U2432" i="7"/>
  <c r="T2432" i="7"/>
  <c r="U2440" i="7"/>
  <c r="T2440" i="7"/>
  <c r="U2448" i="7"/>
  <c r="T2448" i="7"/>
  <c r="U2456" i="7"/>
  <c r="T2456" i="7"/>
  <c r="U2464" i="7"/>
  <c r="T2464" i="7"/>
  <c r="U2472" i="7"/>
  <c r="T2472" i="7"/>
  <c r="U2480" i="7"/>
  <c r="T2480" i="7"/>
  <c r="U2488" i="7"/>
  <c r="T2488" i="7"/>
  <c r="U2496" i="7"/>
  <c r="T2496" i="7"/>
  <c r="U2504" i="7"/>
  <c r="T2504" i="7"/>
  <c r="U2512" i="7"/>
  <c r="T2512" i="7"/>
  <c r="U2520" i="7"/>
  <c r="T2520" i="7"/>
  <c r="U2528" i="7"/>
  <c r="T2528" i="7"/>
  <c r="U2536" i="7"/>
  <c r="T2536" i="7"/>
  <c r="U2544" i="7"/>
  <c r="T2544" i="7"/>
  <c r="U2552" i="7"/>
  <c r="T2552" i="7"/>
  <c r="U2560" i="7"/>
  <c r="T2560" i="7"/>
  <c r="U2568" i="7"/>
  <c r="T2568" i="7"/>
  <c r="U2576" i="7"/>
  <c r="T2576" i="7"/>
  <c r="U2584" i="7"/>
  <c r="T2584" i="7"/>
  <c r="U2592" i="7"/>
  <c r="T2592" i="7"/>
  <c r="U2600" i="7"/>
  <c r="T2600" i="7"/>
  <c r="U2608" i="7"/>
  <c r="T2608" i="7"/>
  <c r="U2616" i="7"/>
  <c r="T2616" i="7"/>
  <c r="U2624" i="7"/>
  <c r="T2624" i="7"/>
  <c r="U2632" i="7"/>
  <c r="T2632" i="7"/>
  <c r="U2640" i="7"/>
  <c r="T2640" i="7"/>
  <c r="U2648" i="7"/>
  <c r="T2648" i="7"/>
  <c r="U2656" i="7"/>
  <c r="T2656" i="7"/>
  <c r="U2664" i="7"/>
  <c r="T2664" i="7"/>
  <c r="U2672" i="7"/>
  <c r="T2672" i="7"/>
  <c r="U2680" i="7"/>
  <c r="T2680" i="7"/>
  <c r="R1584" i="7"/>
  <c r="T1586" i="7"/>
  <c r="R1588" i="7"/>
  <c r="T1590" i="7"/>
  <c r="R1592" i="7"/>
  <c r="T1594" i="7"/>
  <c r="R1596" i="7"/>
  <c r="T1598" i="7"/>
  <c r="R1600" i="7"/>
  <c r="T1602" i="7"/>
  <c r="R1604" i="7"/>
  <c r="T1606" i="7"/>
  <c r="R1608" i="7"/>
  <c r="T1610" i="7"/>
  <c r="R1612" i="7"/>
  <c r="T1614" i="7"/>
  <c r="R1616" i="7"/>
  <c r="T1618" i="7"/>
  <c r="R1620" i="7"/>
  <c r="T1622" i="7"/>
  <c r="R1624" i="7"/>
  <c r="T1626" i="7"/>
  <c r="R1628" i="7"/>
  <c r="T1630" i="7"/>
  <c r="R1632" i="7"/>
  <c r="T1634" i="7"/>
  <c r="R1636" i="7"/>
  <c r="T1638" i="7"/>
  <c r="R1640" i="7"/>
  <c r="T1642" i="7"/>
  <c r="R1644" i="7"/>
  <c r="T1646" i="7"/>
  <c r="R1648" i="7"/>
  <c r="T1650" i="7"/>
  <c r="R1652" i="7"/>
  <c r="T1654" i="7"/>
  <c r="R1656" i="7"/>
  <c r="T1658" i="7"/>
  <c r="R1660" i="7"/>
  <c r="T1662" i="7"/>
  <c r="R1664" i="7"/>
  <c r="T1666" i="7"/>
  <c r="R1668" i="7"/>
  <c r="T1670" i="7"/>
  <c r="R1672" i="7"/>
  <c r="T1674" i="7"/>
  <c r="R1676" i="7"/>
  <c r="T1678" i="7"/>
  <c r="R1680" i="7"/>
  <c r="T1682" i="7"/>
  <c r="R1684" i="7"/>
  <c r="T1686" i="7"/>
  <c r="R1688" i="7"/>
  <c r="T1690" i="7"/>
  <c r="R1692" i="7"/>
  <c r="T1694" i="7"/>
  <c r="R1696" i="7"/>
  <c r="T1698" i="7"/>
  <c r="R1700" i="7"/>
  <c r="T1702" i="7"/>
  <c r="R1704" i="7"/>
  <c r="T1706" i="7"/>
  <c r="R1708" i="7"/>
  <c r="T1710" i="7"/>
  <c r="R1712" i="7"/>
  <c r="T1714" i="7"/>
  <c r="R1716" i="7"/>
  <c r="T1718" i="7"/>
  <c r="R1720" i="7"/>
  <c r="T1722" i="7"/>
  <c r="R1724" i="7"/>
  <c r="T1726" i="7"/>
  <c r="R1728" i="7"/>
  <c r="T1730" i="7"/>
  <c r="R1732" i="7"/>
  <c r="T1734" i="7"/>
  <c r="R1736" i="7"/>
  <c r="T1738" i="7"/>
  <c r="R1740" i="7"/>
  <c r="T1742" i="7"/>
  <c r="R1744" i="7"/>
  <c r="T1746" i="7"/>
  <c r="R1748" i="7"/>
  <c r="T1750" i="7"/>
  <c r="R1752" i="7"/>
  <c r="T1754" i="7"/>
  <c r="R1756" i="7"/>
  <c r="T1758" i="7"/>
  <c r="R1760" i="7"/>
  <c r="T1762" i="7"/>
  <c r="R1764" i="7"/>
  <c r="T1766" i="7"/>
  <c r="R1768" i="7"/>
  <c r="T1770" i="7"/>
  <c r="R1772" i="7"/>
  <c r="T1774" i="7"/>
  <c r="R1776" i="7"/>
  <c r="T1778" i="7"/>
  <c r="R1780" i="7"/>
  <c r="T1782" i="7"/>
  <c r="R1784" i="7"/>
  <c r="T1786" i="7"/>
  <c r="R1788" i="7"/>
  <c r="T1790" i="7"/>
  <c r="R1792" i="7"/>
  <c r="T1794" i="7"/>
  <c r="R1796" i="7"/>
  <c r="T1798" i="7"/>
  <c r="R1800" i="7"/>
  <c r="T1802" i="7"/>
  <c r="R1804" i="7"/>
  <c r="T1806" i="7"/>
  <c r="R1808" i="7"/>
  <c r="T1810" i="7"/>
  <c r="R1812" i="7"/>
  <c r="T1814" i="7"/>
  <c r="R1816" i="7"/>
  <c r="T1818" i="7"/>
  <c r="R1820" i="7"/>
  <c r="T1822" i="7"/>
  <c r="R1824" i="7"/>
  <c r="T1826" i="7"/>
  <c r="R1828" i="7"/>
  <c r="T1830" i="7"/>
  <c r="R1832" i="7"/>
  <c r="T1834" i="7"/>
  <c r="R1836" i="7"/>
  <c r="T1838" i="7"/>
  <c r="R1840" i="7"/>
  <c r="T1842" i="7"/>
  <c r="R1844" i="7"/>
  <c r="T1846" i="7"/>
  <c r="R1848" i="7"/>
  <c r="T1850" i="7"/>
  <c r="R1852" i="7"/>
  <c r="T1854" i="7"/>
  <c r="R1856" i="7"/>
  <c r="T1858" i="7"/>
  <c r="R1860" i="7"/>
  <c r="T1862" i="7"/>
  <c r="R1864" i="7"/>
  <c r="T1866" i="7"/>
  <c r="R1868" i="7"/>
  <c r="T1870" i="7"/>
  <c r="R1872" i="7"/>
  <c r="T1874" i="7"/>
  <c r="R1876" i="7"/>
  <c r="T1878" i="7"/>
  <c r="R1880" i="7"/>
  <c r="T1882" i="7"/>
  <c r="R1884" i="7"/>
  <c r="T1886" i="7"/>
  <c r="R1888" i="7"/>
  <c r="T1890" i="7"/>
  <c r="R1892" i="7"/>
  <c r="T1894" i="7"/>
  <c r="R1896" i="7"/>
  <c r="T1898" i="7"/>
  <c r="R1900" i="7"/>
  <c r="T1902" i="7"/>
  <c r="R1904" i="7"/>
  <c r="T1906" i="7"/>
  <c r="R1908" i="7"/>
  <c r="T1910" i="7"/>
  <c r="R1912" i="7"/>
  <c r="T1914" i="7"/>
  <c r="R1916" i="7"/>
  <c r="T1918" i="7"/>
  <c r="R1920" i="7"/>
  <c r="T1922" i="7"/>
  <c r="R1924" i="7"/>
  <c r="T1926" i="7"/>
  <c r="R1928" i="7"/>
  <c r="T1930" i="7"/>
  <c r="R1932" i="7"/>
  <c r="T1934" i="7"/>
  <c r="R1936" i="7"/>
  <c r="T1938" i="7"/>
  <c r="R1940" i="7"/>
  <c r="T1942" i="7"/>
  <c r="R1944" i="7"/>
  <c r="T1946" i="7"/>
  <c r="R1948" i="7"/>
  <c r="T1950" i="7"/>
  <c r="R1952" i="7"/>
  <c r="T1954" i="7"/>
  <c r="R1956" i="7"/>
  <c r="T1958" i="7"/>
  <c r="R1960" i="7"/>
  <c r="T1962" i="7"/>
  <c r="R1964" i="7"/>
  <c r="T1966" i="7"/>
  <c r="R1968" i="7"/>
  <c r="T1974" i="7"/>
  <c r="U1976" i="7"/>
  <c r="T1976" i="7"/>
  <c r="R1980" i="7"/>
  <c r="Q1982" i="7"/>
  <c r="R1982" i="7"/>
  <c r="R1983" i="7"/>
  <c r="T1990" i="7"/>
  <c r="U1992" i="7"/>
  <c r="T1992" i="7"/>
  <c r="R1996" i="7"/>
  <c r="Q1998" i="7"/>
  <c r="R1998" i="7"/>
  <c r="R1999" i="7"/>
  <c r="T2006" i="7"/>
  <c r="U2008" i="7"/>
  <c r="T2008" i="7"/>
  <c r="R2012" i="7"/>
  <c r="Q2014" i="7"/>
  <c r="R2014" i="7"/>
  <c r="R2015" i="7"/>
  <c r="T2022" i="7"/>
  <c r="U2024" i="7"/>
  <c r="T2024" i="7"/>
  <c r="R2028" i="7"/>
  <c r="Q2030" i="7"/>
  <c r="R2030" i="7"/>
  <c r="R2031" i="7"/>
  <c r="T2038" i="7"/>
  <c r="U2040" i="7"/>
  <c r="T2040" i="7"/>
  <c r="R2044" i="7"/>
  <c r="Q2046" i="7"/>
  <c r="R2046" i="7"/>
  <c r="R2047" i="7"/>
  <c r="T2054" i="7"/>
  <c r="U2056" i="7"/>
  <c r="T2056" i="7"/>
  <c r="R2060" i="7"/>
  <c r="Q2062" i="7"/>
  <c r="R2062" i="7"/>
  <c r="R2063" i="7"/>
  <c r="T2070" i="7"/>
  <c r="U2072" i="7"/>
  <c r="T2072" i="7"/>
  <c r="R2076" i="7"/>
  <c r="Q2078" i="7"/>
  <c r="R2078" i="7"/>
  <c r="R2079" i="7"/>
  <c r="T2086" i="7"/>
  <c r="U2088" i="7"/>
  <c r="T2088" i="7"/>
  <c r="R2092" i="7"/>
  <c r="Q2094" i="7"/>
  <c r="R2094" i="7"/>
  <c r="R2095" i="7"/>
  <c r="T2102" i="7"/>
  <c r="U2104" i="7"/>
  <c r="T2104" i="7"/>
  <c r="R2108" i="7"/>
  <c r="Q2110" i="7"/>
  <c r="R2110" i="7"/>
  <c r="R2111" i="7"/>
  <c r="T2118" i="7"/>
  <c r="U2120" i="7"/>
  <c r="T2120" i="7"/>
  <c r="R2124" i="7"/>
  <c r="Q2126" i="7"/>
  <c r="R2126" i="7"/>
  <c r="R2127" i="7"/>
  <c r="T2134" i="7"/>
  <c r="U2136" i="7"/>
  <c r="T2136" i="7"/>
  <c r="R2140" i="7"/>
  <c r="Q2142" i="7"/>
  <c r="R2142" i="7"/>
  <c r="R2143" i="7"/>
  <c r="T2150" i="7"/>
  <c r="T2154" i="7"/>
  <c r="T2158" i="7"/>
  <c r="T2162" i="7"/>
  <c r="T2166" i="7"/>
  <c r="T2170" i="7"/>
  <c r="T2174" i="7"/>
  <c r="T2178" i="7"/>
  <c r="T2182" i="7"/>
  <c r="T2186" i="7"/>
  <c r="T2190" i="7"/>
  <c r="T2194" i="7"/>
  <c r="T2198" i="7"/>
  <c r="T2202" i="7"/>
  <c r="U2210" i="7"/>
  <c r="T2210" i="7"/>
  <c r="R2213" i="7"/>
  <c r="Q2213" i="7"/>
  <c r="Q2220" i="7"/>
  <c r="R2220" i="7"/>
  <c r="U2226" i="7"/>
  <c r="T2226" i="7"/>
  <c r="R2229" i="7"/>
  <c r="Q2229" i="7"/>
  <c r="Q2236" i="7"/>
  <c r="R2236" i="7"/>
  <c r="U2242" i="7"/>
  <c r="T2242" i="7"/>
  <c r="R2245" i="7"/>
  <c r="Q2245" i="7"/>
  <c r="Q2252" i="7"/>
  <c r="R2252" i="7"/>
  <c r="U2258" i="7"/>
  <c r="T2258" i="7"/>
  <c r="R2261" i="7"/>
  <c r="Q2261" i="7"/>
  <c r="Q2268" i="7"/>
  <c r="R2268" i="7"/>
  <c r="U2274" i="7"/>
  <c r="T2274" i="7"/>
  <c r="R2277" i="7"/>
  <c r="Q2277" i="7"/>
  <c r="Q2284" i="7"/>
  <c r="R2284" i="7"/>
  <c r="U2290" i="7"/>
  <c r="T2290" i="7"/>
  <c r="R2293" i="7"/>
  <c r="Q2293" i="7"/>
  <c r="Q2300" i="7"/>
  <c r="R2300" i="7"/>
  <c r="U2306" i="7"/>
  <c r="T2306" i="7"/>
  <c r="R2309" i="7"/>
  <c r="Q2309" i="7"/>
  <c r="Q2316" i="7"/>
  <c r="R2316" i="7"/>
  <c r="U2322" i="7"/>
  <c r="T2322" i="7"/>
  <c r="R2325" i="7"/>
  <c r="Q2325" i="7"/>
  <c r="Q2332" i="7"/>
  <c r="R2332" i="7"/>
  <c r="U2338" i="7"/>
  <c r="T2338" i="7"/>
  <c r="R2341" i="7"/>
  <c r="Q2341" i="7"/>
  <c r="Q2348" i="7"/>
  <c r="R2348" i="7"/>
  <c r="U2354" i="7"/>
  <c r="T2354" i="7"/>
  <c r="R2357" i="7"/>
  <c r="Q2357" i="7"/>
  <c r="U2366" i="7"/>
  <c r="T2366" i="7"/>
  <c r="U2374" i="7"/>
  <c r="T2374" i="7"/>
  <c r="U2382" i="7"/>
  <c r="T2382" i="7"/>
  <c r="U2390" i="7"/>
  <c r="T2390" i="7"/>
  <c r="U2398" i="7"/>
  <c r="T2398" i="7"/>
  <c r="U2406" i="7"/>
  <c r="T2406" i="7"/>
  <c r="U2414" i="7"/>
  <c r="T2414" i="7"/>
  <c r="U2422" i="7"/>
  <c r="T2422" i="7"/>
  <c r="U2430" i="7"/>
  <c r="T2430" i="7"/>
  <c r="U2438" i="7"/>
  <c r="T2438" i="7"/>
  <c r="U2446" i="7"/>
  <c r="T2446" i="7"/>
  <c r="U2454" i="7"/>
  <c r="T2454" i="7"/>
  <c r="U2462" i="7"/>
  <c r="T2462" i="7"/>
  <c r="U2470" i="7"/>
  <c r="T2470" i="7"/>
  <c r="U2478" i="7"/>
  <c r="T2478" i="7"/>
  <c r="U2486" i="7"/>
  <c r="T2486" i="7"/>
  <c r="U2494" i="7"/>
  <c r="T2494" i="7"/>
  <c r="U2502" i="7"/>
  <c r="T2502" i="7"/>
  <c r="U2510" i="7"/>
  <c r="T2510" i="7"/>
  <c r="U2518" i="7"/>
  <c r="T2518" i="7"/>
  <c r="U2526" i="7"/>
  <c r="T2526" i="7"/>
  <c r="U2534" i="7"/>
  <c r="T2534" i="7"/>
  <c r="U2542" i="7"/>
  <c r="T2542" i="7"/>
  <c r="U2550" i="7"/>
  <c r="T2550" i="7"/>
  <c r="U2558" i="7"/>
  <c r="T2558" i="7"/>
  <c r="U2566" i="7"/>
  <c r="T2566" i="7"/>
  <c r="U2574" i="7"/>
  <c r="T2574" i="7"/>
  <c r="U2582" i="7"/>
  <c r="T2582" i="7"/>
  <c r="U2590" i="7"/>
  <c r="T2590" i="7"/>
  <c r="U2598" i="7"/>
  <c r="T2598" i="7"/>
  <c r="U2606" i="7"/>
  <c r="T2606" i="7"/>
  <c r="U2614" i="7"/>
  <c r="T2614" i="7"/>
  <c r="U2622" i="7"/>
  <c r="T2622" i="7"/>
  <c r="U2630" i="7"/>
  <c r="T2630" i="7"/>
  <c r="U2638" i="7"/>
  <c r="T2638" i="7"/>
  <c r="U2646" i="7"/>
  <c r="T2646" i="7"/>
  <c r="U2654" i="7"/>
  <c r="T2654" i="7"/>
  <c r="U2662" i="7"/>
  <c r="T2662" i="7"/>
  <c r="U2670" i="7"/>
  <c r="T2670" i="7"/>
  <c r="U2678" i="7"/>
  <c r="T2678" i="7"/>
  <c r="U3111" i="7"/>
  <c r="T3111" i="7"/>
  <c r="U3127" i="7"/>
  <c r="T3127" i="7"/>
  <c r="U3143" i="7"/>
  <c r="T3143" i="7"/>
  <c r="U3159" i="7"/>
  <c r="T3159" i="7"/>
  <c r="Q2363" i="7"/>
  <c r="Q2365" i="7"/>
  <c r="Q2367" i="7"/>
  <c r="Q2369" i="7"/>
  <c r="Q2371" i="7"/>
  <c r="Q2373" i="7"/>
  <c r="Q2375" i="7"/>
  <c r="Q2377" i="7"/>
  <c r="Q2379" i="7"/>
  <c r="Q2381" i="7"/>
  <c r="Q2383" i="7"/>
  <c r="Q2385" i="7"/>
  <c r="Q2387" i="7"/>
  <c r="Q2389" i="7"/>
  <c r="Q2391" i="7"/>
  <c r="Q2393" i="7"/>
  <c r="Q2395" i="7"/>
  <c r="Q2397" i="7"/>
  <c r="Q2399" i="7"/>
  <c r="Q2401" i="7"/>
  <c r="Q2403" i="7"/>
  <c r="Q2405" i="7"/>
  <c r="Q2407" i="7"/>
  <c r="Q2409" i="7"/>
  <c r="Q2411" i="7"/>
  <c r="Q2413" i="7"/>
  <c r="Q2415" i="7"/>
  <c r="Q2417" i="7"/>
  <c r="Q2419" i="7"/>
  <c r="Q2421" i="7"/>
  <c r="Q2423" i="7"/>
  <c r="Q2425" i="7"/>
  <c r="Q2427" i="7"/>
  <c r="Q2429" i="7"/>
  <c r="Q2431" i="7"/>
  <c r="Q2433" i="7"/>
  <c r="Q2435" i="7"/>
  <c r="Q2437" i="7"/>
  <c r="Q2439" i="7"/>
  <c r="Q2441" i="7"/>
  <c r="Q2443" i="7"/>
  <c r="Q2445" i="7"/>
  <c r="Q2447" i="7"/>
  <c r="Q2449" i="7"/>
  <c r="Q2451" i="7"/>
  <c r="Q2453" i="7"/>
  <c r="Q2455" i="7"/>
  <c r="Q2457" i="7"/>
  <c r="Q2459" i="7"/>
  <c r="Q2461" i="7"/>
  <c r="Q2463" i="7"/>
  <c r="Q2465" i="7"/>
  <c r="Q2467" i="7"/>
  <c r="Q2469" i="7"/>
  <c r="Q2471" i="7"/>
  <c r="Q2473" i="7"/>
  <c r="Q2475" i="7"/>
  <c r="Q2477" i="7"/>
  <c r="Q2479" i="7"/>
  <c r="Q2481" i="7"/>
  <c r="Q2483" i="7"/>
  <c r="Q2485" i="7"/>
  <c r="Q2487" i="7"/>
  <c r="Q2489" i="7"/>
  <c r="Q2491" i="7"/>
  <c r="Q2493" i="7"/>
  <c r="Q2495" i="7"/>
  <c r="Q2497" i="7"/>
  <c r="Q2499" i="7"/>
  <c r="Q2501" i="7"/>
  <c r="Q2503" i="7"/>
  <c r="Q2505" i="7"/>
  <c r="Q2507" i="7"/>
  <c r="Q2509" i="7"/>
  <c r="Q2511" i="7"/>
  <c r="Q2513" i="7"/>
  <c r="Q2515" i="7"/>
  <c r="Q2517" i="7"/>
  <c r="Q2519" i="7"/>
  <c r="Q2521" i="7"/>
  <c r="Q2523" i="7"/>
  <c r="Q2525" i="7"/>
  <c r="Q2527" i="7"/>
  <c r="Q2529" i="7"/>
  <c r="Q2531" i="7"/>
  <c r="Q2533" i="7"/>
  <c r="Q2535" i="7"/>
  <c r="Q2537" i="7"/>
  <c r="Q2539" i="7"/>
  <c r="Q2541" i="7"/>
  <c r="Q2543" i="7"/>
  <c r="Q2545" i="7"/>
  <c r="Q2547" i="7"/>
  <c r="Q2549" i="7"/>
  <c r="Q2551" i="7"/>
  <c r="Q2553" i="7"/>
  <c r="Q2555" i="7"/>
  <c r="Q2557" i="7"/>
  <c r="Q2559" i="7"/>
  <c r="Q2561" i="7"/>
  <c r="Q2563" i="7"/>
  <c r="Q2565" i="7"/>
  <c r="Q2567" i="7"/>
  <c r="Q2569" i="7"/>
  <c r="Q2571" i="7"/>
  <c r="Q2573" i="7"/>
  <c r="Q2575" i="7"/>
  <c r="Q2577" i="7"/>
  <c r="Q2579" i="7"/>
  <c r="Q2581" i="7"/>
  <c r="Q2583" i="7"/>
  <c r="Q2585" i="7"/>
  <c r="Q2587" i="7"/>
  <c r="Q2589" i="7"/>
  <c r="Q2591" i="7"/>
  <c r="Q2593" i="7"/>
  <c r="Q2595" i="7"/>
  <c r="Q2597" i="7"/>
  <c r="Q2599" i="7"/>
  <c r="Q2601" i="7"/>
  <c r="Q2603" i="7"/>
  <c r="Q2605" i="7"/>
  <c r="Q2607" i="7"/>
  <c r="Q2609" i="7"/>
  <c r="Q2611" i="7"/>
  <c r="Q2613" i="7"/>
  <c r="Q2615" i="7"/>
  <c r="Q2617" i="7"/>
  <c r="Q2619" i="7"/>
  <c r="Q2621" i="7"/>
  <c r="Q2623" i="7"/>
  <c r="Q2625" i="7"/>
  <c r="Q2627" i="7"/>
  <c r="Q2629" i="7"/>
  <c r="Q2631" i="7"/>
  <c r="Q2633" i="7"/>
  <c r="Q2635" i="7"/>
  <c r="Q2637" i="7"/>
  <c r="Q2639" i="7"/>
  <c r="Q2641" i="7"/>
  <c r="Q2643" i="7"/>
  <c r="Q2645" i="7"/>
  <c r="Q2647" i="7"/>
  <c r="Q2649" i="7"/>
  <c r="Q2651" i="7"/>
  <c r="Q2653" i="7"/>
  <c r="Q2655" i="7"/>
  <c r="Q2657" i="7"/>
  <c r="Q2659" i="7"/>
  <c r="Q2661" i="7"/>
  <c r="Q2663" i="7"/>
  <c r="Q2665" i="7"/>
  <c r="Q2667" i="7"/>
  <c r="Q2669" i="7"/>
  <c r="Q2671" i="7"/>
  <c r="Q2673" i="7"/>
  <c r="Q2675" i="7"/>
  <c r="Q2677" i="7"/>
  <c r="Q2679" i="7"/>
  <c r="Q2681" i="7"/>
  <c r="Q2683" i="7"/>
  <c r="R3105" i="7"/>
  <c r="Q3105" i="7"/>
  <c r="R3121" i="7"/>
  <c r="Q3121" i="7"/>
  <c r="R3137" i="7"/>
  <c r="Q3137" i="7"/>
  <c r="R3153" i="7"/>
  <c r="Q3153" i="7"/>
  <c r="T2152" i="7"/>
  <c r="R2154" i="7"/>
  <c r="T2156" i="7"/>
  <c r="R2158" i="7"/>
  <c r="T2160" i="7"/>
  <c r="R2162" i="7"/>
  <c r="T2164" i="7"/>
  <c r="R2166" i="7"/>
  <c r="T2168" i="7"/>
  <c r="R2170" i="7"/>
  <c r="T2172" i="7"/>
  <c r="R2174" i="7"/>
  <c r="T2176" i="7"/>
  <c r="R2178" i="7"/>
  <c r="T2180" i="7"/>
  <c r="R2182" i="7"/>
  <c r="T2184" i="7"/>
  <c r="R2186" i="7"/>
  <c r="T2188" i="7"/>
  <c r="R2190" i="7"/>
  <c r="T2192" i="7"/>
  <c r="R2194" i="7"/>
  <c r="T2196" i="7"/>
  <c r="R2198" i="7"/>
  <c r="T2200" i="7"/>
  <c r="R2202" i="7"/>
  <c r="T2204" i="7"/>
  <c r="R2206" i="7"/>
  <c r="T2208" i="7"/>
  <c r="R2210" i="7"/>
  <c r="T2212" i="7"/>
  <c r="R2214" i="7"/>
  <c r="T2216" i="7"/>
  <c r="R2218" i="7"/>
  <c r="T2220" i="7"/>
  <c r="R2222" i="7"/>
  <c r="T2224" i="7"/>
  <c r="R2226" i="7"/>
  <c r="T2228" i="7"/>
  <c r="R2230" i="7"/>
  <c r="T2232" i="7"/>
  <c r="R2234" i="7"/>
  <c r="T2236" i="7"/>
  <c r="R2238" i="7"/>
  <c r="T2240" i="7"/>
  <c r="R2242" i="7"/>
  <c r="T2244" i="7"/>
  <c r="R2246" i="7"/>
  <c r="T2248" i="7"/>
  <c r="R2250" i="7"/>
  <c r="T2252" i="7"/>
  <c r="R2254" i="7"/>
  <c r="T2256" i="7"/>
  <c r="R2258" i="7"/>
  <c r="T2260" i="7"/>
  <c r="R2262" i="7"/>
  <c r="T2264" i="7"/>
  <c r="R2266" i="7"/>
  <c r="T2268" i="7"/>
  <c r="R2270" i="7"/>
  <c r="T2272" i="7"/>
  <c r="R2274" i="7"/>
  <c r="T2276" i="7"/>
  <c r="R2278" i="7"/>
  <c r="T2280" i="7"/>
  <c r="R2282" i="7"/>
  <c r="T2284" i="7"/>
  <c r="R2286" i="7"/>
  <c r="T2288" i="7"/>
  <c r="R2290" i="7"/>
  <c r="T2292" i="7"/>
  <c r="R2294" i="7"/>
  <c r="T2296" i="7"/>
  <c r="R2298" i="7"/>
  <c r="T2300" i="7"/>
  <c r="R2302" i="7"/>
  <c r="T2304" i="7"/>
  <c r="R2306" i="7"/>
  <c r="T2308" i="7"/>
  <c r="R2310" i="7"/>
  <c r="T2312" i="7"/>
  <c r="R2314" i="7"/>
  <c r="T2316" i="7"/>
  <c r="R2318" i="7"/>
  <c r="T2320" i="7"/>
  <c r="R2322" i="7"/>
  <c r="T2324" i="7"/>
  <c r="R2326" i="7"/>
  <c r="T2328" i="7"/>
  <c r="R2330" i="7"/>
  <c r="T2332" i="7"/>
  <c r="R2334" i="7"/>
  <c r="T2336" i="7"/>
  <c r="R2338" i="7"/>
  <c r="T2340" i="7"/>
  <c r="R2342" i="7"/>
  <c r="T2344" i="7"/>
  <c r="R2346" i="7"/>
  <c r="T2348" i="7"/>
  <c r="R2350" i="7"/>
  <c r="T2352" i="7"/>
  <c r="R2354" i="7"/>
  <c r="T2356" i="7"/>
  <c r="R2358" i="7"/>
  <c r="T2360" i="7"/>
  <c r="R2362" i="7"/>
  <c r="U3103" i="7"/>
  <c r="T3103" i="7"/>
  <c r="U3119" i="7"/>
  <c r="T3119" i="7"/>
  <c r="U3135" i="7"/>
  <c r="T3135" i="7"/>
  <c r="U3151" i="7"/>
  <c r="T3151" i="7"/>
  <c r="R3107" i="7"/>
  <c r="Q3107" i="7"/>
  <c r="R3115" i="7"/>
  <c r="Q3115" i="7"/>
  <c r="R3123" i="7"/>
  <c r="Q3123" i="7"/>
  <c r="R3131" i="7"/>
  <c r="Q3131" i="7"/>
  <c r="R3139" i="7"/>
  <c r="Q3139" i="7"/>
  <c r="R3147" i="7"/>
  <c r="Q3147" i="7"/>
  <c r="R3155" i="7"/>
  <c r="Q3155" i="7"/>
  <c r="U3161" i="7"/>
  <c r="T3161" i="7"/>
  <c r="U3163" i="7"/>
  <c r="T3163" i="7"/>
  <c r="U3165" i="7"/>
  <c r="T3165" i="7"/>
  <c r="U3167" i="7"/>
  <c r="T3167" i="7"/>
  <c r="U3169" i="7"/>
  <c r="T3169" i="7"/>
  <c r="U3171" i="7"/>
  <c r="T3171" i="7"/>
  <c r="U3173" i="7"/>
  <c r="T3173" i="7"/>
  <c r="U3175" i="7"/>
  <c r="T3175" i="7"/>
  <c r="U3177" i="7"/>
  <c r="T3177" i="7"/>
  <c r="U3179" i="7"/>
  <c r="T3179" i="7"/>
  <c r="U3181" i="7"/>
  <c r="T3181" i="7"/>
  <c r="U3183" i="7"/>
  <c r="T3183" i="7"/>
  <c r="U3185" i="7"/>
  <c r="T3185" i="7"/>
  <c r="U3187" i="7"/>
  <c r="T3187" i="7"/>
  <c r="U3189" i="7"/>
  <c r="T3189" i="7"/>
  <c r="U3191" i="7"/>
  <c r="T3191" i="7"/>
  <c r="U3193" i="7"/>
  <c r="T3193" i="7"/>
  <c r="U3195" i="7"/>
  <c r="T3195" i="7"/>
  <c r="U3197" i="7"/>
  <c r="T3197" i="7"/>
  <c r="U3199" i="7"/>
  <c r="T3199" i="7"/>
  <c r="U3201" i="7"/>
  <c r="T3201" i="7"/>
  <c r="U3203" i="7"/>
  <c r="T3203" i="7"/>
  <c r="U3205" i="7"/>
  <c r="T3205" i="7"/>
  <c r="U3207" i="7"/>
  <c r="T3207" i="7"/>
  <c r="U3209" i="7"/>
  <c r="T3209" i="7"/>
  <c r="U3211" i="7"/>
  <c r="T3211" i="7"/>
  <c r="U3213" i="7"/>
  <c r="T3213" i="7"/>
  <c r="U3215" i="7"/>
  <c r="T3215" i="7"/>
  <c r="U3217" i="7"/>
  <c r="T3217" i="7"/>
  <c r="U3219" i="7"/>
  <c r="T3219" i="7"/>
  <c r="U3221" i="7"/>
  <c r="T3221" i="7"/>
  <c r="U3223" i="7"/>
  <c r="T3223" i="7"/>
  <c r="U3225" i="7"/>
  <c r="T3225" i="7"/>
  <c r="U3227" i="7"/>
  <c r="T3227" i="7"/>
  <c r="U3229" i="7"/>
  <c r="T3229" i="7"/>
  <c r="U3231" i="7"/>
  <c r="T3231" i="7"/>
  <c r="U3233" i="7"/>
  <c r="T3233" i="7"/>
  <c r="U3235" i="7"/>
  <c r="T3235" i="7"/>
  <c r="U3237" i="7"/>
  <c r="T3237" i="7"/>
  <c r="U3239" i="7"/>
  <c r="T3239" i="7"/>
  <c r="U3241" i="7"/>
  <c r="T3241" i="7"/>
  <c r="U3243" i="7"/>
  <c r="T3243" i="7"/>
  <c r="U3245" i="7"/>
  <c r="T3245" i="7"/>
  <c r="U3247" i="7"/>
  <c r="T3247" i="7"/>
  <c r="U3249" i="7"/>
  <c r="T3249" i="7"/>
  <c r="U3251" i="7"/>
  <c r="T3251" i="7"/>
  <c r="U3253" i="7"/>
  <c r="T3253" i="7"/>
  <c r="U3255" i="7"/>
  <c r="T3255" i="7"/>
  <c r="U3257" i="7"/>
  <c r="T3257" i="7"/>
  <c r="U3259" i="7"/>
  <c r="T3259" i="7"/>
  <c r="U3261" i="7"/>
  <c r="T3261" i="7"/>
  <c r="U3263" i="7"/>
  <c r="T3263" i="7"/>
  <c r="U3265" i="7"/>
  <c r="T3265" i="7"/>
  <c r="U3267" i="7"/>
  <c r="T3267" i="7"/>
  <c r="U3269" i="7"/>
  <c r="T3269" i="7"/>
  <c r="U3271" i="7"/>
  <c r="T3271" i="7"/>
  <c r="U3273" i="7"/>
  <c r="T3273" i="7"/>
  <c r="U3275" i="7"/>
  <c r="T3275" i="7"/>
  <c r="U3277" i="7"/>
  <c r="T3277" i="7"/>
  <c r="U3279" i="7"/>
  <c r="T3279" i="7"/>
  <c r="U3281" i="7"/>
  <c r="T3281" i="7"/>
  <c r="U3283" i="7"/>
  <c r="T3283" i="7"/>
  <c r="U3285" i="7"/>
  <c r="T3285" i="7"/>
  <c r="U3287" i="7"/>
  <c r="T3287" i="7"/>
  <c r="U3289" i="7"/>
  <c r="T3289" i="7"/>
  <c r="U3291" i="7"/>
  <c r="T3291" i="7"/>
  <c r="U3293" i="7"/>
  <c r="T3293" i="7"/>
  <c r="U3295" i="7"/>
  <c r="T3295" i="7"/>
  <c r="U3297" i="7"/>
  <c r="T3297" i="7"/>
  <c r="U3299" i="7"/>
  <c r="T3299" i="7"/>
  <c r="U3301" i="7"/>
  <c r="T3301" i="7"/>
  <c r="U3303" i="7"/>
  <c r="T3303" i="7"/>
  <c r="U3305" i="7"/>
  <c r="T3305" i="7"/>
  <c r="U3307" i="7"/>
  <c r="T3307" i="7"/>
  <c r="U3309" i="7"/>
  <c r="T3309" i="7"/>
  <c r="U3311" i="7"/>
  <c r="T3311" i="7"/>
  <c r="U3313" i="7"/>
  <c r="T3313" i="7"/>
  <c r="U3315" i="7"/>
  <c r="T3315" i="7"/>
  <c r="U3317" i="7"/>
  <c r="T3317" i="7"/>
  <c r="U3319" i="7"/>
  <c r="T3319" i="7"/>
  <c r="U3321" i="7"/>
  <c r="T3321" i="7"/>
  <c r="U3323" i="7"/>
  <c r="T3323" i="7"/>
  <c r="U3325" i="7"/>
  <c r="T3325" i="7"/>
  <c r="U3327" i="7"/>
  <c r="T3327" i="7"/>
  <c r="U3329" i="7"/>
  <c r="T3329" i="7"/>
  <c r="U3331" i="7"/>
  <c r="T3331" i="7"/>
  <c r="U3333" i="7"/>
  <c r="T3333" i="7"/>
  <c r="U3335" i="7"/>
  <c r="T3335" i="7"/>
  <c r="U3337" i="7"/>
  <c r="T3337" i="7"/>
  <c r="U3339" i="7"/>
  <c r="T3339" i="7"/>
  <c r="U3341" i="7"/>
  <c r="T3341" i="7"/>
  <c r="U3343" i="7"/>
  <c r="T3343" i="7"/>
  <c r="U3345" i="7"/>
  <c r="T3345" i="7"/>
  <c r="U3347" i="7"/>
  <c r="T3347" i="7"/>
  <c r="U3349" i="7"/>
  <c r="T3349" i="7"/>
  <c r="U3351" i="7"/>
  <c r="T3351" i="7"/>
  <c r="U3353" i="7"/>
  <c r="T3353" i="7"/>
  <c r="U3355" i="7"/>
  <c r="T3355" i="7"/>
  <c r="U3357" i="7"/>
  <c r="T3357" i="7"/>
  <c r="U3359" i="7"/>
  <c r="T3359" i="7"/>
  <c r="U3361" i="7"/>
  <c r="T3361" i="7"/>
  <c r="U3363" i="7"/>
  <c r="T3363" i="7"/>
  <c r="U3365" i="7"/>
  <c r="T3365" i="7"/>
  <c r="U3367" i="7"/>
  <c r="T3367" i="7"/>
  <c r="U3369" i="7"/>
  <c r="T3369" i="7"/>
  <c r="U3371" i="7"/>
  <c r="T3371" i="7"/>
  <c r="U3373" i="7"/>
  <c r="T3373" i="7"/>
  <c r="U3375" i="7"/>
  <c r="T3375" i="7"/>
  <c r="U3377" i="7"/>
  <c r="T3377" i="7"/>
  <c r="U3379" i="7"/>
  <c r="T3379" i="7"/>
  <c r="U3381" i="7"/>
  <c r="T3381" i="7"/>
  <c r="U3383" i="7"/>
  <c r="T3383" i="7"/>
  <c r="U3385" i="7"/>
  <c r="T3385" i="7"/>
  <c r="U3387" i="7"/>
  <c r="T3387" i="7"/>
  <c r="U3389" i="7"/>
  <c r="T3389" i="7"/>
  <c r="U3391" i="7"/>
  <c r="T3391" i="7"/>
  <c r="U3393" i="7"/>
  <c r="T3393" i="7"/>
  <c r="U3395" i="7"/>
  <c r="T3395" i="7"/>
  <c r="U3397" i="7"/>
  <c r="T3397" i="7"/>
  <c r="U3399" i="7"/>
  <c r="T3399" i="7"/>
  <c r="U3401" i="7"/>
  <c r="T3401" i="7"/>
  <c r="U3403" i="7"/>
  <c r="T3403" i="7"/>
  <c r="U3405" i="7"/>
  <c r="T3405" i="7"/>
  <c r="U3407" i="7"/>
  <c r="T3407" i="7"/>
  <c r="U3409" i="7"/>
  <c r="T3409" i="7"/>
  <c r="U3411" i="7"/>
  <c r="T3411" i="7"/>
  <c r="U3413" i="7"/>
  <c r="T3413" i="7"/>
  <c r="U3415" i="7"/>
  <c r="T3415" i="7"/>
  <c r="U3417" i="7"/>
  <c r="T3417" i="7"/>
  <c r="U3419" i="7"/>
  <c r="T3419" i="7"/>
  <c r="U3421" i="7"/>
  <c r="T3421" i="7"/>
  <c r="U3423" i="7"/>
  <c r="T3423" i="7"/>
  <c r="U3425" i="7"/>
  <c r="T3425" i="7"/>
  <c r="U3427" i="7"/>
  <c r="T3427" i="7"/>
  <c r="U3429" i="7"/>
  <c r="T3429" i="7"/>
  <c r="U3431" i="7"/>
  <c r="T3431" i="7"/>
  <c r="U3433" i="7"/>
  <c r="T3433" i="7"/>
  <c r="U3435" i="7"/>
  <c r="T3435" i="7"/>
  <c r="U3437" i="7"/>
  <c r="T3437" i="7"/>
  <c r="U3439" i="7"/>
  <c r="T3439" i="7"/>
  <c r="U3441" i="7"/>
  <c r="T3441" i="7"/>
  <c r="U3443" i="7"/>
  <c r="T3443" i="7"/>
  <c r="U3445" i="7"/>
  <c r="T3445" i="7"/>
  <c r="U3447" i="7"/>
  <c r="T3447" i="7"/>
  <c r="U3449" i="7"/>
  <c r="T3449" i="7"/>
  <c r="U3451" i="7"/>
  <c r="T3451" i="7"/>
  <c r="U3453" i="7"/>
  <c r="T3453" i="7"/>
  <c r="U3455" i="7"/>
  <c r="T3455" i="7"/>
  <c r="U3457" i="7"/>
  <c r="T3457" i="7"/>
  <c r="U3459" i="7"/>
  <c r="T3459" i="7"/>
  <c r="U3461" i="7"/>
  <c r="T3461" i="7"/>
  <c r="U3463" i="7"/>
  <c r="T3463" i="7"/>
  <c r="U3465" i="7"/>
  <c r="T3465" i="7"/>
  <c r="U3467" i="7"/>
  <c r="T3467" i="7"/>
  <c r="U3469" i="7"/>
  <c r="T3469" i="7"/>
  <c r="U3471" i="7"/>
  <c r="T3471" i="7"/>
  <c r="U3473" i="7"/>
  <c r="T3473" i="7"/>
  <c r="U3475" i="7"/>
  <c r="T3475" i="7"/>
  <c r="U3477" i="7"/>
  <c r="T3477" i="7"/>
  <c r="U3479" i="7"/>
  <c r="T3479" i="7"/>
  <c r="U3481" i="7"/>
  <c r="T3481" i="7"/>
  <c r="U3483" i="7"/>
  <c r="T3483" i="7"/>
  <c r="U3485" i="7"/>
  <c r="T3485" i="7"/>
  <c r="U3487" i="7"/>
  <c r="T3487" i="7"/>
  <c r="U3489" i="7"/>
  <c r="T3489" i="7"/>
  <c r="U3491" i="7"/>
  <c r="T3491" i="7"/>
  <c r="T3595" i="7"/>
  <c r="U3595" i="7"/>
  <c r="T3603" i="7"/>
  <c r="U3603" i="7"/>
  <c r="T3611" i="7"/>
  <c r="U3611" i="7"/>
  <c r="T3619" i="7"/>
  <c r="U3619" i="7"/>
  <c r="T3627" i="7"/>
  <c r="U3627" i="7"/>
  <c r="T3635" i="7"/>
  <c r="U3635" i="7"/>
  <c r="T3643" i="7"/>
  <c r="U3643" i="7"/>
  <c r="T3651" i="7"/>
  <c r="U3651" i="7"/>
  <c r="T3659" i="7"/>
  <c r="U3659" i="7"/>
  <c r="T3676" i="7"/>
  <c r="U3676" i="7"/>
  <c r="T3692" i="7"/>
  <c r="U3692" i="7"/>
  <c r="T3708" i="7"/>
  <c r="U3708" i="7"/>
  <c r="Q3722" i="7"/>
  <c r="R3722" i="7"/>
  <c r="U3732" i="7"/>
  <c r="T3732" i="7"/>
  <c r="Q3743" i="7"/>
  <c r="R3743" i="7"/>
  <c r="T2931" i="7"/>
  <c r="R2933" i="7"/>
  <c r="T2935" i="7"/>
  <c r="R2937" i="7"/>
  <c r="T2939" i="7"/>
  <c r="R2941" i="7"/>
  <c r="T2943" i="7"/>
  <c r="R2945" i="7"/>
  <c r="T2947" i="7"/>
  <c r="R2949" i="7"/>
  <c r="T2951" i="7"/>
  <c r="R2953" i="7"/>
  <c r="T2955" i="7"/>
  <c r="R2957" i="7"/>
  <c r="T2959" i="7"/>
  <c r="R2961" i="7"/>
  <c r="T2963" i="7"/>
  <c r="R2965" i="7"/>
  <c r="T2967" i="7"/>
  <c r="R2969" i="7"/>
  <c r="T2971" i="7"/>
  <c r="R2973" i="7"/>
  <c r="T2975" i="7"/>
  <c r="R2977" i="7"/>
  <c r="T2979" i="7"/>
  <c r="R2981" i="7"/>
  <c r="T2983" i="7"/>
  <c r="R2985" i="7"/>
  <c r="T2987" i="7"/>
  <c r="R2989" i="7"/>
  <c r="T2991" i="7"/>
  <c r="R2993" i="7"/>
  <c r="T2995" i="7"/>
  <c r="R2997" i="7"/>
  <c r="T2999" i="7"/>
  <c r="R3001" i="7"/>
  <c r="T3003" i="7"/>
  <c r="R3005" i="7"/>
  <c r="T3007" i="7"/>
  <c r="R3009" i="7"/>
  <c r="T3011" i="7"/>
  <c r="R3013" i="7"/>
  <c r="T3015" i="7"/>
  <c r="R3017" i="7"/>
  <c r="T3019" i="7"/>
  <c r="R3021" i="7"/>
  <c r="T3023" i="7"/>
  <c r="R3025" i="7"/>
  <c r="T3027" i="7"/>
  <c r="R3029" i="7"/>
  <c r="T3031" i="7"/>
  <c r="R3033" i="7"/>
  <c r="T3035" i="7"/>
  <c r="R3037" i="7"/>
  <c r="T3039" i="7"/>
  <c r="R3041" i="7"/>
  <c r="T3043" i="7"/>
  <c r="R3045" i="7"/>
  <c r="T3047" i="7"/>
  <c r="R3049" i="7"/>
  <c r="T3051" i="7"/>
  <c r="R3053" i="7"/>
  <c r="T3055" i="7"/>
  <c r="R3057" i="7"/>
  <c r="T3059" i="7"/>
  <c r="R3061" i="7"/>
  <c r="T3063" i="7"/>
  <c r="R3065" i="7"/>
  <c r="T3067" i="7"/>
  <c r="R3069" i="7"/>
  <c r="T3071" i="7"/>
  <c r="R3073" i="7"/>
  <c r="T3075" i="7"/>
  <c r="R3077" i="7"/>
  <c r="T3079" i="7"/>
  <c r="R3081" i="7"/>
  <c r="T3083" i="7"/>
  <c r="R3085" i="7"/>
  <c r="T3087" i="7"/>
  <c r="R3089" i="7"/>
  <c r="T3091" i="7"/>
  <c r="R3093" i="7"/>
  <c r="T3095" i="7"/>
  <c r="R3097" i="7"/>
  <c r="T3099" i="7"/>
  <c r="R3101" i="7"/>
  <c r="T3105" i="7"/>
  <c r="R3109" i="7"/>
  <c r="Q3109" i="7"/>
  <c r="T3113" i="7"/>
  <c r="R3117" i="7"/>
  <c r="Q3117" i="7"/>
  <c r="T3121" i="7"/>
  <c r="R3125" i="7"/>
  <c r="Q3125" i="7"/>
  <c r="T3129" i="7"/>
  <c r="R3133" i="7"/>
  <c r="Q3133" i="7"/>
  <c r="T3137" i="7"/>
  <c r="R3141" i="7"/>
  <c r="Q3141" i="7"/>
  <c r="T3145" i="7"/>
  <c r="R3149" i="7"/>
  <c r="Q3149" i="7"/>
  <c r="T3153" i="7"/>
  <c r="R3157" i="7"/>
  <c r="Q3157" i="7"/>
  <c r="T3675" i="7"/>
  <c r="U3675" i="7"/>
  <c r="T3691" i="7"/>
  <c r="U3691" i="7"/>
  <c r="T3707" i="7"/>
  <c r="U3707" i="7"/>
  <c r="Q3719" i="7"/>
  <c r="R3719" i="7"/>
  <c r="Q3730" i="7"/>
  <c r="R3730" i="7"/>
  <c r="U3740" i="7"/>
  <c r="T3740" i="7"/>
  <c r="R3103" i="7"/>
  <c r="Q3103" i="7"/>
  <c r="R3111" i="7"/>
  <c r="Q3111" i="7"/>
  <c r="R3119" i="7"/>
  <c r="Q3119" i="7"/>
  <c r="R3127" i="7"/>
  <c r="Q3127" i="7"/>
  <c r="R3135" i="7"/>
  <c r="Q3135" i="7"/>
  <c r="R3143" i="7"/>
  <c r="Q3143" i="7"/>
  <c r="R3151" i="7"/>
  <c r="Q3151" i="7"/>
  <c r="R3159" i="7"/>
  <c r="Q3159" i="7"/>
  <c r="T3668" i="7"/>
  <c r="U3668" i="7"/>
  <c r="T3684" i="7"/>
  <c r="U3684" i="7"/>
  <c r="T3700" i="7"/>
  <c r="U3700" i="7"/>
  <c r="U3716" i="7"/>
  <c r="T3716" i="7"/>
  <c r="Q3727" i="7"/>
  <c r="R3727" i="7"/>
  <c r="Q3738" i="7"/>
  <c r="R3738" i="7"/>
  <c r="Q3720" i="7"/>
  <c r="R3720" i="7"/>
  <c r="U3722" i="7"/>
  <c r="T3722" i="7"/>
  <c r="Q3728" i="7"/>
  <c r="R3728" i="7"/>
  <c r="U3730" i="7"/>
  <c r="T3730" i="7"/>
  <c r="Q3736" i="7"/>
  <c r="R3736" i="7"/>
  <c r="U3738" i="7"/>
  <c r="T3738" i="7"/>
  <c r="Q3744" i="7"/>
  <c r="R3744" i="7"/>
  <c r="Q3750" i="7"/>
  <c r="R3750" i="7"/>
  <c r="U3756" i="7"/>
  <c r="T3756" i="7"/>
  <c r="R3759" i="7"/>
  <c r="Q3759" i="7"/>
  <c r="Q3766" i="7"/>
  <c r="R3766" i="7"/>
  <c r="U3772" i="7"/>
  <c r="T3772" i="7"/>
  <c r="R3775" i="7"/>
  <c r="Q3775" i="7"/>
  <c r="Q3782" i="7"/>
  <c r="R3782" i="7"/>
  <c r="U3788" i="7"/>
  <c r="T3788" i="7"/>
  <c r="R3791" i="7"/>
  <c r="Q3791" i="7"/>
  <c r="Q3798" i="7"/>
  <c r="R3798" i="7"/>
  <c r="U3804" i="7"/>
  <c r="T3804" i="7"/>
  <c r="R3807" i="7"/>
  <c r="Q3807" i="7"/>
  <c r="Q3814" i="7"/>
  <c r="R3814" i="7"/>
  <c r="U3820" i="7"/>
  <c r="T3820" i="7"/>
  <c r="R3823" i="7"/>
  <c r="Q3823" i="7"/>
  <c r="Q3830" i="7"/>
  <c r="R3830" i="7"/>
  <c r="U3836" i="7"/>
  <c r="T3836" i="7"/>
  <c r="R3839" i="7"/>
  <c r="Q3839" i="7"/>
  <c r="Q3846" i="7"/>
  <c r="R3846" i="7"/>
  <c r="U3852" i="7"/>
  <c r="T3852" i="7"/>
  <c r="R3855" i="7"/>
  <c r="Q3855" i="7"/>
  <c r="Q3862" i="7"/>
  <c r="R3862" i="7"/>
  <c r="U3866" i="7"/>
  <c r="T3866" i="7"/>
  <c r="Q3161" i="7"/>
  <c r="Q3163" i="7"/>
  <c r="Q3165" i="7"/>
  <c r="Q3167" i="7"/>
  <c r="Q3169" i="7"/>
  <c r="Q3171" i="7"/>
  <c r="Q3173" i="7"/>
  <c r="Q3175" i="7"/>
  <c r="Q3177" i="7"/>
  <c r="Q3179" i="7"/>
  <c r="Q3181" i="7"/>
  <c r="Q3183" i="7"/>
  <c r="Q3185" i="7"/>
  <c r="Q3187" i="7"/>
  <c r="Q3189" i="7"/>
  <c r="Q3191" i="7"/>
  <c r="Q3193" i="7"/>
  <c r="Q3195" i="7"/>
  <c r="Q3197" i="7"/>
  <c r="Q3199" i="7"/>
  <c r="Q3201" i="7"/>
  <c r="Q3203" i="7"/>
  <c r="Q3205" i="7"/>
  <c r="Q3207" i="7"/>
  <c r="Q3209" i="7"/>
  <c r="Q3211" i="7"/>
  <c r="Q3213" i="7"/>
  <c r="Q3215" i="7"/>
  <c r="Q3217" i="7"/>
  <c r="Q3219" i="7"/>
  <c r="Q3221" i="7"/>
  <c r="Q3223" i="7"/>
  <c r="Q3225" i="7"/>
  <c r="Q3227" i="7"/>
  <c r="Q3229" i="7"/>
  <c r="Q3231" i="7"/>
  <c r="Q3233" i="7"/>
  <c r="Q3235" i="7"/>
  <c r="Q3237" i="7"/>
  <c r="Q3239" i="7"/>
  <c r="Q3241" i="7"/>
  <c r="Q3243" i="7"/>
  <c r="Q3245" i="7"/>
  <c r="Q3247" i="7"/>
  <c r="Q3249" i="7"/>
  <c r="Q3251" i="7"/>
  <c r="Q3253" i="7"/>
  <c r="Q3255" i="7"/>
  <c r="Q3257" i="7"/>
  <c r="Q3259" i="7"/>
  <c r="Q3261" i="7"/>
  <c r="Q3263" i="7"/>
  <c r="Q3265" i="7"/>
  <c r="Q3267" i="7"/>
  <c r="Q3269" i="7"/>
  <c r="Q3271" i="7"/>
  <c r="Q3273" i="7"/>
  <c r="Q3275" i="7"/>
  <c r="Q3277" i="7"/>
  <c r="Q3279" i="7"/>
  <c r="Q3281" i="7"/>
  <c r="Q3283" i="7"/>
  <c r="Q3285" i="7"/>
  <c r="Q3287" i="7"/>
  <c r="Q3289" i="7"/>
  <c r="Q3291" i="7"/>
  <c r="Q3293" i="7"/>
  <c r="Q3295" i="7"/>
  <c r="Q3297" i="7"/>
  <c r="Q3299" i="7"/>
  <c r="Q3301" i="7"/>
  <c r="Q3303" i="7"/>
  <c r="Q3305" i="7"/>
  <c r="Q3307" i="7"/>
  <c r="Q3309" i="7"/>
  <c r="Q3311" i="7"/>
  <c r="Q3313" i="7"/>
  <c r="Q3315" i="7"/>
  <c r="Q3317" i="7"/>
  <c r="Q3319" i="7"/>
  <c r="Q3321" i="7"/>
  <c r="Q3323" i="7"/>
  <c r="Q3325" i="7"/>
  <c r="Q3327" i="7"/>
  <c r="Q3329" i="7"/>
  <c r="Q3331" i="7"/>
  <c r="Q3333" i="7"/>
  <c r="Q3335" i="7"/>
  <c r="Q3337" i="7"/>
  <c r="Q3339" i="7"/>
  <c r="Q3341" i="7"/>
  <c r="Q3343" i="7"/>
  <c r="Q3345" i="7"/>
  <c r="Q3347" i="7"/>
  <c r="Q3349" i="7"/>
  <c r="Q3351" i="7"/>
  <c r="Q3353" i="7"/>
  <c r="Q3355" i="7"/>
  <c r="Q3357" i="7"/>
  <c r="Q3359" i="7"/>
  <c r="Q3361" i="7"/>
  <c r="Q3363" i="7"/>
  <c r="Q3365" i="7"/>
  <c r="Q3367" i="7"/>
  <c r="Q3369" i="7"/>
  <c r="Q3371" i="7"/>
  <c r="Q3373" i="7"/>
  <c r="Q3375" i="7"/>
  <c r="Q3377" i="7"/>
  <c r="Q3379" i="7"/>
  <c r="Q3381" i="7"/>
  <c r="Q3383" i="7"/>
  <c r="Q3385" i="7"/>
  <c r="Q3387" i="7"/>
  <c r="Q3389" i="7"/>
  <c r="Q3391" i="7"/>
  <c r="Q3393" i="7"/>
  <c r="Q3395" i="7"/>
  <c r="Q3397" i="7"/>
  <c r="Q3399" i="7"/>
  <c r="Q3401" i="7"/>
  <c r="Q3403" i="7"/>
  <c r="Q3405" i="7"/>
  <c r="Q3407" i="7"/>
  <c r="Q3409" i="7"/>
  <c r="Q3411" i="7"/>
  <c r="Q3413" i="7"/>
  <c r="Q3415" i="7"/>
  <c r="Q3417" i="7"/>
  <c r="Q3419" i="7"/>
  <c r="Q3421" i="7"/>
  <c r="Q3423" i="7"/>
  <c r="Q3425" i="7"/>
  <c r="Q3427" i="7"/>
  <c r="Q3429" i="7"/>
  <c r="Q3431" i="7"/>
  <c r="Q3433" i="7"/>
  <c r="Q3435" i="7"/>
  <c r="Q3437" i="7"/>
  <c r="Q3439" i="7"/>
  <c r="Q3441" i="7"/>
  <c r="Q3443" i="7"/>
  <c r="Q3445" i="7"/>
  <c r="Q3447" i="7"/>
  <c r="Q3449" i="7"/>
  <c r="Q3451" i="7"/>
  <c r="Q3453" i="7"/>
  <c r="Q3455" i="7"/>
  <c r="Q3457" i="7"/>
  <c r="Q3459" i="7"/>
  <c r="Q3461" i="7"/>
  <c r="Q3463" i="7"/>
  <c r="Q3465" i="7"/>
  <c r="Q3467" i="7"/>
  <c r="Q3469" i="7"/>
  <c r="Q3471" i="7"/>
  <c r="Q3473" i="7"/>
  <c r="Q3475" i="7"/>
  <c r="Q3477" i="7"/>
  <c r="Q3479" i="7"/>
  <c r="Q3481" i="7"/>
  <c r="Q3483" i="7"/>
  <c r="Q3485" i="7"/>
  <c r="Q3487" i="7"/>
  <c r="Q3489" i="7"/>
  <c r="Q3491" i="7"/>
  <c r="T3492" i="7"/>
  <c r="Q3494" i="7"/>
  <c r="U3495" i="7"/>
  <c r="T3496" i="7"/>
  <c r="Q3498" i="7"/>
  <c r="U3499" i="7"/>
  <c r="T3500" i="7"/>
  <c r="Q3502" i="7"/>
  <c r="U3503" i="7"/>
  <c r="T3504" i="7"/>
  <c r="Q3506" i="7"/>
  <c r="U3507" i="7"/>
  <c r="T3508" i="7"/>
  <c r="Q3510" i="7"/>
  <c r="U3511" i="7"/>
  <c r="T3512" i="7"/>
  <c r="Q3514" i="7"/>
  <c r="U3515" i="7"/>
  <c r="T3516" i="7"/>
  <c r="Q3518" i="7"/>
  <c r="U3519" i="7"/>
  <c r="T3520" i="7"/>
  <c r="Q3522" i="7"/>
  <c r="U3523" i="7"/>
  <c r="T3524" i="7"/>
  <c r="Q3526" i="7"/>
  <c r="U3527" i="7"/>
  <c r="T3528" i="7"/>
  <c r="Q3530" i="7"/>
  <c r="U3531" i="7"/>
  <c r="T3532" i="7"/>
  <c r="Q3534" i="7"/>
  <c r="U3535" i="7"/>
  <c r="T3536" i="7"/>
  <c r="Q3538" i="7"/>
  <c r="U3539" i="7"/>
  <c r="T3540" i="7"/>
  <c r="Q3542" i="7"/>
  <c r="U3543" i="7"/>
  <c r="T3544" i="7"/>
  <c r="Q3546" i="7"/>
  <c r="U3547" i="7"/>
  <c r="T3548" i="7"/>
  <c r="Q3550" i="7"/>
  <c r="U3551" i="7"/>
  <c r="T3552" i="7"/>
  <c r="Q3554" i="7"/>
  <c r="U3555" i="7"/>
  <c r="T3556" i="7"/>
  <c r="Q3558" i="7"/>
  <c r="U3559" i="7"/>
  <c r="T3560" i="7"/>
  <c r="Q3562" i="7"/>
  <c r="U3563" i="7"/>
  <c r="T3564" i="7"/>
  <c r="Q3566" i="7"/>
  <c r="U3567" i="7"/>
  <c r="T3568" i="7"/>
  <c r="Q3570" i="7"/>
  <c r="U3571" i="7"/>
  <c r="T3572" i="7"/>
  <c r="Q3574" i="7"/>
  <c r="U3575" i="7"/>
  <c r="T3576" i="7"/>
  <c r="Q3578" i="7"/>
  <c r="U3579" i="7"/>
  <c r="T3580" i="7"/>
  <c r="Q3582" i="7"/>
  <c r="U3583" i="7"/>
  <c r="T3584" i="7"/>
  <c r="Q3586" i="7"/>
  <c r="U3587" i="7"/>
  <c r="T3588" i="7"/>
  <c r="Q3590" i="7"/>
  <c r="U3591" i="7"/>
  <c r="T3592" i="7"/>
  <c r="U3597" i="7"/>
  <c r="U3598" i="7"/>
  <c r="U3605" i="7"/>
  <c r="U3606" i="7"/>
  <c r="U3613" i="7"/>
  <c r="U3614" i="7"/>
  <c r="U3621" i="7"/>
  <c r="U3622" i="7"/>
  <c r="U3629" i="7"/>
  <c r="U3630" i="7"/>
  <c r="U3637" i="7"/>
  <c r="U3638" i="7"/>
  <c r="U3645" i="7"/>
  <c r="U3646" i="7"/>
  <c r="U3653" i="7"/>
  <c r="U3654" i="7"/>
  <c r="U3661" i="7"/>
  <c r="U3662" i="7"/>
  <c r="U3669" i="7"/>
  <c r="U3670" i="7"/>
  <c r="U3677" i="7"/>
  <c r="U3678" i="7"/>
  <c r="U3685" i="7"/>
  <c r="U3686" i="7"/>
  <c r="U3693" i="7"/>
  <c r="U3694" i="7"/>
  <c r="U3701" i="7"/>
  <c r="U3702" i="7"/>
  <c r="U3709" i="7"/>
  <c r="U3710" i="7"/>
  <c r="R3717" i="7"/>
  <c r="Q3718" i="7"/>
  <c r="R3718" i="7"/>
  <c r="U3720" i="7"/>
  <c r="T3720" i="7"/>
  <c r="R3725" i="7"/>
  <c r="Q3726" i="7"/>
  <c r="R3726" i="7"/>
  <c r="U3728" i="7"/>
  <c r="T3728" i="7"/>
  <c r="R3733" i="7"/>
  <c r="Q3734" i="7"/>
  <c r="R3734" i="7"/>
  <c r="U3736" i="7"/>
  <c r="T3736" i="7"/>
  <c r="R3741" i="7"/>
  <c r="Q3742" i="7"/>
  <c r="R3742" i="7"/>
  <c r="U3744" i="7"/>
  <c r="T3744" i="7"/>
  <c r="R3747" i="7"/>
  <c r="Q3747" i="7"/>
  <c r="Q3754" i="7"/>
  <c r="R3754" i="7"/>
  <c r="U3760" i="7"/>
  <c r="T3760" i="7"/>
  <c r="R3763" i="7"/>
  <c r="Q3763" i="7"/>
  <c r="Q3770" i="7"/>
  <c r="R3770" i="7"/>
  <c r="U3776" i="7"/>
  <c r="T3776" i="7"/>
  <c r="R3779" i="7"/>
  <c r="Q3779" i="7"/>
  <c r="Q3786" i="7"/>
  <c r="R3786" i="7"/>
  <c r="U3792" i="7"/>
  <c r="T3792" i="7"/>
  <c r="R3795" i="7"/>
  <c r="Q3795" i="7"/>
  <c r="Q3802" i="7"/>
  <c r="R3802" i="7"/>
  <c r="U3808" i="7"/>
  <c r="T3808" i="7"/>
  <c r="R3811" i="7"/>
  <c r="Q3811" i="7"/>
  <c r="Q3818" i="7"/>
  <c r="R3818" i="7"/>
  <c r="U3824" i="7"/>
  <c r="T3824" i="7"/>
  <c r="R3827" i="7"/>
  <c r="Q3827" i="7"/>
  <c r="Q3834" i="7"/>
  <c r="R3834" i="7"/>
  <c r="U3840" i="7"/>
  <c r="T3840" i="7"/>
  <c r="R3843" i="7"/>
  <c r="Q3843" i="7"/>
  <c r="Q3850" i="7"/>
  <c r="R3850" i="7"/>
  <c r="U3856" i="7"/>
  <c r="T3856" i="7"/>
  <c r="R3859" i="7"/>
  <c r="Q3859" i="7"/>
  <c r="U3663" i="7"/>
  <c r="U3671" i="7"/>
  <c r="U3672" i="7"/>
  <c r="U3679" i="7"/>
  <c r="U3680" i="7"/>
  <c r="U3687" i="7"/>
  <c r="U3688" i="7"/>
  <c r="U3695" i="7"/>
  <c r="U3696" i="7"/>
  <c r="U3703" i="7"/>
  <c r="U3704" i="7"/>
  <c r="U3711" i="7"/>
  <c r="U3712" i="7"/>
  <c r="U3718" i="7"/>
  <c r="T3718" i="7"/>
  <c r="R3723" i="7"/>
  <c r="Q3724" i="7"/>
  <c r="R3724" i="7"/>
  <c r="U3726" i="7"/>
  <c r="T3726" i="7"/>
  <c r="R3731" i="7"/>
  <c r="Q3732" i="7"/>
  <c r="R3732" i="7"/>
  <c r="U3734" i="7"/>
  <c r="T3734" i="7"/>
  <c r="R3739" i="7"/>
  <c r="Q3740" i="7"/>
  <c r="R3740" i="7"/>
  <c r="U3742" i="7"/>
  <c r="T3742" i="7"/>
  <c r="U3748" i="7"/>
  <c r="T3748" i="7"/>
  <c r="R3751" i="7"/>
  <c r="Q3751" i="7"/>
  <c r="Q3758" i="7"/>
  <c r="R3758" i="7"/>
  <c r="U3764" i="7"/>
  <c r="T3764" i="7"/>
  <c r="R3767" i="7"/>
  <c r="Q3767" i="7"/>
  <c r="Q3774" i="7"/>
  <c r="R3774" i="7"/>
  <c r="U3780" i="7"/>
  <c r="T3780" i="7"/>
  <c r="R3783" i="7"/>
  <c r="Q3783" i="7"/>
  <c r="Q3790" i="7"/>
  <c r="R3790" i="7"/>
  <c r="U3796" i="7"/>
  <c r="T3796" i="7"/>
  <c r="R3799" i="7"/>
  <c r="Q3799" i="7"/>
  <c r="Q3806" i="7"/>
  <c r="R3806" i="7"/>
  <c r="U3812" i="7"/>
  <c r="T3812" i="7"/>
  <c r="R3815" i="7"/>
  <c r="Q3815" i="7"/>
  <c r="Q3822" i="7"/>
  <c r="R3822" i="7"/>
  <c r="U3828" i="7"/>
  <c r="T3828" i="7"/>
  <c r="R3831" i="7"/>
  <c r="Q3831" i="7"/>
  <c r="Q3838" i="7"/>
  <c r="R3838" i="7"/>
  <c r="U3844" i="7"/>
  <c r="T3844" i="7"/>
  <c r="R3847" i="7"/>
  <c r="Q3847" i="7"/>
  <c r="Q3854" i="7"/>
  <c r="R3854" i="7"/>
  <c r="U3860" i="7"/>
  <c r="T3860" i="7"/>
  <c r="R3863" i="7"/>
  <c r="Q3863" i="7"/>
  <c r="R4061" i="7"/>
  <c r="Q4061" i="7"/>
  <c r="R4069" i="7"/>
  <c r="Q4069" i="7"/>
  <c r="R4077" i="7"/>
  <c r="Q4077" i="7"/>
  <c r="R4085" i="7"/>
  <c r="Q4085" i="7"/>
  <c r="R4093" i="7"/>
  <c r="Q4093" i="7"/>
  <c r="R4101" i="7"/>
  <c r="Q4101" i="7"/>
  <c r="R4109" i="7"/>
  <c r="Q4109" i="7"/>
  <c r="R4117" i="7"/>
  <c r="Q4117" i="7"/>
  <c r="R4125" i="7"/>
  <c r="Q4125" i="7"/>
  <c r="R4133" i="7"/>
  <c r="Q4133" i="7"/>
  <c r="R4141" i="7"/>
  <c r="Q4141" i="7"/>
  <c r="R4149" i="7"/>
  <c r="Q4149" i="7"/>
  <c r="R4157" i="7"/>
  <c r="Q4157" i="7"/>
  <c r="R4165" i="7"/>
  <c r="Q4165" i="7"/>
  <c r="R4173" i="7"/>
  <c r="Q4173" i="7"/>
  <c r="R4181" i="7"/>
  <c r="Q4181" i="7"/>
  <c r="R4189" i="7"/>
  <c r="Q4189" i="7"/>
  <c r="R3864" i="7"/>
  <c r="Q3864" i="7"/>
  <c r="U3870" i="7"/>
  <c r="T3870" i="7"/>
  <c r="U3872" i="7"/>
  <c r="T3872" i="7"/>
  <c r="U3874" i="7"/>
  <c r="T3874" i="7"/>
  <c r="U3876" i="7"/>
  <c r="T3876" i="7"/>
  <c r="U3878" i="7"/>
  <c r="T3878" i="7"/>
  <c r="U3880" i="7"/>
  <c r="T3880" i="7"/>
  <c r="U3882" i="7"/>
  <c r="T3882" i="7"/>
  <c r="U3884" i="7"/>
  <c r="T3884" i="7"/>
  <c r="U3886" i="7"/>
  <c r="T3886" i="7"/>
  <c r="U3888" i="7"/>
  <c r="T3888" i="7"/>
  <c r="U3890" i="7"/>
  <c r="T3890" i="7"/>
  <c r="U3892" i="7"/>
  <c r="T3892" i="7"/>
  <c r="U3894" i="7"/>
  <c r="T3894" i="7"/>
  <c r="U3896" i="7"/>
  <c r="T3896" i="7"/>
  <c r="U3898" i="7"/>
  <c r="T3898" i="7"/>
  <c r="U3900" i="7"/>
  <c r="T3900" i="7"/>
  <c r="U3902" i="7"/>
  <c r="T3902" i="7"/>
  <c r="U3904" i="7"/>
  <c r="T3904" i="7"/>
  <c r="U3906" i="7"/>
  <c r="T3906" i="7"/>
  <c r="U3908" i="7"/>
  <c r="T3908" i="7"/>
  <c r="U3910" i="7"/>
  <c r="T3910" i="7"/>
  <c r="U3912" i="7"/>
  <c r="T3912" i="7"/>
  <c r="U3914" i="7"/>
  <c r="T3914" i="7"/>
  <c r="U3916" i="7"/>
  <c r="T3916" i="7"/>
  <c r="U3918" i="7"/>
  <c r="T3918" i="7"/>
  <c r="U3920" i="7"/>
  <c r="T3920" i="7"/>
  <c r="U3922" i="7"/>
  <c r="T3922" i="7"/>
  <c r="U3924" i="7"/>
  <c r="T3924" i="7"/>
  <c r="U3926" i="7"/>
  <c r="T3926" i="7"/>
  <c r="U3928" i="7"/>
  <c r="T3928" i="7"/>
  <c r="U3930" i="7"/>
  <c r="T3930" i="7"/>
  <c r="U3932" i="7"/>
  <c r="T3932" i="7"/>
  <c r="U3934" i="7"/>
  <c r="T3934" i="7"/>
  <c r="U3936" i="7"/>
  <c r="T3936" i="7"/>
  <c r="U3938" i="7"/>
  <c r="T3938" i="7"/>
  <c r="U3940" i="7"/>
  <c r="T3940" i="7"/>
  <c r="U3942" i="7"/>
  <c r="T3942" i="7"/>
  <c r="U3944" i="7"/>
  <c r="T3944" i="7"/>
  <c r="U3946" i="7"/>
  <c r="T3946" i="7"/>
  <c r="U3948" i="7"/>
  <c r="T3948" i="7"/>
  <c r="U3950" i="7"/>
  <c r="T3950" i="7"/>
  <c r="U3952" i="7"/>
  <c r="T3952" i="7"/>
  <c r="U3954" i="7"/>
  <c r="T3954" i="7"/>
  <c r="U3956" i="7"/>
  <c r="T3956" i="7"/>
  <c r="U3958" i="7"/>
  <c r="T3958" i="7"/>
  <c r="U3960" i="7"/>
  <c r="T3960" i="7"/>
  <c r="U3962" i="7"/>
  <c r="T3962" i="7"/>
  <c r="U3964" i="7"/>
  <c r="T3964" i="7"/>
  <c r="U3966" i="7"/>
  <c r="T3966" i="7"/>
  <c r="U3968" i="7"/>
  <c r="T3968" i="7"/>
  <c r="U3970" i="7"/>
  <c r="T3970" i="7"/>
  <c r="U3972" i="7"/>
  <c r="T3972" i="7"/>
  <c r="U3974" i="7"/>
  <c r="T3974" i="7"/>
  <c r="U3976" i="7"/>
  <c r="T3976" i="7"/>
  <c r="U3978" i="7"/>
  <c r="T3978" i="7"/>
  <c r="U3980" i="7"/>
  <c r="T3980" i="7"/>
  <c r="U3982" i="7"/>
  <c r="T3982" i="7"/>
  <c r="U3984" i="7"/>
  <c r="T3984" i="7"/>
  <c r="U3986" i="7"/>
  <c r="T3986" i="7"/>
  <c r="U3988" i="7"/>
  <c r="T3988" i="7"/>
  <c r="U3990" i="7"/>
  <c r="T3990" i="7"/>
  <c r="U3992" i="7"/>
  <c r="T3992" i="7"/>
  <c r="U3994" i="7"/>
  <c r="T3994" i="7"/>
  <c r="U3996" i="7"/>
  <c r="T3996" i="7"/>
  <c r="U3998" i="7"/>
  <c r="T3998" i="7"/>
  <c r="U4000" i="7"/>
  <c r="T4000" i="7"/>
  <c r="U4002" i="7"/>
  <c r="T4002" i="7"/>
  <c r="U4004" i="7"/>
  <c r="T4004" i="7"/>
  <c r="U4006" i="7"/>
  <c r="T4006" i="7"/>
  <c r="U4008" i="7"/>
  <c r="T4008" i="7"/>
  <c r="U4010" i="7"/>
  <c r="T4010" i="7"/>
  <c r="U4012" i="7"/>
  <c r="T4012" i="7"/>
  <c r="U4014" i="7"/>
  <c r="T4014" i="7"/>
  <c r="U4016" i="7"/>
  <c r="T4016" i="7"/>
  <c r="U4018" i="7"/>
  <c r="T4018" i="7"/>
  <c r="U4020" i="7"/>
  <c r="T4020" i="7"/>
  <c r="U4022" i="7"/>
  <c r="T4022" i="7"/>
  <c r="U4024" i="7"/>
  <c r="T4024" i="7"/>
  <c r="U4026" i="7"/>
  <c r="T4026" i="7"/>
  <c r="U4028" i="7"/>
  <c r="T4028" i="7"/>
  <c r="U4030" i="7"/>
  <c r="T4030" i="7"/>
  <c r="U4032" i="7"/>
  <c r="T4032" i="7"/>
  <c r="U4034" i="7"/>
  <c r="T4034" i="7"/>
  <c r="U4036" i="7"/>
  <c r="T4036" i="7"/>
  <c r="U4038" i="7"/>
  <c r="T4038" i="7"/>
  <c r="U4040" i="7"/>
  <c r="T4040" i="7"/>
  <c r="U4042" i="7"/>
  <c r="T4042" i="7"/>
  <c r="U4044" i="7"/>
  <c r="T4044" i="7"/>
  <c r="U4046" i="7"/>
  <c r="T4046" i="7"/>
  <c r="R4059" i="7"/>
  <c r="Q4059" i="7"/>
  <c r="R4067" i="7"/>
  <c r="Q4067" i="7"/>
  <c r="R4075" i="7"/>
  <c r="Q4075" i="7"/>
  <c r="R4083" i="7"/>
  <c r="Q4083" i="7"/>
  <c r="R4091" i="7"/>
  <c r="Q4091" i="7"/>
  <c r="R4099" i="7"/>
  <c r="Q4099" i="7"/>
  <c r="R4107" i="7"/>
  <c r="Q4107" i="7"/>
  <c r="R4115" i="7"/>
  <c r="Q4115" i="7"/>
  <c r="R4123" i="7"/>
  <c r="Q4123" i="7"/>
  <c r="R4131" i="7"/>
  <c r="Q4131" i="7"/>
  <c r="R4139" i="7"/>
  <c r="Q4139" i="7"/>
  <c r="R4147" i="7"/>
  <c r="Q4147" i="7"/>
  <c r="R4155" i="7"/>
  <c r="Q4155" i="7"/>
  <c r="R4163" i="7"/>
  <c r="Q4163" i="7"/>
  <c r="R4171" i="7"/>
  <c r="Q4171" i="7"/>
  <c r="R4179" i="7"/>
  <c r="Q4179" i="7"/>
  <c r="R4187" i="7"/>
  <c r="Q4187" i="7"/>
  <c r="T3746" i="7"/>
  <c r="R3748" i="7"/>
  <c r="T3750" i="7"/>
  <c r="R3752" i="7"/>
  <c r="T3754" i="7"/>
  <c r="R3756" i="7"/>
  <c r="T3758" i="7"/>
  <c r="R3760" i="7"/>
  <c r="T3762" i="7"/>
  <c r="R3764" i="7"/>
  <c r="T3766" i="7"/>
  <c r="R3768" i="7"/>
  <c r="T3770" i="7"/>
  <c r="R3772" i="7"/>
  <c r="T3774" i="7"/>
  <c r="R3776" i="7"/>
  <c r="T3778" i="7"/>
  <c r="R3780" i="7"/>
  <c r="T3782" i="7"/>
  <c r="R3784" i="7"/>
  <c r="T3786" i="7"/>
  <c r="R3788" i="7"/>
  <c r="T3790" i="7"/>
  <c r="R3792" i="7"/>
  <c r="T3794" i="7"/>
  <c r="R3796" i="7"/>
  <c r="T3798" i="7"/>
  <c r="R3800" i="7"/>
  <c r="T3802" i="7"/>
  <c r="R3804" i="7"/>
  <c r="T3806" i="7"/>
  <c r="R3808" i="7"/>
  <c r="T3810" i="7"/>
  <c r="R3812" i="7"/>
  <c r="T3814" i="7"/>
  <c r="R3816" i="7"/>
  <c r="T3818" i="7"/>
  <c r="R3820" i="7"/>
  <c r="T3822" i="7"/>
  <c r="R3824" i="7"/>
  <c r="T3826" i="7"/>
  <c r="R3828" i="7"/>
  <c r="T3830" i="7"/>
  <c r="R3832" i="7"/>
  <c r="T3834" i="7"/>
  <c r="R3836" i="7"/>
  <c r="T3838" i="7"/>
  <c r="R3840" i="7"/>
  <c r="T3842" i="7"/>
  <c r="R3844" i="7"/>
  <c r="T3846" i="7"/>
  <c r="R3848" i="7"/>
  <c r="T3850" i="7"/>
  <c r="R3852" i="7"/>
  <c r="T3854" i="7"/>
  <c r="R3856" i="7"/>
  <c r="T3858" i="7"/>
  <c r="R3860" i="7"/>
  <c r="T3862" i="7"/>
  <c r="R3866" i="7"/>
  <c r="Q3866" i="7"/>
  <c r="R4057" i="7"/>
  <c r="Q4057" i="7"/>
  <c r="R4065" i="7"/>
  <c r="Q4065" i="7"/>
  <c r="R4073" i="7"/>
  <c r="Q4073" i="7"/>
  <c r="R4081" i="7"/>
  <c r="Q4081" i="7"/>
  <c r="R4089" i="7"/>
  <c r="Q4089" i="7"/>
  <c r="R4097" i="7"/>
  <c r="Q4097" i="7"/>
  <c r="R4105" i="7"/>
  <c r="Q4105" i="7"/>
  <c r="R4113" i="7"/>
  <c r="Q4113" i="7"/>
  <c r="R4121" i="7"/>
  <c r="Q4121" i="7"/>
  <c r="R4129" i="7"/>
  <c r="Q4129" i="7"/>
  <c r="R4137" i="7"/>
  <c r="Q4137" i="7"/>
  <c r="R4145" i="7"/>
  <c r="Q4145" i="7"/>
  <c r="R4153" i="7"/>
  <c r="Q4153" i="7"/>
  <c r="R4161" i="7"/>
  <c r="Q4161" i="7"/>
  <c r="R4169" i="7"/>
  <c r="Q4169" i="7"/>
  <c r="R4177" i="7"/>
  <c r="Q4177" i="7"/>
  <c r="R4185" i="7"/>
  <c r="Q4185" i="7"/>
  <c r="Q4402" i="7"/>
  <c r="R4402" i="7"/>
  <c r="Q4426" i="7"/>
  <c r="R4426" i="7"/>
  <c r="Q4442" i="7"/>
  <c r="R4442" i="7"/>
  <c r="Q4458" i="7"/>
  <c r="R4458" i="7"/>
  <c r="Q4474" i="7"/>
  <c r="R4474" i="7"/>
  <c r="Q4490" i="7"/>
  <c r="R4490" i="7"/>
  <c r="Q4506" i="7"/>
  <c r="R4506" i="7"/>
  <c r="Q4514" i="7"/>
  <c r="R4514" i="7"/>
  <c r="Q3870" i="7"/>
  <c r="Q3872" i="7"/>
  <c r="Q3874" i="7"/>
  <c r="Q3876" i="7"/>
  <c r="Q3878" i="7"/>
  <c r="Q3880" i="7"/>
  <c r="Q3882" i="7"/>
  <c r="Q3884" i="7"/>
  <c r="Q3886" i="7"/>
  <c r="Q3888" i="7"/>
  <c r="Q3890" i="7"/>
  <c r="Q3892" i="7"/>
  <c r="Q3894" i="7"/>
  <c r="Q3896" i="7"/>
  <c r="Q3898" i="7"/>
  <c r="Q3900" i="7"/>
  <c r="Q3902" i="7"/>
  <c r="Q3904" i="7"/>
  <c r="Q3906" i="7"/>
  <c r="Q3908" i="7"/>
  <c r="Q3910" i="7"/>
  <c r="Q3912" i="7"/>
  <c r="Q3914" i="7"/>
  <c r="Q3916" i="7"/>
  <c r="Q3918" i="7"/>
  <c r="Q3920" i="7"/>
  <c r="Q3922" i="7"/>
  <c r="Q3924" i="7"/>
  <c r="Q3926" i="7"/>
  <c r="Q3928" i="7"/>
  <c r="Q3930" i="7"/>
  <c r="Q3932" i="7"/>
  <c r="Q3934" i="7"/>
  <c r="Q3936" i="7"/>
  <c r="Q3938" i="7"/>
  <c r="Q3940" i="7"/>
  <c r="Q3942" i="7"/>
  <c r="Q3944" i="7"/>
  <c r="Q3946" i="7"/>
  <c r="Q3948" i="7"/>
  <c r="Q3950" i="7"/>
  <c r="Q3952" i="7"/>
  <c r="Q3954" i="7"/>
  <c r="Q3956" i="7"/>
  <c r="Q3958" i="7"/>
  <c r="Q3960" i="7"/>
  <c r="Q3962" i="7"/>
  <c r="Q3964" i="7"/>
  <c r="Q3966" i="7"/>
  <c r="Q3968" i="7"/>
  <c r="Q3970" i="7"/>
  <c r="Q3972" i="7"/>
  <c r="Q3974" i="7"/>
  <c r="Q3976" i="7"/>
  <c r="Q3978" i="7"/>
  <c r="Q3980" i="7"/>
  <c r="Q3982" i="7"/>
  <c r="Q3984" i="7"/>
  <c r="Q3986" i="7"/>
  <c r="Q3988" i="7"/>
  <c r="Q3990" i="7"/>
  <c r="Q3992" i="7"/>
  <c r="Q3994" i="7"/>
  <c r="Q3996" i="7"/>
  <c r="Q3998" i="7"/>
  <c r="Q4000" i="7"/>
  <c r="Q4002" i="7"/>
  <c r="Q4004" i="7"/>
  <c r="Q4006" i="7"/>
  <c r="Q4008" i="7"/>
  <c r="Q4010" i="7"/>
  <c r="Q4012" i="7"/>
  <c r="Q4014" i="7"/>
  <c r="Q4016" i="7"/>
  <c r="Q4018" i="7"/>
  <c r="Q4020" i="7"/>
  <c r="Q4022" i="7"/>
  <c r="Q4024" i="7"/>
  <c r="Q4026" i="7"/>
  <c r="Q4028" i="7"/>
  <c r="Q4030" i="7"/>
  <c r="Q4032" i="7"/>
  <c r="Q4034" i="7"/>
  <c r="Q4036" i="7"/>
  <c r="Q4038" i="7"/>
  <c r="Q4040" i="7"/>
  <c r="Q4042" i="7"/>
  <c r="Q4044" i="7"/>
  <c r="Q4046" i="7"/>
  <c r="R4048" i="7"/>
  <c r="Q4049" i="7"/>
  <c r="T4050" i="7"/>
  <c r="R4052" i="7"/>
  <c r="Q4053" i="7"/>
  <c r="T4054" i="7"/>
  <c r="R4056" i="7"/>
  <c r="Q4401" i="7"/>
  <c r="R4401" i="7"/>
  <c r="Q4410" i="7"/>
  <c r="R4410" i="7"/>
  <c r="Q4425" i="7"/>
  <c r="R4425" i="7"/>
  <c r="Q4441" i="7"/>
  <c r="R4441" i="7"/>
  <c r="Q4457" i="7"/>
  <c r="R4457" i="7"/>
  <c r="Q4473" i="7"/>
  <c r="R4473" i="7"/>
  <c r="Q4489" i="7"/>
  <c r="R4489" i="7"/>
  <c r="Q4505" i="7"/>
  <c r="R4505" i="7"/>
  <c r="Q4513" i="7"/>
  <c r="R4513" i="7"/>
  <c r="U4056" i="7"/>
  <c r="T4056" i="7"/>
  <c r="U4058" i="7"/>
  <c r="T4058" i="7"/>
  <c r="U4060" i="7"/>
  <c r="T4060" i="7"/>
  <c r="U4062" i="7"/>
  <c r="T4062" i="7"/>
  <c r="U4064" i="7"/>
  <c r="T4064" i="7"/>
  <c r="U4066" i="7"/>
  <c r="T4066" i="7"/>
  <c r="U4068" i="7"/>
  <c r="T4068" i="7"/>
  <c r="U4070" i="7"/>
  <c r="T4070" i="7"/>
  <c r="U4072" i="7"/>
  <c r="T4072" i="7"/>
  <c r="U4074" i="7"/>
  <c r="T4074" i="7"/>
  <c r="U4076" i="7"/>
  <c r="T4076" i="7"/>
  <c r="U4078" i="7"/>
  <c r="T4078" i="7"/>
  <c r="U4080" i="7"/>
  <c r="T4080" i="7"/>
  <c r="U4082" i="7"/>
  <c r="T4082" i="7"/>
  <c r="U4084" i="7"/>
  <c r="T4084" i="7"/>
  <c r="U4086" i="7"/>
  <c r="T4086" i="7"/>
  <c r="U4088" i="7"/>
  <c r="T4088" i="7"/>
  <c r="U4090" i="7"/>
  <c r="T4090" i="7"/>
  <c r="U4092" i="7"/>
  <c r="T4092" i="7"/>
  <c r="U4094" i="7"/>
  <c r="T4094" i="7"/>
  <c r="U4096" i="7"/>
  <c r="T4096" i="7"/>
  <c r="U4098" i="7"/>
  <c r="T4098" i="7"/>
  <c r="U4100" i="7"/>
  <c r="T4100" i="7"/>
  <c r="U4102" i="7"/>
  <c r="T4102" i="7"/>
  <c r="U4104" i="7"/>
  <c r="T4104" i="7"/>
  <c r="U4106" i="7"/>
  <c r="T4106" i="7"/>
  <c r="U4108" i="7"/>
  <c r="T4108" i="7"/>
  <c r="U4110" i="7"/>
  <c r="T4110" i="7"/>
  <c r="U4112" i="7"/>
  <c r="T4112" i="7"/>
  <c r="U4114" i="7"/>
  <c r="T4114" i="7"/>
  <c r="U4116" i="7"/>
  <c r="T4116" i="7"/>
  <c r="U4118" i="7"/>
  <c r="T4118" i="7"/>
  <c r="U4120" i="7"/>
  <c r="T4120" i="7"/>
  <c r="U4122" i="7"/>
  <c r="T4122" i="7"/>
  <c r="U4124" i="7"/>
  <c r="T4124" i="7"/>
  <c r="U4126" i="7"/>
  <c r="T4126" i="7"/>
  <c r="U4128" i="7"/>
  <c r="T4128" i="7"/>
  <c r="U4130" i="7"/>
  <c r="T4130" i="7"/>
  <c r="U4132" i="7"/>
  <c r="T4132" i="7"/>
  <c r="U4134" i="7"/>
  <c r="T4134" i="7"/>
  <c r="U4136" i="7"/>
  <c r="T4136" i="7"/>
  <c r="U4138" i="7"/>
  <c r="T4138" i="7"/>
  <c r="U4140" i="7"/>
  <c r="T4140" i="7"/>
  <c r="U4142" i="7"/>
  <c r="T4142" i="7"/>
  <c r="U4144" i="7"/>
  <c r="T4144" i="7"/>
  <c r="U4146" i="7"/>
  <c r="T4146" i="7"/>
  <c r="U4148" i="7"/>
  <c r="T4148" i="7"/>
  <c r="U4150" i="7"/>
  <c r="T4150" i="7"/>
  <c r="U4152" i="7"/>
  <c r="T4152" i="7"/>
  <c r="U4154" i="7"/>
  <c r="T4154" i="7"/>
  <c r="U4156" i="7"/>
  <c r="T4156" i="7"/>
  <c r="U4158" i="7"/>
  <c r="T4158" i="7"/>
  <c r="U4160" i="7"/>
  <c r="T4160" i="7"/>
  <c r="U4162" i="7"/>
  <c r="T4162" i="7"/>
  <c r="U4164" i="7"/>
  <c r="T4164" i="7"/>
  <c r="U4166" i="7"/>
  <c r="T4166" i="7"/>
  <c r="U4168" i="7"/>
  <c r="T4168" i="7"/>
  <c r="U4170" i="7"/>
  <c r="T4170" i="7"/>
  <c r="U4172" i="7"/>
  <c r="T4172" i="7"/>
  <c r="U4174" i="7"/>
  <c r="T4174" i="7"/>
  <c r="U4176" i="7"/>
  <c r="T4176" i="7"/>
  <c r="U4178" i="7"/>
  <c r="T4178" i="7"/>
  <c r="U4180" i="7"/>
  <c r="T4180" i="7"/>
  <c r="U4182" i="7"/>
  <c r="T4182" i="7"/>
  <c r="U4184" i="7"/>
  <c r="T4184" i="7"/>
  <c r="U4186" i="7"/>
  <c r="T4186" i="7"/>
  <c r="U4188" i="7"/>
  <c r="T4188" i="7"/>
  <c r="U4190" i="7"/>
  <c r="T4190" i="7"/>
  <c r="U4192" i="7"/>
  <c r="T4192" i="7"/>
  <c r="U4194" i="7"/>
  <c r="T4194" i="7"/>
  <c r="U4196" i="7"/>
  <c r="T4196" i="7"/>
  <c r="U4198" i="7"/>
  <c r="T4198" i="7"/>
  <c r="U4200" i="7"/>
  <c r="T4200" i="7"/>
  <c r="U4202" i="7"/>
  <c r="T4202" i="7"/>
  <c r="U4204" i="7"/>
  <c r="T4204" i="7"/>
  <c r="U4206" i="7"/>
  <c r="T4206" i="7"/>
  <c r="U4208" i="7"/>
  <c r="T4208" i="7"/>
  <c r="U4210" i="7"/>
  <c r="T4210" i="7"/>
  <c r="U4212" i="7"/>
  <c r="T4212" i="7"/>
  <c r="U4214" i="7"/>
  <c r="T4214" i="7"/>
  <c r="U4216" i="7"/>
  <c r="T4216" i="7"/>
  <c r="U4218" i="7"/>
  <c r="T4218" i="7"/>
  <c r="U4220" i="7"/>
  <c r="T4220" i="7"/>
  <c r="U4222" i="7"/>
  <c r="T4222" i="7"/>
  <c r="U4224" i="7"/>
  <c r="T4224" i="7"/>
  <c r="U4226" i="7"/>
  <c r="T4226" i="7"/>
  <c r="U4228" i="7"/>
  <c r="T4228" i="7"/>
  <c r="U4230" i="7"/>
  <c r="T4230" i="7"/>
  <c r="U4232" i="7"/>
  <c r="T4232" i="7"/>
  <c r="U4234" i="7"/>
  <c r="T4234" i="7"/>
  <c r="U4236" i="7"/>
  <c r="T4236" i="7"/>
  <c r="U4238" i="7"/>
  <c r="T4238" i="7"/>
  <c r="U4240" i="7"/>
  <c r="T4240" i="7"/>
  <c r="U4242" i="7"/>
  <c r="T4242" i="7"/>
  <c r="U4244" i="7"/>
  <c r="T4244" i="7"/>
  <c r="U4246" i="7"/>
  <c r="T4246" i="7"/>
  <c r="U4248" i="7"/>
  <c r="T4248" i="7"/>
  <c r="U4250" i="7"/>
  <c r="T4250" i="7"/>
  <c r="U4252" i="7"/>
  <c r="T4252" i="7"/>
  <c r="U4254" i="7"/>
  <c r="T4254" i="7"/>
  <c r="U4256" i="7"/>
  <c r="T4256" i="7"/>
  <c r="U4258" i="7"/>
  <c r="T4258" i="7"/>
  <c r="U4260" i="7"/>
  <c r="T4260" i="7"/>
  <c r="U4262" i="7"/>
  <c r="T4262" i="7"/>
  <c r="U4264" i="7"/>
  <c r="T4264" i="7"/>
  <c r="U4266" i="7"/>
  <c r="T4266" i="7"/>
  <c r="U4268" i="7"/>
  <c r="T4268" i="7"/>
  <c r="U4270" i="7"/>
  <c r="T4270" i="7"/>
  <c r="U4272" i="7"/>
  <c r="T4272" i="7"/>
  <c r="U4274" i="7"/>
  <c r="T4274" i="7"/>
  <c r="U4276" i="7"/>
  <c r="T4276" i="7"/>
  <c r="U4278" i="7"/>
  <c r="T4278" i="7"/>
  <c r="U4280" i="7"/>
  <c r="T4280" i="7"/>
  <c r="U4282" i="7"/>
  <c r="T4282" i="7"/>
  <c r="U4284" i="7"/>
  <c r="T4284" i="7"/>
  <c r="U4286" i="7"/>
  <c r="T4286" i="7"/>
  <c r="U4288" i="7"/>
  <c r="T4288" i="7"/>
  <c r="U4290" i="7"/>
  <c r="T4290" i="7"/>
  <c r="U4292" i="7"/>
  <c r="T4292" i="7"/>
  <c r="U4294" i="7"/>
  <c r="T4294" i="7"/>
  <c r="U4296" i="7"/>
  <c r="T4296" i="7"/>
  <c r="U4298" i="7"/>
  <c r="T4298" i="7"/>
  <c r="U4300" i="7"/>
  <c r="T4300" i="7"/>
  <c r="U4302" i="7"/>
  <c r="T4302" i="7"/>
  <c r="U4304" i="7"/>
  <c r="T4304" i="7"/>
  <c r="U4306" i="7"/>
  <c r="T4306" i="7"/>
  <c r="U4308" i="7"/>
  <c r="T4308" i="7"/>
  <c r="U4310" i="7"/>
  <c r="T4310" i="7"/>
  <c r="U4312" i="7"/>
  <c r="T4312" i="7"/>
  <c r="U4314" i="7"/>
  <c r="T4314" i="7"/>
  <c r="U4316" i="7"/>
  <c r="T4316" i="7"/>
  <c r="U4318" i="7"/>
  <c r="T4318" i="7"/>
  <c r="U4320" i="7"/>
  <c r="T4320" i="7"/>
  <c r="U4322" i="7"/>
  <c r="T4322" i="7"/>
  <c r="U4324" i="7"/>
  <c r="T4324" i="7"/>
  <c r="U4326" i="7"/>
  <c r="T4326" i="7"/>
  <c r="U4328" i="7"/>
  <c r="T4328" i="7"/>
  <c r="U4330" i="7"/>
  <c r="T4330" i="7"/>
  <c r="U4332" i="7"/>
  <c r="T4332" i="7"/>
  <c r="U4334" i="7"/>
  <c r="T4334" i="7"/>
  <c r="U4336" i="7"/>
  <c r="T4336" i="7"/>
  <c r="U4338" i="7"/>
  <c r="T4338" i="7"/>
  <c r="Q4409" i="7"/>
  <c r="R4409" i="7"/>
  <c r="Q4418" i="7"/>
  <c r="R4418" i="7"/>
  <c r="Q4434" i="7"/>
  <c r="R4434" i="7"/>
  <c r="Q4450" i="7"/>
  <c r="R4450" i="7"/>
  <c r="Q4466" i="7"/>
  <c r="R4466" i="7"/>
  <c r="Q4482" i="7"/>
  <c r="R4482" i="7"/>
  <c r="Q4498" i="7"/>
  <c r="R4498" i="7"/>
  <c r="R4516" i="7"/>
  <c r="Q4516" i="7"/>
  <c r="R4518" i="7"/>
  <c r="Q4518" i="7"/>
  <c r="R4520" i="7"/>
  <c r="Q4520" i="7"/>
  <c r="R4522" i="7"/>
  <c r="Q4522" i="7"/>
  <c r="R4524" i="7"/>
  <c r="Q4524" i="7"/>
  <c r="R4526" i="7"/>
  <c r="Q4526" i="7"/>
  <c r="R4528" i="7"/>
  <c r="Q4528" i="7"/>
  <c r="R4530" i="7"/>
  <c r="Q4530" i="7"/>
  <c r="R4532" i="7"/>
  <c r="Q4532" i="7"/>
  <c r="R4534" i="7"/>
  <c r="Q4534" i="7"/>
  <c r="R4536" i="7"/>
  <c r="Q4536" i="7"/>
  <c r="R4538" i="7"/>
  <c r="Q4538" i="7"/>
  <c r="R4540" i="7"/>
  <c r="Q4540" i="7"/>
  <c r="R4542" i="7"/>
  <c r="Q4542" i="7"/>
  <c r="R4544" i="7"/>
  <c r="Q4544" i="7"/>
  <c r="R4546" i="7"/>
  <c r="Q4546" i="7"/>
  <c r="R4548" i="7"/>
  <c r="Q4548" i="7"/>
  <c r="U4550" i="7"/>
  <c r="T4550" i="7"/>
  <c r="T4557" i="7"/>
  <c r="U4557" i="7"/>
  <c r="R4564" i="7"/>
  <c r="Q4564" i="7"/>
  <c r="U4566" i="7"/>
  <c r="T4566" i="7"/>
  <c r="T4573" i="7"/>
  <c r="U4573" i="7"/>
  <c r="R4580" i="7"/>
  <c r="Q4580" i="7"/>
  <c r="U4582" i="7"/>
  <c r="T4582" i="7"/>
  <c r="T4589" i="7"/>
  <c r="U4589" i="7"/>
  <c r="R4596" i="7"/>
  <c r="Q4596" i="7"/>
  <c r="U4598" i="7"/>
  <c r="T4598" i="7"/>
  <c r="T4605" i="7"/>
  <c r="U4605" i="7"/>
  <c r="R4612" i="7"/>
  <c r="Q4612" i="7"/>
  <c r="U4614" i="7"/>
  <c r="T4614" i="7"/>
  <c r="T4621" i="7"/>
  <c r="U4621" i="7"/>
  <c r="R4628" i="7"/>
  <c r="Q4628" i="7"/>
  <c r="U4630" i="7"/>
  <c r="T4630" i="7"/>
  <c r="T4637" i="7"/>
  <c r="U4637" i="7"/>
  <c r="R4644" i="7"/>
  <c r="Q4644" i="7"/>
  <c r="U4646" i="7"/>
  <c r="T4646" i="7"/>
  <c r="T4653" i="7"/>
  <c r="U4653" i="7"/>
  <c r="R4660" i="7"/>
  <c r="Q4660" i="7"/>
  <c r="T4341" i="7"/>
  <c r="R4343" i="7"/>
  <c r="T4345" i="7"/>
  <c r="R4347" i="7"/>
  <c r="T4349" i="7"/>
  <c r="R4351" i="7"/>
  <c r="T4353" i="7"/>
  <c r="R4355" i="7"/>
  <c r="T4357" i="7"/>
  <c r="R4359" i="7"/>
  <c r="T4361" i="7"/>
  <c r="R4363" i="7"/>
  <c r="R4507" i="7"/>
  <c r="R4508" i="7"/>
  <c r="R4552" i="7"/>
  <c r="Q4552" i="7"/>
  <c r="U4554" i="7"/>
  <c r="T4554" i="7"/>
  <c r="T4561" i="7"/>
  <c r="U4561" i="7"/>
  <c r="R4568" i="7"/>
  <c r="Q4568" i="7"/>
  <c r="U4570" i="7"/>
  <c r="T4570" i="7"/>
  <c r="T4577" i="7"/>
  <c r="U4577" i="7"/>
  <c r="R4584" i="7"/>
  <c r="Q4584" i="7"/>
  <c r="U4586" i="7"/>
  <c r="T4586" i="7"/>
  <c r="T4593" i="7"/>
  <c r="U4593" i="7"/>
  <c r="R4600" i="7"/>
  <c r="Q4600" i="7"/>
  <c r="U4602" i="7"/>
  <c r="T4602" i="7"/>
  <c r="T4609" i="7"/>
  <c r="U4609" i="7"/>
  <c r="R4616" i="7"/>
  <c r="Q4616" i="7"/>
  <c r="U4618" i="7"/>
  <c r="T4618" i="7"/>
  <c r="T4625" i="7"/>
  <c r="U4625" i="7"/>
  <c r="R4632" i="7"/>
  <c r="Q4632" i="7"/>
  <c r="U4634" i="7"/>
  <c r="T4634" i="7"/>
  <c r="T4641" i="7"/>
  <c r="U4641" i="7"/>
  <c r="R4648" i="7"/>
  <c r="Q4648" i="7"/>
  <c r="U4650" i="7"/>
  <c r="T4650" i="7"/>
  <c r="T4657" i="7"/>
  <c r="U4657" i="7"/>
  <c r="T4662" i="7"/>
  <c r="U4662" i="7"/>
  <c r="R4397" i="7"/>
  <c r="R4405" i="7"/>
  <c r="R4413" i="7"/>
  <c r="T4549" i="7"/>
  <c r="U4549" i="7"/>
  <c r="R4556" i="7"/>
  <c r="Q4556" i="7"/>
  <c r="U4558" i="7"/>
  <c r="T4558" i="7"/>
  <c r="T4565" i="7"/>
  <c r="U4565" i="7"/>
  <c r="R4572" i="7"/>
  <c r="Q4572" i="7"/>
  <c r="U4574" i="7"/>
  <c r="T4574" i="7"/>
  <c r="T4581" i="7"/>
  <c r="U4581" i="7"/>
  <c r="R4588" i="7"/>
  <c r="Q4588" i="7"/>
  <c r="U4590" i="7"/>
  <c r="T4590" i="7"/>
  <c r="T4597" i="7"/>
  <c r="U4597" i="7"/>
  <c r="R4604" i="7"/>
  <c r="Q4604" i="7"/>
  <c r="U4606" i="7"/>
  <c r="T4606" i="7"/>
  <c r="T4613" i="7"/>
  <c r="U4613" i="7"/>
  <c r="R4620" i="7"/>
  <c r="Q4620" i="7"/>
  <c r="U4622" i="7"/>
  <c r="T4622" i="7"/>
  <c r="T4629" i="7"/>
  <c r="U4629" i="7"/>
  <c r="R4636" i="7"/>
  <c r="Q4636" i="7"/>
  <c r="U4638" i="7"/>
  <c r="T4638" i="7"/>
  <c r="T4645" i="7"/>
  <c r="U4645" i="7"/>
  <c r="R4652" i="7"/>
  <c r="Q4652" i="7"/>
  <c r="U4654" i="7"/>
  <c r="T4654" i="7"/>
  <c r="T4661" i="7"/>
  <c r="U4661" i="7"/>
  <c r="U4664" i="7"/>
  <c r="T4664" i="7"/>
  <c r="U4666" i="7"/>
  <c r="T4666" i="7"/>
  <c r="U4668" i="7"/>
  <c r="T4668" i="7"/>
  <c r="U4670" i="7"/>
  <c r="T4670" i="7"/>
  <c r="U4672" i="7"/>
  <c r="T4672" i="7"/>
  <c r="U4674" i="7"/>
  <c r="T4674" i="7"/>
  <c r="U4676" i="7"/>
  <c r="T4676" i="7"/>
  <c r="U4678" i="7"/>
  <c r="T4678" i="7"/>
  <c r="U4680" i="7"/>
  <c r="T4680" i="7"/>
  <c r="U4682" i="7"/>
  <c r="T4682" i="7"/>
  <c r="U4684" i="7"/>
  <c r="T4684" i="7"/>
  <c r="R4687" i="7"/>
  <c r="Q4687" i="7"/>
  <c r="Q4694" i="7"/>
  <c r="R4694" i="7"/>
  <c r="U4700" i="7"/>
  <c r="T4700" i="7"/>
  <c r="R4703" i="7"/>
  <c r="Q4703" i="7"/>
  <c r="Q4710" i="7"/>
  <c r="R4710" i="7"/>
  <c r="U4716" i="7"/>
  <c r="T4716" i="7"/>
  <c r="R4719" i="7"/>
  <c r="Q4719" i="7"/>
  <c r="U4724" i="7"/>
  <c r="T4724" i="7"/>
  <c r="U4732" i="7"/>
  <c r="T4732" i="7"/>
  <c r="U4740" i="7"/>
  <c r="T4740" i="7"/>
  <c r="U4663" i="7"/>
  <c r="U4688" i="7"/>
  <c r="T4688" i="7"/>
  <c r="R4691" i="7"/>
  <c r="Q4691" i="7"/>
  <c r="Q4698" i="7"/>
  <c r="R4698" i="7"/>
  <c r="U4704" i="7"/>
  <c r="T4704" i="7"/>
  <c r="R4707" i="7"/>
  <c r="Q4707" i="7"/>
  <c r="Q4714" i="7"/>
  <c r="R4714" i="7"/>
  <c r="U4722" i="7"/>
  <c r="T4722" i="7"/>
  <c r="U4730" i="7"/>
  <c r="T4730" i="7"/>
  <c r="U4738" i="7"/>
  <c r="T4738" i="7"/>
  <c r="Q4550" i="7"/>
  <c r="U4551" i="7"/>
  <c r="Q4554" i="7"/>
  <c r="U4555" i="7"/>
  <c r="Q4558" i="7"/>
  <c r="U4559" i="7"/>
  <c r="Q4562" i="7"/>
  <c r="U4563" i="7"/>
  <c r="Q4566" i="7"/>
  <c r="U4567" i="7"/>
  <c r="Q4570" i="7"/>
  <c r="U4571" i="7"/>
  <c r="Q4574" i="7"/>
  <c r="U4575" i="7"/>
  <c r="Q4578" i="7"/>
  <c r="U4579" i="7"/>
  <c r="Q4582" i="7"/>
  <c r="U4583" i="7"/>
  <c r="Q4586" i="7"/>
  <c r="U4587" i="7"/>
  <c r="Q4590" i="7"/>
  <c r="U4591" i="7"/>
  <c r="Q4594" i="7"/>
  <c r="U4595" i="7"/>
  <c r="Q4598" i="7"/>
  <c r="U4599" i="7"/>
  <c r="Q4602" i="7"/>
  <c r="U4603" i="7"/>
  <c r="Q4606" i="7"/>
  <c r="U4607" i="7"/>
  <c r="Q4610" i="7"/>
  <c r="U4611" i="7"/>
  <c r="Q4614" i="7"/>
  <c r="U4615" i="7"/>
  <c r="Q4618" i="7"/>
  <c r="U4619" i="7"/>
  <c r="Q4622" i="7"/>
  <c r="U4623" i="7"/>
  <c r="Q4626" i="7"/>
  <c r="U4627" i="7"/>
  <c r="Q4630" i="7"/>
  <c r="U4631" i="7"/>
  <c r="Q4634" i="7"/>
  <c r="U4635" i="7"/>
  <c r="Q4638" i="7"/>
  <c r="U4639" i="7"/>
  <c r="Q4642" i="7"/>
  <c r="U4643" i="7"/>
  <c r="Q4646" i="7"/>
  <c r="U4647" i="7"/>
  <c r="Q4650" i="7"/>
  <c r="U4651" i="7"/>
  <c r="Q4654" i="7"/>
  <c r="U4655" i="7"/>
  <c r="Q4658" i="7"/>
  <c r="U4659" i="7"/>
  <c r="Q4686" i="7"/>
  <c r="R4686" i="7"/>
  <c r="U4692" i="7"/>
  <c r="T4692" i="7"/>
  <c r="R4695" i="7"/>
  <c r="Q4695" i="7"/>
  <c r="Q4702" i="7"/>
  <c r="R4702" i="7"/>
  <c r="U4708" i="7"/>
  <c r="T4708" i="7"/>
  <c r="R4711" i="7"/>
  <c r="Q4711" i="7"/>
  <c r="Q4718" i="7"/>
  <c r="R4718" i="7"/>
  <c r="U4720" i="7"/>
  <c r="T4720" i="7"/>
  <c r="U4728" i="7"/>
  <c r="T4728" i="7"/>
  <c r="U4736" i="7"/>
  <c r="T4736" i="7"/>
  <c r="U4790" i="7"/>
  <c r="T4790" i="7"/>
  <c r="R4870" i="7"/>
  <c r="Q4870" i="7"/>
  <c r="Q4721" i="7"/>
  <c r="Q4723" i="7"/>
  <c r="Q4725" i="7"/>
  <c r="Q4727" i="7"/>
  <c r="Q4729" i="7"/>
  <c r="Q4731" i="7"/>
  <c r="Q4733" i="7"/>
  <c r="Q4735" i="7"/>
  <c r="Q4737" i="7"/>
  <c r="Q4739" i="7"/>
  <c r="Q4741" i="7"/>
  <c r="U4788" i="7"/>
  <c r="T4788" i="7"/>
  <c r="T4686" i="7"/>
  <c r="R4688" i="7"/>
  <c r="T4690" i="7"/>
  <c r="R4692" i="7"/>
  <c r="T4694" i="7"/>
  <c r="R4696" i="7"/>
  <c r="T4698" i="7"/>
  <c r="R4700" i="7"/>
  <c r="T4702" i="7"/>
  <c r="R4704" i="7"/>
  <c r="T4706" i="7"/>
  <c r="R4708" i="7"/>
  <c r="T4710" i="7"/>
  <c r="R4712" i="7"/>
  <c r="T4714" i="7"/>
  <c r="R4716" i="7"/>
  <c r="T4718" i="7"/>
  <c r="U4786" i="7"/>
  <c r="T4786" i="7"/>
  <c r="U4794" i="7"/>
  <c r="T4794" i="7"/>
  <c r="U4796" i="7"/>
  <c r="T4796" i="7"/>
  <c r="U4798" i="7"/>
  <c r="T4798" i="7"/>
  <c r="U4800" i="7"/>
  <c r="T4800" i="7"/>
  <c r="U4802" i="7"/>
  <c r="T4802" i="7"/>
  <c r="U4804" i="7"/>
  <c r="T4804" i="7"/>
  <c r="U4806" i="7"/>
  <c r="T4806" i="7"/>
  <c r="U4808" i="7"/>
  <c r="T4808" i="7"/>
  <c r="U4810" i="7"/>
  <c r="T4810" i="7"/>
  <c r="U4812" i="7"/>
  <c r="T4812" i="7"/>
  <c r="U4814" i="7"/>
  <c r="T4814" i="7"/>
  <c r="U4816" i="7"/>
  <c r="T4816" i="7"/>
  <c r="U4818" i="7"/>
  <c r="T4818" i="7"/>
  <c r="U4820" i="7"/>
  <c r="T4820" i="7"/>
  <c r="U4822" i="7"/>
  <c r="T4822" i="7"/>
  <c r="U4824" i="7"/>
  <c r="T4824" i="7"/>
  <c r="U4826" i="7"/>
  <c r="T4826" i="7"/>
  <c r="U4828" i="7"/>
  <c r="T4828" i="7"/>
  <c r="U4830" i="7"/>
  <c r="T4830" i="7"/>
  <c r="U4832" i="7"/>
  <c r="T4832" i="7"/>
  <c r="T4874" i="7"/>
  <c r="U4874" i="7"/>
  <c r="T4878" i="7"/>
  <c r="U4878" i="7"/>
  <c r="T4882" i="7"/>
  <c r="U4882" i="7"/>
  <c r="T4886" i="7"/>
  <c r="U4886" i="7"/>
  <c r="T4890" i="7"/>
  <c r="U4890" i="7"/>
  <c r="T4894" i="7"/>
  <c r="U4894" i="7"/>
  <c r="U4919" i="7"/>
  <c r="T4919" i="7"/>
  <c r="Q4922" i="7"/>
  <c r="R4922" i="7"/>
  <c r="Q4786" i="7"/>
  <c r="Q4788" i="7"/>
  <c r="Q4790" i="7"/>
  <c r="Q4792" i="7"/>
  <c r="Q4794" i="7"/>
  <c r="Q4796" i="7"/>
  <c r="Q4798" i="7"/>
  <c r="Q4800" i="7"/>
  <c r="Q4802" i="7"/>
  <c r="Q4804" i="7"/>
  <c r="Q4806" i="7"/>
  <c r="Q4808" i="7"/>
  <c r="Q4810" i="7"/>
  <c r="Q4812" i="7"/>
  <c r="Q4814" i="7"/>
  <c r="Q4816" i="7"/>
  <c r="Q4818" i="7"/>
  <c r="Q4820" i="7"/>
  <c r="Q4822" i="7"/>
  <c r="Q4824" i="7"/>
  <c r="Q4826" i="7"/>
  <c r="Q4828" i="7"/>
  <c r="Q4830" i="7"/>
  <c r="Q4832" i="7"/>
  <c r="Q4834" i="7"/>
  <c r="U4835" i="7"/>
  <c r="T4836" i="7"/>
  <c r="Q4838" i="7"/>
  <c r="U4839" i="7"/>
  <c r="T4840" i="7"/>
  <c r="Q4842" i="7"/>
  <c r="U4843" i="7"/>
  <c r="T4844" i="7"/>
  <c r="Q4846" i="7"/>
  <c r="U4847" i="7"/>
  <c r="T4848" i="7"/>
  <c r="Q4850" i="7"/>
  <c r="U4851" i="7"/>
  <c r="T4852" i="7"/>
  <c r="Q4854" i="7"/>
  <c r="U4855" i="7"/>
  <c r="T4856" i="7"/>
  <c r="Q4858" i="7"/>
  <c r="T4873" i="7"/>
  <c r="U4873" i="7"/>
  <c r="T4877" i="7"/>
  <c r="U4877" i="7"/>
  <c r="T4881" i="7"/>
  <c r="U4881" i="7"/>
  <c r="T4885" i="7"/>
  <c r="U4885" i="7"/>
  <c r="T4889" i="7"/>
  <c r="U4889" i="7"/>
  <c r="T4893" i="7"/>
  <c r="U4893" i="7"/>
  <c r="U4869" i="7"/>
  <c r="T4869" i="7"/>
  <c r="T4872" i="7"/>
  <c r="U4872" i="7"/>
  <c r="T4876" i="7"/>
  <c r="U4876" i="7"/>
  <c r="T4880" i="7"/>
  <c r="U4880" i="7"/>
  <c r="T4884" i="7"/>
  <c r="U4884" i="7"/>
  <c r="T4888" i="7"/>
  <c r="U4888" i="7"/>
  <c r="T4892" i="7"/>
  <c r="U4892" i="7"/>
  <c r="U4917" i="7"/>
  <c r="T4917" i="7"/>
  <c r="Q4923" i="7"/>
  <c r="R4923" i="7"/>
  <c r="U4925" i="7"/>
  <c r="T4925" i="7"/>
  <c r="R4928" i="7"/>
  <c r="Q4928" i="7"/>
  <c r="Q4935" i="7"/>
  <c r="R4935" i="7"/>
  <c r="U4941" i="7"/>
  <c r="T4941" i="7"/>
  <c r="R4944" i="7"/>
  <c r="Q4944" i="7"/>
  <c r="Q4951" i="7"/>
  <c r="R4951" i="7"/>
  <c r="U4957" i="7"/>
  <c r="T4957" i="7"/>
  <c r="R4960" i="7"/>
  <c r="Q4960" i="7"/>
  <c r="Q4967" i="7"/>
  <c r="R4967" i="7"/>
  <c r="U4971" i="7"/>
  <c r="T4971" i="7"/>
  <c r="U4895" i="7"/>
  <c r="U4896" i="7"/>
  <c r="U4897" i="7"/>
  <c r="U4898" i="7"/>
  <c r="U4899" i="7"/>
  <c r="U4900" i="7"/>
  <c r="U4901" i="7"/>
  <c r="U4902" i="7"/>
  <c r="U4903" i="7"/>
  <c r="U4904" i="7"/>
  <c r="U4905" i="7"/>
  <c r="U4906" i="7"/>
  <c r="U4907" i="7"/>
  <c r="U4908" i="7"/>
  <c r="U4909" i="7"/>
  <c r="U4910" i="7"/>
  <c r="U4911" i="7"/>
  <c r="U4912" i="7"/>
  <c r="U4913" i="7"/>
  <c r="U4914" i="7"/>
  <c r="U4915" i="7"/>
  <c r="Q4921" i="7"/>
  <c r="R4921" i="7"/>
  <c r="U4923" i="7"/>
  <c r="T4923" i="7"/>
  <c r="U4929" i="7"/>
  <c r="T4929" i="7"/>
  <c r="R4932" i="7"/>
  <c r="Q4932" i="7"/>
  <c r="Q4939" i="7"/>
  <c r="R4939" i="7"/>
  <c r="U4945" i="7"/>
  <c r="T4945" i="7"/>
  <c r="R4948" i="7"/>
  <c r="Q4948" i="7"/>
  <c r="Q4955" i="7"/>
  <c r="R4955" i="7"/>
  <c r="U4961" i="7"/>
  <c r="T4961" i="7"/>
  <c r="R4964" i="7"/>
  <c r="Q4964" i="7"/>
  <c r="R4918" i="7"/>
  <c r="Q4919" i="7"/>
  <c r="R4919" i="7"/>
  <c r="U4921" i="7"/>
  <c r="T4921" i="7"/>
  <c r="Q4927" i="7"/>
  <c r="R4927" i="7"/>
  <c r="U4933" i="7"/>
  <c r="T4933" i="7"/>
  <c r="R4936" i="7"/>
  <c r="Q4936" i="7"/>
  <c r="Q4943" i="7"/>
  <c r="R4943" i="7"/>
  <c r="U4949" i="7"/>
  <c r="T4949" i="7"/>
  <c r="R4952" i="7"/>
  <c r="Q4952" i="7"/>
  <c r="Q4959" i="7"/>
  <c r="R4959" i="7"/>
  <c r="U4965" i="7"/>
  <c r="T4965" i="7"/>
  <c r="R4968" i="7"/>
  <c r="Q4968" i="7"/>
  <c r="R4975" i="7"/>
  <c r="Q4975" i="7"/>
  <c r="R4969" i="7"/>
  <c r="Q4969" i="7"/>
  <c r="R4977" i="7"/>
  <c r="Q4977" i="7"/>
  <c r="R4925" i="7"/>
  <c r="T4927" i="7"/>
  <c r="R4929" i="7"/>
  <c r="T4931" i="7"/>
  <c r="R4933" i="7"/>
  <c r="T4935" i="7"/>
  <c r="R4937" i="7"/>
  <c r="T4939" i="7"/>
  <c r="R4941" i="7"/>
  <c r="T4943" i="7"/>
  <c r="R4945" i="7"/>
  <c r="T4947" i="7"/>
  <c r="R4949" i="7"/>
  <c r="T4951" i="7"/>
  <c r="R4953" i="7"/>
  <c r="T4955" i="7"/>
  <c r="R4957" i="7"/>
  <c r="T4959" i="7"/>
  <c r="R4961" i="7"/>
  <c r="T4963" i="7"/>
  <c r="R4965" i="7"/>
  <c r="T4967" i="7"/>
  <c r="R4971" i="7"/>
  <c r="Q4971" i="7"/>
  <c r="R4979" i="7"/>
  <c r="Q4979" i="7"/>
  <c r="L5002" i="7" l="1"/>
  <c r="K5002" i="7"/>
  <c r="L5001" i="7"/>
  <c r="K5001" i="7"/>
  <c r="L5000" i="7"/>
  <c r="K5000" i="7"/>
  <c r="L4999" i="7"/>
  <c r="K4999" i="7"/>
  <c r="L4998" i="7"/>
  <c r="K4998" i="7"/>
  <c r="L4997" i="7"/>
  <c r="K4997" i="7"/>
  <c r="L4996" i="7"/>
  <c r="K4996" i="7"/>
  <c r="L4995" i="7"/>
  <c r="K4995" i="7"/>
  <c r="L4994" i="7"/>
  <c r="K4994" i="7"/>
  <c r="L4993" i="7"/>
  <c r="K4993" i="7"/>
  <c r="L4992" i="7"/>
  <c r="K4992" i="7"/>
  <c r="L4991" i="7"/>
  <c r="K4991" i="7"/>
  <c r="L4990" i="7"/>
  <c r="K4990" i="7"/>
  <c r="L4989" i="7"/>
  <c r="K4989" i="7"/>
  <c r="L4988" i="7"/>
  <c r="K4988" i="7"/>
  <c r="L4987" i="7"/>
  <c r="K4987" i="7"/>
  <c r="L4986" i="7"/>
  <c r="K4986" i="7"/>
  <c r="L4985" i="7"/>
  <c r="K4985" i="7"/>
  <c r="L4984" i="7"/>
  <c r="K4984" i="7"/>
  <c r="L4983" i="7"/>
  <c r="K4983" i="7"/>
  <c r="L4982" i="7"/>
  <c r="K4982" i="7"/>
  <c r="L4981" i="7"/>
  <c r="K4981" i="7"/>
  <c r="L4980" i="7"/>
  <c r="K4980" i="7"/>
  <c r="L4979" i="7"/>
  <c r="K4979" i="7"/>
  <c r="L4978" i="7"/>
  <c r="K4978" i="7"/>
  <c r="L4977" i="7"/>
  <c r="K4977" i="7"/>
  <c r="L4976" i="7"/>
  <c r="K4976" i="7"/>
  <c r="L4975" i="7"/>
  <c r="K4975" i="7"/>
  <c r="L4974" i="7"/>
  <c r="K4974" i="7"/>
  <c r="L4973" i="7"/>
  <c r="K4973" i="7"/>
  <c r="L4972" i="7"/>
  <c r="K4972" i="7"/>
  <c r="L4971" i="7"/>
  <c r="K4971" i="7"/>
  <c r="L4970" i="7"/>
  <c r="K4970" i="7"/>
  <c r="L4969" i="7"/>
  <c r="K4969" i="7"/>
  <c r="L4968" i="7"/>
  <c r="K4968" i="7"/>
  <c r="L4967" i="7"/>
  <c r="K4967" i="7"/>
  <c r="L4966" i="7"/>
  <c r="K4966" i="7"/>
  <c r="L4965" i="7"/>
  <c r="K4965" i="7"/>
  <c r="L4964" i="7"/>
  <c r="K4964" i="7"/>
  <c r="L4963" i="7"/>
  <c r="K4963" i="7"/>
  <c r="L4962" i="7"/>
  <c r="K4962" i="7"/>
  <c r="L4961" i="7"/>
  <c r="K4961" i="7"/>
  <c r="L4960" i="7"/>
  <c r="K4960" i="7"/>
  <c r="L4959" i="7"/>
  <c r="K4959" i="7"/>
  <c r="L4958" i="7"/>
  <c r="K4958" i="7"/>
  <c r="L4957" i="7"/>
  <c r="K4957" i="7"/>
  <c r="L4956" i="7"/>
  <c r="K4956" i="7"/>
  <c r="L4955" i="7"/>
  <c r="K4955" i="7"/>
  <c r="L4954" i="7"/>
  <c r="K4954" i="7"/>
  <c r="L4953" i="7"/>
  <c r="K4953" i="7"/>
  <c r="L4952" i="7"/>
  <c r="K4952" i="7"/>
  <c r="L4951" i="7"/>
  <c r="K4951" i="7"/>
  <c r="L4950" i="7"/>
  <c r="K4950" i="7"/>
  <c r="L4949" i="7"/>
  <c r="K4949" i="7"/>
  <c r="L4948" i="7"/>
  <c r="K4948" i="7"/>
  <c r="L4947" i="7"/>
  <c r="K4947" i="7"/>
  <c r="L4946" i="7"/>
  <c r="K4946" i="7"/>
  <c r="L4945" i="7"/>
  <c r="K4945" i="7"/>
  <c r="L4944" i="7"/>
  <c r="K4944" i="7"/>
  <c r="L4943" i="7"/>
  <c r="K4943" i="7"/>
  <c r="L4942" i="7"/>
  <c r="K4942" i="7"/>
  <c r="L4941" i="7"/>
  <c r="K4941" i="7"/>
  <c r="L4940" i="7"/>
  <c r="K4940" i="7"/>
  <c r="L4939" i="7"/>
  <c r="K4939" i="7"/>
  <c r="L4938" i="7"/>
  <c r="K4938" i="7"/>
  <c r="L4937" i="7"/>
  <c r="K4937" i="7"/>
  <c r="L4936" i="7"/>
  <c r="K4936" i="7"/>
  <c r="L4935" i="7"/>
  <c r="K4935" i="7"/>
  <c r="L4934" i="7"/>
  <c r="K4934" i="7"/>
  <c r="L4933" i="7"/>
  <c r="K4933" i="7"/>
  <c r="L4932" i="7"/>
  <c r="K4932" i="7"/>
  <c r="L4931" i="7"/>
  <c r="K4931" i="7"/>
  <c r="L4930" i="7"/>
  <c r="K4930" i="7"/>
  <c r="L4929" i="7"/>
  <c r="K4929" i="7"/>
  <c r="L4928" i="7"/>
  <c r="K4928" i="7"/>
  <c r="L4927" i="7"/>
  <c r="K4927" i="7"/>
  <c r="L4926" i="7"/>
  <c r="K4926" i="7"/>
  <c r="L4925" i="7"/>
  <c r="K4925" i="7"/>
  <c r="L4924" i="7"/>
  <c r="K4924" i="7"/>
  <c r="L4923" i="7"/>
  <c r="K4923" i="7"/>
  <c r="L4922" i="7"/>
  <c r="K4922" i="7"/>
  <c r="L4921" i="7"/>
  <c r="K4921" i="7"/>
  <c r="L4920" i="7"/>
  <c r="K4920" i="7"/>
  <c r="L4919" i="7"/>
  <c r="K4919" i="7"/>
  <c r="L4918" i="7"/>
  <c r="K4918" i="7"/>
  <c r="L4917" i="7"/>
  <c r="K4917" i="7"/>
  <c r="L4916" i="7"/>
  <c r="K4916" i="7"/>
  <c r="L4915" i="7"/>
  <c r="K4915" i="7"/>
  <c r="L4914" i="7"/>
  <c r="K4914" i="7"/>
  <c r="L4913" i="7"/>
  <c r="K4913" i="7"/>
  <c r="L4912" i="7"/>
  <c r="K4912" i="7"/>
  <c r="L4911" i="7"/>
  <c r="K4911" i="7"/>
  <c r="L4910" i="7"/>
  <c r="K4910" i="7"/>
  <c r="L4909" i="7"/>
  <c r="K4909" i="7"/>
  <c r="L4908" i="7"/>
  <c r="K4908" i="7"/>
  <c r="L4907" i="7"/>
  <c r="K4907" i="7"/>
  <c r="L4906" i="7"/>
  <c r="K4906" i="7"/>
  <c r="L4905" i="7"/>
  <c r="K4905" i="7"/>
  <c r="L4904" i="7"/>
  <c r="K4904" i="7"/>
  <c r="L4903" i="7"/>
  <c r="K4903" i="7"/>
  <c r="L4902" i="7"/>
  <c r="K4902" i="7"/>
  <c r="L4901" i="7"/>
  <c r="K4901" i="7"/>
  <c r="L4900" i="7"/>
  <c r="K4900" i="7"/>
  <c r="L4899" i="7"/>
  <c r="K4899" i="7"/>
  <c r="L4898" i="7"/>
  <c r="K4898" i="7"/>
  <c r="L4897" i="7"/>
  <c r="K4897" i="7"/>
  <c r="L4896" i="7"/>
  <c r="K4896" i="7"/>
  <c r="L4895" i="7"/>
  <c r="K4895" i="7"/>
  <c r="L4894" i="7"/>
  <c r="K4894" i="7"/>
  <c r="L4893" i="7"/>
  <c r="K4893" i="7"/>
  <c r="L4892" i="7"/>
  <c r="K4892" i="7"/>
  <c r="L4891" i="7"/>
  <c r="K4891" i="7"/>
  <c r="L4890" i="7"/>
  <c r="K4890" i="7"/>
  <c r="L4889" i="7"/>
  <c r="K4889" i="7"/>
  <c r="L4888" i="7"/>
  <c r="K4888" i="7"/>
  <c r="L4887" i="7"/>
  <c r="K4887" i="7"/>
  <c r="L4886" i="7"/>
  <c r="K4886" i="7"/>
  <c r="L4885" i="7"/>
  <c r="K4885" i="7"/>
  <c r="L4884" i="7"/>
  <c r="K4884" i="7"/>
  <c r="L4883" i="7"/>
  <c r="K4883" i="7"/>
  <c r="L4882" i="7"/>
  <c r="K4882" i="7"/>
  <c r="L4881" i="7"/>
  <c r="K4881" i="7"/>
  <c r="L4880" i="7"/>
  <c r="K4880" i="7"/>
  <c r="L4879" i="7"/>
  <c r="K4879" i="7"/>
  <c r="L4878" i="7"/>
  <c r="K4878" i="7"/>
  <c r="L4877" i="7"/>
  <c r="K4877" i="7"/>
  <c r="L4876" i="7"/>
  <c r="K4876" i="7"/>
  <c r="L4875" i="7"/>
  <c r="K4875" i="7"/>
  <c r="L4874" i="7"/>
  <c r="K4874" i="7"/>
  <c r="L4873" i="7"/>
  <c r="K4873" i="7"/>
  <c r="L4872" i="7"/>
  <c r="K4872" i="7"/>
  <c r="L4871" i="7"/>
  <c r="K4871" i="7"/>
  <c r="L4870" i="7"/>
  <c r="K4870" i="7"/>
  <c r="L4869" i="7"/>
  <c r="K4869" i="7"/>
  <c r="L4868" i="7"/>
  <c r="K4868" i="7"/>
  <c r="L4867" i="7"/>
  <c r="K4867" i="7"/>
  <c r="L4866" i="7"/>
  <c r="K4866" i="7"/>
  <c r="L4865" i="7"/>
  <c r="K4865" i="7"/>
  <c r="L4864" i="7"/>
  <c r="K4864" i="7"/>
  <c r="L4863" i="7"/>
  <c r="K4863" i="7"/>
  <c r="L4862" i="7"/>
  <c r="K4862" i="7"/>
  <c r="L4861" i="7"/>
  <c r="K4861" i="7"/>
  <c r="L4860" i="7"/>
  <c r="K4860" i="7"/>
  <c r="L4859" i="7"/>
  <c r="K4859" i="7"/>
  <c r="L4858" i="7"/>
  <c r="K4858" i="7"/>
  <c r="L4857" i="7"/>
  <c r="K4857" i="7"/>
  <c r="L4856" i="7"/>
  <c r="K4856" i="7"/>
  <c r="L4855" i="7"/>
  <c r="K4855" i="7"/>
  <c r="L4854" i="7"/>
  <c r="K4854" i="7"/>
  <c r="L4853" i="7"/>
  <c r="K4853" i="7"/>
  <c r="L4852" i="7"/>
  <c r="K4852" i="7"/>
  <c r="L4851" i="7"/>
  <c r="K4851" i="7"/>
  <c r="L4850" i="7"/>
  <c r="K4850" i="7"/>
  <c r="L4849" i="7"/>
  <c r="K4849" i="7"/>
  <c r="L4848" i="7"/>
  <c r="K4848" i="7"/>
  <c r="L4847" i="7"/>
  <c r="K4847" i="7"/>
  <c r="L4846" i="7"/>
  <c r="K4846" i="7"/>
  <c r="L4845" i="7"/>
  <c r="K4845" i="7"/>
  <c r="L4844" i="7"/>
  <c r="K4844" i="7"/>
  <c r="L4843" i="7"/>
  <c r="K4843" i="7"/>
  <c r="L4842" i="7"/>
  <c r="K4842" i="7"/>
  <c r="L4841" i="7"/>
  <c r="K4841" i="7"/>
  <c r="L4840" i="7"/>
  <c r="K4840" i="7"/>
  <c r="L4839" i="7"/>
  <c r="K4839" i="7"/>
  <c r="L4838" i="7"/>
  <c r="K4838" i="7"/>
  <c r="L4837" i="7"/>
  <c r="K4837" i="7"/>
  <c r="L4836" i="7"/>
  <c r="K4836" i="7"/>
  <c r="L4835" i="7"/>
  <c r="K4835" i="7"/>
  <c r="L4834" i="7"/>
  <c r="K4834" i="7"/>
  <c r="L4833" i="7"/>
  <c r="K4833" i="7"/>
  <c r="L4832" i="7"/>
  <c r="K4832" i="7"/>
  <c r="L4831" i="7"/>
  <c r="K4831" i="7"/>
  <c r="L4830" i="7"/>
  <c r="K4830" i="7"/>
  <c r="L4829" i="7"/>
  <c r="K4829" i="7"/>
  <c r="L4828" i="7"/>
  <c r="K4828" i="7"/>
  <c r="L4827" i="7"/>
  <c r="K4827" i="7"/>
  <c r="L4826" i="7"/>
  <c r="K4826" i="7"/>
  <c r="L4825" i="7"/>
  <c r="K4825" i="7"/>
  <c r="L4824" i="7"/>
  <c r="K4824" i="7"/>
  <c r="L4823" i="7"/>
  <c r="K4823" i="7"/>
  <c r="L4822" i="7"/>
  <c r="K4822" i="7"/>
  <c r="L4821" i="7"/>
  <c r="K4821" i="7"/>
  <c r="L4820" i="7"/>
  <c r="K4820" i="7"/>
  <c r="L4819" i="7"/>
  <c r="K4819" i="7"/>
  <c r="L4818" i="7"/>
  <c r="K4818" i="7"/>
  <c r="L4817" i="7"/>
  <c r="K4817" i="7"/>
  <c r="L4816" i="7"/>
  <c r="K4816" i="7"/>
  <c r="L4815" i="7"/>
  <c r="K4815" i="7"/>
  <c r="L4814" i="7"/>
  <c r="K4814" i="7"/>
  <c r="L4813" i="7"/>
  <c r="K4813" i="7"/>
  <c r="L4812" i="7"/>
  <c r="K4812" i="7"/>
  <c r="L4811" i="7"/>
  <c r="K4811" i="7"/>
  <c r="L4810" i="7"/>
  <c r="K4810" i="7"/>
  <c r="L4809" i="7"/>
  <c r="K4809" i="7"/>
  <c r="L4808" i="7"/>
  <c r="K4808" i="7"/>
  <c r="L4807" i="7"/>
  <c r="K4807" i="7"/>
  <c r="L4806" i="7"/>
  <c r="K4806" i="7"/>
  <c r="L4805" i="7"/>
  <c r="K4805" i="7"/>
  <c r="L4804" i="7"/>
  <c r="K4804" i="7"/>
  <c r="L4803" i="7"/>
  <c r="K4803" i="7"/>
  <c r="L4802" i="7"/>
  <c r="K4802" i="7"/>
  <c r="L4801" i="7"/>
  <c r="K4801" i="7"/>
  <c r="L4800" i="7"/>
  <c r="K4800" i="7"/>
  <c r="L4799" i="7"/>
  <c r="K4799" i="7"/>
  <c r="L4798" i="7"/>
  <c r="K4798" i="7"/>
  <c r="L4797" i="7"/>
  <c r="K4797" i="7"/>
  <c r="L4796" i="7"/>
  <c r="K4796" i="7"/>
  <c r="L4795" i="7"/>
  <c r="K4795" i="7"/>
  <c r="L4794" i="7"/>
  <c r="K4794" i="7"/>
  <c r="L4793" i="7"/>
  <c r="K4793" i="7"/>
  <c r="L4792" i="7"/>
  <c r="K4792" i="7"/>
  <c r="L4791" i="7"/>
  <c r="K4791" i="7"/>
  <c r="L4790" i="7"/>
  <c r="K4790" i="7"/>
  <c r="L4789" i="7"/>
  <c r="K4789" i="7"/>
  <c r="L4788" i="7"/>
  <c r="K4788" i="7"/>
  <c r="L4787" i="7"/>
  <c r="K4787" i="7"/>
  <c r="L4786" i="7"/>
  <c r="K4786" i="7"/>
  <c r="L4785" i="7"/>
  <c r="K4785" i="7"/>
  <c r="L4784" i="7"/>
  <c r="K4784" i="7"/>
  <c r="L4783" i="7"/>
  <c r="K4783" i="7"/>
  <c r="L4782" i="7"/>
  <c r="K4782" i="7"/>
  <c r="L4781" i="7"/>
  <c r="K4781" i="7"/>
  <c r="L4780" i="7"/>
  <c r="K4780" i="7"/>
  <c r="L4779" i="7"/>
  <c r="K4779" i="7"/>
  <c r="L4778" i="7"/>
  <c r="K4778" i="7"/>
  <c r="L4777" i="7"/>
  <c r="K4777" i="7"/>
  <c r="L4776" i="7"/>
  <c r="K4776" i="7"/>
  <c r="L4775" i="7"/>
  <c r="K4775" i="7"/>
  <c r="L4774" i="7"/>
  <c r="K4774" i="7"/>
  <c r="L4773" i="7"/>
  <c r="K4773" i="7"/>
  <c r="L4772" i="7"/>
  <c r="K4772" i="7"/>
  <c r="L4771" i="7"/>
  <c r="K4771" i="7"/>
  <c r="L4770" i="7"/>
  <c r="K4770" i="7"/>
  <c r="L4769" i="7"/>
  <c r="K4769" i="7"/>
  <c r="L4768" i="7"/>
  <c r="K4768" i="7"/>
  <c r="L4767" i="7"/>
  <c r="K4767" i="7"/>
  <c r="L4766" i="7"/>
  <c r="K4766" i="7"/>
  <c r="L4765" i="7"/>
  <c r="K4765" i="7"/>
  <c r="L4764" i="7"/>
  <c r="K4764" i="7"/>
  <c r="L4763" i="7"/>
  <c r="K4763" i="7"/>
  <c r="L4762" i="7"/>
  <c r="K4762" i="7"/>
  <c r="L4761" i="7"/>
  <c r="K4761" i="7"/>
  <c r="L4760" i="7"/>
  <c r="K4760" i="7"/>
  <c r="L4759" i="7"/>
  <c r="K4759" i="7"/>
  <c r="L4758" i="7"/>
  <c r="K4758" i="7"/>
  <c r="L4757" i="7"/>
  <c r="K4757" i="7"/>
  <c r="L4756" i="7"/>
  <c r="K4756" i="7"/>
  <c r="L4755" i="7"/>
  <c r="K4755" i="7"/>
  <c r="L4754" i="7"/>
  <c r="K4754" i="7"/>
  <c r="L4753" i="7"/>
  <c r="K4753" i="7"/>
  <c r="L4752" i="7"/>
  <c r="K4752" i="7"/>
  <c r="L4751" i="7"/>
  <c r="K4751" i="7"/>
  <c r="L4750" i="7"/>
  <c r="K4750" i="7"/>
  <c r="L4749" i="7"/>
  <c r="K4749" i="7"/>
  <c r="L4748" i="7"/>
  <c r="K4748" i="7"/>
  <c r="L4747" i="7"/>
  <c r="K4747" i="7"/>
  <c r="L4746" i="7"/>
  <c r="K4746" i="7"/>
  <c r="L4745" i="7"/>
  <c r="K4745" i="7"/>
  <c r="L4744" i="7"/>
  <c r="K4744" i="7"/>
  <c r="L4743" i="7"/>
  <c r="K4743" i="7"/>
  <c r="L4742" i="7"/>
  <c r="K4742" i="7"/>
  <c r="L4741" i="7"/>
  <c r="K4741" i="7"/>
  <c r="L4740" i="7"/>
  <c r="K4740" i="7"/>
  <c r="L4739" i="7"/>
  <c r="K4739" i="7"/>
  <c r="L4738" i="7"/>
  <c r="K4738" i="7"/>
  <c r="L4737" i="7"/>
  <c r="K4737" i="7"/>
  <c r="L4736" i="7"/>
  <c r="K4736" i="7"/>
  <c r="L4735" i="7"/>
  <c r="K4735" i="7"/>
  <c r="L4734" i="7"/>
  <c r="K4734" i="7"/>
  <c r="L4733" i="7"/>
  <c r="K4733" i="7"/>
  <c r="L4732" i="7"/>
  <c r="K4732" i="7"/>
  <c r="L4731" i="7"/>
  <c r="K4731" i="7"/>
  <c r="L4730" i="7"/>
  <c r="K4730" i="7"/>
  <c r="L4729" i="7"/>
  <c r="K4729" i="7"/>
  <c r="L4728" i="7"/>
  <c r="K4728" i="7"/>
  <c r="L4727" i="7"/>
  <c r="K4727" i="7"/>
  <c r="L4726" i="7"/>
  <c r="K4726" i="7"/>
  <c r="L4725" i="7"/>
  <c r="K4725" i="7"/>
  <c r="L4724" i="7"/>
  <c r="K4724" i="7"/>
  <c r="L4723" i="7"/>
  <c r="K4723" i="7"/>
  <c r="L4722" i="7"/>
  <c r="K4722" i="7"/>
  <c r="L4721" i="7"/>
  <c r="K4721" i="7"/>
  <c r="L4720" i="7"/>
  <c r="K4720" i="7"/>
  <c r="L4719" i="7"/>
  <c r="K4719" i="7"/>
  <c r="L4718" i="7"/>
  <c r="K4718" i="7"/>
  <c r="L4717" i="7"/>
  <c r="K4717" i="7"/>
  <c r="L4716" i="7"/>
  <c r="K4716" i="7"/>
  <c r="L4715" i="7"/>
  <c r="K4715" i="7"/>
  <c r="L4714" i="7"/>
  <c r="K4714" i="7"/>
  <c r="L4713" i="7"/>
  <c r="K4713" i="7"/>
  <c r="L4712" i="7"/>
  <c r="K4712" i="7"/>
  <c r="L4711" i="7"/>
  <c r="K4711" i="7"/>
  <c r="L4710" i="7"/>
  <c r="K4710" i="7"/>
  <c r="L4709" i="7"/>
  <c r="K4709" i="7"/>
  <c r="L4708" i="7"/>
  <c r="K4708" i="7"/>
  <c r="L4707" i="7"/>
  <c r="K4707" i="7"/>
  <c r="L4706" i="7"/>
  <c r="K4706" i="7"/>
  <c r="L4705" i="7"/>
  <c r="K4705" i="7"/>
  <c r="L4704" i="7"/>
  <c r="K4704" i="7"/>
  <c r="L4703" i="7"/>
  <c r="K4703" i="7"/>
  <c r="L4702" i="7"/>
  <c r="K4702" i="7"/>
  <c r="L4701" i="7"/>
  <c r="K4701" i="7"/>
  <c r="L4700" i="7"/>
  <c r="K4700" i="7"/>
  <c r="L4699" i="7"/>
  <c r="K4699" i="7"/>
  <c r="L4698" i="7"/>
  <c r="K4698" i="7"/>
  <c r="L4697" i="7"/>
  <c r="K4697" i="7"/>
  <c r="L4696" i="7"/>
  <c r="K4696" i="7"/>
  <c r="L4695" i="7"/>
  <c r="K4695" i="7"/>
  <c r="L4694" i="7"/>
  <c r="K4694" i="7"/>
  <c r="L4693" i="7"/>
  <c r="K4693" i="7"/>
  <c r="L4692" i="7"/>
  <c r="K4692" i="7"/>
  <c r="L4691" i="7"/>
  <c r="K4691" i="7"/>
  <c r="L4690" i="7"/>
  <c r="K4690" i="7"/>
  <c r="L4689" i="7"/>
  <c r="K4689" i="7"/>
  <c r="L4688" i="7"/>
  <c r="K4688" i="7"/>
  <c r="L4687" i="7"/>
  <c r="K4687" i="7"/>
  <c r="L4686" i="7"/>
  <c r="K4686" i="7"/>
  <c r="L4685" i="7"/>
  <c r="K4685" i="7"/>
  <c r="L4684" i="7"/>
  <c r="K4684" i="7"/>
  <c r="L4683" i="7"/>
  <c r="K4683" i="7"/>
  <c r="L4682" i="7"/>
  <c r="K4682" i="7"/>
  <c r="L4681" i="7"/>
  <c r="K4681" i="7"/>
  <c r="L4680" i="7"/>
  <c r="K4680" i="7"/>
  <c r="L4679" i="7"/>
  <c r="K4679" i="7"/>
  <c r="L4678" i="7"/>
  <c r="K4678" i="7"/>
  <c r="L4677" i="7"/>
  <c r="K4677" i="7"/>
  <c r="L4676" i="7"/>
  <c r="K4676" i="7"/>
  <c r="L4675" i="7"/>
  <c r="K4675" i="7"/>
  <c r="L4674" i="7"/>
  <c r="K4674" i="7"/>
  <c r="L4673" i="7"/>
  <c r="K4673" i="7"/>
  <c r="L4672" i="7"/>
  <c r="K4672" i="7"/>
  <c r="L4671" i="7"/>
  <c r="K4671" i="7"/>
  <c r="L4670" i="7"/>
  <c r="K4670" i="7"/>
  <c r="L4669" i="7"/>
  <c r="K4669" i="7"/>
  <c r="L4668" i="7"/>
  <c r="K4668" i="7"/>
  <c r="L4667" i="7"/>
  <c r="K4667" i="7"/>
  <c r="L4666" i="7"/>
  <c r="K4666" i="7"/>
  <c r="L4665" i="7"/>
  <c r="K4665" i="7"/>
  <c r="L4664" i="7"/>
  <c r="K4664" i="7"/>
  <c r="L4663" i="7"/>
  <c r="K4663" i="7"/>
  <c r="L4662" i="7"/>
  <c r="K4662" i="7"/>
  <c r="L4661" i="7"/>
  <c r="K4661" i="7"/>
  <c r="L4660" i="7"/>
  <c r="K4660" i="7"/>
  <c r="L4659" i="7"/>
  <c r="K4659" i="7"/>
  <c r="L4658" i="7"/>
  <c r="K4658" i="7"/>
  <c r="L4657" i="7"/>
  <c r="K4657" i="7"/>
  <c r="L4656" i="7"/>
  <c r="K4656" i="7"/>
  <c r="L4655" i="7"/>
  <c r="K4655" i="7"/>
  <c r="L4654" i="7"/>
  <c r="K4654" i="7"/>
  <c r="L4653" i="7"/>
  <c r="K4653" i="7"/>
  <c r="L4652" i="7"/>
  <c r="K4652" i="7"/>
  <c r="L4651" i="7"/>
  <c r="K4651" i="7"/>
  <c r="L4650" i="7"/>
  <c r="K4650" i="7"/>
  <c r="L4649" i="7"/>
  <c r="K4649" i="7"/>
  <c r="L4648" i="7"/>
  <c r="K4648" i="7"/>
  <c r="L4647" i="7"/>
  <c r="K4647" i="7"/>
  <c r="L4646" i="7"/>
  <c r="K4646" i="7"/>
  <c r="L4645" i="7"/>
  <c r="K4645" i="7"/>
  <c r="L4644" i="7"/>
  <c r="K4644" i="7"/>
  <c r="L4643" i="7"/>
  <c r="K4643" i="7"/>
  <c r="L4642" i="7"/>
  <c r="K4642" i="7"/>
  <c r="L4641" i="7"/>
  <c r="K4641" i="7"/>
  <c r="L4640" i="7"/>
  <c r="K4640" i="7"/>
  <c r="L4639" i="7"/>
  <c r="K4639" i="7"/>
  <c r="L4638" i="7"/>
  <c r="K4638" i="7"/>
  <c r="L4637" i="7"/>
  <c r="K4637" i="7"/>
  <c r="L4636" i="7"/>
  <c r="K4636" i="7"/>
  <c r="L4635" i="7"/>
  <c r="K4635" i="7"/>
  <c r="L4634" i="7"/>
  <c r="K4634" i="7"/>
  <c r="L4633" i="7"/>
  <c r="K4633" i="7"/>
  <c r="L4632" i="7"/>
  <c r="K4632" i="7"/>
  <c r="L4631" i="7"/>
  <c r="K4631" i="7"/>
  <c r="L4630" i="7"/>
  <c r="K4630" i="7"/>
  <c r="L4629" i="7"/>
  <c r="K4629" i="7"/>
  <c r="L4628" i="7"/>
  <c r="K4628" i="7"/>
  <c r="L4627" i="7"/>
  <c r="K4627" i="7"/>
  <c r="L4626" i="7"/>
  <c r="K4626" i="7"/>
  <c r="L4625" i="7"/>
  <c r="K4625" i="7"/>
  <c r="L4624" i="7"/>
  <c r="K4624" i="7"/>
  <c r="L4623" i="7"/>
  <c r="K4623" i="7"/>
  <c r="L4622" i="7"/>
  <c r="K4622" i="7"/>
  <c r="L4621" i="7"/>
  <c r="K4621" i="7"/>
  <c r="L4620" i="7"/>
  <c r="K4620" i="7"/>
  <c r="L4619" i="7"/>
  <c r="K4619" i="7"/>
  <c r="L4618" i="7"/>
  <c r="K4618" i="7"/>
  <c r="L4617" i="7"/>
  <c r="K4617" i="7"/>
  <c r="L4616" i="7"/>
  <c r="K4616" i="7"/>
  <c r="L4615" i="7"/>
  <c r="K4615" i="7"/>
  <c r="L4614" i="7"/>
  <c r="K4614" i="7"/>
  <c r="L4613" i="7"/>
  <c r="K4613" i="7"/>
  <c r="L4612" i="7"/>
  <c r="K4612" i="7"/>
  <c r="L4611" i="7"/>
  <c r="K4611" i="7"/>
  <c r="L4610" i="7"/>
  <c r="K4610" i="7"/>
  <c r="L4609" i="7"/>
  <c r="K4609" i="7"/>
  <c r="L4608" i="7"/>
  <c r="K4608" i="7"/>
  <c r="L4607" i="7"/>
  <c r="K4607" i="7"/>
  <c r="L4606" i="7"/>
  <c r="K4606" i="7"/>
  <c r="L4605" i="7"/>
  <c r="K4605" i="7"/>
  <c r="L4604" i="7"/>
  <c r="K4604" i="7"/>
  <c r="L4603" i="7"/>
  <c r="K4603" i="7"/>
  <c r="L4602" i="7"/>
  <c r="K4602" i="7"/>
  <c r="L4601" i="7"/>
  <c r="K4601" i="7"/>
  <c r="L4600" i="7"/>
  <c r="K4600" i="7"/>
  <c r="L4599" i="7"/>
  <c r="K4599" i="7"/>
  <c r="L4598" i="7"/>
  <c r="K4598" i="7"/>
  <c r="L4597" i="7"/>
  <c r="K4597" i="7"/>
  <c r="L4596" i="7"/>
  <c r="K4596" i="7"/>
  <c r="L4595" i="7"/>
  <c r="K4595" i="7"/>
  <c r="L4594" i="7"/>
  <c r="K4594" i="7"/>
  <c r="L4593" i="7"/>
  <c r="K4593" i="7"/>
  <c r="L4592" i="7"/>
  <c r="K4592" i="7"/>
  <c r="L4591" i="7"/>
  <c r="K4591" i="7"/>
  <c r="L4590" i="7"/>
  <c r="K4590" i="7"/>
  <c r="L4589" i="7"/>
  <c r="K4589" i="7"/>
  <c r="L4588" i="7"/>
  <c r="K4588" i="7"/>
  <c r="L4587" i="7"/>
  <c r="K4587" i="7"/>
  <c r="L4586" i="7"/>
  <c r="K4586" i="7"/>
  <c r="L4585" i="7"/>
  <c r="K4585" i="7"/>
  <c r="L4584" i="7"/>
  <c r="K4584" i="7"/>
  <c r="L4583" i="7"/>
  <c r="K4583" i="7"/>
  <c r="L4582" i="7"/>
  <c r="K4582" i="7"/>
  <c r="L4581" i="7"/>
  <c r="K4581" i="7"/>
  <c r="L4580" i="7"/>
  <c r="K4580" i="7"/>
  <c r="L4579" i="7"/>
  <c r="K4579" i="7"/>
  <c r="L4578" i="7"/>
  <c r="K4578" i="7"/>
  <c r="L4577" i="7"/>
  <c r="K4577" i="7"/>
  <c r="L4576" i="7"/>
  <c r="K4576" i="7"/>
  <c r="L4575" i="7"/>
  <c r="K4575" i="7"/>
  <c r="L4574" i="7"/>
  <c r="K4574" i="7"/>
  <c r="L4573" i="7"/>
  <c r="K4573" i="7"/>
  <c r="L4572" i="7"/>
  <c r="K4572" i="7"/>
  <c r="L4571" i="7"/>
  <c r="K4571" i="7"/>
  <c r="L4570" i="7"/>
  <c r="K4570" i="7"/>
  <c r="L4569" i="7"/>
  <c r="K4569" i="7"/>
  <c r="L4568" i="7"/>
  <c r="K4568" i="7"/>
  <c r="L4567" i="7"/>
  <c r="K4567" i="7"/>
  <c r="L4566" i="7"/>
  <c r="K4566" i="7"/>
  <c r="L4565" i="7"/>
  <c r="K4565" i="7"/>
  <c r="L4564" i="7"/>
  <c r="K4564" i="7"/>
  <c r="L4563" i="7"/>
  <c r="K4563" i="7"/>
  <c r="L4562" i="7"/>
  <c r="K4562" i="7"/>
  <c r="L4561" i="7"/>
  <c r="K4561" i="7"/>
  <c r="L4560" i="7"/>
  <c r="K4560" i="7"/>
  <c r="L4559" i="7"/>
  <c r="K4559" i="7"/>
  <c r="L4558" i="7"/>
  <c r="K4558" i="7"/>
  <c r="L4557" i="7"/>
  <c r="K4557" i="7"/>
  <c r="L4556" i="7"/>
  <c r="K4556" i="7"/>
  <c r="L4555" i="7"/>
  <c r="K4555" i="7"/>
  <c r="L4554" i="7"/>
  <c r="K4554" i="7"/>
  <c r="L4553" i="7"/>
  <c r="K4553" i="7"/>
  <c r="L4552" i="7"/>
  <c r="K4552" i="7"/>
  <c r="L4551" i="7"/>
  <c r="K4551" i="7"/>
  <c r="L4550" i="7"/>
  <c r="K4550" i="7"/>
  <c r="L4549" i="7"/>
  <c r="K4549" i="7"/>
  <c r="L4548" i="7"/>
  <c r="K4548" i="7"/>
  <c r="L4547" i="7"/>
  <c r="K4547" i="7"/>
  <c r="L4546" i="7"/>
  <c r="K4546" i="7"/>
  <c r="L4545" i="7"/>
  <c r="K4545" i="7"/>
  <c r="L4544" i="7"/>
  <c r="K4544" i="7"/>
  <c r="L4543" i="7"/>
  <c r="K4543" i="7"/>
  <c r="L4542" i="7"/>
  <c r="K4542" i="7"/>
  <c r="L4541" i="7"/>
  <c r="K4541" i="7"/>
  <c r="L4540" i="7"/>
  <c r="K4540" i="7"/>
  <c r="L4539" i="7"/>
  <c r="K4539" i="7"/>
  <c r="L4538" i="7"/>
  <c r="K4538" i="7"/>
  <c r="L4537" i="7"/>
  <c r="K4537" i="7"/>
  <c r="L4536" i="7"/>
  <c r="K4536" i="7"/>
  <c r="L4535" i="7"/>
  <c r="K4535" i="7"/>
  <c r="L4534" i="7"/>
  <c r="K4534" i="7"/>
  <c r="L4533" i="7"/>
  <c r="K4533" i="7"/>
  <c r="L4532" i="7"/>
  <c r="K4532" i="7"/>
  <c r="L4531" i="7"/>
  <c r="K4531" i="7"/>
  <c r="L4530" i="7"/>
  <c r="K4530" i="7"/>
  <c r="L4529" i="7"/>
  <c r="K4529" i="7"/>
  <c r="L4528" i="7"/>
  <c r="K4528" i="7"/>
  <c r="L4527" i="7"/>
  <c r="K4527" i="7"/>
  <c r="L4526" i="7"/>
  <c r="K4526" i="7"/>
  <c r="L4525" i="7"/>
  <c r="K4525" i="7"/>
  <c r="L4524" i="7"/>
  <c r="K4524" i="7"/>
  <c r="L4523" i="7"/>
  <c r="K4523" i="7"/>
  <c r="L4522" i="7"/>
  <c r="K4522" i="7"/>
  <c r="L4521" i="7"/>
  <c r="K4521" i="7"/>
  <c r="L4520" i="7"/>
  <c r="K4520" i="7"/>
  <c r="L4519" i="7"/>
  <c r="K4519" i="7"/>
  <c r="L4518" i="7"/>
  <c r="K4518" i="7"/>
  <c r="L4517" i="7"/>
  <c r="K4517" i="7"/>
  <c r="L4516" i="7"/>
  <c r="K4516" i="7"/>
  <c r="L4515" i="7"/>
  <c r="K4515" i="7"/>
  <c r="L4514" i="7"/>
  <c r="K4514" i="7"/>
  <c r="L4513" i="7"/>
  <c r="K4513" i="7"/>
  <c r="L4512" i="7"/>
  <c r="K4512" i="7"/>
  <c r="L4511" i="7"/>
  <c r="K4511" i="7"/>
  <c r="L4510" i="7"/>
  <c r="K4510" i="7"/>
  <c r="L4509" i="7"/>
  <c r="K4509" i="7"/>
  <c r="L4508" i="7"/>
  <c r="K4508" i="7"/>
  <c r="L4507" i="7"/>
  <c r="K4507" i="7"/>
  <c r="L4506" i="7"/>
  <c r="K4506" i="7"/>
  <c r="L4505" i="7"/>
  <c r="K4505" i="7"/>
  <c r="L4504" i="7"/>
  <c r="K4504" i="7"/>
  <c r="L4503" i="7"/>
  <c r="K4503" i="7"/>
  <c r="L4502" i="7"/>
  <c r="K4502" i="7"/>
  <c r="L4501" i="7"/>
  <c r="K4501" i="7"/>
  <c r="L4500" i="7"/>
  <c r="K4500" i="7"/>
  <c r="L4499" i="7"/>
  <c r="K4499" i="7"/>
  <c r="L4498" i="7"/>
  <c r="K4498" i="7"/>
  <c r="L4497" i="7"/>
  <c r="K4497" i="7"/>
  <c r="L4496" i="7"/>
  <c r="K4496" i="7"/>
  <c r="L4495" i="7"/>
  <c r="K4495" i="7"/>
  <c r="L4494" i="7"/>
  <c r="K4494" i="7"/>
  <c r="L4493" i="7"/>
  <c r="K4493" i="7"/>
  <c r="L4492" i="7"/>
  <c r="K4492" i="7"/>
  <c r="L4491" i="7"/>
  <c r="K4491" i="7"/>
  <c r="L4490" i="7"/>
  <c r="K4490" i="7"/>
  <c r="L4489" i="7"/>
  <c r="K4489" i="7"/>
  <c r="L4488" i="7"/>
  <c r="K4488" i="7"/>
  <c r="L4487" i="7"/>
  <c r="K4487" i="7"/>
  <c r="L4486" i="7"/>
  <c r="K4486" i="7"/>
  <c r="L4485" i="7"/>
  <c r="K4485" i="7"/>
  <c r="L4484" i="7"/>
  <c r="K4484" i="7"/>
  <c r="L4483" i="7"/>
  <c r="K4483" i="7"/>
  <c r="L4482" i="7"/>
  <c r="K4482" i="7"/>
  <c r="L4481" i="7"/>
  <c r="K4481" i="7"/>
  <c r="L4480" i="7"/>
  <c r="K4480" i="7"/>
  <c r="L4479" i="7"/>
  <c r="K4479" i="7"/>
  <c r="L4478" i="7"/>
  <c r="K4478" i="7"/>
  <c r="L4477" i="7"/>
  <c r="K4477" i="7"/>
  <c r="L4476" i="7"/>
  <c r="K4476" i="7"/>
  <c r="L4475" i="7"/>
  <c r="K4475" i="7"/>
  <c r="L4474" i="7"/>
  <c r="K4474" i="7"/>
  <c r="L4473" i="7"/>
  <c r="K4473" i="7"/>
  <c r="L4472" i="7"/>
  <c r="K4472" i="7"/>
  <c r="L4471" i="7"/>
  <c r="K4471" i="7"/>
  <c r="L4470" i="7"/>
  <c r="K4470" i="7"/>
  <c r="L4469" i="7"/>
  <c r="K4469" i="7"/>
  <c r="L4468" i="7"/>
  <c r="K4468" i="7"/>
  <c r="L4467" i="7"/>
  <c r="K4467" i="7"/>
  <c r="L4466" i="7"/>
  <c r="K4466" i="7"/>
  <c r="L4465" i="7"/>
  <c r="K4465" i="7"/>
  <c r="L4464" i="7"/>
  <c r="K4464" i="7"/>
  <c r="L4463" i="7"/>
  <c r="K4463" i="7"/>
  <c r="L4462" i="7"/>
  <c r="K4462" i="7"/>
  <c r="L4461" i="7"/>
  <c r="K4461" i="7"/>
  <c r="L4460" i="7"/>
  <c r="K4460" i="7"/>
  <c r="L4459" i="7"/>
  <c r="K4459" i="7"/>
  <c r="L4458" i="7"/>
  <c r="K4458" i="7"/>
  <c r="L4457" i="7"/>
  <c r="K4457" i="7"/>
  <c r="L4456" i="7"/>
  <c r="K4456" i="7"/>
  <c r="L4455" i="7"/>
  <c r="K4455" i="7"/>
  <c r="L4454" i="7"/>
  <c r="K4454" i="7"/>
  <c r="L4453" i="7"/>
  <c r="K4453" i="7"/>
  <c r="L4452" i="7"/>
  <c r="K4452" i="7"/>
  <c r="L4451" i="7"/>
  <c r="K4451" i="7"/>
  <c r="L4450" i="7"/>
  <c r="K4450" i="7"/>
  <c r="L4449" i="7"/>
  <c r="K4449" i="7"/>
  <c r="L4448" i="7"/>
  <c r="K4448" i="7"/>
  <c r="L4447" i="7"/>
  <c r="K4447" i="7"/>
  <c r="L4446" i="7"/>
  <c r="K4446" i="7"/>
  <c r="L4445" i="7"/>
  <c r="K4445" i="7"/>
  <c r="L4444" i="7"/>
  <c r="K4444" i="7"/>
  <c r="L4443" i="7"/>
  <c r="K4443" i="7"/>
  <c r="L4442" i="7"/>
  <c r="K4442" i="7"/>
  <c r="L4441" i="7"/>
  <c r="K4441" i="7"/>
  <c r="L4440" i="7"/>
  <c r="K4440" i="7"/>
  <c r="L4439" i="7"/>
  <c r="K4439" i="7"/>
  <c r="L4438" i="7"/>
  <c r="K4438" i="7"/>
  <c r="L4437" i="7"/>
  <c r="K4437" i="7"/>
  <c r="L4436" i="7"/>
  <c r="K4436" i="7"/>
  <c r="L4435" i="7"/>
  <c r="K4435" i="7"/>
  <c r="L4434" i="7"/>
  <c r="K4434" i="7"/>
  <c r="L4433" i="7"/>
  <c r="K4433" i="7"/>
  <c r="L4432" i="7"/>
  <c r="K4432" i="7"/>
  <c r="L4431" i="7"/>
  <c r="K4431" i="7"/>
  <c r="L4430" i="7"/>
  <c r="K4430" i="7"/>
  <c r="L4429" i="7"/>
  <c r="K4429" i="7"/>
  <c r="L4428" i="7"/>
  <c r="K4428" i="7"/>
  <c r="L4427" i="7"/>
  <c r="K4427" i="7"/>
  <c r="L4426" i="7"/>
  <c r="K4426" i="7"/>
  <c r="L4425" i="7"/>
  <c r="K4425" i="7"/>
  <c r="L4424" i="7"/>
  <c r="K4424" i="7"/>
  <c r="L4423" i="7"/>
  <c r="K4423" i="7"/>
  <c r="L4422" i="7"/>
  <c r="K4422" i="7"/>
  <c r="L4421" i="7"/>
  <c r="K4421" i="7"/>
  <c r="L4420" i="7"/>
  <c r="K4420" i="7"/>
  <c r="L4419" i="7"/>
  <c r="K4419" i="7"/>
  <c r="L4418" i="7"/>
  <c r="K4418" i="7"/>
  <c r="L4417" i="7"/>
  <c r="K4417" i="7"/>
  <c r="L4416" i="7"/>
  <c r="K4416" i="7"/>
  <c r="L4415" i="7"/>
  <c r="K4415" i="7"/>
  <c r="L4414" i="7"/>
  <c r="K4414" i="7"/>
  <c r="L4413" i="7"/>
  <c r="K4413" i="7"/>
  <c r="L4412" i="7"/>
  <c r="K4412" i="7"/>
  <c r="L4411" i="7"/>
  <c r="K4411" i="7"/>
  <c r="L4410" i="7"/>
  <c r="K4410" i="7"/>
  <c r="L4409" i="7"/>
  <c r="K4409" i="7"/>
  <c r="L4408" i="7"/>
  <c r="K4408" i="7"/>
  <c r="L4407" i="7"/>
  <c r="K4407" i="7"/>
  <c r="L4406" i="7"/>
  <c r="K4406" i="7"/>
  <c r="L4405" i="7"/>
  <c r="K4405" i="7"/>
  <c r="L4404" i="7"/>
  <c r="K4404" i="7"/>
  <c r="L4403" i="7"/>
  <c r="K4403" i="7"/>
  <c r="L4402" i="7"/>
  <c r="K4402" i="7"/>
  <c r="L4401" i="7"/>
  <c r="K4401" i="7"/>
  <c r="L4400" i="7"/>
  <c r="K4400" i="7"/>
  <c r="L4399" i="7"/>
  <c r="K4399" i="7"/>
  <c r="L4398" i="7"/>
  <c r="K4398" i="7"/>
  <c r="L4397" i="7"/>
  <c r="K4397" i="7"/>
  <c r="L4396" i="7"/>
  <c r="K4396" i="7"/>
  <c r="L4395" i="7"/>
  <c r="K4395" i="7"/>
  <c r="L4394" i="7"/>
  <c r="K4394" i="7"/>
  <c r="L4393" i="7"/>
  <c r="K4393" i="7"/>
  <c r="L4392" i="7"/>
  <c r="K4392" i="7"/>
  <c r="L4391" i="7"/>
  <c r="K4391" i="7"/>
  <c r="L4390" i="7"/>
  <c r="K4390" i="7"/>
  <c r="L4389" i="7"/>
  <c r="K4389" i="7"/>
  <c r="L4388" i="7"/>
  <c r="K4388" i="7"/>
  <c r="L4387" i="7"/>
  <c r="K4387" i="7"/>
  <c r="L4386" i="7"/>
  <c r="K4386" i="7"/>
  <c r="L4385" i="7"/>
  <c r="K4385" i="7"/>
  <c r="L4384" i="7"/>
  <c r="K4384" i="7"/>
  <c r="L4383" i="7"/>
  <c r="K4383" i="7"/>
  <c r="L4382" i="7"/>
  <c r="K4382" i="7"/>
  <c r="L4381" i="7"/>
  <c r="K4381" i="7"/>
  <c r="L4380" i="7"/>
  <c r="K4380" i="7"/>
  <c r="L4379" i="7"/>
  <c r="K4379" i="7"/>
  <c r="L4378" i="7"/>
  <c r="K4378" i="7"/>
  <c r="L4377" i="7"/>
  <c r="K4377" i="7"/>
  <c r="L4376" i="7"/>
  <c r="K4376" i="7"/>
  <c r="L4375" i="7"/>
  <c r="K4375" i="7"/>
  <c r="L4374" i="7"/>
  <c r="K4374" i="7"/>
  <c r="L4373" i="7"/>
  <c r="K4373" i="7"/>
  <c r="L4372" i="7"/>
  <c r="K4372" i="7"/>
  <c r="L4371" i="7"/>
  <c r="K4371" i="7"/>
  <c r="L4370" i="7"/>
  <c r="K4370" i="7"/>
  <c r="L4369" i="7"/>
  <c r="K4369" i="7"/>
  <c r="L4368" i="7"/>
  <c r="K4368" i="7"/>
  <c r="L4367" i="7"/>
  <c r="K4367" i="7"/>
  <c r="L4366" i="7"/>
  <c r="K4366" i="7"/>
  <c r="L4365" i="7"/>
  <c r="K4365" i="7"/>
  <c r="L4364" i="7"/>
  <c r="K4364" i="7"/>
  <c r="L4363" i="7"/>
  <c r="K4363" i="7"/>
  <c r="L4362" i="7"/>
  <c r="K4362" i="7"/>
  <c r="L4361" i="7"/>
  <c r="K4361" i="7"/>
  <c r="L4360" i="7"/>
  <c r="K4360" i="7"/>
  <c r="L4359" i="7"/>
  <c r="K4359" i="7"/>
  <c r="L4358" i="7"/>
  <c r="K4358" i="7"/>
  <c r="L4357" i="7"/>
  <c r="K4357" i="7"/>
  <c r="L4356" i="7"/>
  <c r="K4356" i="7"/>
  <c r="L4355" i="7"/>
  <c r="K4355" i="7"/>
  <c r="L4354" i="7"/>
  <c r="K4354" i="7"/>
  <c r="L4353" i="7"/>
  <c r="K4353" i="7"/>
  <c r="L4352" i="7"/>
  <c r="K4352" i="7"/>
  <c r="L4351" i="7"/>
  <c r="K4351" i="7"/>
  <c r="L4350" i="7"/>
  <c r="K4350" i="7"/>
  <c r="L4349" i="7"/>
  <c r="K4349" i="7"/>
  <c r="L4348" i="7"/>
  <c r="K4348" i="7"/>
  <c r="L4347" i="7"/>
  <c r="K4347" i="7"/>
  <c r="L4346" i="7"/>
  <c r="K4346" i="7"/>
  <c r="L4345" i="7"/>
  <c r="K4345" i="7"/>
  <c r="L4344" i="7"/>
  <c r="K4344" i="7"/>
  <c r="L4343" i="7"/>
  <c r="K4343" i="7"/>
  <c r="L4342" i="7"/>
  <c r="K4342" i="7"/>
  <c r="L4341" i="7"/>
  <c r="K4341" i="7"/>
  <c r="L4340" i="7"/>
  <c r="K4340" i="7"/>
  <c r="L4339" i="7"/>
  <c r="K4339" i="7"/>
  <c r="L4338" i="7"/>
  <c r="K4338" i="7"/>
  <c r="L4337" i="7"/>
  <c r="K4337" i="7"/>
  <c r="L4336" i="7"/>
  <c r="K4336" i="7"/>
  <c r="L4335" i="7"/>
  <c r="K4335" i="7"/>
  <c r="L4334" i="7"/>
  <c r="K4334" i="7"/>
  <c r="L4333" i="7"/>
  <c r="K4333" i="7"/>
  <c r="L4332" i="7"/>
  <c r="K4332" i="7"/>
  <c r="L4331" i="7"/>
  <c r="K4331" i="7"/>
  <c r="L4330" i="7"/>
  <c r="K4330" i="7"/>
  <c r="L4329" i="7"/>
  <c r="K4329" i="7"/>
  <c r="L4328" i="7"/>
  <c r="K4328" i="7"/>
  <c r="L4327" i="7"/>
  <c r="K4327" i="7"/>
  <c r="L4326" i="7"/>
  <c r="K4326" i="7"/>
  <c r="L4325" i="7"/>
  <c r="K4325" i="7"/>
  <c r="L4324" i="7"/>
  <c r="K4324" i="7"/>
  <c r="L4323" i="7"/>
  <c r="K4323" i="7"/>
  <c r="L4322" i="7"/>
  <c r="K4322" i="7"/>
  <c r="L4321" i="7"/>
  <c r="K4321" i="7"/>
  <c r="L4320" i="7"/>
  <c r="K4320" i="7"/>
  <c r="L4319" i="7"/>
  <c r="K4319" i="7"/>
  <c r="L4318" i="7"/>
  <c r="K4318" i="7"/>
  <c r="L4317" i="7"/>
  <c r="K4317" i="7"/>
  <c r="L4316" i="7"/>
  <c r="K4316" i="7"/>
  <c r="L4315" i="7"/>
  <c r="K4315" i="7"/>
  <c r="L4314" i="7"/>
  <c r="K4314" i="7"/>
  <c r="L4313" i="7"/>
  <c r="K4313" i="7"/>
  <c r="L4312" i="7"/>
  <c r="K4312" i="7"/>
  <c r="L4311" i="7"/>
  <c r="K4311" i="7"/>
  <c r="L4310" i="7"/>
  <c r="K4310" i="7"/>
  <c r="L4309" i="7"/>
  <c r="K4309" i="7"/>
  <c r="L4308" i="7"/>
  <c r="K4308" i="7"/>
  <c r="L4307" i="7"/>
  <c r="K4307" i="7"/>
  <c r="L4306" i="7"/>
  <c r="K4306" i="7"/>
  <c r="L4305" i="7"/>
  <c r="K4305" i="7"/>
  <c r="L4304" i="7"/>
  <c r="K4304" i="7"/>
  <c r="L4303" i="7"/>
  <c r="K4303" i="7"/>
  <c r="L4302" i="7"/>
  <c r="K4302" i="7"/>
  <c r="L4301" i="7"/>
  <c r="K4301" i="7"/>
  <c r="L4300" i="7"/>
  <c r="K4300" i="7"/>
  <c r="L4299" i="7"/>
  <c r="K4299" i="7"/>
  <c r="L4298" i="7"/>
  <c r="K4298" i="7"/>
  <c r="L4297" i="7"/>
  <c r="K4297" i="7"/>
  <c r="L4296" i="7"/>
  <c r="K4296" i="7"/>
  <c r="L4295" i="7"/>
  <c r="K4295" i="7"/>
  <c r="L4294" i="7"/>
  <c r="K4294" i="7"/>
  <c r="L4293" i="7"/>
  <c r="K4293" i="7"/>
  <c r="L4292" i="7"/>
  <c r="K4292" i="7"/>
  <c r="L4291" i="7"/>
  <c r="K4291" i="7"/>
  <c r="L4290" i="7"/>
  <c r="K4290" i="7"/>
  <c r="L4289" i="7"/>
  <c r="K4289" i="7"/>
  <c r="L4288" i="7"/>
  <c r="K4288" i="7"/>
  <c r="L4287" i="7"/>
  <c r="K4287" i="7"/>
  <c r="L4286" i="7"/>
  <c r="K4286" i="7"/>
  <c r="L4285" i="7"/>
  <c r="K4285" i="7"/>
  <c r="L4284" i="7"/>
  <c r="K4284" i="7"/>
  <c r="L4283" i="7"/>
  <c r="K4283" i="7"/>
  <c r="L4282" i="7"/>
  <c r="K4282" i="7"/>
  <c r="L4281" i="7"/>
  <c r="K4281" i="7"/>
  <c r="L4280" i="7"/>
  <c r="K4280" i="7"/>
  <c r="L4279" i="7"/>
  <c r="K4279" i="7"/>
  <c r="L4278" i="7"/>
  <c r="K4278" i="7"/>
  <c r="L4277" i="7"/>
  <c r="K4277" i="7"/>
  <c r="L4276" i="7"/>
  <c r="K4276" i="7"/>
  <c r="L4275" i="7"/>
  <c r="K4275" i="7"/>
  <c r="L4274" i="7"/>
  <c r="K4274" i="7"/>
  <c r="L4273" i="7"/>
  <c r="K4273" i="7"/>
  <c r="L4272" i="7"/>
  <c r="K4272" i="7"/>
  <c r="L4271" i="7"/>
  <c r="K4271" i="7"/>
  <c r="L4270" i="7"/>
  <c r="K4270" i="7"/>
  <c r="L4269" i="7"/>
  <c r="K4269" i="7"/>
  <c r="L4268" i="7"/>
  <c r="K4268" i="7"/>
  <c r="L4267" i="7"/>
  <c r="K4267" i="7"/>
  <c r="L4266" i="7"/>
  <c r="K4266" i="7"/>
  <c r="L4265" i="7"/>
  <c r="K4265" i="7"/>
  <c r="L4264" i="7"/>
  <c r="K4264" i="7"/>
  <c r="L4263" i="7"/>
  <c r="K4263" i="7"/>
  <c r="L4262" i="7"/>
  <c r="K4262" i="7"/>
  <c r="L4261" i="7"/>
  <c r="K4261" i="7"/>
  <c r="L4260" i="7"/>
  <c r="K4260" i="7"/>
  <c r="L4259" i="7"/>
  <c r="K4259" i="7"/>
  <c r="L4258" i="7"/>
  <c r="K4258" i="7"/>
  <c r="L4257" i="7"/>
  <c r="K4257" i="7"/>
  <c r="L4256" i="7"/>
  <c r="K4256" i="7"/>
  <c r="L4255" i="7"/>
  <c r="K4255" i="7"/>
  <c r="L4254" i="7"/>
  <c r="K4254" i="7"/>
  <c r="L4253" i="7"/>
  <c r="K4253" i="7"/>
  <c r="L4252" i="7"/>
  <c r="K4252" i="7"/>
  <c r="L4251" i="7"/>
  <c r="K4251" i="7"/>
  <c r="L4250" i="7"/>
  <c r="K4250" i="7"/>
  <c r="L4249" i="7"/>
  <c r="K4249" i="7"/>
  <c r="L4248" i="7"/>
  <c r="K4248" i="7"/>
  <c r="L4247" i="7"/>
  <c r="K4247" i="7"/>
  <c r="L4246" i="7"/>
  <c r="K4246" i="7"/>
  <c r="L4245" i="7"/>
  <c r="K4245" i="7"/>
  <c r="L4244" i="7"/>
  <c r="K4244" i="7"/>
  <c r="L4243" i="7"/>
  <c r="K4243" i="7"/>
  <c r="L4242" i="7"/>
  <c r="K4242" i="7"/>
  <c r="L4241" i="7"/>
  <c r="K4241" i="7"/>
  <c r="L4240" i="7"/>
  <c r="K4240" i="7"/>
  <c r="L4239" i="7"/>
  <c r="K4239" i="7"/>
  <c r="L4238" i="7"/>
  <c r="K4238" i="7"/>
  <c r="L4237" i="7"/>
  <c r="K4237" i="7"/>
  <c r="L4236" i="7"/>
  <c r="K4236" i="7"/>
  <c r="L4235" i="7"/>
  <c r="K4235" i="7"/>
  <c r="L4234" i="7"/>
  <c r="K4234" i="7"/>
  <c r="L4233" i="7"/>
  <c r="K4233" i="7"/>
  <c r="L4232" i="7"/>
  <c r="K4232" i="7"/>
  <c r="L4231" i="7"/>
  <c r="K4231" i="7"/>
  <c r="L4230" i="7"/>
  <c r="K4230" i="7"/>
  <c r="L4229" i="7"/>
  <c r="K4229" i="7"/>
  <c r="L4228" i="7"/>
  <c r="K4228" i="7"/>
  <c r="L4227" i="7"/>
  <c r="K4227" i="7"/>
  <c r="L4226" i="7"/>
  <c r="K4226" i="7"/>
  <c r="L4225" i="7"/>
  <c r="K4225" i="7"/>
  <c r="L4224" i="7"/>
  <c r="K4224" i="7"/>
  <c r="L4223" i="7"/>
  <c r="K4223" i="7"/>
  <c r="L4222" i="7"/>
  <c r="K4222" i="7"/>
  <c r="L4221" i="7"/>
  <c r="K4221" i="7"/>
  <c r="L4220" i="7"/>
  <c r="K4220" i="7"/>
  <c r="L4219" i="7"/>
  <c r="K4219" i="7"/>
  <c r="L4218" i="7"/>
  <c r="K4218" i="7"/>
  <c r="L4217" i="7"/>
  <c r="K4217" i="7"/>
  <c r="L4216" i="7"/>
  <c r="K4216" i="7"/>
  <c r="L4215" i="7"/>
  <c r="K4215" i="7"/>
  <c r="L4214" i="7"/>
  <c r="K4214" i="7"/>
  <c r="L4213" i="7"/>
  <c r="K4213" i="7"/>
  <c r="L4212" i="7"/>
  <c r="K4212" i="7"/>
  <c r="L4211" i="7"/>
  <c r="K4211" i="7"/>
  <c r="L4210" i="7"/>
  <c r="K4210" i="7"/>
  <c r="L4209" i="7"/>
  <c r="K4209" i="7"/>
  <c r="L4208" i="7"/>
  <c r="K4208" i="7"/>
  <c r="L4207" i="7"/>
  <c r="K4207" i="7"/>
  <c r="L4206" i="7"/>
  <c r="K4206" i="7"/>
  <c r="L4205" i="7"/>
  <c r="K4205" i="7"/>
  <c r="L4204" i="7"/>
  <c r="K4204" i="7"/>
  <c r="L4203" i="7"/>
  <c r="K4203" i="7"/>
  <c r="L4202" i="7"/>
  <c r="K4202" i="7"/>
  <c r="L4201" i="7"/>
  <c r="K4201" i="7"/>
  <c r="L4200" i="7"/>
  <c r="K4200" i="7"/>
  <c r="L4199" i="7"/>
  <c r="K4199" i="7"/>
  <c r="L4198" i="7"/>
  <c r="K4198" i="7"/>
  <c r="L4197" i="7"/>
  <c r="K4197" i="7"/>
  <c r="L4196" i="7"/>
  <c r="K4196" i="7"/>
  <c r="L4195" i="7"/>
  <c r="K4195" i="7"/>
  <c r="L4194" i="7"/>
  <c r="K4194" i="7"/>
  <c r="L4193" i="7"/>
  <c r="K4193" i="7"/>
  <c r="L4192" i="7"/>
  <c r="K4192" i="7"/>
  <c r="L4191" i="7"/>
  <c r="K4191" i="7"/>
  <c r="L4190" i="7"/>
  <c r="K4190" i="7"/>
  <c r="L4189" i="7"/>
  <c r="K4189" i="7"/>
  <c r="L4188" i="7"/>
  <c r="K4188" i="7"/>
  <c r="L4187" i="7"/>
  <c r="K4187" i="7"/>
  <c r="L4186" i="7"/>
  <c r="K4186" i="7"/>
  <c r="L4185" i="7"/>
  <c r="K4185" i="7"/>
  <c r="L4184" i="7"/>
  <c r="K4184" i="7"/>
  <c r="L4183" i="7"/>
  <c r="K4183" i="7"/>
  <c r="L4182" i="7"/>
  <c r="K4182" i="7"/>
  <c r="L4181" i="7"/>
  <c r="K4181" i="7"/>
  <c r="L4180" i="7"/>
  <c r="K4180" i="7"/>
  <c r="L4179" i="7"/>
  <c r="K4179" i="7"/>
  <c r="L4178" i="7"/>
  <c r="K4178" i="7"/>
  <c r="L4177" i="7"/>
  <c r="K4177" i="7"/>
  <c r="L4176" i="7"/>
  <c r="K4176" i="7"/>
  <c r="L4175" i="7"/>
  <c r="K4175" i="7"/>
  <c r="L4174" i="7"/>
  <c r="K4174" i="7"/>
  <c r="L4173" i="7"/>
  <c r="K4173" i="7"/>
  <c r="L4172" i="7"/>
  <c r="K4172" i="7"/>
  <c r="L4171" i="7"/>
  <c r="K4171" i="7"/>
  <c r="L4170" i="7"/>
  <c r="K4170" i="7"/>
  <c r="L4169" i="7"/>
  <c r="K4169" i="7"/>
  <c r="L4168" i="7"/>
  <c r="K4168" i="7"/>
  <c r="L4167" i="7"/>
  <c r="K4167" i="7"/>
  <c r="L4166" i="7"/>
  <c r="K4166" i="7"/>
  <c r="L4165" i="7"/>
  <c r="K4165" i="7"/>
  <c r="L4164" i="7"/>
  <c r="K4164" i="7"/>
  <c r="L4163" i="7"/>
  <c r="K4163" i="7"/>
  <c r="L4162" i="7"/>
  <c r="K4162" i="7"/>
  <c r="L4161" i="7"/>
  <c r="K4161" i="7"/>
  <c r="L4160" i="7"/>
  <c r="K4160" i="7"/>
  <c r="L4159" i="7"/>
  <c r="K4159" i="7"/>
  <c r="L4158" i="7"/>
  <c r="K4158" i="7"/>
  <c r="L4157" i="7"/>
  <c r="K4157" i="7"/>
  <c r="L4156" i="7"/>
  <c r="K4156" i="7"/>
  <c r="L4155" i="7"/>
  <c r="K4155" i="7"/>
  <c r="L4154" i="7"/>
  <c r="K4154" i="7"/>
  <c r="L4153" i="7"/>
  <c r="K4153" i="7"/>
  <c r="L4152" i="7"/>
  <c r="K4152" i="7"/>
  <c r="L4151" i="7"/>
  <c r="K4151" i="7"/>
  <c r="L4150" i="7"/>
  <c r="K4150" i="7"/>
  <c r="L4149" i="7"/>
  <c r="K4149" i="7"/>
  <c r="L4148" i="7"/>
  <c r="K4148" i="7"/>
  <c r="L4147" i="7"/>
  <c r="K4147" i="7"/>
  <c r="L4146" i="7"/>
  <c r="K4146" i="7"/>
  <c r="L4145" i="7"/>
  <c r="K4145" i="7"/>
  <c r="L4144" i="7"/>
  <c r="K4144" i="7"/>
  <c r="L4143" i="7"/>
  <c r="K4143" i="7"/>
  <c r="L4142" i="7"/>
  <c r="K4142" i="7"/>
  <c r="L4141" i="7"/>
  <c r="K4141" i="7"/>
  <c r="L4140" i="7"/>
  <c r="K4140" i="7"/>
  <c r="L4139" i="7"/>
  <c r="K4139" i="7"/>
  <c r="L4138" i="7"/>
  <c r="K4138" i="7"/>
  <c r="L4137" i="7"/>
  <c r="K4137" i="7"/>
  <c r="L4136" i="7"/>
  <c r="K4136" i="7"/>
  <c r="L4135" i="7"/>
  <c r="K4135" i="7"/>
  <c r="L4134" i="7"/>
  <c r="K4134" i="7"/>
  <c r="L4133" i="7"/>
  <c r="K4133" i="7"/>
  <c r="L4132" i="7"/>
  <c r="K4132" i="7"/>
  <c r="L4131" i="7"/>
  <c r="K4131" i="7"/>
  <c r="L4130" i="7"/>
  <c r="K4130" i="7"/>
  <c r="L4129" i="7"/>
  <c r="K4129" i="7"/>
  <c r="L4128" i="7"/>
  <c r="K4128" i="7"/>
  <c r="L4127" i="7"/>
  <c r="K4127" i="7"/>
  <c r="L4126" i="7"/>
  <c r="K4126" i="7"/>
  <c r="L4125" i="7"/>
  <c r="K4125" i="7"/>
  <c r="L4124" i="7"/>
  <c r="K4124" i="7"/>
  <c r="L4123" i="7"/>
  <c r="K4123" i="7"/>
  <c r="L4122" i="7"/>
  <c r="K4122" i="7"/>
  <c r="L4121" i="7"/>
  <c r="K4121" i="7"/>
  <c r="L4120" i="7"/>
  <c r="K4120" i="7"/>
  <c r="L4119" i="7"/>
  <c r="K4119" i="7"/>
  <c r="L4118" i="7"/>
  <c r="K4118" i="7"/>
  <c r="L4117" i="7"/>
  <c r="K4117" i="7"/>
  <c r="L4116" i="7"/>
  <c r="K4116" i="7"/>
  <c r="L4115" i="7"/>
  <c r="K4115" i="7"/>
  <c r="L4114" i="7"/>
  <c r="K4114" i="7"/>
  <c r="L4113" i="7"/>
  <c r="K4113" i="7"/>
  <c r="L4112" i="7"/>
  <c r="K4112" i="7"/>
  <c r="L4111" i="7"/>
  <c r="K4111" i="7"/>
  <c r="L4110" i="7"/>
  <c r="K4110" i="7"/>
  <c r="L4109" i="7"/>
  <c r="K4109" i="7"/>
  <c r="L4108" i="7"/>
  <c r="K4108" i="7"/>
  <c r="L4107" i="7"/>
  <c r="K4107" i="7"/>
  <c r="L4106" i="7"/>
  <c r="K4106" i="7"/>
  <c r="L4105" i="7"/>
  <c r="K4105" i="7"/>
  <c r="L4104" i="7"/>
  <c r="K4104" i="7"/>
  <c r="L4103" i="7"/>
  <c r="K4103" i="7"/>
  <c r="L4102" i="7"/>
  <c r="K4102" i="7"/>
  <c r="L4101" i="7"/>
  <c r="K4101" i="7"/>
  <c r="L4100" i="7"/>
  <c r="K4100" i="7"/>
  <c r="L4099" i="7"/>
  <c r="K4099" i="7"/>
  <c r="L4098" i="7"/>
  <c r="K4098" i="7"/>
  <c r="L4097" i="7"/>
  <c r="K4097" i="7"/>
  <c r="L4096" i="7"/>
  <c r="K4096" i="7"/>
  <c r="L4095" i="7"/>
  <c r="K4095" i="7"/>
  <c r="L4094" i="7"/>
  <c r="K4094" i="7"/>
  <c r="L4093" i="7"/>
  <c r="K4093" i="7"/>
  <c r="L4092" i="7"/>
  <c r="K4092" i="7"/>
  <c r="L4091" i="7"/>
  <c r="K4091" i="7"/>
  <c r="L4090" i="7"/>
  <c r="K4090" i="7"/>
  <c r="L4089" i="7"/>
  <c r="K4089" i="7"/>
  <c r="L4088" i="7"/>
  <c r="K4088" i="7"/>
  <c r="L4087" i="7"/>
  <c r="K4087" i="7"/>
  <c r="L4086" i="7"/>
  <c r="K4086" i="7"/>
  <c r="L4085" i="7"/>
  <c r="K4085" i="7"/>
  <c r="L4084" i="7"/>
  <c r="K4084" i="7"/>
  <c r="L4083" i="7"/>
  <c r="K4083" i="7"/>
  <c r="L4082" i="7"/>
  <c r="K4082" i="7"/>
  <c r="L4081" i="7"/>
  <c r="K4081" i="7"/>
  <c r="L4080" i="7"/>
  <c r="K4080" i="7"/>
  <c r="L4079" i="7"/>
  <c r="K4079" i="7"/>
  <c r="L4078" i="7"/>
  <c r="K4078" i="7"/>
  <c r="L4077" i="7"/>
  <c r="K4077" i="7"/>
  <c r="L4076" i="7"/>
  <c r="K4076" i="7"/>
  <c r="L4075" i="7"/>
  <c r="K4075" i="7"/>
  <c r="L4074" i="7"/>
  <c r="K4074" i="7"/>
  <c r="L4073" i="7"/>
  <c r="K4073" i="7"/>
  <c r="L4072" i="7"/>
  <c r="K4072" i="7"/>
  <c r="L4071" i="7"/>
  <c r="K4071" i="7"/>
  <c r="L4070" i="7"/>
  <c r="K4070" i="7"/>
  <c r="L4069" i="7"/>
  <c r="K4069" i="7"/>
  <c r="L4068" i="7"/>
  <c r="K4068" i="7"/>
  <c r="L4067" i="7"/>
  <c r="K4067" i="7"/>
  <c r="L4066" i="7"/>
  <c r="K4066" i="7"/>
  <c r="L4065" i="7"/>
  <c r="K4065" i="7"/>
  <c r="L4064" i="7"/>
  <c r="K4064" i="7"/>
  <c r="L4063" i="7"/>
  <c r="K4063" i="7"/>
  <c r="L4062" i="7"/>
  <c r="K4062" i="7"/>
  <c r="L4061" i="7"/>
  <c r="K4061" i="7"/>
  <c r="L4060" i="7"/>
  <c r="K4060" i="7"/>
  <c r="L4059" i="7"/>
  <c r="K4059" i="7"/>
  <c r="L4058" i="7"/>
  <c r="K4058" i="7"/>
  <c r="L4057" i="7"/>
  <c r="K4057" i="7"/>
  <c r="L4056" i="7"/>
  <c r="K4056" i="7"/>
  <c r="L4055" i="7"/>
  <c r="K4055" i="7"/>
  <c r="L4054" i="7"/>
  <c r="K4054" i="7"/>
  <c r="L4053" i="7"/>
  <c r="K4053" i="7"/>
  <c r="L4052" i="7"/>
  <c r="K4052" i="7"/>
  <c r="L4051" i="7"/>
  <c r="K4051" i="7"/>
  <c r="L4050" i="7"/>
  <c r="K4050" i="7"/>
  <c r="L4049" i="7"/>
  <c r="K4049" i="7"/>
  <c r="L4048" i="7"/>
  <c r="K4048" i="7"/>
  <c r="L4047" i="7"/>
  <c r="K4047" i="7"/>
  <c r="L4046" i="7"/>
  <c r="K4046" i="7"/>
  <c r="L4045" i="7"/>
  <c r="K4045" i="7"/>
  <c r="L4044" i="7"/>
  <c r="K4044" i="7"/>
  <c r="L4043" i="7"/>
  <c r="K4043" i="7"/>
  <c r="L4042" i="7"/>
  <c r="K4042" i="7"/>
  <c r="L4041" i="7"/>
  <c r="K4041" i="7"/>
  <c r="L4040" i="7"/>
  <c r="K4040" i="7"/>
  <c r="L4039" i="7"/>
  <c r="K4039" i="7"/>
  <c r="L4038" i="7"/>
  <c r="K4038" i="7"/>
  <c r="L4037" i="7"/>
  <c r="K4037" i="7"/>
  <c r="L4036" i="7"/>
  <c r="K4036" i="7"/>
  <c r="L4035" i="7"/>
  <c r="K4035" i="7"/>
  <c r="L4034" i="7"/>
  <c r="K4034" i="7"/>
  <c r="L4033" i="7"/>
  <c r="K4033" i="7"/>
  <c r="L4032" i="7"/>
  <c r="K4032" i="7"/>
  <c r="L4031" i="7"/>
  <c r="K4031" i="7"/>
  <c r="L4030" i="7"/>
  <c r="K4030" i="7"/>
  <c r="L4029" i="7"/>
  <c r="K4029" i="7"/>
  <c r="L4028" i="7"/>
  <c r="K4028" i="7"/>
  <c r="L4027" i="7"/>
  <c r="K4027" i="7"/>
  <c r="L4026" i="7"/>
  <c r="K4026" i="7"/>
  <c r="L4025" i="7"/>
  <c r="K4025" i="7"/>
  <c r="L4024" i="7"/>
  <c r="K4024" i="7"/>
  <c r="L4023" i="7"/>
  <c r="K4023" i="7"/>
  <c r="L4022" i="7"/>
  <c r="K4022" i="7"/>
  <c r="L4021" i="7"/>
  <c r="K4021" i="7"/>
  <c r="L4020" i="7"/>
  <c r="K4020" i="7"/>
  <c r="L4019" i="7"/>
  <c r="K4019" i="7"/>
  <c r="L4018" i="7"/>
  <c r="K4018" i="7"/>
  <c r="L4017" i="7"/>
  <c r="K4017" i="7"/>
  <c r="L4016" i="7"/>
  <c r="K4016" i="7"/>
  <c r="L4015" i="7"/>
  <c r="K4015" i="7"/>
  <c r="L4014" i="7"/>
  <c r="K4014" i="7"/>
  <c r="L4013" i="7"/>
  <c r="K4013" i="7"/>
  <c r="L4012" i="7"/>
  <c r="K4012" i="7"/>
  <c r="L4011" i="7"/>
  <c r="K4011" i="7"/>
  <c r="L4010" i="7"/>
  <c r="K4010" i="7"/>
  <c r="L4009" i="7"/>
  <c r="K4009" i="7"/>
  <c r="L4008" i="7"/>
  <c r="K4008" i="7"/>
  <c r="L4007" i="7"/>
  <c r="K4007" i="7"/>
  <c r="L4006" i="7"/>
  <c r="K4006" i="7"/>
  <c r="L4005" i="7"/>
  <c r="K4005" i="7"/>
  <c r="L4004" i="7"/>
  <c r="K4004" i="7"/>
  <c r="L4003" i="7"/>
  <c r="K4003" i="7"/>
  <c r="L4002" i="7"/>
  <c r="K4002" i="7"/>
  <c r="L4001" i="7"/>
  <c r="K4001" i="7"/>
  <c r="L4000" i="7"/>
  <c r="K4000" i="7"/>
  <c r="L3999" i="7"/>
  <c r="K3999" i="7"/>
  <c r="L3998" i="7"/>
  <c r="K3998" i="7"/>
  <c r="L3997" i="7"/>
  <c r="K3997" i="7"/>
  <c r="L3996" i="7"/>
  <c r="K3996" i="7"/>
  <c r="L3995" i="7"/>
  <c r="K3995" i="7"/>
  <c r="L3994" i="7"/>
  <c r="K3994" i="7"/>
  <c r="L3993" i="7"/>
  <c r="K3993" i="7"/>
  <c r="L3992" i="7"/>
  <c r="K3992" i="7"/>
  <c r="L3991" i="7"/>
  <c r="K3991" i="7"/>
  <c r="L3990" i="7"/>
  <c r="K3990" i="7"/>
  <c r="L3989" i="7"/>
  <c r="K3989" i="7"/>
  <c r="L3988" i="7"/>
  <c r="K3988" i="7"/>
  <c r="L3987" i="7"/>
  <c r="K3987" i="7"/>
  <c r="L3986" i="7"/>
  <c r="K3986" i="7"/>
  <c r="L3985" i="7"/>
  <c r="K3985" i="7"/>
  <c r="L3984" i="7"/>
  <c r="K3984" i="7"/>
  <c r="L3983" i="7"/>
  <c r="K3983" i="7"/>
  <c r="L3982" i="7"/>
  <c r="K3982" i="7"/>
  <c r="L3981" i="7"/>
  <c r="K3981" i="7"/>
  <c r="L3980" i="7"/>
  <c r="K3980" i="7"/>
  <c r="L3979" i="7"/>
  <c r="K3979" i="7"/>
  <c r="L3978" i="7"/>
  <c r="K3978" i="7"/>
  <c r="L3977" i="7"/>
  <c r="K3977" i="7"/>
  <c r="L3976" i="7"/>
  <c r="K3976" i="7"/>
  <c r="L3975" i="7"/>
  <c r="K3975" i="7"/>
  <c r="L3974" i="7"/>
  <c r="K3974" i="7"/>
  <c r="L3973" i="7"/>
  <c r="K3973" i="7"/>
  <c r="L3972" i="7"/>
  <c r="K3972" i="7"/>
  <c r="L3971" i="7"/>
  <c r="K3971" i="7"/>
  <c r="L3970" i="7"/>
  <c r="K3970" i="7"/>
  <c r="L3969" i="7"/>
  <c r="K3969" i="7"/>
  <c r="L3968" i="7"/>
  <c r="K3968" i="7"/>
  <c r="L3967" i="7"/>
  <c r="K3967" i="7"/>
  <c r="L3966" i="7"/>
  <c r="K3966" i="7"/>
  <c r="L3965" i="7"/>
  <c r="K3965" i="7"/>
  <c r="L3964" i="7"/>
  <c r="K3964" i="7"/>
  <c r="L3963" i="7"/>
  <c r="K3963" i="7"/>
  <c r="L3962" i="7"/>
  <c r="K3962" i="7"/>
  <c r="L3961" i="7"/>
  <c r="K3961" i="7"/>
  <c r="L3960" i="7"/>
  <c r="K3960" i="7"/>
  <c r="L3959" i="7"/>
  <c r="K3959" i="7"/>
  <c r="L3958" i="7"/>
  <c r="K3958" i="7"/>
  <c r="L3957" i="7"/>
  <c r="K3957" i="7"/>
  <c r="L3956" i="7"/>
  <c r="K3956" i="7"/>
  <c r="L3955" i="7"/>
  <c r="K3955" i="7"/>
  <c r="L3954" i="7"/>
  <c r="K3954" i="7"/>
  <c r="L3953" i="7"/>
  <c r="K3953" i="7"/>
  <c r="L3952" i="7"/>
  <c r="K3952" i="7"/>
  <c r="L3951" i="7"/>
  <c r="K3951" i="7"/>
  <c r="L3950" i="7"/>
  <c r="K3950" i="7"/>
  <c r="L3949" i="7"/>
  <c r="K3949" i="7"/>
  <c r="L3948" i="7"/>
  <c r="K3948" i="7"/>
  <c r="L3947" i="7"/>
  <c r="K3947" i="7"/>
  <c r="L3946" i="7"/>
  <c r="K3946" i="7"/>
  <c r="L3945" i="7"/>
  <c r="K3945" i="7"/>
  <c r="L3944" i="7"/>
  <c r="K3944" i="7"/>
  <c r="L3943" i="7"/>
  <c r="K3943" i="7"/>
  <c r="L3942" i="7"/>
  <c r="K3942" i="7"/>
  <c r="L3941" i="7"/>
  <c r="K3941" i="7"/>
  <c r="L3940" i="7"/>
  <c r="K3940" i="7"/>
  <c r="L3939" i="7"/>
  <c r="K3939" i="7"/>
  <c r="L3938" i="7"/>
  <c r="K3938" i="7"/>
  <c r="L3937" i="7"/>
  <c r="K3937" i="7"/>
  <c r="L3936" i="7"/>
  <c r="K3936" i="7"/>
  <c r="L3935" i="7"/>
  <c r="K3935" i="7"/>
  <c r="L3934" i="7"/>
  <c r="K3934" i="7"/>
  <c r="L3933" i="7"/>
  <c r="K3933" i="7"/>
  <c r="L3932" i="7"/>
  <c r="K3932" i="7"/>
  <c r="L3931" i="7"/>
  <c r="K3931" i="7"/>
  <c r="L3930" i="7"/>
  <c r="K3930" i="7"/>
  <c r="L3929" i="7"/>
  <c r="K3929" i="7"/>
  <c r="L3928" i="7"/>
  <c r="K3928" i="7"/>
  <c r="L3927" i="7"/>
  <c r="K3927" i="7"/>
  <c r="L3926" i="7"/>
  <c r="K3926" i="7"/>
  <c r="L3925" i="7"/>
  <c r="K3925" i="7"/>
  <c r="L3924" i="7"/>
  <c r="K3924" i="7"/>
  <c r="L3923" i="7"/>
  <c r="K3923" i="7"/>
  <c r="L3922" i="7"/>
  <c r="K3922" i="7"/>
  <c r="L3921" i="7"/>
  <c r="K3921" i="7"/>
  <c r="L3920" i="7"/>
  <c r="K3920" i="7"/>
  <c r="L3919" i="7"/>
  <c r="K3919" i="7"/>
  <c r="L3918" i="7"/>
  <c r="K3918" i="7"/>
  <c r="L3917" i="7"/>
  <c r="K3917" i="7"/>
  <c r="L3916" i="7"/>
  <c r="K3916" i="7"/>
  <c r="L3915" i="7"/>
  <c r="K3915" i="7"/>
  <c r="L3914" i="7"/>
  <c r="K3914" i="7"/>
  <c r="L3913" i="7"/>
  <c r="K3913" i="7"/>
  <c r="L3912" i="7"/>
  <c r="K3912" i="7"/>
  <c r="L3911" i="7"/>
  <c r="K3911" i="7"/>
  <c r="L3910" i="7"/>
  <c r="K3910" i="7"/>
  <c r="L3909" i="7"/>
  <c r="K3909" i="7"/>
  <c r="L3908" i="7"/>
  <c r="K3908" i="7"/>
  <c r="L3907" i="7"/>
  <c r="K3907" i="7"/>
  <c r="L3906" i="7"/>
  <c r="K3906" i="7"/>
  <c r="L3905" i="7"/>
  <c r="K3905" i="7"/>
  <c r="L3904" i="7"/>
  <c r="K3904" i="7"/>
  <c r="L3903" i="7"/>
  <c r="K3903" i="7"/>
  <c r="L3902" i="7"/>
  <c r="K3902" i="7"/>
  <c r="L3901" i="7"/>
  <c r="K3901" i="7"/>
  <c r="L3900" i="7"/>
  <c r="K3900" i="7"/>
  <c r="L3899" i="7"/>
  <c r="K3899" i="7"/>
  <c r="L3898" i="7"/>
  <c r="K3898" i="7"/>
  <c r="L3897" i="7"/>
  <c r="K3897" i="7"/>
  <c r="L3896" i="7"/>
  <c r="K3896" i="7"/>
  <c r="L3895" i="7"/>
  <c r="K3895" i="7"/>
  <c r="L3894" i="7"/>
  <c r="K3894" i="7"/>
  <c r="L3893" i="7"/>
  <c r="K3893" i="7"/>
  <c r="L3892" i="7"/>
  <c r="K3892" i="7"/>
  <c r="L3891" i="7"/>
  <c r="K3891" i="7"/>
  <c r="L3890" i="7"/>
  <c r="K3890" i="7"/>
  <c r="L3889" i="7"/>
  <c r="K3889" i="7"/>
  <c r="L3888" i="7"/>
  <c r="K3888" i="7"/>
  <c r="L3887" i="7"/>
  <c r="K3887" i="7"/>
  <c r="L3886" i="7"/>
  <c r="K3886" i="7"/>
  <c r="L3885" i="7"/>
  <c r="K3885" i="7"/>
  <c r="L3884" i="7"/>
  <c r="K3884" i="7"/>
  <c r="L3883" i="7"/>
  <c r="K3883" i="7"/>
  <c r="L3882" i="7"/>
  <c r="K3882" i="7"/>
  <c r="L3881" i="7"/>
  <c r="K3881" i="7"/>
  <c r="L3880" i="7"/>
  <c r="K3880" i="7"/>
  <c r="L3879" i="7"/>
  <c r="K3879" i="7"/>
  <c r="L3878" i="7"/>
  <c r="K3878" i="7"/>
  <c r="L3877" i="7"/>
  <c r="K3877" i="7"/>
  <c r="L3876" i="7"/>
  <c r="K3876" i="7"/>
  <c r="L3875" i="7"/>
  <c r="K3875" i="7"/>
  <c r="L3874" i="7"/>
  <c r="K3874" i="7"/>
  <c r="L3873" i="7"/>
  <c r="K3873" i="7"/>
  <c r="L3872" i="7"/>
  <c r="K3872" i="7"/>
  <c r="L3871" i="7"/>
  <c r="K3871" i="7"/>
  <c r="L3870" i="7"/>
  <c r="K3870" i="7"/>
  <c r="L3869" i="7"/>
  <c r="K3869" i="7"/>
  <c r="L3868" i="7"/>
  <c r="K3868" i="7"/>
  <c r="L3867" i="7"/>
  <c r="K3867" i="7"/>
  <c r="L3866" i="7"/>
  <c r="K3866" i="7"/>
  <c r="L3865" i="7"/>
  <c r="K3865" i="7"/>
  <c r="L3864" i="7"/>
  <c r="K3864" i="7"/>
  <c r="L3863" i="7"/>
  <c r="K3863" i="7"/>
  <c r="L3862" i="7"/>
  <c r="K3862" i="7"/>
  <c r="L3861" i="7"/>
  <c r="K3861" i="7"/>
  <c r="L3860" i="7"/>
  <c r="K3860" i="7"/>
  <c r="L3859" i="7"/>
  <c r="K3859" i="7"/>
  <c r="L3858" i="7"/>
  <c r="K3858" i="7"/>
  <c r="L3857" i="7"/>
  <c r="K3857" i="7"/>
  <c r="L3856" i="7"/>
  <c r="K3856" i="7"/>
  <c r="L3855" i="7"/>
  <c r="K3855" i="7"/>
  <c r="L3854" i="7"/>
  <c r="K3854" i="7"/>
  <c r="L3853" i="7"/>
  <c r="K3853" i="7"/>
  <c r="L3852" i="7"/>
  <c r="K3852" i="7"/>
  <c r="L3851" i="7"/>
  <c r="K3851" i="7"/>
  <c r="L3850" i="7"/>
  <c r="K3850" i="7"/>
  <c r="L3849" i="7"/>
  <c r="K3849" i="7"/>
  <c r="L3848" i="7"/>
  <c r="K3848" i="7"/>
  <c r="L3847" i="7"/>
  <c r="K3847" i="7"/>
  <c r="L3846" i="7"/>
  <c r="K3846" i="7"/>
  <c r="L3845" i="7"/>
  <c r="K3845" i="7"/>
  <c r="L3844" i="7"/>
  <c r="K3844" i="7"/>
  <c r="L3843" i="7"/>
  <c r="K3843" i="7"/>
  <c r="L3842" i="7"/>
  <c r="K3842" i="7"/>
  <c r="L3841" i="7"/>
  <c r="K3841" i="7"/>
  <c r="L3840" i="7"/>
  <c r="K3840" i="7"/>
  <c r="L3839" i="7"/>
  <c r="K3839" i="7"/>
  <c r="L3838" i="7"/>
  <c r="K3838" i="7"/>
  <c r="L3837" i="7"/>
  <c r="K3837" i="7"/>
  <c r="L3836" i="7"/>
  <c r="K3836" i="7"/>
  <c r="L3835" i="7"/>
  <c r="K3835" i="7"/>
  <c r="L3834" i="7"/>
  <c r="K3834" i="7"/>
  <c r="L3833" i="7"/>
  <c r="K3833" i="7"/>
  <c r="L3832" i="7"/>
  <c r="K3832" i="7"/>
  <c r="L3831" i="7"/>
  <c r="K3831" i="7"/>
  <c r="L3830" i="7"/>
  <c r="K3830" i="7"/>
  <c r="L3829" i="7"/>
  <c r="K3829" i="7"/>
  <c r="L3828" i="7"/>
  <c r="K3828" i="7"/>
  <c r="L3827" i="7"/>
  <c r="K3827" i="7"/>
  <c r="L3826" i="7"/>
  <c r="K3826" i="7"/>
  <c r="L3825" i="7"/>
  <c r="K3825" i="7"/>
  <c r="L3824" i="7"/>
  <c r="K3824" i="7"/>
  <c r="L3823" i="7"/>
  <c r="K3823" i="7"/>
  <c r="L3822" i="7"/>
  <c r="K3822" i="7"/>
  <c r="L3821" i="7"/>
  <c r="K3821" i="7"/>
  <c r="L3820" i="7"/>
  <c r="K3820" i="7"/>
  <c r="L3819" i="7"/>
  <c r="K3819" i="7"/>
  <c r="L3818" i="7"/>
  <c r="K3818" i="7"/>
  <c r="L3817" i="7"/>
  <c r="K3817" i="7"/>
  <c r="L3816" i="7"/>
  <c r="K3816" i="7"/>
  <c r="L3815" i="7"/>
  <c r="K3815" i="7"/>
  <c r="L3814" i="7"/>
  <c r="K3814" i="7"/>
  <c r="L3813" i="7"/>
  <c r="K3813" i="7"/>
  <c r="L3812" i="7"/>
  <c r="K3812" i="7"/>
  <c r="L3811" i="7"/>
  <c r="K3811" i="7"/>
  <c r="L3810" i="7"/>
  <c r="K3810" i="7"/>
  <c r="L3809" i="7"/>
  <c r="K3809" i="7"/>
  <c r="L3808" i="7"/>
  <c r="K3808" i="7"/>
  <c r="L3807" i="7"/>
  <c r="K3807" i="7"/>
  <c r="L3806" i="7"/>
  <c r="K3806" i="7"/>
  <c r="L3805" i="7"/>
  <c r="K3805" i="7"/>
  <c r="L3804" i="7"/>
  <c r="K3804" i="7"/>
  <c r="L3803" i="7"/>
  <c r="K3803" i="7"/>
  <c r="L3802" i="7"/>
  <c r="K3802" i="7"/>
  <c r="L3801" i="7"/>
  <c r="K3801" i="7"/>
  <c r="L3800" i="7"/>
  <c r="K3800" i="7"/>
  <c r="L3799" i="7"/>
  <c r="K3799" i="7"/>
  <c r="L3798" i="7"/>
  <c r="K3798" i="7"/>
  <c r="L3797" i="7"/>
  <c r="K3797" i="7"/>
  <c r="L3796" i="7"/>
  <c r="K3796" i="7"/>
  <c r="L3795" i="7"/>
  <c r="K3795" i="7"/>
  <c r="L3794" i="7"/>
  <c r="K3794" i="7"/>
  <c r="L3793" i="7"/>
  <c r="K3793" i="7"/>
  <c r="L3792" i="7"/>
  <c r="K3792" i="7"/>
  <c r="L3791" i="7"/>
  <c r="K3791" i="7"/>
  <c r="L3790" i="7"/>
  <c r="K3790" i="7"/>
  <c r="L3789" i="7"/>
  <c r="K3789" i="7"/>
  <c r="L3788" i="7"/>
  <c r="K3788" i="7"/>
  <c r="L3787" i="7"/>
  <c r="K3787" i="7"/>
  <c r="L3786" i="7"/>
  <c r="K3786" i="7"/>
  <c r="L3785" i="7"/>
  <c r="K3785" i="7"/>
  <c r="L3784" i="7"/>
  <c r="K3784" i="7"/>
  <c r="L3783" i="7"/>
  <c r="K3783" i="7"/>
  <c r="L3782" i="7"/>
  <c r="K3782" i="7"/>
  <c r="L3781" i="7"/>
  <c r="K3781" i="7"/>
  <c r="L3780" i="7"/>
  <c r="K3780" i="7"/>
  <c r="L3779" i="7"/>
  <c r="K3779" i="7"/>
  <c r="L3778" i="7"/>
  <c r="K3778" i="7"/>
  <c r="L3777" i="7"/>
  <c r="K3777" i="7"/>
  <c r="L3776" i="7"/>
  <c r="K3776" i="7"/>
  <c r="L3775" i="7"/>
  <c r="K3775" i="7"/>
  <c r="L3774" i="7"/>
  <c r="K3774" i="7"/>
  <c r="L3773" i="7"/>
  <c r="K3773" i="7"/>
  <c r="L3772" i="7"/>
  <c r="K3772" i="7"/>
  <c r="L3771" i="7"/>
  <c r="K3771" i="7"/>
  <c r="L3770" i="7"/>
  <c r="K3770" i="7"/>
  <c r="L3769" i="7"/>
  <c r="K3769" i="7"/>
  <c r="L3768" i="7"/>
  <c r="K3768" i="7"/>
  <c r="L3767" i="7"/>
  <c r="K3767" i="7"/>
  <c r="L3766" i="7"/>
  <c r="K3766" i="7"/>
  <c r="L3765" i="7"/>
  <c r="K3765" i="7"/>
  <c r="L3764" i="7"/>
  <c r="K3764" i="7"/>
  <c r="L3763" i="7"/>
  <c r="K3763" i="7"/>
  <c r="L3762" i="7"/>
  <c r="K3762" i="7"/>
  <c r="L3761" i="7"/>
  <c r="K3761" i="7"/>
  <c r="L3760" i="7"/>
  <c r="K3760" i="7"/>
  <c r="L3759" i="7"/>
  <c r="K3759" i="7"/>
  <c r="L3758" i="7"/>
  <c r="K3758" i="7"/>
  <c r="L3757" i="7"/>
  <c r="K3757" i="7"/>
  <c r="L3756" i="7"/>
  <c r="K3756" i="7"/>
  <c r="L3755" i="7"/>
  <c r="K3755" i="7"/>
  <c r="L3754" i="7"/>
  <c r="K3754" i="7"/>
  <c r="L3753" i="7"/>
  <c r="K3753" i="7"/>
  <c r="L3752" i="7"/>
  <c r="K3752" i="7"/>
  <c r="L3751" i="7"/>
  <c r="K3751" i="7"/>
  <c r="L3750" i="7"/>
  <c r="K3750" i="7"/>
  <c r="L3749" i="7"/>
  <c r="K3749" i="7"/>
  <c r="L3748" i="7"/>
  <c r="K3748" i="7"/>
  <c r="L3747" i="7"/>
  <c r="K3747" i="7"/>
  <c r="L3746" i="7"/>
  <c r="K3746" i="7"/>
  <c r="L3745" i="7"/>
  <c r="K3745" i="7"/>
  <c r="L3744" i="7"/>
  <c r="K3744" i="7"/>
  <c r="L3743" i="7"/>
  <c r="K3743" i="7"/>
  <c r="L3742" i="7"/>
  <c r="K3742" i="7"/>
  <c r="L3741" i="7"/>
  <c r="K3741" i="7"/>
  <c r="L3740" i="7"/>
  <c r="K3740" i="7"/>
  <c r="L3739" i="7"/>
  <c r="K3739" i="7"/>
  <c r="L3738" i="7"/>
  <c r="K3738" i="7"/>
  <c r="L3737" i="7"/>
  <c r="K3737" i="7"/>
  <c r="L3736" i="7"/>
  <c r="K3736" i="7"/>
  <c r="L3735" i="7"/>
  <c r="K3735" i="7"/>
  <c r="L3734" i="7"/>
  <c r="K3734" i="7"/>
  <c r="L3733" i="7"/>
  <c r="K3733" i="7"/>
  <c r="L3732" i="7"/>
  <c r="K3732" i="7"/>
  <c r="L3731" i="7"/>
  <c r="K3731" i="7"/>
  <c r="L3730" i="7"/>
  <c r="K3730" i="7"/>
  <c r="L3729" i="7"/>
  <c r="K3729" i="7"/>
  <c r="L3728" i="7"/>
  <c r="K3728" i="7"/>
  <c r="L3727" i="7"/>
  <c r="K3727" i="7"/>
  <c r="L3726" i="7"/>
  <c r="K3726" i="7"/>
  <c r="L3725" i="7"/>
  <c r="K3725" i="7"/>
  <c r="L3724" i="7"/>
  <c r="K3724" i="7"/>
  <c r="L3723" i="7"/>
  <c r="K3723" i="7"/>
  <c r="L3722" i="7"/>
  <c r="K3722" i="7"/>
  <c r="L3721" i="7"/>
  <c r="K3721" i="7"/>
  <c r="L3720" i="7"/>
  <c r="K3720" i="7"/>
  <c r="L3719" i="7"/>
  <c r="K3719" i="7"/>
  <c r="L3718" i="7"/>
  <c r="K3718" i="7"/>
  <c r="L3717" i="7"/>
  <c r="K3717" i="7"/>
  <c r="L3716" i="7"/>
  <c r="K3716" i="7"/>
  <c r="L3715" i="7"/>
  <c r="K3715" i="7"/>
  <c r="L3714" i="7"/>
  <c r="K3714" i="7"/>
  <c r="L3713" i="7"/>
  <c r="K3713" i="7"/>
  <c r="L3712" i="7"/>
  <c r="K3712" i="7"/>
  <c r="L3711" i="7"/>
  <c r="K3711" i="7"/>
  <c r="L3710" i="7"/>
  <c r="K3710" i="7"/>
  <c r="L3709" i="7"/>
  <c r="K3709" i="7"/>
  <c r="L3708" i="7"/>
  <c r="K3708" i="7"/>
  <c r="L3707" i="7"/>
  <c r="K3707" i="7"/>
  <c r="L3706" i="7"/>
  <c r="K3706" i="7"/>
  <c r="L3705" i="7"/>
  <c r="K3705" i="7"/>
  <c r="L3704" i="7"/>
  <c r="K3704" i="7"/>
  <c r="L3703" i="7"/>
  <c r="K3703" i="7"/>
  <c r="L3702" i="7"/>
  <c r="K3702" i="7"/>
  <c r="L3701" i="7"/>
  <c r="K3701" i="7"/>
  <c r="L3700" i="7"/>
  <c r="K3700" i="7"/>
  <c r="L3699" i="7"/>
  <c r="K3699" i="7"/>
  <c r="L3698" i="7"/>
  <c r="K3698" i="7"/>
  <c r="L3697" i="7"/>
  <c r="K3697" i="7"/>
  <c r="L3696" i="7"/>
  <c r="K3696" i="7"/>
  <c r="L3695" i="7"/>
  <c r="K3695" i="7"/>
  <c r="L3694" i="7"/>
  <c r="K3694" i="7"/>
  <c r="L3693" i="7"/>
  <c r="K3693" i="7"/>
  <c r="L3692" i="7"/>
  <c r="K3692" i="7"/>
  <c r="L3691" i="7"/>
  <c r="K3691" i="7"/>
  <c r="L3690" i="7"/>
  <c r="K3690" i="7"/>
  <c r="L3689" i="7"/>
  <c r="K3689" i="7"/>
  <c r="L3688" i="7"/>
  <c r="K3688" i="7"/>
  <c r="L3687" i="7"/>
  <c r="K3687" i="7"/>
  <c r="L3686" i="7"/>
  <c r="K3686" i="7"/>
  <c r="L3685" i="7"/>
  <c r="K3685" i="7"/>
  <c r="L3684" i="7"/>
  <c r="K3684" i="7"/>
  <c r="L3683" i="7"/>
  <c r="K3683" i="7"/>
  <c r="L3682" i="7"/>
  <c r="K3682" i="7"/>
  <c r="L3681" i="7"/>
  <c r="K3681" i="7"/>
  <c r="L3680" i="7"/>
  <c r="K3680" i="7"/>
  <c r="L3679" i="7"/>
  <c r="K3679" i="7"/>
  <c r="L3678" i="7"/>
  <c r="K3678" i="7"/>
  <c r="L3677" i="7"/>
  <c r="K3677" i="7"/>
  <c r="L3676" i="7"/>
  <c r="K3676" i="7"/>
  <c r="L3675" i="7"/>
  <c r="K3675" i="7"/>
  <c r="L3674" i="7"/>
  <c r="K3674" i="7"/>
  <c r="L3673" i="7"/>
  <c r="K3673" i="7"/>
  <c r="L3672" i="7"/>
  <c r="K3672" i="7"/>
  <c r="L3671" i="7"/>
  <c r="K3671" i="7"/>
  <c r="L3670" i="7"/>
  <c r="K3670" i="7"/>
  <c r="L3669" i="7"/>
  <c r="K3669" i="7"/>
  <c r="L3668" i="7"/>
  <c r="K3668" i="7"/>
  <c r="L3667" i="7"/>
  <c r="K3667" i="7"/>
  <c r="L3666" i="7"/>
  <c r="K3666" i="7"/>
  <c r="L3665" i="7"/>
  <c r="K3665" i="7"/>
  <c r="L3664" i="7"/>
  <c r="K3664" i="7"/>
  <c r="L3663" i="7"/>
  <c r="K3663" i="7"/>
  <c r="L3662" i="7"/>
  <c r="K3662" i="7"/>
  <c r="L3661" i="7"/>
  <c r="K3661" i="7"/>
  <c r="L3660" i="7"/>
  <c r="K3660" i="7"/>
  <c r="L3659" i="7"/>
  <c r="K3659" i="7"/>
  <c r="L3658" i="7"/>
  <c r="K3658" i="7"/>
  <c r="L3657" i="7"/>
  <c r="K3657" i="7"/>
  <c r="L3656" i="7"/>
  <c r="K3656" i="7"/>
  <c r="L3655" i="7"/>
  <c r="K3655" i="7"/>
  <c r="L3654" i="7"/>
  <c r="K3654" i="7"/>
  <c r="L3653" i="7"/>
  <c r="K3653" i="7"/>
  <c r="L3652" i="7"/>
  <c r="K3652" i="7"/>
  <c r="L3651" i="7"/>
  <c r="K3651" i="7"/>
  <c r="L3650" i="7"/>
  <c r="K3650" i="7"/>
  <c r="L3649" i="7"/>
  <c r="K3649" i="7"/>
  <c r="L3648" i="7"/>
  <c r="K3648" i="7"/>
  <c r="L3647" i="7"/>
  <c r="K3647" i="7"/>
  <c r="L3646" i="7"/>
  <c r="K3646" i="7"/>
  <c r="L3645" i="7"/>
  <c r="K3645" i="7"/>
  <c r="L3644" i="7"/>
  <c r="K3644" i="7"/>
  <c r="L3643" i="7"/>
  <c r="K3643" i="7"/>
  <c r="L3642" i="7"/>
  <c r="K3642" i="7"/>
  <c r="L3641" i="7"/>
  <c r="K3641" i="7"/>
  <c r="L3640" i="7"/>
  <c r="K3640" i="7"/>
  <c r="L3639" i="7"/>
  <c r="K3639" i="7"/>
  <c r="L3638" i="7"/>
  <c r="K3638" i="7"/>
  <c r="L3637" i="7"/>
  <c r="K3637" i="7"/>
  <c r="L3636" i="7"/>
  <c r="K3636" i="7"/>
  <c r="L3635" i="7"/>
  <c r="K3635" i="7"/>
  <c r="L3634" i="7"/>
  <c r="K3634" i="7"/>
  <c r="L3633" i="7"/>
  <c r="K3633" i="7"/>
  <c r="L3632" i="7"/>
  <c r="K3632" i="7"/>
  <c r="L3631" i="7"/>
  <c r="K3631" i="7"/>
  <c r="L3630" i="7"/>
  <c r="K3630" i="7"/>
  <c r="L3629" i="7"/>
  <c r="K3629" i="7"/>
  <c r="L3628" i="7"/>
  <c r="K3628" i="7"/>
  <c r="L3627" i="7"/>
  <c r="K3627" i="7"/>
  <c r="L3626" i="7"/>
  <c r="K3626" i="7"/>
  <c r="L3625" i="7"/>
  <c r="K3625" i="7"/>
  <c r="L3624" i="7"/>
  <c r="K3624" i="7"/>
  <c r="L3623" i="7"/>
  <c r="K3623" i="7"/>
  <c r="L3622" i="7"/>
  <c r="K3622" i="7"/>
  <c r="L3621" i="7"/>
  <c r="K3621" i="7"/>
  <c r="L3620" i="7"/>
  <c r="K3620" i="7"/>
  <c r="L3619" i="7"/>
  <c r="K3619" i="7"/>
  <c r="L3618" i="7"/>
  <c r="K3618" i="7"/>
  <c r="L3617" i="7"/>
  <c r="K3617" i="7"/>
  <c r="L3616" i="7"/>
  <c r="K3616" i="7"/>
  <c r="L3615" i="7"/>
  <c r="K3615" i="7"/>
  <c r="L3614" i="7"/>
  <c r="K3614" i="7"/>
  <c r="L3613" i="7"/>
  <c r="K3613" i="7"/>
  <c r="L3612" i="7"/>
  <c r="K3612" i="7"/>
  <c r="L3611" i="7"/>
  <c r="K3611" i="7"/>
  <c r="L3610" i="7"/>
  <c r="K3610" i="7"/>
  <c r="L3609" i="7"/>
  <c r="K3609" i="7"/>
  <c r="L3608" i="7"/>
  <c r="K3608" i="7"/>
  <c r="L3607" i="7"/>
  <c r="K3607" i="7"/>
  <c r="L3606" i="7"/>
  <c r="K3606" i="7"/>
  <c r="L3605" i="7"/>
  <c r="K3605" i="7"/>
  <c r="L3604" i="7"/>
  <c r="K3604" i="7"/>
  <c r="L3603" i="7"/>
  <c r="K3603" i="7"/>
  <c r="L3602" i="7"/>
  <c r="K3602" i="7"/>
  <c r="L3601" i="7"/>
  <c r="K3601" i="7"/>
  <c r="L3600" i="7"/>
  <c r="K3600" i="7"/>
  <c r="L3599" i="7"/>
  <c r="K3599" i="7"/>
  <c r="L3598" i="7"/>
  <c r="K3598" i="7"/>
  <c r="L3597" i="7"/>
  <c r="K3597" i="7"/>
  <c r="L3596" i="7"/>
  <c r="K3596" i="7"/>
  <c r="L3595" i="7"/>
  <c r="K3595" i="7"/>
  <c r="L3594" i="7"/>
  <c r="K3594" i="7"/>
  <c r="L3593" i="7"/>
  <c r="K3593" i="7"/>
  <c r="L3592" i="7"/>
  <c r="K3592" i="7"/>
  <c r="L3591" i="7"/>
  <c r="K3591" i="7"/>
  <c r="L3590" i="7"/>
  <c r="K3590" i="7"/>
  <c r="L3589" i="7"/>
  <c r="K3589" i="7"/>
  <c r="L3588" i="7"/>
  <c r="K3588" i="7"/>
  <c r="L3587" i="7"/>
  <c r="K3587" i="7"/>
  <c r="L3586" i="7"/>
  <c r="K3586" i="7"/>
  <c r="L3585" i="7"/>
  <c r="K3585" i="7"/>
  <c r="L3584" i="7"/>
  <c r="K3584" i="7"/>
  <c r="L3583" i="7"/>
  <c r="K3583" i="7"/>
  <c r="L3582" i="7"/>
  <c r="K3582" i="7"/>
  <c r="L3581" i="7"/>
  <c r="K3581" i="7"/>
  <c r="L3580" i="7"/>
  <c r="K3580" i="7"/>
  <c r="L3579" i="7"/>
  <c r="K3579" i="7"/>
  <c r="L3578" i="7"/>
  <c r="K3578" i="7"/>
  <c r="L3577" i="7"/>
  <c r="K3577" i="7"/>
  <c r="L3576" i="7"/>
  <c r="K3576" i="7"/>
  <c r="L3575" i="7"/>
  <c r="K3575" i="7"/>
  <c r="L3574" i="7"/>
  <c r="K3574" i="7"/>
  <c r="L3573" i="7"/>
  <c r="K3573" i="7"/>
  <c r="L3572" i="7"/>
  <c r="K3572" i="7"/>
  <c r="L3571" i="7"/>
  <c r="K3571" i="7"/>
  <c r="L3570" i="7"/>
  <c r="K3570" i="7"/>
  <c r="L3569" i="7"/>
  <c r="K3569" i="7"/>
  <c r="L3568" i="7"/>
  <c r="K3568" i="7"/>
  <c r="L3567" i="7"/>
  <c r="K3567" i="7"/>
  <c r="L3566" i="7"/>
  <c r="K3566" i="7"/>
  <c r="L3565" i="7"/>
  <c r="K3565" i="7"/>
  <c r="L3564" i="7"/>
  <c r="K3564" i="7"/>
  <c r="L3563" i="7"/>
  <c r="K3563" i="7"/>
  <c r="L3562" i="7"/>
  <c r="K3562" i="7"/>
  <c r="L3561" i="7"/>
  <c r="K3561" i="7"/>
  <c r="L3560" i="7"/>
  <c r="K3560" i="7"/>
  <c r="L3559" i="7"/>
  <c r="K3559" i="7"/>
  <c r="L3558" i="7"/>
  <c r="K3558" i="7"/>
  <c r="L3557" i="7"/>
  <c r="K3557" i="7"/>
  <c r="L3556" i="7"/>
  <c r="K3556" i="7"/>
  <c r="L3555" i="7"/>
  <c r="K3555" i="7"/>
  <c r="L3554" i="7"/>
  <c r="K3554" i="7"/>
  <c r="L3553" i="7"/>
  <c r="K3553" i="7"/>
  <c r="L3552" i="7"/>
  <c r="K3552" i="7"/>
  <c r="L3551" i="7"/>
  <c r="K3551" i="7"/>
  <c r="L3550" i="7"/>
  <c r="K3550" i="7"/>
  <c r="L3549" i="7"/>
  <c r="K3549" i="7"/>
  <c r="L3548" i="7"/>
  <c r="K3548" i="7"/>
  <c r="L3547" i="7"/>
  <c r="K3547" i="7"/>
  <c r="L3546" i="7"/>
  <c r="K3546" i="7"/>
  <c r="L3545" i="7"/>
  <c r="K3545" i="7"/>
  <c r="L3544" i="7"/>
  <c r="K3544" i="7"/>
  <c r="L3543" i="7"/>
  <c r="K3543" i="7"/>
  <c r="L3542" i="7"/>
  <c r="K3542" i="7"/>
  <c r="L3541" i="7"/>
  <c r="K3541" i="7"/>
  <c r="L3540" i="7"/>
  <c r="K3540" i="7"/>
  <c r="L3539" i="7"/>
  <c r="K3539" i="7"/>
  <c r="L3538" i="7"/>
  <c r="K3538" i="7"/>
  <c r="L3537" i="7"/>
  <c r="K3537" i="7"/>
  <c r="L3536" i="7"/>
  <c r="K3536" i="7"/>
  <c r="L3535" i="7"/>
  <c r="K3535" i="7"/>
  <c r="L3534" i="7"/>
  <c r="K3534" i="7"/>
  <c r="L3533" i="7"/>
  <c r="K3533" i="7"/>
  <c r="L3532" i="7"/>
  <c r="K3532" i="7"/>
  <c r="L3531" i="7"/>
  <c r="K3531" i="7"/>
  <c r="L3530" i="7"/>
  <c r="K3530" i="7"/>
  <c r="L3529" i="7"/>
  <c r="K3529" i="7"/>
  <c r="L3528" i="7"/>
  <c r="K3528" i="7"/>
  <c r="L3527" i="7"/>
  <c r="K3527" i="7"/>
  <c r="L3526" i="7"/>
  <c r="K3526" i="7"/>
  <c r="L3525" i="7"/>
  <c r="K3525" i="7"/>
  <c r="L3524" i="7"/>
  <c r="K3524" i="7"/>
  <c r="L3523" i="7"/>
  <c r="K3523" i="7"/>
  <c r="L3522" i="7"/>
  <c r="K3522" i="7"/>
  <c r="L3521" i="7"/>
  <c r="K3521" i="7"/>
  <c r="L3520" i="7"/>
  <c r="K3520" i="7"/>
  <c r="L3519" i="7"/>
  <c r="K3519" i="7"/>
  <c r="L3518" i="7"/>
  <c r="K3518" i="7"/>
  <c r="L3517" i="7"/>
  <c r="K3517" i="7"/>
  <c r="L3516" i="7"/>
  <c r="K3516" i="7"/>
  <c r="L3515" i="7"/>
  <c r="K3515" i="7"/>
  <c r="L3514" i="7"/>
  <c r="K3514" i="7"/>
  <c r="L3513" i="7"/>
  <c r="K3513" i="7"/>
  <c r="L3512" i="7"/>
  <c r="K3512" i="7"/>
  <c r="L3511" i="7"/>
  <c r="K3511" i="7"/>
  <c r="L3510" i="7"/>
  <c r="K3510" i="7"/>
  <c r="L3509" i="7"/>
  <c r="K3509" i="7"/>
  <c r="L3508" i="7"/>
  <c r="K3508" i="7"/>
  <c r="L3507" i="7"/>
  <c r="K3507" i="7"/>
  <c r="L3506" i="7"/>
  <c r="K3506" i="7"/>
  <c r="L3505" i="7"/>
  <c r="K3505" i="7"/>
  <c r="L3504" i="7"/>
  <c r="K3504" i="7"/>
  <c r="L3503" i="7"/>
  <c r="K3503" i="7"/>
  <c r="L3502" i="7"/>
  <c r="K3502" i="7"/>
  <c r="L3501" i="7"/>
  <c r="K3501" i="7"/>
  <c r="L3500" i="7"/>
  <c r="K3500" i="7"/>
  <c r="L3499" i="7"/>
  <c r="K3499" i="7"/>
  <c r="L3498" i="7"/>
  <c r="K3498" i="7"/>
  <c r="L3497" i="7"/>
  <c r="K3497" i="7"/>
  <c r="L3496" i="7"/>
  <c r="K3496" i="7"/>
  <c r="L3495" i="7"/>
  <c r="K3495" i="7"/>
  <c r="L3494" i="7"/>
  <c r="K3494" i="7"/>
  <c r="L3493" i="7"/>
  <c r="K3493" i="7"/>
  <c r="L3492" i="7"/>
  <c r="K3492" i="7"/>
  <c r="L3491" i="7"/>
  <c r="K3491" i="7"/>
  <c r="L3490" i="7"/>
  <c r="K3490" i="7"/>
  <c r="L3489" i="7"/>
  <c r="K3489" i="7"/>
  <c r="L3488" i="7"/>
  <c r="K3488" i="7"/>
  <c r="L3487" i="7"/>
  <c r="K3487" i="7"/>
  <c r="L3486" i="7"/>
  <c r="K3486" i="7"/>
  <c r="L3485" i="7"/>
  <c r="K3485" i="7"/>
  <c r="L3484" i="7"/>
  <c r="K3484" i="7"/>
  <c r="L3483" i="7"/>
  <c r="K3483" i="7"/>
  <c r="L3482" i="7"/>
  <c r="K3482" i="7"/>
  <c r="L3481" i="7"/>
  <c r="K3481" i="7"/>
  <c r="L3480" i="7"/>
  <c r="K3480" i="7"/>
  <c r="L3479" i="7"/>
  <c r="K3479" i="7"/>
  <c r="L3478" i="7"/>
  <c r="K3478" i="7"/>
  <c r="L3477" i="7"/>
  <c r="K3477" i="7"/>
  <c r="L3476" i="7"/>
  <c r="K3476" i="7"/>
  <c r="L3475" i="7"/>
  <c r="K3475" i="7"/>
  <c r="L3474" i="7"/>
  <c r="K3474" i="7"/>
  <c r="L3473" i="7"/>
  <c r="K3473" i="7"/>
  <c r="L3472" i="7"/>
  <c r="K3472" i="7"/>
  <c r="L3471" i="7"/>
  <c r="K3471" i="7"/>
  <c r="L3470" i="7"/>
  <c r="K3470" i="7"/>
  <c r="L3469" i="7"/>
  <c r="K3469" i="7"/>
  <c r="L3468" i="7"/>
  <c r="K3468" i="7"/>
  <c r="L3467" i="7"/>
  <c r="K3467" i="7"/>
  <c r="L3466" i="7"/>
  <c r="K3466" i="7"/>
  <c r="L3465" i="7"/>
  <c r="K3465" i="7"/>
  <c r="L3464" i="7"/>
  <c r="K3464" i="7"/>
  <c r="L3463" i="7"/>
  <c r="K3463" i="7"/>
  <c r="L3462" i="7"/>
  <c r="K3462" i="7"/>
  <c r="L3461" i="7"/>
  <c r="K3461" i="7"/>
  <c r="L3460" i="7"/>
  <c r="K3460" i="7"/>
  <c r="L3459" i="7"/>
  <c r="K3459" i="7"/>
  <c r="L3458" i="7"/>
  <c r="K3458" i="7"/>
  <c r="L3457" i="7"/>
  <c r="K3457" i="7"/>
  <c r="L3456" i="7"/>
  <c r="K3456" i="7"/>
  <c r="L3455" i="7"/>
  <c r="K3455" i="7"/>
  <c r="L3454" i="7"/>
  <c r="K3454" i="7"/>
  <c r="L3453" i="7"/>
  <c r="K3453" i="7"/>
  <c r="L3452" i="7"/>
  <c r="K3452" i="7"/>
  <c r="L3451" i="7"/>
  <c r="K3451" i="7"/>
  <c r="L3450" i="7"/>
  <c r="K3450" i="7"/>
  <c r="L3449" i="7"/>
  <c r="K3449" i="7"/>
  <c r="L3448" i="7"/>
  <c r="K3448" i="7"/>
  <c r="L3447" i="7"/>
  <c r="K3447" i="7"/>
  <c r="L3446" i="7"/>
  <c r="K3446" i="7"/>
  <c r="L3445" i="7"/>
  <c r="K3445" i="7"/>
  <c r="L3444" i="7"/>
  <c r="K3444" i="7"/>
  <c r="L3443" i="7"/>
  <c r="K3443" i="7"/>
  <c r="L3442" i="7"/>
  <c r="K3442" i="7"/>
  <c r="L3441" i="7"/>
  <c r="K3441" i="7"/>
  <c r="L3440" i="7"/>
  <c r="K3440" i="7"/>
  <c r="L3439" i="7"/>
  <c r="K3439" i="7"/>
  <c r="L3438" i="7"/>
  <c r="K3438" i="7"/>
  <c r="L3437" i="7"/>
  <c r="K3437" i="7"/>
  <c r="L3436" i="7"/>
  <c r="K3436" i="7"/>
  <c r="L3435" i="7"/>
  <c r="K3435" i="7"/>
  <c r="L3434" i="7"/>
  <c r="K3434" i="7"/>
  <c r="L3433" i="7"/>
  <c r="K3433" i="7"/>
  <c r="L3432" i="7"/>
  <c r="K3432" i="7"/>
  <c r="L3431" i="7"/>
  <c r="K3431" i="7"/>
  <c r="L3430" i="7"/>
  <c r="K3430" i="7"/>
  <c r="L3429" i="7"/>
  <c r="K3429" i="7"/>
  <c r="L3428" i="7"/>
  <c r="K3428" i="7"/>
  <c r="L3427" i="7"/>
  <c r="K3427" i="7"/>
  <c r="L3426" i="7"/>
  <c r="K3426" i="7"/>
  <c r="L3425" i="7"/>
  <c r="K3425" i="7"/>
  <c r="L3424" i="7"/>
  <c r="K3424" i="7"/>
  <c r="L3423" i="7"/>
  <c r="K3423" i="7"/>
  <c r="L3422" i="7"/>
  <c r="K3422" i="7"/>
  <c r="L3421" i="7"/>
  <c r="K3421" i="7"/>
  <c r="L3420" i="7"/>
  <c r="K3420" i="7"/>
  <c r="L3419" i="7"/>
  <c r="K3419" i="7"/>
  <c r="L3418" i="7"/>
  <c r="K3418" i="7"/>
  <c r="L3417" i="7"/>
  <c r="K3417" i="7"/>
  <c r="L3416" i="7"/>
  <c r="K3416" i="7"/>
  <c r="L3415" i="7"/>
  <c r="K3415" i="7"/>
  <c r="L3414" i="7"/>
  <c r="K3414" i="7"/>
  <c r="L3413" i="7"/>
  <c r="K3413" i="7"/>
  <c r="L3412" i="7"/>
  <c r="K3412" i="7"/>
  <c r="L3411" i="7"/>
  <c r="K3411" i="7"/>
  <c r="L3410" i="7"/>
  <c r="K3410" i="7"/>
  <c r="L3409" i="7"/>
  <c r="K3409" i="7"/>
  <c r="L3408" i="7"/>
  <c r="K3408" i="7"/>
  <c r="L3407" i="7"/>
  <c r="K3407" i="7"/>
  <c r="L3406" i="7"/>
  <c r="K3406" i="7"/>
  <c r="L3405" i="7"/>
  <c r="K3405" i="7"/>
  <c r="L3404" i="7"/>
  <c r="K3404" i="7"/>
  <c r="L3403" i="7"/>
  <c r="K3403" i="7"/>
  <c r="L3402" i="7"/>
  <c r="K3402" i="7"/>
  <c r="L3401" i="7"/>
  <c r="K3401" i="7"/>
  <c r="L3400" i="7"/>
  <c r="K3400" i="7"/>
  <c r="L3399" i="7"/>
  <c r="K3399" i="7"/>
  <c r="L3398" i="7"/>
  <c r="K3398" i="7"/>
  <c r="L3397" i="7"/>
  <c r="K3397" i="7"/>
  <c r="L3396" i="7"/>
  <c r="K3396" i="7"/>
  <c r="L3395" i="7"/>
  <c r="K3395" i="7"/>
  <c r="L3394" i="7"/>
  <c r="K3394" i="7"/>
  <c r="L3393" i="7"/>
  <c r="K3393" i="7"/>
  <c r="L3392" i="7"/>
  <c r="K3392" i="7"/>
  <c r="L3391" i="7"/>
  <c r="K3391" i="7"/>
  <c r="L3390" i="7"/>
  <c r="K3390" i="7"/>
  <c r="L3389" i="7"/>
  <c r="K3389" i="7"/>
  <c r="L3388" i="7"/>
  <c r="K3388" i="7"/>
  <c r="L3387" i="7"/>
  <c r="K3387" i="7"/>
  <c r="L3386" i="7"/>
  <c r="K3386" i="7"/>
  <c r="L3385" i="7"/>
  <c r="K3385" i="7"/>
  <c r="L3384" i="7"/>
  <c r="K3384" i="7"/>
  <c r="L3383" i="7"/>
  <c r="K3383" i="7"/>
  <c r="L3382" i="7"/>
  <c r="K3382" i="7"/>
  <c r="L3381" i="7"/>
  <c r="K3381" i="7"/>
  <c r="L3380" i="7"/>
  <c r="K3380" i="7"/>
  <c r="L3379" i="7"/>
  <c r="K3379" i="7"/>
  <c r="L3378" i="7"/>
  <c r="K3378" i="7"/>
  <c r="L3377" i="7"/>
  <c r="K3377" i="7"/>
  <c r="L3376" i="7"/>
  <c r="K3376" i="7"/>
  <c r="L3375" i="7"/>
  <c r="K3375" i="7"/>
  <c r="L3374" i="7"/>
  <c r="K3374" i="7"/>
  <c r="L3373" i="7"/>
  <c r="K3373" i="7"/>
  <c r="L3372" i="7"/>
  <c r="K3372" i="7"/>
  <c r="L3371" i="7"/>
  <c r="K3371" i="7"/>
  <c r="L3370" i="7"/>
  <c r="K3370" i="7"/>
  <c r="L3369" i="7"/>
  <c r="K3369" i="7"/>
  <c r="L3368" i="7"/>
  <c r="K3368" i="7"/>
  <c r="L3367" i="7"/>
  <c r="K3367" i="7"/>
  <c r="L3366" i="7"/>
  <c r="K3366" i="7"/>
  <c r="L3365" i="7"/>
  <c r="K3365" i="7"/>
  <c r="L3364" i="7"/>
  <c r="K3364" i="7"/>
  <c r="L3363" i="7"/>
  <c r="K3363" i="7"/>
  <c r="L3362" i="7"/>
  <c r="K3362" i="7"/>
  <c r="L3361" i="7"/>
  <c r="K3361" i="7"/>
  <c r="L3360" i="7"/>
  <c r="K3360" i="7"/>
  <c r="L3359" i="7"/>
  <c r="K3359" i="7"/>
  <c r="L3358" i="7"/>
  <c r="K3358" i="7"/>
  <c r="L3357" i="7"/>
  <c r="K3357" i="7"/>
  <c r="L3356" i="7"/>
  <c r="K3356" i="7"/>
  <c r="L3355" i="7"/>
  <c r="K3355" i="7"/>
  <c r="L3354" i="7"/>
  <c r="K3354" i="7"/>
  <c r="L3353" i="7"/>
  <c r="K3353" i="7"/>
  <c r="L3352" i="7"/>
  <c r="K3352" i="7"/>
  <c r="L3351" i="7"/>
  <c r="K3351" i="7"/>
  <c r="L3350" i="7"/>
  <c r="K3350" i="7"/>
  <c r="L3349" i="7"/>
  <c r="K3349" i="7"/>
  <c r="L3348" i="7"/>
  <c r="K3348" i="7"/>
  <c r="L3347" i="7"/>
  <c r="K3347" i="7"/>
  <c r="L3346" i="7"/>
  <c r="K3346" i="7"/>
  <c r="L3345" i="7"/>
  <c r="K3345" i="7"/>
  <c r="L3344" i="7"/>
  <c r="K3344" i="7"/>
  <c r="L3343" i="7"/>
  <c r="K3343" i="7"/>
  <c r="L3342" i="7"/>
  <c r="K3342" i="7"/>
  <c r="L3341" i="7"/>
  <c r="K3341" i="7"/>
  <c r="L3340" i="7"/>
  <c r="K3340" i="7"/>
  <c r="L3339" i="7"/>
  <c r="K3339" i="7"/>
  <c r="L3338" i="7"/>
  <c r="K3338" i="7"/>
  <c r="L3337" i="7"/>
  <c r="K3337" i="7"/>
  <c r="L3336" i="7"/>
  <c r="K3336" i="7"/>
  <c r="L3335" i="7"/>
  <c r="K3335" i="7"/>
  <c r="L3334" i="7"/>
  <c r="K3334" i="7"/>
  <c r="L3333" i="7"/>
  <c r="K3333" i="7"/>
  <c r="L3332" i="7"/>
  <c r="K3332" i="7"/>
  <c r="L3331" i="7"/>
  <c r="K3331" i="7"/>
  <c r="L3330" i="7"/>
  <c r="K3330" i="7"/>
  <c r="L3329" i="7"/>
  <c r="K3329" i="7"/>
  <c r="L3328" i="7"/>
  <c r="K3328" i="7"/>
  <c r="L3327" i="7"/>
  <c r="K3327" i="7"/>
  <c r="L3326" i="7"/>
  <c r="K3326" i="7"/>
  <c r="L3325" i="7"/>
  <c r="K3325" i="7"/>
  <c r="L3324" i="7"/>
  <c r="K3324" i="7"/>
  <c r="L3323" i="7"/>
  <c r="K3323" i="7"/>
  <c r="L3322" i="7"/>
  <c r="K3322" i="7"/>
  <c r="L3321" i="7"/>
  <c r="K3321" i="7"/>
  <c r="L3320" i="7"/>
  <c r="K3320" i="7"/>
  <c r="L3319" i="7"/>
  <c r="K3319" i="7"/>
  <c r="L3318" i="7"/>
  <c r="K3318" i="7"/>
  <c r="L3317" i="7"/>
  <c r="K3317" i="7"/>
  <c r="L3316" i="7"/>
  <c r="K3316" i="7"/>
  <c r="L3315" i="7"/>
  <c r="K3315" i="7"/>
  <c r="L3314" i="7"/>
  <c r="K3314" i="7"/>
  <c r="L3313" i="7"/>
  <c r="K3313" i="7"/>
  <c r="L3312" i="7"/>
  <c r="K3312" i="7"/>
  <c r="L3311" i="7"/>
  <c r="K3311" i="7"/>
  <c r="L3310" i="7"/>
  <c r="K3310" i="7"/>
  <c r="L3309" i="7"/>
  <c r="K3309" i="7"/>
  <c r="L3308" i="7"/>
  <c r="K3308" i="7"/>
  <c r="L3307" i="7"/>
  <c r="K3307" i="7"/>
  <c r="L3306" i="7"/>
  <c r="K3306" i="7"/>
  <c r="L3305" i="7"/>
  <c r="K3305" i="7"/>
  <c r="L3304" i="7"/>
  <c r="K3304" i="7"/>
  <c r="L3303" i="7"/>
  <c r="K3303" i="7"/>
  <c r="L3302" i="7"/>
  <c r="K3302" i="7"/>
  <c r="L3301" i="7"/>
  <c r="K3301" i="7"/>
  <c r="L3300" i="7"/>
  <c r="K3300" i="7"/>
  <c r="L3299" i="7"/>
  <c r="K3299" i="7"/>
  <c r="L3298" i="7"/>
  <c r="K3298" i="7"/>
  <c r="L3297" i="7"/>
  <c r="K3297" i="7"/>
  <c r="L3296" i="7"/>
  <c r="K3296" i="7"/>
  <c r="L3295" i="7"/>
  <c r="K3295" i="7"/>
  <c r="L3294" i="7"/>
  <c r="K3294" i="7"/>
  <c r="L3293" i="7"/>
  <c r="K3293" i="7"/>
  <c r="L3292" i="7"/>
  <c r="K3292" i="7"/>
  <c r="L3291" i="7"/>
  <c r="K3291" i="7"/>
  <c r="L3290" i="7"/>
  <c r="K3290" i="7"/>
  <c r="L3289" i="7"/>
  <c r="K3289" i="7"/>
  <c r="L3288" i="7"/>
  <c r="K3288" i="7"/>
  <c r="L3287" i="7"/>
  <c r="K3287" i="7"/>
  <c r="L3286" i="7"/>
  <c r="K3286" i="7"/>
  <c r="L3285" i="7"/>
  <c r="K3285" i="7"/>
  <c r="L3284" i="7"/>
  <c r="K3284" i="7"/>
  <c r="L3283" i="7"/>
  <c r="K3283" i="7"/>
  <c r="L3282" i="7"/>
  <c r="K3282" i="7"/>
  <c r="L3281" i="7"/>
  <c r="K3281" i="7"/>
  <c r="L3280" i="7"/>
  <c r="K3280" i="7"/>
  <c r="L3279" i="7"/>
  <c r="K3279" i="7"/>
  <c r="L3278" i="7"/>
  <c r="K3278" i="7"/>
  <c r="L3277" i="7"/>
  <c r="K3277" i="7"/>
  <c r="L3276" i="7"/>
  <c r="K3276" i="7"/>
  <c r="L3275" i="7"/>
  <c r="K3275" i="7"/>
  <c r="L3274" i="7"/>
  <c r="K3274" i="7"/>
  <c r="L3273" i="7"/>
  <c r="K3273" i="7"/>
  <c r="L3272" i="7"/>
  <c r="K3272" i="7"/>
  <c r="L3271" i="7"/>
  <c r="K3271" i="7"/>
  <c r="L3270" i="7"/>
  <c r="K3270" i="7"/>
  <c r="L3269" i="7"/>
  <c r="K3269" i="7"/>
  <c r="L3268" i="7"/>
  <c r="K3268" i="7"/>
  <c r="L3267" i="7"/>
  <c r="K3267" i="7"/>
  <c r="L3266" i="7"/>
  <c r="K3266" i="7"/>
  <c r="L3265" i="7"/>
  <c r="K3265" i="7"/>
  <c r="L3264" i="7"/>
  <c r="K3264" i="7"/>
  <c r="L3263" i="7"/>
  <c r="K3263" i="7"/>
  <c r="L3262" i="7"/>
  <c r="K3262" i="7"/>
  <c r="L3261" i="7"/>
  <c r="K3261" i="7"/>
  <c r="L3260" i="7"/>
  <c r="K3260" i="7"/>
  <c r="L3259" i="7"/>
  <c r="K3259" i="7"/>
  <c r="L3258" i="7"/>
  <c r="K3258" i="7"/>
  <c r="L3257" i="7"/>
  <c r="K3257" i="7"/>
  <c r="L3256" i="7"/>
  <c r="K3256" i="7"/>
  <c r="L3255" i="7"/>
  <c r="K3255" i="7"/>
  <c r="L3254" i="7"/>
  <c r="K3254" i="7"/>
  <c r="L3253" i="7"/>
  <c r="K3253" i="7"/>
  <c r="L3252" i="7"/>
  <c r="K3252" i="7"/>
  <c r="L3251" i="7"/>
  <c r="K3251" i="7"/>
  <c r="L3250" i="7"/>
  <c r="K3250" i="7"/>
  <c r="L3249" i="7"/>
  <c r="K3249" i="7"/>
  <c r="L3248" i="7"/>
  <c r="K3248" i="7"/>
  <c r="L3247" i="7"/>
  <c r="K3247" i="7"/>
  <c r="L3246" i="7"/>
  <c r="K3246" i="7"/>
  <c r="L3245" i="7"/>
  <c r="K3245" i="7"/>
  <c r="L3244" i="7"/>
  <c r="K3244" i="7"/>
  <c r="L3243" i="7"/>
  <c r="K3243" i="7"/>
  <c r="L3242" i="7"/>
  <c r="K3242" i="7"/>
  <c r="L3241" i="7"/>
  <c r="K3241" i="7"/>
  <c r="L3240" i="7"/>
  <c r="K3240" i="7"/>
  <c r="L3239" i="7"/>
  <c r="K3239" i="7"/>
  <c r="L3238" i="7"/>
  <c r="K3238" i="7"/>
  <c r="L3237" i="7"/>
  <c r="K3237" i="7"/>
  <c r="L3236" i="7"/>
  <c r="K3236" i="7"/>
  <c r="L3235" i="7"/>
  <c r="K3235" i="7"/>
  <c r="L3234" i="7"/>
  <c r="K3234" i="7"/>
  <c r="L3233" i="7"/>
  <c r="K3233" i="7"/>
  <c r="L3232" i="7"/>
  <c r="K3232" i="7"/>
  <c r="L3231" i="7"/>
  <c r="K3231" i="7"/>
  <c r="L3230" i="7"/>
  <c r="K3230" i="7"/>
  <c r="L3229" i="7"/>
  <c r="K3229" i="7"/>
  <c r="L3228" i="7"/>
  <c r="K3228" i="7"/>
  <c r="L3227" i="7"/>
  <c r="K3227" i="7"/>
  <c r="L3226" i="7"/>
  <c r="K3226" i="7"/>
  <c r="L3225" i="7"/>
  <c r="K3225" i="7"/>
  <c r="L3224" i="7"/>
  <c r="K3224" i="7"/>
  <c r="L3223" i="7"/>
  <c r="K3223" i="7"/>
  <c r="L3222" i="7"/>
  <c r="K3222" i="7"/>
  <c r="L3221" i="7"/>
  <c r="K3221" i="7"/>
  <c r="L3220" i="7"/>
  <c r="K3220" i="7"/>
  <c r="L3219" i="7"/>
  <c r="K3219" i="7"/>
  <c r="L3218" i="7"/>
  <c r="K3218" i="7"/>
  <c r="L3217" i="7"/>
  <c r="K3217" i="7"/>
  <c r="L3216" i="7"/>
  <c r="K3216" i="7"/>
  <c r="L3215" i="7"/>
  <c r="K3215" i="7"/>
  <c r="L3214" i="7"/>
  <c r="K3214" i="7"/>
  <c r="L3213" i="7"/>
  <c r="K3213" i="7"/>
  <c r="L3212" i="7"/>
  <c r="K3212" i="7"/>
  <c r="L3211" i="7"/>
  <c r="K3211" i="7"/>
  <c r="L3210" i="7"/>
  <c r="K3210" i="7"/>
  <c r="L3209" i="7"/>
  <c r="K3209" i="7"/>
  <c r="L3208" i="7"/>
  <c r="K3208" i="7"/>
  <c r="L3207" i="7"/>
  <c r="K3207" i="7"/>
  <c r="L3206" i="7"/>
  <c r="K3206" i="7"/>
  <c r="L3205" i="7"/>
  <c r="K3205" i="7"/>
  <c r="L3204" i="7"/>
  <c r="K3204" i="7"/>
  <c r="L3203" i="7"/>
  <c r="K3203" i="7"/>
  <c r="L3202" i="7"/>
  <c r="K3202" i="7"/>
  <c r="L3201" i="7"/>
  <c r="K3201" i="7"/>
  <c r="L3200" i="7"/>
  <c r="K3200" i="7"/>
  <c r="L3199" i="7"/>
  <c r="K3199" i="7"/>
  <c r="L3198" i="7"/>
  <c r="K3198" i="7"/>
  <c r="L3197" i="7"/>
  <c r="K3197" i="7"/>
  <c r="L3196" i="7"/>
  <c r="K3196" i="7"/>
  <c r="L3195" i="7"/>
  <c r="K3195" i="7"/>
  <c r="L3194" i="7"/>
  <c r="K3194" i="7"/>
  <c r="L3193" i="7"/>
  <c r="K3193" i="7"/>
  <c r="L3192" i="7"/>
  <c r="K3192" i="7"/>
  <c r="L3191" i="7"/>
  <c r="K3191" i="7"/>
  <c r="L3190" i="7"/>
  <c r="K3190" i="7"/>
  <c r="L3189" i="7"/>
  <c r="K3189" i="7"/>
  <c r="L3188" i="7"/>
  <c r="K3188" i="7"/>
  <c r="L3187" i="7"/>
  <c r="K3187" i="7"/>
  <c r="L3186" i="7"/>
  <c r="K3186" i="7"/>
  <c r="L3185" i="7"/>
  <c r="K3185" i="7"/>
  <c r="L3184" i="7"/>
  <c r="K3184" i="7"/>
  <c r="L3183" i="7"/>
  <c r="K3183" i="7"/>
  <c r="L3182" i="7"/>
  <c r="K3182" i="7"/>
  <c r="L3181" i="7"/>
  <c r="K3181" i="7"/>
  <c r="L3180" i="7"/>
  <c r="K3180" i="7"/>
  <c r="L3179" i="7"/>
  <c r="K3179" i="7"/>
  <c r="L3178" i="7"/>
  <c r="K3178" i="7"/>
  <c r="L3177" i="7"/>
  <c r="K3177" i="7"/>
  <c r="L3176" i="7"/>
  <c r="K3176" i="7"/>
  <c r="L3175" i="7"/>
  <c r="K3175" i="7"/>
  <c r="L3174" i="7"/>
  <c r="K3174" i="7"/>
  <c r="L3173" i="7"/>
  <c r="K3173" i="7"/>
  <c r="L3172" i="7"/>
  <c r="K3172" i="7"/>
  <c r="L3171" i="7"/>
  <c r="K3171" i="7"/>
  <c r="L3170" i="7"/>
  <c r="K3170" i="7"/>
  <c r="L3169" i="7"/>
  <c r="K3169" i="7"/>
  <c r="L3168" i="7"/>
  <c r="K3168" i="7"/>
  <c r="L3167" i="7"/>
  <c r="K3167" i="7"/>
  <c r="L3166" i="7"/>
  <c r="K3166" i="7"/>
  <c r="L3165" i="7"/>
  <c r="K3165" i="7"/>
  <c r="L3164" i="7"/>
  <c r="K3164" i="7"/>
  <c r="L3163" i="7"/>
  <c r="K3163" i="7"/>
  <c r="L3162" i="7"/>
  <c r="K3162" i="7"/>
  <c r="L3161" i="7"/>
  <c r="K3161" i="7"/>
  <c r="L3160" i="7"/>
  <c r="K3160" i="7"/>
  <c r="L3159" i="7"/>
  <c r="K3159" i="7"/>
  <c r="L3158" i="7"/>
  <c r="K3158" i="7"/>
  <c r="L3157" i="7"/>
  <c r="K3157" i="7"/>
  <c r="L3156" i="7"/>
  <c r="K3156" i="7"/>
  <c r="L3155" i="7"/>
  <c r="K3155" i="7"/>
  <c r="L3154" i="7"/>
  <c r="K3154" i="7"/>
  <c r="L3153" i="7"/>
  <c r="K3153" i="7"/>
  <c r="L3152" i="7"/>
  <c r="K3152" i="7"/>
  <c r="L3151" i="7"/>
  <c r="K3151" i="7"/>
  <c r="L3150" i="7"/>
  <c r="K3150" i="7"/>
  <c r="L3149" i="7"/>
  <c r="K3149" i="7"/>
  <c r="L3148" i="7"/>
  <c r="K3148" i="7"/>
  <c r="L3147" i="7"/>
  <c r="K3147" i="7"/>
  <c r="L3146" i="7"/>
  <c r="K3146" i="7"/>
  <c r="L3145" i="7"/>
  <c r="K3145" i="7"/>
  <c r="L3144" i="7"/>
  <c r="K3144" i="7"/>
  <c r="L3143" i="7"/>
  <c r="K3143" i="7"/>
  <c r="L3142" i="7"/>
  <c r="K3142" i="7"/>
  <c r="L3141" i="7"/>
  <c r="K3141" i="7"/>
  <c r="L3140" i="7"/>
  <c r="K3140" i="7"/>
  <c r="L3139" i="7"/>
  <c r="K3139" i="7"/>
  <c r="L3138" i="7"/>
  <c r="K3138" i="7"/>
  <c r="L3137" i="7"/>
  <c r="K3137" i="7"/>
  <c r="L3136" i="7"/>
  <c r="K3136" i="7"/>
  <c r="L3135" i="7"/>
  <c r="K3135" i="7"/>
  <c r="L3134" i="7"/>
  <c r="K3134" i="7"/>
  <c r="L3133" i="7"/>
  <c r="K3133" i="7"/>
  <c r="L3132" i="7"/>
  <c r="K3132" i="7"/>
  <c r="L3131" i="7"/>
  <c r="K3131" i="7"/>
  <c r="L3130" i="7"/>
  <c r="K3130" i="7"/>
  <c r="L3129" i="7"/>
  <c r="K3129" i="7"/>
  <c r="L3128" i="7"/>
  <c r="K3128" i="7"/>
  <c r="L3127" i="7"/>
  <c r="K3127" i="7"/>
  <c r="L3126" i="7"/>
  <c r="K3126" i="7"/>
  <c r="L3125" i="7"/>
  <c r="K3125" i="7"/>
  <c r="L3124" i="7"/>
  <c r="K3124" i="7"/>
  <c r="L3123" i="7"/>
  <c r="K3123" i="7"/>
  <c r="L3122" i="7"/>
  <c r="K3122" i="7"/>
  <c r="L3121" i="7"/>
  <c r="K3121" i="7"/>
  <c r="L3120" i="7"/>
  <c r="K3120" i="7"/>
  <c r="L3119" i="7"/>
  <c r="K3119" i="7"/>
  <c r="L3118" i="7"/>
  <c r="K3118" i="7"/>
  <c r="L3117" i="7"/>
  <c r="K3117" i="7"/>
  <c r="L3116" i="7"/>
  <c r="K3116" i="7"/>
  <c r="L3115" i="7"/>
  <c r="K3115" i="7"/>
  <c r="L3114" i="7"/>
  <c r="K3114" i="7"/>
  <c r="L3113" i="7"/>
  <c r="K3113" i="7"/>
  <c r="L3112" i="7"/>
  <c r="K3112" i="7"/>
  <c r="L3111" i="7"/>
  <c r="K3111" i="7"/>
  <c r="L3110" i="7"/>
  <c r="K3110" i="7"/>
  <c r="L3109" i="7"/>
  <c r="K3109" i="7"/>
  <c r="L3108" i="7"/>
  <c r="K3108" i="7"/>
  <c r="L3107" i="7"/>
  <c r="K3107" i="7"/>
  <c r="L3106" i="7"/>
  <c r="K3106" i="7"/>
  <c r="L3105" i="7"/>
  <c r="K3105" i="7"/>
  <c r="L3104" i="7"/>
  <c r="K3104" i="7"/>
  <c r="L3103" i="7"/>
  <c r="K3103" i="7"/>
  <c r="L3102" i="7"/>
  <c r="K3102" i="7"/>
  <c r="L3101" i="7"/>
  <c r="K3101" i="7"/>
  <c r="L3100" i="7"/>
  <c r="K3100" i="7"/>
  <c r="L3099" i="7"/>
  <c r="K3099" i="7"/>
  <c r="L3098" i="7"/>
  <c r="K3098" i="7"/>
  <c r="L3097" i="7"/>
  <c r="K3097" i="7"/>
  <c r="L3096" i="7"/>
  <c r="K3096" i="7"/>
  <c r="L3095" i="7"/>
  <c r="K3095" i="7"/>
  <c r="L3094" i="7"/>
  <c r="K3094" i="7"/>
  <c r="L3093" i="7"/>
  <c r="K3093" i="7"/>
  <c r="L3092" i="7"/>
  <c r="K3092" i="7"/>
  <c r="L3091" i="7"/>
  <c r="K3091" i="7"/>
  <c r="L3090" i="7"/>
  <c r="K3090" i="7"/>
  <c r="L3089" i="7"/>
  <c r="K3089" i="7"/>
  <c r="L3088" i="7"/>
  <c r="K3088" i="7"/>
  <c r="L3087" i="7"/>
  <c r="K3087" i="7"/>
  <c r="L3086" i="7"/>
  <c r="K3086" i="7"/>
  <c r="L3085" i="7"/>
  <c r="K3085" i="7"/>
  <c r="L3084" i="7"/>
  <c r="K3084" i="7"/>
  <c r="L3083" i="7"/>
  <c r="K3083" i="7"/>
  <c r="L3082" i="7"/>
  <c r="K3082" i="7"/>
  <c r="L3081" i="7"/>
  <c r="K3081" i="7"/>
  <c r="L3080" i="7"/>
  <c r="K3080" i="7"/>
  <c r="L3079" i="7"/>
  <c r="K3079" i="7"/>
  <c r="L3078" i="7"/>
  <c r="K3078" i="7"/>
  <c r="L3077" i="7"/>
  <c r="K3077" i="7"/>
  <c r="L3076" i="7"/>
  <c r="K3076" i="7"/>
  <c r="L3075" i="7"/>
  <c r="K3075" i="7"/>
  <c r="L3074" i="7"/>
  <c r="K3074" i="7"/>
  <c r="L3073" i="7"/>
  <c r="K3073" i="7"/>
  <c r="L3072" i="7"/>
  <c r="K3072" i="7"/>
  <c r="L3071" i="7"/>
  <c r="K3071" i="7"/>
  <c r="L3070" i="7"/>
  <c r="K3070" i="7"/>
  <c r="L3069" i="7"/>
  <c r="K3069" i="7"/>
  <c r="L3068" i="7"/>
  <c r="K3068" i="7"/>
  <c r="L3067" i="7"/>
  <c r="K3067" i="7"/>
  <c r="L3066" i="7"/>
  <c r="K3066" i="7"/>
  <c r="L3065" i="7"/>
  <c r="K3065" i="7"/>
  <c r="L3064" i="7"/>
  <c r="K3064" i="7"/>
  <c r="L3063" i="7"/>
  <c r="K3063" i="7"/>
  <c r="L3062" i="7"/>
  <c r="K3062" i="7"/>
  <c r="L3061" i="7"/>
  <c r="K3061" i="7"/>
  <c r="L3060" i="7"/>
  <c r="K3060" i="7"/>
  <c r="L3059" i="7"/>
  <c r="K3059" i="7"/>
  <c r="L3058" i="7"/>
  <c r="K3058" i="7"/>
  <c r="L3057" i="7"/>
  <c r="K3057" i="7"/>
  <c r="L3056" i="7"/>
  <c r="K3056" i="7"/>
  <c r="L3055" i="7"/>
  <c r="K3055" i="7"/>
  <c r="L3054" i="7"/>
  <c r="K3054" i="7"/>
  <c r="L3053" i="7"/>
  <c r="K3053" i="7"/>
  <c r="L3052" i="7"/>
  <c r="K3052" i="7"/>
  <c r="L3051" i="7"/>
  <c r="K3051" i="7"/>
  <c r="L3050" i="7"/>
  <c r="K3050" i="7"/>
  <c r="L3049" i="7"/>
  <c r="K3049" i="7"/>
  <c r="L3048" i="7"/>
  <c r="K3048" i="7"/>
  <c r="L3047" i="7"/>
  <c r="K3047" i="7"/>
  <c r="L3046" i="7"/>
  <c r="K3046" i="7"/>
  <c r="L3045" i="7"/>
  <c r="K3045" i="7"/>
  <c r="L3044" i="7"/>
  <c r="K3044" i="7"/>
  <c r="L3043" i="7"/>
  <c r="K3043" i="7"/>
  <c r="L3042" i="7"/>
  <c r="K3042" i="7"/>
  <c r="L3041" i="7"/>
  <c r="K3041" i="7"/>
  <c r="L3040" i="7"/>
  <c r="K3040" i="7"/>
  <c r="L3039" i="7"/>
  <c r="K3039" i="7"/>
  <c r="L3038" i="7"/>
  <c r="K3038" i="7"/>
  <c r="L3037" i="7"/>
  <c r="K3037" i="7"/>
  <c r="L3036" i="7"/>
  <c r="K3036" i="7"/>
  <c r="L3035" i="7"/>
  <c r="K3035" i="7"/>
  <c r="L3034" i="7"/>
  <c r="K3034" i="7"/>
  <c r="L3033" i="7"/>
  <c r="K3033" i="7"/>
  <c r="L3032" i="7"/>
  <c r="K3032" i="7"/>
  <c r="L3031" i="7"/>
  <c r="K3031" i="7"/>
  <c r="L3030" i="7"/>
  <c r="K3030" i="7"/>
  <c r="L3029" i="7"/>
  <c r="K3029" i="7"/>
  <c r="L3028" i="7"/>
  <c r="K3028" i="7"/>
  <c r="L3027" i="7"/>
  <c r="K3027" i="7"/>
  <c r="L3026" i="7"/>
  <c r="K3026" i="7"/>
  <c r="L3025" i="7"/>
  <c r="K3025" i="7"/>
  <c r="L3024" i="7"/>
  <c r="K3024" i="7"/>
  <c r="L3023" i="7"/>
  <c r="K3023" i="7"/>
  <c r="L3022" i="7"/>
  <c r="K3022" i="7"/>
  <c r="L3021" i="7"/>
  <c r="K3021" i="7"/>
  <c r="L3020" i="7"/>
  <c r="K3020" i="7"/>
  <c r="L3019" i="7"/>
  <c r="K3019" i="7"/>
  <c r="L3018" i="7"/>
  <c r="K3018" i="7"/>
  <c r="L3017" i="7"/>
  <c r="K3017" i="7"/>
  <c r="L3016" i="7"/>
  <c r="K3016" i="7"/>
  <c r="L3015" i="7"/>
  <c r="K3015" i="7"/>
  <c r="L3014" i="7"/>
  <c r="K3014" i="7"/>
  <c r="L3013" i="7"/>
  <c r="K3013" i="7"/>
  <c r="L3012" i="7"/>
  <c r="K3012" i="7"/>
  <c r="L3011" i="7"/>
  <c r="K3011" i="7"/>
  <c r="L3010" i="7"/>
  <c r="K3010" i="7"/>
  <c r="L3009" i="7"/>
  <c r="K3009" i="7"/>
  <c r="L3008" i="7"/>
  <c r="K3008" i="7"/>
  <c r="L3007" i="7"/>
  <c r="K3007" i="7"/>
  <c r="L3006" i="7"/>
  <c r="K3006" i="7"/>
  <c r="L3005" i="7"/>
  <c r="K3005" i="7"/>
  <c r="L3004" i="7"/>
  <c r="K3004" i="7"/>
  <c r="L3003" i="7"/>
  <c r="K3003" i="7"/>
  <c r="L3002" i="7"/>
  <c r="K3002" i="7"/>
  <c r="L3001" i="7"/>
  <c r="K3001" i="7"/>
  <c r="L3000" i="7"/>
  <c r="K3000" i="7"/>
  <c r="L2999" i="7"/>
  <c r="K2999" i="7"/>
  <c r="L2998" i="7"/>
  <c r="K2998" i="7"/>
  <c r="L2997" i="7"/>
  <c r="K2997" i="7"/>
  <c r="L2996" i="7"/>
  <c r="K2996" i="7"/>
  <c r="L2995" i="7"/>
  <c r="K2995" i="7"/>
  <c r="L2994" i="7"/>
  <c r="K2994" i="7"/>
  <c r="L2993" i="7"/>
  <c r="K2993" i="7"/>
  <c r="L2992" i="7"/>
  <c r="K2992" i="7"/>
  <c r="L2991" i="7"/>
  <c r="K2991" i="7"/>
  <c r="L2990" i="7"/>
  <c r="K2990" i="7"/>
  <c r="L2989" i="7"/>
  <c r="K2989" i="7"/>
  <c r="L2988" i="7"/>
  <c r="K2988" i="7"/>
  <c r="L2987" i="7"/>
  <c r="K2987" i="7"/>
  <c r="L2986" i="7"/>
  <c r="K2986" i="7"/>
  <c r="L2985" i="7"/>
  <c r="K2985" i="7"/>
  <c r="L2984" i="7"/>
  <c r="K2984" i="7"/>
  <c r="L2983" i="7"/>
  <c r="K2983" i="7"/>
  <c r="L2982" i="7"/>
  <c r="K2982" i="7"/>
  <c r="L2981" i="7"/>
  <c r="K2981" i="7"/>
  <c r="L2980" i="7"/>
  <c r="K2980" i="7"/>
  <c r="L2979" i="7"/>
  <c r="K2979" i="7"/>
  <c r="L2978" i="7"/>
  <c r="K2978" i="7"/>
  <c r="L2977" i="7"/>
  <c r="K2977" i="7"/>
  <c r="L2976" i="7"/>
  <c r="K2976" i="7"/>
  <c r="L2975" i="7"/>
  <c r="K2975" i="7"/>
  <c r="L2974" i="7"/>
  <c r="K2974" i="7"/>
  <c r="L2973" i="7"/>
  <c r="K2973" i="7"/>
  <c r="L2972" i="7"/>
  <c r="K2972" i="7"/>
  <c r="L2971" i="7"/>
  <c r="K2971" i="7"/>
  <c r="L2970" i="7"/>
  <c r="K2970" i="7"/>
  <c r="L2969" i="7"/>
  <c r="K2969" i="7"/>
  <c r="L2968" i="7"/>
  <c r="K2968" i="7"/>
  <c r="L2967" i="7"/>
  <c r="K2967" i="7"/>
  <c r="L2966" i="7"/>
  <c r="K2966" i="7"/>
  <c r="L2965" i="7"/>
  <c r="K2965" i="7"/>
  <c r="L2964" i="7"/>
  <c r="K2964" i="7"/>
  <c r="L2963" i="7"/>
  <c r="K2963" i="7"/>
  <c r="L2962" i="7"/>
  <c r="K2962" i="7"/>
  <c r="L2961" i="7"/>
  <c r="K2961" i="7"/>
  <c r="L2960" i="7"/>
  <c r="K2960" i="7"/>
  <c r="L2959" i="7"/>
  <c r="K2959" i="7"/>
  <c r="L2958" i="7"/>
  <c r="K2958" i="7"/>
  <c r="L2957" i="7"/>
  <c r="K2957" i="7"/>
  <c r="L2956" i="7"/>
  <c r="K2956" i="7"/>
  <c r="L2955" i="7"/>
  <c r="K2955" i="7"/>
  <c r="L2954" i="7"/>
  <c r="K2954" i="7"/>
  <c r="L2953" i="7"/>
  <c r="K2953" i="7"/>
  <c r="L2952" i="7"/>
  <c r="K2952" i="7"/>
  <c r="L2951" i="7"/>
  <c r="K2951" i="7"/>
  <c r="L2950" i="7"/>
  <c r="K2950" i="7"/>
  <c r="L2949" i="7"/>
  <c r="K2949" i="7"/>
  <c r="L2948" i="7"/>
  <c r="K2948" i="7"/>
  <c r="L2947" i="7"/>
  <c r="K2947" i="7"/>
  <c r="L2946" i="7"/>
  <c r="K2946" i="7"/>
  <c r="L2945" i="7"/>
  <c r="K2945" i="7"/>
  <c r="L2944" i="7"/>
  <c r="K2944" i="7"/>
  <c r="L2943" i="7"/>
  <c r="K2943" i="7"/>
  <c r="L2942" i="7"/>
  <c r="K2942" i="7"/>
  <c r="L2941" i="7"/>
  <c r="K2941" i="7"/>
  <c r="L2940" i="7"/>
  <c r="K2940" i="7"/>
  <c r="L2939" i="7"/>
  <c r="K2939" i="7"/>
  <c r="L2938" i="7"/>
  <c r="K2938" i="7"/>
  <c r="L2937" i="7"/>
  <c r="K2937" i="7"/>
  <c r="L2936" i="7"/>
  <c r="K2936" i="7"/>
  <c r="L2935" i="7"/>
  <c r="K2935" i="7"/>
  <c r="L2934" i="7"/>
  <c r="K2934" i="7"/>
  <c r="L2933" i="7"/>
  <c r="K2933" i="7"/>
  <c r="L2932" i="7"/>
  <c r="K2932" i="7"/>
  <c r="L2931" i="7"/>
  <c r="K2931" i="7"/>
  <c r="L2930" i="7"/>
  <c r="K2930" i="7"/>
  <c r="L2929" i="7"/>
  <c r="K2929" i="7"/>
  <c r="L2928" i="7"/>
  <c r="K2928" i="7"/>
  <c r="L2927" i="7"/>
  <c r="K2927" i="7"/>
  <c r="L2926" i="7"/>
  <c r="K2926" i="7"/>
  <c r="L2925" i="7"/>
  <c r="K2925" i="7"/>
  <c r="L2924" i="7"/>
  <c r="K2924" i="7"/>
  <c r="L2923" i="7"/>
  <c r="K2923" i="7"/>
  <c r="L2922" i="7"/>
  <c r="K2922" i="7"/>
  <c r="L2921" i="7"/>
  <c r="K2921" i="7"/>
  <c r="L2920" i="7"/>
  <c r="K2920" i="7"/>
  <c r="L2919" i="7"/>
  <c r="K2919" i="7"/>
  <c r="L2918" i="7"/>
  <c r="K2918" i="7"/>
  <c r="L2917" i="7"/>
  <c r="K2917" i="7"/>
  <c r="L2916" i="7"/>
  <c r="K2916" i="7"/>
  <c r="L2915" i="7"/>
  <c r="K2915" i="7"/>
  <c r="L2914" i="7"/>
  <c r="K2914" i="7"/>
  <c r="L2913" i="7"/>
  <c r="K2913" i="7"/>
  <c r="L2912" i="7"/>
  <c r="K2912" i="7"/>
  <c r="L2911" i="7"/>
  <c r="K2911" i="7"/>
  <c r="L2910" i="7"/>
  <c r="K2910" i="7"/>
  <c r="L2909" i="7"/>
  <c r="K2909" i="7"/>
  <c r="L2908" i="7"/>
  <c r="K2908" i="7"/>
  <c r="L2907" i="7"/>
  <c r="K2907" i="7"/>
  <c r="L2906" i="7"/>
  <c r="K2906" i="7"/>
  <c r="L2905" i="7"/>
  <c r="K2905" i="7"/>
  <c r="L2904" i="7"/>
  <c r="K2904" i="7"/>
  <c r="L2903" i="7"/>
  <c r="K2903" i="7"/>
  <c r="L2902" i="7"/>
  <c r="K2902" i="7"/>
  <c r="L2901" i="7"/>
  <c r="K2901" i="7"/>
  <c r="L2900" i="7"/>
  <c r="K2900" i="7"/>
  <c r="L2899" i="7"/>
  <c r="K2899" i="7"/>
  <c r="L2898" i="7"/>
  <c r="K2898" i="7"/>
  <c r="L2897" i="7"/>
  <c r="K2897" i="7"/>
  <c r="L2896" i="7"/>
  <c r="K2896" i="7"/>
  <c r="L2895" i="7"/>
  <c r="K2895" i="7"/>
  <c r="L2894" i="7"/>
  <c r="K2894" i="7"/>
  <c r="L2893" i="7"/>
  <c r="K2893" i="7"/>
  <c r="L2892" i="7"/>
  <c r="K2892" i="7"/>
  <c r="L2891" i="7"/>
  <c r="K2891" i="7"/>
  <c r="L2890" i="7"/>
  <c r="K2890" i="7"/>
  <c r="L2889" i="7"/>
  <c r="K2889" i="7"/>
  <c r="L2888" i="7"/>
  <c r="K2888" i="7"/>
  <c r="L2887" i="7"/>
  <c r="K2887" i="7"/>
  <c r="L2886" i="7"/>
  <c r="K2886" i="7"/>
  <c r="L2885" i="7"/>
  <c r="K2885" i="7"/>
  <c r="L2884" i="7"/>
  <c r="K2884" i="7"/>
  <c r="L2883" i="7"/>
  <c r="K2883" i="7"/>
  <c r="L2882" i="7"/>
  <c r="K2882" i="7"/>
  <c r="L2881" i="7"/>
  <c r="K2881" i="7"/>
  <c r="L2880" i="7"/>
  <c r="K2880" i="7"/>
  <c r="L2879" i="7"/>
  <c r="K2879" i="7"/>
  <c r="L2878" i="7"/>
  <c r="K2878" i="7"/>
  <c r="L2877" i="7"/>
  <c r="K2877" i="7"/>
  <c r="L2876" i="7"/>
  <c r="K2876" i="7"/>
  <c r="L2875" i="7"/>
  <c r="K2875" i="7"/>
  <c r="L2874" i="7"/>
  <c r="K2874" i="7"/>
  <c r="L2873" i="7"/>
  <c r="K2873" i="7"/>
  <c r="L2872" i="7"/>
  <c r="K2872" i="7"/>
  <c r="L2871" i="7"/>
  <c r="K2871" i="7"/>
  <c r="L2870" i="7"/>
  <c r="K2870" i="7"/>
  <c r="L2869" i="7"/>
  <c r="K2869" i="7"/>
  <c r="L2868" i="7"/>
  <c r="K2868" i="7"/>
  <c r="L2867" i="7"/>
  <c r="K2867" i="7"/>
  <c r="L2866" i="7"/>
  <c r="K2866" i="7"/>
  <c r="L2865" i="7"/>
  <c r="K2865" i="7"/>
  <c r="L2864" i="7"/>
  <c r="K2864" i="7"/>
  <c r="L2863" i="7"/>
  <c r="K2863" i="7"/>
  <c r="L2862" i="7"/>
  <c r="K2862" i="7"/>
  <c r="L2861" i="7"/>
  <c r="K2861" i="7"/>
  <c r="L2860" i="7"/>
  <c r="K2860" i="7"/>
  <c r="L2859" i="7"/>
  <c r="K2859" i="7"/>
  <c r="L2858" i="7"/>
  <c r="K2858" i="7"/>
  <c r="L2857" i="7"/>
  <c r="K2857" i="7"/>
  <c r="L2856" i="7"/>
  <c r="K2856" i="7"/>
  <c r="L2855" i="7"/>
  <c r="K2855" i="7"/>
  <c r="L2854" i="7"/>
  <c r="K2854" i="7"/>
  <c r="L2853" i="7"/>
  <c r="K2853" i="7"/>
  <c r="L2852" i="7"/>
  <c r="K2852" i="7"/>
  <c r="L2851" i="7"/>
  <c r="K2851" i="7"/>
  <c r="L2850" i="7"/>
  <c r="K2850" i="7"/>
  <c r="L2849" i="7"/>
  <c r="K2849" i="7"/>
  <c r="L2848" i="7"/>
  <c r="K2848" i="7"/>
  <c r="L2847" i="7"/>
  <c r="K2847" i="7"/>
  <c r="L2846" i="7"/>
  <c r="K2846" i="7"/>
  <c r="L2845" i="7"/>
  <c r="K2845" i="7"/>
  <c r="L2844" i="7"/>
  <c r="K2844" i="7"/>
  <c r="L2843" i="7"/>
  <c r="K2843" i="7"/>
  <c r="L2842" i="7"/>
  <c r="K2842" i="7"/>
  <c r="L2841" i="7"/>
  <c r="K2841" i="7"/>
  <c r="L2840" i="7"/>
  <c r="K2840" i="7"/>
  <c r="L2839" i="7"/>
  <c r="K2839" i="7"/>
  <c r="L2838" i="7"/>
  <c r="K2838" i="7"/>
  <c r="L2837" i="7"/>
  <c r="K2837" i="7"/>
  <c r="L2836" i="7"/>
  <c r="K2836" i="7"/>
  <c r="L2835" i="7"/>
  <c r="K2835" i="7"/>
  <c r="L2834" i="7"/>
  <c r="K2834" i="7"/>
  <c r="L2833" i="7"/>
  <c r="K2833" i="7"/>
  <c r="L2832" i="7"/>
  <c r="K2832" i="7"/>
  <c r="L2831" i="7"/>
  <c r="K2831" i="7"/>
  <c r="L2830" i="7"/>
  <c r="K2830" i="7"/>
  <c r="L2829" i="7"/>
  <c r="K2829" i="7"/>
  <c r="L2828" i="7"/>
  <c r="K2828" i="7"/>
  <c r="L2827" i="7"/>
  <c r="K2827" i="7"/>
  <c r="L2826" i="7"/>
  <c r="K2826" i="7"/>
  <c r="L2825" i="7"/>
  <c r="K2825" i="7"/>
  <c r="L2824" i="7"/>
  <c r="K2824" i="7"/>
  <c r="L2823" i="7"/>
  <c r="K2823" i="7"/>
  <c r="L2822" i="7"/>
  <c r="K2822" i="7"/>
  <c r="L2821" i="7"/>
  <c r="K2821" i="7"/>
  <c r="L2820" i="7"/>
  <c r="K2820" i="7"/>
  <c r="L2819" i="7"/>
  <c r="K2819" i="7"/>
  <c r="L2818" i="7"/>
  <c r="K2818" i="7"/>
  <c r="L2817" i="7"/>
  <c r="K2817" i="7"/>
  <c r="L2816" i="7"/>
  <c r="K2816" i="7"/>
  <c r="L2815" i="7"/>
  <c r="K2815" i="7"/>
  <c r="L2814" i="7"/>
  <c r="K2814" i="7"/>
  <c r="L2813" i="7"/>
  <c r="K2813" i="7"/>
  <c r="L2812" i="7"/>
  <c r="K2812" i="7"/>
  <c r="L2811" i="7"/>
  <c r="K2811" i="7"/>
  <c r="L2810" i="7"/>
  <c r="K2810" i="7"/>
  <c r="L2809" i="7"/>
  <c r="K2809" i="7"/>
  <c r="L2808" i="7"/>
  <c r="K2808" i="7"/>
  <c r="L2807" i="7"/>
  <c r="K2807" i="7"/>
  <c r="L2806" i="7"/>
  <c r="K2806" i="7"/>
  <c r="L2805" i="7"/>
  <c r="K2805" i="7"/>
  <c r="L2804" i="7"/>
  <c r="K2804" i="7"/>
  <c r="L2803" i="7"/>
  <c r="K2803" i="7"/>
  <c r="L2802" i="7"/>
  <c r="K2802" i="7"/>
  <c r="L2801" i="7"/>
  <c r="K2801" i="7"/>
  <c r="L2800" i="7"/>
  <c r="K2800" i="7"/>
  <c r="L2799" i="7"/>
  <c r="K2799" i="7"/>
  <c r="L2798" i="7"/>
  <c r="K2798" i="7"/>
  <c r="L2797" i="7"/>
  <c r="K2797" i="7"/>
  <c r="L2796" i="7"/>
  <c r="K2796" i="7"/>
  <c r="L2795" i="7"/>
  <c r="K2795" i="7"/>
  <c r="L2794" i="7"/>
  <c r="K2794" i="7"/>
  <c r="L2793" i="7"/>
  <c r="K2793" i="7"/>
  <c r="L2792" i="7"/>
  <c r="K2792" i="7"/>
  <c r="L2791" i="7"/>
  <c r="K2791" i="7"/>
  <c r="L2790" i="7"/>
  <c r="K2790" i="7"/>
  <c r="L2789" i="7"/>
  <c r="K2789" i="7"/>
  <c r="L2788" i="7"/>
  <c r="K2788" i="7"/>
  <c r="L2787" i="7"/>
  <c r="K2787" i="7"/>
  <c r="L2786" i="7"/>
  <c r="K2786" i="7"/>
  <c r="L2785" i="7"/>
  <c r="K2785" i="7"/>
  <c r="L2784" i="7"/>
  <c r="K2784" i="7"/>
  <c r="L2783" i="7"/>
  <c r="K2783" i="7"/>
  <c r="L2782" i="7"/>
  <c r="K2782" i="7"/>
  <c r="L2781" i="7"/>
  <c r="K2781" i="7"/>
  <c r="L2780" i="7"/>
  <c r="K2780" i="7"/>
  <c r="L2779" i="7"/>
  <c r="K2779" i="7"/>
  <c r="L2778" i="7"/>
  <c r="K2778" i="7"/>
  <c r="L2777" i="7"/>
  <c r="K2777" i="7"/>
  <c r="L2776" i="7"/>
  <c r="K2776" i="7"/>
  <c r="L2775" i="7"/>
  <c r="K2775" i="7"/>
  <c r="L2774" i="7"/>
  <c r="K2774" i="7"/>
  <c r="L2773" i="7"/>
  <c r="K2773" i="7"/>
  <c r="L2772" i="7"/>
  <c r="K2772" i="7"/>
  <c r="L2771" i="7"/>
  <c r="K2771" i="7"/>
  <c r="L2770" i="7"/>
  <c r="K2770" i="7"/>
  <c r="L2769" i="7"/>
  <c r="K2769" i="7"/>
  <c r="L2768" i="7"/>
  <c r="K2768" i="7"/>
  <c r="L2767" i="7"/>
  <c r="K2767" i="7"/>
  <c r="L2766" i="7"/>
  <c r="K2766" i="7"/>
  <c r="L2765" i="7"/>
  <c r="K2765" i="7"/>
  <c r="L2764" i="7"/>
  <c r="K2764" i="7"/>
  <c r="L2763" i="7"/>
  <c r="K2763" i="7"/>
  <c r="L2762" i="7"/>
  <c r="K2762" i="7"/>
  <c r="L2761" i="7"/>
  <c r="K2761" i="7"/>
  <c r="L2760" i="7"/>
  <c r="K2760" i="7"/>
  <c r="L2759" i="7"/>
  <c r="K2759" i="7"/>
  <c r="L2758" i="7"/>
  <c r="K2758" i="7"/>
  <c r="L2757" i="7"/>
  <c r="K2757" i="7"/>
  <c r="L2756" i="7"/>
  <c r="K2756" i="7"/>
  <c r="L2755" i="7"/>
  <c r="K2755" i="7"/>
  <c r="L2754" i="7"/>
  <c r="K2754" i="7"/>
  <c r="L2753" i="7"/>
  <c r="K2753" i="7"/>
  <c r="L2752" i="7"/>
  <c r="K2752" i="7"/>
  <c r="L2751" i="7"/>
  <c r="K2751" i="7"/>
  <c r="L2750" i="7"/>
  <c r="K2750" i="7"/>
  <c r="L2749" i="7"/>
  <c r="K2749" i="7"/>
  <c r="L2748" i="7"/>
  <c r="K2748" i="7"/>
  <c r="L2747" i="7"/>
  <c r="K2747" i="7"/>
  <c r="L2746" i="7"/>
  <c r="K2746" i="7"/>
  <c r="L2745" i="7"/>
  <c r="K2745" i="7"/>
  <c r="L2744" i="7"/>
  <c r="K2744" i="7"/>
  <c r="L2743" i="7"/>
  <c r="K2743" i="7"/>
  <c r="L2742" i="7"/>
  <c r="K2742" i="7"/>
  <c r="L2741" i="7"/>
  <c r="K2741" i="7"/>
  <c r="L2740" i="7"/>
  <c r="K2740" i="7"/>
  <c r="L2739" i="7"/>
  <c r="K2739" i="7"/>
  <c r="L2738" i="7"/>
  <c r="K2738" i="7"/>
  <c r="L2737" i="7"/>
  <c r="K2737" i="7"/>
  <c r="L2736" i="7"/>
  <c r="K2736" i="7"/>
  <c r="L2735" i="7"/>
  <c r="K2735" i="7"/>
  <c r="L2734" i="7"/>
  <c r="K2734" i="7"/>
  <c r="L2733" i="7"/>
  <c r="K2733" i="7"/>
  <c r="L2732" i="7"/>
  <c r="K2732" i="7"/>
  <c r="L2731" i="7"/>
  <c r="K2731" i="7"/>
  <c r="L2730" i="7"/>
  <c r="K2730" i="7"/>
  <c r="L2729" i="7"/>
  <c r="K2729" i="7"/>
  <c r="L2728" i="7"/>
  <c r="K2728" i="7"/>
  <c r="L2727" i="7"/>
  <c r="K2727" i="7"/>
  <c r="L2726" i="7"/>
  <c r="K2726" i="7"/>
  <c r="L2725" i="7"/>
  <c r="K2725" i="7"/>
  <c r="L2724" i="7"/>
  <c r="K2724" i="7"/>
  <c r="L2723" i="7"/>
  <c r="K2723" i="7"/>
  <c r="L2722" i="7"/>
  <c r="K2722" i="7"/>
  <c r="L2721" i="7"/>
  <c r="K2721" i="7"/>
  <c r="L2720" i="7"/>
  <c r="K2720" i="7"/>
  <c r="L2719" i="7"/>
  <c r="K2719" i="7"/>
  <c r="L2718" i="7"/>
  <c r="K2718" i="7"/>
  <c r="L2717" i="7"/>
  <c r="K2717" i="7"/>
  <c r="L2716" i="7"/>
  <c r="K2716" i="7"/>
  <c r="L2715" i="7"/>
  <c r="K2715" i="7"/>
  <c r="L2714" i="7"/>
  <c r="K2714" i="7"/>
  <c r="L2713" i="7"/>
  <c r="K2713" i="7"/>
  <c r="L2712" i="7"/>
  <c r="K2712" i="7"/>
  <c r="L2711" i="7"/>
  <c r="K2711" i="7"/>
  <c r="L2710" i="7"/>
  <c r="K2710" i="7"/>
  <c r="L2709" i="7"/>
  <c r="K2709" i="7"/>
  <c r="L2708" i="7"/>
  <c r="K2708" i="7"/>
  <c r="L2707" i="7"/>
  <c r="K2707" i="7"/>
  <c r="L2706" i="7"/>
  <c r="K2706" i="7"/>
  <c r="L2705" i="7"/>
  <c r="K2705" i="7"/>
  <c r="L2704" i="7"/>
  <c r="K2704" i="7"/>
  <c r="L2703" i="7"/>
  <c r="K2703" i="7"/>
  <c r="L2702" i="7"/>
  <c r="K2702" i="7"/>
  <c r="L2701" i="7"/>
  <c r="K2701" i="7"/>
  <c r="L2700" i="7"/>
  <c r="K2700" i="7"/>
  <c r="L2699" i="7"/>
  <c r="K2699" i="7"/>
  <c r="L2698" i="7"/>
  <c r="K2698" i="7"/>
  <c r="L2697" i="7"/>
  <c r="K2697" i="7"/>
  <c r="L2696" i="7"/>
  <c r="K2696" i="7"/>
  <c r="L2695" i="7"/>
  <c r="K2695" i="7"/>
  <c r="L2694" i="7"/>
  <c r="K2694" i="7"/>
  <c r="L2693" i="7"/>
  <c r="K2693" i="7"/>
  <c r="L2692" i="7"/>
  <c r="K2692" i="7"/>
  <c r="L2691" i="7"/>
  <c r="K2691" i="7"/>
  <c r="L2690" i="7"/>
  <c r="K2690" i="7"/>
  <c r="L2689" i="7"/>
  <c r="K2689" i="7"/>
  <c r="L2688" i="7"/>
  <c r="K2688" i="7"/>
  <c r="L2687" i="7"/>
  <c r="K2687" i="7"/>
  <c r="L2686" i="7"/>
  <c r="K2686" i="7"/>
  <c r="L2685" i="7"/>
  <c r="K2685" i="7"/>
  <c r="L2684" i="7"/>
  <c r="K2684" i="7"/>
  <c r="L2683" i="7"/>
  <c r="K2683" i="7"/>
  <c r="L2682" i="7"/>
  <c r="K2682" i="7"/>
  <c r="L2681" i="7"/>
  <c r="K2681" i="7"/>
  <c r="L2680" i="7"/>
  <c r="K2680" i="7"/>
  <c r="L2679" i="7"/>
  <c r="K2679" i="7"/>
  <c r="L2678" i="7"/>
  <c r="K2678" i="7"/>
  <c r="L2677" i="7"/>
  <c r="K2677" i="7"/>
  <c r="L2676" i="7"/>
  <c r="K2676" i="7"/>
  <c r="L2675" i="7"/>
  <c r="K2675" i="7"/>
  <c r="L2674" i="7"/>
  <c r="K2674" i="7"/>
  <c r="L2673" i="7"/>
  <c r="K2673" i="7"/>
  <c r="L2672" i="7"/>
  <c r="K2672" i="7"/>
  <c r="L2671" i="7"/>
  <c r="K2671" i="7"/>
  <c r="L2670" i="7"/>
  <c r="K2670" i="7"/>
  <c r="L2669" i="7"/>
  <c r="K2669" i="7"/>
  <c r="L2668" i="7"/>
  <c r="K2668" i="7"/>
  <c r="L2667" i="7"/>
  <c r="K2667" i="7"/>
  <c r="L2666" i="7"/>
  <c r="K2666" i="7"/>
  <c r="L2665" i="7"/>
  <c r="K2665" i="7"/>
  <c r="L2664" i="7"/>
  <c r="K2664" i="7"/>
  <c r="L2663" i="7"/>
  <c r="K2663" i="7"/>
  <c r="L2662" i="7"/>
  <c r="K2662" i="7"/>
  <c r="L2661" i="7"/>
  <c r="K2661" i="7"/>
  <c r="L2660" i="7"/>
  <c r="K2660" i="7"/>
  <c r="L2659" i="7"/>
  <c r="K2659" i="7"/>
  <c r="L2658" i="7"/>
  <c r="K2658" i="7"/>
  <c r="L2657" i="7"/>
  <c r="K2657" i="7"/>
  <c r="L2656" i="7"/>
  <c r="K2656" i="7"/>
  <c r="L2655" i="7"/>
  <c r="K2655" i="7"/>
  <c r="L2654" i="7"/>
  <c r="K2654" i="7"/>
  <c r="L2653" i="7"/>
  <c r="K2653" i="7"/>
  <c r="L2652" i="7"/>
  <c r="K2652" i="7"/>
  <c r="L2651" i="7"/>
  <c r="K2651" i="7"/>
  <c r="L2650" i="7"/>
  <c r="K2650" i="7"/>
  <c r="L2649" i="7"/>
  <c r="K2649" i="7"/>
  <c r="L2648" i="7"/>
  <c r="K2648" i="7"/>
  <c r="L2647" i="7"/>
  <c r="K2647" i="7"/>
  <c r="L2646" i="7"/>
  <c r="K2646" i="7"/>
  <c r="L2645" i="7"/>
  <c r="K2645" i="7"/>
  <c r="L2644" i="7"/>
  <c r="K2644" i="7"/>
  <c r="L2643" i="7"/>
  <c r="K2643" i="7"/>
  <c r="L2642" i="7"/>
  <c r="K2642" i="7"/>
  <c r="L2641" i="7"/>
  <c r="K2641" i="7"/>
  <c r="L2640" i="7"/>
  <c r="K2640" i="7"/>
  <c r="L2639" i="7"/>
  <c r="K2639" i="7"/>
  <c r="L2638" i="7"/>
  <c r="K2638" i="7"/>
  <c r="L2637" i="7"/>
  <c r="K2637" i="7"/>
  <c r="L2636" i="7"/>
  <c r="K2636" i="7"/>
  <c r="L2635" i="7"/>
  <c r="K2635" i="7"/>
  <c r="L2634" i="7"/>
  <c r="K2634" i="7"/>
  <c r="L2633" i="7"/>
  <c r="K2633" i="7"/>
  <c r="L2632" i="7"/>
  <c r="K2632" i="7"/>
  <c r="L2631" i="7"/>
  <c r="K2631" i="7"/>
  <c r="L2630" i="7"/>
  <c r="K2630" i="7"/>
  <c r="L2629" i="7"/>
  <c r="K2629" i="7"/>
  <c r="L2628" i="7"/>
  <c r="K2628" i="7"/>
  <c r="L2627" i="7"/>
  <c r="K2627" i="7"/>
  <c r="L2626" i="7"/>
  <c r="K2626" i="7"/>
  <c r="L2625" i="7"/>
  <c r="K2625" i="7"/>
  <c r="L2624" i="7"/>
  <c r="K2624" i="7"/>
  <c r="L2623" i="7"/>
  <c r="K2623" i="7"/>
  <c r="L2622" i="7"/>
  <c r="K2622" i="7"/>
  <c r="L2621" i="7"/>
  <c r="K2621" i="7"/>
  <c r="L2620" i="7"/>
  <c r="K2620" i="7"/>
  <c r="L2619" i="7"/>
  <c r="K2619" i="7"/>
  <c r="L2618" i="7"/>
  <c r="K2618" i="7"/>
  <c r="L2617" i="7"/>
  <c r="K2617" i="7"/>
  <c r="L2616" i="7"/>
  <c r="K2616" i="7"/>
  <c r="L2615" i="7"/>
  <c r="K2615" i="7"/>
  <c r="L2614" i="7"/>
  <c r="K2614" i="7"/>
  <c r="L2613" i="7"/>
  <c r="K2613" i="7"/>
  <c r="L2612" i="7"/>
  <c r="K2612" i="7"/>
  <c r="L2611" i="7"/>
  <c r="K2611" i="7"/>
  <c r="L2610" i="7"/>
  <c r="K2610" i="7"/>
  <c r="L2609" i="7"/>
  <c r="K2609" i="7"/>
  <c r="L2608" i="7"/>
  <c r="K2608" i="7"/>
  <c r="L2607" i="7"/>
  <c r="K2607" i="7"/>
  <c r="L2606" i="7"/>
  <c r="K2606" i="7"/>
  <c r="L2605" i="7"/>
  <c r="K2605" i="7"/>
  <c r="L2604" i="7"/>
  <c r="K2604" i="7"/>
  <c r="L2603" i="7"/>
  <c r="K2603" i="7"/>
  <c r="L2602" i="7"/>
  <c r="K2602" i="7"/>
  <c r="L2601" i="7"/>
  <c r="K2601" i="7"/>
  <c r="L2600" i="7"/>
  <c r="K2600" i="7"/>
  <c r="L2599" i="7"/>
  <c r="K2599" i="7"/>
  <c r="L2598" i="7"/>
  <c r="K2598" i="7"/>
  <c r="L2597" i="7"/>
  <c r="K2597" i="7"/>
  <c r="L2596" i="7"/>
  <c r="K2596" i="7"/>
  <c r="L2595" i="7"/>
  <c r="K2595" i="7"/>
  <c r="L2594" i="7"/>
  <c r="K2594" i="7"/>
  <c r="L2593" i="7"/>
  <c r="K2593" i="7"/>
  <c r="L2592" i="7"/>
  <c r="K2592" i="7"/>
  <c r="L2591" i="7"/>
  <c r="K2591" i="7"/>
  <c r="L2590" i="7"/>
  <c r="K2590" i="7"/>
  <c r="L2589" i="7"/>
  <c r="K2589" i="7"/>
  <c r="L2588" i="7"/>
  <c r="K2588" i="7"/>
  <c r="L2587" i="7"/>
  <c r="K2587" i="7"/>
  <c r="L2586" i="7"/>
  <c r="K2586" i="7"/>
  <c r="L2585" i="7"/>
  <c r="K2585" i="7"/>
  <c r="L2584" i="7"/>
  <c r="K2584" i="7"/>
  <c r="L2583" i="7"/>
  <c r="K2583" i="7"/>
  <c r="L2582" i="7"/>
  <c r="K2582" i="7"/>
  <c r="L2581" i="7"/>
  <c r="K2581" i="7"/>
  <c r="L2580" i="7"/>
  <c r="K2580" i="7"/>
  <c r="L2579" i="7"/>
  <c r="K2579" i="7"/>
  <c r="L2578" i="7"/>
  <c r="K2578" i="7"/>
  <c r="L2577" i="7"/>
  <c r="K2577" i="7"/>
  <c r="L2576" i="7"/>
  <c r="K2576" i="7"/>
  <c r="L2575" i="7"/>
  <c r="K2575" i="7"/>
  <c r="L2574" i="7"/>
  <c r="K2574" i="7"/>
  <c r="L2573" i="7"/>
  <c r="K2573" i="7"/>
  <c r="L2572" i="7"/>
  <c r="K2572" i="7"/>
  <c r="L2571" i="7"/>
  <c r="K2571" i="7"/>
  <c r="L2570" i="7"/>
  <c r="K2570" i="7"/>
  <c r="L2569" i="7"/>
  <c r="K2569" i="7"/>
  <c r="L2568" i="7"/>
  <c r="K2568" i="7"/>
  <c r="L2567" i="7"/>
  <c r="K2567" i="7"/>
  <c r="L2566" i="7"/>
  <c r="K2566" i="7"/>
  <c r="L2565" i="7"/>
  <c r="K2565" i="7"/>
  <c r="L2564" i="7"/>
  <c r="K2564" i="7"/>
  <c r="L2563" i="7"/>
  <c r="K2563" i="7"/>
  <c r="L2562" i="7"/>
  <c r="K2562" i="7"/>
  <c r="L2561" i="7"/>
  <c r="K2561" i="7"/>
  <c r="L2560" i="7"/>
  <c r="K2560" i="7"/>
  <c r="L2559" i="7"/>
  <c r="K2559" i="7"/>
  <c r="L2558" i="7"/>
  <c r="K2558" i="7"/>
  <c r="L2557" i="7"/>
  <c r="K2557" i="7"/>
  <c r="L2556" i="7"/>
  <c r="K2556" i="7"/>
  <c r="L2555" i="7"/>
  <c r="K2555" i="7"/>
  <c r="L2554" i="7"/>
  <c r="K2554" i="7"/>
  <c r="L2553" i="7"/>
  <c r="K2553" i="7"/>
  <c r="L2552" i="7"/>
  <c r="K2552" i="7"/>
  <c r="L2551" i="7"/>
  <c r="K2551" i="7"/>
  <c r="L2550" i="7"/>
  <c r="K2550" i="7"/>
  <c r="L2549" i="7"/>
  <c r="K2549" i="7"/>
  <c r="L2548" i="7"/>
  <c r="K2548" i="7"/>
  <c r="L2547" i="7"/>
  <c r="K2547" i="7"/>
  <c r="L2546" i="7"/>
  <c r="K2546" i="7"/>
  <c r="L2545" i="7"/>
  <c r="K2545" i="7"/>
  <c r="L2544" i="7"/>
  <c r="K2544" i="7"/>
  <c r="L2543" i="7"/>
  <c r="K2543" i="7"/>
  <c r="L2542" i="7"/>
  <c r="K2542" i="7"/>
  <c r="L2541" i="7"/>
  <c r="K2541" i="7"/>
  <c r="L2540" i="7"/>
  <c r="K2540" i="7"/>
  <c r="L2539" i="7"/>
  <c r="K2539" i="7"/>
  <c r="L2538" i="7"/>
  <c r="K2538" i="7"/>
  <c r="L2537" i="7"/>
  <c r="K2537" i="7"/>
  <c r="L2536" i="7"/>
  <c r="K2536" i="7"/>
  <c r="L2535" i="7"/>
  <c r="K2535" i="7"/>
  <c r="L2534" i="7"/>
  <c r="K2534" i="7"/>
  <c r="L2533" i="7"/>
  <c r="K2533" i="7"/>
  <c r="L2532" i="7"/>
  <c r="K2532" i="7"/>
  <c r="L2531" i="7"/>
  <c r="K2531" i="7"/>
  <c r="L2530" i="7"/>
  <c r="K2530" i="7"/>
  <c r="L2529" i="7"/>
  <c r="K2529" i="7"/>
  <c r="L2528" i="7"/>
  <c r="K2528" i="7"/>
  <c r="L2527" i="7"/>
  <c r="K2527" i="7"/>
  <c r="L2526" i="7"/>
  <c r="K2526" i="7"/>
  <c r="L2525" i="7"/>
  <c r="K2525" i="7"/>
  <c r="L2524" i="7"/>
  <c r="K2524" i="7"/>
  <c r="L2523" i="7"/>
  <c r="K2523" i="7"/>
  <c r="L2522" i="7"/>
  <c r="K2522" i="7"/>
  <c r="L2521" i="7"/>
  <c r="K2521" i="7"/>
  <c r="L2520" i="7"/>
  <c r="K2520" i="7"/>
  <c r="L2519" i="7"/>
  <c r="K2519" i="7"/>
  <c r="L2518" i="7"/>
  <c r="K2518" i="7"/>
  <c r="L2517" i="7"/>
  <c r="K2517" i="7"/>
  <c r="L2516" i="7"/>
  <c r="K2516" i="7"/>
  <c r="L2515" i="7"/>
  <c r="K2515" i="7"/>
  <c r="L2514" i="7"/>
  <c r="K2514" i="7"/>
  <c r="L2513" i="7"/>
  <c r="K2513" i="7"/>
  <c r="L2512" i="7"/>
  <c r="K2512" i="7"/>
  <c r="L2511" i="7"/>
  <c r="K2511" i="7"/>
  <c r="L2510" i="7"/>
  <c r="K2510" i="7"/>
  <c r="L2509" i="7"/>
  <c r="K2509" i="7"/>
  <c r="L2508" i="7"/>
  <c r="K2508" i="7"/>
  <c r="L2507" i="7"/>
  <c r="K2507" i="7"/>
  <c r="L2506" i="7"/>
  <c r="K2506" i="7"/>
  <c r="L2505" i="7"/>
  <c r="K2505" i="7"/>
  <c r="L2504" i="7"/>
  <c r="K2504" i="7"/>
  <c r="L2503" i="7"/>
  <c r="K2503" i="7"/>
  <c r="L2502" i="7"/>
  <c r="K2502" i="7"/>
  <c r="L2501" i="7"/>
  <c r="K2501" i="7"/>
  <c r="L2500" i="7"/>
  <c r="K2500" i="7"/>
  <c r="L2499" i="7"/>
  <c r="K2499" i="7"/>
  <c r="L2498" i="7"/>
  <c r="K2498" i="7"/>
  <c r="L2497" i="7"/>
  <c r="K2497" i="7"/>
  <c r="L2496" i="7"/>
  <c r="K2496" i="7"/>
  <c r="L2495" i="7"/>
  <c r="K2495" i="7"/>
  <c r="L2494" i="7"/>
  <c r="K2494" i="7"/>
  <c r="L2493" i="7"/>
  <c r="K2493" i="7"/>
  <c r="L2492" i="7"/>
  <c r="K2492" i="7"/>
  <c r="L2491" i="7"/>
  <c r="K2491" i="7"/>
  <c r="L2490" i="7"/>
  <c r="K2490" i="7"/>
  <c r="L2489" i="7"/>
  <c r="K2489" i="7"/>
  <c r="L2488" i="7"/>
  <c r="K2488" i="7"/>
  <c r="L2487" i="7"/>
  <c r="K2487" i="7"/>
  <c r="L2486" i="7"/>
  <c r="K2486" i="7"/>
  <c r="L2485" i="7"/>
  <c r="K2485" i="7"/>
  <c r="L2484" i="7"/>
  <c r="K2484" i="7"/>
  <c r="L2483" i="7"/>
  <c r="K2483" i="7"/>
  <c r="L2482" i="7"/>
  <c r="K2482" i="7"/>
  <c r="L2481" i="7"/>
  <c r="K2481" i="7"/>
  <c r="L2480" i="7"/>
  <c r="K2480" i="7"/>
  <c r="L2479" i="7"/>
  <c r="K2479" i="7"/>
  <c r="L2478" i="7"/>
  <c r="K2478" i="7"/>
  <c r="L2477" i="7"/>
  <c r="K2477" i="7"/>
  <c r="L2476" i="7"/>
  <c r="K2476" i="7"/>
  <c r="L2475" i="7"/>
  <c r="K2475" i="7"/>
  <c r="L2474" i="7"/>
  <c r="K2474" i="7"/>
  <c r="L2473" i="7"/>
  <c r="K2473" i="7"/>
  <c r="L2472" i="7"/>
  <c r="K2472" i="7"/>
  <c r="L2471" i="7"/>
  <c r="K2471" i="7"/>
  <c r="L2470" i="7"/>
  <c r="K2470" i="7"/>
  <c r="L2469" i="7"/>
  <c r="K2469" i="7"/>
  <c r="L2468" i="7"/>
  <c r="K2468" i="7"/>
  <c r="L2467" i="7"/>
  <c r="K2467" i="7"/>
  <c r="L2466" i="7"/>
  <c r="K2466" i="7"/>
  <c r="L2465" i="7"/>
  <c r="K2465" i="7"/>
  <c r="L2464" i="7"/>
  <c r="K2464" i="7"/>
  <c r="L2463" i="7"/>
  <c r="K2463" i="7"/>
  <c r="L2462" i="7"/>
  <c r="K2462" i="7"/>
  <c r="L2461" i="7"/>
  <c r="K2461" i="7"/>
  <c r="L2460" i="7"/>
  <c r="K2460" i="7"/>
  <c r="L2459" i="7"/>
  <c r="K2459" i="7"/>
  <c r="L2458" i="7"/>
  <c r="K2458" i="7"/>
  <c r="L2457" i="7"/>
  <c r="K2457" i="7"/>
  <c r="L2456" i="7"/>
  <c r="K2456" i="7"/>
  <c r="L2455" i="7"/>
  <c r="K2455" i="7"/>
  <c r="L2454" i="7"/>
  <c r="K2454" i="7"/>
  <c r="L2453" i="7"/>
  <c r="K2453" i="7"/>
  <c r="L2452" i="7"/>
  <c r="K2452" i="7"/>
  <c r="L2451" i="7"/>
  <c r="K2451" i="7"/>
  <c r="L2450" i="7"/>
  <c r="K2450" i="7"/>
  <c r="L2449" i="7"/>
  <c r="K2449" i="7"/>
  <c r="L2448" i="7"/>
  <c r="K2448" i="7"/>
  <c r="L2447" i="7"/>
  <c r="K2447" i="7"/>
  <c r="L2446" i="7"/>
  <c r="K2446" i="7"/>
  <c r="L2445" i="7"/>
  <c r="K2445" i="7"/>
  <c r="L2444" i="7"/>
  <c r="K2444" i="7"/>
  <c r="L2443" i="7"/>
  <c r="K2443" i="7"/>
  <c r="L2442" i="7"/>
  <c r="K2442" i="7"/>
  <c r="L2441" i="7"/>
  <c r="K2441" i="7"/>
  <c r="L2440" i="7"/>
  <c r="K2440" i="7"/>
  <c r="L2439" i="7"/>
  <c r="K2439" i="7"/>
  <c r="L2438" i="7"/>
  <c r="K2438" i="7"/>
  <c r="L2437" i="7"/>
  <c r="K2437" i="7"/>
  <c r="L2436" i="7"/>
  <c r="K2436" i="7"/>
  <c r="L2435" i="7"/>
  <c r="K2435" i="7"/>
  <c r="L2434" i="7"/>
  <c r="K2434" i="7"/>
  <c r="L2433" i="7"/>
  <c r="K2433" i="7"/>
  <c r="L2432" i="7"/>
  <c r="K2432" i="7"/>
  <c r="L2431" i="7"/>
  <c r="K2431" i="7"/>
  <c r="L2430" i="7"/>
  <c r="K2430" i="7"/>
  <c r="L2429" i="7"/>
  <c r="K2429" i="7"/>
  <c r="L2428" i="7"/>
  <c r="K2428" i="7"/>
  <c r="L2427" i="7"/>
  <c r="K2427" i="7"/>
  <c r="L2426" i="7"/>
  <c r="K2426" i="7"/>
  <c r="L2425" i="7"/>
  <c r="K2425" i="7"/>
  <c r="L2424" i="7"/>
  <c r="K2424" i="7"/>
  <c r="L2423" i="7"/>
  <c r="K2423" i="7"/>
  <c r="L2422" i="7"/>
  <c r="K2422" i="7"/>
  <c r="L2421" i="7"/>
  <c r="K2421" i="7"/>
  <c r="L2420" i="7"/>
  <c r="K2420" i="7"/>
  <c r="L2419" i="7"/>
  <c r="K2419" i="7"/>
  <c r="L2418" i="7"/>
  <c r="K2418" i="7"/>
  <c r="L2417" i="7"/>
  <c r="K2417" i="7"/>
  <c r="L2416" i="7"/>
  <c r="K2416" i="7"/>
  <c r="L2415" i="7"/>
  <c r="K2415" i="7"/>
  <c r="L2414" i="7"/>
  <c r="K2414" i="7"/>
  <c r="L2413" i="7"/>
  <c r="K2413" i="7"/>
  <c r="L2412" i="7"/>
  <c r="K2412" i="7"/>
  <c r="L2411" i="7"/>
  <c r="K2411" i="7"/>
  <c r="L2410" i="7"/>
  <c r="K2410" i="7"/>
  <c r="L2409" i="7"/>
  <c r="K2409" i="7"/>
  <c r="L2408" i="7"/>
  <c r="K2408" i="7"/>
  <c r="L2407" i="7"/>
  <c r="K2407" i="7"/>
  <c r="L2406" i="7"/>
  <c r="K2406" i="7"/>
  <c r="L2405" i="7"/>
  <c r="K2405" i="7"/>
  <c r="L2404" i="7"/>
  <c r="K2404" i="7"/>
  <c r="L2403" i="7"/>
  <c r="K2403" i="7"/>
  <c r="L2402" i="7"/>
  <c r="K2402" i="7"/>
  <c r="L2401" i="7"/>
  <c r="K2401" i="7"/>
  <c r="L2400" i="7"/>
  <c r="K2400" i="7"/>
  <c r="L2399" i="7"/>
  <c r="K2399" i="7"/>
  <c r="L2398" i="7"/>
  <c r="K2398" i="7"/>
  <c r="L2397" i="7"/>
  <c r="K2397" i="7"/>
  <c r="L2396" i="7"/>
  <c r="K2396" i="7"/>
  <c r="L2395" i="7"/>
  <c r="K2395" i="7"/>
  <c r="L2394" i="7"/>
  <c r="K2394" i="7"/>
  <c r="L2393" i="7"/>
  <c r="K2393" i="7"/>
  <c r="L2392" i="7"/>
  <c r="K2392" i="7"/>
  <c r="L2391" i="7"/>
  <c r="K2391" i="7"/>
  <c r="L2390" i="7"/>
  <c r="K2390" i="7"/>
  <c r="L2389" i="7"/>
  <c r="K2389" i="7"/>
  <c r="L2388" i="7"/>
  <c r="K2388" i="7"/>
  <c r="L2387" i="7"/>
  <c r="K2387" i="7"/>
  <c r="L2386" i="7"/>
  <c r="K2386" i="7"/>
  <c r="L2385" i="7"/>
  <c r="K2385" i="7"/>
  <c r="L2384" i="7"/>
  <c r="K2384" i="7"/>
  <c r="L2383" i="7"/>
  <c r="K2383" i="7"/>
  <c r="L2382" i="7"/>
  <c r="K2382" i="7"/>
  <c r="L2381" i="7"/>
  <c r="K2381" i="7"/>
  <c r="L2380" i="7"/>
  <c r="K2380" i="7"/>
  <c r="L2379" i="7"/>
  <c r="K2379" i="7"/>
  <c r="L2378" i="7"/>
  <c r="K2378" i="7"/>
  <c r="L2377" i="7"/>
  <c r="K2377" i="7"/>
  <c r="L2376" i="7"/>
  <c r="K2376" i="7"/>
  <c r="L2375" i="7"/>
  <c r="K2375" i="7"/>
  <c r="L2374" i="7"/>
  <c r="K2374" i="7"/>
  <c r="L2373" i="7"/>
  <c r="K2373" i="7"/>
  <c r="L2372" i="7"/>
  <c r="K2372" i="7"/>
  <c r="L2371" i="7"/>
  <c r="K2371" i="7"/>
  <c r="L2370" i="7"/>
  <c r="K2370" i="7"/>
  <c r="L2369" i="7"/>
  <c r="K2369" i="7"/>
  <c r="L2368" i="7"/>
  <c r="K2368" i="7"/>
  <c r="L2367" i="7"/>
  <c r="K2367" i="7"/>
  <c r="L2366" i="7"/>
  <c r="K2366" i="7"/>
  <c r="L2365" i="7"/>
  <c r="K2365" i="7"/>
  <c r="L2364" i="7"/>
  <c r="K2364" i="7"/>
  <c r="L2363" i="7"/>
  <c r="K2363" i="7"/>
  <c r="L2362" i="7"/>
  <c r="K2362" i="7"/>
  <c r="L2361" i="7"/>
  <c r="K2361" i="7"/>
  <c r="L2360" i="7"/>
  <c r="K2360" i="7"/>
  <c r="L2359" i="7"/>
  <c r="K2359" i="7"/>
  <c r="L2358" i="7"/>
  <c r="K2358" i="7"/>
  <c r="L2357" i="7"/>
  <c r="K2357" i="7"/>
  <c r="L2356" i="7"/>
  <c r="K2356" i="7"/>
  <c r="L2355" i="7"/>
  <c r="K2355" i="7"/>
  <c r="L2354" i="7"/>
  <c r="K2354" i="7"/>
  <c r="L2353" i="7"/>
  <c r="K2353" i="7"/>
  <c r="L2352" i="7"/>
  <c r="K2352" i="7"/>
  <c r="L2351" i="7"/>
  <c r="K2351" i="7"/>
  <c r="L2350" i="7"/>
  <c r="K2350" i="7"/>
  <c r="L2349" i="7"/>
  <c r="K2349" i="7"/>
  <c r="L2348" i="7"/>
  <c r="K2348" i="7"/>
  <c r="L2347" i="7"/>
  <c r="K2347" i="7"/>
  <c r="L2346" i="7"/>
  <c r="K2346" i="7"/>
  <c r="L2345" i="7"/>
  <c r="K2345" i="7"/>
  <c r="L2344" i="7"/>
  <c r="K2344" i="7"/>
  <c r="L2343" i="7"/>
  <c r="K2343" i="7"/>
  <c r="L2342" i="7"/>
  <c r="K2342" i="7"/>
  <c r="L2341" i="7"/>
  <c r="K2341" i="7"/>
  <c r="L2340" i="7"/>
  <c r="K2340" i="7"/>
  <c r="L2339" i="7"/>
  <c r="K2339" i="7"/>
  <c r="L2338" i="7"/>
  <c r="K2338" i="7"/>
  <c r="L2337" i="7"/>
  <c r="K2337" i="7"/>
  <c r="L2336" i="7"/>
  <c r="K2336" i="7"/>
  <c r="L2335" i="7"/>
  <c r="K2335" i="7"/>
  <c r="L2334" i="7"/>
  <c r="K2334" i="7"/>
  <c r="L2333" i="7"/>
  <c r="K2333" i="7"/>
  <c r="L2332" i="7"/>
  <c r="K2332" i="7"/>
  <c r="L2331" i="7"/>
  <c r="K2331" i="7"/>
  <c r="L2330" i="7"/>
  <c r="K2330" i="7"/>
  <c r="L2329" i="7"/>
  <c r="K2329" i="7"/>
  <c r="L2328" i="7"/>
  <c r="K2328" i="7"/>
  <c r="L2327" i="7"/>
  <c r="K2327" i="7"/>
  <c r="L2326" i="7"/>
  <c r="K2326" i="7"/>
  <c r="L2325" i="7"/>
  <c r="K2325" i="7"/>
  <c r="L2324" i="7"/>
  <c r="K2324" i="7"/>
  <c r="L2323" i="7"/>
  <c r="K2323" i="7"/>
  <c r="L2322" i="7"/>
  <c r="K2322" i="7"/>
  <c r="L2321" i="7"/>
  <c r="K2321" i="7"/>
  <c r="L2320" i="7"/>
  <c r="K2320" i="7"/>
  <c r="L2319" i="7"/>
  <c r="K2319" i="7"/>
  <c r="L2318" i="7"/>
  <c r="K2318" i="7"/>
  <c r="L2317" i="7"/>
  <c r="K2317" i="7"/>
  <c r="L2316" i="7"/>
  <c r="K2316" i="7"/>
  <c r="L2315" i="7"/>
  <c r="K2315" i="7"/>
  <c r="L2314" i="7"/>
  <c r="K2314" i="7"/>
  <c r="L2313" i="7"/>
  <c r="K2313" i="7"/>
  <c r="L2312" i="7"/>
  <c r="K2312" i="7"/>
  <c r="L2311" i="7"/>
  <c r="K2311" i="7"/>
  <c r="L2310" i="7"/>
  <c r="K2310" i="7"/>
  <c r="L2309" i="7"/>
  <c r="K2309" i="7"/>
  <c r="L2308" i="7"/>
  <c r="K2308" i="7"/>
  <c r="L2307" i="7"/>
  <c r="K2307" i="7"/>
  <c r="L2306" i="7"/>
  <c r="K2306" i="7"/>
  <c r="L2305" i="7"/>
  <c r="K2305" i="7"/>
  <c r="L2304" i="7"/>
  <c r="K2304" i="7"/>
  <c r="L2303" i="7"/>
  <c r="K2303" i="7"/>
  <c r="L2302" i="7"/>
  <c r="K2302" i="7"/>
  <c r="L2301" i="7"/>
  <c r="K2301" i="7"/>
  <c r="L2300" i="7"/>
  <c r="K2300" i="7"/>
  <c r="L2299" i="7"/>
  <c r="K2299" i="7"/>
  <c r="L2298" i="7"/>
  <c r="K2298" i="7"/>
  <c r="L2297" i="7"/>
  <c r="K2297" i="7"/>
  <c r="L2296" i="7"/>
  <c r="K2296" i="7"/>
  <c r="L2295" i="7"/>
  <c r="K2295" i="7"/>
  <c r="L2294" i="7"/>
  <c r="K2294" i="7"/>
  <c r="L2293" i="7"/>
  <c r="K2293" i="7"/>
  <c r="L2292" i="7"/>
  <c r="K2292" i="7"/>
  <c r="L2291" i="7"/>
  <c r="K2291" i="7"/>
  <c r="L2290" i="7"/>
  <c r="K2290" i="7"/>
  <c r="L2289" i="7"/>
  <c r="K2289" i="7"/>
  <c r="L2288" i="7"/>
  <c r="K2288" i="7"/>
  <c r="L2287" i="7"/>
  <c r="K2287" i="7"/>
  <c r="L2286" i="7"/>
  <c r="K2286" i="7"/>
  <c r="L2285" i="7"/>
  <c r="K2285" i="7"/>
  <c r="L2284" i="7"/>
  <c r="K2284" i="7"/>
  <c r="L2283" i="7"/>
  <c r="K2283" i="7"/>
  <c r="L2282" i="7"/>
  <c r="K2282" i="7"/>
  <c r="L2281" i="7"/>
  <c r="K2281" i="7"/>
  <c r="L2280" i="7"/>
  <c r="K2280" i="7"/>
  <c r="L2279" i="7"/>
  <c r="K2279" i="7"/>
  <c r="L2278" i="7"/>
  <c r="K2278" i="7"/>
  <c r="L2277" i="7"/>
  <c r="K2277" i="7"/>
  <c r="L2276" i="7"/>
  <c r="K2276" i="7"/>
  <c r="L2275" i="7"/>
  <c r="K2275" i="7"/>
  <c r="L2274" i="7"/>
  <c r="K2274" i="7"/>
  <c r="L2273" i="7"/>
  <c r="K2273" i="7"/>
  <c r="L2272" i="7"/>
  <c r="K2272" i="7"/>
  <c r="L2271" i="7"/>
  <c r="K2271" i="7"/>
  <c r="L2270" i="7"/>
  <c r="K2270" i="7"/>
  <c r="L2269" i="7"/>
  <c r="K2269" i="7"/>
  <c r="L2268" i="7"/>
  <c r="K2268" i="7"/>
  <c r="L2267" i="7"/>
  <c r="K2267" i="7"/>
  <c r="L2266" i="7"/>
  <c r="K2266" i="7"/>
  <c r="L2265" i="7"/>
  <c r="K2265" i="7"/>
  <c r="L2264" i="7"/>
  <c r="K2264" i="7"/>
  <c r="L2263" i="7"/>
  <c r="K2263" i="7"/>
  <c r="L2262" i="7"/>
  <c r="K2262" i="7"/>
  <c r="L2261" i="7"/>
  <c r="K2261" i="7"/>
  <c r="L2260" i="7"/>
  <c r="K2260" i="7"/>
  <c r="L2259" i="7"/>
  <c r="K2259" i="7"/>
  <c r="L2258" i="7"/>
  <c r="K2258" i="7"/>
  <c r="L2257" i="7"/>
  <c r="K2257" i="7"/>
  <c r="L2256" i="7"/>
  <c r="K2256" i="7"/>
  <c r="L2255" i="7"/>
  <c r="K2255" i="7"/>
  <c r="L2254" i="7"/>
  <c r="K2254" i="7"/>
  <c r="L2253" i="7"/>
  <c r="K2253" i="7"/>
  <c r="L2252" i="7"/>
  <c r="K2252" i="7"/>
  <c r="L2251" i="7"/>
  <c r="K2251" i="7"/>
  <c r="L2250" i="7"/>
  <c r="K2250" i="7"/>
  <c r="L2249" i="7"/>
  <c r="K2249" i="7"/>
  <c r="L2248" i="7"/>
  <c r="K2248" i="7"/>
  <c r="L2247" i="7"/>
  <c r="K2247" i="7"/>
  <c r="L2246" i="7"/>
  <c r="K2246" i="7"/>
  <c r="L2245" i="7"/>
  <c r="K2245" i="7"/>
  <c r="L2244" i="7"/>
  <c r="K2244" i="7"/>
  <c r="L2243" i="7"/>
  <c r="K2243" i="7"/>
  <c r="L2242" i="7"/>
  <c r="K2242" i="7"/>
  <c r="L2241" i="7"/>
  <c r="K2241" i="7"/>
  <c r="L2240" i="7"/>
  <c r="K2240" i="7"/>
  <c r="L2239" i="7"/>
  <c r="K2239" i="7"/>
  <c r="L2238" i="7"/>
  <c r="K2238" i="7"/>
  <c r="L2237" i="7"/>
  <c r="K2237" i="7"/>
  <c r="L2236" i="7"/>
  <c r="K2236" i="7"/>
  <c r="L2235" i="7"/>
  <c r="K2235" i="7"/>
  <c r="L2234" i="7"/>
  <c r="K2234" i="7"/>
  <c r="L2233" i="7"/>
  <c r="K2233" i="7"/>
  <c r="L2232" i="7"/>
  <c r="K2232" i="7"/>
  <c r="L2231" i="7"/>
  <c r="K2231" i="7"/>
  <c r="L2230" i="7"/>
  <c r="K2230" i="7"/>
  <c r="L2229" i="7"/>
  <c r="K2229" i="7"/>
  <c r="L2228" i="7"/>
  <c r="K2228" i="7"/>
  <c r="L2227" i="7"/>
  <c r="K2227" i="7"/>
  <c r="L2226" i="7"/>
  <c r="K2226" i="7"/>
  <c r="L2225" i="7"/>
  <c r="K2225" i="7"/>
  <c r="L2224" i="7"/>
  <c r="K2224" i="7"/>
  <c r="L2223" i="7"/>
  <c r="K2223" i="7"/>
  <c r="L2222" i="7"/>
  <c r="K2222" i="7"/>
  <c r="L2221" i="7"/>
  <c r="K2221" i="7"/>
  <c r="L2220" i="7"/>
  <c r="K2220" i="7"/>
  <c r="L2219" i="7"/>
  <c r="K2219" i="7"/>
  <c r="L2218" i="7"/>
  <c r="K2218" i="7"/>
  <c r="L2217" i="7"/>
  <c r="K2217" i="7"/>
  <c r="L2216" i="7"/>
  <c r="K2216" i="7"/>
  <c r="L2215" i="7"/>
  <c r="K2215" i="7"/>
  <c r="L2214" i="7"/>
  <c r="K2214" i="7"/>
  <c r="L2213" i="7"/>
  <c r="K2213" i="7"/>
  <c r="L2212" i="7"/>
  <c r="K2212" i="7"/>
  <c r="L2211" i="7"/>
  <c r="K2211" i="7"/>
  <c r="L2210" i="7"/>
  <c r="K2210" i="7"/>
  <c r="L2209" i="7"/>
  <c r="K2209" i="7"/>
  <c r="L2208" i="7"/>
  <c r="K2208" i="7"/>
  <c r="L2207" i="7"/>
  <c r="K2207" i="7"/>
  <c r="L2206" i="7"/>
  <c r="K2206" i="7"/>
  <c r="L2205" i="7"/>
  <c r="K2205" i="7"/>
  <c r="L2204" i="7"/>
  <c r="K2204" i="7"/>
  <c r="L2203" i="7"/>
  <c r="K2203" i="7"/>
  <c r="L2202" i="7"/>
  <c r="K2202" i="7"/>
  <c r="L2201" i="7"/>
  <c r="K2201" i="7"/>
  <c r="L2200" i="7"/>
  <c r="K2200" i="7"/>
  <c r="L2199" i="7"/>
  <c r="K2199" i="7"/>
  <c r="L2198" i="7"/>
  <c r="K2198" i="7"/>
  <c r="L2197" i="7"/>
  <c r="K2197" i="7"/>
  <c r="L2196" i="7"/>
  <c r="K2196" i="7"/>
  <c r="L2195" i="7"/>
  <c r="K2195" i="7"/>
  <c r="L2194" i="7"/>
  <c r="K2194" i="7"/>
  <c r="L2193" i="7"/>
  <c r="K2193" i="7"/>
  <c r="L2192" i="7"/>
  <c r="K2192" i="7"/>
  <c r="L2191" i="7"/>
  <c r="K2191" i="7"/>
  <c r="L2190" i="7"/>
  <c r="K2190" i="7"/>
  <c r="L2189" i="7"/>
  <c r="K2189" i="7"/>
  <c r="L2188" i="7"/>
  <c r="K2188" i="7"/>
  <c r="L2187" i="7"/>
  <c r="K2187" i="7"/>
  <c r="L2186" i="7"/>
  <c r="K2186" i="7"/>
  <c r="L2185" i="7"/>
  <c r="K2185" i="7"/>
  <c r="L2184" i="7"/>
  <c r="K2184" i="7"/>
  <c r="L2183" i="7"/>
  <c r="K2183" i="7"/>
  <c r="L2182" i="7"/>
  <c r="K2182" i="7"/>
  <c r="L2181" i="7"/>
  <c r="K2181" i="7"/>
  <c r="L2180" i="7"/>
  <c r="K2180" i="7"/>
  <c r="L2179" i="7"/>
  <c r="K2179" i="7"/>
  <c r="L2178" i="7"/>
  <c r="K2178" i="7"/>
  <c r="L2177" i="7"/>
  <c r="K2177" i="7"/>
  <c r="L2176" i="7"/>
  <c r="K2176" i="7"/>
  <c r="L2175" i="7"/>
  <c r="K2175" i="7"/>
  <c r="L2174" i="7"/>
  <c r="K2174" i="7"/>
  <c r="L2173" i="7"/>
  <c r="K2173" i="7"/>
  <c r="L2172" i="7"/>
  <c r="K2172" i="7"/>
  <c r="L2171" i="7"/>
  <c r="K2171" i="7"/>
  <c r="L2170" i="7"/>
  <c r="K2170" i="7"/>
  <c r="L2169" i="7"/>
  <c r="K2169" i="7"/>
  <c r="L2168" i="7"/>
  <c r="K2168" i="7"/>
  <c r="L2167" i="7"/>
  <c r="K2167" i="7"/>
  <c r="L2166" i="7"/>
  <c r="K2166" i="7"/>
  <c r="L2165" i="7"/>
  <c r="K2165" i="7"/>
  <c r="L2164" i="7"/>
  <c r="K2164" i="7"/>
  <c r="L2163" i="7"/>
  <c r="K2163" i="7"/>
  <c r="L2162" i="7"/>
  <c r="K2162" i="7"/>
  <c r="L2161" i="7"/>
  <c r="K2161" i="7"/>
  <c r="L2160" i="7"/>
  <c r="K2160" i="7"/>
  <c r="L2159" i="7"/>
  <c r="K2159" i="7"/>
  <c r="L2158" i="7"/>
  <c r="K2158" i="7"/>
  <c r="L2157" i="7"/>
  <c r="K2157" i="7"/>
  <c r="L2156" i="7"/>
  <c r="K2156" i="7"/>
  <c r="L2155" i="7"/>
  <c r="K2155" i="7"/>
  <c r="L2154" i="7"/>
  <c r="K2154" i="7"/>
  <c r="L2153" i="7"/>
  <c r="K2153" i="7"/>
  <c r="L2152" i="7"/>
  <c r="K2152" i="7"/>
  <c r="L2151" i="7"/>
  <c r="K2151" i="7"/>
  <c r="L2150" i="7"/>
  <c r="K2150" i="7"/>
  <c r="L2149" i="7"/>
  <c r="K2149" i="7"/>
  <c r="L2148" i="7"/>
  <c r="K2148" i="7"/>
  <c r="L2147" i="7"/>
  <c r="K2147" i="7"/>
  <c r="L2146" i="7"/>
  <c r="K2146" i="7"/>
  <c r="L2145" i="7"/>
  <c r="K2145" i="7"/>
  <c r="L2144" i="7"/>
  <c r="K2144" i="7"/>
  <c r="L2143" i="7"/>
  <c r="K2143" i="7"/>
  <c r="L2142" i="7"/>
  <c r="K2142" i="7"/>
  <c r="L2141" i="7"/>
  <c r="K2141" i="7"/>
  <c r="L2140" i="7"/>
  <c r="K2140" i="7"/>
  <c r="L2139" i="7"/>
  <c r="K2139" i="7"/>
  <c r="L2138" i="7"/>
  <c r="K2138" i="7"/>
  <c r="L2137" i="7"/>
  <c r="K2137" i="7"/>
  <c r="L2136" i="7"/>
  <c r="K2136" i="7"/>
  <c r="L2135" i="7"/>
  <c r="K2135" i="7"/>
  <c r="L2134" i="7"/>
  <c r="K2134" i="7"/>
  <c r="L2133" i="7"/>
  <c r="K2133" i="7"/>
  <c r="L2132" i="7"/>
  <c r="K2132" i="7"/>
  <c r="L2131" i="7"/>
  <c r="K2131" i="7"/>
  <c r="L2130" i="7"/>
  <c r="K2130" i="7"/>
  <c r="L2129" i="7"/>
  <c r="K2129" i="7"/>
  <c r="L2128" i="7"/>
  <c r="K2128" i="7"/>
  <c r="L2127" i="7"/>
  <c r="K2127" i="7"/>
  <c r="L2126" i="7"/>
  <c r="K2126" i="7"/>
  <c r="L2125" i="7"/>
  <c r="K2125" i="7"/>
  <c r="L2124" i="7"/>
  <c r="K2124" i="7"/>
  <c r="L2123" i="7"/>
  <c r="K2123" i="7"/>
  <c r="L2122" i="7"/>
  <c r="K2122" i="7"/>
  <c r="L2121" i="7"/>
  <c r="K2121" i="7"/>
  <c r="L2120" i="7"/>
  <c r="K2120" i="7"/>
  <c r="L2119" i="7"/>
  <c r="K2119" i="7"/>
  <c r="L2118" i="7"/>
  <c r="K2118" i="7"/>
  <c r="L2117" i="7"/>
  <c r="K2117" i="7"/>
  <c r="L2116" i="7"/>
  <c r="K2116" i="7"/>
  <c r="L2115" i="7"/>
  <c r="K2115" i="7"/>
  <c r="L2114" i="7"/>
  <c r="K2114" i="7"/>
  <c r="L2113" i="7"/>
  <c r="K2113" i="7"/>
  <c r="L2112" i="7"/>
  <c r="K2112" i="7"/>
  <c r="L2111" i="7"/>
  <c r="K2111" i="7"/>
  <c r="L2110" i="7"/>
  <c r="K2110" i="7"/>
  <c r="L2109" i="7"/>
  <c r="K2109" i="7"/>
  <c r="L2108" i="7"/>
  <c r="K2108" i="7"/>
  <c r="L2107" i="7"/>
  <c r="K2107" i="7"/>
  <c r="L2106" i="7"/>
  <c r="K2106" i="7"/>
  <c r="L2105" i="7"/>
  <c r="K2105" i="7"/>
  <c r="L2104" i="7"/>
  <c r="K2104" i="7"/>
  <c r="L2103" i="7"/>
  <c r="K2103" i="7"/>
  <c r="L2102" i="7"/>
  <c r="K2102" i="7"/>
  <c r="L2101" i="7"/>
  <c r="K2101" i="7"/>
  <c r="L2100" i="7"/>
  <c r="K2100" i="7"/>
  <c r="L2099" i="7"/>
  <c r="K2099" i="7"/>
  <c r="L2098" i="7"/>
  <c r="K2098" i="7"/>
  <c r="L2097" i="7"/>
  <c r="K2097" i="7"/>
  <c r="L2096" i="7"/>
  <c r="K2096" i="7"/>
  <c r="L2095" i="7"/>
  <c r="K2095" i="7"/>
  <c r="L2094" i="7"/>
  <c r="K2094" i="7"/>
  <c r="L2093" i="7"/>
  <c r="K2093" i="7"/>
  <c r="L2092" i="7"/>
  <c r="K2092" i="7"/>
  <c r="L2091" i="7"/>
  <c r="K2091" i="7"/>
  <c r="L2090" i="7"/>
  <c r="K2090" i="7"/>
  <c r="L2089" i="7"/>
  <c r="K2089" i="7"/>
  <c r="L2088" i="7"/>
  <c r="K2088" i="7"/>
  <c r="L2087" i="7"/>
  <c r="K2087" i="7"/>
  <c r="L2086" i="7"/>
  <c r="K2086" i="7"/>
  <c r="L2085" i="7"/>
  <c r="K2085" i="7"/>
  <c r="L2084" i="7"/>
  <c r="K2084" i="7"/>
  <c r="L2083" i="7"/>
  <c r="K2083" i="7"/>
  <c r="L2082" i="7"/>
  <c r="K2082" i="7"/>
  <c r="L2081" i="7"/>
  <c r="K2081" i="7"/>
  <c r="L2080" i="7"/>
  <c r="K2080" i="7"/>
  <c r="L2079" i="7"/>
  <c r="K2079" i="7"/>
  <c r="L2078" i="7"/>
  <c r="K2078" i="7"/>
  <c r="L2077" i="7"/>
  <c r="K2077" i="7"/>
  <c r="L2076" i="7"/>
  <c r="K2076" i="7"/>
  <c r="L2075" i="7"/>
  <c r="K2075" i="7"/>
  <c r="L2074" i="7"/>
  <c r="K2074" i="7"/>
  <c r="L2073" i="7"/>
  <c r="K2073" i="7"/>
  <c r="L2072" i="7"/>
  <c r="K2072" i="7"/>
  <c r="L2071" i="7"/>
  <c r="K2071" i="7"/>
  <c r="L2070" i="7"/>
  <c r="K2070" i="7"/>
  <c r="L2069" i="7"/>
  <c r="K2069" i="7"/>
  <c r="L2068" i="7"/>
  <c r="K2068" i="7"/>
  <c r="L2067" i="7"/>
  <c r="K2067" i="7"/>
  <c r="L2066" i="7"/>
  <c r="K2066" i="7"/>
  <c r="L2065" i="7"/>
  <c r="K2065" i="7"/>
  <c r="L2064" i="7"/>
  <c r="K2064" i="7"/>
  <c r="L2063" i="7"/>
  <c r="K2063" i="7"/>
  <c r="L2062" i="7"/>
  <c r="K2062" i="7"/>
  <c r="L2061" i="7"/>
  <c r="K2061" i="7"/>
  <c r="L2060" i="7"/>
  <c r="K2060" i="7"/>
  <c r="L2059" i="7"/>
  <c r="K2059" i="7"/>
  <c r="L2058" i="7"/>
  <c r="K2058" i="7"/>
  <c r="L2057" i="7"/>
  <c r="K2057" i="7"/>
  <c r="L2056" i="7"/>
  <c r="K2056" i="7"/>
  <c r="L2055" i="7"/>
  <c r="K2055" i="7"/>
  <c r="L2054" i="7"/>
  <c r="K2054" i="7"/>
  <c r="L2053" i="7"/>
  <c r="K2053" i="7"/>
  <c r="L2052" i="7"/>
  <c r="K2052" i="7"/>
  <c r="L2051" i="7"/>
  <c r="K2051" i="7"/>
  <c r="L2050" i="7"/>
  <c r="K2050" i="7"/>
  <c r="L2049" i="7"/>
  <c r="K2049" i="7"/>
  <c r="L2048" i="7"/>
  <c r="K2048" i="7"/>
  <c r="L2047" i="7"/>
  <c r="K2047" i="7"/>
  <c r="L2046" i="7"/>
  <c r="K2046" i="7"/>
  <c r="L2045" i="7"/>
  <c r="K2045" i="7"/>
  <c r="L2044" i="7"/>
  <c r="K2044" i="7"/>
  <c r="L2043" i="7"/>
  <c r="K2043" i="7"/>
  <c r="L2042" i="7"/>
  <c r="K2042" i="7"/>
  <c r="L2041" i="7"/>
  <c r="K2041" i="7"/>
  <c r="L2040" i="7"/>
  <c r="K2040" i="7"/>
  <c r="L2039" i="7"/>
  <c r="K2039" i="7"/>
  <c r="L2038" i="7"/>
  <c r="K2038" i="7"/>
  <c r="L2037" i="7"/>
  <c r="K2037" i="7"/>
  <c r="L2036" i="7"/>
  <c r="K2036" i="7"/>
  <c r="L2035" i="7"/>
  <c r="K2035" i="7"/>
  <c r="L2034" i="7"/>
  <c r="K2034" i="7"/>
  <c r="L2033" i="7"/>
  <c r="K2033" i="7"/>
  <c r="L2032" i="7"/>
  <c r="K2032" i="7"/>
  <c r="L2031" i="7"/>
  <c r="K2031" i="7"/>
  <c r="L2030" i="7"/>
  <c r="K2030" i="7"/>
  <c r="L2029" i="7"/>
  <c r="K2029" i="7"/>
  <c r="L2028" i="7"/>
  <c r="K2028" i="7"/>
  <c r="L2027" i="7"/>
  <c r="K2027" i="7"/>
  <c r="L2026" i="7"/>
  <c r="K2026" i="7"/>
  <c r="L2025" i="7"/>
  <c r="K2025" i="7"/>
  <c r="L2024" i="7"/>
  <c r="K2024" i="7"/>
  <c r="L2023" i="7"/>
  <c r="K2023" i="7"/>
  <c r="L2022" i="7"/>
  <c r="K2022" i="7"/>
  <c r="L2021" i="7"/>
  <c r="K2021" i="7"/>
  <c r="L2020" i="7"/>
  <c r="K2020" i="7"/>
  <c r="L2019" i="7"/>
  <c r="K2019" i="7"/>
  <c r="L2018" i="7"/>
  <c r="K2018" i="7"/>
  <c r="L2017" i="7"/>
  <c r="K2017" i="7"/>
  <c r="L2016" i="7"/>
  <c r="K2016" i="7"/>
  <c r="L2015" i="7"/>
  <c r="K2015" i="7"/>
  <c r="L2014" i="7"/>
  <c r="K2014" i="7"/>
  <c r="L2013" i="7"/>
  <c r="K2013" i="7"/>
  <c r="L2012" i="7"/>
  <c r="K2012" i="7"/>
  <c r="L2011" i="7"/>
  <c r="K2011" i="7"/>
  <c r="L2010" i="7"/>
  <c r="K2010" i="7"/>
  <c r="L2009" i="7"/>
  <c r="K2009" i="7"/>
  <c r="L2008" i="7"/>
  <c r="K2008" i="7"/>
  <c r="L2007" i="7"/>
  <c r="K2007" i="7"/>
  <c r="L2006" i="7"/>
  <c r="K2006" i="7"/>
  <c r="L2005" i="7"/>
  <c r="K2005" i="7"/>
  <c r="L2004" i="7"/>
  <c r="K2004" i="7"/>
  <c r="L2003" i="7"/>
  <c r="K2003" i="7"/>
  <c r="L2002" i="7"/>
  <c r="K2002" i="7"/>
  <c r="L2001" i="7"/>
  <c r="K2001" i="7"/>
  <c r="L2000" i="7"/>
  <c r="K2000" i="7"/>
  <c r="L1999" i="7"/>
  <c r="K1999" i="7"/>
  <c r="L1998" i="7"/>
  <c r="K1998" i="7"/>
  <c r="L1997" i="7"/>
  <c r="K1997" i="7"/>
  <c r="L1996" i="7"/>
  <c r="K1996" i="7"/>
  <c r="L1995" i="7"/>
  <c r="K1995" i="7"/>
  <c r="L1994" i="7"/>
  <c r="K1994" i="7"/>
  <c r="L1993" i="7"/>
  <c r="K1993" i="7"/>
  <c r="L1992" i="7"/>
  <c r="K1992" i="7"/>
  <c r="L1991" i="7"/>
  <c r="K1991" i="7"/>
  <c r="L1990" i="7"/>
  <c r="K1990" i="7"/>
  <c r="L1989" i="7"/>
  <c r="K1989" i="7"/>
  <c r="L1988" i="7"/>
  <c r="K1988" i="7"/>
  <c r="L1987" i="7"/>
  <c r="K1987" i="7"/>
  <c r="L1986" i="7"/>
  <c r="K1986" i="7"/>
  <c r="L1985" i="7"/>
  <c r="K1985" i="7"/>
  <c r="L1984" i="7"/>
  <c r="K1984" i="7"/>
  <c r="L1983" i="7"/>
  <c r="K1983" i="7"/>
  <c r="L1982" i="7"/>
  <c r="K1982" i="7"/>
  <c r="L1981" i="7"/>
  <c r="K1981" i="7"/>
  <c r="L1980" i="7"/>
  <c r="K1980" i="7"/>
  <c r="L1979" i="7"/>
  <c r="K1979" i="7"/>
  <c r="L1978" i="7"/>
  <c r="K1978" i="7"/>
  <c r="L1977" i="7"/>
  <c r="K1977" i="7"/>
  <c r="L1976" i="7"/>
  <c r="K1976" i="7"/>
  <c r="L1975" i="7"/>
  <c r="K1975" i="7"/>
  <c r="L1974" i="7"/>
  <c r="K1974" i="7"/>
  <c r="L1973" i="7"/>
  <c r="K1973" i="7"/>
  <c r="L1972" i="7"/>
  <c r="K1972" i="7"/>
  <c r="L1971" i="7"/>
  <c r="K1971" i="7"/>
  <c r="L1970" i="7"/>
  <c r="K1970" i="7"/>
  <c r="L1969" i="7"/>
  <c r="K1969" i="7"/>
  <c r="L1968" i="7"/>
  <c r="K1968" i="7"/>
  <c r="L1967" i="7"/>
  <c r="K1967" i="7"/>
  <c r="L1966" i="7"/>
  <c r="K1966" i="7"/>
  <c r="L1965" i="7"/>
  <c r="K1965" i="7"/>
  <c r="L1964" i="7"/>
  <c r="K1964" i="7"/>
  <c r="L1963" i="7"/>
  <c r="K1963" i="7"/>
  <c r="L1962" i="7"/>
  <c r="K1962" i="7"/>
  <c r="L1961" i="7"/>
  <c r="K1961" i="7"/>
  <c r="L1960" i="7"/>
  <c r="K1960" i="7"/>
  <c r="L1959" i="7"/>
  <c r="K1959" i="7"/>
  <c r="L1958" i="7"/>
  <c r="K1958" i="7"/>
  <c r="L1957" i="7"/>
  <c r="K1957" i="7"/>
  <c r="L1956" i="7"/>
  <c r="K1956" i="7"/>
  <c r="L1955" i="7"/>
  <c r="K1955" i="7"/>
  <c r="L1954" i="7"/>
  <c r="K1954" i="7"/>
  <c r="L1953" i="7"/>
  <c r="K1953" i="7"/>
  <c r="L1952" i="7"/>
  <c r="K1952" i="7"/>
  <c r="L1951" i="7"/>
  <c r="K1951" i="7"/>
  <c r="L1950" i="7"/>
  <c r="K1950" i="7"/>
  <c r="L1949" i="7"/>
  <c r="K1949" i="7"/>
  <c r="L1948" i="7"/>
  <c r="K1948" i="7"/>
  <c r="L1947" i="7"/>
  <c r="K1947" i="7"/>
  <c r="L1946" i="7"/>
  <c r="K1946" i="7"/>
  <c r="L1945" i="7"/>
  <c r="K1945" i="7"/>
  <c r="L1944" i="7"/>
  <c r="K1944" i="7"/>
  <c r="L1943" i="7"/>
  <c r="K1943" i="7"/>
  <c r="L1942" i="7"/>
  <c r="K1942" i="7"/>
  <c r="L1941" i="7"/>
  <c r="K1941" i="7"/>
  <c r="L1940" i="7"/>
  <c r="K1940" i="7"/>
  <c r="L1939" i="7"/>
  <c r="K1939" i="7"/>
  <c r="L1938" i="7"/>
  <c r="K1938" i="7"/>
  <c r="L1937" i="7"/>
  <c r="K1937" i="7"/>
  <c r="L1936" i="7"/>
  <c r="K1936" i="7"/>
  <c r="L1935" i="7"/>
  <c r="K1935" i="7"/>
  <c r="L1934" i="7"/>
  <c r="K1934" i="7"/>
  <c r="L1933" i="7"/>
  <c r="K1933" i="7"/>
  <c r="L1932" i="7"/>
  <c r="K1932" i="7"/>
  <c r="L1931" i="7"/>
  <c r="K1931" i="7"/>
  <c r="L1930" i="7"/>
  <c r="K1930" i="7"/>
  <c r="L1929" i="7"/>
  <c r="K1929" i="7"/>
  <c r="L1928" i="7"/>
  <c r="K1928" i="7"/>
  <c r="L1927" i="7"/>
  <c r="K1927" i="7"/>
  <c r="L1926" i="7"/>
  <c r="K1926" i="7"/>
  <c r="L1925" i="7"/>
  <c r="K1925" i="7"/>
  <c r="L1924" i="7"/>
  <c r="K1924" i="7"/>
  <c r="L1923" i="7"/>
  <c r="K1923" i="7"/>
  <c r="L1922" i="7"/>
  <c r="K1922" i="7"/>
  <c r="L1921" i="7"/>
  <c r="K1921" i="7"/>
  <c r="L1920" i="7"/>
  <c r="K1920" i="7"/>
  <c r="L1919" i="7"/>
  <c r="K1919" i="7"/>
  <c r="L1918" i="7"/>
  <c r="K1918" i="7"/>
  <c r="L1917" i="7"/>
  <c r="K1917" i="7"/>
  <c r="L1916" i="7"/>
  <c r="K1916" i="7"/>
  <c r="L1915" i="7"/>
  <c r="K1915" i="7"/>
  <c r="L1914" i="7"/>
  <c r="K1914" i="7"/>
  <c r="L1913" i="7"/>
  <c r="K1913" i="7"/>
  <c r="L1912" i="7"/>
  <c r="K1912" i="7"/>
  <c r="L1911" i="7"/>
  <c r="K1911" i="7"/>
  <c r="L1910" i="7"/>
  <c r="K1910" i="7"/>
  <c r="L1909" i="7"/>
  <c r="K1909" i="7"/>
  <c r="L1908" i="7"/>
  <c r="K1908" i="7"/>
  <c r="L1907" i="7"/>
  <c r="K1907" i="7"/>
  <c r="L1906" i="7"/>
  <c r="K1906" i="7"/>
  <c r="L1905" i="7"/>
  <c r="K1905" i="7"/>
  <c r="L1904" i="7"/>
  <c r="K1904" i="7"/>
  <c r="L1903" i="7"/>
  <c r="K1903" i="7"/>
  <c r="L1902" i="7"/>
  <c r="K1902" i="7"/>
  <c r="L1901" i="7"/>
  <c r="K1901" i="7"/>
  <c r="L1900" i="7"/>
  <c r="K1900" i="7"/>
  <c r="L1899" i="7"/>
  <c r="K1899" i="7"/>
  <c r="L1898" i="7"/>
  <c r="K1898" i="7"/>
  <c r="L1897" i="7"/>
  <c r="K1897" i="7"/>
  <c r="L1896" i="7"/>
  <c r="K1896" i="7"/>
  <c r="L1895" i="7"/>
  <c r="K1895" i="7"/>
  <c r="L1894" i="7"/>
  <c r="K1894" i="7"/>
  <c r="L1893" i="7"/>
  <c r="K1893" i="7"/>
  <c r="L1892" i="7"/>
  <c r="K1892" i="7"/>
  <c r="L1891" i="7"/>
  <c r="K1891" i="7"/>
  <c r="L1890" i="7"/>
  <c r="K1890" i="7"/>
  <c r="L1889" i="7"/>
  <c r="K1889" i="7"/>
  <c r="L1888" i="7"/>
  <c r="K1888" i="7"/>
  <c r="L1887" i="7"/>
  <c r="K1887" i="7"/>
  <c r="L1886" i="7"/>
  <c r="K1886" i="7"/>
  <c r="L1885" i="7"/>
  <c r="K1885" i="7"/>
  <c r="L1884" i="7"/>
  <c r="K1884" i="7"/>
  <c r="L1883" i="7"/>
  <c r="K1883" i="7"/>
  <c r="L1882" i="7"/>
  <c r="K1882" i="7"/>
  <c r="L1881" i="7"/>
  <c r="K1881" i="7"/>
  <c r="L1880" i="7"/>
  <c r="K1880" i="7"/>
  <c r="L1879" i="7"/>
  <c r="K1879" i="7"/>
  <c r="L1878" i="7"/>
  <c r="K1878" i="7"/>
  <c r="L1877" i="7"/>
  <c r="K1877" i="7"/>
  <c r="L1876" i="7"/>
  <c r="K1876" i="7"/>
  <c r="L1875" i="7"/>
  <c r="K1875" i="7"/>
  <c r="L1874" i="7"/>
  <c r="K1874" i="7"/>
  <c r="L1873" i="7"/>
  <c r="K1873" i="7"/>
  <c r="L1872" i="7"/>
  <c r="K1872" i="7"/>
  <c r="L1871" i="7"/>
  <c r="K1871" i="7"/>
  <c r="L1870" i="7"/>
  <c r="K1870" i="7"/>
  <c r="L1869" i="7"/>
  <c r="K1869" i="7"/>
  <c r="L1868" i="7"/>
  <c r="K1868" i="7"/>
  <c r="L1867" i="7"/>
  <c r="K1867" i="7"/>
  <c r="L1866" i="7"/>
  <c r="K1866" i="7"/>
  <c r="L1865" i="7"/>
  <c r="K1865" i="7"/>
  <c r="L1864" i="7"/>
  <c r="K1864" i="7"/>
  <c r="L1863" i="7"/>
  <c r="K1863" i="7"/>
  <c r="L1862" i="7"/>
  <c r="K1862" i="7"/>
  <c r="L1861" i="7"/>
  <c r="K1861" i="7"/>
  <c r="L1860" i="7"/>
  <c r="K1860" i="7"/>
  <c r="L1859" i="7"/>
  <c r="K1859" i="7"/>
  <c r="L1858" i="7"/>
  <c r="K1858" i="7"/>
  <c r="L1857" i="7"/>
  <c r="K1857" i="7"/>
  <c r="L1856" i="7"/>
  <c r="K1856" i="7"/>
  <c r="L1855" i="7"/>
  <c r="K1855" i="7"/>
  <c r="L1854" i="7"/>
  <c r="K1854" i="7"/>
  <c r="L1853" i="7"/>
  <c r="K1853" i="7"/>
  <c r="L1852" i="7"/>
  <c r="K1852" i="7"/>
  <c r="L1851" i="7"/>
  <c r="K1851" i="7"/>
  <c r="L1850" i="7"/>
  <c r="K1850" i="7"/>
  <c r="L1849" i="7"/>
  <c r="K1849" i="7"/>
  <c r="L1848" i="7"/>
  <c r="K1848" i="7"/>
  <c r="L1847" i="7"/>
  <c r="K1847" i="7"/>
  <c r="L1846" i="7"/>
  <c r="K1846" i="7"/>
  <c r="L1845" i="7"/>
  <c r="K1845" i="7"/>
  <c r="L1844" i="7"/>
  <c r="K1844" i="7"/>
  <c r="L1843" i="7"/>
  <c r="K1843" i="7"/>
  <c r="L1842" i="7"/>
  <c r="K1842" i="7"/>
  <c r="L1841" i="7"/>
  <c r="K1841" i="7"/>
  <c r="L1840" i="7"/>
  <c r="K1840" i="7"/>
  <c r="L1839" i="7"/>
  <c r="K1839" i="7"/>
  <c r="L1838" i="7"/>
  <c r="K1838" i="7"/>
  <c r="L1837" i="7"/>
  <c r="K1837" i="7"/>
  <c r="L1836" i="7"/>
  <c r="K1836" i="7"/>
  <c r="L1835" i="7"/>
  <c r="K1835" i="7"/>
  <c r="L1834" i="7"/>
  <c r="K1834" i="7"/>
  <c r="L1833" i="7"/>
  <c r="K1833" i="7"/>
  <c r="L1832" i="7"/>
  <c r="K1832" i="7"/>
  <c r="L1831" i="7"/>
  <c r="K1831" i="7"/>
  <c r="L1830" i="7"/>
  <c r="K1830" i="7"/>
  <c r="L1829" i="7"/>
  <c r="K1829" i="7"/>
  <c r="L1828" i="7"/>
  <c r="K1828" i="7"/>
  <c r="L1827" i="7"/>
  <c r="K1827" i="7"/>
  <c r="L1826" i="7"/>
  <c r="K1826" i="7"/>
  <c r="L1825" i="7"/>
  <c r="K1825" i="7"/>
  <c r="L1824" i="7"/>
  <c r="K1824" i="7"/>
  <c r="L1823" i="7"/>
  <c r="K1823" i="7"/>
  <c r="L1822" i="7"/>
  <c r="K1822" i="7"/>
  <c r="L1821" i="7"/>
  <c r="K1821" i="7"/>
  <c r="L1820" i="7"/>
  <c r="K1820" i="7"/>
  <c r="L1819" i="7"/>
  <c r="K1819" i="7"/>
  <c r="L1818" i="7"/>
  <c r="K1818" i="7"/>
  <c r="L1817" i="7"/>
  <c r="K1817" i="7"/>
  <c r="L1816" i="7"/>
  <c r="K1816" i="7"/>
  <c r="L1815" i="7"/>
  <c r="K1815" i="7"/>
  <c r="L1814" i="7"/>
  <c r="K1814" i="7"/>
  <c r="L1813" i="7"/>
  <c r="K1813" i="7"/>
  <c r="L1812" i="7"/>
  <c r="K1812" i="7"/>
  <c r="L1811" i="7"/>
  <c r="K1811" i="7"/>
  <c r="L1810" i="7"/>
  <c r="K1810" i="7"/>
  <c r="L1809" i="7"/>
  <c r="K1809" i="7"/>
  <c r="L1808" i="7"/>
  <c r="K1808" i="7"/>
  <c r="L1807" i="7"/>
  <c r="K1807" i="7"/>
  <c r="L1806" i="7"/>
  <c r="K1806" i="7"/>
  <c r="L1805" i="7"/>
  <c r="K1805" i="7"/>
  <c r="L1804" i="7"/>
  <c r="K1804" i="7"/>
  <c r="L1803" i="7"/>
  <c r="K1803" i="7"/>
  <c r="L1802" i="7"/>
  <c r="K1802" i="7"/>
  <c r="L1801" i="7"/>
  <c r="K1801" i="7"/>
  <c r="L1800" i="7"/>
  <c r="K1800" i="7"/>
  <c r="L1799" i="7"/>
  <c r="K1799" i="7"/>
  <c r="L1798" i="7"/>
  <c r="K1798" i="7"/>
  <c r="L1797" i="7"/>
  <c r="K1797" i="7"/>
  <c r="L1796" i="7"/>
  <c r="K1796" i="7"/>
  <c r="L1795" i="7"/>
  <c r="K1795" i="7"/>
  <c r="L1794" i="7"/>
  <c r="K1794" i="7"/>
  <c r="L1793" i="7"/>
  <c r="K1793" i="7"/>
  <c r="L1792" i="7"/>
  <c r="K1792" i="7"/>
  <c r="L1791" i="7"/>
  <c r="K1791" i="7"/>
  <c r="L1790" i="7"/>
  <c r="K1790" i="7"/>
  <c r="L1789" i="7"/>
  <c r="K1789" i="7"/>
  <c r="L1788" i="7"/>
  <c r="K1788" i="7"/>
  <c r="L1787" i="7"/>
  <c r="K1787" i="7"/>
  <c r="L1786" i="7"/>
  <c r="K1786" i="7"/>
  <c r="L1785" i="7"/>
  <c r="K1785" i="7"/>
  <c r="L1784" i="7"/>
  <c r="K1784" i="7"/>
  <c r="L1783" i="7"/>
  <c r="K1783" i="7"/>
  <c r="L1782" i="7"/>
  <c r="K1782" i="7"/>
  <c r="L1781" i="7"/>
  <c r="K1781" i="7"/>
  <c r="L1780" i="7"/>
  <c r="K1780" i="7"/>
  <c r="L1779" i="7"/>
  <c r="K1779" i="7"/>
  <c r="L1778" i="7"/>
  <c r="K1778" i="7"/>
  <c r="L1777" i="7"/>
  <c r="K1777" i="7"/>
  <c r="L1776" i="7"/>
  <c r="K1776" i="7"/>
  <c r="L1775" i="7"/>
  <c r="K1775" i="7"/>
  <c r="L1774" i="7"/>
  <c r="K1774" i="7"/>
  <c r="L1773" i="7"/>
  <c r="K1773" i="7"/>
  <c r="L1772" i="7"/>
  <c r="K1772" i="7"/>
  <c r="L1771" i="7"/>
  <c r="K1771" i="7"/>
  <c r="L1770" i="7"/>
  <c r="K1770" i="7"/>
  <c r="L1769" i="7"/>
  <c r="K1769" i="7"/>
  <c r="L1768" i="7"/>
  <c r="K1768" i="7"/>
  <c r="L1767" i="7"/>
  <c r="K1767" i="7"/>
  <c r="L1766" i="7"/>
  <c r="K1766" i="7"/>
  <c r="L1765" i="7"/>
  <c r="K1765" i="7"/>
  <c r="L1764" i="7"/>
  <c r="K1764" i="7"/>
  <c r="L1763" i="7"/>
  <c r="K1763" i="7"/>
  <c r="L1762" i="7"/>
  <c r="K1762" i="7"/>
  <c r="L1761" i="7"/>
  <c r="K1761" i="7"/>
  <c r="L1760" i="7"/>
  <c r="K1760" i="7"/>
  <c r="L1759" i="7"/>
  <c r="K1759" i="7"/>
  <c r="L1758" i="7"/>
  <c r="K1758" i="7"/>
  <c r="L1757" i="7"/>
  <c r="K1757" i="7"/>
  <c r="L1756" i="7"/>
  <c r="K1756" i="7"/>
  <c r="L1755" i="7"/>
  <c r="K1755" i="7"/>
  <c r="L1754" i="7"/>
  <c r="K1754" i="7"/>
  <c r="L1753" i="7"/>
  <c r="K1753" i="7"/>
  <c r="L1752" i="7"/>
  <c r="K1752" i="7"/>
  <c r="L1751" i="7"/>
  <c r="K1751" i="7"/>
  <c r="L1750" i="7"/>
  <c r="K1750" i="7"/>
  <c r="L1749" i="7"/>
  <c r="K1749" i="7"/>
  <c r="L1748" i="7"/>
  <c r="K1748" i="7"/>
  <c r="L1747" i="7"/>
  <c r="K1747" i="7"/>
  <c r="L1746" i="7"/>
  <c r="K1746" i="7"/>
  <c r="L1745" i="7"/>
  <c r="K1745" i="7"/>
  <c r="L1744" i="7"/>
  <c r="K1744" i="7"/>
  <c r="L1743" i="7"/>
  <c r="K1743" i="7"/>
  <c r="L1742" i="7"/>
  <c r="K1742" i="7"/>
  <c r="L1741" i="7"/>
  <c r="K1741" i="7"/>
  <c r="L1740" i="7"/>
  <c r="K1740" i="7"/>
  <c r="L1739" i="7"/>
  <c r="K1739" i="7"/>
  <c r="L1738" i="7"/>
  <c r="K1738" i="7"/>
  <c r="L1737" i="7"/>
  <c r="K1737" i="7"/>
  <c r="L1736" i="7"/>
  <c r="K1736" i="7"/>
  <c r="L1735" i="7"/>
  <c r="K1735" i="7"/>
  <c r="L1734" i="7"/>
  <c r="K1734" i="7"/>
  <c r="L1733" i="7"/>
  <c r="K1733" i="7"/>
  <c r="L1732" i="7"/>
  <c r="K1732" i="7"/>
  <c r="L1731" i="7"/>
  <c r="K1731" i="7"/>
  <c r="L1730" i="7"/>
  <c r="K1730" i="7"/>
  <c r="L1729" i="7"/>
  <c r="K1729" i="7"/>
  <c r="L1728" i="7"/>
  <c r="K1728" i="7"/>
  <c r="L1727" i="7"/>
  <c r="K1727" i="7"/>
  <c r="L1726" i="7"/>
  <c r="K1726" i="7"/>
  <c r="L1725" i="7"/>
  <c r="K1725" i="7"/>
  <c r="L1724" i="7"/>
  <c r="K1724" i="7"/>
  <c r="L1723" i="7"/>
  <c r="K1723" i="7"/>
  <c r="L1722" i="7"/>
  <c r="K1722" i="7"/>
  <c r="L1721" i="7"/>
  <c r="K1721" i="7"/>
  <c r="L1720" i="7"/>
  <c r="K1720" i="7"/>
  <c r="L1719" i="7"/>
  <c r="K1719" i="7"/>
  <c r="L1718" i="7"/>
  <c r="K1718" i="7"/>
  <c r="L1717" i="7"/>
  <c r="K1717" i="7"/>
  <c r="L1716" i="7"/>
  <c r="K1716" i="7"/>
  <c r="L1715" i="7"/>
  <c r="K1715" i="7"/>
  <c r="L1714" i="7"/>
  <c r="K1714" i="7"/>
  <c r="L1713" i="7"/>
  <c r="K1713" i="7"/>
  <c r="L1712" i="7"/>
  <c r="K1712" i="7"/>
  <c r="L1711" i="7"/>
  <c r="K1711" i="7"/>
  <c r="L1710" i="7"/>
  <c r="K1710" i="7"/>
  <c r="L1709" i="7"/>
  <c r="K1709" i="7"/>
  <c r="L1708" i="7"/>
  <c r="K1708" i="7"/>
  <c r="L1707" i="7"/>
  <c r="K1707" i="7"/>
  <c r="L1706" i="7"/>
  <c r="K1706" i="7"/>
  <c r="L1705" i="7"/>
  <c r="K1705" i="7"/>
  <c r="L1704" i="7"/>
  <c r="K1704" i="7"/>
  <c r="L1703" i="7"/>
  <c r="K1703" i="7"/>
  <c r="L1702" i="7"/>
  <c r="K1702" i="7"/>
  <c r="L1701" i="7"/>
  <c r="K1701" i="7"/>
  <c r="L1700" i="7"/>
  <c r="K1700" i="7"/>
  <c r="L1699" i="7"/>
  <c r="K1699" i="7"/>
  <c r="L1698" i="7"/>
  <c r="K1698" i="7"/>
  <c r="L1697" i="7"/>
  <c r="K1697" i="7"/>
  <c r="L1696" i="7"/>
  <c r="K1696" i="7"/>
  <c r="L1695" i="7"/>
  <c r="K1695" i="7"/>
  <c r="L1694" i="7"/>
  <c r="K1694" i="7"/>
  <c r="L1693" i="7"/>
  <c r="K1693" i="7"/>
  <c r="L1692" i="7"/>
  <c r="K1692" i="7"/>
  <c r="L1691" i="7"/>
  <c r="K1691" i="7"/>
  <c r="L1690" i="7"/>
  <c r="K1690" i="7"/>
  <c r="L1689" i="7"/>
  <c r="K1689" i="7"/>
  <c r="L1688" i="7"/>
  <c r="K1688" i="7"/>
  <c r="L1687" i="7"/>
  <c r="K1687" i="7"/>
  <c r="L1686" i="7"/>
  <c r="K1686" i="7"/>
  <c r="L1685" i="7"/>
  <c r="K1685" i="7"/>
  <c r="L1684" i="7"/>
  <c r="K1684" i="7"/>
  <c r="L1683" i="7"/>
  <c r="K1683" i="7"/>
  <c r="L1682" i="7"/>
  <c r="K1682" i="7"/>
  <c r="L1681" i="7"/>
  <c r="K1681" i="7"/>
  <c r="L1680" i="7"/>
  <c r="K1680" i="7"/>
  <c r="L1679" i="7"/>
  <c r="K1679" i="7"/>
  <c r="L1678" i="7"/>
  <c r="K1678" i="7"/>
  <c r="L1677" i="7"/>
  <c r="K1677" i="7"/>
  <c r="L1676" i="7"/>
  <c r="K1676" i="7"/>
  <c r="L1675" i="7"/>
  <c r="K1675" i="7"/>
  <c r="L1674" i="7"/>
  <c r="K1674" i="7"/>
  <c r="L1673" i="7"/>
  <c r="K1673" i="7"/>
  <c r="L1672" i="7"/>
  <c r="K1672" i="7"/>
  <c r="L1671" i="7"/>
  <c r="K1671" i="7"/>
  <c r="L1670" i="7"/>
  <c r="K1670" i="7"/>
  <c r="L1669" i="7"/>
  <c r="K1669" i="7"/>
  <c r="L1668" i="7"/>
  <c r="K1668" i="7"/>
  <c r="L1667" i="7"/>
  <c r="K1667" i="7"/>
  <c r="L1666" i="7"/>
  <c r="K1666" i="7"/>
  <c r="L1665" i="7"/>
  <c r="K1665" i="7"/>
  <c r="L1664" i="7"/>
  <c r="K1664" i="7"/>
  <c r="L1663" i="7"/>
  <c r="K1663" i="7"/>
  <c r="L1662" i="7"/>
  <c r="K1662" i="7"/>
  <c r="L1661" i="7"/>
  <c r="K1661" i="7"/>
  <c r="L1660" i="7"/>
  <c r="K1660" i="7"/>
  <c r="L1659" i="7"/>
  <c r="K1659" i="7"/>
  <c r="L1658" i="7"/>
  <c r="K1658" i="7"/>
  <c r="L1657" i="7"/>
  <c r="K1657" i="7"/>
  <c r="L1656" i="7"/>
  <c r="K1656" i="7"/>
  <c r="L1655" i="7"/>
  <c r="K1655" i="7"/>
  <c r="L1654" i="7"/>
  <c r="K1654" i="7"/>
  <c r="L1653" i="7"/>
  <c r="K1653" i="7"/>
  <c r="L1652" i="7"/>
  <c r="K1652" i="7"/>
  <c r="L1651" i="7"/>
  <c r="K1651" i="7"/>
  <c r="L1650" i="7"/>
  <c r="K1650" i="7"/>
  <c r="L1649" i="7"/>
  <c r="K1649" i="7"/>
  <c r="L1648" i="7"/>
  <c r="K1648" i="7"/>
  <c r="L1647" i="7"/>
  <c r="K1647" i="7"/>
  <c r="L1646" i="7"/>
  <c r="K1646" i="7"/>
  <c r="L1645" i="7"/>
  <c r="K1645" i="7"/>
  <c r="L1644" i="7"/>
  <c r="K1644" i="7"/>
  <c r="L1643" i="7"/>
  <c r="K1643" i="7"/>
  <c r="L1642" i="7"/>
  <c r="K1642" i="7"/>
  <c r="L1641" i="7"/>
  <c r="K1641" i="7"/>
  <c r="L1640" i="7"/>
  <c r="K1640" i="7"/>
  <c r="L1639" i="7"/>
  <c r="K1639" i="7"/>
  <c r="L1638" i="7"/>
  <c r="K1638" i="7"/>
  <c r="L1637" i="7"/>
  <c r="K1637" i="7"/>
  <c r="L1636" i="7"/>
  <c r="K1636" i="7"/>
  <c r="L1635" i="7"/>
  <c r="K1635" i="7"/>
  <c r="L1634" i="7"/>
  <c r="K1634" i="7"/>
  <c r="L1633" i="7"/>
  <c r="K1633" i="7"/>
  <c r="L1632" i="7"/>
  <c r="K1632" i="7"/>
  <c r="L1631" i="7"/>
  <c r="K1631" i="7"/>
  <c r="L1630" i="7"/>
  <c r="K1630" i="7"/>
  <c r="L1629" i="7"/>
  <c r="K1629" i="7"/>
  <c r="L1628" i="7"/>
  <c r="K1628" i="7"/>
  <c r="L1627" i="7"/>
  <c r="K1627" i="7"/>
  <c r="L1626" i="7"/>
  <c r="K1626" i="7"/>
  <c r="L1625" i="7"/>
  <c r="K1625" i="7"/>
  <c r="L1624" i="7"/>
  <c r="K1624" i="7"/>
  <c r="L1623" i="7"/>
  <c r="K1623" i="7"/>
  <c r="L1622" i="7"/>
  <c r="K1622" i="7"/>
  <c r="L1621" i="7"/>
  <c r="K1621" i="7"/>
  <c r="L1620" i="7"/>
  <c r="K1620" i="7"/>
  <c r="L1619" i="7"/>
  <c r="K1619" i="7"/>
  <c r="L1618" i="7"/>
  <c r="K1618" i="7"/>
  <c r="L1617" i="7"/>
  <c r="K1617" i="7"/>
  <c r="L1616" i="7"/>
  <c r="K1616" i="7"/>
  <c r="L1615" i="7"/>
  <c r="K1615" i="7"/>
  <c r="L1614" i="7"/>
  <c r="K1614" i="7"/>
  <c r="L1613" i="7"/>
  <c r="K1613" i="7"/>
  <c r="L1612" i="7"/>
  <c r="K1612" i="7"/>
  <c r="L1611" i="7"/>
  <c r="K1611" i="7"/>
  <c r="L1610" i="7"/>
  <c r="K1610" i="7"/>
  <c r="L1609" i="7"/>
  <c r="K1609" i="7"/>
  <c r="L1608" i="7"/>
  <c r="K1608" i="7"/>
  <c r="L1607" i="7"/>
  <c r="K1607" i="7"/>
  <c r="L1606" i="7"/>
  <c r="K1606" i="7"/>
  <c r="L1605" i="7"/>
  <c r="K1605" i="7"/>
  <c r="L1604" i="7"/>
  <c r="K1604" i="7"/>
  <c r="L1603" i="7"/>
  <c r="K1603" i="7"/>
  <c r="L1602" i="7"/>
  <c r="K1602" i="7"/>
  <c r="L1601" i="7"/>
  <c r="K1601" i="7"/>
  <c r="L1600" i="7"/>
  <c r="K1600" i="7"/>
  <c r="L1599" i="7"/>
  <c r="K1599" i="7"/>
  <c r="L1598" i="7"/>
  <c r="K1598" i="7"/>
  <c r="L1597" i="7"/>
  <c r="K1597" i="7"/>
  <c r="L1596" i="7"/>
  <c r="K1596" i="7"/>
  <c r="L1595" i="7"/>
  <c r="K1595" i="7"/>
  <c r="L1594" i="7"/>
  <c r="K1594" i="7"/>
  <c r="L1593" i="7"/>
  <c r="K1593" i="7"/>
  <c r="L1592" i="7"/>
  <c r="K1592" i="7"/>
  <c r="L1591" i="7"/>
  <c r="K1591" i="7"/>
  <c r="L1590" i="7"/>
  <c r="K1590" i="7"/>
  <c r="L1589" i="7"/>
  <c r="K1589" i="7"/>
  <c r="L1588" i="7"/>
  <c r="K1588" i="7"/>
  <c r="L1587" i="7"/>
  <c r="K1587" i="7"/>
  <c r="L1586" i="7"/>
  <c r="K1586" i="7"/>
  <c r="L1585" i="7"/>
  <c r="K1585" i="7"/>
  <c r="L1584" i="7"/>
  <c r="K1584" i="7"/>
  <c r="L1583" i="7"/>
  <c r="K1583" i="7"/>
  <c r="L1582" i="7"/>
  <c r="K1582" i="7"/>
  <c r="L1581" i="7"/>
  <c r="K1581" i="7"/>
  <c r="L1580" i="7"/>
  <c r="K1580" i="7"/>
  <c r="L1579" i="7"/>
  <c r="K1579" i="7"/>
  <c r="L1578" i="7"/>
  <c r="K1578" i="7"/>
  <c r="L1577" i="7"/>
  <c r="K1577" i="7"/>
  <c r="L1576" i="7"/>
  <c r="K1576" i="7"/>
  <c r="L1575" i="7"/>
  <c r="K1575" i="7"/>
  <c r="L1574" i="7"/>
  <c r="K1574" i="7"/>
  <c r="L1573" i="7"/>
  <c r="K1573" i="7"/>
  <c r="L1572" i="7"/>
  <c r="K1572" i="7"/>
  <c r="L1571" i="7"/>
  <c r="K1571" i="7"/>
  <c r="L1570" i="7"/>
  <c r="K1570" i="7"/>
  <c r="L1569" i="7"/>
  <c r="K1569" i="7"/>
  <c r="L1568" i="7"/>
  <c r="K1568" i="7"/>
  <c r="L1567" i="7"/>
  <c r="K1567" i="7"/>
  <c r="L1566" i="7"/>
  <c r="K1566" i="7"/>
  <c r="L1565" i="7"/>
  <c r="K1565" i="7"/>
  <c r="L1564" i="7"/>
  <c r="K1564" i="7"/>
  <c r="L1563" i="7"/>
  <c r="K1563" i="7"/>
  <c r="L1562" i="7"/>
  <c r="K1562" i="7"/>
  <c r="L1561" i="7"/>
  <c r="K1561" i="7"/>
  <c r="L1560" i="7"/>
  <c r="K1560" i="7"/>
  <c r="L1559" i="7"/>
  <c r="K1559" i="7"/>
  <c r="L1558" i="7"/>
  <c r="K1558" i="7"/>
  <c r="L1557" i="7"/>
  <c r="K1557" i="7"/>
  <c r="L1556" i="7"/>
  <c r="K1556" i="7"/>
  <c r="L1555" i="7"/>
  <c r="K1555" i="7"/>
  <c r="L1554" i="7"/>
  <c r="K1554" i="7"/>
  <c r="L1553" i="7"/>
  <c r="K1553" i="7"/>
  <c r="L1552" i="7"/>
  <c r="K1552" i="7"/>
  <c r="L1551" i="7"/>
  <c r="K1551" i="7"/>
  <c r="L1550" i="7"/>
  <c r="K1550" i="7"/>
  <c r="L1549" i="7"/>
  <c r="K1549" i="7"/>
  <c r="L1548" i="7"/>
  <c r="K1548" i="7"/>
  <c r="L1547" i="7"/>
  <c r="K1547" i="7"/>
  <c r="L1546" i="7"/>
  <c r="K1546" i="7"/>
  <c r="L1545" i="7"/>
  <c r="K1545" i="7"/>
  <c r="L1544" i="7"/>
  <c r="K1544" i="7"/>
  <c r="L1543" i="7"/>
  <c r="K1543" i="7"/>
  <c r="L1542" i="7"/>
  <c r="K1542" i="7"/>
  <c r="L1541" i="7"/>
  <c r="K1541" i="7"/>
  <c r="L1540" i="7"/>
  <c r="K1540" i="7"/>
  <c r="L1539" i="7"/>
  <c r="K1539" i="7"/>
  <c r="L1538" i="7"/>
  <c r="K1538" i="7"/>
  <c r="L1537" i="7"/>
  <c r="K1537" i="7"/>
  <c r="L1536" i="7"/>
  <c r="K1536" i="7"/>
  <c r="L1535" i="7"/>
  <c r="K1535" i="7"/>
  <c r="L1534" i="7"/>
  <c r="K1534" i="7"/>
  <c r="L1533" i="7"/>
  <c r="K1533" i="7"/>
  <c r="L1532" i="7"/>
  <c r="K1532" i="7"/>
  <c r="L1531" i="7"/>
  <c r="K1531" i="7"/>
  <c r="L1530" i="7"/>
  <c r="K1530" i="7"/>
  <c r="L1529" i="7"/>
  <c r="K1529" i="7"/>
  <c r="L1528" i="7"/>
  <c r="K1528" i="7"/>
  <c r="L1527" i="7"/>
  <c r="K1527" i="7"/>
  <c r="L1526" i="7"/>
  <c r="K1526" i="7"/>
  <c r="L1525" i="7"/>
  <c r="K1525" i="7"/>
  <c r="L1524" i="7"/>
  <c r="K1524" i="7"/>
  <c r="L1523" i="7"/>
  <c r="K1523" i="7"/>
  <c r="L1522" i="7"/>
  <c r="K1522" i="7"/>
  <c r="L1521" i="7"/>
  <c r="K1521" i="7"/>
  <c r="L1520" i="7"/>
  <c r="K1520" i="7"/>
  <c r="L1519" i="7"/>
  <c r="K1519" i="7"/>
  <c r="L1518" i="7"/>
  <c r="K1518" i="7"/>
  <c r="L1517" i="7"/>
  <c r="K1517" i="7"/>
  <c r="L1516" i="7"/>
  <c r="K1516" i="7"/>
  <c r="L1515" i="7"/>
  <c r="K1515" i="7"/>
  <c r="L1514" i="7"/>
  <c r="K1514" i="7"/>
  <c r="L1513" i="7"/>
  <c r="K1513" i="7"/>
  <c r="L1512" i="7"/>
  <c r="K1512" i="7"/>
  <c r="L1511" i="7"/>
  <c r="K1511" i="7"/>
  <c r="L1510" i="7"/>
  <c r="K1510" i="7"/>
  <c r="L1509" i="7"/>
  <c r="K1509" i="7"/>
  <c r="L1508" i="7"/>
  <c r="K1508" i="7"/>
  <c r="L1507" i="7"/>
  <c r="K1507" i="7"/>
  <c r="L1506" i="7"/>
  <c r="K1506" i="7"/>
  <c r="L1505" i="7"/>
  <c r="K1505" i="7"/>
  <c r="L1504" i="7"/>
  <c r="K1504" i="7"/>
  <c r="L1503" i="7"/>
  <c r="K1503" i="7"/>
  <c r="L1502" i="7"/>
  <c r="K1502" i="7"/>
  <c r="L1501" i="7"/>
  <c r="K1501" i="7"/>
  <c r="L1500" i="7"/>
  <c r="K1500" i="7"/>
  <c r="L1499" i="7"/>
  <c r="K1499" i="7"/>
  <c r="L1498" i="7"/>
  <c r="K1498" i="7"/>
  <c r="L1497" i="7"/>
  <c r="K1497" i="7"/>
  <c r="L1496" i="7"/>
  <c r="K1496" i="7"/>
  <c r="L1495" i="7"/>
  <c r="K1495" i="7"/>
  <c r="L1494" i="7"/>
  <c r="K1494" i="7"/>
  <c r="L1493" i="7"/>
  <c r="K1493" i="7"/>
  <c r="L1492" i="7"/>
  <c r="K1492" i="7"/>
  <c r="L1491" i="7"/>
  <c r="K1491" i="7"/>
  <c r="L1490" i="7"/>
  <c r="K1490" i="7"/>
  <c r="L1489" i="7"/>
  <c r="K1489" i="7"/>
  <c r="L1488" i="7"/>
  <c r="K1488" i="7"/>
  <c r="L1487" i="7"/>
  <c r="K1487" i="7"/>
  <c r="L1486" i="7"/>
  <c r="K1486" i="7"/>
  <c r="L1485" i="7"/>
  <c r="K1485" i="7"/>
  <c r="L1484" i="7"/>
  <c r="K1484" i="7"/>
  <c r="L1483" i="7"/>
  <c r="K1483" i="7"/>
  <c r="L1482" i="7"/>
  <c r="K1482" i="7"/>
  <c r="L1481" i="7"/>
  <c r="K1481" i="7"/>
  <c r="L1480" i="7"/>
  <c r="K1480" i="7"/>
  <c r="L1479" i="7"/>
  <c r="K1479" i="7"/>
  <c r="L1478" i="7"/>
  <c r="K1478" i="7"/>
  <c r="L1477" i="7"/>
  <c r="K1477" i="7"/>
  <c r="L1476" i="7"/>
  <c r="K1476" i="7"/>
  <c r="L1475" i="7"/>
  <c r="K1475" i="7"/>
  <c r="L1474" i="7"/>
  <c r="K1474" i="7"/>
  <c r="L1473" i="7"/>
  <c r="K1473" i="7"/>
  <c r="L1472" i="7"/>
  <c r="K1472" i="7"/>
  <c r="L1471" i="7"/>
  <c r="K1471" i="7"/>
  <c r="L1470" i="7"/>
  <c r="K1470" i="7"/>
  <c r="L1469" i="7"/>
  <c r="K1469" i="7"/>
  <c r="L1468" i="7"/>
  <c r="K1468" i="7"/>
  <c r="L1467" i="7"/>
  <c r="K1467" i="7"/>
  <c r="L1466" i="7"/>
  <c r="K1466" i="7"/>
  <c r="L1465" i="7"/>
  <c r="K1465" i="7"/>
  <c r="L1464" i="7"/>
  <c r="K1464" i="7"/>
  <c r="L1463" i="7"/>
  <c r="K1463" i="7"/>
  <c r="L1462" i="7"/>
  <c r="K1462" i="7"/>
  <c r="L1461" i="7"/>
  <c r="K1461" i="7"/>
  <c r="L1460" i="7"/>
  <c r="K1460" i="7"/>
  <c r="L1459" i="7"/>
  <c r="K1459" i="7"/>
  <c r="L1458" i="7"/>
  <c r="K1458" i="7"/>
  <c r="L1457" i="7"/>
  <c r="K1457" i="7"/>
  <c r="L1456" i="7"/>
  <c r="K1456" i="7"/>
  <c r="L1455" i="7"/>
  <c r="K1455" i="7"/>
  <c r="L1454" i="7"/>
  <c r="K1454" i="7"/>
  <c r="L1453" i="7"/>
  <c r="K1453" i="7"/>
  <c r="L1452" i="7"/>
  <c r="K1452" i="7"/>
  <c r="L1451" i="7"/>
  <c r="K1451" i="7"/>
  <c r="L1450" i="7"/>
  <c r="K1450" i="7"/>
  <c r="L1449" i="7"/>
  <c r="K1449" i="7"/>
  <c r="L1448" i="7"/>
  <c r="K1448" i="7"/>
  <c r="L1447" i="7"/>
  <c r="K1447" i="7"/>
  <c r="L1446" i="7"/>
  <c r="K1446" i="7"/>
  <c r="L1445" i="7"/>
  <c r="K1445" i="7"/>
  <c r="L1444" i="7"/>
  <c r="K1444" i="7"/>
  <c r="L1443" i="7"/>
  <c r="K1443" i="7"/>
  <c r="L1442" i="7"/>
  <c r="K1442" i="7"/>
  <c r="L1441" i="7"/>
  <c r="K1441" i="7"/>
  <c r="L1440" i="7"/>
  <c r="K1440" i="7"/>
  <c r="L1439" i="7"/>
  <c r="K1439" i="7"/>
  <c r="L1438" i="7"/>
  <c r="K1438" i="7"/>
  <c r="L1437" i="7"/>
  <c r="K1437" i="7"/>
  <c r="L1436" i="7"/>
  <c r="K1436" i="7"/>
  <c r="L1435" i="7"/>
  <c r="K1435" i="7"/>
  <c r="L1434" i="7"/>
  <c r="K1434" i="7"/>
  <c r="L1433" i="7"/>
  <c r="K1433" i="7"/>
  <c r="L1432" i="7"/>
  <c r="K1432" i="7"/>
  <c r="L1431" i="7"/>
  <c r="K1431" i="7"/>
  <c r="L1430" i="7"/>
  <c r="K1430" i="7"/>
  <c r="L1429" i="7"/>
  <c r="K1429" i="7"/>
  <c r="L1428" i="7"/>
  <c r="K1428" i="7"/>
  <c r="L1427" i="7"/>
  <c r="K1427" i="7"/>
  <c r="L1426" i="7"/>
  <c r="K1426" i="7"/>
  <c r="L1425" i="7"/>
  <c r="K1425" i="7"/>
  <c r="L1424" i="7"/>
  <c r="K1424" i="7"/>
  <c r="L1423" i="7"/>
  <c r="K1423" i="7"/>
  <c r="L1422" i="7"/>
  <c r="K1422" i="7"/>
  <c r="L1421" i="7"/>
  <c r="K1421" i="7"/>
  <c r="L1420" i="7"/>
  <c r="K1420" i="7"/>
  <c r="L1419" i="7"/>
  <c r="K1419" i="7"/>
  <c r="L1418" i="7"/>
  <c r="K1418" i="7"/>
  <c r="L1417" i="7"/>
  <c r="K1417" i="7"/>
  <c r="L1416" i="7"/>
  <c r="K1416" i="7"/>
  <c r="L1415" i="7"/>
  <c r="K1415" i="7"/>
  <c r="L1414" i="7"/>
  <c r="K1414" i="7"/>
  <c r="L1413" i="7"/>
  <c r="K1413" i="7"/>
  <c r="L1412" i="7"/>
  <c r="K1412" i="7"/>
  <c r="L1411" i="7"/>
  <c r="K1411" i="7"/>
  <c r="L1410" i="7"/>
  <c r="K1410" i="7"/>
  <c r="L1409" i="7"/>
  <c r="K1409" i="7"/>
  <c r="L1408" i="7"/>
  <c r="K1408" i="7"/>
  <c r="L1407" i="7"/>
  <c r="K1407" i="7"/>
  <c r="L1406" i="7"/>
  <c r="K1406" i="7"/>
  <c r="L1405" i="7"/>
  <c r="K1405" i="7"/>
  <c r="L1404" i="7"/>
  <c r="K1404" i="7"/>
  <c r="L1403" i="7"/>
  <c r="K1403" i="7"/>
  <c r="L1402" i="7"/>
  <c r="K1402" i="7"/>
  <c r="L1401" i="7"/>
  <c r="K1401" i="7"/>
  <c r="L1400" i="7"/>
  <c r="K1400" i="7"/>
  <c r="L1399" i="7"/>
  <c r="K1399" i="7"/>
  <c r="L1398" i="7"/>
  <c r="K1398" i="7"/>
  <c r="L1397" i="7"/>
  <c r="K1397" i="7"/>
  <c r="L1396" i="7"/>
  <c r="K1396" i="7"/>
  <c r="L1395" i="7"/>
  <c r="K1395" i="7"/>
  <c r="L1394" i="7"/>
  <c r="K1394" i="7"/>
  <c r="L1393" i="7"/>
  <c r="K1393" i="7"/>
  <c r="L1392" i="7"/>
  <c r="K1392" i="7"/>
  <c r="L1391" i="7"/>
  <c r="K1391" i="7"/>
  <c r="L1390" i="7"/>
  <c r="K1390" i="7"/>
  <c r="L1389" i="7"/>
  <c r="K1389" i="7"/>
  <c r="L1388" i="7"/>
  <c r="K1388" i="7"/>
  <c r="L1387" i="7"/>
  <c r="K1387" i="7"/>
  <c r="L1386" i="7"/>
  <c r="K1386" i="7"/>
  <c r="L1385" i="7"/>
  <c r="K1385" i="7"/>
  <c r="L1384" i="7"/>
  <c r="K1384" i="7"/>
  <c r="L1383" i="7"/>
  <c r="K1383" i="7"/>
  <c r="L1382" i="7"/>
  <c r="K1382" i="7"/>
  <c r="L1381" i="7"/>
  <c r="K1381" i="7"/>
  <c r="L1380" i="7"/>
  <c r="K1380" i="7"/>
  <c r="L1379" i="7"/>
  <c r="K1379" i="7"/>
  <c r="L1378" i="7"/>
  <c r="K1378" i="7"/>
  <c r="L1377" i="7"/>
  <c r="K1377" i="7"/>
  <c r="L1376" i="7"/>
  <c r="K1376" i="7"/>
  <c r="L1375" i="7"/>
  <c r="K1375" i="7"/>
  <c r="L1374" i="7"/>
  <c r="K1374" i="7"/>
  <c r="L1373" i="7"/>
  <c r="K1373" i="7"/>
  <c r="L1372" i="7"/>
  <c r="K1372" i="7"/>
  <c r="L1371" i="7"/>
  <c r="K1371" i="7"/>
  <c r="L1370" i="7"/>
  <c r="K1370" i="7"/>
  <c r="L1369" i="7"/>
  <c r="K1369" i="7"/>
  <c r="L1368" i="7"/>
  <c r="K1368" i="7"/>
  <c r="L1367" i="7"/>
  <c r="K1367" i="7"/>
  <c r="L1366" i="7"/>
  <c r="K1366" i="7"/>
  <c r="L1365" i="7"/>
  <c r="K1365" i="7"/>
  <c r="L1364" i="7"/>
  <c r="K1364" i="7"/>
  <c r="L1363" i="7"/>
  <c r="K1363" i="7"/>
  <c r="L1362" i="7"/>
  <c r="K1362" i="7"/>
  <c r="L1361" i="7"/>
  <c r="K1361" i="7"/>
  <c r="L1360" i="7"/>
  <c r="K1360" i="7"/>
  <c r="L1359" i="7"/>
  <c r="K1359" i="7"/>
  <c r="L1358" i="7"/>
  <c r="K1358" i="7"/>
  <c r="L1357" i="7"/>
  <c r="K1357" i="7"/>
  <c r="L1356" i="7"/>
  <c r="K1356" i="7"/>
  <c r="L1355" i="7"/>
  <c r="K1355" i="7"/>
  <c r="L1354" i="7"/>
  <c r="K1354" i="7"/>
  <c r="L1353" i="7"/>
  <c r="K1353" i="7"/>
  <c r="L1352" i="7"/>
  <c r="K1352" i="7"/>
  <c r="L1351" i="7"/>
  <c r="K1351" i="7"/>
  <c r="L1350" i="7"/>
  <c r="K1350" i="7"/>
  <c r="L1349" i="7"/>
  <c r="K1349" i="7"/>
  <c r="L1348" i="7"/>
  <c r="K1348" i="7"/>
  <c r="L1347" i="7"/>
  <c r="K1347" i="7"/>
  <c r="L1346" i="7"/>
  <c r="K1346" i="7"/>
  <c r="L1345" i="7"/>
  <c r="K1345" i="7"/>
  <c r="L1344" i="7"/>
  <c r="K1344" i="7"/>
  <c r="L1343" i="7"/>
  <c r="K1343" i="7"/>
  <c r="L1342" i="7"/>
  <c r="K1342" i="7"/>
  <c r="L1341" i="7"/>
  <c r="K1341" i="7"/>
  <c r="L1340" i="7"/>
  <c r="K1340" i="7"/>
  <c r="L1339" i="7"/>
  <c r="K1339" i="7"/>
  <c r="L1338" i="7"/>
  <c r="K1338" i="7"/>
  <c r="L1337" i="7"/>
  <c r="K1337" i="7"/>
  <c r="L1336" i="7"/>
  <c r="K1336" i="7"/>
  <c r="L1335" i="7"/>
  <c r="K1335" i="7"/>
  <c r="L1334" i="7"/>
  <c r="K1334" i="7"/>
  <c r="L1333" i="7"/>
  <c r="K1333" i="7"/>
  <c r="L1332" i="7"/>
  <c r="K1332" i="7"/>
  <c r="L1331" i="7"/>
  <c r="K1331" i="7"/>
  <c r="L1330" i="7"/>
  <c r="K1330" i="7"/>
  <c r="L1329" i="7"/>
  <c r="K1329" i="7"/>
  <c r="L1328" i="7"/>
  <c r="K1328" i="7"/>
  <c r="L1327" i="7"/>
  <c r="K1327" i="7"/>
  <c r="L1326" i="7"/>
  <c r="K1326" i="7"/>
  <c r="L1325" i="7"/>
  <c r="K1325" i="7"/>
  <c r="L1324" i="7"/>
  <c r="K1324" i="7"/>
  <c r="L1323" i="7"/>
  <c r="K1323" i="7"/>
  <c r="L1322" i="7"/>
  <c r="K1322" i="7"/>
  <c r="L1321" i="7"/>
  <c r="K1321" i="7"/>
  <c r="L1320" i="7"/>
  <c r="K1320" i="7"/>
  <c r="L1319" i="7"/>
  <c r="K1319" i="7"/>
  <c r="L1318" i="7"/>
  <c r="K1318" i="7"/>
  <c r="L1317" i="7"/>
  <c r="K1317" i="7"/>
  <c r="L1316" i="7"/>
  <c r="K1316" i="7"/>
  <c r="L1315" i="7"/>
  <c r="K1315" i="7"/>
  <c r="L1314" i="7"/>
  <c r="K1314" i="7"/>
  <c r="L1313" i="7"/>
  <c r="K1313" i="7"/>
  <c r="L1312" i="7"/>
  <c r="K1312" i="7"/>
  <c r="L1311" i="7"/>
  <c r="K1311" i="7"/>
  <c r="L1310" i="7"/>
  <c r="K1310" i="7"/>
  <c r="L1309" i="7"/>
  <c r="K1309" i="7"/>
  <c r="L1308" i="7"/>
  <c r="K1308" i="7"/>
  <c r="L1307" i="7"/>
  <c r="K1307" i="7"/>
  <c r="L1306" i="7"/>
  <c r="K1306" i="7"/>
  <c r="L1305" i="7"/>
  <c r="K1305" i="7"/>
  <c r="L1304" i="7"/>
  <c r="K1304" i="7"/>
  <c r="L1303" i="7"/>
  <c r="K1303" i="7"/>
  <c r="L1302" i="7"/>
  <c r="K1302" i="7"/>
  <c r="L1301" i="7"/>
  <c r="K1301" i="7"/>
  <c r="L1300" i="7"/>
  <c r="K1300" i="7"/>
  <c r="L1299" i="7"/>
  <c r="K1299" i="7"/>
  <c r="L1298" i="7"/>
  <c r="K1298" i="7"/>
  <c r="L1297" i="7"/>
  <c r="K1297" i="7"/>
  <c r="L1296" i="7"/>
  <c r="K1296" i="7"/>
  <c r="L1295" i="7"/>
  <c r="K1295" i="7"/>
  <c r="L1294" i="7"/>
  <c r="K1294" i="7"/>
  <c r="L1293" i="7"/>
  <c r="K1293" i="7"/>
  <c r="L1292" i="7"/>
  <c r="K1292" i="7"/>
  <c r="L1291" i="7"/>
  <c r="K1291" i="7"/>
  <c r="L1290" i="7"/>
  <c r="K1290" i="7"/>
  <c r="L1289" i="7"/>
  <c r="K1289" i="7"/>
  <c r="L1288" i="7"/>
  <c r="K1288" i="7"/>
  <c r="L1287" i="7"/>
  <c r="K1287" i="7"/>
  <c r="L1286" i="7"/>
  <c r="K1286" i="7"/>
  <c r="L1285" i="7"/>
  <c r="K1285" i="7"/>
  <c r="L1284" i="7"/>
  <c r="K1284" i="7"/>
  <c r="L1283" i="7"/>
  <c r="K1283" i="7"/>
  <c r="L1282" i="7"/>
  <c r="K1282" i="7"/>
  <c r="L1281" i="7"/>
  <c r="K1281" i="7"/>
  <c r="L1280" i="7"/>
  <c r="K1280" i="7"/>
  <c r="L1279" i="7"/>
  <c r="K1279" i="7"/>
  <c r="L1278" i="7"/>
  <c r="K1278" i="7"/>
  <c r="L1277" i="7"/>
  <c r="K1277" i="7"/>
  <c r="L1276" i="7"/>
  <c r="K1276" i="7"/>
  <c r="L1275" i="7"/>
  <c r="K1275" i="7"/>
  <c r="L1274" i="7"/>
  <c r="K1274" i="7"/>
  <c r="L1273" i="7"/>
  <c r="K1273" i="7"/>
  <c r="L1272" i="7"/>
  <c r="K1272" i="7"/>
  <c r="L1271" i="7"/>
  <c r="K1271" i="7"/>
  <c r="L1270" i="7"/>
  <c r="K1270" i="7"/>
  <c r="L1269" i="7"/>
  <c r="K1269" i="7"/>
  <c r="L1268" i="7"/>
  <c r="K1268" i="7"/>
  <c r="L1267" i="7"/>
  <c r="K1267" i="7"/>
  <c r="L1266" i="7"/>
  <c r="K1266" i="7"/>
  <c r="L1265" i="7"/>
  <c r="K1265" i="7"/>
  <c r="L1264" i="7"/>
  <c r="K1264" i="7"/>
  <c r="L1263" i="7"/>
  <c r="K1263" i="7"/>
  <c r="L1262" i="7"/>
  <c r="K1262" i="7"/>
  <c r="L1261" i="7"/>
  <c r="K1261" i="7"/>
  <c r="L1260" i="7"/>
  <c r="K1260" i="7"/>
  <c r="L1259" i="7"/>
  <c r="K1259" i="7"/>
  <c r="L1258" i="7"/>
  <c r="K1258" i="7"/>
  <c r="L1257" i="7"/>
  <c r="K1257" i="7"/>
  <c r="L1256" i="7"/>
  <c r="K1256" i="7"/>
  <c r="L1255" i="7"/>
  <c r="K1255" i="7"/>
  <c r="L1254" i="7"/>
  <c r="K1254" i="7"/>
  <c r="L1253" i="7"/>
  <c r="K1253" i="7"/>
  <c r="L1252" i="7"/>
  <c r="K1252" i="7"/>
  <c r="L1251" i="7"/>
  <c r="K1251" i="7"/>
  <c r="L1250" i="7"/>
  <c r="K1250" i="7"/>
  <c r="L1249" i="7"/>
  <c r="K1249" i="7"/>
  <c r="L1248" i="7"/>
  <c r="K1248" i="7"/>
  <c r="L1247" i="7"/>
  <c r="K1247" i="7"/>
  <c r="L1246" i="7"/>
  <c r="K1246" i="7"/>
  <c r="L1245" i="7"/>
  <c r="K1245" i="7"/>
  <c r="L1244" i="7"/>
  <c r="K1244" i="7"/>
  <c r="L1243" i="7"/>
  <c r="K1243" i="7"/>
  <c r="L1242" i="7"/>
  <c r="K1242" i="7"/>
  <c r="L1241" i="7"/>
  <c r="K1241" i="7"/>
  <c r="L1240" i="7"/>
  <c r="K1240" i="7"/>
  <c r="L1239" i="7"/>
  <c r="K1239" i="7"/>
  <c r="L1238" i="7"/>
  <c r="K1238" i="7"/>
  <c r="L1237" i="7"/>
  <c r="K1237" i="7"/>
  <c r="L1236" i="7"/>
  <c r="K1236" i="7"/>
  <c r="L1235" i="7"/>
  <c r="K1235" i="7"/>
  <c r="L1234" i="7"/>
  <c r="K1234" i="7"/>
  <c r="L1233" i="7"/>
  <c r="K1233" i="7"/>
  <c r="L1232" i="7"/>
  <c r="K1232" i="7"/>
  <c r="L1231" i="7"/>
  <c r="K1231" i="7"/>
  <c r="L1230" i="7"/>
  <c r="K1230" i="7"/>
  <c r="L1229" i="7"/>
  <c r="K1229" i="7"/>
  <c r="L1228" i="7"/>
  <c r="K1228" i="7"/>
  <c r="L1227" i="7"/>
  <c r="K1227" i="7"/>
  <c r="L1226" i="7"/>
  <c r="K1226" i="7"/>
  <c r="L1225" i="7"/>
  <c r="K1225" i="7"/>
  <c r="L1224" i="7"/>
  <c r="K1224" i="7"/>
  <c r="L1223" i="7"/>
  <c r="K1223" i="7"/>
  <c r="L1222" i="7"/>
  <c r="K1222" i="7"/>
  <c r="L1221" i="7"/>
  <c r="K1221" i="7"/>
  <c r="L1220" i="7"/>
  <c r="K1220" i="7"/>
  <c r="L1219" i="7"/>
  <c r="K1219" i="7"/>
  <c r="L1218" i="7"/>
  <c r="K1218" i="7"/>
  <c r="L1217" i="7"/>
  <c r="K1217" i="7"/>
  <c r="L1216" i="7"/>
  <c r="K1216" i="7"/>
  <c r="L1215" i="7"/>
  <c r="K1215" i="7"/>
  <c r="L1214" i="7"/>
  <c r="K1214" i="7"/>
  <c r="L1213" i="7"/>
  <c r="K1213" i="7"/>
  <c r="L1212" i="7"/>
  <c r="K1212" i="7"/>
  <c r="L1211" i="7"/>
  <c r="K1211" i="7"/>
  <c r="L1210" i="7"/>
  <c r="K1210" i="7"/>
  <c r="L1209" i="7"/>
  <c r="K1209" i="7"/>
  <c r="L1208" i="7"/>
  <c r="K1208" i="7"/>
  <c r="L1207" i="7"/>
  <c r="K1207" i="7"/>
  <c r="L1206" i="7"/>
  <c r="K1206" i="7"/>
  <c r="L1205" i="7"/>
  <c r="K1205" i="7"/>
  <c r="L1204" i="7"/>
  <c r="K1204" i="7"/>
  <c r="L1203" i="7"/>
  <c r="K1203" i="7"/>
  <c r="L1202" i="7"/>
  <c r="K1202" i="7"/>
  <c r="L1201" i="7"/>
  <c r="K1201" i="7"/>
  <c r="L1200" i="7"/>
  <c r="K1200" i="7"/>
  <c r="L1199" i="7"/>
  <c r="K1199" i="7"/>
  <c r="L1198" i="7"/>
  <c r="K1198" i="7"/>
  <c r="L1197" i="7"/>
  <c r="K1197" i="7"/>
  <c r="L1196" i="7"/>
  <c r="K1196" i="7"/>
  <c r="L1195" i="7"/>
  <c r="K1195" i="7"/>
  <c r="L1194" i="7"/>
  <c r="K1194" i="7"/>
  <c r="L1193" i="7"/>
  <c r="K1193" i="7"/>
  <c r="L1192" i="7"/>
  <c r="K1192" i="7"/>
  <c r="L1191" i="7"/>
  <c r="K1191" i="7"/>
  <c r="L1190" i="7"/>
  <c r="K1190" i="7"/>
  <c r="L1189" i="7"/>
  <c r="K1189" i="7"/>
  <c r="L1188" i="7"/>
  <c r="K1188" i="7"/>
  <c r="L1187" i="7"/>
  <c r="K1187" i="7"/>
  <c r="L1186" i="7"/>
  <c r="K1186" i="7"/>
  <c r="L1185" i="7"/>
  <c r="K1185" i="7"/>
  <c r="L1184" i="7"/>
  <c r="K1184" i="7"/>
  <c r="L1183" i="7"/>
  <c r="K1183" i="7"/>
  <c r="L1182" i="7"/>
  <c r="K1182" i="7"/>
  <c r="L1181" i="7"/>
  <c r="K1181" i="7"/>
  <c r="L1180" i="7"/>
  <c r="K1180" i="7"/>
  <c r="L1179" i="7"/>
  <c r="K1179" i="7"/>
  <c r="L1178" i="7"/>
  <c r="K1178" i="7"/>
  <c r="L1177" i="7"/>
  <c r="K1177" i="7"/>
  <c r="L1176" i="7"/>
  <c r="K1176" i="7"/>
  <c r="L1175" i="7"/>
  <c r="K1175" i="7"/>
  <c r="L1174" i="7"/>
  <c r="K1174" i="7"/>
  <c r="L1173" i="7"/>
  <c r="K1173" i="7"/>
  <c r="L1172" i="7"/>
  <c r="K1172" i="7"/>
  <c r="L1171" i="7"/>
  <c r="K1171" i="7"/>
  <c r="L1170" i="7"/>
  <c r="K1170" i="7"/>
  <c r="L1169" i="7"/>
  <c r="K1169" i="7"/>
  <c r="L1168" i="7"/>
  <c r="K1168" i="7"/>
  <c r="L1167" i="7"/>
  <c r="K1167" i="7"/>
  <c r="L1166" i="7"/>
  <c r="K1166" i="7"/>
  <c r="L1165" i="7"/>
  <c r="K1165" i="7"/>
  <c r="L1164" i="7"/>
  <c r="K1164" i="7"/>
  <c r="L1163" i="7"/>
  <c r="K1163" i="7"/>
  <c r="L1162" i="7"/>
  <c r="K1162" i="7"/>
  <c r="L1161" i="7"/>
  <c r="K1161" i="7"/>
  <c r="L1160" i="7"/>
  <c r="K1160" i="7"/>
  <c r="L1159" i="7"/>
  <c r="K1159" i="7"/>
  <c r="L1158" i="7"/>
  <c r="K1158" i="7"/>
  <c r="L1157" i="7"/>
  <c r="K1157" i="7"/>
  <c r="L1156" i="7"/>
  <c r="K1156" i="7"/>
  <c r="L1155" i="7"/>
  <c r="K1155" i="7"/>
  <c r="L1154" i="7"/>
  <c r="K1154" i="7"/>
  <c r="L1153" i="7"/>
  <c r="K1153" i="7"/>
  <c r="L1152" i="7"/>
  <c r="K1152" i="7"/>
  <c r="L1151" i="7"/>
  <c r="K1151" i="7"/>
  <c r="L1150" i="7"/>
  <c r="K1150" i="7"/>
  <c r="L1149" i="7"/>
  <c r="K1149" i="7"/>
  <c r="L1148" i="7"/>
  <c r="K1148" i="7"/>
  <c r="L1147" i="7"/>
  <c r="K1147" i="7"/>
  <c r="L1146" i="7"/>
  <c r="K1146" i="7"/>
  <c r="L1145" i="7"/>
  <c r="K1145" i="7"/>
  <c r="L1144" i="7"/>
  <c r="K1144" i="7"/>
  <c r="L1143" i="7"/>
  <c r="K1143" i="7"/>
  <c r="L1142" i="7"/>
  <c r="K1142" i="7"/>
  <c r="L1141" i="7"/>
  <c r="K1141" i="7"/>
  <c r="L1140" i="7"/>
  <c r="K1140" i="7"/>
  <c r="L1139" i="7"/>
  <c r="K1139" i="7"/>
  <c r="L1138" i="7"/>
  <c r="K1138" i="7"/>
  <c r="L1137" i="7"/>
  <c r="K1137" i="7"/>
  <c r="L1136" i="7"/>
  <c r="K1136" i="7"/>
  <c r="L1135" i="7"/>
  <c r="K1135" i="7"/>
  <c r="L1134" i="7"/>
  <c r="K1134" i="7"/>
  <c r="L1133" i="7"/>
  <c r="K1133" i="7"/>
  <c r="L1132" i="7"/>
  <c r="K1132" i="7"/>
  <c r="L1131" i="7"/>
  <c r="K1131" i="7"/>
  <c r="L1130" i="7"/>
  <c r="K1130" i="7"/>
  <c r="L1129" i="7"/>
  <c r="K1129" i="7"/>
  <c r="L1128" i="7"/>
  <c r="K1128" i="7"/>
  <c r="L1127" i="7"/>
  <c r="K1127" i="7"/>
  <c r="L1126" i="7"/>
  <c r="K1126" i="7"/>
  <c r="L1125" i="7"/>
  <c r="K1125" i="7"/>
  <c r="L1124" i="7"/>
  <c r="K1124" i="7"/>
  <c r="L1123" i="7"/>
  <c r="K1123" i="7"/>
  <c r="L1122" i="7"/>
  <c r="K1122" i="7"/>
  <c r="L1121" i="7"/>
  <c r="K1121" i="7"/>
  <c r="L1120" i="7"/>
  <c r="K1120" i="7"/>
  <c r="L1119" i="7"/>
  <c r="K1119" i="7"/>
  <c r="L1118" i="7"/>
  <c r="K1118" i="7"/>
  <c r="L1117" i="7"/>
  <c r="K1117" i="7"/>
  <c r="L1116" i="7"/>
  <c r="K1116" i="7"/>
  <c r="L1115" i="7"/>
  <c r="K1115" i="7"/>
  <c r="L1114" i="7"/>
  <c r="K1114" i="7"/>
  <c r="L1113" i="7"/>
  <c r="K1113" i="7"/>
  <c r="L1112" i="7"/>
  <c r="K1112" i="7"/>
  <c r="L1111" i="7"/>
  <c r="K1111" i="7"/>
  <c r="L1110" i="7"/>
  <c r="K1110" i="7"/>
  <c r="L1109" i="7"/>
  <c r="K1109" i="7"/>
  <c r="L1108" i="7"/>
  <c r="K1108" i="7"/>
  <c r="L1107" i="7"/>
  <c r="K1107" i="7"/>
  <c r="L1106" i="7"/>
  <c r="K1106" i="7"/>
  <c r="L1105" i="7"/>
  <c r="K1105" i="7"/>
  <c r="L1104" i="7"/>
  <c r="K1104" i="7"/>
  <c r="L1103" i="7"/>
  <c r="K1103" i="7"/>
  <c r="L1102" i="7"/>
  <c r="K1102" i="7"/>
  <c r="L1101" i="7"/>
  <c r="K1101" i="7"/>
  <c r="L1100" i="7"/>
  <c r="K1100" i="7"/>
  <c r="L1099" i="7"/>
  <c r="K1099" i="7"/>
  <c r="L1098" i="7"/>
  <c r="K1098" i="7"/>
  <c r="L1097" i="7"/>
  <c r="K1097" i="7"/>
  <c r="L1096" i="7"/>
  <c r="K1096" i="7"/>
  <c r="L1095" i="7"/>
  <c r="K1095" i="7"/>
  <c r="L1094" i="7"/>
  <c r="K1094" i="7"/>
  <c r="L1093" i="7"/>
  <c r="K1093" i="7"/>
  <c r="L1092" i="7"/>
  <c r="K1092" i="7"/>
  <c r="L1091" i="7"/>
  <c r="K1091" i="7"/>
  <c r="L1090" i="7"/>
  <c r="K1090" i="7"/>
  <c r="L1089" i="7"/>
  <c r="K1089" i="7"/>
  <c r="L1088" i="7"/>
  <c r="K1088" i="7"/>
  <c r="L1087" i="7"/>
  <c r="K1087" i="7"/>
  <c r="L1086" i="7"/>
  <c r="K1086" i="7"/>
  <c r="L1085" i="7"/>
  <c r="K1085" i="7"/>
  <c r="L1084" i="7"/>
  <c r="K1084" i="7"/>
  <c r="L1083" i="7"/>
  <c r="K1083" i="7"/>
  <c r="L1082" i="7"/>
  <c r="K1082" i="7"/>
  <c r="L1081" i="7"/>
  <c r="K1081" i="7"/>
  <c r="L1080" i="7"/>
  <c r="K1080" i="7"/>
  <c r="L1079" i="7"/>
  <c r="K1079" i="7"/>
  <c r="L1078" i="7"/>
  <c r="K1078" i="7"/>
  <c r="L1077" i="7"/>
  <c r="K1077" i="7"/>
  <c r="L1076" i="7"/>
  <c r="K1076" i="7"/>
  <c r="L1075" i="7"/>
  <c r="K1075" i="7"/>
  <c r="L1074" i="7"/>
  <c r="K1074" i="7"/>
  <c r="L1073" i="7"/>
  <c r="K1073" i="7"/>
  <c r="L1072" i="7"/>
  <c r="K1072" i="7"/>
  <c r="L1071" i="7"/>
  <c r="K1071" i="7"/>
  <c r="L1070" i="7"/>
  <c r="K1070" i="7"/>
  <c r="L1069" i="7"/>
  <c r="K1069" i="7"/>
  <c r="L1068" i="7"/>
  <c r="K1068" i="7"/>
  <c r="L1067" i="7"/>
  <c r="K1067" i="7"/>
  <c r="L1066" i="7"/>
  <c r="K1066" i="7"/>
  <c r="L1065" i="7"/>
  <c r="K1065" i="7"/>
  <c r="L1064" i="7"/>
  <c r="K1064" i="7"/>
  <c r="L1063" i="7"/>
  <c r="K1063" i="7"/>
  <c r="L1062" i="7"/>
  <c r="K1062" i="7"/>
  <c r="L1061" i="7"/>
  <c r="K1061" i="7"/>
  <c r="L1060" i="7"/>
  <c r="K1060" i="7"/>
  <c r="L1059" i="7"/>
  <c r="K1059" i="7"/>
  <c r="L1058" i="7"/>
  <c r="K1058" i="7"/>
  <c r="L1057" i="7"/>
  <c r="K1057" i="7"/>
  <c r="L1056" i="7"/>
  <c r="K1056" i="7"/>
  <c r="L1055" i="7"/>
  <c r="K1055" i="7"/>
  <c r="L1054" i="7"/>
  <c r="K1054" i="7"/>
  <c r="L1053" i="7"/>
  <c r="K1053" i="7"/>
  <c r="L1052" i="7"/>
  <c r="K1052" i="7"/>
  <c r="L1051" i="7"/>
  <c r="K1051" i="7"/>
  <c r="L1050" i="7"/>
  <c r="K1050" i="7"/>
  <c r="L1049" i="7"/>
  <c r="K1049" i="7"/>
  <c r="L1048" i="7"/>
  <c r="K1048" i="7"/>
  <c r="L1047" i="7"/>
  <c r="K1047" i="7"/>
  <c r="L1046" i="7"/>
  <c r="K1046" i="7"/>
  <c r="L1045" i="7"/>
  <c r="K1045" i="7"/>
  <c r="L1044" i="7"/>
  <c r="K1044" i="7"/>
  <c r="L1043" i="7"/>
  <c r="K1043" i="7"/>
  <c r="L1042" i="7"/>
  <c r="K1042" i="7"/>
  <c r="L1041" i="7"/>
  <c r="K1041" i="7"/>
  <c r="L1040" i="7"/>
  <c r="K1040" i="7"/>
  <c r="L1039" i="7"/>
  <c r="K1039" i="7"/>
  <c r="L1038" i="7"/>
  <c r="K1038" i="7"/>
  <c r="L1037" i="7"/>
  <c r="K1037" i="7"/>
  <c r="L1036" i="7"/>
  <c r="K1036" i="7"/>
  <c r="L1035" i="7"/>
  <c r="K1035" i="7"/>
  <c r="L1034" i="7"/>
  <c r="K1034" i="7"/>
  <c r="L1033" i="7"/>
  <c r="K1033" i="7"/>
  <c r="L1032" i="7"/>
  <c r="K1032" i="7"/>
  <c r="L1031" i="7"/>
  <c r="K1031" i="7"/>
  <c r="L1030" i="7"/>
  <c r="K1030" i="7"/>
  <c r="L1029" i="7"/>
  <c r="K1029" i="7"/>
  <c r="L1028" i="7"/>
  <c r="K1028" i="7"/>
  <c r="L1027" i="7"/>
  <c r="K1027" i="7"/>
  <c r="L1026" i="7"/>
  <c r="K1026" i="7"/>
  <c r="L1025" i="7"/>
  <c r="K1025" i="7"/>
  <c r="L1024" i="7"/>
  <c r="K1024" i="7"/>
  <c r="L1023" i="7"/>
  <c r="K1023" i="7"/>
  <c r="L1022" i="7"/>
  <c r="K1022" i="7"/>
  <c r="L1021" i="7"/>
  <c r="K1021" i="7"/>
  <c r="L1020" i="7"/>
  <c r="K1020" i="7"/>
  <c r="L1019" i="7"/>
  <c r="K1019" i="7"/>
  <c r="L1018" i="7"/>
  <c r="K1018" i="7"/>
  <c r="L1017" i="7"/>
  <c r="K1017" i="7"/>
  <c r="L1016" i="7"/>
  <c r="K1016" i="7"/>
  <c r="L1015" i="7"/>
  <c r="K1015" i="7"/>
  <c r="L1014" i="7"/>
  <c r="K1014" i="7"/>
  <c r="L1013" i="7"/>
  <c r="K1013" i="7"/>
  <c r="L1012" i="7"/>
  <c r="K1012" i="7"/>
  <c r="L1011" i="7"/>
  <c r="K1011" i="7"/>
  <c r="L1010" i="7"/>
  <c r="K1010" i="7"/>
  <c r="L1009" i="7"/>
  <c r="K1009" i="7"/>
  <c r="L1008" i="7"/>
  <c r="K1008" i="7"/>
  <c r="L1007" i="7"/>
  <c r="K1007" i="7"/>
  <c r="L1006" i="7"/>
  <c r="K1006" i="7"/>
  <c r="L1005" i="7"/>
  <c r="K1005" i="7"/>
  <c r="L1004" i="7"/>
  <c r="K1004" i="7"/>
  <c r="L1003" i="7"/>
  <c r="K1003" i="7"/>
  <c r="L1002" i="7"/>
  <c r="K1002" i="7"/>
  <c r="L1001" i="7"/>
  <c r="K1001" i="7"/>
  <c r="L1000" i="7"/>
  <c r="K1000" i="7"/>
  <c r="L999" i="7"/>
  <c r="K999" i="7"/>
  <c r="L998" i="7"/>
  <c r="K998" i="7"/>
  <c r="L997" i="7"/>
  <c r="K997" i="7"/>
  <c r="L996" i="7"/>
  <c r="K996" i="7"/>
  <c r="L995" i="7"/>
  <c r="K995" i="7"/>
  <c r="L994" i="7"/>
  <c r="K994" i="7"/>
  <c r="L993" i="7"/>
  <c r="K993" i="7"/>
  <c r="L992" i="7"/>
  <c r="K992" i="7"/>
  <c r="L991" i="7"/>
  <c r="K991" i="7"/>
  <c r="L990" i="7"/>
  <c r="K990" i="7"/>
  <c r="L989" i="7"/>
  <c r="K989" i="7"/>
  <c r="L988" i="7"/>
  <c r="K988" i="7"/>
  <c r="L987" i="7"/>
  <c r="K987" i="7"/>
  <c r="L986" i="7"/>
  <c r="K986" i="7"/>
  <c r="L985" i="7"/>
  <c r="K985" i="7"/>
  <c r="L984" i="7"/>
  <c r="K984" i="7"/>
  <c r="L983" i="7"/>
  <c r="K983" i="7"/>
  <c r="L982" i="7"/>
  <c r="K982" i="7"/>
  <c r="L981" i="7"/>
  <c r="K981" i="7"/>
  <c r="L980" i="7"/>
  <c r="K980" i="7"/>
  <c r="L979" i="7"/>
  <c r="K979" i="7"/>
  <c r="L978" i="7"/>
  <c r="K978" i="7"/>
  <c r="L977" i="7"/>
  <c r="K977" i="7"/>
  <c r="L976" i="7"/>
  <c r="K976" i="7"/>
  <c r="L975" i="7"/>
  <c r="K975" i="7"/>
  <c r="L974" i="7"/>
  <c r="K974" i="7"/>
  <c r="L973" i="7"/>
  <c r="K973" i="7"/>
  <c r="L972" i="7"/>
  <c r="K972" i="7"/>
  <c r="L971" i="7"/>
  <c r="K971" i="7"/>
  <c r="L970" i="7"/>
  <c r="K970" i="7"/>
  <c r="L969" i="7"/>
  <c r="K969" i="7"/>
  <c r="L968" i="7"/>
  <c r="K968" i="7"/>
  <c r="L967" i="7"/>
  <c r="K967" i="7"/>
  <c r="L966" i="7"/>
  <c r="K966" i="7"/>
  <c r="L965" i="7"/>
  <c r="K965" i="7"/>
  <c r="L964" i="7"/>
  <c r="K964" i="7"/>
  <c r="L963" i="7"/>
  <c r="K963" i="7"/>
  <c r="L962" i="7"/>
  <c r="K962" i="7"/>
  <c r="L961" i="7"/>
  <c r="K961" i="7"/>
  <c r="L960" i="7"/>
  <c r="K960" i="7"/>
  <c r="L959" i="7"/>
  <c r="K959" i="7"/>
  <c r="L958" i="7"/>
  <c r="K958" i="7"/>
  <c r="L957" i="7"/>
  <c r="K957" i="7"/>
  <c r="L956" i="7"/>
  <c r="K956" i="7"/>
  <c r="L955" i="7"/>
  <c r="K955" i="7"/>
  <c r="L954" i="7"/>
  <c r="K954" i="7"/>
  <c r="L953" i="7"/>
  <c r="K953" i="7"/>
  <c r="L952" i="7"/>
  <c r="K952" i="7"/>
  <c r="L951" i="7"/>
  <c r="K951" i="7"/>
  <c r="L950" i="7"/>
  <c r="K950" i="7"/>
  <c r="L949" i="7"/>
  <c r="K949" i="7"/>
  <c r="L948" i="7"/>
  <c r="K948" i="7"/>
  <c r="L947" i="7"/>
  <c r="K947" i="7"/>
  <c r="L946" i="7"/>
  <c r="K946" i="7"/>
  <c r="L945" i="7"/>
  <c r="K945" i="7"/>
  <c r="L944" i="7"/>
  <c r="K944" i="7"/>
  <c r="L943" i="7"/>
  <c r="K943" i="7"/>
  <c r="L942" i="7"/>
  <c r="K942" i="7"/>
  <c r="L941" i="7"/>
  <c r="K941" i="7"/>
  <c r="L940" i="7"/>
  <c r="K940" i="7"/>
  <c r="L939" i="7"/>
  <c r="K939" i="7"/>
  <c r="L938" i="7"/>
  <c r="K938" i="7"/>
  <c r="L937" i="7"/>
  <c r="K937" i="7"/>
  <c r="L936" i="7"/>
  <c r="K936" i="7"/>
  <c r="L935" i="7"/>
  <c r="K935" i="7"/>
  <c r="L934" i="7"/>
  <c r="K934" i="7"/>
  <c r="L933" i="7"/>
  <c r="K933" i="7"/>
  <c r="L932" i="7"/>
  <c r="K932" i="7"/>
  <c r="L931" i="7"/>
  <c r="K931" i="7"/>
  <c r="L930" i="7"/>
  <c r="K930" i="7"/>
  <c r="L929" i="7"/>
  <c r="K929" i="7"/>
  <c r="L928" i="7"/>
  <c r="K928" i="7"/>
  <c r="L927" i="7"/>
  <c r="K927" i="7"/>
  <c r="L926" i="7"/>
  <c r="K926" i="7"/>
  <c r="L925" i="7"/>
  <c r="K925" i="7"/>
  <c r="L924" i="7"/>
  <c r="K924" i="7"/>
  <c r="L923" i="7"/>
  <c r="K923" i="7"/>
  <c r="L922" i="7"/>
  <c r="K922" i="7"/>
  <c r="L921" i="7"/>
  <c r="K921" i="7"/>
  <c r="L920" i="7"/>
  <c r="K920" i="7"/>
  <c r="L919" i="7"/>
  <c r="K919" i="7"/>
  <c r="L918" i="7"/>
  <c r="K918" i="7"/>
  <c r="L917" i="7"/>
  <c r="K917" i="7"/>
  <c r="L916" i="7"/>
  <c r="K916" i="7"/>
  <c r="L915" i="7"/>
  <c r="K915" i="7"/>
  <c r="L914" i="7"/>
  <c r="K914" i="7"/>
  <c r="L913" i="7"/>
  <c r="K913" i="7"/>
  <c r="L912" i="7"/>
  <c r="K912" i="7"/>
  <c r="L911" i="7"/>
  <c r="K911" i="7"/>
  <c r="L910" i="7"/>
  <c r="K910" i="7"/>
  <c r="L909" i="7"/>
  <c r="K909" i="7"/>
  <c r="L908" i="7"/>
  <c r="K908" i="7"/>
  <c r="L907" i="7"/>
  <c r="K907" i="7"/>
  <c r="L906" i="7"/>
  <c r="K906" i="7"/>
  <c r="L905" i="7"/>
  <c r="K905" i="7"/>
  <c r="L904" i="7"/>
  <c r="K904" i="7"/>
  <c r="L903" i="7"/>
  <c r="K903" i="7"/>
  <c r="L902" i="7"/>
  <c r="K902" i="7"/>
  <c r="L901" i="7"/>
  <c r="K901" i="7"/>
  <c r="L900" i="7"/>
  <c r="K900" i="7"/>
  <c r="L899" i="7"/>
  <c r="K899" i="7"/>
  <c r="L898" i="7"/>
  <c r="K898" i="7"/>
  <c r="L897" i="7"/>
  <c r="K897" i="7"/>
  <c r="L896" i="7"/>
  <c r="K896" i="7"/>
  <c r="L895" i="7"/>
  <c r="K895" i="7"/>
  <c r="L894" i="7"/>
  <c r="K894" i="7"/>
  <c r="L893" i="7"/>
  <c r="K893" i="7"/>
  <c r="L892" i="7"/>
  <c r="K892" i="7"/>
  <c r="L891" i="7"/>
  <c r="K891" i="7"/>
  <c r="L890" i="7"/>
  <c r="K890" i="7"/>
  <c r="L889" i="7"/>
  <c r="K889" i="7"/>
  <c r="L888" i="7"/>
  <c r="K888" i="7"/>
  <c r="L887" i="7"/>
  <c r="K887" i="7"/>
  <c r="L886" i="7"/>
  <c r="K886" i="7"/>
  <c r="L885" i="7"/>
  <c r="K885" i="7"/>
  <c r="L884" i="7"/>
  <c r="K884" i="7"/>
  <c r="L883" i="7"/>
  <c r="K883" i="7"/>
  <c r="L882" i="7"/>
  <c r="K882" i="7"/>
  <c r="L881" i="7"/>
  <c r="K881" i="7"/>
  <c r="L880" i="7"/>
  <c r="K880" i="7"/>
  <c r="L879" i="7"/>
  <c r="K879" i="7"/>
  <c r="L878" i="7"/>
  <c r="K878" i="7"/>
  <c r="L877" i="7"/>
  <c r="K877" i="7"/>
  <c r="L876" i="7"/>
  <c r="K876" i="7"/>
  <c r="L875" i="7"/>
  <c r="K875" i="7"/>
  <c r="L874" i="7"/>
  <c r="K874" i="7"/>
  <c r="L873" i="7"/>
  <c r="K873" i="7"/>
  <c r="L872" i="7"/>
  <c r="K872" i="7"/>
  <c r="L871" i="7"/>
  <c r="K871" i="7"/>
  <c r="L870" i="7"/>
  <c r="K870" i="7"/>
  <c r="L869" i="7"/>
  <c r="K869" i="7"/>
  <c r="L868" i="7"/>
  <c r="K868" i="7"/>
  <c r="L867" i="7"/>
  <c r="K867" i="7"/>
  <c r="L866" i="7"/>
  <c r="K866" i="7"/>
  <c r="L865" i="7"/>
  <c r="K865" i="7"/>
  <c r="L864" i="7"/>
  <c r="K864" i="7"/>
  <c r="L863" i="7"/>
  <c r="K863" i="7"/>
  <c r="L862" i="7"/>
  <c r="K862" i="7"/>
  <c r="L861" i="7"/>
  <c r="K861" i="7"/>
  <c r="L860" i="7"/>
  <c r="K860" i="7"/>
  <c r="L859" i="7"/>
  <c r="K859" i="7"/>
  <c r="L858" i="7"/>
  <c r="K858" i="7"/>
  <c r="L857" i="7"/>
  <c r="K857" i="7"/>
  <c r="L856" i="7"/>
  <c r="K856" i="7"/>
  <c r="L855" i="7"/>
  <c r="K855" i="7"/>
  <c r="L854" i="7"/>
  <c r="K854" i="7"/>
  <c r="L853" i="7"/>
  <c r="K853" i="7"/>
  <c r="L852" i="7"/>
  <c r="K852" i="7"/>
  <c r="L851" i="7"/>
  <c r="K851" i="7"/>
  <c r="L850" i="7"/>
  <c r="K850" i="7"/>
  <c r="L849" i="7"/>
  <c r="K849" i="7"/>
  <c r="L848" i="7"/>
  <c r="K848" i="7"/>
  <c r="L847" i="7"/>
  <c r="K847" i="7"/>
  <c r="L846" i="7"/>
  <c r="K846" i="7"/>
  <c r="L845" i="7"/>
  <c r="K845" i="7"/>
  <c r="L844" i="7"/>
  <c r="K844" i="7"/>
  <c r="L843" i="7"/>
  <c r="K843" i="7"/>
  <c r="L842" i="7"/>
  <c r="K842" i="7"/>
  <c r="L841" i="7"/>
  <c r="K841" i="7"/>
  <c r="L840" i="7"/>
  <c r="K840" i="7"/>
  <c r="L839" i="7"/>
  <c r="K839" i="7"/>
  <c r="L838" i="7"/>
  <c r="K838" i="7"/>
  <c r="L837" i="7"/>
  <c r="K837" i="7"/>
  <c r="L836" i="7"/>
  <c r="K836" i="7"/>
  <c r="L835" i="7"/>
  <c r="K835" i="7"/>
  <c r="L834" i="7"/>
  <c r="K834" i="7"/>
  <c r="L833" i="7"/>
  <c r="K833" i="7"/>
  <c r="L832" i="7"/>
  <c r="K832" i="7"/>
  <c r="L831" i="7"/>
  <c r="K831" i="7"/>
  <c r="L830" i="7"/>
  <c r="K830" i="7"/>
  <c r="L829" i="7"/>
  <c r="K829" i="7"/>
  <c r="L828" i="7"/>
  <c r="K828" i="7"/>
  <c r="L827" i="7"/>
  <c r="K827" i="7"/>
  <c r="L826" i="7"/>
  <c r="K826" i="7"/>
  <c r="L825" i="7"/>
  <c r="K825" i="7"/>
  <c r="L824" i="7"/>
  <c r="K824" i="7"/>
  <c r="L823" i="7"/>
  <c r="K823" i="7"/>
  <c r="L822" i="7"/>
  <c r="K822" i="7"/>
  <c r="L821" i="7"/>
  <c r="K821" i="7"/>
  <c r="L820" i="7"/>
  <c r="K820" i="7"/>
  <c r="L819" i="7"/>
  <c r="K819" i="7"/>
  <c r="L818" i="7"/>
  <c r="K818" i="7"/>
  <c r="L817" i="7"/>
  <c r="K817" i="7"/>
  <c r="L816" i="7"/>
  <c r="K816" i="7"/>
  <c r="L815" i="7"/>
  <c r="K815" i="7"/>
  <c r="L814" i="7"/>
  <c r="K814" i="7"/>
  <c r="L813" i="7"/>
  <c r="K813" i="7"/>
  <c r="L812" i="7"/>
  <c r="K812" i="7"/>
  <c r="L811" i="7"/>
  <c r="K811" i="7"/>
  <c r="L810" i="7"/>
  <c r="K810" i="7"/>
  <c r="L809" i="7"/>
  <c r="K809" i="7"/>
  <c r="L808" i="7"/>
  <c r="K808" i="7"/>
  <c r="L807" i="7"/>
  <c r="K807" i="7"/>
  <c r="L806" i="7"/>
  <c r="K806" i="7"/>
  <c r="L805" i="7"/>
  <c r="K805" i="7"/>
  <c r="L804" i="7"/>
  <c r="K804" i="7"/>
  <c r="L803" i="7"/>
  <c r="K803" i="7"/>
  <c r="L802" i="7"/>
  <c r="K802" i="7"/>
  <c r="L801" i="7"/>
  <c r="K801" i="7"/>
  <c r="L800" i="7"/>
  <c r="K800" i="7"/>
  <c r="L799" i="7"/>
  <c r="K799" i="7"/>
  <c r="L798" i="7"/>
  <c r="K798" i="7"/>
  <c r="L797" i="7"/>
  <c r="K797" i="7"/>
  <c r="L796" i="7"/>
  <c r="K796" i="7"/>
  <c r="L795" i="7"/>
  <c r="K795" i="7"/>
  <c r="L794" i="7"/>
  <c r="K794" i="7"/>
  <c r="L793" i="7"/>
  <c r="K793" i="7"/>
  <c r="L792" i="7"/>
  <c r="K792" i="7"/>
  <c r="L791" i="7"/>
  <c r="K791" i="7"/>
  <c r="L790" i="7"/>
  <c r="K790" i="7"/>
  <c r="L789" i="7"/>
  <c r="K789" i="7"/>
  <c r="L788" i="7"/>
  <c r="K788" i="7"/>
  <c r="L787" i="7"/>
  <c r="K787" i="7"/>
  <c r="L786" i="7"/>
  <c r="K786" i="7"/>
  <c r="L785" i="7"/>
  <c r="K785" i="7"/>
  <c r="L784" i="7"/>
  <c r="K784" i="7"/>
  <c r="L783" i="7"/>
  <c r="K783" i="7"/>
  <c r="L782" i="7"/>
  <c r="K782" i="7"/>
  <c r="L781" i="7"/>
  <c r="K781" i="7"/>
  <c r="L780" i="7"/>
  <c r="K780" i="7"/>
  <c r="L779" i="7"/>
  <c r="K779" i="7"/>
  <c r="L778" i="7"/>
  <c r="K778" i="7"/>
  <c r="L777" i="7"/>
  <c r="K777" i="7"/>
  <c r="L776" i="7"/>
  <c r="K776" i="7"/>
  <c r="L775" i="7"/>
  <c r="K775" i="7"/>
  <c r="L774" i="7"/>
  <c r="K774" i="7"/>
  <c r="L773" i="7"/>
  <c r="K773" i="7"/>
  <c r="L772" i="7"/>
  <c r="K772" i="7"/>
  <c r="L771" i="7"/>
  <c r="K771" i="7"/>
  <c r="L770" i="7"/>
  <c r="K770" i="7"/>
  <c r="L769" i="7"/>
  <c r="K769" i="7"/>
  <c r="L768" i="7"/>
  <c r="K768" i="7"/>
  <c r="L767" i="7"/>
  <c r="K767" i="7"/>
  <c r="L766" i="7"/>
  <c r="K766" i="7"/>
  <c r="L765" i="7"/>
  <c r="K765" i="7"/>
  <c r="L764" i="7"/>
  <c r="K764" i="7"/>
  <c r="L763" i="7"/>
  <c r="K763" i="7"/>
  <c r="L762" i="7"/>
  <c r="K762" i="7"/>
  <c r="L761" i="7"/>
  <c r="K761" i="7"/>
  <c r="L760" i="7"/>
  <c r="K760" i="7"/>
  <c r="L759" i="7"/>
  <c r="K759" i="7"/>
  <c r="L758" i="7"/>
  <c r="K758" i="7"/>
  <c r="L757" i="7"/>
  <c r="K757" i="7"/>
  <c r="L756" i="7"/>
  <c r="K756" i="7"/>
  <c r="L755" i="7"/>
  <c r="K755" i="7"/>
  <c r="L754" i="7"/>
  <c r="K754" i="7"/>
  <c r="L753" i="7"/>
  <c r="K753" i="7"/>
  <c r="L752" i="7"/>
  <c r="K752" i="7"/>
  <c r="L751" i="7"/>
  <c r="K751" i="7"/>
  <c r="L750" i="7"/>
  <c r="K750" i="7"/>
  <c r="L749" i="7"/>
  <c r="K749" i="7"/>
  <c r="L748" i="7"/>
  <c r="K748" i="7"/>
  <c r="L747" i="7"/>
  <c r="K747" i="7"/>
  <c r="L746" i="7"/>
  <c r="K746" i="7"/>
  <c r="L745" i="7"/>
  <c r="K745" i="7"/>
  <c r="L744" i="7"/>
  <c r="K744" i="7"/>
  <c r="L743" i="7"/>
  <c r="K743" i="7"/>
  <c r="L742" i="7"/>
  <c r="K742" i="7"/>
  <c r="L741" i="7"/>
  <c r="K741" i="7"/>
  <c r="L740" i="7"/>
  <c r="K740" i="7"/>
  <c r="L739" i="7"/>
  <c r="K739" i="7"/>
  <c r="L738" i="7"/>
  <c r="K738" i="7"/>
  <c r="L737" i="7"/>
  <c r="K737" i="7"/>
  <c r="L736" i="7"/>
  <c r="K736" i="7"/>
  <c r="L735" i="7"/>
  <c r="K735" i="7"/>
  <c r="L734" i="7"/>
  <c r="K734" i="7"/>
  <c r="L733" i="7"/>
  <c r="K733" i="7"/>
  <c r="L732" i="7"/>
  <c r="K732" i="7"/>
  <c r="L731" i="7"/>
  <c r="K731" i="7"/>
  <c r="L730" i="7"/>
  <c r="K730" i="7"/>
  <c r="L729" i="7"/>
  <c r="K729" i="7"/>
  <c r="L728" i="7"/>
  <c r="K728" i="7"/>
  <c r="L727" i="7"/>
  <c r="K727" i="7"/>
  <c r="L726" i="7"/>
  <c r="K726" i="7"/>
  <c r="L725" i="7"/>
  <c r="K725" i="7"/>
  <c r="L724" i="7"/>
  <c r="K724" i="7"/>
  <c r="L723" i="7"/>
  <c r="K723" i="7"/>
  <c r="L722" i="7"/>
  <c r="K722" i="7"/>
  <c r="L721" i="7"/>
  <c r="K721" i="7"/>
  <c r="L720" i="7"/>
  <c r="K720" i="7"/>
  <c r="L719" i="7"/>
  <c r="K719" i="7"/>
  <c r="L718" i="7"/>
  <c r="K718" i="7"/>
  <c r="L717" i="7"/>
  <c r="K717" i="7"/>
  <c r="L716" i="7"/>
  <c r="K716" i="7"/>
  <c r="L715" i="7"/>
  <c r="K715" i="7"/>
  <c r="L714" i="7"/>
  <c r="K714" i="7"/>
  <c r="L713" i="7"/>
  <c r="K713" i="7"/>
  <c r="L712" i="7"/>
  <c r="K712" i="7"/>
  <c r="L711" i="7"/>
  <c r="K711" i="7"/>
  <c r="L710" i="7"/>
  <c r="K710" i="7"/>
  <c r="L709" i="7"/>
  <c r="K709" i="7"/>
  <c r="L708" i="7"/>
  <c r="K708" i="7"/>
  <c r="L707" i="7"/>
  <c r="K707" i="7"/>
  <c r="L706" i="7"/>
  <c r="K706" i="7"/>
  <c r="L705" i="7"/>
  <c r="K705" i="7"/>
  <c r="L704" i="7"/>
  <c r="K704" i="7"/>
  <c r="L703" i="7"/>
  <c r="K703" i="7"/>
  <c r="L702" i="7"/>
  <c r="K702" i="7"/>
  <c r="L701" i="7"/>
  <c r="K701" i="7"/>
  <c r="L700" i="7"/>
  <c r="K700" i="7"/>
  <c r="L699" i="7"/>
  <c r="K699" i="7"/>
  <c r="L698" i="7"/>
  <c r="K698" i="7"/>
  <c r="L697" i="7"/>
  <c r="K697" i="7"/>
  <c r="L696" i="7"/>
  <c r="K696" i="7"/>
  <c r="L695" i="7"/>
  <c r="K695" i="7"/>
  <c r="L694" i="7"/>
  <c r="K694" i="7"/>
  <c r="L693" i="7"/>
  <c r="K693" i="7"/>
  <c r="L692" i="7"/>
  <c r="K692" i="7"/>
  <c r="L691" i="7"/>
  <c r="K691" i="7"/>
  <c r="L690" i="7"/>
  <c r="K690" i="7"/>
  <c r="L689" i="7"/>
  <c r="K689" i="7"/>
  <c r="L688" i="7"/>
  <c r="K688" i="7"/>
  <c r="L687" i="7"/>
  <c r="K687" i="7"/>
  <c r="L686" i="7"/>
  <c r="K686" i="7"/>
  <c r="L685" i="7"/>
  <c r="K685" i="7"/>
  <c r="L684" i="7"/>
  <c r="K684" i="7"/>
  <c r="L683" i="7"/>
  <c r="K683" i="7"/>
  <c r="L682" i="7"/>
  <c r="K682" i="7"/>
  <c r="L681" i="7"/>
  <c r="K681" i="7"/>
  <c r="L680" i="7"/>
  <c r="K680" i="7"/>
  <c r="L679" i="7"/>
  <c r="K679" i="7"/>
  <c r="L678" i="7"/>
  <c r="K678" i="7"/>
  <c r="L677" i="7"/>
  <c r="K677" i="7"/>
  <c r="L676" i="7"/>
  <c r="K676" i="7"/>
  <c r="L675" i="7"/>
  <c r="K675" i="7"/>
  <c r="L674" i="7"/>
  <c r="K674" i="7"/>
  <c r="L673" i="7"/>
  <c r="K673" i="7"/>
  <c r="L672" i="7"/>
  <c r="K672" i="7"/>
  <c r="L671" i="7"/>
  <c r="K671" i="7"/>
  <c r="L670" i="7"/>
  <c r="K670" i="7"/>
  <c r="L669" i="7"/>
  <c r="K669" i="7"/>
  <c r="L668" i="7"/>
  <c r="K668" i="7"/>
  <c r="L667" i="7"/>
  <c r="K667" i="7"/>
  <c r="L666" i="7"/>
  <c r="K666" i="7"/>
  <c r="L665" i="7"/>
  <c r="K665" i="7"/>
  <c r="L664" i="7"/>
  <c r="K664" i="7"/>
  <c r="L663" i="7"/>
  <c r="K663" i="7"/>
  <c r="L662" i="7"/>
  <c r="K662" i="7"/>
  <c r="L661" i="7"/>
  <c r="K661" i="7"/>
  <c r="L660" i="7"/>
  <c r="K660" i="7"/>
  <c r="L659" i="7"/>
  <c r="K659" i="7"/>
  <c r="L658" i="7"/>
  <c r="K658" i="7"/>
  <c r="L657" i="7"/>
  <c r="K657" i="7"/>
  <c r="L656" i="7"/>
  <c r="K656" i="7"/>
  <c r="L655" i="7"/>
  <c r="K655" i="7"/>
  <c r="L654" i="7"/>
  <c r="K654" i="7"/>
  <c r="L653" i="7"/>
  <c r="K653" i="7"/>
  <c r="L652" i="7"/>
  <c r="K652" i="7"/>
  <c r="L651" i="7"/>
  <c r="K651" i="7"/>
  <c r="L650" i="7"/>
  <c r="K650" i="7"/>
  <c r="L649" i="7"/>
  <c r="K649" i="7"/>
  <c r="L648" i="7"/>
  <c r="K648" i="7"/>
  <c r="L647" i="7"/>
  <c r="K647" i="7"/>
  <c r="L646" i="7"/>
  <c r="K646" i="7"/>
  <c r="L645" i="7"/>
  <c r="K645" i="7"/>
  <c r="L644" i="7"/>
  <c r="K644" i="7"/>
  <c r="L643" i="7"/>
  <c r="K643" i="7"/>
  <c r="L642" i="7"/>
  <c r="K642" i="7"/>
  <c r="L641" i="7"/>
  <c r="K641" i="7"/>
  <c r="L640" i="7"/>
  <c r="K640" i="7"/>
  <c r="L639" i="7"/>
  <c r="K639" i="7"/>
  <c r="L638" i="7"/>
  <c r="K638" i="7"/>
  <c r="L637" i="7"/>
  <c r="K637" i="7"/>
  <c r="L636" i="7"/>
  <c r="K636" i="7"/>
  <c r="L635" i="7"/>
  <c r="K635" i="7"/>
  <c r="L634" i="7"/>
  <c r="K634" i="7"/>
  <c r="L633" i="7"/>
  <c r="K633" i="7"/>
  <c r="L632" i="7"/>
  <c r="K632" i="7"/>
  <c r="L631" i="7"/>
  <c r="K631" i="7"/>
  <c r="L630" i="7"/>
  <c r="K630" i="7"/>
  <c r="L629" i="7"/>
  <c r="K629" i="7"/>
  <c r="L628" i="7"/>
  <c r="K628" i="7"/>
  <c r="L627" i="7"/>
  <c r="K627" i="7"/>
  <c r="L626" i="7"/>
  <c r="K626" i="7"/>
  <c r="L625" i="7"/>
  <c r="K625" i="7"/>
  <c r="L624" i="7"/>
  <c r="K624" i="7"/>
  <c r="L623" i="7"/>
  <c r="K623" i="7"/>
  <c r="L622" i="7"/>
  <c r="K622" i="7"/>
  <c r="L621" i="7"/>
  <c r="K621" i="7"/>
  <c r="L620" i="7"/>
  <c r="K620" i="7"/>
  <c r="L619" i="7"/>
  <c r="K619" i="7"/>
  <c r="L618" i="7"/>
  <c r="K618" i="7"/>
  <c r="L617" i="7"/>
  <c r="K617" i="7"/>
  <c r="L616" i="7"/>
  <c r="K616" i="7"/>
  <c r="L615" i="7"/>
  <c r="K615" i="7"/>
  <c r="L614" i="7"/>
  <c r="K614" i="7"/>
  <c r="L613" i="7"/>
  <c r="K613" i="7"/>
  <c r="L612" i="7"/>
  <c r="K612" i="7"/>
  <c r="L611" i="7"/>
  <c r="K611" i="7"/>
  <c r="L610" i="7"/>
  <c r="K610" i="7"/>
  <c r="L609" i="7"/>
  <c r="K609" i="7"/>
  <c r="L608" i="7"/>
  <c r="K608" i="7"/>
  <c r="L607" i="7"/>
  <c r="K607" i="7"/>
  <c r="L606" i="7"/>
  <c r="K606" i="7"/>
  <c r="L605" i="7"/>
  <c r="K605" i="7"/>
  <c r="L604" i="7"/>
  <c r="K604" i="7"/>
  <c r="L603" i="7"/>
  <c r="K603" i="7"/>
  <c r="L602" i="7"/>
  <c r="K602" i="7"/>
  <c r="L601" i="7"/>
  <c r="K601" i="7"/>
  <c r="L600" i="7"/>
  <c r="K600" i="7"/>
  <c r="L599" i="7"/>
  <c r="K599" i="7"/>
  <c r="L598" i="7"/>
  <c r="K598" i="7"/>
  <c r="L597" i="7"/>
  <c r="K597" i="7"/>
  <c r="L596" i="7"/>
  <c r="K596" i="7"/>
  <c r="L595" i="7"/>
  <c r="K595" i="7"/>
  <c r="L594" i="7"/>
  <c r="K594" i="7"/>
  <c r="L593" i="7"/>
  <c r="K593" i="7"/>
  <c r="L592" i="7"/>
  <c r="K592" i="7"/>
  <c r="L591" i="7"/>
  <c r="K591" i="7"/>
  <c r="L590" i="7"/>
  <c r="K590" i="7"/>
  <c r="L589" i="7"/>
  <c r="K589" i="7"/>
  <c r="L588" i="7"/>
  <c r="K588" i="7"/>
  <c r="L587" i="7"/>
  <c r="K587" i="7"/>
  <c r="L586" i="7"/>
  <c r="K586" i="7"/>
  <c r="L585" i="7"/>
  <c r="K585" i="7"/>
  <c r="L584" i="7"/>
  <c r="K584" i="7"/>
  <c r="L583" i="7"/>
  <c r="K583" i="7"/>
  <c r="L582" i="7"/>
  <c r="K582" i="7"/>
  <c r="L581" i="7"/>
  <c r="K581" i="7"/>
  <c r="L580" i="7"/>
  <c r="K580" i="7"/>
  <c r="L579" i="7"/>
  <c r="K579" i="7"/>
  <c r="L578" i="7"/>
  <c r="K578" i="7"/>
  <c r="L577" i="7"/>
  <c r="K577" i="7"/>
  <c r="L576" i="7"/>
  <c r="K576" i="7"/>
  <c r="L575" i="7"/>
  <c r="K575" i="7"/>
  <c r="L574" i="7"/>
  <c r="K574" i="7"/>
  <c r="L573" i="7"/>
  <c r="K573" i="7"/>
  <c r="L572" i="7"/>
  <c r="K572" i="7"/>
  <c r="L571" i="7"/>
  <c r="K571" i="7"/>
  <c r="L570" i="7"/>
  <c r="K570" i="7"/>
  <c r="L569" i="7"/>
  <c r="K569" i="7"/>
  <c r="L568" i="7"/>
  <c r="K568" i="7"/>
  <c r="L567" i="7"/>
  <c r="K567" i="7"/>
  <c r="L566" i="7"/>
  <c r="K566" i="7"/>
  <c r="L565" i="7"/>
  <c r="K565" i="7"/>
  <c r="L564" i="7"/>
  <c r="K564" i="7"/>
  <c r="L563" i="7"/>
  <c r="K563" i="7"/>
  <c r="L562" i="7"/>
  <c r="K562" i="7"/>
  <c r="L561" i="7"/>
  <c r="K561" i="7"/>
  <c r="L560" i="7"/>
  <c r="K560" i="7"/>
  <c r="L559" i="7"/>
  <c r="K559" i="7"/>
  <c r="L558" i="7"/>
  <c r="K558" i="7"/>
  <c r="L557" i="7"/>
  <c r="K557" i="7"/>
  <c r="L556" i="7"/>
  <c r="K556" i="7"/>
  <c r="L555" i="7"/>
  <c r="K555" i="7"/>
  <c r="L554" i="7"/>
  <c r="K554" i="7"/>
  <c r="L553" i="7"/>
  <c r="K553" i="7"/>
  <c r="L552" i="7"/>
  <c r="K552" i="7"/>
  <c r="L551" i="7"/>
  <c r="K551" i="7"/>
  <c r="L550" i="7"/>
  <c r="K550" i="7"/>
  <c r="L549" i="7"/>
  <c r="K549" i="7"/>
  <c r="L548" i="7"/>
  <c r="K548" i="7"/>
  <c r="L547" i="7"/>
  <c r="K547" i="7"/>
  <c r="L546" i="7"/>
  <c r="K546" i="7"/>
  <c r="L545" i="7"/>
  <c r="K545" i="7"/>
  <c r="L544" i="7"/>
  <c r="K544" i="7"/>
  <c r="L543" i="7"/>
  <c r="K543" i="7"/>
  <c r="L542" i="7"/>
  <c r="K542" i="7"/>
  <c r="L541" i="7"/>
  <c r="K541" i="7"/>
  <c r="L540" i="7"/>
  <c r="K540" i="7"/>
  <c r="L539" i="7"/>
  <c r="K539" i="7"/>
  <c r="L538" i="7"/>
  <c r="K538" i="7"/>
  <c r="L537" i="7"/>
  <c r="K537" i="7"/>
  <c r="L536" i="7"/>
  <c r="K536" i="7"/>
  <c r="L535" i="7"/>
  <c r="K535" i="7"/>
  <c r="L534" i="7"/>
  <c r="K534" i="7"/>
  <c r="L533" i="7"/>
  <c r="K533" i="7"/>
  <c r="L532" i="7"/>
  <c r="K532" i="7"/>
  <c r="L531" i="7"/>
  <c r="K531" i="7"/>
  <c r="L530" i="7"/>
  <c r="K530" i="7"/>
  <c r="L529" i="7"/>
  <c r="K529" i="7"/>
  <c r="L528" i="7"/>
  <c r="K528" i="7"/>
  <c r="L527" i="7"/>
  <c r="K527" i="7"/>
  <c r="L526" i="7"/>
  <c r="K526" i="7"/>
  <c r="L525" i="7"/>
  <c r="K525" i="7"/>
  <c r="L524" i="7"/>
  <c r="K524" i="7"/>
  <c r="L523" i="7"/>
  <c r="K523" i="7"/>
  <c r="L522" i="7"/>
  <c r="K522" i="7"/>
  <c r="L521" i="7"/>
  <c r="K521" i="7"/>
  <c r="L520" i="7"/>
  <c r="K520" i="7"/>
  <c r="L519" i="7"/>
  <c r="K519" i="7"/>
  <c r="L518" i="7"/>
  <c r="K518" i="7"/>
  <c r="L517" i="7"/>
  <c r="K517" i="7"/>
  <c r="L516" i="7"/>
  <c r="K516" i="7"/>
  <c r="L515" i="7"/>
  <c r="K515" i="7"/>
  <c r="L514" i="7"/>
  <c r="K514" i="7"/>
  <c r="L513" i="7"/>
  <c r="K513" i="7"/>
  <c r="L512" i="7"/>
  <c r="K512" i="7"/>
  <c r="L511" i="7"/>
  <c r="K511" i="7"/>
  <c r="L510" i="7"/>
  <c r="K510" i="7"/>
  <c r="L509" i="7"/>
  <c r="K509" i="7"/>
  <c r="L508" i="7"/>
  <c r="K508" i="7"/>
  <c r="L507" i="7"/>
  <c r="K507" i="7"/>
  <c r="L506" i="7"/>
  <c r="K506" i="7"/>
  <c r="L505" i="7"/>
  <c r="K505" i="7"/>
  <c r="L504" i="7"/>
  <c r="K504" i="7"/>
  <c r="L503" i="7"/>
  <c r="K503" i="7"/>
  <c r="L502" i="7"/>
  <c r="K502" i="7"/>
  <c r="L501" i="7"/>
  <c r="K501" i="7"/>
  <c r="L500" i="7"/>
  <c r="K500" i="7"/>
  <c r="L499" i="7"/>
  <c r="K499" i="7"/>
  <c r="L498" i="7"/>
  <c r="K498" i="7"/>
  <c r="L497" i="7"/>
  <c r="K497" i="7"/>
  <c r="L496" i="7"/>
  <c r="K496" i="7"/>
  <c r="L495" i="7"/>
  <c r="K495" i="7"/>
  <c r="L494" i="7"/>
  <c r="K494" i="7"/>
  <c r="L493" i="7"/>
  <c r="K493" i="7"/>
  <c r="L492" i="7"/>
  <c r="K492" i="7"/>
  <c r="L491" i="7"/>
  <c r="K491" i="7"/>
  <c r="L490" i="7"/>
  <c r="K490" i="7"/>
  <c r="L489" i="7"/>
  <c r="K489" i="7"/>
  <c r="L488" i="7"/>
  <c r="K488" i="7"/>
  <c r="L487" i="7"/>
  <c r="K487" i="7"/>
  <c r="L486" i="7"/>
  <c r="K486" i="7"/>
  <c r="L485" i="7"/>
  <c r="K485" i="7"/>
  <c r="L484" i="7"/>
  <c r="K484" i="7"/>
  <c r="L483" i="7"/>
  <c r="K483" i="7"/>
  <c r="L482" i="7"/>
  <c r="K482" i="7"/>
  <c r="L481" i="7"/>
  <c r="K481" i="7"/>
  <c r="L480" i="7"/>
  <c r="K480" i="7"/>
  <c r="L479" i="7"/>
  <c r="K479" i="7"/>
  <c r="L478" i="7"/>
  <c r="K478" i="7"/>
  <c r="L477" i="7"/>
  <c r="K477" i="7"/>
  <c r="L476" i="7"/>
  <c r="K476" i="7"/>
  <c r="L475" i="7"/>
  <c r="K475" i="7"/>
  <c r="L474" i="7"/>
  <c r="K474" i="7"/>
  <c r="L473" i="7"/>
  <c r="K473" i="7"/>
  <c r="L472" i="7"/>
  <c r="K472" i="7"/>
  <c r="L471" i="7"/>
  <c r="K471" i="7"/>
  <c r="L470" i="7"/>
  <c r="K470" i="7"/>
  <c r="L469" i="7"/>
  <c r="K469" i="7"/>
  <c r="L468" i="7"/>
  <c r="K468" i="7"/>
  <c r="L467" i="7"/>
  <c r="K467" i="7"/>
  <c r="L466" i="7"/>
  <c r="K466" i="7"/>
  <c r="L465" i="7"/>
  <c r="K465" i="7"/>
  <c r="L464" i="7"/>
  <c r="K464" i="7"/>
  <c r="L463" i="7"/>
  <c r="K463" i="7"/>
  <c r="L462" i="7"/>
  <c r="K462" i="7"/>
  <c r="L461" i="7"/>
  <c r="K461" i="7"/>
  <c r="L460" i="7"/>
  <c r="K460" i="7"/>
  <c r="L459" i="7"/>
  <c r="K459" i="7"/>
  <c r="L458" i="7"/>
  <c r="K458" i="7"/>
  <c r="L457" i="7"/>
  <c r="K457" i="7"/>
  <c r="L456" i="7"/>
  <c r="K456" i="7"/>
  <c r="L455" i="7"/>
  <c r="K455" i="7"/>
  <c r="L454" i="7"/>
  <c r="K454" i="7"/>
  <c r="L453" i="7"/>
  <c r="K453" i="7"/>
  <c r="L452" i="7"/>
  <c r="K452" i="7"/>
  <c r="L451" i="7"/>
  <c r="K451" i="7"/>
  <c r="L450" i="7"/>
  <c r="K450" i="7"/>
  <c r="L449" i="7"/>
  <c r="K449" i="7"/>
  <c r="L448" i="7"/>
  <c r="K448" i="7"/>
  <c r="L447" i="7"/>
  <c r="K447" i="7"/>
  <c r="L446" i="7"/>
  <c r="K446" i="7"/>
  <c r="L445" i="7"/>
  <c r="K445" i="7"/>
  <c r="L444" i="7"/>
  <c r="K444" i="7"/>
  <c r="L443" i="7"/>
  <c r="K443" i="7"/>
  <c r="L442" i="7"/>
  <c r="K442" i="7"/>
  <c r="L441" i="7"/>
  <c r="K441" i="7"/>
  <c r="L440" i="7"/>
  <c r="K440" i="7"/>
  <c r="L439" i="7"/>
  <c r="K439" i="7"/>
  <c r="L438" i="7"/>
  <c r="K438" i="7"/>
  <c r="L437" i="7"/>
  <c r="K437" i="7"/>
  <c r="L436" i="7"/>
  <c r="K436" i="7"/>
  <c r="L435" i="7"/>
  <c r="K435" i="7"/>
  <c r="L434" i="7"/>
  <c r="K434" i="7"/>
  <c r="L433" i="7"/>
  <c r="K433" i="7"/>
  <c r="L432" i="7"/>
  <c r="K432" i="7"/>
  <c r="L431" i="7"/>
  <c r="K431" i="7"/>
  <c r="L430" i="7"/>
  <c r="K430" i="7"/>
  <c r="L429" i="7"/>
  <c r="K429" i="7"/>
  <c r="L428" i="7"/>
  <c r="K428" i="7"/>
  <c r="L427" i="7"/>
  <c r="K427" i="7"/>
  <c r="L426" i="7"/>
  <c r="K426" i="7"/>
  <c r="L425" i="7"/>
  <c r="K425" i="7"/>
  <c r="L424" i="7"/>
  <c r="K424" i="7"/>
  <c r="L423" i="7"/>
  <c r="K423" i="7"/>
  <c r="L422" i="7"/>
  <c r="K422" i="7"/>
  <c r="L421" i="7"/>
  <c r="K421" i="7"/>
  <c r="L420" i="7"/>
  <c r="K420" i="7"/>
  <c r="L419" i="7"/>
  <c r="K419" i="7"/>
  <c r="L418" i="7"/>
  <c r="K418" i="7"/>
  <c r="L417" i="7"/>
  <c r="K417" i="7"/>
  <c r="L416" i="7"/>
  <c r="K416" i="7"/>
  <c r="L415" i="7"/>
  <c r="K415" i="7"/>
  <c r="L414" i="7"/>
  <c r="K414" i="7"/>
  <c r="L413" i="7"/>
  <c r="K413" i="7"/>
  <c r="L412" i="7"/>
  <c r="K412" i="7"/>
  <c r="L411" i="7"/>
  <c r="K411" i="7"/>
  <c r="L410" i="7"/>
  <c r="K410" i="7"/>
  <c r="L409" i="7"/>
  <c r="K409" i="7"/>
  <c r="L408" i="7"/>
  <c r="K408" i="7"/>
  <c r="L407" i="7"/>
  <c r="K407" i="7"/>
  <c r="L406" i="7"/>
  <c r="K406" i="7"/>
  <c r="L405" i="7"/>
  <c r="K405" i="7"/>
  <c r="L404" i="7"/>
  <c r="K404" i="7"/>
  <c r="L403" i="7"/>
  <c r="K403" i="7"/>
  <c r="L402" i="7"/>
  <c r="K402" i="7"/>
  <c r="L401" i="7"/>
  <c r="K401" i="7"/>
  <c r="L400" i="7"/>
  <c r="K400" i="7"/>
  <c r="L399" i="7"/>
  <c r="K399" i="7"/>
  <c r="L398" i="7"/>
  <c r="K398" i="7"/>
  <c r="L397" i="7"/>
  <c r="K397" i="7"/>
  <c r="L396" i="7"/>
  <c r="K396" i="7"/>
  <c r="L395" i="7"/>
  <c r="K395" i="7"/>
  <c r="L394" i="7"/>
  <c r="K394" i="7"/>
  <c r="L393" i="7"/>
  <c r="K393" i="7"/>
  <c r="L392" i="7"/>
  <c r="K392" i="7"/>
  <c r="L391" i="7"/>
  <c r="K391" i="7"/>
  <c r="L390" i="7"/>
  <c r="K390" i="7"/>
  <c r="L389" i="7"/>
  <c r="K389" i="7"/>
  <c r="L388" i="7"/>
  <c r="K388" i="7"/>
  <c r="L387" i="7"/>
  <c r="K387" i="7"/>
  <c r="L386" i="7"/>
  <c r="K386" i="7"/>
  <c r="L385" i="7"/>
  <c r="K385" i="7"/>
  <c r="L384" i="7"/>
  <c r="K384" i="7"/>
  <c r="L383" i="7"/>
  <c r="K383" i="7"/>
  <c r="L382" i="7"/>
  <c r="K382" i="7"/>
  <c r="L381" i="7"/>
  <c r="K381" i="7"/>
  <c r="L380" i="7"/>
  <c r="K380" i="7"/>
  <c r="L379" i="7"/>
  <c r="K379" i="7"/>
  <c r="L378" i="7"/>
  <c r="K378" i="7"/>
  <c r="L377" i="7"/>
  <c r="K377" i="7"/>
  <c r="L376" i="7"/>
  <c r="K376" i="7"/>
  <c r="L375" i="7"/>
  <c r="K375" i="7"/>
  <c r="L374" i="7"/>
  <c r="K374" i="7"/>
  <c r="L373" i="7"/>
  <c r="K373" i="7"/>
  <c r="L372" i="7"/>
  <c r="K372" i="7"/>
  <c r="L371" i="7"/>
  <c r="K371" i="7"/>
  <c r="L370" i="7"/>
  <c r="K370" i="7"/>
  <c r="L369" i="7"/>
  <c r="K369" i="7"/>
  <c r="L368" i="7"/>
  <c r="K368" i="7"/>
  <c r="L367" i="7"/>
  <c r="K367" i="7"/>
  <c r="L366" i="7"/>
  <c r="K366" i="7"/>
  <c r="L365" i="7"/>
  <c r="K365" i="7"/>
  <c r="L364" i="7"/>
  <c r="K364" i="7"/>
  <c r="L363" i="7"/>
  <c r="K363" i="7"/>
  <c r="L362" i="7"/>
  <c r="K362" i="7"/>
  <c r="L361" i="7"/>
  <c r="K361" i="7"/>
  <c r="L360" i="7"/>
  <c r="K360" i="7"/>
  <c r="L359" i="7"/>
  <c r="K359" i="7"/>
  <c r="L358" i="7"/>
  <c r="K358" i="7"/>
  <c r="L357" i="7"/>
  <c r="K357" i="7"/>
  <c r="L356" i="7"/>
  <c r="K356" i="7"/>
  <c r="L355" i="7"/>
  <c r="K355" i="7"/>
  <c r="L354" i="7"/>
  <c r="K354" i="7"/>
  <c r="L353" i="7"/>
  <c r="K353" i="7"/>
  <c r="L352" i="7"/>
  <c r="K352" i="7"/>
  <c r="L351" i="7"/>
  <c r="K351" i="7"/>
  <c r="L350" i="7"/>
  <c r="K350" i="7"/>
  <c r="L349" i="7"/>
  <c r="K349" i="7"/>
  <c r="L348" i="7"/>
  <c r="K348" i="7"/>
  <c r="L347" i="7"/>
  <c r="K347" i="7"/>
  <c r="L346" i="7"/>
  <c r="K346" i="7"/>
  <c r="L345" i="7"/>
  <c r="K345" i="7"/>
  <c r="L344" i="7"/>
  <c r="K344" i="7"/>
  <c r="L343" i="7"/>
  <c r="K343" i="7"/>
  <c r="L342" i="7"/>
  <c r="K342" i="7"/>
  <c r="L341" i="7"/>
  <c r="K341" i="7"/>
  <c r="L340" i="7"/>
  <c r="K340" i="7"/>
  <c r="L339" i="7"/>
  <c r="K339" i="7"/>
  <c r="L338" i="7"/>
  <c r="K338" i="7"/>
  <c r="L337" i="7"/>
  <c r="K337" i="7"/>
  <c r="L336" i="7"/>
  <c r="K336" i="7"/>
  <c r="L335" i="7"/>
  <c r="K335" i="7"/>
  <c r="L334" i="7"/>
  <c r="K334" i="7"/>
  <c r="L333" i="7"/>
  <c r="K333" i="7"/>
  <c r="L332" i="7"/>
  <c r="K332" i="7"/>
  <c r="L331" i="7"/>
  <c r="K331" i="7"/>
  <c r="L330" i="7"/>
  <c r="K330" i="7"/>
  <c r="L329" i="7"/>
  <c r="K329" i="7"/>
  <c r="L328" i="7"/>
  <c r="K328" i="7"/>
  <c r="L327" i="7"/>
  <c r="K327" i="7"/>
  <c r="L326" i="7"/>
  <c r="K326" i="7"/>
  <c r="L325" i="7"/>
  <c r="K325" i="7"/>
  <c r="L324" i="7"/>
  <c r="K324" i="7"/>
  <c r="L323" i="7"/>
  <c r="K323" i="7"/>
  <c r="L322" i="7"/>
  <c r="K322" i="7"/>
  <c r="L321" i="7"/>
  <c r="K321" i="7"/>
  <c r="L320" i="7"/>
  <c r="K320" i="7"/>
  <c r="L319" i="7"/>
  <c r="K319" i="7"/>
  <c r="L318" i="7"/>
  <c r="K318" i="7"/>
  <c r="L317" i="7"/>
  <c r="K317" i="7"/>
  <c r="L316" i="7"/>
  <c r="K316" i="7"/>
  <c r="L315" i="7"/>
  <c r="K315" i="7"/>
  <c r="L314" i="7"/>
  <c r="K314" i="7"/>
  <c r="L313" i="7"/>
  <c r="K313" i="7"/>
  <c r="L312" i="7"/>
  <c r="K312" i="7"/>
  <c r="L311" i="7"/>
  <c r="K311" i="7"/>
  <c r="L310" i="7"/>
  <c r="K310" i="7"/>
  <c r="L309" i="7"/>
  <c r="K309" i="7"/>
  <c r="L308" i="7"/>
  <c r="K308" i="7"/>
  <c r="L307" i="7"/>
  <c r="K307" i="7"/>
  <c r="L306" i="7"/>
  <c r="K306" i="7"/>
  <c r="L305" i="7"/>
  <c r="K305" i="7"/>
  <c r="L304" i="7"/>
  <c r="K304" i="7"/>
  <c r="L303" i="7"/>
  <c r="K303" i="7"/>
  <c r="L302" i="7"/>
  <c r="K302" i="7"/>
  <c r="L301" i="7"/>
  <c r="K301" i="7"/>
  <c r="L300" i="7"/>
  <c r="K300" i="7"/>
  <c r="L299" i="7"/>
  <c r="K299" i="7"/>
  <c r="L298" i="7"/>
  <c r="K298" i="7"/>
  <c r="L297" i="7"/>
  <c r="K297" i="7"/>
  <c r="L296" i="7"/>
  <c r="K296" i="7"/>
  <c r="L295" i="7"/>
  <c r="K295" i="7"/>
  <c r="L294" i="7"/>
  <c r="K294" i="7"/>
  <c r="L293" i="7"/>
  <c r="K293" i="7"/>
  <c r="L292" i="7"/>
  <c r="K292" i="7"/>
  <c r="L291" i="7"/>
  <c r="K291" i="7"/>
  <c r="L290" i="7"/>
  <c r="K290" i="7"/>
  <c r="L289" i="7"/>
  <c r="K289" i="7"/>
  <c r="L288" i="7"/>
  <c r="K288" i="7"/>
  <c r="L287" i="7"/>
  <c r="K287" i="7"/>
  <c r="L286" i="7"/>
  <c r="K286" i="7"/>
  <c r="L285" i="7"/>
  <c r="K285" i="7"/>
  <c r="L284" i="7"/>
  <c r="K284" i="7"/>
  <c r="L283" i="7"/>
  <c r="K283" i="7"/>
  <c r="L282" i="7"/>
  <c r="K282" i="7"/>
  <c r="L281" i="7"/>
  <c r="K281" i="7"/>
  <c r="L280" i="7"/>
  <c r="K280" i="7"/>
  <c r="L279" i="7"/>
  <c r="K279" i="7"/>
  <c r="L278" i="7"/>
  <c r="K278" i="7"/>
  <c r="L277" i="7"/>
  <c r="K277" i="7"/>
  <c r="L276" i="7"/>
  <c r="K276" i="7"/>
  <c r="L275" i="7"/>
  <c r="K275" i="7"/>
  <c r="L274" i="7"/>
  <c r="K274" i="7"/>
  <c r="L273" i="7"/>
  <c r="K273" i="7"/>
  <c r="L272" i="7"/>
  <c r="K272" i="7"/>
  <c r="L271" i="7"/>
  <c r="K271" i="7"/>
  <c r="L270" i="7"/>
  <c r="K270" i="7"/>
  <c r="L269" i="7"/>
  <c r="K269" i="7"/>
  <c r="L268" i="7"/>
  <c r="K268" i="7"/>
  <c r="L267" i="7"/>
  <c r="K267" i="7"/>
  <c r="L266" i="7"/>
  <c r="K266" i="7"/>
  <c r="L265" i="7"/>
  <c r="K265" i="7"/>
  <c r="L264" i="7"/>
  <c r="K264" i="7"/>
  <c r="L263" i="7"/>
  <c r="K263" i="7"/>
  <c r="L262" i="7"/>
  <c r="K262" i="7"/>
  <c r="L261" i="7"/>
  <c r="K261" i="7"/>
  <c r="L260" i="7"/>
  <c r="K260" i="7"/>
  <c r="L259" i="7"/>
  <c r="K259" i="7"/>
  <c r="L258" i="7"/>
  <c r="K258" i="7"/>
  <c r="L257" i="7"/>
  <c r="K257" i="7"/>
  <c r="L256" i="7"/>
  <c r="K256" i="7"/>
  <c r="L255" i="7"/>
  <c r="K255" i="7"/>
  <c r="L254" i="7"/>
  <c r="K254" i="7"/>
  <c r="L253" i="7"/>
  <c r="K253" i="7"/>
  <c r="L252" i="7"/>
  <c r="K252" i="7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S59" i="7"/>
  <c r="P59" i="7"/>
  <c r="K80" i="7"/>
  <c r="K79" i="7"/>
  <c r="L79" i="7" s="1"/>
  <c r="K78" i="7"/>
  <c r="L78" i="7"/>
  <c r="K62" i="7"/>
  <c r="K75" i="7"/>
  <c r="K70" i="7"/>
  <c r="K71" i="7"/>
  <c r="K60" i="7"/>
  <c r="K69" i="7"/>
  <c r="K68" i="7"/>
  <c r="K64" i="7"/>
  <c r="K66" i="7"/>
  <c r="L66" i="7" s="1"/>
  <c r="K63" i="7"/>
  <c r="K77" i="7"/>
  <c r="K67" i="7"/>
  <c r="K74" i="7"/>
  <c r="K73" i="7"/>
  <c r="K61" i="7"/>
  <c r="K76" i="7"/>
  <c r="K65" i="7"/>
  <c r="K72" i="7"/>
  <c r="H10" i="15" l="1"/>
  <c r="I7" i="15"/>
  <c r="I6" i="15"/>
  <c r="I5" i="15"/>
  <c r="H7" i="15"/>
  <c r="H6" i="15"/>
  <c r="H5" i="15"/>
  <c r="G7" i="15"/>
  <c r="G6" i="15"/>
  <c r="G5" i="15"/>
  <c r="F7" i="15"/>
  <c r="F6" i="15"/>
  <c r="F5" i="15"/>
  <c r="E7" i="15"/>
  <c r="E6" i="15"/>
  <c r="E5" i="15"/>
  <c r="L80" i="7"/>
  <c r="L73" i="7"/>
  <c r="L69" i="7"/>
  <c r="L71" i="7"/>
  <c r="L74" i="7"/>
  <c r="L70" i="7"/>
  <c r="L76" i="7"/>
  <c r="L68" i="7"/>
  <c r="L63" i="7"/>
  <c r="L72" i="7"/>
  <c r="L75" i="7"/>
  <c r="L64" i="7"/>
  <c r="L61" i="7"/>
  <c r="L77" i="7"/>
  <c r="L62" i="7"/>
  <c r="L67" i="7"/>
  <c r="L65" i="7"/>
  <c r="L60" i="7"/>
  <c r="E51" i="7" l="1"/>
  <c r="I10" i="15"/>
  <c r="E47" i="7"/>
  <c r="T441" i="7" s="1"/>
  <c r="U441" i="7" s="1"/>
  <c r="Q80" i="7"/>
  <c r="R80" i="7" s="1"/>
  <c r="Q79" i="7"/>
  <c r="R79" i="7" s="1"/>
  <c r="T76" i="7"/>
  <c r="U76" i="7" s="1"/>
  <c r="T74" i="7"/>
  <c r="U74" i="7" s="1"/>
  <c r="T77" i="7"/>
  <c r="U77" i="7" s="1"/>
  <c r="Q61" i="7"/>
  <c r="R61" i="7" s="1"/>
  <c r="Q75" i="7"/>
  <c r="R75" i="7" s="1"/>
  <c r="G8" i="15"/>
  <c r="H8" i="15"/>
  <c r="I8" i="15"/>
  <c r="J5" i="15"/>
  <c r="J6" i="15"/>
  <c r="J7" i="15"/>
  <c r="E8" i="15"/>
  <c r="F8" i="15"/>
  <c r="T375" i="7" l="1"/>
  <c r="U375" i="7" s="1"/>
  <c r="T442" i="7"/>
  <c r="U442" i="7" s="1"/>
  <c r="T373" i="7"/>
  <c r="U373" i="7" s="1"/>
  <c r="T374" i="7"/>
  <c r="U374" i="7" s="1"/>
  <c r="T214" i="7"/>
  <c r="U214" i="7" s="1"/>
  <c r="T215" i="7"/>
  <c r="U215" i="7" s="1"/>
  <c r="T186" i="7"/>
  <c r="U186" i="7" s="1"/>
  <c r="T188" i="7"/>
  <c r="U188" i="7" s="1"/>
  <c r="T153" i="7"/>
  <c r="U153" i="7" s="1"/>
  <c r="T155" i="7"/>
  <c r="U155" i="7" s="1"/>
  <c r="T93" i="7"/>
  <c r="U93" i="7" s="1"/>
  <c r="T95" i="7"/>
  <c r="U95" i="7" s="1"/>
  <c r="T69" i="7"/>
  <c r="U69" i="7" s="1"/>
  <c r="T59" i="7"/>
  <c r="T62" i="7"/>
  <c r="U62" i="7" s="1"/>
  <c r="T66" i="7"/>
  <c r="U66" i="7" s="1"/>
  <c r="T63" i="7"/>
  <c r="U63" i="7" s="1"/>
  <c r="T64" i="7"/>
  <c r="U64" i="7" s="1"/>
  <c r="T72" i="7"/>
  <c r="U72" i="7" s="1"/>
  <c r="T71" i="7"/>
  <c r="U71" i="7" s="1"/>
  <c r="T65" i="7"/>
  <c r="U65" i="7" s="1"/>
  <c r="T67" i="7"/>
  <c r="U67" i="7" s="1"/>
  <c r="T73" i="7"/>
  <c r="U73" i="7" s="1"/>
  <c r="J8" i="15"/>
  <c r="E12" i="15" l="1"/>
  <c r="I9" i="15"/>
  <c r="F9" i="15"/>
  <c r="F12" i="15"/>
  <c r="H9" i="15"/>
  <c r="E9" i="15"/>
  <c r="G12" i="15"/>
  <c r="I12" i="15"/>
  <c r="G9" i="15"/>
  <c r="K59" i="7"/>
  <c r="E10" i="15" l="1"/>
  <c r="E13" i="15" s="1"/>
  <c r="G10" i="15"/>
  <c r="I13" i="15"/>
  <c r="U59" i="7"/>
  <c r="J9" i="15"/>
  <c r="L59" i="7"/>
  <c r="E52" i="7" l="1"/>
  <c r="H12" i="15"/>
  <c r="E46" i="7"/>
  <c r="F10" i="15"/>
  <c r="F13" i="15" s="1"/>
  <c r="G13" i="15"/>
  <c r="Q59" i="7" l="1"/>
  <c r="R59" i="7" s="1"/>
  <c r="Q529" i="7"/>
  <c r="R529" i="7" s="1"/>
  <c r="H13" i="15"/>
  <c r="J13" i="15" s="1"/>
  <c r="J12" i="15"/>
  <c r="Q78" i="7"/>
  <c r="R78" i="7" s="1"/>
  <c r="Q70" i="7"/>
  <c r="R70" i="7" s="1"/>
  <c r="E48" i="7"/>
  <c r="Q68" i="7"/>
  <c r="R68" i="7" s="1"/>
  <c r="Q62" i="7"/>
  <c r="R62" i="7" s="1"/>
  <c r="Q60" i="7"/>
  <c r="R60" i="7" s="1"/>
  <c r="J10" i="15"/>
  <c r="U56" i="7"/>
  <c r="E45" i="7" l="1"/>
  <c r="R56" i="7"/>
  <c r="E44" i="7" l="1"/>
  <c r="E49" i="7" s="1"/>
  <c r="E50" i="7" l="1"/>
  <c r="M529" i="7" s="1"/>
  <c r="M442" i="7" l="1"/>
  <c r="M441" i="7"/>
  <c r="M374" i="7"/>
  <c r="M375" i="7"/>
  <c r="M215" i="7"/>
  <c r="M373" i="7"/>
  <c r="M188" i="7"/>
  <c r="M214" i="7"/>
  <c r="M155" i="7"/>
  <c r="M186" i="7"/>
  <c r="M95" i="7"/>
  <c r="M153" i="7"/>
  <c r="M59" i="7"/>
  <c r="M93" i="7"/>
  <c r="M73" i="7"/>
  <c r="M70" i="7"/>
  <c r="M63" i="7"/>
  <c r="M72" i="7"/>
  <c r="M67" i="7"/>
  <c r="M71" i="7"/>
  <c r="M68" i="7"/>
  <c r="M60" i="7"/>
  <c r="M65" i="7"/>
  <c r="M62" i="7"/>
  <c r="M69" i="7"/>
  <c r="M66" i="7"/>
  <c r="M64" i="7"/>
  <c r="E53" i="7"/>
  <c r="F11" i="15"/>
  <c r="F14" i="15" s="1"/>
  <c r="E11" i="15"/>
  <c r="E14" i="15" s="1"/>
  <c r="I11" i="15" l="1"/>
  <c r="I14" i="15" s="1"/>
  <c r="H11" i="15"/>
  <c r="H14" i="15" s="1"/>
  <c r="G11" i="15"/>
  <c r="G14" i="15" s="1"/>
  <c r="J14" i="15" l="1"/>
  <c r="J11" i="15"/>
</calcChain>
</file>

<file path=xl/sharedStrings.xml><?xml version="1.0" encoding="utf-8"?>
<sst xmlns="http://schemas.openxmlformats.org/spreadsheetml/2006/main" count="3305" uniqueCount="1157">
  <si>
    <t>개정이력</t>
    <phoneticPr fontId="5" type="noConversion"/>
  </si>
  <si>
    <t>버전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</si>
  <si>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</si>
  <si>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</si>
  <si>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</si>
  <si>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승인자</t>
    <phoneticPr fontId="5" type="noConversion"/>
  </si>
  <si>
    <t>ILF</t>
  </si>
  <si>
    <t>EIF</t>
  </si>
  <si>
    <t>EI</t>
  </si>
  <si>
    <t>계</t>
  </si>
  <si>
    <t>데이터 및 트랜잭션 기능</t>
    <phoneticPr fontId="1" type="noConversion"/>
  </si>
  <si>
    <t>기능명</t>
    <phoneticPr fontId="1" type="noConversion"/>
  </si>
  <si>
    <t>기능점수 산정 방식(간이법, 상세법)에 따라 규모산정을 해 주시기 바랍니다.</t>
    <phoneticPr fontId="5" type="noConversion"/>
  </si>
  <si>
    <r>
      <rPr>
        <b/>
        <sz val="9"/>
        <color indexed="10"/>
        <rFont val="맑은 고딕"/>
        <family val="3"/>
        <charset val="129"/>
      </rPr>
      <t>☞</t>
    </r>
    <r>
      <rPr>
        <b/>
        <sz val="9"/>
        <color indexed="10"/>
        <rFont val="굴림체"/>
        <family val="3"/>
        <charset val="129"/>
      </rPr>
      <t xml:space="preserve"> 기능점수 
산정방법 선택</t>
    </r>
    <phoneticPr fontId="5" type="noConversion"/>
  </si>
  <si>
    <t>1.간이법(평균복잡도법)
2.상세법(일반적인 방법)</t>
    <phoneticPr fontId="5" type="noConversion"/>
  </si>
  <si>
    <t>* 기능점수 산정방법은 반드시 선택해 주세요.(1.간이법 / 2.상세법)</t>
    <phoneticPr fontId="5" type="noConversion"/>
  </si>
  <si>
    <t>②세부 업무명</t>
    <phoneticPr fontId="1" type="noConversion"/>
  </si>
  <si>
    <t>③단위프로세스명</t>
    <phoneticPr fontId="1" type="noConversion"/>
  </si>
  <si>
    <t>단위프로세스 설명</t>
    <phoneticPr fontId="1" type="noConversion"/>
  </si>
  <si>
    <t>* RET (Record Element Type)     FTR (File Type Referenced )     DET (Data Element Type)</t>
    <phoneticPr fontId="5" type="noConversion"/>
  </si>
  <si>
    <t>* FP 유형 = EI (Exteranl Input : 외부입력)    EO (External Output : 외부출력)    EQ (External Inquiries : 외부조회)</t>
    <phoneticPr fontId="5" type="noConversion"/>
  </si>
  <si>
    <t>③ 단위업무명은 세부업무를 구성하는 단위업무로, 소프트웨어 기능을 가진 독립적인 업무 프로세스이다.</t>
    <phoneticPr fontId="5" type="noConversion"/>
  </si>
  <si>
    <t xml:space="preserve">  2) 기술적인 이유로 사용되는 사용자가 모르는 기능은 여기에 포함시키지 않는다.</t>
    <phoneticPr fontId="5" type="noConversion"/>
  </si>
  <si>
    <t xml:space="preserve">  6) 외부입력, 외부출력, 외부조회, 내부논리파일, 외부참조파일은 물론 외부입력도 입력,수정,삭제를 따로 식별한다.</t>
    <phoneticPr fontId="5" type="noConversion"/>
  </si>
  <si>
    <r>
      <t xml:space="preserve">  1) 사용자가 식별할 수 있고 </t>
    </r>
    <r>
      <rPr>
        <b/>
        <sz val="10"/>
        <color indexed="12"/>
        <rFont val="굴림체"/>
        <family val="3"/>
        <charset val="129"/>
      </rPr>
      <t>사용자 관점에서 정의된 단위 소프트웨어 기능</t>
    </r>
    <r>
      <rPr>
        <sz val="10"/>
        <color indexed="12"/>
        <rFont val="굴림체"/>
        <family val="3"/>
        <charset val="129"/>
      </rPr>
      <t xml:space="preserve">으로, 기능점수 측정에 사용되는 것이다. </t>
    </r>
    <phoneticPr fontId="5" type="noConversion"/>
  </si>
  <si>
    <t>⑥FP유형</t>
    <phoneticPr fontId="1" type="noConversion"/>
  </si>
  <si>
    <t>④개발유형</t>
    <phoneticPr fontId="1" type="noConversion"/>
  </si>
  <si>
    <t>⑦RET/FTR</t>
    <phoneticPr fontId="1" type="noConversion"/>
  </si>
  <si>
    <t>⑧DET</t>
    <phoneticPr fontId="1" type="noConversion"/>
  </si>
  <si>
    <t>⑦ RET/FTR은 ④에서 식별한 FP유형별로 EI/EO/EQ면 참조하는 FTR의 수를, ILF/EIF면 RET의 수를 식별한다.(간이법 적용시 작성 제외)</t>
    <phoneticPr fontId="5" type="noConversion"/>
  </si>
  <si>
    <t>○ FP 집계</t>
    <phoneticPr fontId="1" type="noConversion"/>
  </si>
  <si>
    <t>구분</t>
    <phoneticPr fontId="5" type="noConversion"/>
  </si>
  <si>
    <t>EO</t>
    <phoneticPr fontId="1" type="noConversion"/>
  </si>
  <si>
    <t>EQ</t>
    <phoneticPr fontId="1" type="noConversion"/>
  </si>
  <si>
    <t>기능수</t>
    <phoneticPr fontId="5" type="noConversion"/>
  </si>
  <si>
    <t>기능점수</t>
    <phoneticPr fontId="5" type="noConversion"/>
  </si>
  <si>
    <t>FP 산출</t>
    <phoneticPr fontId="1" type="noConversion"/>
  </si>
  <si>
    <r>
      <rPr>
        <sz val="10"/>
        <color rgb="FF9C6500"/>
        <rFont val="맑은 고딕"/>
        <family val="3"/>
        <charset val="129"/>
      </rPr>
      <t>⑨</t>
    </r>
    <r>
      <rPr>
        <sz val="10"/>
        <color rgb="FF9C6500"/>
        <rFont val="맑은 고딕"/>
        <family val="3"/>
        <charset val="129"/>
        <scheme val="minor"/>
      </rPr>
      <t>복잡도</t>
    </r>
    <phoneticPr fontId="1" type="noConversion"/>
  </si>
  <si>
    <t>비고</t>
    <phoneticPr fontId="74" type="noConversion"/>
  </si>
  <si>
    <t>각 프로세스별로 소프트웨어 기능과 기능점수 유형(FP 유형) 및 복잡도 파악을 위한 필드별 해당 숫자를 채우시기 바랍니다.</t>
    <phoneticPr fontId="5" type="noConversion"/>
  </si>
  <si>
    <t xml:space="preserve">아래 표의 양식에 의거하여 어플리케이션별로 다음의 가이드에 따라 단위업무프로세스를 정의하고 </t>
    <phoneticPr fontId="5" type="noConversion"/>
  </si>
  <si>
    <t>SW 규모(기능점수) 산정 양식</t>
    <phoneticPr fontId="5" type="noConversion"/>
  </si>
  <si>
    <t>총 기능 수 합</t>
    <phoneticPr fontId="1" type="noConversion"/>
  </si>
  <si>
    <r>
      <t>V</t>
    </r>
    <r>
      <rPr>
        <sz val="10"/>
        <rFont val="맑은 고딕"/>
        <family val="3"/>
        <charset val="129"/>
      </rPr>
      <t>1.0</t>
    </r>
    <phoneticPr fontId="1" type="noConversion"/>
  </si>
  <si>
    <t>-  "OOO 사업" 기능점수 총괄 집계표</t>
    <phoneticPr fontId="5" type="noConversion"/>
  </si>
  <si>
    <t xml:space="preserve">            ILF (Internal Logical Files : 내부논리파일)         EIF(Externa Interface Files : 외부연계 파일)</t>
    <phoneticPr fontId="5" type="noConversion"/>
  </si>
  <si>
    <t>수정 후 재사용</t>
  </si>
  <si>
    <t>신규 개발</t>
    <phoneticPr fontId="1" type="noConversion"/>
  </si>
  <si>
    <t>수정 후 재사용</t>
    <phoneticPr fontId="1" type="noConversion"/>
  </si>
  <si>
    <t>수정 없이 재사용</t>
    <phoneticPr fontId="1" type="noConversion"/>
  </si>
  <si>
    <t>신규 개발</t>
    <phoneticPr fontId="1" type="noConversion"/>
  </si>
  <si>
    <t>수정 없이 재사용</t>
    <phoneticPr fontId="1" type="noConversion"/>
  </si>
  <si>
    <t>정보통신산업진흥원</t>
    <phoneticPr fontId="5" type="noConversion"/>
  </si>
  <si>
    <t>① 산정대상 시스템 프로그램의 애플리케이션 구분을 의미한다.</t>
    <phoneticPr fontId="5" type="noConversion"/>
  </si>
  <si>
    <t>변경률 및 재개발 특성 반영</t>
    <phoneticPr fontId="1" type="noConversion"/>
  </si>
  <si>
    <t>② 세부업무명은 애플리케이션을 구성하는 서브시스템 등을 의미한다.</t>
    <phoneticPr fontId="5" type="noConversion"/>
  </si>
  <si>
    <t xml:space="preserve">  3) 애플리케이션을 완전하게 하는 모든 기능을 중복되지 않게, 사용자가 소프트웨어 기능으로 구현하기를 원하는 것만을 식별한다.</t>
    <phoneticPr fontId="5" type="noConversion"/>
  </si>
  <si>
    <t xml:space="preserve">  4) 업무기능은 아니나 사용자가 필요로 하여 애플리케이션으로 구현되는 기능(예, 헬프 메시지)도 포함한다.</t>
    <phoneticPr fontId="5" type="noConversion"/>
  </si>
  <si>
    <t xml:space="preserve">  5) 반대로 업무기능이지만 애플리케이션으로 구현이 불가능한 수작업 영역은 포함시키지 않는다.</t>
    <phoneticPr fontId="5" type="noConversion"/>
  </si>
  <si>
    <t>①애플리케이션명</t>
    <phoneticPr fontId="1" type="noConversion"/>
  </si>
  <si>
    <t>속성</t>
    <phoneticPr fontId="5" type="noConversion"/>
  </si>
  <si>
    <t>⑩가중치</t>
    <phoneticPr fontId="1" type="noConversion"/>
  </si>
  <si>
    <r>
      <rPr>
        <b/>
        <sz val="10"/>
        <color indexed="8"/>
        <rFont val="맑은 고딕"/>
        <family val="3"/>
        <charset val="129"/>
      </rPr>
      <t>⑤</t>
    </r>
    <r>
      <rPr>
        <b/>
        <sz val="10"/>
        <color indexed="8"/>
        <rFont val="맑은 고딕"/>
        <family val="3"/>
        <charset val="129"/>
        <scheme val="minor"/>
      </rPr>
      <t xml:space="preserve">설계변경률
</t>
    </r>
    <r>
      <rPr>
        <b/>
        <sz val="9"/>
        <color indexed="8"/>
        <rFont val="맑은 고딕"/>
        <family val="3"/>
        <charset val="129"/>
        <scheme val="minor"/>
      </rPr>
      <t>(데이터/트랜잭션)</t>
    </r>
    <phoneticPr fontId="1" type="noConversion"/>
  </si>
  <si>
    <t>데이터
(설계변경율)</t>
    <phoneticPr fontId="1" type="noConversion"/>
  </si>
  <si>
    <t>데이터
(규모비중)</t>
    <phoneticPr fontId="5" type="noConversion"/>
  </si>
  <si>
    <t>데이터
(기능설계비율)</t>
    <phoneticPr fontId="74" type="noConversion"/>
  </si>
  <si>
    <t>트랜잭션
(설계변경율)</t>
    <phoneticPr fontId="1" type="noConversion"/>
  </si>
  <si>
    <t>트랜잭션
(규모비중)</t>
    <phoneticPr fontId="5" type="noConversion"/>
  </si>
  <si>
    <t>트랜잭션
(기능설계비율)</t>
    <phoneticPr fontId="74" type="noConversion"/>
  </si>
  <si>
    <t>EO</t>
  </si>
  <si>
    <t>EQ</t>
  </si>
  <si>
    <t>총변경률</t>
    <phoneticPr fontId="5" type="noConversion"/>
  </si>
  <si>
    <t>신규개발 소프트웨어 규모</t>
    <phoneticPr fontId="5" type="noConversion"/>
  </si>
  <si>
    <t>수정 없이 재사용 소프트웨어 규모</t>
    <phoneticPr fontId="5" type="noConversion"/>
  </si>
  <si>
    <t>재개발소프트웨어규모</t>
    <phoneticPr fontId="5" type="noConversion"/>
  </si>
  <si>
    <t>수정 후 재사용 
(수정대상SW규모)</t>
    <phoneticPr fontId="5" type="noConversion"/>
  </si>
  <si>
    <t>유재상</t>
    <phoneticPr fontId="1" type="noConversion"/>
  </si>
  <si>
    <t>⑧ DET는 ④에서 식별한 FP유형별로 참조/구성하는 데이타항목의 유형수를 식별한다. (간이법 적용시 작성 제외)</t>
    <phoneticPr fontId="5" type="noConversion"/>
  </si>
  <si>
    <t>○ 재사용 소프트웨어 평가 노력 수준 판단 기준</t>
    <phoneticPr fontId="5" type="noConversion"/>
  </si>
  <si>
    <t xml:space="preserve"> 재사용 소프트웨어 
평가 노력 수준</t>
    <phoneticPr fontId="5" type="noConversion"/>
  </si>
  <si>
    <t>재사용 소프트웨어 평가 노력 수준에 대한 설명</t>
    <phoneticPr fontId="5" type="noConversion"/>
  </si>
  <si>
    <t>평가 노력 없음</t>
    <phoneticPr fontId="1" type="noConversion"/>
  </si>
  <si>
    <t>기본 모듈의 조사, 결과 문서 작성</t>
    <phoneticPr fontId="1" type="noConversion"/>
  </si>
  <si>
    <t>다소의 모듈 시험과 평가, 결과 문서 작성</t>
    <phoneticPr fontId="1" type="noConversion"/>
  </si>
  <si>
    <t>상당한 모듈 시험과 평가, 결과 문서 작성</t>
    <phoneticPr fontId="1" type="noConversion"/>
  </si>
  <si>
    <t xml:space="preserve"> 광범위한 모듈 시험과 평가, 결과 문서 작성</t>
    <phoneticPr fontId="1" type="noConversion"/>
  </si>
  <si>
    <t>○ 재사용 난이도 수준 평가 기준</t>
    <phoneticPr fontId="5" type="noConversion"/>
  </si>
  <si>
    <t>구분</t>
    <phoneticPr fontId="5" type="noConversion"/>
  </si>
  <si>
    <t>매우 어려움</t>
    <phoneticPr fontId="1" type="noConversion"/>
  </si>
  <si>
    <t>어려움</t>
    <phoneticPr fontId="1" type="noConversion"/>
  </si>
  <si>
    <t>보통</t>
    <phoneticPr fontId="1" type="noConversion"/>
  </si>
  <si>
    <t>쉬움</t>
    <phoneticPr fontId="1" type="noConversion"/>
  </si>
  <si>
    <t>매우 쉬움</t>
    <phoneticPr fontId="1" type="noConversion"/>
  </si>
  <si>
    <t>프로그램의 
구조화 정도</t>
    <phoneticPr fontId="1" type="noConversion"/>
  </si>
  <si>
    <t>비구조적 
소스코드로 
매우 낮은 
응집도에 매우 
높은 결합도를
가짐(일명 
스파게티  코드)</t>
    <phoneticPr fontId="1" type="noConversion"/>
  </si>
  <si>
    <t>일부 소스
코드가 구조화 
되어 있으나 
대부분 낮은 
응집도에 높은 
결합도를 가짐</t>
    <phoneticPr fontId="1" type="noConversion"/>
  </si>
  <si>
    <t>일부 미흡한 
점이 있으나 
대부분의 소스 
코드가 구조화 
되어, 보통 
수준의 응집 
도와 결합도를 
가짐</t>
    <phoneticPr fontId="1" type="noConversion"/>
  </si>
  <si>
    <t>대부분의 
소스코드가 잘 
구조화 되어, 
높은 응집도에  
낮은 결합도를 
가짐</t>
    <phoneticPr fontId="1" type="noConversion"/>
  </si>
  <si>
    <t>소스코드가 
매우 높은 
응집도에 매우 
낮은 결합도를 
가짐(정보은닉 
및 모듈화에 
충실한 자료 및 
제어 구조)</t>
    <phoneticPr fontId="1" type="noConversion"/>
  </si>
  <si>
    <t>애플리케이션 
관점에서의 
명확성</t>
    <phoneticPr fontId="1" type="noConversion"/>
  </si>
  <si>
    <t>프로그램 
모듈의 구성이 
애플리케이션의 
기능적 관점과 
전혀 관계없이 
구현되어 있음</t>
    <phoneticPr fontId="1" type="noConversion"/>
  </si>
  <si>
    <t>프로그램 
모듈의 구성이 
애플리케이션의 
기능적 관점에 
대응되는 정도가
낮음</t>
    <phoneticPr fontId="1" type="noConversion"/>
  </si>
  <si>
    <t>프로그램 
모듈의 구성이 
애플리케이션의 
기능적 관점에 
대응되는 정도가
보통임</t>
    <phoneticPr fontId="1" type="noConversion"/>
  </si>
  <si>
    <t>프로그램 
모듈의 구성이 
애플리케이션의 
기능적 관점에 
대응되는 정도가
높음</t>
    <phoneticPr fontId="1" type="noConversion"/>
  </si>
  <si>
    <t>프로그램 
모듈의 구성이 
애플리케이션의 
기능적 관점에 
명확히 대응되어 
구현되어 있음</t>
    <phoneticPr fontId="1" type="noConversion"/>
  </si>
  <si>
    <t>프로그램 
소스코드의 
서술 정도</t>
    <phoneticPr fontId="1" type="noConversion"/>
  </si>
  <si>
    <t>소스코드가  
불분명하거나 
머리말 설명이 
누락되었고, 
문서도 거의 
없음</t>
    <phoneticPr fontId="1" type="noConversion"/>
  </si>
  <si>
    <t>소스코드에  
약간의 머리말 
설명과 주석이 
있고, 일부 유용한
문서도 있음</t>
    <phoneticPr fontId="1" type="noConversion"/>
  </si>
  <si>
    <t>소스코드에  
보통 수준의 
머리말 설명과 
주석이 있고, 
보통 수준의 
유용한 문서도 
있음</t>
    <phoneticPr fontId="1" type="noConversion"/>
  </si>
  <si>
    <t>소스코드에  
상당한 수준의 
머리말 설명과 
주석이 있고, 
상당한 수준의  
유용한 문서도 
있음</t>
    <phoneticPr fontId="1" type="noConversion"/>
  </si>
  <si>
    <t>소스코드에 
설계에 근거한 
머리말 설명과 
주석이 있음은 
물론 문서도 매우 
훌륭함</t>
    <phoneticPr fontId="1" type="noConversion"/>
  </si>
  <si>
    <t>재사용 
난이도</t>
    <phoneticPr fontId="1" type="noConversion"/>
  </si>
  <si>
    <t>○ 재사용 소프트웨어 친숙도 수준 평가 기준</t>
    <phoneticPr fontId="5" type="noConversion"/>
  </si>
  <si>
    <t xml:space="preserve"> 재사용 소프트웨어 
친숙도 수준</t>
    <phoneticPr fontId="5" type="noConversion"/>
  </si>
  <si>
    <t>재사용 소프트웨어 친숙도 수준에 대한 설명</t>
    <phoneticPr fontId="5" type="noConversion"/>
  </si>
  <si>
    <t>완전히 친숙함</t>
    <phoneticPr fontId="1" type="noConversion"/>
  </si>
  <si>
    <t>거의 친숙함</t>
    <phoneticPr fontId="1" type="noConversion"/>
  </si>
  <si>
    <t xml:space="preserve"> 다소 친숙함</t>
    <phoneticPr fontId="1" type="noConversion"/>
  </si>
  <si>
    <t xml:space="preserve"> 약간 친숙함</t>
    <phoneticPr fontId="1" type="noConversion"/>
  </si>
  <si>
    <t>거의 친숙하지 않음</t>
    <phoneticPr fontId="1" type="noConversion"/>
  </si>
  <si>
    <t>전혀 친숙하지 않음</t>
    <phoneticPr fontId="1" type="noConversion"/>
  </si>
  <si>
    <t>※ 평가 예시 : 재사용 대상 소프트웨어(또는 모듈)의 기능목록을 대상으로 특별한 시험 및 평가활동 없이 재사용 여부를 판단하고 그 결과를 문서화 하는 경우 재사용 소프트웨어 평가 노력 수준은 2로 평가</t>
    <phoneticPr fontId="1" type="noConversion"/>
  </si>
  <si>
    <t>*평가 예시 : 재개발 사업의 수행업체가 재사용 대상 시스템의 구축 경험이 있어 시스템에 대한 친숙도가 높다면 완전히 친숙함(0.0) 혹은 거의 친숙함(0.2)으로 평가
** 재개발 사업 발주 시 친숙도 판단 대상이 정해지지 않았을 경우 재사용 대상 소프트웨어의 구축사례가 흔하고 일반적인 정도를 판단하여 친숙도를 평가할 수 있음</t>
    <phoneticPr fontId="1" type="noConversion"/>
  </si>
  <si>
    <t>* 재사용 난이도 수준의 판단은 재사용 프로그램의 구조화 정도, 재사용 프로그램과 어플리케이션 간 관계, 재사용 프로그램 소스코드의 서술정도 등에 대해서 판단하여 해당 재사용 난이도를 구하여 다음의 공식으로
  재사용 난이도 수준을 판단한다.
** 재사용 난이도 수준 = (재사용 프로그램의 구조화 정도 + 재사용 프로그램과 어플리케이션 간 관계 + 재사용 프로그램 소스코드의 서술정도) ÷ 3
***평가 예시 : 재사용 프로그램의 구조화 정도가 낮음(40), 재사용 프로그램과 어플리케이션간 관계가 높음(20), 그리고 재사용 프로그램 소스코드의 서술정도</t>
    <phoneticPr fontId="1" type="noConversion"/>
  </si>
  <si>
    <t>수정 후 재사용 
(변경률 적용 후 SW규모)</t>
    <phoneticPr fontId="5" type="noConversion"/>
  </si>
  <si>
    <r>
      <t xml:space="preserve">개발 대상 SW 기능점수(보정치)
</t>
    </r>
    <r>
      <rPr>
        <b/>
        <sz val="10"/>
        <rFont val="맑은 고딕"/>
        <family val="3"/>
        <charset val="129"/>
      </rPr>
      <t>(신규 개발 FP + 수정 후 재사용 FP(변경률 적용 후))</t>
    </r>
    <phoneticPr fontId="5" type="noConversion"/>
  </si>
  <si>
    <r>
      <t xml:space="preserve">전체 SW 기능점수
</t>
    </r>
    <r>
      <rPr>
        <b/>
        <sz val="10"/>
        <rFont val="맑은 고딕"/>
        <family val="3"/>
        <charset val="129"/>
      </rPr>
      <t>(신규 개발 FP + 수정 후 재사용 FP(수정대상SW규모)+ 수정 없이 재사용FP)</t>
    </r>
    <phoneticPr fontId="5" type="noConversion"/>
  </si>
  <si>
    <t>수정 없이 재사용</t>
  </si>
  <si>
    <t>⑤ 설계변경률 입력범위 1~100%, 데이터 설계변경률은 데이터 기능의 설계가 변경된 정도를 나타낸다.예) ⑧ DET 값이 40 이고 4 DET 변경될때 설계변경률은 10%임.
   트랜잭션 기능의 설계변경률은 UI(User Interface), BL(Business Logic), DL(Data Logic)의 변경정도에 따라 산정된다. 
   트랜잭션 설계변경률 = 0.25 * UI변경률 + 0.45*BL변경률 + 0.3*DL변경률</t>
    <phoneticPr fontId="5" type="noConversion"/>
  </si>
  <si>
    <r>
      <rPr>
        <sz val="10"/>
        <color rgb="FF9C6500"/>
        <rFont val="굴림체"/>
        <family val="3"/>
        <charset val="129"/>
      </rPr>
      <t>⑪</t>
    </r>
    <r>
      <rPr>
        <sz val="10"/>
        <color rgb="FF9C6500"/>
        <rFont val="맑은 고딕"/>
        <family val="3"/>
        <charset val="129"/>
        <scheme val="minor"/>
      </rPr>
      <t xml:space="preserve">가중치
</t>
    </r>
    <r>
      <rPr>
        <sz val="9"/>
        <color rgb="FF9C6500"/>
        <rFont val="맑은 고딕"/>
        <family val="3"/>
        <charset val="129"/>
        <scheme val="minor"/>
      </rPr>
      <t>(변경률적용)</t>
    </r>
    <phoneticPr fontId="1" type="noConversion"/>
  </si>
  <si>
    <t>④ 개발기능유형은 ③에서 식별한 단위기능이 신규개발기능이면 "신규 개발", 기존기능 수정 후 재사용한 기능이면 "수정 후 재사용"을 선택, 기존의 기능을 수정하지 않은 경우 "수정 없이 재사용"을 선택한다.</t>
    <phoneticPr fontId="5" type="noConversion"/>
  </si>
  <si>
    <t>⑥ FP유형은 ③에서 식별한 단위기능의 기능유형이 EI, EO, EQ, ILF, EIF 중 어디에 해당되는 지를 식별한다.</t>
    <phoneticPr fontId="5" type="noConversion"/>
  </si>
  <si>
    <t>⑨, ⑩, ⑪ 복잡도, 가중치, 가중치(변경률적용)는 자동으로 계산된다. (간이법 적용시 복잡도 제외)</t>
    <phoneticPr fontId="5" type="noConversion"/>
  </si>
  <si>
    <t>⑫ 재사용 소프트웨어 평가 노력</t>
  </si>
  <si>
    <t>데이터 기능 설계 변경률</t>
  </si>
  <si>
    <t>트랜잭션 기능 설계 변경률</t>
  </si>
  <si>
    <t>수정 대상 데이터 규모</t>
  </si>
  <si>
    <t>수정 대상 트랜잭션 규모</t>
  </si>
  <si>
    <t>수정 대상 소프트웨어 규모</t>
  </si>
  <si>
    <t>구분</t>
    <phoneticPr fontId="5" type="noConversion"/>
  </si>
  <si>
    <t xml:space="preserve">1. 작성가이드 </t>
    <phoneticPr fontId="1" type="noConversion"/>
  </si>
  <si>
    <t>3. 변경률, 재개발 특성 입력</t>
    <phoneticPr fontId="1" type="noConversion"/>
  </si>
  <si>
    <t>2. 기능점수 산정 방법 선택</t>
    <phoneticPr fontId="1" type="noConversion"/>
  </si>
  <si>
    <t xml:space="preserve">⑫, ⑬, ⑭을 워크시트 '재개발특성 작성 안내' 참고해 작성한다 </t>
    <phoneticPr fontId="5" type="noConversion"/>
  </si>
  <si>
    <r>
      <t xml:space="preserve">⑮, </t>
    </r>
    <r>
      <rPr>
        <sz val="10"/>
        <color indexed="12"/>
        <rFont val="MS Gothic"/>
        <family val="3"/>
        <charset val="128"/>
      </rPr>
      <t>⑯</t>
    </r>
    <r>
      <rPr>
        <sz val="10"/>
        <color indexed="12"/>
        <rFont val="굴림체"/>
        <family val="3"/>
        <charset val="129"/>
      </rPr>
      <t xml:space="preserve"> '코드변경률' 및 '통합 및 시험 변경률'을 입력한다</t>
    </r>
    <phoneticPr fontId="5" type="noConversion"/>
  </si>
  <si>
    <r>
      <t xml:space="preserve">※ 주의사항
   -'C30' 셀의 기능점수 산정 방법을 선택한다.
     간이법(복잡도⑦, ⑧번 미산정), 상세법(복잡도 ⑦, ⑧번 산정)
   - ① ~ </t>
    </r>
    <r>
      <rPr>
        <sz val="10"/>
        <color rgb="FFFF0000"/>
        <rFont val="MS Gothic"/>
        <family val="3"/>
        <charset val="128"/>
      </rPr>
      <t>⑯</t>
    </r>
    <r>
      <rPr>
        <sz val="10"/>
        <color rgb="FFFF0000"/>
        <rFont val="굴림체"/>
        <family val="3"/>
        <charset val="129"/>
      </rPr>
      <t xml:space="preserve"> 항목 중 열이름 서식이 '노란색'인 항목을 작성한다 ( ①, ②, ③, ④, ⑤, ⑥, ⑦, ⑧, ⑫, ⑬, ⑭, ⑮, </t>
    </r>
    <r>
      <rPr>
        <sz val="10"/>
        <color rgb="FFFF0000"/>
        <rFont val="MS Gothic"/>
        <family val="3"/>
        <charset val="128"/>
      </rPr>
      <t>⑯</t>
    </r>
    <r>
      <rPr>
        <sz val="10"/>
        <color rgb="FFFF0000"/>
        <rFont val="굴림체"/>
        <family val="3"/>
        <charset val="129"/>
      </rPr>
      <t xml:space="preserve"> )
   - 발주기관 산정 개발/재개발/유지관리 원가 산출내역서 기준으로 작성</t>
    </r>
    <phoneticPr fontId="5" type="noConversion"/>
  </si>
  <si>
    <t>⑬ 재사용 소프트웨어 난이도</t>
    <phoneticPr fontId="5" type="noConversion"/>
  </si>
  <si>
    <t>프로그램의 구조화 정도</t>
    <phoneticPr fontId="5" type="noConversion"/>
  </si>
  <si>
    <t>애플리케이션 관점의 명확성</t>
    <phoneticPr fontId="5" type="noConversion"/>
  </si>
  <si>
    <t>프로그램 소스코드의 서술정도</t>
    <phoneticPr fontId="5" type="noConversion"/>
  </si>
  <si>
    <t>재사용난이도</t>
    <phoneticPr fontId="5" type="noConversion"/>
  </si>
  <si>
    <t>⑭ 재사용 소프트웨어 친숙도</t>
    <phoneticPr fontId="5" type="noConversion"/>
  </si>
  <si>
    <t>⑮ 코드 변경률</t>
    <phoneticPr fontId="5" type="noConversion"/>
  </si>
  <si>
    <r>
      <rPr>
        <b/>
        <sz val="9"/>
        <color theme="1"/>
        <rFont val="MS Gothic"/>
        <family val="3"/>
        <charset val="128"/>
      </rPr>
      <t>⑯</t>
    </r>
    <r>
      <rPr>
        <b/>
        <sz val="9"/>
        <color theme="1"/>
        <rFont val="굴림체"/>
        <family val="3"/>
        <charset val="129"/>
      </rPr>
      <t xml:space="preserve"> 통합 및 시험 변경률</t>
    </r>
    <phoneticPr fontId="5" type="noConversion"/>
  </si>
  <si>
    <t>입력</t>
    <phoneticPr fontId="5" type="noConversion"/>
  </si>
  <si>
    <t>통합설계변경률</t>
    <phoneticPr fontId="5" type="noConversion"/>
  </si>
  <si>
    <t>4. 기능점수 산정</t>
    <phoneticPr fontId="1" type="noConversion"/>
  </si>
  <si>
    <t>간이법</t>
  </si>
  <si>
    <t>("저작권기술 성능평가 시스템 개선 및 고도화" 프로젝트)</t>
    <phoneticPr fontId="5" type="noConversion"/>
  </si>
  <si>
    <t>기술적인조치 관리시스템</t>
  </si>
  <si>
    <t>표준서비스</t>
  </si>
  <si>
    <t>서비스총괄현황조회</t>
  </si>
  <si>
    <t>관리자 메인 화면으로 최근 7일간의 기술적조치 신청 현황 및 공용특징정보 DB 구축 현황을 조회 (챠트)</t>
  </si>
  <si>
    <t>일별통계조회</t>
  </si>
  <si>
    <t>일자별 공용특징정보 DB 구축 현황을 조회 (챠트)</t>
  </si>
  <si>
    <t>월별통계조회</t>
  </si>
  <si>
    <t>월별 공용특징정보 DB 구축 현황을 조회 (챠트)</t>
  </si>
  <si>
    <t>년도별통계조회</t>
  </si>
  <si>
    <t>년도별 공용특징정보 DB 구축 현황을 조회 (챠트)</t>
  </si>
  <si>
    <t>음원콘텐츠검색</t>
  </si>
  <si>
    <t>공용특징정보 중 음원에 대한 정보 검색</t>
  </si>
  <si>
    <t>음원콘텐츠상세정보</t>
  </si>
  <si>
    <t>공용특징정보 중 음원에 대한 상세 정보 조회</t>
  </si>
  <si>
    <t>영상콘텐츠검색</t>
  </si>
  <si>
    <t>공용특징정보 중 영상에 대한 정보 검색</t>
  </si>
  <si>
    <t>영상콘텐츠상세정보</t>
  </si>
  <si>
    <t>공용특징정보 중 영상에 대한 상세 정보 조회</t>
  </si>
  <si>
    <t>권리자목록</t>
  </si>
  <si>
    <t>공용특징정보 DB 구축 서비스를 사용하고 있는 권리자 정보 목록</t>
  </si>
  <si>
    <t>권리자등록</t>
  </si>
  <si>
    <t>공용특징정보 DB 구축 서비스를 사용하기 위한 권리자 정보 신규 등록</t>
  </si>
  <si>
    <t>권리자수정</t>
  </si>
  <si>
    <t>공용특징정보 DB 구축 서비스를 사용하는 권리자에 대한 정보 수정</t>
  </si>
  <si>
    <t>권리자삭제</t>
  </si>
  <si>
    <t>공용특징정보 DB 구축 서비스를 사용하는 권리자에 대한 정보 삭제</t>
  </si>
  <si>
    <t>기술업체목록</t>
  </si>
  <si>
    <t>공용특징정보 DB 구축 서비스를 위해 권리자 서버에 설치되는 필터링 모듈을 제공하는 기술업체 목록</t>
  </si>
  <si>
    <t>기술업체상세정보조회</t>
  </si>
  <si>
    <t>공용특징정보 DB 구축 서비스를 위해 권리자 서버에 설치되는 필터링 모듈을 제공하는 기술업체의 상세 정보 조회 및 수정</t>
  </si>
  <si>
    <t>기술업체모듈등록</t>
  </si>
  <si>
    <t>공용특징정보 서비스 기술업체의 모듈을 등록</t>
  </si>
  <si>
    <t>기술업체등록</t>
  </si>
  <si>
    <t>공용특징정보 서비스 기술업체의 정보를 등록</t>
  </si>
  <si>
    <t>기술업체수정</t>
  </si>
  <si>
    <t>공용특징정보 서비스 기술업체의 정보를 수정</t>
  </si>
  <si>
    <t>기술업체삭제</t>
  </si>
  <si>
    <t>공용특징정보 서비스 기술업체의 정보를 삭제</t>
  </si>
  <si>
    <t>특징점추출내역조회</t>
  </si>
  <si>
    <t>콘텐츠별 기술업체의 특징정보 추출 현황 조회</t>
  </si>
  <si>
    <t>특징점메타정보조회</t>
  </si>
  <si>
    <t>콘텐츠에 대한 메타정보를 조회</t>
  </si>
  <si>
    <t>필터링업체FTP전송처리</t>
  </si>
  <si>
    <t>특징정보가 필터링 기술업체에 FTP로 전송된 현황</t>
  </si>
  <si>
    <t>특징점DB사용신청목록조회</t>
  </si>
  <si>
    <t>공용특징정보 DB 구축 서비스 신청 현황</t>
  </si>
  <si>
    <t>특징점DB사용신청상세조회</t>
  </si>
  <si>
    <t>공용특징정보 DB 구축 서비스 신청 상세 내역 조회 및 수정</t>
  </si>
  <si>
    <t>특징점DB사용내역변경</t>
  </si>
  <si>
    <t>공용특징정보 DB 구축 서비스 신청 상세 내역 변경 처리</t>
  </si>
  <si>
    <t>년도별특징점DB구축현황조회</t>
  </si>
  <si>
    <t>년도별 특징점 DB 구축 현황 (챠트)</t>
  </si>
  <si>
    <t>월별별특징점DB구축현황조회</t>
  </si>
  <si>
    <t>월별 특징점 DB 구축 현황 (챠트)</t>
  </si>
  <si>
    <t>일자별특징점DB구축현황조회</t>
  </si>
  <si>
    <t>일자별 특징점 DB 구축 현황 (챠트)</t>
  </si>
  <si>
    <t>년도별특징점DB추출현황조회</t>
  </si>
  <si>
    <t>년도별 특징점 DB 추출 현황 (챠트)</t>
  </si>
  <si>
    <t>월별별특징점DB추출현황조회</t>
  </si>
  <si>
    <t>월별 특징점 DB 추출 현황 (챠트)</t>
  </si>
  <si>
    <t>일자별특징점DB추출현황조회</t>
  </si>
  <si>
    <t>일자별 특징점 DB 추출 현황 (챠트)</t>
  </si>
  <si>
    <t>년도별접속통계조회</t>
  </si>
  <si>
    <t>년도별 방문자 접속 통계 (챠트)</t>
  </si>
  <si>
    <t>월별접속통계조회</t>
  </si>
  <si>
    <t>월별 방문자 접속 통계 (챠트)</t>
  </si>
  <si>
    <t>일자별접속통계조회</t>
  </si>
  <si>
    <t>일별 방문자 접속 통계 (챠트)</t>
  </si>
  <si>
    <t>필터링성능평가</t>
  </si>
  <si>
    <t>필터링성능평가신청내역조회</t>
  </si>
  <si>
    <t>필터링기술 성능평가 신청 내역 조회</t>
  </si>
  <si>
    <t>필터링성능평가신청내역상세조회</t>
  </si>
  <si>
    <t>필터링기술 성능평가 신청 내역 상세 조회</t>
  </si>
  <si>
    <t>필터링성능평가신청접수비밀번호변경</t>
  </si>
  <si>
    <t>필터링기술 성능평가 신청시의 비밀번호를 초기화</t>
  </si>
  <si>
    <t>필터링성능평가신청승인처리</t>
  </si>
  <si>
    <t>필터링기술 성능평가 신청에 대한 승인 처리</t>
  </si>
  <si>
    <t>필터링성능평가신청내역삭제</t>
  </si>
  <si>
    <t>필터링기술 성능평가 신청에 대한 삭제 처리</t>
  </si>
  <si>
    <t>필터링성능평가진행내역조회</t>
  </si>
  <si>
    <t>필터링기술 성능평가 신청에서 발급까지의 소요 기간에 대한 현황</t>
  </si>
  <si>
    <t>필터링성능평가통계조회</t>
  </si>
  <si>
    <t>필터링 성능평가 신청별 콘텐츠 유형별 발급 현황</t>
  </si>
  <si>
    <t>필터링변형항목등록</t>
  </si>
  <si>
    <t>필터링성능평가 강인성 변형 항목 사용 여부 관리</t>
  </si>
  <si>
    <t>필터링성능평가시나리오조회</t>
  </si>
  <si>
    <t>필터링 성능평가를 위한 시나리오 현황 조회</t>
  </si>
  <si>
    <t>필터링성능평가시나리오등록</t>
  </si>
  <si>
    <t>필터링 성능평가를 위한 시나리오 등록</t>
  </si>
  <si>
    <t>필터링성능평가시나리오수정</t>
  </si>
  <si>
    <t>필터링 성능평가를 위한 시나리오 수정</t>
  </si>
  <si>
    <t>필터링성능평가시나리오삭제</t>
  </si>
  <si>
    <t>필터링 성능평가 시나리오 삭제</t>
  </si>
  <si>
    <t>필터링모듈규격검사현황조회</t>
  </si>
  <si>
    <t>필터링 성능평가 신청시 모듈 규격을 검사한 현황</t>
  </si>
  <si>
    <t>필터링모듈규격오류조회</t>
  </si>
  <si>
    <t>필터링 성능평가 신청시 모듈 규격 오류 조회</t>
  </si>
  <si>
    <t>필터링업체별평가항목조회</t>
  </si>
  <si>
    <t>필터링 성능평가 수행을 위한 업체별 강인성 항목에 대한 사용 여부 관리</t>
  </si>
  <si>
    <t>필터링업체별평가항목변경</t>
  </si>
  <si>
    <t>필터링 성능평가 수행을 위한 업체별 강인성 항목에 대한 사용 여부 저장 처리</t>
  </si>
  <si>
    <t>웹기반 성능평가 수행 등록</t>
  </si>
  <si>
    <t>웹기반 필터링 기술 성능평가를 수행하기 위한 메인 화면</t>
  </si>
  <si>
    <t>웹기반 성능평가 강인성 항목 설정</t>
  </si>
  <si>
    <t>웹기반 필터링 기술 성능평가를 수행하기 강인성 세부 항목 설정 팝업</t>
  </si>
  <si>
    <t>웹기반 필터링 기술 성능평가 수행 등록</t>
  </si>
  <si>
    <t>웹기반 성능평가 모니터링 조회</t>
  </si>
  <si>
    <t>웹기반 필터링 기술 성능평가 수행 현황 모니터링</t>
  </si>
  <si>
    <t>필터링성능평가로그정보조회</t>
  </si>
  <si>
    <t>필터링성능평가 결과 DB에 저장된 로그의 내용에 대한 간략 조회</t>
  </si>
  <si>
    <t>필터링추출로그내용조회</t>
  </si>
  <si>
    <t>필터링 성능평가 특징정보 추출에 대한 로그 정보를 상세히 조회</t>
  </si>
  <si>
    <t>필터링인식로그내용조회</t>
  </si>
  <si>
    <t>필터링 성능평가 강인성 평가 결과에 대한 로그 정보를 상세히 조회</t>
  </si>
  <si>
    <t>필터링부분매칭로그내용조회</t>
  </si>
  <si>
    <t>필터링 성능평가 부분매칭 평가 결과에 대한 로그 정보를 상세히 조회</t>
  </si>
  <si>
    <t>필터링성능평가모니터링조회</t>
  </si>
  <si>
    <t>필터링 성능평가 진행 현황에 대해 평가 항목별로 수행일정 및 소요시간을 조회</t>
  </si>
  <si>
    <t>필터링강인성항목그룹별결과조회</t>
  </si>
  <si>
    <t>필터링 성능평가 강인성 항목에 대한 그룹별 인식 결과를 그래프와 함께 조회 (챠트)</t>
  </si>
  <si>
    <t>필터링강인성평가세부결과조회</t>
  </si>
  <si>
    <t>필터링 성능평가 강인성 항목에 대한 인식 결과를 그래프와 함께 조회 (챠트)</t>
  </si>
  <si>
    <t>필터링장르별강인성성능평가결과조회</t>
  </si>
  <si>
    <t>필터링 성능평가 강인성 항목에 대한 장르별 인식 결과를 그래프와 함께 조회 (챠트)</t>
  </si>
  <si>
    <t>필터링일관성성능평가결과조회</t>
  </si>
  <si>
    <t>필터링 성능평가 추출의 일관성 및 인식의 일관성에 대한 결과를 표 및 챠트로 조회 (챠트)</t>
  </si>
  <si>
    <t>필터링시스템효율성결과그래프조회</t>
  </si>
  <si>
    <t>각각의 평가 항목별 CPU및 메모리에 대한 사용률을 챠트로 조회 (챠트)</t>
  </si>
  <si>
    <t>필터링시스템효율성결과조회</t>
  </si>
  <si>
    <t>필터링 성능평가에 대한 추출 및 인식 평가시 사용된 리소스에 대해 빈도수 별로 표와 챠트로 조회 (챠트)</t>
  </si>
  <si>
    <t>필터링특징정보량및속도결과조회</t>
  </si>
  <si>
    <t>필터링 성능평가에 대한 특징정보 (평균)크기 및 인식시 소요된 시간정보에 대해 조회 (챠트)</t>
  </si>
  <si>
    <t>필터링부분매칭평가결과조회</t>
  </si>
  <si>
    <t>필터링 성능평가에 대한 부분매칭 결과를 부분인식과 전체인식으로 나누어 표 및 챠트로 조회 (챠트)</t>
  </si>
  <si>
    <t>필터링인식정보량평가결과조회</t>
  </si>
  <si>
    <t>필터링 성능평가에 대한 인식정보량 평가 결과를 표 및 챠트로 조회 (챠트)</t>
  </si>
  <si>
    <t>필터링성능평가종합결과조회</t>
  </si>
  <si>
    <t>필터링 성능평가 결과에 대한 종합 결과 보고서를 조회 (챠트)</t>
  </si>
  <si>
    <t>필터링성능평가종합결과(통합보고서)</t>
  </si>
  <si>
    <t>필터링성능평가결과조회</t>
  </si>
  <si>
    <t>필터링기술 성능평가 결과를 조회</t>
  </si>
  <si>
    <t>필터링성능평가결과등록</t>
  </si>
  <si>
    <t>필터링기술 성능평가 결과를 등록</t>
  </si>
  <si>
    <t>오디오데이타셋검색</t>
  </si>
  <si>
    <t>오디오 데이타셋에 대한 검색</t>
  </si>
  <si>
    <t>오디오데이타셋상세정보조회</t>
  </si>
  <si>
    <t>오디오 데이타셋 상세 정보 조회</t>
  </si>
  <si>
    <t>비디오데이타셋검색</t>
  </si>
  <si>
    <t>비디오 데이타셋에 대한 검색</t>
  </si>
  <si>
    <t>비디오데이타셋상세정보조회</t>
  </si>
  <si>
    <t>비디오 데이타셋 상세 정보 조회</t>
  </si>
  <si>
    <t>이미지데이타셋검색</t>
  </si>
  <si>
    <t>이미지 데이타셋에 대한 검색</t>
  </si>
  <si>
    <t>이미지데이타셋상세정보조회</t>
  </si>
  <si>
    <t>이미지 데이터셋 상세 정보 조회</t>
  </si>
  <si>
    <t>모바일앱데이타셋검색</t>
  </si>
  <si>
    <t>모바일앱 데이타셋에 대한 검색</t>
  </si>
  <si>
    <t>모바일앱데이타셋상세정보조회</t>
  </si>
  <si>
    <t>모바일앱 데이터셋 상세 정보 조회</t>
  </si>
  <si>
    <t>데이타셋엑셀업로드</t>
  </si>
  <si>
    <t>오디오 및 비디오에 대한 수동 데이타셋 업로드</t>
  </si>
  <si>
    <t>데이타셋통계조회</t>
  </si>
  <si>
    <t>년도별 데이타셋 구축 현황 통계 (챠트)</t>
  </si>
  <si>
    <t>필터링성능평가년별통계조회</t>
  </si>
  <si>
    <t>성능평가년별통계 (챠트)</t>
  </si>
  <si>
    <t>필터링성능평가로그등록</t>
  </si>
  <si>
    <t>성능평가로그등록</t>
  </si>
  <si>
    <t>필터링성능평가로그정보분석</t>
  </si>
  <si>
    <t>성능평가로그정보분석</t>
  </si>
  <si>
    <t>필터링성능평가일별통계조회</t>
  </si>
  <si>
    <t>성능평가일별통계 (챠트)</t>
  </si>
  <si>
    <t>모바일웹하드성능평가</t>
  </si>
  <si>
    <t>리눅스 AGentPC 조회</t>
  </si>
  <si>
    <t>리눅스기반 필터링 성능평가를 위한 Agent(서버, PC) 목록을 조회</t>
  </si>
  <si>
    <t>리눅스 AGentPC 등록</t>
  </si>
  <si>
    <t>리눅스기반 필터링 성능평가를 위한 Agent(서버, PC)를 등록</t>
  </si>
  <si>
    <t>리눅스 AGentPC 변경</t>
  </si>
  <si>
    <t>리눅스기반 필터링 성능평가를 위한 Agent(서버, PC)의 등록된 내용을 조회 및 수정</t>
  </si>
  <si>
    <t>리눅스 AGentPC 삭제</t>
  </si>
  <si>
    <t>리눅스기반 필터링 성능평가를 위한 Agent(서버, PC)의 등록된 내용을 삭제</t>
  </si>
  <si>
    <t>리눅스용 성능평가 수행 등록</t>
  </si>
  <si>
    <t>리눅스기반 필터링 성능평가 수행을 위한 평가 대상 항목 및 모듈, 평가 시간등을 등록 처리</t>
  </si>
  <si>
    <t>리눅스용 강인성 항목 설정 등록</t>
  </si>
  <si>
    <t>리눅스기반 필터링 성능평가 수행을 위한 강인성 세부 파라메터를 지정</t>
  </si>
  <si>
    <t>리눅스용 성능평가 모니터링 조회</t>
  </si>
  <si>
    <t>리눅스기반 필터링 성능평가 수행에 대한 예약 이력 및 실행 결과를 모니터링</t>
  </si>
  <si>
    <t>리눅스용 성능평가 실행 취소</t>
  </si>
  <si>
    <t>리눅스기반 필터링 성능평가 수행중에 있는 Agent의 실행을 취소 처리</t>
  </si>
  <si>
    <t>모바일웹하드성능평가신청내역조회</t>
  </si>
  <si>
    <t>모바일웹하드기술 성능평가 신청 내역 조회</t>
  </si>
  <si>
    <t>모바일웹하드성능평가신청내역상세조회</t>
  </si>
  <si>
    <t>모바일웹하드기술 성능평가 신청 내역 상세 조회</t>
  </si>
  <si>
    <t>모바일웹하드성능평가신청접수비밀번호변경</t>
  </si>
  <si>
    <t>모바일웹하드기술 성능평가 신청시의 비밀번호를 초기화</t>
  </si>
  <si>
    <t>모바일웹하드성능평가신청승인처리</t>
  </si>
  <si>
    <t>모바일웹하드기술 성능평가 신청에 대한 승인 처리</t>
  </si>
  <si>
    <t>모바일웹하드성능평가신청내역삭제</t>
  </si>
  <si>
    <t>모바일웹하드기술 성능평가 신청에 대한 삭제 처리</t>
  </si>
  <si>
    <t>모바일웹하드성능평가진행내역조회</t>
  </si>
  <si>
    <t>모바일웹하드기술 성능평가 신청에서 발급까지의 소요 기간에 대한 현황</t>
  </si>
  <si>
    <t>모바일웹하드성능평가통계조회</t>
  </si>
  <si>
    <t>모바일웹하드 성능평가 신청별 콘텐츠 유형별 발급 현황</t>
  </si>
  <si>
    <t>모바일웹하드변형항목등록</t>
  </si>
  <si>
    <t>모바일웹하드성능평가 강인성 변형 항목 사용 여부 관리</t>
  </si>
  <si>
    <t>모바일웹하드성능평가시나리오조회</t>
  </si>
  <si>
    <t>모바일웹하드 성능평가를 위한 시나리오 현황 조회</t>
  </si>
  <si>
    <t>모바일웹하드성능평가시나리오등록</t>
  </si>
  <si>
    <t>모바일웹하드 성능평가를 위한 시나리오 등록</t>
  </si>
  <si>
    <t>모바일웹하드성능평가시나리오수정</t>
  </si>
  <si>
    <t>모바일웹하드 성능평가를 위한 시나리오 수정</t>
  </si>
  <si>
    <t>모바일웹하드성능평가시나리오삭제</t>
  </si>
  <si>
    <t>모바일웹하드 성능평가 시나리오 삭제</t>
  </si>
  <si>
    <t>모바일웹하드모듈규격검사현황조회</t>
  </si>
  <si>
    <t>모바일웹하드 성능평가 신청시 모듈 규격을 검사한 현황</t>
  </si>
  <si>
    <t>모바일웹하드모듈규격오류조회</t>
  </si>
  <si>
    <t>모바일웹하드 성능평가 신청시 모듈 규격 오류 조회</t>
  </si>
  <si>
    <t>모바일웹하드업체별평가항목조회</t>
  </si>
  <si>
    <t>모바일웹하드 성능평가 수행을 위한 업체별 강인성 항목에 대한 사용 여부 관리</t>
  </si>
  <si>
    <t>모바일웹하드업체별평가항목변경</t>
  </si>
  <si>
    <t>모바일웹하드 성능평가 수행을 위한 업체별 강인성 항목에 대한 사용 여부 저장 처리</t>
  </si>
  <si>
    <t>모바일웹하드성능평가로그정보조회</t>
  </si>
  <si>
    <t>모바일웹하드성능평가 결과 DB에 저장된 로그의 내용에 대한 간략 조회</t>
  </si>
  <si>
    <t>모바일웹하드추출로그내용조회</t>
  </si>
  <si>
    <t>모바일웹하드 성능평가 특징정보 추출에 대한 로그 정보를 상세히 조회</t>
  </si>
  <si>
    <t>모바일웹하드인식로그내용조회</t>
  </si>
  <si>
    <t>모바일웹하드 성능평가 강인성 평가 결과에 대한 로그 정보를 상세히 조회</t>
  </si>
  <si>
    <t>모바일웹하드강인성항목그룹별결과조회</t>
  </si>
  <si>
    <t>모바일웹하드 성능평가 강인성 항목에 대한 그룹별 인식 결과를 그래프와 함께 조회 (챠트)</t>
  </si>
  <si>
    <t>모바일웹하드강인성평가세부결과조회</t>
  </si>
  <si>
    <t>모바일웹하드 성능평가 강인성 항목에 대한 인식 결과를 그래프와 함께 조회 (챠트)</t>
  </si>
  <si>
    <t>모바일웹하드장르별강인성성능평가결과조회</t>
  </si>
  <si>
    <t>모바일웹하드 성능평가 강인성 항목에 대한 장르별 인식 결과를 그래프와 함께 조회 (챠트)</t>
  </si>
  <si>
    <t>모바일웹하드일관성성능평가결과조회</t>
  </si>
  <si>
    <t>모바일웹하드 성능평가 추출의 일관성 및 인식의 일관성에 대한 결과를 표 및 챠트로 조회 (챠트)</t>
  </si>
  <si>
    <t>모바일웹하드시스템효율성결과그래프조회</t>
  </si>
  <si>
    <t>모바일웹하드시스템효율성결과조회</t>
  </si>
  <si>
    <t>모바일웹하드 성능평가에 대한 추출 및 인식 평가시 사용된 리소스에 대해 빈도수 별로 표와 챠트로 조회 (챠트)</t>
  </si>
  <si>
    <t>모바일웹하드부하테스트결과조회</t>
  </si>
  <si>
    <t>모바일웹하드 성능평가에 대한 부하테스트 결과를 조회 (챠트)</t>
  </si>
  <si>
    <t>모바일웹하드특징정보량및속도결과조회</t>
  </si>
  <si>
    <t>모바일웹하드 성능평가에 대한 특징정보 (평균)크기 및 인식시 소요된 시간정보에 대해 조회 (챠트)</t>
  </si>
  <si>
    <t>모바일웹하드부분매칭평가결과조회</t>
  </si>
  <si>
    <t>모바일웹하드 성능평가에 대한 부분매칭 결과를 부분인식과 전체인식으로 나누어 표 및 챠트로 조회 (챠트)</t>
  </si>
  <si>
    <t>모바일웹하드인식정보량평가결과조회</t>
  </si>
  <si>
    <t>모바일웹하드 성능평가에 대한 인식정보량 평가 결과를 표 및 챠트로 조회 (챠트)</t>
  </si>
  <si>
    <t>모바일웹하드성능평가종합결과조회</t>
  </si>
  <si>
    <t>모바일웹하드 성능평가 결과에 대한 종합 결과 보고서를 조회 (챠트)</t>
  </si>
  <si>
    <t>모바일웹하드성능평가종합결과(통합보고서)</t>
  </si>
  <si>
    <t>모바일웹하드성능평가결과조회</t>
  </si>
  <si>
    <t>모바일웹하드기술 성능평가 결과를 조회</t>
  </si>
  <si>
    <t>모바일웹하드성능평가결과등록</t>
  </si>
  <si>
    <t>모바일웹하드기술 성능평가 결과를 등록</t>
  </si>
  <si>
    <t>포렌식성능평가</t>
  </si>
  <si>
    <t>포렌식성능평가신청내역조회</t>
  </si>
  <si>
    <t>포렌식성능평가신청내역상세조회</t>
  </si>
  <si>
    <t>성능평가신청내역상세조회</t>
  </si>
  <si>
    <t>포렌식성능평가신청접수비밀번호변경</t>
  </si>
  <si>
    <t>포렌식기술 성능평가 신청시의 비밀번호를 초기화</t>
  </si>
  <si>
    <t>포렌식성능평가신청승인처리</t>
  </si>
  <si>
    <t>포렌식기술 성능평가 신청에 대한 승인 처리</t>
  </si>
  <si>
    <t>포렌식성능평가신청내역삭제</t>
  </si>
  <si>
    <t>포렌식기술 성능평가 신청에 대한 삭제 처리</t>
  </si>
  <si>
    <t>포렌식성능평가진행내역조회</t>
  </si>
  <si>
    <t>포렌식기술 성능평가 신청에서 발급까지의 소요 기간에 대한 현황</t>
  </si>
  <si>
    <t>포렌식성능평가통계조회</t>
  </si>
  <si>
    <t>포렌식 성능평가 신청별 콘텐츠 유형별 발급 현황</t>
  </si>
  <si>
    <t>포렌식성능평가시나리오현황조회</t>
  </si>
  <si>
    <t>포렌식 성능평가를 위한 시나리오 현황 조회</t>
  </si>
  <si>
    <t>포렌식성능평가시나리오등록</t>
  </si>
  <si>
    <t>포렌식 성능평가를 위한 시나리오 등록</t>
  </si>
  <si>
    <t>포렌식성능평가시나리오수정</t>
  </si>
  <si>
    <t>포렌식 성능평가를 위한 시나리오 수정</t>
  </si>
  <si>
    <t>포렌식성능평가시나리오삭제</t>
  </si>
  <si>
    <t>포렌식 성능평가 시나리오 삭제</t>
  </si>
  <si>
    <t>포렌식모듈규격검사현황조회</t>
  </si>
  <si>
    <t>포렌식 성능평가 신청시 모듈 규격을 검사한 현황</t>
  </si>
  <si>
    <t>포렌식모듈규격오류조회</t>
  </si>
  <si>
    <t>포렌식 성능평가 신청시 모듈 규격 오류 조회</t>
  </si>
  <si>
    <t>포렌식업체별평가항목조회</t>
  </si>
  <si>
    <t>포렌식 성능평가 수행을 위한 업체별 강인성 항목에 대한 사용 여부 관리</t>
  </si>
  <si>
    <t>포렌식업체별평가항목변경</t>
  </si>
  <si>
    <t>포렌식 성능평가 수행을 위한 업체별 강인성 항목에 대한 사용 여부 저장 처리</t>
  </si>
  <si>
    <t>포렌식삽입로그조회</t>
  </si>
  <si>
    <t>포렌식 성능평가 수행시의 마크 삽입시의 결과 로그에 대해 조회</t>
  </si>
  <si>
    <t>포렌식강인성로그조회</t>
  </si>
  <si>
    <t>포렌식 성능평가 수행시의 강인성 결과 로그에 대해 조회</t>
  </si>
  <si>
    <t>포렌식검출로그조회</t>
  </si>
  <si>
    <t>포렌식 성능평가 수행시의 마크 검출시의 로그에 대해 조회</t>
  </si>
  <si>
    <t>포렌식성능평가모니터링조회</t>
  </si>
  <si>
    <t>포렌식 성능평가 수행시 평가 항목별 수행 일정 및 소요 시간에 대해 조회</t>
  </si>
  <si>
    <t>포렌식강인성항목그룹별결과조회</t>
  </si>
  <si>
    <t>포렌식 성능평가 강인성 항목에 대한 그룹별 인식 결과를 그래프와 함께 조회 (챠트)</t>
  </si>
  <si>
    <t>포렌식강인성평가세부결과조회</t>
  </si>
  <si>
    <t>포렌식 성능평가 강인성 항목에 대한 인식 결과를 그래프와 함께 조회 (챠트)</t>
  </si>
  <si>
    <t>포렌식장르별강인성성능평가결과조회</t>
  </si>
  <si>
    <t>포렌식 성능평가 강인성 항목에 대한 장르별 인식 결과를 그래프와 함께 조회 (챠트)</t>
  </si>
  <si>
    <t>포렌식일관성성능평가결과조회</t>
  </si>
  <si>
    <t>포렌식 성능평가 추출의 일관성 및 인식의 일관성에 대한 결과를 표 및 챠트로 조회 (챠트)</t>
  </si>
  <si>
    <t>포렌식시스템효율성결과그래프조회</t>
  </si>
  <si>
    <t>포렌식시스템효율성결과조회</t>
  </si>
  <si>
    <t>포렌식 성능평가에 대한 추출 및 인식 평가시 사용된 리소스에 대해 빈도수 별로 표와 챠트로 조회 (챠트)</t>
  </si>
  <si>
    <t>포렌식공모허용성평가결과조회</t>
  </si>
  <si>
    <t>포렌식 성능평가에 대한 공모 공격에 대한 결과를 챠트와 함께 조회 (챠트)</t>
  </si>
  <si>
    <t>포렌식비인지성상세결과조회</t>
  </si>
  <si>
    <t>포렌식 성능평가에 대한 콘텐츠별 비인지성 결과를 조회 (챠트)</t>
  </si>
  <si>
    <t>포렌식비인지성상세결과그래프조회</t>
  </si>
  <si>
    <t>포렌식 성능평가에 대한 콘텐츠별 비인지성 결과를 챠트로 조회</t>
  </si>
  <si>
    <t>포렌식기타성능평가결과조회</t>
  </si>
  <si>
    <t>포렌식 성능평가에 대한 삽입/검출속도 및 신뢰성에 대해 조회 (챠트)</t>
  </si>
  <si>
    <t>포렌식 성능평가 종합 결과 조회</t>
  </si>
  <si>
    <t>포렌식 성능평가 종합 결과 조회 (챠트)</t>
  </si>
  <si>
    <t>포렌식 성능평가 확인서 출력</t>
  </si>
  <si>
    <t>전자책DRM상호운용성</t>
  </si>
  <si>
    <t>전자책DRM상호운용성신청내역조회</t>
  </si>
  <si>
    <t>전자책 DRM 상호운용성 평가 신청 현황을 조회</t>
  </si>
  <si>
    <t>전자책DRM상호운용성신청내역상세조회</t>
  </si>
  <si>
    <t>전자책 DRM 상호운용성 평가 신청 내역을 상세히 조회</t>
  </si>
  <si>
    <t>전자책DRM상호운용성신청내역승인처리</t>
  </si>
  <si>
    <t>전자책 DRM 상호운용성 평가 신청 내역에 대해 승인처리</t>
  </si>
  <si>
    <t>전자책DRM상호운용성버전이력조회</t>
  </si>
  <si>
    <t>전자책 DRM 상호운용성 평가 버전이력목록</t>
  </si>
  <si>
    <t>전자책DRM상호운용성상세버전등록</t>
  </si>
  <si>
    <t>전자책 DRM 상호운용성 평가 상세버전등록</t>
  </si>
  <si>
    <t>전자책DRM상호운용성성세버전삭제</t>
  </si>
  <si>
    <t>전자책 DRM 상호운용성 평가 성세버전삭제</t>
  </si>
  <si>
    <t>전자책DRM상호운용성성세버전수정</t>
  </si>
  <si>
    <t>전자책 DRM 상호운용성 평가 성세버전수정</t>
  </si>
  <si>
    <t>전자책DRM상호운용성진행내역조회</t>
  </si>
  <si>
    <t>전자책 DRM 상호운용성 평가 진행 사항을 조회</t>
  </si>
  <si>
    <t>전자책DRM상호운용성결과요약조회</t>
  </si>
  <si>
    <t>전자책 DRM 상호운용성 평가 결과 요약 보고서를 조회</t>
  </si>
  <si>
    <t>전자책DRM상호운용성결과상세조회</t>
  </si>
  <si>
    <t>전자책 DRM 상호운용성 평가 결과 상세 보고서를 조회</t>
  </si>
  <si>
    <t>전자책DRM상호운용성결과조회</t>
  </si>
  <si>
    <t>전자책 DRM 상호운용성 평가 결과를 조회</t>
  </si>
  <si>
    <t>전자책DRM상호운용성결과등록</t>
  </si>
  <si>
    <t>전자책 DRM 상호운용성 평가 결과를 등록</t>
  </si>
  <si>
    <t>자가진단기사용현황 조회</t>
  </si>
  <si>
    <t>전자책 DRM 상호운용성 자가 진단기 사용 현황을 조회</t>
  </si>
  <si>
    <t>기술적용점검</t>
  </si>
  <si>
    <t>필드평가신청현황조회</t>
  </si>
  <si>
    <t>공정이용포털을 통한 필드평가 신청 내역을 조회</t>
  </si>
  <si>
    <t>필드평가신청내역상세조회</t>
  </si>
  <si>
    <t>필드평가 신청 상세 내역을 조회</t>
  </si>
  <si>
    <t>필드평가신청OSP정보조회</t>
  </si>
  <si>
    <t>필드평가 신청 대상 OSP 목록을 조회</t>
  </si>
  <si>
    <t>필드평가신청권리정보조회</t>
  </si>
  <si>
    <t>필드평가 신청 대상 OSP별 권리정보를 조회</t>
  </si>
  <si>
    <t>AgentPC조회</t>
  </si>
  <si>
    <t>필드평가 수행을 위한 AgentPC를 관리</t>
  </si>
  <si>
    <t>AgentPC등록</t>
  </si>
  <si>
    <t>필드평가 수행을 위한 AgentPC를 등록</t>
  </si>
  <si>
    <t>AgentPC삭제</t>
  </si>
  <si>
    <t>필드평가 수행을 위한 AgentPC를 삭제</t>
  </si>
  <si>
    <t>AgentPC수정</t>
  </si>
  <si>
    <t>필드평가 수행을 위한 AgentPC를 수정</t>
  </si>
  <si>
    <t>평가회차조회</t>
  </si>
  <si>
    <t>등록된 평가 회차 정보를 조회</t>
  </si>
  <si>
    <t>평가회차등록</t>
  </si>
  <si>
    <t>평가 회차를 신규로 등록</t>
  </si>
  <si>
    <t>평가회차OSP등록</t>
  </si>
  <si>
    <t>평가 회차 OSP 정보를 등록</t>
  </si>
  <si>
    <t>평가회차OSP삭제</t>
  </si>
  <si>
    <t>평가 회차 OSP 정보를 삭제</t>
  </si>
  <si>
    <t>평가업체조회</t>
  </si>
  <si>
    <t>평가 수행을 위한 Agent별 대상 OSP를 등록 관리</t>
  </si>
  <si>
    <t>평가업체등록</t>
  </si>
  <si>
    <t>평가 수행을 위한 OSP별로 Agent를 등록 처리</t>
  </si>
  <si>
    <t>평가콘텐츠조회</t>
  </si>
  <si>
    <t>필드평가 대상 콘텐츠를 등록 관리</t>
  </si>
  <si>
    <t>평가콘텐츠목록등록</t>
  </si>
  <si>
    <t>필드평가 대상 콘텐츠를 저장</t>
  </si>
  <si>
    <t>평가콘텐츠목록생성</t>
  </si>
  <si>
    <t>강인성 평가에서 통과한 대상 콘텐츠 100개의 목록 가져오기</t>
  </si>
  <si>
    <t>권리정보조회</t>
  </si>
  <si>
    <t>필드평가 대상 권리정보 목록을 조회</t>
  </si>
  <si>
    <t>업로드결과조회</t>
  </si>
  <si>
    <t>필드평가 결과 업로드 내역을 조회</t>
  </si>
  <si>
    <t>로그분석결과조회</t>
  </si>
  <si>
    <t>업로드된 결과에 대해 분석을 수행</t>
  </si>
  <si>
    <t>로그결과업로드</t>
  </si>
  <si>
    <t>로그를 업로드하여 그 결과를 분석</t>
  </si>
  <si>
    <t>평가총평관등록</t>
  </si>
  <si>
    <t>필드평가 결과에 대해 간략히 요약</t>
  </si>
  <si>
    <t>평가결과조회</t>
  </si>
  <si>
    <t>OSP별 필드평가 결과를 조회</t>
  </si>
  <si>
    <t>평가결과(OSP별상세) 조회</t>
  </si>
  <si>
    <t>전제 OSP에 대한 결과를 간략히 조회</t>
  </si>
  <si>
    <t>평가결과(OSP별인식) 조회</t>
  </si>
  <si>
    <t>전제 OSP에 대한 인식 결과를 조회</t>
  </si>
  <si>
    <t>평가결과(OSP권리정보) 조회</t>
  </si>
  <si>
    <t>OSP별 콘텐츠에 대한 인식 결과를 조회</t>
  </si>
  <si>
    <t>OSP정보조회</t>
  </si>
  <si>
    <t>OSP별 필드평거 수행 증정에 대해 조회</t>
  </si>
  <si>
    <t>관리기능</t>
  </si>
  <si>
    <t>메일링발송현황조회</t>
  </si>
  <si>
    <t>메일링발송현황</t>
  </si>
  <si>
    <t>메일발송내용조회</t>
  </si>
  <si>
    <t>메일링등록</t>
  </si>
  <si>
    <t>메일링삭제</t>
  </si>
  <si>
    <t>메일링수정</t>
  </si>
  <si>
    <t>메일링대상자조회</t>
  </si>
  <si>
    <t>메일링대상자관리</t>
  </si>
  <si>
    <t>메일링대상자엑셀등록</t>
  </si>
  <si>
    <t>메일링대상자엑셀업로드</t>
  </si>
  <si>
    <t>메일링대상자등록</t>
  </si>
  <si>
    <t>메일링대상자삭제</t>
  </si>
  <si>
    <t>메일링대상자수정</t>
  </si>
  <si>
    <t>메일현황조회</t>
  </si>
  <si>
    <t>메일현황관리</t>
  </si>
  <si>
    <t>메일발송상세내역조회</t>
  </si>
  <si>
    <t>메일발송상세내역</t>
  </si>
  <si>
    <t>메일링환경설정</t>
  </si>
  <si>
    <t>관리자조회</t>
  </si>
  <si>
    <t>관리자목록</t>
  </si>
  <si>
    <t>관리자등록</t>
  </si>
  <si>
    <t>관리자수정</t>
  </si>
  <si>
    <t>관리자삭제</t>
  </si>
  <si>
    <t>코드조회</t>
  </si>
  <si>
    <t>코드관리</t>
  </si>
  <si>
    <t>코드등록</t>
  </si>
  <si>
    <t>코드수정</t>
  </si>
  <si>
    <t>코드삭제</t>
  </si>
  <si>
    <t>장애정보조회</t>
  </si>
  <si>
    <t>장애정보관리</t>
  </si>
  <si>
    <t>장애정보등록</t>
  </si>
  <si>
    <t>장애정보수정</t>
  </si>
  <si>
    <t>장애정보삭제</t>
  </si>
  <si>
    <t>OSP신청현황조회</t>
  </si>
  <si>
    <t>OSP신청현황</t>
  </si>
  <si>
    <t>OSP신청내역조회</t>
  </si>
  <si>
    <t>OSP신청처리</t>
  </si>
  <si>
    <t>OSP조회</t>
  </si>
  <si>
    <t>OSP관리</t>
  </si>
  <si>
    <t>OSP엑셀업로드</t>
  </si>
  <si>
    <t>OSP등록</t>
  </si>
  <si>
    <t>OSP수정</t>
  </si>
  <si>
    <t>OSP삭제</t>
  </si>
  <si>
    <t>공지사항조회</t>
  </si>
  <si>
    <t>공지사항</t>
  </si>
  <si>
    <t>공지사항등록</t>
  </si>
  <si>
    <t>공지사항삭제</t>
  </si>
  <si>
    <t>공지사항수정</t>
  </si>
  <si>
    <t>기술동향조회</t>
  </si>
  <si>
    <t>기술동향</t>
  </si>
  <si>
    <t>기술동향등록</t>
  </si>
  <si>
    <t>기술동향삭제</t>
  </si>
  <si>
    <t>기술동향수정</t>
  </si>
  <si>
    <t>기술적조치관련법령조회</t>
  </si>
  <si>
    <t>기술적조치관련법령</t>
  </si>
  <si>
    <t>기술적조치관련법령등록</t>
  </si>
  <si>
    <t>기술적조치관련법령삭제</t>
  </si>
  <si>
    <t>기술적조치관련법령수정</t>
  </si>
  <si>
    <t>용어사전조회</t>
  </si>
  <si>
    <t>용어사전관리</t>
  </si>
  <si>
    <t>용어사전등록</t>
  </si>
  <si>
    <t>용어사전삭제</t>
  </si>
  <si>
    <t>용어사전수정</t>
  </si>
  <si>
    <t>자료실조회</t>
  </si>
  <si>
    <t>자료실</t>
  </si>
  <si>
    <t>자료실등록</t>
  </si>
  <si>
    <t>자료실삭제</t>
  </si>
  <si>
    <t>자료실수정</t>
  </si>
  <si>
    <t>저작권기술R&amp;D조회</t>
  </si>
  <si>
    <t>저작권기술R&amp;D</t>
  </si>
  <si>
    <t>저작권기술R&amp;D등록</t>
  </si>
  <si>
    <t>저작권기술R&amp;D삭제</t>
  </si>
  <si>
    <t>저작권기술R&amp;D수정</t>
  </si>
  <si>
    <t>수요조사</t>
  </si>
  <si>
    <t>수요조사 접수 설정 조회</t>
  </si>
  <si>
    <t>수요조사 접수 설정</t>
  </si>
  <si>
    <t>수요조사 접수 현황 조회</t>
  </si>
  <si>
    <t>수요조사 접수 현황</t>
  </si>
  <si>
    <t>수요조사 접수 상세 내역 조회</t>
  </si>
  <si>
    <t>수요조사 접수 상세 내역</t>
  </si>
  <si>
    <t>수요조사 선정 처리</t>
  </si>
  <si>
    <t>회원관리</t>
  </si>
  <si>
    <t>기술적조치권리자목록</t>
  </si>
  <si>
    <t>기술적조치권리자정보조회</t>
  </si>
  <si>
    <t>기술적조치권리자정보삭제</t>
  </si>
  <si>
    <t>기술적조치권리자정보승인처리</t>
  </si>
  <si>
    <t>기술적조치OSP목록조회</t>
  </si>
  <si>
    <t>기술적조치OSP목록</t>
  </si>
  <si>
    <t>기술적조치OSP신청내역삭제</t>
  </si>
  <si>
    <t>기술적조치OSP신청내역승인처리</t>
  </si>
  <si>
    <t>기술적조치OSP신청내역조회</t>
  </si>
  <si>
    <t>기술적조치기술업체조회</t>
  </si>
  <si>
    <t>기술적조치기술업체신청내역삭제</t>
  </si>
  <si>
    <t>기술업체신청내역삭제</t>
  </si>
  <si>
    <t>기술적조치기술업체신청내역승인처리</t>
  </si>
  <si>
    <t>기술업체신청내역승인처리</t>
  </si>
  <si>
    <t>기술적조치기술업체신청내역조회</t>
  </si>
  <si>
    <t>기술업체신청내역조회</t>
  </si>
  <si>
    <t>기술적조치</t>
  </si>
  <si>
    <t>기술적조치기술적조치신청내역조회</t>
  </si>
  <si>
    <t>기술적조치신청내역</t>
  </si>
  <si>
    <t>기술적조치기술적조치신청osp목록조회</t>
  </si>
  <si>
    <t>기술적조치기술적조치신청osp목록</t>
  </si>
  <si>
    <t>기술적조치기술적조치신청내역상세조회</t>
  </si>
  <si>
    <t>기술적조치신청내역상세조회</t>
  </si>
  <si>
    <t>기술적조치기술적조치신청내역삭제</t>
  </si>
  <si>
    <t>기술적조치월별통계조회</t>
  </si>
  <si>
    <t>월별통계 (챠트)</t>
  </si>
  <si>
    <t>기술적조치일별통계조회</t>
  </si>
  <si>
    <t>일별통계 (챠트)</t>
  </si>
  <si>
    <t>기술적조치년도별통계조회</t>
  </si>
  <si>
    <t>년도별통계 (챠트)</t>
  </si>
  <si>
    <t>기술적조치권리자일별통계조회</t>
  </si>
  <si>
    <t>권리자일별통계 (챠트)</t>
  </si>
  <si>
    <t>기술적조치권리자월별통계조회</t>
  </si>
  <si>
    <t>권리자월별통계 (챠트)</t>
  </si>
  <si>
    <t>기술적조치권리자년도별통계조회</t>
  </si>
  <si>
    <t>권리자년도별통계 (챠트)</t>
  </si>
  <si>
    <t>기술적조치장르일별통계조회</t>
  </si>
  <si>
    <t>장르일별통계 (챠트)</t>
  </si>
  <si>
    <t>기술적조치장르월별통계조회</t>
  </si>
  <si>
    <t>장르월별통계 (챠트)</t>
  </si>
  <si>
    <t>기술적조치장르년도별통계조회</t>
  </si>
  <si>
    <t>장르년도별통계 (챠트)</t>
  </si>
  <si>
    <t>통합추출기버전조회</t>
  </si>
  <si>
    <t>통합추출기버전관리</t>
  </si>
  <si>
    <t>통합추출기버전등록</t>
  </si>
  <si>
    <t>통합추출기버전삭제</t>
  </si>
  <si>
    <t>저작권보호포털</t>
  </si>
  <si>
    <t>저작권기술홈페이지</t>
  </si>
  <si>
    <t>저작권기술_홈페이지메인</t>
  </si>
  <si>
    <t>저작권기술 홈페이지메인</t>
  </si>
  <si>
    <t>저작권기술_저작권기술 개요</t>
  </si>
  <si>
    <t>저작권기술 저작권기술 개요</t>
  </si>
  <si>
    <t>저작권기술_저작권기술의 종류</t>
  </si>
  <si>
    <t>저작권기술 저작권기술의 종류</t>
  </si>
  <si>
    <t>저작권기술_저작권기술에 대한 전망 조회</t>
  </si>
  <si>
    <t>저작권기술 저작권기술에 대한 전망</t>
  </si>
  <si>
    <t>저작권기술_저작권 R&amp;D 과제 현황 조회</t>
  </si>
  <si>
    <t>저작권기술 저작권 R&amp;D 과제 현황</t>
  </si>
  <si>
    <t>서비스신청_기술적 조치 신청 메인</t>
  </si>
  <si>
    <t>서비스신청 기술적 조치 신청 메인</t>
  </si>
  <si>
    <t>저작권기술R&amp;D_개요 조회</t>
  </si>
  <si>
    <t>저작권기술R&amp;D_개요</t>
  </si>
  <si>
    <t>저작권기술R&amp;D_과제현황 조회</t>
  </si>
  <si>
    <t>저작권기술R&amp;D_과제현황</t>
  </si>
  <si>
    <t>저작권기술R&amp;D_과제현황상세 조회</t>
  </si>
  <si>
    <t>저작권기술R&amp;D_과제현황상세</t>
  </si>
  <si>
    <t>저작권기술R&amp;D_우수대표성과 조회</t>
  </si>
  <si>
    <t>저작권기술R&amp;D_우수대표성과</t>
  </si>
  <si>
    <t>저작권기술R&amp;D_수요조사 현황 조회</t>
  </si>
  <si>
    <t>저작권기술R&amp;D_수요조사등록현황</t>
  </si>
  <si>
    <t>저작권기술R&amp;D_수요조사등록</t>
  </si>
  <si>
    <t>저작권기술R&amp;D_수요조사수정</t>
  </si>
  <si>
    <t>저작권기술R&amp;D_수요조사삭제</t>
  </si>
  <si>
    <t>서비스신청_특수한유형의OSP기술적조치신청</t>
  </si>
  <si>
    <t>서비스신청 특수한유형의OSP기술적조치신청</t>
  </si>
  <si>
    <t>서비스신청_기술적조치신청목록(메일미발송)조회</t>
  </si>
  <si>
    <t>서비스신청 기술적조치신청목록(메일미발송)</t>
  </si>
  <si>
    <t>서비스신청_기술적조치신청목록(차단요청목록)조회</t>
  </si>
  <si>
    <t>서비스신청 기술적조치신청목록(차단요청목록)</t>
  </si>
  <si>
    <t>서비스신청_기술적조치신청목록(차단요청목록상세)조회</t>
  </si>
  <si>
    <t>서비스신청 기술적조치신청목록(차단요청목록상세)</t>
  </si>
  <si>
    <t>서비스신청_기술적조치신청목록(조치요청서조회로그)조회</t>
  </si>
  <si>
    <t>서비스신청 기술적조치신청목록(조치요청서조회로그)</t>
  </si>
  <si>
    <t>서비스신청_기술적조치콘텐츠목록조회</t>
  </si>
  <si>
    <t>서비스신청 기술적조치콘텐츠목록</t>
  </si>
  <si>
    <t>서비스신청_기술적조치콘텐츠정보조회</t>
  </si>
  <si>
    <t>서비스신청 기술적조치콘텐츠정보조회</t>
  </si>
  <si>
    <t>서비스신청_기술평가신청</t>
  </si>
  <si>
    <t>서비스신청 기술평가신청</t>
  </si>
  <si>
    <t>서비스신청_신청내역조회</t>
  </si>
  <si>
    <t>서비스신청 신청내역조회</t>
  </si>
  <si>
    <t>서비스신청_신청내역확인</t>
  </si>
  <si>
    <t>서비스신청 신청내역확인</t>
  </si>
  <si>
    <t>서비스신청_신청내역수정</t>
  </si>
  <si>
    <t>서비스신청 신청내역수정</t>
  </si>
  <si>
    <t>서비스신청_기술적용점검신청</t>
  </si>
  <si>
    <t>서비스신청 기술적용점검신청</t>
  </si>
  <si>
    <t>서비스신청_기술적용점검OSP업로드</t>
  </si>
  <si>
    <t>서비스신청 기술적용점검OSP업로드</t>
  </si>
  <si>
    <t>서비스신청_기술적용점검권리정보업로드</t>
  </si>
  <si>
    <t>서비스신청 기술적용점검권리정보업로드</t>
  </si>
  <si>
    <t>서비스신청_포렌식마크성능평가신청</t>
  </si>
  <si>
    <t>서비스신청 포렌식마크성능평가신청</t>
  </si>
  <si>
    <t>서비스신청_포렌식마크신청내역확인</t>
  </si>
  <si>
    <t>서비스신청 포렌식마크 신청내역확인</t>
  </si>
  <si>
    <t>서비스신청_포렌식마크신청내역수정</t>
  </si>
  <si>
    <t>서비스신청 포렌식마크 신청내역수정</t>
  </si>
  <si>
    <t>서비스신청_전자책DRM상호운용성평가신청</t>
  </si>
  <si>
    <t>서비스신청 전자책DRM상호운용성평가신청</t>
  </si>
  <si>
    <t>서비스신청_전자책DRM신청내역확인</t>
  </si>
  <si>
    <t>서비스신청 전자책DRM 신청내역확인</t>
  </si>
  <si>
    <t>서비스신청_전자책DRM신청내역수정</t>
  </si>
  <si>
    <t>서비스신청 전자책DRM 신청내역수정</t>
  </si>
  <si>
    <t>서비스신청_공용특징정보추출신청</t>
  </si>
  <si>
    <t>서비스신청_모바일웹하드기술평가신청</t>
  </si>
  <si>
    <t>서비스신청 모바일웹하드 기술평가신청</t>
  </si>
  <si>
    <t>서비스신청_모바일웹하드신청내역조회</t>
  </si>
  <si>
    <t>서비스신청 모바일웹하드 신청내역조회</t>
  </si>
  <si>
    <t>서비스신청_모바일웹하드신청내역확인</t>
  </si>
  <si>
    <t>서비스신청 모바일웹하드 신청내역확인</t>
  </si>
  <si>
    <t>서비스신청_모바일웹하드신청내역수정</t>
  </si>
  <si>
    <t>서비스신청 모바일웹하드 신청내역수정</t>
  </si>
  <si>
    <t>기술적조치_기술적조치개념조회</t>
  </si>
  <si>
    <t>기술적조치 기술적조치개념</t>
  </si>
  <si>
    <t>기술적조치_기술적조치종류조회</t>
  </si>
  <si>
    <t>기술적조치 기술적조치종류</t>
  </si>
  <si>
    <t>기술적조치_기술적조치절차조회</t>
  </si>
  <si>
    <t>기술적조치 기술적조치절차</t>
  </si>
  <si>
    <t>공용특징정보_사업개요조회</t>
  </si>
  <si>
    <t>공용특징정보 사업개요</t>
  </si>
  <si>
    <t>공용특징정보_추출및배포안내조회</t>
  </si>
  <si>
    <t>공용특징정보 추출및배포안내</t>
  </si>
  <si>
    <t>공용특징정보_신청절차조회</t>
  </si>
  <si>
    <t>공용특징정보 신청절차</t>
  </si>
  <si>
    <t>성능평가_필터링기술성능평가란 조회</t>
  </si>
  <si>
    <t>성능평가 필터링기술성능평가란</t>
  </si>
  <si>
    <t>성능평가_필터링기술평가대상 조회</t>
  </si>
  <si>
    <t>성능평가 필터링기술평가대상</t>
  </si>
  <si>
    <t>성능평가_필터링기술기술평가 조회</t>
  </si>
  <si>
    <t>성능평가 필터링기술기술평가</t>
  </si>
  <si>
    <t>성능평가_필터링기술필드평가 조회</t>
  </si>
  <si>
    <t>성능평가 필터링기술필드평가</t>
  </si>
  <si>
    <t>성능평가_필터링기술제한조치 조회</t>
  </si>
  <si>
    <t>성능평가 필터링기술제한조치</t>
  </si>
  <si>
    <t>성능평가_필터링기술평가결과 조회</t>
  </si>
  <si>
    <t>성능평가 필터링기술평가결과</t>
  </si>
  <si>
    <t>성능평가_확인서발급업체현황 조회</t>
  </si>
  <si>
    <t>성능평가 확인서발급업체현황</t>
  </si>
  <si>
    <t>성능평가_확인서발급업체상세보기</t>
  </si>
  <si>
    <t>성능평가 확인서발급업체상세보기</t>
  </si>
  <si>
    <t>성능평가_포렌식기술성능평가란 조회</t>
  </si>
  <si>
    <t>성능평가 포렌식기술성능평가란</t>
  </si>
  <si>
    <t>성능평가_포렌식기술평가대상 조회</t>
  </si>
  <si>
    <t>성능평가 포렌식기술평가대상</t>
  </si>
  <si>
    <t>성능평가_포렌식기술평가절차 조회</t>
  </si>
  <si>
    <t>성능평가 포렌식기술기술평가절차</t>
  </si>
  <si>
    <t>성능평가_포렌식기술수행방법 조회</t>
  </si>
  <si>
    <t>성능평가 포렌식기술수행방법</t>
  </si>
  <si>
    <t>성능평가_포렌식기술항목및방법 조회</t>
  </si>
  <si>
    <t>성능평가 포렌식기술항목및방법</t>
  </si>
  <si>
    <t>성능평가_포렌식기술 테스트 데이터 조회</t>
  </si>
  <si>
    <t>성능평가 포렌식기술 테스트 데이터</t>
  </si>
  <si>
    <t>성능평가_포렌식기술 평가결과 조회</t>
  </si>
  <si>
    <t>성능평가 포렌식기술 평가결과</t>
  </si>
  <si>
    <t>성능평가_전자책DRM 평가란 조회</t>
  </si>
  <si>
    <t>성능평가 전자책DRM 평가란</t>
  </si>
  <si>
    <t>성능평가_전자책DRM 평가대상 조회</t>
  </si>
  <si>
    <t>성능평가 전자책DRM 평가대상</t>
  </si>
  <si>
    <t>성능평가_전자책DRM 평가절차 조회</t>
  </si>
  <si>
    <t>성능평가 전자책DRM 평가절차</t>
  </si>
  <si>
    <t>성능평가_전자책DRM 평가수행방법 조회</t>
  </si>
  <si>
    <t>성능평가 전자책DRM 평가수행방법</t>
  </si>
  <si>
    <t>성능평가_전자책DRM 평가 항목 및 방법 조회</t>
  </si>
  <si>
    <t>성능평가 전자책DRM 평가 항목 및 방법</t>
  </si>
  <si>
    <t>성능평가_전자책DRM 평가 테스트 데이터 조회</t>
  </si>
  <si>
    <t>성능평가 전자책DRM 평가 테스트 데이터</t>
  </si>
  <si>
    <t>성능평가_전자책DRM 평가 결과 조회</t>
  </si>
  <si>
    <t>성능평가 전자책DRM 평가 결과</t>
  </si>
  <si>
    <t>성능평가_전자책DRM 평가 확인서 발급 업체 조회</t>
  </si>
  <si>
    <t>성능평가 전자책DRM 평가 확인서 발급 업체</t>
  </si>
  <si>
    <t>모바일웹하드_필터링기술모바일웹하드란 조회</t>
  </si>
  <si>
    <t>모바일웹하드_필터링기술모바일웹하드란</t>
  </si>
  <si>
    <t>모바일웹하드_필터링기술평가대상 조회</t>
  </si>
  <si>
    <t>모바일웹하드_필터링기술평가대상</t>
  </si>
  <si>
    <t>모바일웹하드_필터링기술기술평가 조회</t>
  </si>
  <si>
    <t>모바일웹하드_필터링기술기술평가</t>
  </si>
  <si>
    <t>모바일웹하드_필터링기술필드평가 조회</t>
  </si>
  <si>
    <t>모바일웹하드_필터링기술필드평가</t>
  </si>
  <si>
    <t>모바일웹하드_필터링기술제한조치 조회</t>
  </si>
  <si>
    <t>모바일웹하드_필터링기술제한조치</t>
  </si>
  <si>
    <t>모바일웹하드_필터링기술평가결과 조회</t>
  </si>
  <si>
    <t>모바일웹하드_필터링기술평가결과</t>
  </si>
  <si>
    <t>모바일웹하드_확인서발급업체현황 조회</t>
  </si>
  <si>
    <t>모바일웹하드_확인서발급업체현황</t>
  </si>
  <si>
    <t>모바일웹하드_확인서발급업체상세보기</t>
  </si>
  <si>
    <t>마이페이지 조회</t>
  </si>
  <si>
    <t>마이페이지</t>
  </si>
  <si>
    <t>마이페이지_필터링신청현황 조회</t>
  </si>
  <si>
    <t>마이페이지_필터링신청현황</t>
  </si>
  <si>
    <t>마이페이지_포렌식신청현황 조회</t>
  </si>
  <si>
    <t>마이페이지_포렌식신청현황</t>
  </si>
  <si>
    <t>마이페이지_모바일웹하드신청현황 조회</t>
  </si>
  <si>
    <t>마이페이지_모바일웹하드신청현황</t>
  </si>
  <si>
    <t>마이페이지_전자책DRM신청현황 조회</t>
  </si>
  <si>
    <t>마이페이지_전자책DRM신청현황</t>
  </si>
  <si>
    <t>정보마당_저작권기술동향 조회</t>
  </si>
  <si>
    <t>공유마당_뉴스레터</t>
  </si>
  <si>
    <t>정보마당_저작권기술동향상세 조회</t>
  </si>
  <si>
    <t>공유마당_뉴스레터조회</t>
  </si>
  <si>
    <t>정보마당_전체메뉴보기</t>
  </si>
  <si>
    <t>성능평가도구</t>
  </si>
  <si>
    <t>리눅스용성능평가Agent</t>
  </si>
  <si>
    <t>리눅스용 스케줄러 모니터링 조회</t>
  </si>
  <si>
    <t>리눅스용 스케줄러 모니터링</t>
  </si>
  <si>
    <t>리눅스용 원본특징정보 추출</t>
  </si>
  <si>
    <t>리눅스용 원본특징정보 FTP 전송</t>
  </si>
  <si>
    <t>리눅스용 추출 일관성 수행</t>
  </si>
  <si>
    <t>리눅스용 인식 일관성 수행</t>
  </si>
  <si>
    <t>리눅스용 강인성 수행</t>
  </si>
  <si>
    <t>리눅스용 축약성 수행</t>
  </si>
  <si>
    <t>리눅스용 부분매칭 수행</t>
  </si>
  <si>
    <t>리눅스용 부하 테스트</t>
  </si>
  <si>
    <t>리눅스용 리소스 모니터링</t>
  </si>
  <si>
    <t>리눅스용 로그 등록</t>
  </si>
  <si>
    <t>성능평가도구_로그인</t>
  </si>
  <si>
    <t>성능평가도구 로그인</t>
  </si>
  <si>
    <t>성능평가도구_메인</t>
  </si>
  <si>
    <t>성능평가도구 메인</t>
  </si>
  <si>
    <t>성능평가도구_환경설정</t>
  </si>
  <si>
    <t>성능평가도구 환경설정</t>
  </si>
  <si>
    <t>성능평가도구_진행상황모니터링</t>
  </si>
  <si>
    <t>성능평가도구 진행상황모니터링</t>
  </si>
  <si>
    <t>성능평가도구_원본특징정보추출</t>
  </si>
  <si>
    <t>성능평가도구 원본특징정보추출</t>
  </si>
  <si>
    <t>성능평가도구_원본특징정보FTP전송</t>
  </si>
  <si>
    <t>성능평가도구 원본특징정보FTP전송</t>
  </si>
  <si>
    <t>성능평가도구_추출 일관성 수행</t>
  </si>
  <si>
    <t>성능평가도구 추출 일관성 수행</t>
  </si>
  <si>
    <t>성능평가도구_강인성 수행</t>
  </si>
  <si>
    <t>성능평가도구 강인성 수행</t>
  </si>
  <si>
    <t>성능평가도구_축약성 수행</t>
  </si>
  <si>
    <t>성능평가도구 축약성 수행</t>
  </si>
  <si>
    <t>성능평가도구_부하 테스트</t>
  </si>
  <si>
    <t>성능평가도구 부하 테스트</t>
  </si>
  <si>
    <t>성능평가도구_리소스 모니터링</t>
  </si>
  <si>
    <t>성능평가도구 리소스 모니터링</t>
  </si>
  <si>
    <t>성능평가도구_로그 등록</t>
  </si>
  <si>
    <t>성능평가도구 로그 등록</t>
  </si>
  <si>
    <t>포렌식성능평가도구</t>
  </si>
  <si>
    <t>포렌식도구_로그인</t>
  </si>
  <si>
    <t>포렌식도구 로그인</t>
  </si>
  <si>
    <t>포렌식도구_메인</t>
  </si>
  <si>
    <t>포렌식도구 메인</t>
  </si>
  <si>
    <t>포렌식도구_환경설정</t>
  </si>
  <si>
    <t>포렌식도구 환경설정</t>
  </si>
  <si>
    <t>포렌식도구_진행상황모니터링</t>
  </si>
  <si>
    <t>포렌식도구 진행상황모니터링</t>
  </si>
  <si>
    <t>포렌식도구_마크삽입</t>
  </si>
  <si>
    <t>포렌식도구 마크삽입</t>
  </si>
  <si>
    <t>포렌식도구_일관성 수행</t>
  </si>
  <si>
    <t>포렌식도구 일관성 수행</t>
  </si>
  <si>
    <t>포렌식도구_강인성 수행</t>
  </si>
  <si>
    <t>포렌식도구 강인성 수행</t>
  </si>
  <si>
    <t>포렌식도구_비인지성 수행</t>
  </si>
  <si>
    <t>포렌식도구_비인지성 결과 로그 등록</t>
  </si>
  <si>
    <t>포렌식도구_공모공격 수행</t>
  </si>
  <si>
    <t>포렌식도구 공모공격 수행</t>
  </si>
  <si>
    <t>포렌식도구_리소스 모니터링</t>
  </si>
  <si>
    <t>포렌식도구 리소스 모니터링</t>
  </si>
  <si>
    <t>포렌식도구_로그 등록</t>
  </si>
  <si>
    <t>포렌식도구 로그 등록</t>
  </si>
  <si>
    <t>포렌식도구_강인성 로그 수동 등록</t>
  </si>
  <si>
    <t>변형물생성도구</t>
  </si>
  <si>
    <t>변형물도구_로그인</t>
  </si>
  <si>
    <t>변형물도구 로그인</t>
  </si>
  <si>
    <t>변형물도구_메인</t>
  </si>
  <si>
    <t>변형물도구 메인</t>
  </si>
  <si>
    <t>변형물도구_환경설정</t>
  </si>
  <si>
    <t>변형물도구 환경설정</t>
  </si>
  <si>
    <t>변형물도구_원본DB등록</t>
  </si>
  <si>
    <t>변형물도구 원본DB등록</t>
  </si>
  <si>
    <t>변형물도구_원본등록진행상황</t>
  </si>
  <si>
    <t>변형물도구 원본등록진행상황</t>
  </si>
  <si>
    <t>변형물도구_변형물등록</t>
  </si>
  <si>
    <t>변형물도구 변형물등록</t>
  </si>
  <si>
    <t>변형물도구_변형물등록진행상황</t>
  </si>
  <si>
    <t>변형물도구 변형물등록진행상황</t>
  </si>
  <si>
    <t>변형물도구_모바일웹하드변형물등록</t>
  </si>
  <si>
    <t>변형물도구 모바일웹하드변형물등록</t>
  </si>
  <si>
    <t>변형물도구_모바일웹하드변형물진행상황</t>
  </si>
  <si>
    <t>변형물도구 모바일웹하드변형물진행상황</t>
  </si>
  <si>
    <t>윈도우특징정보추출기</t>
  </si>
  <si>
    <t>윈도우특징정보추출기_로그인</t>
  </si>
  <si>
    <t>윈도우특징정보추출기 로그인</t>
  </si>
  <si>
    <t>윈도우특징정보추출기_업데이트확인</t>
  </si>
  <si>
    <t>윈도우특징정보추출기 업데이트확인</t>
  </si>
  <si>
    <t>윈도우특징정보추출기_메인</t>
  </si>
  <si>
    <t>윈도우특징정보추출기 메인</t>
  </si>
  <si>
    <t>윈도우특징정보추출기_환경설정</t>
  </si>
  <si>
    <t>윈도우특징정보추출기 환경설정</t>
  </si>
  <si>
    <t>윈도우특징정보추출기_추출실행</t>
  </si>
  <si>
    <t>윈도우특징정보추출기 추출실행</t>
  </si>
  <si>
    <t>윈도우특징정보추출기_설치프로그램</t>
  </si>
  <si>
    <t>윈도우특징정보추출기 설치프로그램</t>
  </si>
  <si>
    <t>전자책DRM상호운용성도구</t>
  </si>
  <si>
    <t>상호운용성평가도구</t>
  </si>
  <si>
    <t>상호운용성도구_로그인</t>
  </si>
  <si>
    <t>상호운용성도구 로그인</t>
  </si>
  <si>
    <t>상호운용성도구_메인</t>
  </si>
  <si>
    <t>상호운용성도구 메인</t>
  </si>
  <si>
    <t>상호운용성도구_기능테스트</t>
  </si>
  <si>
    <t>상호운용성도구 기능테스트</t>
  </si>
  <si>
    <t>상호운용성도구_데이타테스트</t>
  </si>
  <si>
    <t>상호운용성도구 데이타테스트</t>
  </si>
  <si>
    <t>상호운용성도구_결과조회</t>
  </si>
  <si>
    <t>상호운용성도구 결과조회</t>
  </si>
  <si>
    <t>공용특징정보_연계서비스</t>
  </si>
  <si>
    <t>파일전송완료처리</t>
  </si>
  <si>
    <t>특징정보, 메타정보 전송 완료 후 이력 기록</t>
  </si>
  <si>
    <t>유투브변환_및_전송처리</t>
  </si>
  <si>
    <t>유투브용 XML 변환 및 SFTP 전송</t>
  </si>
  <si>
    <t>기술적인조치DB</t>
  </si>
  <si>
    <t>이메일발송설정 정보</t>
  </si>
  <si>
    <t>이메일발송설정 DB</t>
  </si>
  <si>
    <t>관리자메뉴 정보</t>
  </si>
  <si>
    <t>관리자메뉴 DB</t>
  </si>
  <si>
    <t>게시판 정보</t>
  </si>
  <si>
    <t>게시판 DB</t>
  </si>
  <si>
    <t>게시판첨부파일 정보</t>
  </si>
  <si>
    <t>게시판첨부파일 DB</t>
  </si>
  <si>
    <t>코드마스터 정보</t>
  </si>
  <si>
    <t>코드마스터 DB</t>
  </si>
  <si>
    <t>접속자수통계 정보</t>
  </si>
  <si>
    <t>접속자수통계 DB</t>
  </si>
  <si>
    <t>권리자 정보 정보</t>
  </si>
  <si>
    <t>권리자 정보 DB</t>
  </si>
  <si>
    <t>용어사전 정보</t>
  </si>
  <si>
    <t>용어사전 DB</t>
  </si>
  <si>
    <t>용어사전이미지 정보</t>
  </si>
  <si>
    <t>용어사전이미지 DB</t>
  </si>
  <si>
    <t>통합추출기 버전관리 정보</t>
  </si>
  <si>
    <t>통합추출기 버전관리 DB</t>
  </si>
  <si>
    <t>FTP전송이력 정보</t>
  </si>
  <si>
    <t>FTP전송이력 DB</t>
  </si>
  <si>
    <t>메일발송 기본 정보</t>
  </si>
  <si>
    <t>메일발송 기본 DB</t>
  </si>
  <si>
    <t>메일보안 정보</t>
  </si>
  <si>
    <t>메일보안 DB</t>
  </si>
  <si>
    <t>메일발송결과 정보</t>
  </si>
  <si>
    <t>메일발송결과 DB</t>
  </si>
  <si>
    <t>메일첨부파일 정보</t>
  </si>
  <si>
    <t>메일첨부파일 DB</t>
  </si>
  <si>
    <t>리눅스강인성세부항목 정보</t>
  </si>
  <si>
    <t>리눅스강인성세부항목 DB</t>
  </si>
  <si>
    <t>리눅스성능평가수행설정정보 정보</t>
  </si>
  <si>
    <t>리눅스성능평가수행설정정보 DB</t>
  </si>
  <si>
    <t>리눅스성능평가 환경설정 정보</t>
  </si>
  <si>
    <t>리눅스성능평가 환경설정 DB</t>
  </si>
  <si>
    <t>메일링 정보</t>
  </si>
  <si>
    <t>메일링 DB</t>
  </si>
  <si>
    <t>메일링수신대상 정보</t>
  </si>
  <si>
    <t>메일링수신대상 DB</t>
  </si>
  <si>
    <t>메일링대상자 정보</t>
  </si>
  <si>
    <t>메일링대상자 DB</t>
  </si>
  <si>
    <t>음원메타정보 정보</t>
  </si>
  <si>
    <t>음원메타정보 DB</t>
  </si>
  <si>
    <t>추출모듈설치정보 정보</t>
  </si>
  <si>
    <t>추출모듈설치정보 DB</t>
  </si>
  <si>
    <t>OSP 접속 로그 정보</t>
  </si>
  <si>
    <t>OSP 접속 로그 DB</t>
  </si>
  <si>
    <t>오디오콘텐츠정보 정보</t>
  </si>
  <si>
    <t>오디오콘텐츠정보</t>
  </si>
  <si>
    <t>오디오콘텐츠정보 DB</t>
  </si>
  <si>
    <t>오디오콘텐츠부분매칭 정보</t>
  </si>
  <si>
    <t>오디오콘텐츠부분매칭 DB</t>
  </si>
  <si>
    <t>성능평가인증기준 정보</t>
  </si>
  <si>
    <t>성능평가인증기준 DB</t>
  </si>
  <si>
    <t>공모공격용마크정보 정보</t>
  </si>
  <si>
    <t>공모공격용마크정보 DB</t>
  </si>
  <si>
    <t>일관성평가대상콘텐츠 정보</t>
  </si>
  <si>
    <t>일관성평가대상콘텐츠 DB</t>
  </si>
  <si>
    <t>전자책 DRM 상호 운용성 평가 결과 정보</t>
  </si>
  <si>
    <t>전자책 DRM 상호 운용성 평가 결과 DB</t>
  </si>
  <si>
    <t>전자책 DRM 상호 운용성 평가 수행 로그</t>
  </si>
  <si>
    <t>필드평가OSP 컨텐츠 정보</t>
  </si>
  <si>
    <t>필드평가OSP 컨텐츠 DB</t>
  </si>
  <si>
    <t>필드평가 화면증적 정보</t>
  </si>
  <si>
    <t>필드평가 화면증적 DB</t>
  </si>
  <si>
    <t>필드평가신청 정보</t>
  </si>
  <si>
    <t>필드평가신청 DB</t>
  </si>
  <si>
    <t>필드평가 OSP 권리정보 정보</t>
  </si>
  <si>
    <t>필드평가 OSP 권리정보 DB</t>
  </si>
  <si>
    <t>필드평가대상OSP 정보</t>
  </si>
  <si>
    <t>필드평가대상OSP DB</t>
  </si>
  <si>
    <t>필드평가 권리정보 정보</t>
  </si>
  <si>
    <t>필드평가 권리정보 DB</t>
  </si>
  <si>
    <t>이미지콘텐츠정보 정보</t>
  </si>
  <si>
    <t>이미지콘텐츠정보</t>
  </si>
  <si>
    <t>이미지콘텐츠정보 DB</t>
  </si>
  <si>
    <t>객관적비인지성 정보</t>
  </si>
  <si>
    <t>객관적비인지성 DB</t>
  </si>
  <si>
    <t>성능평가로그분석 정보</t>
  </si>
  <si>
    <t>성능평가로그분석 DB</t>
  </si>
  <si>
    <t>모바일앱콘텐츠정보 정보</t>
  </si>
  <si>
    <t>모바일앱콘텐츠정보</t>
  </si>
  <si>
    <t>모바일앱콘텐츠정보 DB</t>
  </si>
  <si>
    <t>성능평가모듈로그검사 정보</t>
  </si>
  <si>
    <t>성능평가모듈로그검사 DB</t>
  </si>
  <si>
    <t>성능평가신청 정보</t>
  </si>
  <si>
    <t>성능평가신청 DB</t>
  </si>
  <si>
    <t>성능평가신청처리이력 정보</t>
  </si>
  <si>
    <t>성능평가신청처리이력 DB</t>
  </si>
  <si>
    <t>성능평가모듈정보 정보</t>
  </si>
  <si>
    <t>성능평가모듈정보 DB</t>
  </si>
  <si>
    <t>리소스사용률 정보</t>
  </si>
  <si>
    <t>리소스사용률 DB</t>
  </si>
  <si>
    <t>성능평가결과요약 정보</t>
  </si>
  <si>
    <t>성능평가결과요약 DB</t>
  </si>
  <si>
    <t>강인성세부평가항목 정보</t>
  </si>
  <si>
    <t>강인성세부평가항목 DB</t>
  </si>
  <si>
    <t>성능평가변형항목 정보</t>
  </si>
  <si>
    <t>성능평가변형항목 DB</t>
  </si>
  <si>
    <t>성능평가시나리오 정보</t>
  </si>
  <si>
    <t>성능평가시나리오 DB</t>
  </si>
  <si>
    <t>평가항목별시나리오 정보</t>
  </si>
  <si>
    <t>평가항목별시나리오 DB</t>
  </si>
  <si>
    <t>포렌식강인성시나리오 정보</t>
  </si>
  <si>
    <t>포렌식강인성시나리오 DB</t>
  </si>
  <si>
    <t>성능평가결과 정보</t>
  </si>
  <si>
    <t>성능평가결과 DB</t>
  </si>
  <si>
    <t>성능평가진행상태 정보</t>
  </si>
  <si>
    <t>성능평가진행상태 DB</t>
  </si>
  <si>
    <t>비디오콘텐츠정보 정보</t>
  </si>
  <si>
    <t>비디오콘텐츠정보</t>
  </si>
  <si>
    <t>비디오콘텐츠정보 DB</t>
  </si>
  <si>
    <t>비디오콘텐츠부분매칭 정보</t>
  </si>
  <si>
    <t>비디오콘텐츠부분매칭 DB</t>
  </si>
  <si>
    <t>권리자추출로그 정보</t>
  </si>
  <si>
    <t>권리자추출로그 DB</t>
  </si>
  <si>
    <t>로그 수신 정보</t>
  </si>
  <si>
    <t>로그 수신 DB</t>
  </si>
  <si>
    <t>장애이력 정보</t>
  </si>
  <si>
    <t>장애이력 DB</t>
  </si>
  <si>
    <t>서비스모니터링 정보</t>
  </si>
  <si>
    <t>서비스모니터링 DB</t>
  </si>
  <si>
    <t>관리자 메뉴 정보</t>
  </si>
  <si>
    <t>관리자 메뉴 DB</t>
  </si>
  <si>
    <t>장애코드정보 정보</t>
  </si>
  <si>
    <t>장애코드정보 DB</t>
  </si>
  <si>
    <t>에이전트PC 정보</t>
  </si>
  <si>
    <t>에이전트PC DB</t>
  </si>
  <si>
    <t>필드평가대상콘텐츠 정보</t>
  </si>
  <si>
    <t>필드평가대상콘텐츠 DB</t>
  </si>
  <si>
    <t>필드평가회차 정보</t>
  </si>
  <si>
    <t>필드평가회차 DB</t>
  </si>
  <si>
    <t>필드평가OSP별콘텐츠 정보</t>
  </si>
  <si>
    <t>필드평가OSP별콘텐츠 DB</t>
  </si>
  <si>
    <t>필드평가OSP 정보</t>
  </si>
  <si>
    <t>필드평가OSP DB</t>
  </si>
  <si>
    <t>음원정보(일반권리자) 정보</t>
  </si>
  <si>
    <t>음원정보(일반권리자) DB</t>
  </si>
  <si>
    <t>OSP추가요청 정보</t>
  </si>
  <si>
    <t>OSP추가요청 DB</t>
  </si>
  <si>
    <t>OSP정보관리 정보</t>
  </si>
  <si>
    <t>OSP정보관리 DB</t>
  </si>
  <si>
    <t>OSP 업체 사이트 정보</t>
  </si>
  <si>
    <t>OSP 업체 사이트 DB</t>
  </si>
  <si>
    <t>프로토타입콘텐츠 정보</t>
  </si>
  <si>
    <t>프로토타입콘텐츠 DB</t>
  </si>
  <si>
    <t>프로토타입콘텐츠파일 정보</t>
  </si>
  <si>
    <t>프로토타입콘텐츠파일 DB</t>
  </si>
  <si>
    <t>프로토타입 DNA 파일 정보</t>
  </si>
  <si>
    <t>프로토타입 DNA 파일 DB</t>
  </si>
  <si>
    <t>프로토타입 DNA 정보 정보</t>
  </si>
  <si>
    <t>프로토타입 DNA 정보 DB</t>
  </si>
  <si>
    <t>프로토타입필터링이력 정보</t>
  </si>
  <si>
    <t>프로토타입필터링이력 DB</t>
  </si>
  <si>
    <t>기술적인조치신청 OSP 사이트 정보</t>
  </si>
  <si>
    <t>기술적인조치신청 OSP 사이트 DB</t>
  </si>
  <si>
    <t>표준서비스 DNA 파일 리스트 정보</t>
  </si>
  <si>
    <t>표준서비스 DNA 파일 리스트 DB</t>
  </si>
  <si>
    <t>표준서비스 LOG 정보</t>
  </si>
  <si>
    <t>표준서비스 LOG DB</t>
  </si>
  <si>
    <t>표준서비스의 장애 이력 정보</t>
  </si>
  <si>
    <t>표준서비스의 장애 이력 DB</t>
  </si>
  <si>
    <t>기술적조치 열람로그 정보</t>
  </si>
  <si>
    <t>기술적조치 열람로그 DB</t>
  </si>
  <si>
    <t>불법컨텐츠 모니터링 요청 정보</t>
  </si>
  <si>
    <t>불법컨텐츠 모니터링 요청 DB</t>
  </si>
  <si>
    <t>영상정보(일반권리자) 정보</t>
  </si>
  <si>
    <t>영상정보(일반권리자) DB</t>
  </si>
  <si>
    <t>제출서류 정보</t>
  </si>
  <si>
    <t>제출서류 DB</t>
  </si>
  <si>
    <t>기술적조치 DNA파일상세정보 정보</t>
  </si>
  <si>
    <t>기술적조치 DNA파일상세정보 DB</t>
  </si>
  <si>
    <t>기술적조치 DNA자료 정보</t>
  </si>
  <si>
    <t>기술적조치 DNA자료 DB</t>
  </si>
  <si>
    <t>기술적조치 신청 정보</t>
  </si>
  <si>
    <t>기술적조치 신청 DB</t>
  </si>
  <si>
    <t>회원테이블 정보</t>
  </si>
  <si>
    <t>회원테이블 DB</t>
  </si>
  <si>
    <t>사용자 정보</t>
  </si>
  <si>
    <t>사용자 DB</t>
  </si>
  <si>
    <t>사용자 승인 정보</t>
  </si>
  <si>
    <t>사용자 승인 DB</t>
  </si>
  <si>
    <t>사용자 정보 정보</t>
  </si>
  <si>
    <t>사용자 정보 DB</t>
  </si>
  <si>
    <t>사용자 모듈 정보</t>
  </si>
  <si>
    <t>사용자 모듈 DB</t>
  </si>
  <si>
    <t>사용자업로드정보 정보</t>
  </si>
  <si>
    <t>사용자업로드정보 DB</t>
  </si>
  <si>
    <t>영상메타 정보</t>
  </si>
  <si>
    <t>영상메타 DB</t>
  </si>
  <si>
    <t>수요조사설정</t>
  </si>
  <si>
    <t>수요조사설정 정보</t>
  </si>
  <si>
    <t>수요조사설정 DB</t>
  </si>
  <si>
    <t>수요조사 정보</t>
  </si>
  <si>
    <t>수요조사 DB</t>
  </si>
  <si>
    <t>저작권기술소개</t>
  </si>
  <si>
    <t>저작권기술소개 정보</t>
  </si>
  <si>
    <t>저작권기술소개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</si>
</sst>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₩&quot;#,##0;\-&quot;₩&quot;#,##0"/>
    <numFmt numFmtId="41" formatCode="_-* #,##0_-;\-* #,##0_-;_-* &quot;-&quot;_-;_-@_-"/>
    <numFmt numFmtId="24" formatCode="\$#,##0_);[Red]\(\$#,##0\)"/>
    <numFmt numFmtId="176" formatCode="0_ "/>
    <numFmt numFmtId="177" formatCode="0.0_ "/>
    <numFmt numFmtId="178" formatCode="#,##0;[Red]&quot;-&quot;#,##0"/>
    <numFmt numFmtId="179" formatCode="###,###,"/>
    <numFmt numFmtId="180" formatCode="#,###"/>
    <numFmt numFmtId="181" formatCode="&quot;₩&quot;#,##0;&quot;₩&quot;&quot;₩&quot;&quot;₩&quot;&quot;₩&quot;\-#,##0"/>
    <numFmt numFmtId="182" formatCode="&quot;₩&quot;#,##0;[Red]&quot;₩&quot;&quot;₩&quot;&quot;₩&quot;&quot;₩&quot;\-#,##0"/>
    <numFmt numFmtId="183" formatCode="&quot;₩&quot;#,##0.00;&quot;₩&quot;&quot;₩&quot;&quot;₩&quot;&quot;₩&quot;\-#,##0.00"/>
    <numFmt numFmtId="184" formatCode="_ * #,##0.00_ ;_ * \-#,##0.00_ ;_ * &quot;-&quot;??_ ;_ @_ "/>
    <numFmt numFmtId="185" formatCode="&quot;₩&quot;#,##0.00;&quot;₩&quot;&quot;₩&quot;\-#,##0.00"/>
    <numFmt numFmtId="186" formatCode="_ * #,##0_ ;_ * \-#,##0_ ;_ * &quot;-&quot;_ ;_ @_ "/>
    <numFmt numFmtId="187" formatCode="yyyy\-mm\-dd\ hh:mm:ss\.ss"/>
    <numFmt numFmtId="188" formatCode="&quot;₩&quot;#,##0;[Red]&quot;₩&quot;\-#,##0"/>
    <numFmt numFmtId="189" formatCode="&quot;S&quot;\ #,##0.00;\-&quot;S&quot;\ #,##0.00"/>
    <numFmt numFmtId="190" formatCode="_ &quot;SFr.&quot;* #,##0.00_ ;_ &quot;SFr.&quot;* \-#,##0.00_ ;_ &quot;SFr.&quot;* &quot;-&quot;??_ ;_ @_ "/>
    <numFmt numFmtId="191" formatCode="#,##0\ \ "/>
    <numFmt numFmtId="192" formatCode="#,##0.00\ \ "/>
    <numFmt numFmtId="193" formatCode="#,##0.00\ "/>
    <numFmt numFmtId="194" formatCode="#,##0.0\ "/>
    <numFmt numFmtId="195" formatCode="#,##0;&quot;-&quot;#,##0"/>
    <numFmt numFmtId="196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7" formatCode="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\$#,##0;[Red]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&quot;₩&quot;"/>
    <numFmt numFmtId="198" formatCode="&quot;₩&quot;#,##0;&quot;₩&quot;\-#,##0"/>
    <numFmt numFmtId="199" formatCode="&quot;₩&quot;#,##0.00;&quot;₩&quot;\-#,##0.00"/>
    <numFmt numFmtId="200" formatCode="0.00000%"/>
    <numFmt numFmtId="201" formatCode="0.00000"/>
    <numFmt numFmtId="202" formatCode="_(* #,##0_);_(* \(#,##0\);_(* &quot;-&quot;_);_(@_)"/>
    <numFmt numFmtId="203" formatCode="_-* #,##0.0_-;\-* #,##0.0_-;_-* &quot;-&quot;_-;_-@_-"/>
    <numFmt numFmtId="204" formatCode="0.0%"/>
    <numFmt numFmtId="205" formatCode="#,##0.0_ "/>
    <numFmt numFmtId="206" formatCode="0.0_);[Red]\(0.0\)"/>
    <numFmt numFmtId="207" formatCode="0.0"/>
    <numFmt numFmtId="208" formatCode="0.00_ "/>
    <numFmt numFmtId="209" formatCode="#,##0_);[Red]\(#,##0\)"/>
    <numFmt numFmtId="210" formatCode="#,##0.0_);[Red]\(#,##0.0\)"/>
  </numFmts>
  <fonts count="93">
    <font>
      <sz val="11"/>
      <color theme="1"/>
      <name val="굴림체"/>
      <family val="3"/>
      <charset val="129"/>
    </font>
    <font>
      <sz val="8"/>
      <name val="굴림체"/>
      <family val="3"/>
      <charset val="129"/>
    </font>
    <font>
      <sz val="11"/>
      <name val="돋움"/>
      <family val="3"/>
      <charset val="129"/>
    </font>
    <font>
      <sz val="10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0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b/>
      <sz val="1"/>
      <color indexed="8"/>
      <name val="Courier"/>
      <family val="3"/>
    </font>
    <font>
      <sz val="1"/>
      <color indexed="8"/>
      <name val="Courier"/>
      <family val="3"/>
    </font>
    <font>
      <sz val="12"/>
      <name val="뼻뮝"/>
      <family val="3"/>
      <charset val="129"/>
    </font>
    <font>
      <b/>
      <sz val="12"/>
      <color indexed="16"/>
      <name val="굴림체"/>
      <family val="3"/>
      <charset val="129"/>
    </font>
    <font>
      <b/>
      <sz val="16"/>
      <name val="돋움체"/>
      <family val="3"/>
      <charset val="129"/>
    </font>
    <font>
      <sz val="10"/>
      <name val="MS Sans Serif"/>
      <family val="2"/>
    </font>
    <font>
      <sz val="8"/>
      <name val="Arial"/>
      <family val="2"/>
    </font>
    <font>
      <b/>
      <sz val="12"/>
      <name val="Arial"/>
      <family val="2"/>
    </font>
    <font>
      <sz val="9"/>
      <name val="바탕체"/>
      <family val="1"/>
      <charset val="129"/>
    </font>
    <font>
      <sz val="10"/>
      <name val="명조"/>
      <family val="3"/>
      <charset val="129"/>
    </font>
    <font>
      <sz val="12"/>
      <name val="¹UAAA¼"/>
      <family val="3"/>
      <charset val="129"/>
    </font>
    <font>
      <b/>
      <sz val="10"/>
      <name val="Helv"/>
      <family val="2"/>
    </font>
    <font>
      <sz val="10"/>
      <name val="Times New Roman"/>
      <family val="1"/>
    </font>
    <font>
      <b/>
      <sz val="12"/>
      <name val="Helv"/>
      <family val="2"/>
    </font>
    <font>
      <b/>
      <sz val="11"/>
      <name val="Helv"/>
      <family val="2"/>
    </font>
    <font>
      <sz val="10"/>
      <name val="궁서(English)"/>
      <family val="3"/>
      <charset val="129"/>
    </font>
    <font>
      <sz val="12"/>
      <name val="Times New Roman"/>
      <family val="1"/>
    </font>
    <font>
      <sz val="14"/>
      <name val="뼻뮝"/>
      <family val="3"/>
      <charset val="129"/>
    </font>
    <font>
      <sz val="12"/>
      <name val="ⓒoUAAA¨u"/>
      <family val="3"/>
      <charset val="129"/>
    </font>
    <font>
      <sz val="11"/>
      <name val="￥i￠￢￠?o"/>
      <family val="3"/>
      <charset val="129"/>
    </font>
    <font>
      <sz val="12"/>
      <name val="System"/>
      <family val="2"/>
      <charset val="129"/>
    </font>
    <font>
      <b/>
      <sz val="18"/>
      <name val="Arial"/>
      <family val="2"/>
    </font>
    <font>
      <sz val="11"/>
      <color indexed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b/>
      <sz val="30"/>
      <name val="맑은 고딕"/>
      <family val="3"/>
      <charset val="129"/>
    </font>
    <font>
      <b/>
      <sz val="20"/>
      <name val="맑은 고딕"/>
      <family val="3"/>
      <charset val="129"/>
    </font>
    <font>
      <b/>
      <sz val="12"/>
      <name val="맑은 고딕"/>
      <family val="3"/>
      <charset val="129"/>
    </font>
    <font>
      <b/>
      <sz val="16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name val="맑은 고딕"/>
      <family val="3"/>
      <charset val="129"/>
    </font>
    <font>
      <b/>
      <sz val="14"/>
      <name val="맑은 고딕"/>
      <family val="3"/>
      <charset val="129"/>
    </font>
    <font>
      <b/>
      <sz val="24"/>
      <name val="맑은 고딕"/>
      <family val="3"/>
      <charset val="129"/>
    </font>
    <font>
      <b/>
      <sz val="16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theme="1"/>
      <name val="굴림체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rgb="FF006100"/>
      <name val="굴림"/>
      <family val="3"/>
      <charset val="129"/>
    </font>
    <font>
      <sz val="10"/>
      <color theme="1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굴림체"/>
      <family val="3"/>
      <charset val="129"/>
    </font>
    <font>
      <b/>
      <sz val="10"/>
      <color indexed="8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name val="굴림체"/>
      <family val="3"/>
      <charset val="129"/>
    </font>
    <font>
      <b/>
      <sz val="9"/>
      <color indexed="12"/>
      <name val="굴림체"/>
      <family val="3"/>
      <charset val="129"/>
    </font>
    <font>
      <b/>
      <sz val="9"/>
      <color rgb="FFFF0000"/>
      <name val="굴림체"/>
      <family val="3"/>
      <charset val="129"/>
    </font>
    <font>
      <b/>
      <sz val="9"/>
      <color indexed="10"/>
      <name val="맑은 고딕"/>
      <family val="3"/>
      <charset val="129"/>
    </font>
    <font>
      <b/>
      <sz val="9"/>
      <color indexed="10"/>
      <name val="굴림체"/>
      <family val="3"/>
      <charset val="129"/>
    </font>
    <font>
      <sz val="9"/>
      <color rgb="FF0000CC"/>
      <name val="굴림체"/>
      <family val="3"/>
      <charset val="129"/>
    </font>
    <font>
      <sz val="9"/>
      <color indexed="12"/>
      <name val="굴림체"/>
      <family val="3"/>
      <charset val="129"/>
    </font>
    <font>
      <b/>
      <sz val="9"/>
      <color indexed="48"/>
      <name val="굴림체"/>
      <family val="3"/>
      <charset val="129"/>
    </font>
    <font>
      <b/>
      <sz val="9"/>
      <name val="굴림체"/>
      <family val="3"/>
      <charset val="129"/>
    </font>
    <font>
      <sz val="9"/>
      <color indexed="48"/>
      <name val="굴림체"/>
      <family val="3"/>
      <charset val="129"/>
    </font>
    <font>
      <sz val="10"/>
      <color indexed="12"/>
      <name val="굴림체"/>
      <family val="3"/>
      <charset val="129"/>
    </font>
    <font>
      <b/>
      <sz val="10"/>
      <color indexed="12"/>
      <name val="굴림체"/>
      <family val="3"/>
      <charset val="129"/>
    </font>
    <font>
      <sz val="10"/>
      <color rgb="FF9C65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indexed="8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7"/>
      <color rgb="FFFF0000"/>
      <name val="맑은 고딕"/>
      <family val="3"/>
      <charset val="129"/>
    </font>
    <font>
      <sz val="11"/>
      <name val="맑은 고딕"/>
      <family val="3"/>
      <charset val="129"/>
      <scheme val="major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sz val="9"/>
      <color indexed="8"/>
      <name val="맑은 고딕"/>
      <family val="3"/>
      <charset val="129"/>
      <scheme val="minor"/>
    </font>
    <font>
      <sz val="10"/>
      <color rgb="FFFF0000"/>
      <name val="굴림체"/>
      <family val="3"/>
      <charset val="129"/>
    </font>
    <font>
      <sz val="11"/>
      <color rgb="FFFF0000"/>
      <name val="굴림체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9"/>
      <color rgb="FF9C6500"/>
      <name val="맑은 고딕"/>
      <family val="3"/>
      <charset val="129"/>
      <scheme val="minor"/>
    </font>
    <font>
      <sz val="10"/>
      <color rgb="FF9C6500"/>
      <name val="굴림체"/>
      <family val="3"/>
      <charset val="129"/>
    </font>
    <font>
      <sz val="10"/>
      <color rgb="FFFF0000"/>
      <name val="MS Gothic"/>
      <family val="3"/>
      <charset val="128"/>
    </font>
    <font>
      <sz val="10"/>
      <color indexed="12"/>
      <name val="MS Gothic"/>
      <family val="3"/>
      <charset val="128"/>
    </font>
    <font>
      <b/>
      <sz val="9"/>
      <color theme="1"/>
      <name val="굴림체"/>
      <family val="3"/>
      <charset val="129"/>
    </font>
    <font>
      <b/>
      <sz val="9"/>
      <color theme="1"/>
      <name val="MS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9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46">
    <xf numFmtId="0" fontId="0" fillId="0" borderId="0">
      <alignment vertical="center"/>
    </xf>
    <xf numFmtId="24" fontId="17" fillId="0" borderId="0" applyFont="0" applyFill="0" applyBorder="0" applyAlignment="0" applyProtection="0"/>
    <xf numFmtId="196" fontId="17" fillId="0" borderId="0" applyNumberFormat="0" applyFont="0" applyFill="0" applyBorder="0" applyAlignment="0" applyProtection="0"/>
    <xf numFmtId="197" fontId="17" fillId="0" borderId="0" applyNumberFormat="0" applyFont="0" applyFill="0" applyBorder="0" applyAlignment="0" applyProtection="0"/>
    <xf numFmtId="196" fontId="17" fillId="0" borderId="0" applyNumberFormat="0" applyFont="0" applyFill="0" applyBorder="0" applyAlignment="0" applyProtection="0"/>
    <xf numFmtId="197" fontId="17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1" fillId="0" borderId="0"/>
    <xf numFmtId="0" fontId="9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10" fillId="0" borderId="0"/>
    <xf numFmtId="0" fontId="11" fillId="0" borderId="0"/>
    <xf numFmtId="0" fontId="9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8" fillId="0" borderId="0"/>
    <xf numFmtId="0" fontId="30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30" fillId="0" borderId="0" applyFont="0" applyFill="0" applyBorder="0" applyAlignment="0" applyProtection="0"/>
    <xf numFmtId="0" fontId="17" fillId="0" borderId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32" fillId="0" borderId="0"/>
    <xf numFmtId="0" fontId="22" fillId="0" borderId="0"/>
    <xf numFmtId="0" fontId="2" fillId="0" borderId="0" applyFill="0" applyBorder="0" applyAlignment="0"/>
    <xf numFmtId="0" fontId="23" fillId="0" borderId="0"/>
    <xf numFmtId="4" fontId="13" fillId="0" borderId="0">
      <protection locked="0"/>
    </xf>
    <xf numFmtId="3" fontId="17" fillId="0" borderId="0" applyFont="0" applyFill="0" applyBorder="0" applyAlignment="0" applyProtection="0"/>
    <xf numFmtId="190" fontId="10" fillId="0" borderId="0"/>
    <xf numFmtId="184" fontId="11" fillId="0" borderId="0" applyFont="0" applyFill="0" applyBorder="0" applyAlignment="0" applyProtection="0"/>
    <xf numFmtId="3" fontId="11" fillId="0" borderId="0" applyFont="0" applyFill="0" applyBorder="0" applyAlignment="0" applyProtection="0"/>
    <xf numFmtId="0" fontId="7" fillId="0" borderId="0" applyFont="0" applyFill="0" applyBorder="0" applyAlignment="0" applyProtection="0"/>
    <xf numFmtId="201" fontId="2" fillId="0" borderId="0">
      <protection locked="0"/>
    </xf>
    <xf numFmtId="188" fontId="17" fillId="0" borderId="0" applyFont="0" applyFill="0" applyBorder="0" applyAlignment="0" applyProtection="0"/>
    <xf numFmtId="185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24" fillId="0" borderId="0"/>
    <xf numFmtId="199" fontId="2" fillId="0" borderId="0">
      <protection locked="0"/>
    </xf>
    <xf numFmtId="192" fontId="10" fillId="0" borderId="0" applyFont="0" applyFill="0" applyBorder="0" applyAlignment="0" applyProtection="0"/>
    <xf numFmtId="194" fontId="10" fillId="0" borderId="0" applyFont="0" applyFill="0" applyBorder="0" applyAlignment="0" applyProtection="0"/>
    <xf numFmtId="189" fontId="10" fillId="0" borderId="0"/>
    <xf numFmtId="200" fontId="2" fillId="0" borderId="0">
      <protection locked="0"/>
    </xf>
    <xf numFmtId="38" fontId="18" fillId="2" borderId="0" applyNumberFormat="0" applyBorder="0" applyAlignment="0" applyProtection="0"/>
    <xf numFmtId="0" fontId="25" fillId="0" borderId="0">
      <alignment horizontal="left"/>
    </xf>
    <xf numFmtId="0" fontId="19" fillId="0" borderId="1" applyNumberFormat="0" applyAlignment="0" applyProtection="0">
      <alignment horizontal="left" vertical="center"/>
    </xf>
    <xf numFmtId="0" fontId="19" fillId="0" borderId="2">
      <alignment horizontal="left" vertical="center"/>
    </xf>
    <xf numFmtId="0" fontId="3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88" fontId="2" fillId="0" borderId="0">
      <protection locked="0"/>
    </xf>
    <xf numFmtId="188" fontId="2" fillId="0" borderId="0">
      <protection locked="0"/>
    </xf>
    <xf numFmtId="10" fontId="18" fillId="3" borderId="3" applyNumberFormat="0" applyBorder="0" applyAlignment="0" applyProtection="0"/>
    <xf numFmtId="0" fontId="20" fillId="0" borderId="4" applyNumberFormat="0" applyBorder="0" applyAlignment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26" fillId="0" borderId="5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87" fontId="10" fillId="0" borderId="0"/>
    <xf numFmtId="0" fontId="11" fillId="0" borderId="0"/>
    <xf numFmtId="198" fontId="2" fillId="0" borderId="0">
      <protection locked="0"/>
    </xf>
    <xf numFmtId="10" fontId="11" fillId="0" borderId="0" applyFont="0" applyFill="0" applyBorder="0" applyAlignment="0" applyProtection="0"/>
    <xf numFmtId="0" fontId="11" fillId="0" borderId="0"/>
    <xf numFmtId="0" fontId="26" fillId="0" borderId="0"/>
    <xf numFmtId="188" fontId="2" fillId="0" borderId="6">
      <protection locked="0"/>
    </xf>
    <xf numFmtId="191" fontId="10" fillId="0" borderId="0" applyFont="0" applyFill="0" applyBorder="0" applyAlignment="0" applyProtection="0"/>
    <xf numFmtId="193" fontId="10" fillId="0" borderId="0" applyFont="0" applyFill="0" applyBorder="0" applyAlignment="0" applyProtection="0"/>
    <xf numFmtId="181" fontId="10" fillId="0" borderId="0">
      <protection locked="0"/>
    </xf>
    <xf numFmtId="0" fontId="12" fillId="0" borderId="0">
      <protection locked="0"/>
    </xf>
    <xf numFmtId="0" fontId="12" fillId="0" borderId="0">
      <protection locked="0"/>
    </xf>
    <xf numFmtId="0" fontId="13" fillId="0" borderId="0">
      <protection locked="0"/>
    </xf>
    <xf numFmtId="0" fontId="13" fillId="0" borderId="0">
      <protection locked="0"/>
    </xf>
    <xf numFmtId="0" fontId="8" fillId="0" borderId="0" applyNumberFormat="0" applyFill="0" applyBorder="0" applyAlignment="0" applyProtection="0">
      <alignment vertical="top"/>
      <protection locked="0"/>
    </xf>
    <xf numFmtId="40" fontId="29" fillId="0" borderId="0" applyFont="0" applyFill="0" applyBorder="0" applyAlignment="0" applyProtection="0"/>
    <xf numFmtId="38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6" borderId="0" applyNumberFormat="0" applyBorder="0" applyAlignment="0" applyProtection="0">
      <alignment vertical="center"/>
    </xf>
    <xf numFmtId="0" fontId="14" fillId="0" borderId="0"/>
    <xf numFmtId="178" fontId="15" fillId="0" borderId="0">
      <alignment vertical="center"/>
    </xf>
    <xf numFmtId="41" fontId="34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35" fillId="0" borderId="0" applyFont="0" applyFill="0" applyBorder="0" applyAlignment="0" applyProtection="0">
      <alignment vertical="center"/>
    </xf>
    <xf numFmtId="202" fontId="36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9" fillId="0" borderId="0"/>
    <xf numFmtId="0" fontId="10" fillId="0" borderId="0"/>
    <xf numFmtId="0" fontId="21" fillId="0" borderId="7"/>
    <xf numFmtId="195" fontId="27" fillId="0" borderId="0" applyFont="0" applyFill="0" applyBorder="0" applyAlignment="0" applyProtection="0"/>
    <xf numFmtId="4" fontId="13" fillId="0" borderId="0">
      <protection locked="0"/>
    </xf>
    <xf numFmtId="182" fontId="10" fillId="0" borderId="0">
      <protection locked="0"/>
    </xf>
    <xf numFmtId="0" fontId="10" fillId="0" borderId="3">
      <alignment horizontal="distributed" vertical="center"/>
    </xf>
    <xf numFmtId="0" fontId="10" fillId="0" borderId="8">
      <alignment horizontal="distributed" vertical="top"/>
    </xf>
    <xf numFmtId="0" fontId="10" fillId="0" borderId="9">
      <alignment horizontal="distributed"/>
    </xf>
    <xf numFmtId="186" fontId="16" fillId="0" borderId="0">
      <alignment vertical="center"/>
    </xf>
    <xf numFmtId="0" fontId="51" fillId="7" borderId="0" applyNumberFormat="0" applyBorder="0" applyAlignment="0" applyProtection="0">
      <alignment vertical="center"/>
    </xf>
    <xf numFmtId="0" fontId="52" fillId="7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10" fillId="0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80" fontId="2" fillId="0" borderId="0">
      <protection locked="0"/>
    </xf>
    <xf numFmtId="0" fontId="49" fillId="0" borderId="0">
      <alignment vertical="center"/>
    </xf>
    <xf numFmtId="0" fontId="2" fillId="0" borderId="0"/>
    <xf numFmtId="0" fontId="6" fillId="0" borderId="0"/>
    <xf numFmtId="0" fontId="2" fillId="0" borderId="0"/>
    <xf numFmtId="0" fontId="6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53" fillId="0" borderId="0">
      <alignment vertical="center"/>
    </xf>
    <xf numFmtId="0" fontId="6" fillId="0" borderId="0"/>
    <xf numFmtId="0" fontId="49" fillId="0" borderId="0">
      <alignment vertical="center"/>
    </xf>
    <xf numFmtId="0" fontId="6" fillId="0" borderId="0"/>
    <xf numFmtId="0" fontId="49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5" fontId="2" fillId="0" borderId="0" applyBorder="0"/>
    <xf numFmtId="0" fontId="13" fillId="0" borderId="10">
      <protection locked="0"/>
    </xf>
    <xf numFmtId="179" fontId="2" fillId="0" borderId="0">
      <protection locked="0"/>
    </xf>
    <xf numFmtId="183" fontId="10" fillId="0" borderId="0">
      <protection locked="0"/>
    </xf>
    <xf numFmtId="0" fontId="2" fillId="0" borderId="0"/>
    <xf numFmtId="9" fontId="49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284">
    <xf numFmtId="0" fontId="0" fillId="0" borderId="0" xfId="0">
      <alignment vertical="center"/>
    </xf>
    <xf numFmtId="0" fontId="37" fillId="0" borderId="0" xfId="129" applyFont="1">
      <alignment vertical="center"/>
    </xf>
    <xf numFmtId="0" fontId="37" fillId="0" borderId="0" xfId="129" applyFont="1" applyAlignment="1">
      <alignment wrapText="1"/>
    </xf>
    <xf numFmtId="0" fontId="3" fillId="0" borderId="0" xfId="129" applyFont="1">
      <alignment vertical="center"/>
    </xf>
    <xf numFmtId="0" fontId="38" fillId="0" borderId="0" xfId="129" applyFont="1" applyAlignment="1">
      <alignment wrapText="1"/>
    </xf>
    <xf numFmtId="0" fontId="39" fillId="0" borderId="0" xfId="129" applyFont="1" applyAlignment="1">
      <alignment horizontal="center"/>
    </xf>
    <xf numFmtId="0" fontId="40" fillId="0" borderId="0" xfId="129" applyFont="1" applyAlignment="1">
      <alignment horizontal="center"/>
    </xf>
    <xf numFmtId="0" fontId="38" fillId="0" borderId="0" xfId="129" applyFont="1" applyAlignment="1">
      <alignment horizontal="left" vertical="center" indent="15"/>
    </xf>
    <xf numFmtId="0" fontId="37" fillId="0" borderId="0" xfId="129" applyFont="1" applyAlignment="1">
      <alignment horizontal="center" vertical="center"/>
    </xf>
    <xf numFmtId="0" fontId="38" fillId="0" borderId="0" xfId="129" applyFont="1" applyAlignment="1">
      <alignment horizontal="center" vertical="center"/>
    </xf>
    <xf numFmtId="0" fontId="37" fillId="0" borderId="0" xfId="129" applyFont="1" applyAlignment="1">
      <alignment horizontal="center"/>
    </xf>
    <xf numFmtId="0" fontId="37" fillId="0" borderId="0" xfId="129" applyFont="1" applyAlignment="1"/>
    <xf numFmtId="0" fontId="37" fillId="0" borderId="0" xfId="129" applyFont="1" applyBorder="1">
      <alignment vertical="center"/>
    </xf>
    <xf numFmtId="0" fontId="3" fillId="0" borderId="0" xfId="129" applyFont="1" applyAlignment="1">
      <alignment wrapText="1"/>
    </xf>
    <xf numFmtId="0" fontId="43" fillId="0" borderId="0" xfId="135" applyFont="1" applyFill="1" applyAlignment="1">
      <alignment horizontal="center" vertical="center" wrapText="1"/>
    </xf>
    <xf numFmtId="0" fontId="43" fillId="4" borderId="0" xfId="135" applyFont="1" applyFill="1" applyAlignment="1">
      <alignment horizontal="center" vertical="center" wrapText="1"/>
    </xf>
    <xf numFmtId="49" fontId="43" fillId="4" borderId="0" xfId="135" applyNumberFormat="1" applyFont="1" applyFill="1" applyAlignment="1">
      <alignment horizontal="left" vertical="center" wrapText="1"/>
    </xf>
    <xf numFmtId="14" fontId="43" fillId="4" borderId="0" xfId="135" applyNumberFormat="1" applyFont="1" applyFill="1" applyAlignment="1">
      <alignment horizontal="center" vertical="center" wrapText="1"/>
    </xf>
    <xf numFmtId="0" fontId="44" fillId="2" borderId="3" xfId="135" applyFont="1" applyFill="1" applyBorder="1" applyAlignment="1">
      <alignment horizontal="center" vertical="center" wrapText="1"/>
    </xf>
    <xf numFmtId="49" fontId="44" fillId="2" borderId="3" xfId="135" applyNumberFormat="1" applyFont="1" applyFill="1" applyBorder="1" applyAlignment="1">
      <alignment horizontal="center" vertical="center" wrapText="1"/>
    </xf>
    <xf numFmtId="14" fontId="44" fillId="2" borderId="3" xfId="135" applyNumberFormat="1" applyFont="1" applyFill="1" applyBorder="1" applyAlignment="1">
      <alignment horizontal="center" vertical="center" wrapText="1"/>
    </xf>
    <xf numFmtId="0" fontId="43" fillId="0" borderId="11" xfId="135" applyFont="1" applyFill="1" applyBorder="1" applyAlignment="1">
      <alignment horizontal="center" vertical="center" wrapText="1"/>
    </xf>
    <xf numFmtId="49" fontId="43" fillId="4" borderId="11" xfId="135" applyNumberFormat="1" applyFont="1" applyFill="1" applyBorder="1" applyAlignment="1">
      <alignment horizontal="center" vertical="center" wrapText="1"/>
    </xf>
    <xf numFmtId="14" fontId="43" fillId="4" borderId="11" xfId="135" applyNumberFormat="1" applyFont="1" applyFill="1" applyBorder="1" applyAlignment="1">
      <alignment horizontal="center" vertical="center" wrapText="1"/>
    </xf>
    <xf numFmtId="0" fontId="43" fillId="4" borderId="11" xfId="135" applyFont="1" applyFill="1" applyBorder="1" applyAlignment="1">
      <alignment horizontal="left" vertical="center" wrapText="1"/>
    </xf>
    <xf numFmtId="0" fontId="43" fillId="4" borderId="11" xfId="135" applyFont="1" applyFill="1" applyBorder="1" applyAlignment="1">
      <alignment vertical="center" wrapText="1"/>
    </xf>
    <xf numFmtId="0" fontId="43" fillId="4" borderId="11" xfId="135" applyFont="1" applyFill="1" applyBorder="1" applyAlignment="1">
      <alignment horizontal="center" vertical="center" wrapText="1"/>
    </xf>
    <xf numFmtId="0" fontId="6" fillId="0" borderId="0" xfId="0" applyFont="1" applyFill="1" applyAlignment="1" applyProtection="1">
      <alignment vertical="center"/>
    </xf>
    <xf numFmtId="0" fontId="6" fillId="0" borderId="0" xfId="0" applyFont="1" applyFill="1" applyBorder="1" applyAlignment="1" applyProtection="1">
      <alignment vertical="center"/>
    </xf>
    <xf numFmtId="0" fontId="41" fillId="0" borderId="0" xfId="0" applyFont="1" applyFill="1" applyBorder="1" applyAlignment="1" applyProtection="1">
      <alignment vertical="center"/>
    </xf>
    <xf numFmtId="203" fontId="59" fillId="0" borderId="3" xfId="89" applyNumberFormat="1" applyFont="1" applyFill="1" applyBorder="1" applyAlignment="1" applyProtection="1">
      <alignment horizontal="center" vertical="center"/>
    </xf>
    <xf numFmtId="49" fontId="37" fillId="4" borderId="11" xfId="135" applyNumberFormat="1" applyFont="1" applyFill="1" applyBorder="1" applyAlignment="1">
      <alignment horizontal="center" vertical="center" wrapText="1"/>
    </xf>
    <xf numFmtId="0" fontId="37" fillId="4" borderId="11" xfId="135" applyFont="1" applyFill="1" applyBorder="1" applyAlignment="1">
      <alignment horizontal="left" vertical="center" wrapText="1"/>
    </xf>
    <xf numFmtId="14" fontId="37" fillId="4" borderId="11" xfId="135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/>
    </xf>
    <xf numFmtId="204" fontId="41" fillId="0" borderId="0" xfId="0" applyNumberFormat="1" applyFont="1" applyFill="1" applyBorder="1" applyAlignment="1" applyProtection="1">
      <alignment vertical="center"/>
    </xf>
    <xf numFmtId="204" fontId="79" fillId="0" borderId="0" xfId="0" applyNumberFormat="1" applyFont="1" applyFill="1" applyBorder="1" applyAlignment="1" applyProtection="1">
      <alignment vertical="center"/>
    </xf>
    <xf numFmtId="9" fontId="59" fillId="0" borderId="3" xfId="143" applyFont="1" applyFill="1" applyBorder="1" applyAlignment="1" applyProtection="1">
      <alignment horizontal="center" vertical="center"/>
    </xf>
    <xf numFmtId="10" fontId="59" fillId="0" borderId="3" xfId="89" applyNumberFormat="1" applyFont="1" applyFill="1" applyBorder="1" applyAlignment="1" applyProtection="1">
      <alignment horizontal="center" vertical="center"/>
    </xf>
    <xf numFmtId="204" fontId="80" fillId="0" borderId="0" xfId="0" applyNumberFormat="1" applyFont="1" applyFill="1" applyBorder="1" applyAlignment="1" applyProtection="1">
      <alignment vertical="center"/>
    </xf>
    <xf numFmtId="0" fontId="48" fillId="0" borderId="12" xfId="136" quotePrefix="1" applyFont="1" applyFill="1" applyBorder="1" applyAlignment="1">
      <alignment vertical="center"/>
    </xf>
    <xf numFmtId="0" fontId="48" fillId="0" borderId="0" xfId="136" quotePrefix="1" applyFont="1" applyFill="1" applyBorder="1" applyAlignment="1">
      <alignment vertical="center"/>
    </xf>
    <xf numFmtId="0" fontId="48" fillId="0" borderId="0" xfId="136" applyFont="1" applyFill="1" applyBorder="1" applyAlignment="1">
      <alignment vertical="center"/>
    </xf>
    <xf numFmtId="0" fontId="48" fillId="0" borderId="13" xfId="136" applyFont="1" applyFill="1" applyBorder="1" applyAlignment="1">
      <alignment vertical="center"/>
    </xf>
    <xf numFmtId="0" fontId="86" fillId="0" borderId="12" xfId="136" applyFont="1" applyBorder="1" applyAlignment="1">
      <alignment vertical="center"/>
    </xf>
    <xf numFmtId="0" fontId="86" fillId="0" borderId="0" xfId="136" applyFont="1" applyBorder="1" applyAlignment="1">
      <alignment vertical="center"/>
    </xf>
    <xf numFmtId="0" fontId="0" fillId="0" borderId="0" xfId="0" applyBorder="1">
      <alignment vertical="center"/>
    </xf>
    <xf numFmtId="0" fontId="0" fillId="0" borderId="13" xfId="0" applyBorder="1">
      <alignment vertical="center"/>
    </xf>
    <xf numFmtId="0" fontId="0" fillId="0" borderId="12" xfId="0" applyBorder="1">
      <alignment vertical="center"/>
    </xf>
    <xf numFmtId="0" fontId="85" fillId="5" borderId="28" xfId="136" applyFont="1" applyFill="1" applyBorder="1" applyAlignment="1">
      <alignment horizontal="center" vertical="center" wrapText="1"/>
    </xf>
    <xf numFmtId="0" fontId="85" fillId="5" borderId="23" xfId="136" applyFont="1" applyFill="1" applyBorder="1" applyAlignment="1">
      <alignment horizontal="center" vertical="center"/>
    </xf>
    <xf numFmtId="0" fontId="85" fillId="5" borderId="59" xfId="136" applyFont="1" applyFill="1" applyBorder="1" applyAlignment="1">
      <alignment horizontal="center" vertical="center"/>
    </xf>
    <xf numFmtId="0" fontId="4" fillId="0" borderId="28" xfId="136" applyFont="1" applyFill="1" applyBorder="1" applyAlignment="1">
      <alignment horizontal="center" vertical="center" wrapText="1"/>
    </xf>
    <xf numFmtId="0" fontId="4" fillId="0" borderId="23" xfId="136" applyFont="1" applyFill="1" applyBorder="1" applyAlignment="1">
      <alignment horizontal="center" vertical="center" wrapText="1"/>
    </xf>
    <xf numFmtId="0" fontId="4" fillId="0" borderId="59" xfId="136" applyFont="1" applyFill="1" applyBorder="1" applyAlignment="1">
      <alignment horizontal="center" vertical="center" wrapText="1"/>
    </xf>
    <xf numFmtId="0" fontId="4" fillId="0" borderId="66" xfId="136" applyFont="1" applyFill="1" applyBorder="1" applyAlignment="1">
      <alignment horizontal="center" vertical="center" wrapText="1"/>
    </xf>
    <xf numFmtId="0" fontId="4" fillId="0" borderId="61" xfId="136" applyFont="1" applyFill="1" applyBorder="1" applyAlignment="1">
      <alignment horizontal="center" vertical="center"/>
    </xf>
    <xf numFmtId="0" fontId="4" fillId="0" borderId="67" xfId="136" applyFont="1" applyFill="1" applyBorder="1" applyAlignment="1">
      <alignment horizontal="center" vertical="center"/>
    </xf>
    <xf numFmtId="0" fontId="58" fillId="11" borderId="3" xfId="86" applyNumberFormat="1" applyFont="1" applyFill="1" applyBorder="1" applyAlignment="1" applyProtection="1">
      <alignment vertical="center" wrapText="1"/>
    </xf>
    <xf numFmtId="0" fontId="58" fillId="8" borderId="3" xfId="86" applyNumberFormat="1" applyFont="1" applyFill="1" applyBorder="1" applyAlignment="1" applyProtection="1">
      <alignment horizontal="center" vertical="center" wrapText="1"/>
    </xf>
    <xf numFmtId="204" fontId="58" fillId="8" borderId="3" xfId="86" applyNumberFormat="1" applyFont="1" applyFill="1" applyBorder="1" applyAlignment="1" applyProtection="1">
      <alignment horizontal="center" vertical="center" wrapText="1"/>
    </xf>
    <xf numFmtId="0" fontId="61" fillId="0" borderId="0" xfId="0" applyFont="1" applyAlignment="1" applyProtection="1">
      <alignment vertical="center"/>
    </xf>
    <xf numFmtId="0" fontId="66" fillId="0" borderId="0" xfId="0" applyFont="1" applyFill="1" applyAlignment="1" applyProtection="1">
      <alignment horizontal="left" vertical="center"/>
    </xf>
    <xf numFmtId="0" fontId="60" fillId="0" borderId="0" xfId="0" applyFont="1" applyFill="1" applyAlignment="1" applyProtection="1">
      <alignment vertical="center"/>
    </xf>
    <xf numFmtId="0" fontId="60" fillId="0" borderId="0" xfId="0" applyFont="1" applyFill="1" applyAlignment="1" applyProtection="1">
      <alignment horizontal="center" vertical="center"/>
    </xf>
    <xf numFmtId="0" fontId="66" fillId="0" borderId="0" xfId="0" applyFont="1" applyAlignment="1" applyProtection="1">
      <alignment vertical="center"/>
    </xf>
    <xf numFmtId="0" fontId="67" fillId="0" borderId="0" xfId="0" applyFont="1" applyFill="1" applyBorder="1" applyAlignment="1" applyProtection="1">
      <alignment horizontal="center" vertical="center"/>
    </xf>
    <xf numFmtId="41" fontId="67" fillId="0" borderId="0" xfId="91" applyFont="1" applyFill="1" applyBorder="1" applyAlignment="1" applyProtection="1">
      <alignment horizontal="left" vertical="center"/>
    </xf>
    <xf numFmtId="41" fontId="67" fillId="0" borderId="0" xfId="91" applyFont="1" applyFill="1" applyBorder="1" applyAlignment="1" applyProtection="1">
      <alignment horizontal="center" vertical="center"/>
    </xf>
    <xf numFmtId="41" fontId="68" fillId="0" borderId="0" xfId="91" applyFont="1" applyFill="1" applyBorder="1" applyAlignment="1" applyProtection="1">
      <alignment horizontal="left" vertical="center"/>
    </xf>
    <xf numFmtId="0" fontId="69" fillId="0" borderId="0" xfId="0" applyFont="1" applyAlignment="1" applyProtection="1">
      <alignment vertical="center"/>
    </xf>
    <xf numFmtId="0" fontId="69" fillId="0" borderId="0" xfId="0" applyFont="1" applyAlignment="1" applyProtection="1">
      <alignment horizontal="left" vertical="center"/>
    </xf>
    <xf numFmtId="0" fontId="69" fillId="0" borderId="0" xfId="0" applyFont="1" applyAlignment="1" applyProtection="1">
      <alignment horizontal="center" vertical="center"/>
    </xf>
    <xf numFmtId="0" fontId="60" fillId="0" borderId="0" xfId="0" applyFont="1" applyAlignment="1" applyProtection="1">
      <alignment vertical="center"/>
    </xf>
    <xf numFmtId="0" fontId="70" fillId="0" borderId="0" xfId="0" applyFont="1" applyAlignment="1" applyProtection="1">
      <alignment vertical="center" wrapText="1"/>
    </xf>
    <xf numFmtId="0" fontId="70" fillId="0" borderId="0" xfId="0" applyFont="1" applyAlignment="1" applyProtection="1">
      <alignment horizontal="center" vertical="center" wrapText="1"/>
    </xf>
    <xf numFmtId="0" fontId="0" fillId="0" borderId="0" xfId="0" applyProtection="1">
      <alignment vertical="center"/>
      <protection locked="0"/>
    </xf>
    <xf numFmtId="0" fontId="48" fillId="0" borderId="12" xfId="136" applyFont="1" applyBorder="1" applyAlignment="1" applyProtection="1">
      <alignment vertical="center"/>
      <protection locked="0"/>
    </xf>
    <xf numFmtId="0" fontId="4" fillId="0" borderId="0" xfId="136" applyFont="1" applyBorder="1" applyProtection="1">
      <alignment vertical="center"/>
      <protection locked="0"/>
    </xf>
    <xf numFmtId="0" fontId="76" fillId="0" borderId="0" xfId="136" applyFont="1" applyBorder="1" applyProtection="1">
      <alignment vertical="center"/>
      <protection locked="0"/>
    </xf>
    <xf numFmtId="0" fontId="77" fillId="0" borderId="13" xfId="136" applyFont="1" applyBorder="1" applyAlignment="1" applyProtection="1">
      <alignment horizontal="right" vertical="center"/>
      <protection locked="0"/>
    </xf>
    <xf numFmtId="0" fontId="0" fillId="10" borderId="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2" fillId="10" borderId="0" xfId="129" applyFill="1" applyProtection="1">
      <alignment vertical="center"/>
      <protection locked="0"/>
    </xf>
    <xf numFmtId="0" fontId="6" fillId="10" borderId="0" xfId="0" applyFont="1" applyFill="1" applyProtection="1">
      <alignment vertical="center"/>
      <protection locked="0"/>
    </xf>
    <xf numFmtId="0" fontId="54" fillId="10" borderId="0" xfId="0" applyFont="1" applyFill="1" applyBorder="1" applyAlignment="1" applyProtection="1">
      <alignment horizontal="center" vertical="center"/>
      <protection locked="0"/>
    </xf>
    <xf numFmtId="49" fontId="54" fillId="10" borderId="0" xfId="137" applyNumberFormat="1" applyFont="1" applyFill="1" applyBorder="1" applyAlignment="1" applyProtection="1">
      <alignment horizontal="center" vertical="center" wrapText="1"/>
      <protection locked="0"/>
    </xf>
    <xf numFmtId="41" fontId="55" fillId="10" borderId="0" xfId="89" applyFont="1" applyFill="1" applyBorder="1" applyAlignment="1" applyProtection="1">
      <alignment horizontal="right" vertical="center" wrapText="1"/>
      <protection locked="0"/>
    </xf>
    <xf numFmtId="0" fontId="56" fillId="10" borderId="12" xfId="0" applyFont="1" applyFill="1" applyBorder="1" applyProtection="1">
      <alignment vertical="center"/>
    </xf>
    <xf numFmtId="0" fontId="56" fillId="10" borderId="0" xfId="0" applyFont="1" applyFill="1" applyBorder="1" applyProtection="1">
      <alignment vertical="center"/>
    </xf>
    <xf numFmtId="0" fontId="0" fillId="10" borderId="0" xfId="0" applyFill="1" applyBorder="1" applyProtection="1">
      <alignment vertical="center"/>
    </xf>
    <xf numFmtId="0" fontId="0" fillId="10" borderId="13" xfId="0" applyFill="1" applyBorder="1" applyProtection="1">
      <alignment vertical="center"/>
    </xf>
    <xf numFmtId="0" fontId="54" fillId="5" borderId="23" xfId="0" applyFont="1" applyFill="1" applyBorder="1" applyAlignment="1" applyProtection="1">
      <alignment horizontal="center" vertical="center"/>
    </xf>
    <xf numFmtId="0" fontId="54" fillId="5" borderId="24" xfId="0" applyFont="1" applyFill="1" applyBorder="1" applyAlignment="1" applyProtection="1">
      <alignment horizontal="center" vertical="center"/>
    </xf>
    <xf numFmtId="176" fontId="55" fillId="0" borderId="20" xfId="137" applyNumberFormat="1" applyFont="1" applyBorder="1" applyAlignment="1" applyProtection="1">
      <alignment horizontal="right" vertical="center" wrapText="1"/>
    </xf>
    <xf numFmtId="176" fontId="55" fillId="0" borderId="15" xfId="137" applyNumberFormat="1" applyFont="1" applyBorder="1" applyAlignment="1" applyProtection="1">
      <alignment horizontal="right" vertical="center" wrapText="1"/>
    </xf>
    <xf numFmtId="177" fontId="55" fillId="9" borderId="22" xfId="137" applyNumberFormat="1" applyFont="1" applyFill="1" applyBorder="1" applyAlignment="1" applyProtection="1">
      <alignment horizontal="center" vertical="center" wrapText="1"/>
    </xf>
    <xf numFmtId="177" fontId="55" fillId="0" borderId="15" xfId="137" applyNumberFormat="1" applyFont="1" applyBorder="1" applyAlignment="1" applyProtection="1">
      <alignment horizontal="right" vertical="center" wrapText="1"/>
    </xf>
    <xf numFmtId="177" fontId="55" fillId="0" borderId="16" xfId="137" applyNumberFormat="1" applyFont="1" applyBorder="1" applyAlignment="1" applyProtection="1">
      <alignment horizontal="right" vertical="center" wrapText="1"/>
    </xf>
    <xf numFmtId="177" fontId="55" fillId="9" borderId="30" xfId="137" applyNumberFormat="1" applyFont="1" applyFill="1" applyBorder="1" applyAlignment="1" applyProtection="1">
      <alignment horizontal="center" vertical="center" wrapText="1"/>
    </xf>
    <xf numFmtId="177" fontId="55" fillId="10" borderId="72" xfId="137" applyNumberFormat="1" applyFont="1" applyFill="1" applyBorder="1" applyAlignment="1" applyProtection="1">
      <alignment vertical="center" wrapText="1"/>
    </xf>
    <xf numFmtId="177" fontId="55" fillId="9" borderId="73" xfId="137" applyNumberFormat="1" applyFont="1" applyFill="1" applyBorder="1" applyAlignment="1" applyProtection="1">
      <alignment horizontal="center" vertical="center" wrapText="1"/>
    </xf>
    <xf numFmtId="0" fontId="58" fillId="6" borderId="35" xfId="86" applyNumberFormat="1" applyFont="1" applyBorder="1" applyAlignment="1" applyProtection="1">
      <alignment horizontal="center" vertical="center" wrapText="1"/>
    </xf>
    <xf numFmtId="0" fontId="58" fillId="6" borderId="16" xfId="86" applyNumberFormat="1" applyFont="1" applyBorder="1" applyAlignment="1" applyProtection="1">
      <alignment horizontal="center" vertical="center" wrapText="1"/>
    </xf>
    <xf numFmtId="0" fontId="58" fillId="6" borderId="76" xfId="86" applyNumberFormat="1" applyFont="1" applyBorder="1" applyAlignment="1" applyProtection="1">
      <alignment horizontal="center" vertical="center" wrapText="1"/>
    </xf>
    <xf numFmtId="0" fontId="57" fillId="12" borderId="39" xfId="142" applyNumberFormat="1" applyFont="1" applyFill="1" applyBorder="1" applyAlignment="1" applyProtection="1">
      <alignment horizontal="center" vertical="center" wrapText="1"/>
    </xf>
    <xf numFmtId="0" fontId="57" fillId="12" borderId="33" xfId="142" applyNumberFormat="1" applyFont="1" applyFill="1" applyBorder="1" applyAlignment="1" applyProtection="1">
      <alignment horizontal="center" vertical="center" wrapText="1" shrinkToFit="1"/>
    </xf>
    <xf numFmtId="0" fontId="57" fillId="12" borderId="34" xfId="142" applyNumberFormat="1" applyFont="1" applyFill="1" applyBorder="1" applyAlignment="1" applyProtection="1">
      <alignment horizontal="center" vertical="center" wrapText="1" shrinkToFit="1"/>
    </xf>
    <xf numFmtId="0" fontId="57" fillId="12" borderId="35" xfId="142" applyNumberFormat="1" applyFont="1" applyFill="1" applyBorder="1" applyAlignment="1" applyProtection="1">
      <alignment horizontal="center" vertical="center" wrapText="1"/>
    </xf>
    <xf numFmtId="0" fontId="57" fillId="12" borderId="32" xfId="142" applyNumberFormat="1" applyFont="1" applyFill="1" applyBorder="1" applyAlignment="1" applyProtection="1">
      <alignment horizontal="center" vertical="center" wrapText="1" shrinkToFit="1"/>
    </xf>
    <xf numFmtId="0" fontId="57" fillId="12" borderId="15" xfId="142" applyNumberFormat="1" applyFont="1" applyFill="1" applyBorder="1" applyAlignment="1" applyProtection="1">
      <alignment horizontal="center" vertical="center" wrapText="1"/>
    </xf>
    <xf numFmtId="0" fontId="57" fillId="12" borderId="36" xfId="142" applyNumberFormat="1" applyFont="1" applyFill="1" applyBorder="1" applyAlignment="1" applyProtection="1">
      <alignment horizontal="center" vertical="center" wrapText="1"/>
    </xf>
    <xf numFmtId="206" fontId="6" fillId="0" borderId="0" xfId="0" applyNumberFormat="1" applyFont="1" applyFill="1" applyAlignment="1" applyProtection="1">
      <alignment vertical="center"/>
    </xf>
    <xf numFmtId="206" fontId="61" fillId="0" borderId="0" xfId="0" applyNumberFormat="1" applyFont="1" applyAlignment="1" applyProtection="1">
      <alignment horizontal="left" vertical="center" wrapText="1"/>
    </xf>
    <xf numFmtId="206" fontId="60" fillId="0" borderId="0" xfId="0" applyNumberFormat="1" applyFont="1" applyFill="1" applyAlignment="1" applyProtection="1">
      <alignment horizontal="center" vertical="center"/>
    </xf>
    <xf numFmtId="0" fontId="80" fillId="0" borderId="0" xfId="0" applyFont="1" applyFill="1" applyBorder="1" applyAlignment="1" applyProtection="1">
      <alignment vertical="center"/>
    </xf>
    <xf numFmtId="206" fontId="70" fillId="0" borderId="0" xfId="0" applyNumberFormat="1" applyFont="1" applyAlignment="1" applyProtection="1">
      <alignment vertical="center" wrapText="1"/>
    </xf>
    <xf numFmtId="0" fontId="38" fillId="0" borderId="0" xfId="0" applyFont="1" applyFill="1" applyAlignment="1" applyProtection="1">
      <alignment vertical="center"/>
    </xf>
    <xf numFmtId="206" fontId="70" fillId="0" borderId="0" xfId="0" applyNumberFormat="1" applyFont="1" applyAlignment="1" applyProtection="1">
      <alignment horizontal="left" vertical="center" wrapText="1"/>
    </xf>
    <xf numFmtId="0" fontId="7" fillId="0" borderId="0" xfId="0" applyFont="1" applyFill="1" applyAlignment="1" applyProtection="1">
      <alignment vertical="center"/>
    </xf>
    <xf numFmtId="204" fontId="78" fillId="0" borderId="0" xfId="0" applyNumberFormat="1" applyFont="1" applyFill="1" applyAlignment="1" applyProtection="1">
      <alignment vertical="center"/>
    </xf>
    <xf numFmtId="205" fontId="78" fillId="0" borderId="0" xfId="0" applyNumberFormat="1" applyFont="1" applyFill="1" applyAlignment="1" applyProtection="1">
      <alignment vertical="center"/>
    </xf>
    <xf numFmtId="0" fontId="0" fillId="0" borderId="0" xfId="0" applyFont="1" applyFill="1" applyAlignment="1" applyProtection="1">
      <alignment vertical="center"/>
    </xf>
    <xf numFmtId="9" fontId="6" fillId="0" borderId="0" xfId="143" applyFont="1" applyFill="1" applyAlignment="1" applyProtection="1">
      <alignment vertical="center"/>
    </xf>
    <xf numFmtId="208" fontId="49" fillId="0" borderId="0" xfId="143" applyNumberFormat="1" applyFont="1" applyFill="1" applyAlignment="1" applyProtection="1">
      <alignment vertical="center"/>
    </xf>
    <xf numFmtId="0" fontId="62" fillId="0" borderId="3" xfId="0" applyFont="1" applyBorder="1" applyAlignment="1" applyProtection="1">
      <alignment horizontal="left" vertical="center" wrapText="1"/>
    </xf>
    <xf numFmtId="0" fontId="65" fillId="0" borderId="0" xfId="0" applyFont="1" applyAlignment="1" applyProtection="1">
      <alignment horizontal="left" vertical="center" wrapText="1"/>
    </xf>
    <xf numFmtId="0" fontId="60" fillId="0" borderId="0" xfId="0" applyFont="1" applyAlignment="1" applyProtection="1">
      <alignment horizontal="center" vertical="center"/>
    </xf>
    <xf numFmtId="0" fontId="60" fillId="0" borderId="0" xfId="0" applyFont="1" applyAlignment="1" applyProtection="1">
      <alignment horizontal="left" vertical="center"/>
    </xf>
    <xf numFmtId="0" fontId="84" fillId="0" borderId="0" xfId="0" applyFont="1" applyFill="1" applyAlignment="1" applyProtection="1">
      <alignment vertical="center"/>
    </xf>
    <xf numFmtId="0" fontId="0" fillId="4" borderId="0" xfId="0" applyFont="1" applyFill="1" applyAlignment="1" applyProtection="1">
      <alignment vertical="center"/>
    </xf>
    <xf numFmtId="0" fontId="6" fillId="4" borderId="0" xfId="0" applyFont="1" applyFill="1" applyAlignment="1" applyProtection="1">
      <alignment vertical="center"/>
    </xf>
    <xf numFmtId="0" fontId="41" fillId="0" borderId="0" xfId="0" applyFont="1" applyFill="1" applyBorder="1" applyAlignment="1" applyProtection="1">
      <alignment horizontal="center" vertical="center"/>
    </xf>
    <xf numFmtId="206" fontId="41" fillId="0" borderId="0" xfId="0" applyNumberFormat="1" applyFont="1" applyFill="1" applyBorder="1" applyAlignment="1" applyProtection="1">
      <alignment vertical="center"/>
    </xf>
    <xf numFmtId="203" fontId="59" fillId="0" borderId="3" xfId="89" applyNumberFormat="1" applyFont="1" applyFill="1" applyBorder="1" applyAlignment="1" applyProtection="1">
      <alignment vertical="center"/>
    </xf>
    <xf numFmtId="0" fontId="66" fillId="0" borderId="0" xfId="0" applyFont="1" applyAlignment="1" applyProtection="1">
      <alignment vertical="top"/>
    </xf>
    <xf numFmtId="0" fontId="91" fillId="12" borderId="3" xfId="0" applyFont="1" applyFill="1" applyBorder="1" applyAlignment="1" applyProtection="1">
      <alignment vertical="center"/>
    </xf>
    <xf numFmtId="0" fontId="61" fillId="0" borderId="0" xfId="0" applyFont="1" applyAlignment="1" applyProtection="1">
      <alignment horizontal="left" vertical="center" wrapText="1"/>
    </xf>
    <xf numFmtId="0" fontId="70" fillId="0" borderId="0" xfId="0" applyFont="1" applyAlignment="1" applyProtection="1">
      <alignment horizontal="left" vertical="center" wrapText="1"/>
    </xf>
    <xf numFmtId="207" fontId="6" fillId="0" borderId="53" xfId="0" applyNumberFormat="1" applyFont="1" applyFill="1" applyBorder="1" applyAlignment="1" applyProtection="1">
      <alignment horizontal="center" vertical="center"/>
    </xf>
    <xf numFmtId="177" fontId="6" fillId="0" borderId="53" xfId="89" applyNumberFormat="1" applyFont="1" applyFill="1" applyBorder="1" applyAlignment="1" applyProtection="1">
      <alignment horizontal="center" vertical="center"/>
      <protection locked="0"/>
    </xf>
    <xf numFmtId="204" fontId="6" fillId="0" borderId="53" xfId="0" applyNumberFormat="1" applyFont="1" applyFill="1" applyBorder="1" applyAlignment="1" applyProtection="1">
      <alignment horizontal="center" vertical="center"/>
    </xf>
    <xf numFmtId="204" fontId="6" fillId="0" borderId="50" xfId="0" applyNumberFormat="1" applyFont="1" applyFill="1" applyBorder="1" applyAlignment="1" applyProtection="1">
      <alignment horizontal="center" vertical="center"/>
    </xf>
    <xf numFmtId="204" fontId="78" fillId="14" borderId="53" xfId="0" applyNumberFormat="1" applyFont="1" applyFill="1" applyBorder="1" applyAlignment="1" applyProtection="1">
      <alignment horizontal="center" vertical="center"/>
    </xf>
    <xf numFmtId="205" fontId="78" fillId="0" borderId="53" xfId="0" applyNumberFormat="1" applyFont="1" applyFill="1" applyBorder="1" applyAlignment="1" applyProtection="1">
      <alignment horizontal="center" vertical="center"/>
    </xf>
    <xf numFmtId="205" fontId="6" fillId="0" borderId="53" xfId="0" applyNumberFormat="1" applyFont="1" applyFill="1" applyBorder="1" applyAlignment="1" applyProtection="1">
      <alignment horizontal="center" vertical="center"/>
    </xf>
    <xf numFmtId="207" fontId="6" fillId="0" borderId="54" xfId="0" applyNumberFormat="1" applyFont="1" applyFill="1" applyBorder="1" applyAlignment="1" applyProtection="1">
      <alignment horizontal="center" vertical="center"/>
    </xf>
    <xf numFmtId="1" fontId="6" fillId="0" borderId="8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 vertical="center"/>
      <protection locked="0"/>
    </xf>
    <xf numFmtId="9" fontId="6" fillId="0" borderId="53" xfId="143" applyFont="1" applyFill="1" applyBorder="1" applyAlignment="1" applyProtection="1">
      <alignment horizontal="center" vertical="center"/>
      <protection locked="0"/>
    </xf>
    <xf numFmtId="0" fontId="59" fillId="0" borderId="3" xfId="114" applyFont="1" applyFill="1" applyBorder="1" applyAlignment="1" applyProtection="1">
      <alignment horizontal="left" vertical="center"/>
      <protection locked="0"/>
    </xf>
    <xf numFmtId="203" fontId="59" fillId="0" borderId="3" xfId="89" applyNumberFormat="1" applyFont="1" applyFill="1" applyBorder="1" applyAlignment="1" applyProtection="1">
      <alignment horizontal="center" vertical="center"/>
      <protection locked="0"/>
    </xf>
    <xf numFmtId="204" fontId="59" fillId="0" borderId="3" xfId="143" applyNumberFormat="1" applyFont="1" applyFill="1" applyBorder="1" applyAlignment="1" applyProtection="1">
      <alignment horizontal="center" vertical="center" wrapText="1"/>
      <protection locked="0"/>
    </xf>
    <xf numFmtId="0" fontId="59" fillId="0" borderId="3" xfId="114" applyFont="1" applyFill="1" applyBorder="1" applyAlignment="1" applyProtection="1">
      <alignment horizontal="center" vertical="center"/>
      <protection locked="0"/>
    </xf>
    <xf numFmtId="41" fontId="59" fillId="0" borderId="3" xfId="89" applyFont="1" applyFill="1" applyBorder="1" applyAlignment="1" applyProtection="1">
      <alignment vertical="center"/>
      <protection locked="0"/>
    </xf>
    <xf numFmtId="0" fontId="59" fillId="0" borderId="3" xfId="0" applyFont="1" applyFill="1" applyBorder="1" applyAlignment="1" applyProtection="1">
      <alignment horizontal="left" vertical="center"/>
      <protection locked="0"/>
    </xf>
    <xf numFmtId="0" fontId="73" fillId="0" borderId="3" xfId="113" applyFont="1" applyFill="1" applyBorder="1" applyAlignment="1" applyProtection="1">
      <alignment horizontal="left" vertical="top" wrapText="1"/>
      <protection locked="0"/>
    </xf>
    <xf numFmtId="0" fontId="59" fillId="0" borderId="3" xfId="113" applyFont="1" applyFill="1" applyBorder="1" applyAlignment="1" applyProtection="1">
      <alignment horizontal="left" vertical="top" wrapText="1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6" fillId="0" borderId="0" xfId="0" applyFont="1" applyFill="1" applyAlignment="1" applyProtection="1">
      <alignment vertical="center"/>
      <protection locked="0"/>
    </xf>
    <xf numFmtId="0" fontId="62" fillId="12" borderId="3" xfId="0" applyFont="1" applyFill="1" applyBorder="1" applyAlignment="1" applyProtection="1">
      <alignment horizontal="center" vertical="center" wrapText="1"/>
      <protection locked="0"/>
    </xf>
    <xf numFmtId="9" fontId="6" fillId="0" borderId="54" xfId="143" applyFont="1" applyFill="1" applyBorder="1" applyAlignment="1" applyProtection="1">
      <alignment horizontal="center" vertical="center"/>
      <protection locked="0"/>
    </xf>
    <xf numFmtId="0" fontId="91" fillId="13" borderId="65" xfId="0" applyFont="1" applyFill="1" applyBorder="1" applyAlignment="1" applyProtection="1">
      <alignment horizontal="center" vertical="center"/>
    </xf>
    <xf numFmtId="207" fontId="6" fillId="0" borderId="81" xfId="0" applyNumberFormat="1" applyFont="1" applyFill="1" applyBorder="1" applyAlignment="1" applyProtection="1">
      <alignment horizontal="center" vertical="center"/>
    </xf>
    <xf numFmtId="204" fontId="6" fillId="14" borderId="54" xfId="143" applyNumberFormat="1" applyFont="1" applyFill="1" applyBorder="1" applyAlignment="1" applyProtection="1">
      <alignment horizontal="center" vertical="center"/>
    </xf>
    <xf numFmtId="207" fontId="6" fillId="15" borderId="53" xfId="0" applyNumberFormat="1" applyFont="1" applyFill="1" applyBorder="1" applyAlignment="1" applyProtection="1">
      <alignment horizontal="center" vertical="center"/>
    </xf>
    <xf numFmtId="0" fontId="91" fillId="15" borderId="3" xfId="0" applyFont="1" applyFill="1" applyBorder="1" applyAlignment="1" applyProtection="1">
      <alignment horizontal="left" vertical="center"/>
    </xf>
    <xf numFmtId="0" fontId="42" fillId="0" borderId="0" xfId="129" applyFont="1" applyAlignment="1">
      <alignment horizontal="center" wrapText="1"/>
    </xf>
    <xf numFmtId="0" fontId="42" fillId="0" borderId="0" xfId="129" applyFont="1" applyAlignment="1">
      <alignment horizontal="center"/>
    </xf>
    <xf numFmtId="0" fontId="45" fillId="0" borderId="0" xfId="129" applyFont="1" applyAlignment="1">
      <alignment horizontal="center" wrapText="1"/>
    </xf>
    <xf numFmtId="0" fontId="38" fillId="0" borderId="0" xfId="129" applyFont="1" applyAlignment="1">
      <alignment horizontal="center"/>
    </xf>
    <xf numFmtId="0" fontId="39" fillId="0" borderId="0" xfId="129" applyFont="1" applyAlignment="1">
      <alignment horizontal="center"/>
    </xf>
    <xf numFmtId="0" fontId="46" fillId="0" borderId="0" xfId="129" applyFont="1" applyAlignment="1">
      <alignment horizontal="center"/>
    </xf>
    <xf numFmtId="0" fontId="40" fillId="0" borderId="0" xfId="129" applyFont="1" applyAlignment="1" applyProtection="1">
      <alignment horizontal="center"/>
      <protection locked="0"/>
    </xf>
    <xf numFmtId="0" fontId="38" fillId="0" borderId="0" xfId="129" applyFont="1" applyAlignment="1">
      <alignment horizontal="left" vertical="center" indent="15"/>
    </xf>
    <xf numFmtId="0" fontId="47" fillId="4" borderId="17" xfId="135" applyFont="1" applyFill="1" applyBorder="1" applyAlignment="1">
      <alignment horizontal="center" vertical="center" wrapText="1"/>
    </xf>
    <xf numFmtId="0" fontId="47" fillId="4" borderId="1" xfId="135" applyFont="1" applyFill="1" applyBorder="1" applyAlignment="1">
      <alignment horizontal="center" vertical="center" wrapText="1"/>
    </xf>
    <xf numFmtId="0" fontId="47" fillId="4" borderId="18" xfId="135" applyFont="1" applyFill="1" applyBorder="1" applyAlignment="1">
      <alignment horizontal="center" vertical="center" wrapText="1"/>
    </xf>
    <xf numFmtId="0" fontId="91" fillId="0" borderId="84" xfId="0" applyFont="1" applyFill="1" applyBorder="1" applyAlignment="1" applyProtection="1">
      <alignment horizontal="left" vertical="center"/>
    </xf>
    <xf numFmtId="0" fontId="91" fillId="0" borderId="3" xfId="0" applyFont="1" applyFill="1" applyBorder="1" applyAlignment="1" applyProtection="1">
      <alignment horizontal="left" vertical="center"/>
    </xf>
    <xf numFmtId="0" fontId="91" fillId="14" borderId="84" xfId="0" applyFont="1" applyFill="1" applyBorder="1" applyAlignment="1" applyProtection="1">
      <alignment horizontal="left" vertical="center"/>
    </xf>
    <xf numFmtId="0" fontId="91" fillId="14" borderId="3" xfId="0" applyFont="1" applyFill="1" applyBorder="1" applyAlignment="1" applyProtection="1">
      <alignment horizontal="left" vertical="center"/>
    </xf>
    <xf numFmtId="0" fontId="91" fillId="14" borderId="85" xfId="0" applyFont="1" applyFill="1" applyBorder="1" applyAlignment="1" applyProtection="1">
      <alignment horizontal="left" vertical="center"/>
    </xf>
    <xf numFmtId="0" fontId="91" fillId="14" borderId="86" xfId="0" applyFont="1" applyFill="1" applyBorder="1" applyAlignment="1" applyProtection="1">
      <alignment horizontal="left" vertical="center"/>
    </xf>
    <xf numFmtId="0" fontId="91" fillId="0" borderId="90" xfId="0" applyFont="1" applyFill="1" applyBorder="1" applyAlignment="1" applyProtection="1">
      <alignment horizontal="left" vertical="center"/>
    </xf>
    <xf numFmtId="0" fontId="91" fillId="0" borderId="8" xfId="0" applyFont="1" applyFill="1" applyBorder="1" applyAlignment="1" applyProtection="1">
      <alignment horizontal="left" vertical="center"/>
    </xf>
    <xf numFmtId="0" fontId="70" fillId="0" borderId="0" xfId="0" applyFont="1" applyAlignment="1" applyProtection="1">
      <alignment horizontal="left" vertical="center" wrapText="1"/>
    </xf>
    <xf numFmtId="0" fontId="91" fillId="12" borderId="51" xfId="0" applyFont="1" applyFill="1" applyBorder="1" applyAlignment="1" applyProtection="1">
      <alignment horizontal="left" vertical="center"/>
    </xf>
    <xf numFmtId="0" fontId="91" fillId="12" borderId="2" xfId="0" applyFont="1" applyFill="1" applyBorder="1" applyAlignment="1" applyProtection="1">
      <alignment horizontal="left" vertical="center"/>
    </xf>
    <xf numFmtId="0" fontId="91" fillId="12" borderId="52" xfId="0" applyFont="1" applyFill="1" applyBorder="1" applyAlignment="1" applyProtection="1">
      <alignment horizontal="left" vertical="center"/>
    </xf>
    <xf numFmtId="0" fontId="58" fillId="6" borderId="74" xfId="86" applyNumberFormat="1" applyFont="1" applyBorder="1" applyAlignment="1" applyProtection="1">
      <alignment horizontal="center" vertical="center" wrapText="1"/>
    </xf>
    <xf numFmtId="0" fontId="58" fillId="6" borderId="48" xfId="86" applyNumberFormat="1" applyFont="1" applyBorder="1" applyAlignment="1" applyProtection="1">
      <alignment horizontal="center" vertical="center" wrapText="1"/>
    </xf>
    <xf numFmtId="0" fontId="58" fillId="6" borderId="75" xfId="86" applyNumberFormat="1" applyFont="1" applyBorder="1" applyAlignment="1" applyProtection="1">
      <alignment horizontal="center" vertical="center" wrapText="1"/>
    </xf>
    <xf numFmtId="0" fontId="82" fillId="0" borderId="0" xfId="0" applyFont="1" applyAlignment="1" applyProtection="1">
      <alignment horizontal="left" vertical="center" wrapText="1"/>
    </xf>
    <xf numFmtId="0" fontId="91" fillId="13" borderId="17" xfId="0" applyFont="1" applyFill="1" applyBorder="1" applyAlignment="1" applyProtection="1">
      <alignment horizontal="center" vertical="center"/>
    </xf>
    <xf numFmtId="0" fontId="91" fillId="13" borderId="1" xfId="0" applyFont="1" applyFill="1" applyBorder="1" applyAlignment="1" applyProtection="1">
      <alignment horizontal="center" vertical="center"/>
    </xf>
    <xf numFmtId="0" fontId="91" fillId="12" borderId="79" xfId="0" applyFont="1" applyFill="1" applyBorder="1" applyAlignment="1" applyProtection="1">
      <alignment vertical="center"/>
    </xf>
    <xf numFmtId="0" fontId="91" fillId="12" borderId="80" xfId="0" applyFont="1" applyFill="1" applyBorder="1" applyAlignment="1" applyProtection="1">
      <alignment vertical="center"/>
    </xf>
    <xf numFmtId="0" fontId="91" fillId="12" borderId="78" xfId="0" applyFont="1" applyFill="1" applyBorder="1" applyAlignment="1" applyProtection="1">
      <alignment vertical="center"/>
    </xf>
    <xf numFmtId="0" fontId="91" fillId="12" borderId="66" xfId="0" applyFont="1" applyFill="1" applyBorder="1" applyAlignment="1" applyProtection="1">
      <alignment horizontal="left" vertical="center"/>
    </xf>
    <xf numFmtId="0" fontId="91" fillId="12" borderId="75" xfId="0" applyFont="1" applyFill="1" applyBorder="1" applyAlignment="1" applyProtection="1">
      <alignment horizontal="left" vertical="center"/>
    </xf>
    <xf numFmtId="0" fontId="91" fillId="12" borderId="12" xfId="0" applyFont="1" applyFill="1" applyBorder="1" applyAlignment="1" applyProtection="1">
      <alignment horizontal="left" vertical="center"/>
    </xf>
    <xf numFmtId="0" fontId="91" fillId="12" borderId="77" xfId="0" applyFont="1" applyFill="1" applyBorder="1" applyAlignment="1" applyProtection="1">
      <alignment horizontal="left" vertical="center"/>
    </xf>
    <xf numFmtId="0" fontId="91" fillId="12" borderId="79" xfId="0" applyFont="1" applyFill="1" applyBorder="1" applyAlignment="1" applyProtection="1">
      <alignment horizontal="left" vertical="center"/>
    </xf>
    <xf numFmtId="0" fontId="91" fillId="12" borderId="78" xfId="0" applyFont="1" applyFill="1" applyBorder="1" applyAlignment="1" applyProtection="1">
      <alignment horizontal="left" vertical="center"/>
    </xf>
    <xf numFmtId="0" fontId="91" fillId="12" borderId="87" xfId="0" applyFont="1" applyFill="1" applyBorder="1" applyAlignment="1" applyProtection="1">
      <alignment horizontal="left" vertical="center"/>
    </xf>
    <xf numFmtId="0" fontId="91" fillId="12" borderId="88" xfId="0" applyFont="1" applyFill="1" applyBorder="1" applyAlignment="1" applyProtection="1">
      <alignment horizontal="left" vertical="center"/>
    </xf>
    <xf numFmtId="0" fontId="91" fillId="12" borderId="89" xfId="0" applyFont="1" applyFill="1" applyBorder="1" applyAlignment="1" applyProtection="1">
      <alignment horizontal="left" vertical="center"/>
    </xf>
    <xf numFmtId="0" fontId="91" fillId="0" borderId="82" xfId="0" applyFont="1" applyFill="1" applyBorder="1" applyAlignment="1" applyProtection="1">
      <alignment horizontal="left" vertical="center"/>
    </xf>
    <xf numFmtId="0" fontId="91" fillId="0" borderId="83" xfId="0" applyFont="1" applyFill="1" applyBorder="1" applyAlignment="1" applyProtection="1">
      <alignment horizontal="left" vertical="center"/>
    </xf>
    <xf numFmtId="0" fontId="91" fillId="0" borderId="85" xfId="0" applyFont="1" applyFill="1" applyBorder="1" applyAlignment="1" applyProtection="1">
      <alignment horizontal="left" vertical="center"/>
    </xf>
    <xf numFmtId="0" fontId="91" fillId="0" borderId="86" xfId="0" applyFont="1" applyFill="1" applyBorder="1" applyAlignment="1" applyProtection="1">
      <alignment horizontal="left" vertical="center"/>
    </xf>
    <xf numFmtId="0" fontId="61" fillId="0" borderId="0" xfId="0" applyFont="1" applyAlignment="1" applyProtection="1">
      <alignment horizontal="left" vertical="center" wrapText="1"/>
    </xf>
    <xf numFmtId="0" fontId="58" fillId="11" borderId="3" xfId="86" applyNumberFormat="1" applyFont="1" applyFill="1" applyBorder="1" applyAlignment="1" applyProtection="1">
      <alignment horizontal="center" vertical="center" wrapText="1"/>
    </xf>
    <xf numFmtId="0" fontId="57" fillId="12" borderId="37" xfId="142" applyNumberFormat="1" applyFont="1" applyFill="1" applyBorder="1" applyAlignment="1" applyProtection="1">
      <alignment horizontal="center" vertical="center" wrapText="1"/>
    </xf>
    <xf numFmtId="0" fontId="57" fillId="12" borderId="29" xfId="142" applyNumberFormat="1" applyFont="1" applyFill="1" applyBorder="1" applyAlignment="1" applyProtection="1">
      <alignment horizontal="center" vertical="center" wrapText="1"/>
    </xf>
    <xf numFmtId="0" fontId="57" fillId="12" borderId="38" xfId="142" applyNumberFormat="1" applyFont="1" applyFill="1" applyBorder="1" applyAlignment="1" applyProtection="1">
      <alignment horizontal="center" vertical="center" wrapText="1"/>
    </xf>
    <xf numFmtId="0" fontId="82" fillId="0" borderId="0" xfId="0" quotePrefix="1" applyFont="1" applyAlignment="1" applyProtection="1">
      <alignment horizontal="left" vertical="top" wrapText="1"/>
    </xf>
    <xf numFmtId="0" fontId="82" fillId="0" borderId="0" xfId="0" applyFont="1" applyAlignment="1" applyProtection="1">
      <alignment horizontal="left" vertical="top" wrapText="1"/>
    </xf>
    <xf numFmtId="0" fontId="54" fillId="5" borderId="28" xfId="0" applyFont="1" applyFill="1" applyBorder="1" applyAlignment="1" applyProtection="1">
      <alignment horizontal="center" vertical="center"/>
    </xf>
    <xf numFmtId="0" fontId="54" fillId="5" borderId="48" xfId="0" applyFont="1" applyFill="1" applyBorder="1" applyAlignment="1" applyProtection="1">
      <alignment horizontal="center" vertical="center"/>
    </xf>
    <xf numFmtId="0" fontId="54" fillId="5" borderId="49" xfId="0" applyFont="1" applyFill="1" applyBorder="1" applyAlignment="1" applyProtection="1">
      <alignment horizontal="center" vertical="center"/>
    </xf>
    <xf numFmtId="49" fontId="54" fillId="0" borderId="36" xfId="137" applyNumberFormat="1" applyFont="1" applyFill="1" applyBorder="1" applyAlignment="1" applyProtection="1">
      <alignment horizontal="center" vertical="center" wrapText="1"/>
    </xf>
    <xf numFmtId="49" fontId="54" fillId="0" borderId="35" xfId="137" applyNumberFormat="1" applyFont="1" applyFill="1" applyBorder="1" applyAlignment="1" applyProtection="1">
      <alignment horizontal="center" vertical="center" wrapText="1"/>
    </xf>
    <xf numFmtId="0" fontId="45" fillId="5" borderId="25" xfId="136" quotePrefix="1" applyFont="1" applyFill="1" applyBorder="1" applyAlignment="1" applyProtection="1">
      <alignment horizontal="center" vertical="center"/>
      <protection locked="0"/>
    </xf>
    <xf numFmtId="0" fontId="45" fillId="5" borderId="26" xfId="136" applyFont="1" applyFill="1" applyBorder="1" applyAlignment="1" applyProtection="1">
      <alignment horizontal="center" vertical="center"/>
      <protection locked="0"/>
    </xf>
    <xf numFmtId="0" fontId="45" fillId="5" borderId="27" xfId="136" applyFont="1" applyFill="1" applyBorder="1" applyAlignment="1" applyProtection="1">
      <alignment horizontal="center" vertical="center"/>
      <protection locked="0"/>
    </xf>
    <xf numFmtId="49" fontId="54" fillId="10" borderId="69" xfId="137" applyNumberFormat="1" applyFont="1" applyFill="1" applyBorder="1" applyAlignment="1" applyProtection="1">
      <alignment horizontal="center" vertical="center" wrapText="1"/>
    </xf>
    <xf numFmtId="49" fontId="54" fillId="10" borderId="70" xfId="137" applyNumberFormat="1" applyFont="1" applyFill="1" applyBorder="1" applyAlignment="1" applyProtection="1">
      <alignment horizontal="center" vertical="center" wrapText="1"/>
    </xf>
    <xf numFmtId="49" fontId="54" fillId="10" borderId="71" xfId="137" applyNumberFormat="1" applyFont="1" applyFill="1" applyBorder="1" applyAlignment="1" applyProtection="1">
      <alignment horizontal="center" vertical="center" wrapText="1"/>
    </xf>
    <xf numFmtId="49" fontId="54" fillId="0" borderId="19" xfId="137" applyNumberFormat="1" applyFont="1" applyFill="1" applyBorder="1" applyAlignment="1" applyProtection="1">
      <alignment horizontal="center" vertical="center" wrapText="1"/>
    </xf>
    <xf numFmtId="49" fontId="54" fillId="0" borderId="20" xfId="137" applyNumberFormat="1" applyFont="1" applyFill="1" applyBorder="1" applyAlignment="1" applyProtection="1">
      <alignment horizontal="center" vertical="center" wrapText="1"/>
    </xf>
    <xf numFmtId="49" fontId="54" fillId="0" borderId="40" xfId="137" applyNumberFormat="1" applyFont="1" applyBorder="1" applyAlignment="1" applyProtection="1">
      <alignment horizontal="center" vertical="center" wrapText="1"/>
    </xf>
    <xf numFmtId="49" fontId="54" fillId="0" borderId="41" xfId="137" applyNumberFormat="1" applyFont="1" applyBorder="1" applyAlignment="1" applyProtection="1">
      <alignment horizontal="center" vertical="center" wrapText="1"/>
    </xf>
    <xf numFmtId="49" fontId="54" fillId="0" borderId="42" xfId="137" applyNumberFormat="1" applyFont="1" applyBorder="1" applyAlignment="1" applyProtection="1">
      <alignment horizontal="center" vertical="center" wrapText="1"/>
    </xf>
    <xf numFmtId="49" fontId="54" fillId="0" borderId="45" xfId="137" applyNumberFormat="1" applyFont="1" applyFill="1" applyBorder="1" applyAlignment="1" applyProtection="1">
      <alignment horizontal="center" vertical="center" wrapText="1"/>
    </xf>
    <xf numFmtId="49" fontId="54" fillId="0" borderId="46" xfId="137" applyNumberFormat="1" applyFont="1" applyFill="1" applyBorder="1" applyAlignment="1" applyProtection="1">
      <alignment horizontal="center" vertical="center" wrapText="1"/>
    </xf>
    <xf numFmtId="49" fontId="54" fillId="0" borderId="43" xfId="137" applyNumberFormat="1" applyFont="1" applyBorder="1" applyAlignment="1" applyProtection="1">
      <alignment horizontal="center" vertical="center" wrapText="1"/>
    </xf>
    <xf numFmtId="49" fontId="54" fillId="0" borderId="44" xfId="137" applyNumberFormat="1" applyFont="1" applyBorder="1" applyAlignment="1" applyProtection="1">
      <alignment horizontal="center" vertical="center" wrapText="1"/>
    </xf>
    <xf numFmtId="49" fontId="54" fillId="0" borderId="31" xfId="137" applyNumberFormat="1" applyFont="1" applyBorder="1" applyAlignment="1" applyProtection="1">
      <alignment horizontal="center" vertical="center" wrapText="1"/>
    </xf>
    <xf numFmtId="49" fontId="54" fillId="0" borderId="47" xfId="137" applyNumberFormat="1" applyFont="1" applyBorder="1" applyAlignment="1" applyProtection="1">
      <alignment horizontal="center" vertical="center" wrapText="1"/>
    </xf>
    <xf numFmtId="49" fontId="54" fillId="0" borderId="12" xfId="137" applyNumberFormat="1" applyFont="1" applyBorder="1" applyAlignment="1" applyProtection="1">
      <alignment horizontal="center" vertical="center" wrapText="1"/>
    </xf>
    <xf numFmtId="0" fontId="83" fillId="0" borderId="56" xfId="0" applyFont="1" applyBorder="1" applyAlignment="1">
      <alignment horizontal="left" vertical="center" wrapText="1"/>
    </xf>
    <xf numFmtId="0" fontId="83" fillId="0" borderId="57" xfId="0" applyFont="1" applyBorder="1" applyAlignment="1">
      <alignment horizontal="left" vertical="center" wrapText="1"/>
    </xf>
    <xf numFmtId="0" fontId="83" fillId="0" borderId="65" xfId="0" applyFont="1" applyBorder="1" applyAlignment="1">
      <alignment horizontal="left" vertical="center" wrapText="1"/>
    </xf>
    <xf numFmtId="0" fontId="82" fillId="0" borderId="17" xfId="0" applyFont="1" applyBorder="1" applyAlignment="1">
      <alignment horizontal="left" vertical="center"/>
    </xf>
    <xf numFmtId="0" fontId="82" fillId="0" borderId="1" xfId="0" applyFont="1" applyBorder="1" applyAlignment="1">
      <alignment horizontal="left" vertical="center"/>
    </xf>
    <xf numFmtId="0" fontId="82" fillId="0" borderId="18" xfId="0" applyFont="1" applyBorder="1" applyAlignment="1">
      <alignment horizontal="left" vertical="center"/>
    </xf>
    <xf numFmtId="0" fontId="83" fillId="0" borderId="17" xfId="0" applyFont="1" applyBorder="1" applyAlignment="1">
      <alignment horizontal="left" vertical="center" wrapText="1"/>
    </xf>
    <xf numFmtId="0" fontId="83" fillId="0" borderId="1" xfId="0" applyFont="1" applyBorder="1" applyAlignment="1">
      <alignment horizontal="left" vertical="center"/>
    </xf>
    <xf numFmtId="0" fontId="83" fillId="0" borderId="18" xfId="0" applyFont="1" applyBorder="1" applyAlignment="1">
      <alignment horizontal="left" vertical="center"/>
    </xf>
    <xf numFmtId="210" fontId="4" fillId="0" borderId="21" xfId="136" applyNumberFormat="1" applyFont="1" applyBorder="1" applyAlignment="1">
      <alignment horizontal="center" vertical="center" wrapText="1"/>
    </xf>
    <xf numFmtId="210" fontId="4" fillId="0" borderId="20" xfId="136" applyNumberFormat="1" applyFont="1" applyBorder="1" applyAlignment="1">
      <alignment horizontal="center" vertical="center" wrapText="1"/>
    </xf>
    <xf numFmtId="210" fontId="4" fillId="0" borderId="19" xfId="136" applyNumberFormat="1" applyFont="1" applyBorder="1" applyAlignment="1">
      <alignment horizontal="center" vertical="center" wrapText="1"/>
    </xf>
    <xf numFmtId="210" fontId="4" fillId="0" borderId="14" xfId="136" applyNumberFormat="1" applyFont="1" applyBorder="1" applyAlignment="1">
      <alignment horizontal="center" vertical="center" wrapText="1"/>
    </xf>
    <xf numFmtId="210" fontId="4" fillId="0" borderId="55" xfId="136" applyNumberFormat="1" applyFont="1" applyBorder="1" applyAlignment="1">
      <alignment horizontal="center" vertical="center" wrapText="1"/>
    </xf>
    <xf numFmtId="210" fontId="4" fillId="0" borderId="47" xfId="136" applyNumberFormat="1" applyFont="1" applyBorder="1" applyAlignment="1">
      <alignment horizontal="center" vertical="center" wrapText="1"/>
    </xf>
    <xf numFmtId="210" fontId="4" fillId="0" borderId="63" xfId="136" applyNumberFormat="1" applyFont="1" applyBorder="1" applyAlignment="1">
      <alignment horizontal="center" vertical="center" wrapText="1"/>
    </xf>
    <xf numFmtId="210" fontId="4" fillId="0" borderId="64" xfId="136" applyNumberFormat="1" applyFont="1" applyBorder="1" applyAlignment="1">
      <alignment horizontal="center" vertical="center" wrapText="1"/>
    </xf>
    <xf numFmtId="210" fontId="4" fillId="0" borderId="32" xfId="136" applyNumberFormat="1" applyFont="1" applyBorder="1" applyAlignment="1">
      <alignment horizontal="center" vertical="center" wrapText="1"/>
    </xf>
    <xf numFmtId="210" fontId="4" fillId="0" borderId="62" xfId="136" applyNumberFormat="1" applyFont="1" applyBorder="1" applyAlignment="1">
      <alignment horizontal="center" vertical="center" wrapText="1"/>
    </xf>
    <xf numFmtId="0" fontId="4" fillId="0" borderId="59" xfId="136" applyFont="1" applyFill="1" applyBorder="1" applyAlignment="1">
      <alignment horizontal="center" vertical="center" wrapText="1"/>
    </xf>
    <xf numFmtId="0" fontId="4" fillId="0" borderId="58" xfId="136" applyFont="1" applyFill="1" applyBorder="1" applyAlignment="1">
      <alignment horizontal="center" vertical="center"/>
    </xf>
    <xf numFmtId="0" fontId="4" fillId="0" borderId="29" xfId="136" applyFont="1" applyFill="1" applyBorder="1" applyAlignment="1">
      <alignment horizontal="center" vertical="center" wrapText="1"/>
    </xf>
    <xf numFmtId="0" fontId="4" fillId="0" borderId="60" xfId="136" applyFont="1" applyFill="1" applyBorder="1" applyAlignment="1">
      <alignment horizontal="center" vertical="center"/>
    </xf>
    <xf numFmtId="0" fontId="4" fillId="0" borderId="67" xfId="136" applyFont="1" applyFill="1" applyBorder="1" applyAlignment="1">
      <alignment horizontal="center" vertical="center"/>
    </xf>
    <xf numFmtId="0" fontId="4" fillId="0" borderId="49" xfId="136" applyFont="1" applyFill="1" applyBorder="1" applyAlignment="1">
      <alignment horizontal="center" vertical="center"/>
    </xf>
    <xf numFmtId="0" fontId="4" fillId="0" borderId="48" xfId="136" applyFont="1" applyFill="1" applyBorder="1" applyAlignment="1">
      <alignment horizontal="center" vertical="center"/>
    </xf>
    <xf numFmtId="0" fontId="4" fillId="0" borderId="68" xfId="136" applyFont="1" applyFill="1" applyBorder="1" applyAlignment="1">
      <alignment horizontal="center" vertical="center"/>
    </xf>
    <xf numFmtId="0" fontId="85" fillId="5" borderId="28" xfId="136" applyFont="1" applyFill="1" applyBorder="1" applyAlignment="1">
      <alignment horizontal="center" vertical="center" wrapText="1"/>
    </xf>
    <xf numFmtId="0" fontId="85" fillId="5" borderId="58" xfId="136" applyFont="1" applyFill="1" applyBorder="1" applyAlignment="1">
      <alignment horizontal="center" vertical="center"/>
    </xf>
    <xf numFmtId="0" fontId="85" fillId="5" borderId="59" xfId="136" applyFont="1" applyFill="1" applyBorder="1" applyAlignment="1">
      <alignment horizontal="center" vertical="center"/>
    </xf>
    <xf numFmtId="0" fontId="85" fillId="5" borderId="29" xfId="136" applyFont="1" applyFill="1" applyBorder="1" applyAlignment="1">
      <alignment horizontal="center" vertical="center"/>
    </xf>
    <xf numFmtId="0" fontId="85" fillId="5" borderId="60" xfId="136" applyFont="1" applyFill="1" applyBorder="1" applyAlignment="1">
      <alignment horizontal="center" vertical="center"/>
    </xf>
    <xf numFmtId="209" fontId="4" fillId="0" borderId="21" xfId="136" applyNumberFormat="1" applyFont="1" applyBorder="1" applyAlignment="1">
      <alignment horizontal="center" vertical="center" wrapText="1"/>
    </xf>
    <xf numFmtId="209" fontId="4" fillId="0" borderId="20" xfId="136" applyNumberFormat="1" applyFont="1" applyBorder="1" applyAlignment="1">
      <alignment horizontal="center" vertical="center" wrapText="1"/>
    </xf>
    <xf numFmtId="209" fontId="4" fillId="0" borderId="47" xfId="136" applyNumberFormat="1" applyFont="1" applyBorder="1" applyAlignment="1">
      <alignment horizontal="center" vertical="center" wrapText="1"/>
    </xf>
    <xf numFmtId="209" fontId="4" fillId="0" borderId="63" xfId="136" applyNumberFormat="1" applyFont="1" applyBorder="1" applyAlignment="1">
      <alignment horizontal="center" vertical="center" wrapText="1"/>
    </xf>
    <xf numFmtId="0" fontId="59" fillId="0" borderId="3" xfId="114" applyFont="1" applyFill="1" applyBorder="1" applyAlignment="1" applyProtection="1">
      <alignment vertical="center"/>
      <protection locked="0"/>
    </xf>
    <xf numFmtId="0" fontId="59" fillId="0" borderId="3" xfId="0" applyFont="1" applyFill="1" applyBorder="1" applyAlignment="1" applyProtection="1">
      <alignment vertical="center"/>
      <protection locked="0"/>
    </xf>
    <xf numFmtId="0" fontId="73" fillId="0" borderId="3" xfId="113" applyFont="1" applyFill="1" applyBorder="1" applyAlignment="1" applyProtection="1">
      <alignment vertical="top" wrapText="1"/>
      <protection locked="0"/>
    </xf>
    <xf numFmtId="41" fontId="59" fillId="0" borderId="3" xfId="89" applyFont="1" applyFill="1" applyBorder="1" applyAlignment="1" applyProtection="1">
      <alignment horizontal="center" vertical="center"/>
      <protection locked="0"/>
    </xf>
  </cellXfs>
  <cellStyles count="146">
    <cellStyle name="$" xfId="1"/>
    <cellStyle name="$_db진흥" xfId="2"/>
    <cellStyle name="$_SE40" xfId="3"/>
    <cellStyle name="$_견적2" xfId="4"/>
    <cellStyle name="$_기아" xfId="5"/>
    <cellStyle name="??&amp;O?&amp;H?_x0008__x000f__x0007_?_x0007__x0001__x0001_" xfId="6"/>
    <cellStyle name="??&amp;O?&amp;H?_x0008_??_x0007__x0001__x0001_" xfId="7"/>
    <cellStyle name="_02년1차(수정)" xfId="8"/>
    <cellStyle name="_MM" xfId="9"/>
    <cellStyle name="_개요" xfId="10"/>
    <cellStyle name="_고무방충재" xfId="11"/>
    <cellStyle name="_공통" xfId="12"/>
    <cellStyle name="_공통_MM" xfId="13"/>
    <cellStyle name="_공통_외교통상정보화 4단계 구축_2.0_장비" xfId="14"/>
    <cellStyle name="_기본형" xfId="15"/>
    <cellStyle name="_디아모_한국전산원_Listprice" xfId="16"/>
    <cellStyle name="_외교통상정보화 4단계 구축_2.0_장비" xfId="17"/>
    <cellStyle name="_요약" xfId="18"/>
    <cellStyle name="_파주 GIS 시스템설계서(도로,상,하수 시스템)_050406" xfId="19"/>
    <cellStyle name="_파주시_도로 및 상,하수 범용 도입_050314" xfId="20"/>
    <cellStyle name="¤@?e_TEST-1 " xfId="21"/>
    <cellStyle name="A¨­￠￢￠O [0]_INQUIRY ￠?￥i¨u¡AAⓒ￢Aⓒª " xfId="22"/>
    <cellStyle name="A¨­￠￢￠O_INQUIRY ￠?￥i¨u¡AAⓒ￢Aⓒª " xfId="23"/>
    <cellStyle name="AeE­ [0]_AMT " xfId="24"/>
    <cellStyle name="AeE­_AMT " xfId="25"/>
    <cellStyle name="AeE¡ⓒ [0]_INQUIRY ￠?￥i¨u¡AAⓒ￢Aⓒª " xfId="26"/>
    <cellStyle name="AeE¡ⓒ_INQUIRY ￠?￥i¨u¡AAⓒ￢Aⓒª " xfId="27"/>
    <cellStyle name="ALIGNMENT" xfId="28"/>
    <cellStyle name="AÞ¸¶ [0]_AN°y(1.25) " xfId="29"/>
    <cellStyle name="AÞ¸¶_AN°y(1.25) " xfId="30"/>
    <cellStyle name="C¡IA¨ª_¡ic¨u¡A¨￢I¨￢¡Æ AN¡Æe " xfId="31"/>
    <cellStyle name="C￥AØ_¿μ¾÷CoE² " xfId="32"/>
    <cellStyle name="Calc Currency (0)" xfId="33"/>
    <cellStyle name="category" xfId="34"/>
    <cellStyle name="Comma" xfId="35"/>
    <cellStyle name="Comma [0]" xfId="36"/>
    <cellStyle name="comma zerodec" xfId="37"/>
    <cellStyle name="Comma_ SG&amp;A Bridge " xfId="38"/>
    <cellStyle name="Comma0" xfId="39"/>
    <cellStyle name="Curren?_x0012_퐀_x0017_?" xfId="40"/>
    <cellStyle name="Currency" xfId="41"/>
    <cellStyle name="Currency [0]" xfId="42"/>
    <cellStyle name="Currency_ SG&amp;A Bridge " xfId="43"/>
    <cellStyle name="Currency0" xfId="44"/>
    <cellStyle name="Currency1" xfId="45"/>
    <cellStyle name="Date" xfId="46"/>
    <cellStyle name="Dezimal [0]_laroux" xfId="47"/>
    <cellStyle name="Dezimal_laroux" xfId="48"/>
    <cellStyle name="Dollar (zero dec)" xfId="49"/>
    <cellStyle name="Fixed" xfId="50"/>
    <cellStyle name="Grey" xfId="51"/>
    <cellStyle name="HEADER" xfId="52"/>
    <cellStyle name="Header1" xfId="53"/>
    <cellStyle name="Header2" xfId="54"/>
    <cellStyle name="Heading 1" xfId="55"/>
    <cellStyle name="Heading 2" xfId="56"/>
    <cellStyle name="Heading1" xfId="57"/>
    <cellStyle name="Heading2" xfId="58"/>
    <cellStyle name="Input [yellow]" xfId="59"/>
    <cellStyle name="jin" xfId="60"/>
    <cellStyle name="Milliers [0]_Arabian Spec" xfId="61"/>
    <cellStyle name="Milliers_Arabian Spec" xfId="62"/>
    <cellStyle name="Model" xfId="63"/>
    <cellStyle name="Mon?aire [0]_Arabian Spec" xfId="64"/>
    <cellStyle name="Mon?aire_Arabian Spec" xfId="65"/>
    <cellStyle name="Normal - Style1" xfId="66"/>
    <cellStyle name="Normal_ SG&amp;A Bridge " xfId="67"/>
    <cellStyle name="Percent" xfId="68"/>
    <cellStyle name="Percent [2]" xfId="69"/>
    <cellStyle name="Standard_laroux" xfId="70"/>
    <cellStyle name="subhead" xfId="71"/>
    <cellStyle name="Total" xfId="72"/>
    <cellStyle name="W?rung [0]_laroux" xfId="73"/>
    <cellStyle name="W?rung_laroux" xfId="74"/>
    <cellStyle name="고정소숫점" xfId="75"/>
    <cellStyle name="고정출력1" xfId="76"/>
    <cellStyle name="고정출력2" xfId="77"/>
    <cellStyle name="날짜" xfId="78"/>
    <cellStyle name="달러" xfId="79"/>
    <cellStyle name="뒤에 오는 하이퍼링크_관급전기" xfId="80"/>
    <cellStyle name="똿뗦먛귟 [0.00]_PRODUCT DETAIL Q1" xfId="81"/>
    <cellStyle name="똿뗦먛귟_PRODUCT DETAIL Q1" xfId="82"/>
    <cellStyle name="믅됞 [0.00]_PRODUCT DETAIL Q1" xfId="83"/>
    <cellStyle name="믅됞_PRODUCT DETAIL Q1" xfId="84"/>
    <cellStyle name="백분율" xfId="143" builtinId="5"/>
    <cellStyle name="백분율 2" xfId="85"/>
    <cellStyle name="백분율 3" xfId="144"/>
    <cellStyle name="보통" xfId="86" builtinId="28"/>
    <cellStyle name="뷭?_BOOKSHIP" xfId="87"/>
    <cellStyle name="숫자(R)" xfId="88"/>
    <cellStyle name="쉼표 [0]" xfId="89" builtinId="6"/>
    <cellStyle name="쉼표 [0] 2" xfId="90"/>
    <cellStyle name="쉼표 [0] 2 2" xfId="91"/>
    <cellStyle name="쉼표 [0] 3" xfId="92"/>
    <cellStyle name="쉼표 [0] 4" xfId="93"/>
    <cellStyle name="쉼표 [0] 5" xfId="94"/>
    <cellStyle name="쉼표 [0] 6" xfId="145"/>
    <cellStyle name="스타일 1" xfId="95"/>
    <cellStyle name="스타일 2" xfId="96"/>
    <cellStyle name="안건회계법인" xfId="97"/>
    <cellStyle name="원" xfId="98"/>
    <cellStyle name="자리수" xfId="99"/>
    <cellStyle name="자리수0" xfId="100"/>
    <cellStyle name="제목[1 줄]" xfId="101"/>
    <cellStyle name="제목[2줄 아래]" xfId="102"/>
    <cellStyle name="제목[2줄 위]" xfId="103"/>
    <cellStyle name="제목1" xfId="104"/>
    <cellStyle name="좋음 2" xfId="105"/>
    <cellStyle name="좋음 3" xfId="106"/>
    <cellStyle name="좋음 4" xfId="107"/>
    <cellStyle name="지정되지 않음" xfId="108"/>
    <cellStyle name="콤마 [0]_  종  합  " xfId="109"/>
    <cellStyle name="콤마_  종  합  " xfId="110"/>
    <cellStyle name="퍼센트" xfId="111"/>
    <cellStyle name="표준" xfId="0" builtinId="0" customBuiltin="1"/>
    <cellStyle name="표준 10 2" xfId="112"/>
    <cellStyle name="표준 2" xfId="113"/>
    <cellStyle name="표준 2 2" xfId="114"/>
    <cellStyle name="표준 2 2 2" xfId="115"/>
    <cellStyle name="표준 2 2 2 2" xfId="116"/>
    <cellStyle name="표준 2 2 2 2 2" xfId="117"/>
    <cellStyle name="표준 2 2 2 2 2 2" xfId="118"/>
    <cellStyle name="표준 2 2 2 2 2 2 2" xfId="119"/>
    <cellStyle name="표준 2 2 2 2 3" xfId="120"/>
    <cellStyle name="표준 2 2 2 3" xfId="121"/>
    <cellStyle name="표준 2 2 2 3 2" xfId="122"/>
    <cellStyle name="표준 2 2 3" xfId="123"/>
    <cellStyle name="표준 2 2 3 2" xfId="124"/>
    <cellStyle name="표준 2 2 3 2 2" xfId="125"/>
    <cellStyle name="표준 2 2 4" xfId="126"/>
    <cellStyle name="표준 2 3" xfId="127"/>
    <cellStyle name="표준 2 4" xfId="128"/>
    <cellStyle name="표준 2_OP-PCM-TMP-E001-V1.1_규모산정(템플릿)" xfId="129"/>
    <cellStyle name="표준 3" xfId="130"/>
    <cellStyle name="표준 3 2" xfId="131"/>
    <cellStyle name="표준 3 3" xfId="132"/>
    <cellStyle name="표준 4 2" xfId="133"/>
    <cellStyle name="표준 9 2" xfId="134"/>
    <cellStyle name="표준_PMO-DM-TL-061228(XLS보고서표준템플릿)_V1(1).0" xfId="135"/>
    <cellStyle name="표준_가격제안서(기상DB구축)_050331" xfId="142"/>
    <cellStyle name="표준_국민참여_가격제안서_050601" xfId="136"/>
    <cellStyle name="표준_업무기능목록(박찬희)" xfId="137"/>
    <cellStyle name="합계" xfId="138"/>
    <cellStyle name="합산" xfId="139"/>
    <cellStyle name="화폐기호" xfId="140"/>
    <cellStyle name="화폐기호0" xfId="141"/>
  </cellStyles>
  <dxfs count="666"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FFFF66"/>
      <color rgb="FFFFCC00"/>
      <color rgb="FFFFCC99"/>
      <color rgb="FFFFFF99"/>
      <color rgb="FFFFCC66"/>
      <color rgb="FF000066"/>
      <color rgb="FFDDDDDD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6"/>
  <sheetViews>
    <sheetView showGridLines="0" zoomScaleNormal="100" workbookViewId="0">
      <selection activeCell="A10" sqref="A10"/>
    </sheetView>
  </sheetViews>
  <sheetFormatPr defaultColWidth="10" defaultRowHeight="12"/>
  <cols>
    <col min="1" max="1" width="10" style="3" customWidth="1"/>
    <col min="2" max="2" width="10.625" style="13" customWidth="1"/>
    <col min="3" max="3" width="7.5" style="3" customWidth="1"/>
    <col min="4" max="16384" width="10" style="3"/>
  </cols>
  <sheetData>
    <row r="1" spans="1:10" ht="13.5">
      <c r="A1" s="1"/>
      <c r="B1" s="2"/>
      <c r="C1" s="1"/>
      <c r="D1" s="1"/>
      <c r="E1" s="1"/>
      <c r="F1" s="1"/>
      <c r="G1" s="1"/>
      <c r="H1" s="1"/>
      <c r="I1" s="1"/>
      <c r="J1" s="1"/>
    </row>
    <row r="2" spans="1:10" ht="13.5">
      <c r="A2" s="1"/>
      <c r="B2" s="2"/>
      <c r="C2" s="1"/>
      <c r="D2" s="1"/>
      <c r="E2" s="1"/>
      <c r="F2" s="1"/>
      <c r="G2" s="1"/>
      <c r="H2" s="1"/>
      <c r="I2" s="1"/>
      <c r="J2" s="1"/>
    </row>
    <row r="3" spans="1:10" ht="13.5">
      <c r="A3" s="1"/>
      <c r="B3" s="2"/>
      <c r="C3" s="1"/>
      <c r="D3" s="1"/>
      <c r="E3" s="1"/>
      <c r="F3" s="1"/>
      <c r="G3" s="1"/>
      <c r="H3" s="1"/>
      <c r="I3" s="1"/>
      <c r="J3" s="1"/>
    </row>
    <row r="4" spans="1:10" ht="13.5">
      <c r="A4" s="1"/>
      <c r="B4" s="2"/>
      <c r="C4" s="1"/>
      <c r="D4" s="1"/>
      <c r="E4" s="1"/>
      <c r="F4" s="1"/>
      <c r="G4" s="1"/>
      <c r="H4" s="1"/>
      <c r="I4" s="1"/>
      <c r="J4" s="1"/>
    </row>
    <row r="5" spans="1:10" ht="16.5">
      <c r="A5" s="1"/>
      <c r="B5" s="2"/>
      <c r="C5" s="4"/>
      <c r="D5" s="1"/>
      <c r="E5" s="1"/>
      <c r="F5" s="1"/>
      <c r="G5" s="1"/>
      <c r="H5" s="1"/>
      <c r="I5" s="1"/>
      <c r="J5" s="1"/>
    </row>
    <row r="6" spans="1:10" ht="13.5">
      <c r="A6" s="1"/>
      <c r="B6" s="2"/>
      <c r="C6" s="1"/>
      <c r="D6" s="1"/>
      <c r="E6" s="1"/>
      <c r="F6" s="1"/>
      <c r="G6" s="1"/>
      <c r="H6" s="1"/>
      <c r="I6" s="1"/>
      <c r="J6" s="1"/>
    </row>
    <row r="7" spans="1:10" ht="13.5">
      <c r="A7" s="1"/>
      <c r="B7" s="2"/>
      <c r="C7" s="1"/>
      <c r="D7" s="1"/>
      <c r="E7" s="1"/>
      <c r="F7" s="1"/>
      <c r="G7" s="1"/>
      <c r="H7" s="1"/>
      <c r="I7" s="1"/>
      <c r="J7" s="1"/>
    </row>
    <row r="8" spans="1:10" ht="38.25">
      <c r="A8" s="174" t="s">
        <v>41</v>
      </c>
      <c r="B8" s="174"/>
      <c r="C8" s="174"/>
      <c r="D8" s="174"/>
      <c r="E8" s="174"/>
      <c r="F8" s="174"/>
      <c r="G8" s="174"/>
      <c r="H8" s="174"/>
      <c r="I8" s="174"/>
      <c r="J8" s="1"/>
    </row>
    <row r="9" spans="1:10" ht="37.5" customHeight="1">
      <c r="A9" s="175" t="s">
        <v>158</v>
      </c>
      <c r="B9" s="175"/>
      <c r="C9" s="175"/>
      <c r="D9" s="175"/>
      <c r="E9" s="175"/>
      <c r="F9" s="175"/>
      <c r="G9" s="175"/>
      <c r="H9" s="175"/>
      <c r="I9" s="175"/>
      <c r="J9" s="1"/>
    </row>
    <row r="10" spans="1:10" ht="13.5" customHeight="1">
      <c r="A10" s="1"/>
      <c r="B10" s="2"/>
      <c r="C10" s="1"/>
      <c r="D10" s="5"/>
      <c r="E10" s="1"/>
      <c r="F10" s="1"/>
      <c r="G10" s="1"/>
      <c r="H10" s="1"/>
      <c r="I10" s="1"/>
      <c r="J10" s="1"/>
    </row>
    <row r="11" spans="1:10" ht="13.5" customHeight="1">
      <c r="A11" s="1"/>
      <c r="B11" s="2"/>
      <c r="C11" s="1"/>
      <c r="D11" s="6"/>
      <c r="E11" s="1"/>
      <c r="F11" s="1"/>
      <c r="G11" s="1"/>
      <c r="H11" s="1"/>
      <c r="I11" s="1"/>
      <c r="J11" s="1"/>
    </row>
    <row r="12" spans="1:10" ht="13.5" customHeight="1">
      <c r="A12" s="1"/>
      <c r="B12" s="2"/>
      <c r="C12" s="1"/>
      <c r="D12" s="6"/>
      <c r="E12" s="1"/>
      <c r="F12" s="1"/>
      <c r="G12" s="1"/>
      <c r="H12" s="1"/>
      <c r="I12" s="1"/>
      <c r="J12" s="1"/>
    </row>
    <row r="13" spans="1:10" ht="13.5" customHeight="1">
      <c r="A13" s="1"/>
      <c r="B13" s="2"/>
      <c r="C13" s="1"/>
      <c r="D13" s="6"/>
      <c r="E13" s="1"/>
      <c r="F13" s="1"/>
      <c r="G13" s="1"/>
      <c r="H13" s="1"/>
      <c r="I13" s="1"/>
      <c r="J13" s="1"/>
    </row>
    <row r="14" spans="1:10" ht="13.5" customHeight="1">
      <c r="A14" s="1"/>
      <c r="B14" s="2"/>
      <c r="C14" s="1"/>
      <c r="D14" s="6"/>
      <c r="E14" s="1"/>
      <c r="F14" s="1"/>
      <c r="G14" s="1"/>
      <c r="H14" s="1"/>
      <c r="I14" s="1"/>
      <c r="J14" s="1"/>
    </row>
    <row r="15" spans="1:10" ht="13.5" customHeight="1">
      <c r="A15" s="1"/>
      <c r="B15" s="2"/>
      <c r="C15" s="1"/>
      <c r="D15" s="6"/>
      <c r="E15" s="1"/>
      <c r="F15" s="1"/>
      <c r="G15" s="1"/>
      <c r="H15" s="1"/>
      <c r="I15" s="1"/>
      <c r="J15" s="1"/>
    </row>
    <row r="16" spans="1:10" ht="13.5" customHeight="1">
      <c r="A16" s="1"/>
      <c r="B16" s="2"/>
      <c r="C16" s="1"/>
      <c r="D16" s="6"/>
      <c r="E16" s="1"/>
      <c r="F16" s="1"/>
      <c r="G16" s="1"/>
      <c r="H16" s="1"/>
      <c r="I16" s="1"/>
      <c r="J16" s="1"/>
    </row>
    <row r="17" spans="1:10" ht="13.5" customHeight="1">
      <c r="A17" s="1"/>
      <c r="B17" s="2"/>
      <c r="C17" s="1"/>
      <c r="D17" s="6"/>
      <c r="E17" s="1"/>
      <c r="F17" s="1"/>
      <c r="G17" s="1"/>
      <c r="H17" s="1"/>
      <c r="I17" s="1"/>
      <c r="J17" s="1"/>
    </row>
    <row r="18" spans="1:10" ht="13.5" customHeight="1">
      <c r="A18" s="1"/>
      <c r="B18" s="2"/>
      <c r="C18" s="1"/>
      <c r="D18" s="6"/>
      <c r="E18" s="1"/>
      <c r="F18" s="1"/>
      <c r="G18" s="1"/>
      <c r="H18" s="1"/>
      <c r="I18" s="1"/>
      <c r="J18" s="1"/>
    </row>
    <row r="19" spans="1:10" ht="13.5" customHeight="1">
      <c r="A19" s="1"/>
      <c r="B19" s="2"/>
      <c r="C19" s="1"/>
      <c r="D19" s="6"/>
      <c r="E19" s="1"/>
      <c r="F19" s="1"/>
      <c r="G19" s="1"/>
      <c r="H19" s="1"/>
      <c r="I19" s="1"/>
      <c r="J19" s="1"/>
    </row>
    <row r="20" spans="1:10" ht="13.5" customHeight="1">
      <c r="A20" s="176"/>
      <c r="B20" s="176"/>
      <c r="C20" s="176"/>
      <c r="D20" s="176"/>
      <c r="E20" s="176"/>
      <c r="F20" s="176"/>
      <c r="G20" s="176"/>
      <c r="H20" s="176"/>
      <c r="I20" s="176"/>
      <c r="J20" s="1"/>
    </row>
    <row r="21" spans="1:10" ht="13.5" customHeight="1">
      <c r="A21" s="176"/>
      <c r="B21" s="176"/>
      <c r="C21" s="176"/>
      <c r="D21" s="176"/>
      <c r="E21" s="176"/>
      <c r="F21" s="176"/>
      <c r="G21" s="176"/>
      <c r="H21" s="176"/>
      <c r="I21" s="176"/>
      <c r="J21" s="1"/>
    </row>
    <row r="22" spans="1:10" ht="13.5" customHeight="1">
      <c r="A22" s="176"/>
      <c r="B22" s="176"/>
      <c r="C22" s="176"/>
      <c r="D22" s="176"/>
      <c r="E22" s="176"/>
      <c r="F22" s="176"/>
      <c r="G22" s="176"/>
      <c r="H22" s="176"/>
      <c r="I22" s="176"/>
      <c r="J22" s="1"/>
    </row>
    <row r="23" spans="1:10" ht="13.5" customHeight="1">
      <c r="A23" s="176"/>
      <c r="B23" s="176"/>
      <c r="C23" s="176"/>
      <c r="D23" s="176"/>
      <c r="E23" s="176"/>
      <c r="F23" s="176"/>
      <c r="G23" s="176"/>
      <c r="H23" s="176"/>
      <c r="I23" s="176"/>
      <c r="J23" s="1"/>
    </row>
    <row r="24" spans="1:10" ht="13.5" customHeight="1">
      <c r="A24" s="7"/>
      <c r="B24" s="7"/>
      <c r="C24" s="7"/>
      <c r="D24" s="7"/>
      <c r="E24" s="7"/>
      <c r="F24" s="7"/>
      <c r="G24" s="7"/>
      <c r="H24" s="7"/>
      <c r="I24" s="7"/>
      <c r="J24" s="1"/>
    </row>
    <row r="25" spans="1:10" ht="13.5" customHeight="1">
      <c r="A25" s="7"/>
      <c r="B25" s="7"/>
      <c r="C25" s="7"/>
      <c r="D25" s="7"/>
      <c r="E25" s="7"/>
      <c r="F25" s="7"/>
      <c r="G25" s="7"/>
      <c r="H25" s="7"/>
      <c r="I25" s="7"/>
      <c r="J25" s="1"/>
    </row>
    <row r="26" spans="1:10" ht="13.5" customHeight="1">
      <c r="A26" s="7"/>
      <c r="B26" s="7"/>
      <c r="C26" s="7"/>
      <c r="D26" s="7"/>
      <c r="E26" s="7"/>
      <c r="F26" s="7"/>
      <c r="G26" s="7"/>
      <c r="H26" s="7"/>
      <c r="I26" s="7"/>
      <c r="J26" s="1"/>
    </row>
    <row r="27" spans="1:10" ht="13.5" customHeight="1">
      <c r="A27" s="7"/>
      <c r="B27" s="7"/>
      <c r="C27" s="7"/>
      <c r="D27" s="7"/>
      <c r="E27" s="7"/>
      <c r="F27" s="7"/>
      <c r="G27" s="7"/>
      <c r="H27" s="7"/>
      <c r="I27" s="7"/>
      <c r="J27" s="1"/>
    </row>
    <row r="28" spans="1:10" ht="13.5" customHeight="1">
      <c r="A28" s="7"/>
      <c r="B28" s="7"/>
      <c r="C28" s="7"/>
      <c r="D28" s="7"/>
      <c r="E28" s="7"/>
      <c r="F28" s="7"/>
      <c r="G28" s="7"/>
      <c r="H28" s="7"/>
      <c r="I28" s="7"/>
      <c r="J28" s="1"/>
    </row>
    <row r="29" spans="1:10" ht="13.5" customHeight="1">
      <c r="A29" s="7"/>
      <c r="B29" s="7"/>
      <c r="C29" s="7"/>
      <c r="D29" s="7"/>
      <c r="E29" s="7"/>
      <c r="F29" s="7"/>
      <c r="G29" s="7"/>
      <c r="H29" s="7"/>
      <c r="I29" s="7"/>
      <c r="J29" s="1"/>
    </row>
    <row r="30" spans="1:10" ht="13.5" customHeight="1">
      <c r="A30" s="7"/>
      <c r="B30" s="7"/>
      <c r="C30" s="7"/>
      <c r="D30" s="7"/>
      <c r="E30" s="7"/>
      <c r="F30" s="7"/>
      <c r="G30" s="7"/>
      <c r="H30" s="7"/>
      <c r="I30" s="7"/>
      <c r="J30" s="1"/>
    </row>
    <row r="31" spans="1:10" ht="13.5" customHeight="1">
      <c r="A31" s="7"/>
      <c r="B31" s="7"/>
      <c r="C31" s="7"/>
      <c r="D31" s="7"/>
      <c r="E31" s="7"/>
      <c r="F31" s="7"/>
      <c r="G31" s="7"/>
      <c r="H31" s="7"/>
      <c r="I31" s="7"/>
      <c r="J31" s="1"/>
    </row>
    <row r="32" spans="1:10" ht="13.5" customHeight="1">
      <c r="A32" s="7"/>
      <c r="B32" s="7"/>
      <c r="C32" s="7"/>
      <c r="D32" s="7"/>
      <c r="E32" s="7"/>
      <c r="F32" s="7"/>
      <c r="G32" s="7"/>
      <c r="H32" s="7"/>
      <c r="I32" s="7"/>
      <c r="J32" s="1"/>
    </row>
    <row r="33" spans="1:10" ht="13.5" customHeight="1">
      <c r="A33" s="7"/>
      <c r="B33" s="7"/>
      <c r="C33" s="7"/>
      <c r="D33" s="7"/>
      <c r="E33" s="7"/>
      <c r="F33" s="7"/>
      <c r="G33" s="7"/>
      <c r="H33" s="7"/>
      <c r="I33" s="7"/>
      <c r="J33" s="1"/>
    </row>
    <row r="34" spans="1:10" ht="16.5">
      <c r="A34" s="7"/>
      <c r="B34" s="7"/>
      <c r="C34" s="7"/>
      <c r="D34" s="7"/>
      <c r="E34" s="7"/>
      <c r="F34" s="7"/>
      <c r="G34" s="7"/>
      <c r="H34" s="7"/>
      <c r="I34" s="7"/>
      <c r="J34" s="1"/>
    </row>
    <row r="35" spans="1:10" ht="16.5">
      <c r="A35" s="1"/>
      <c r="B35" s="2"/>
      <c r="C35" s="8"/>
      <c r="D35" s="9"/>
      <c r="E35" s="8"/>
      <c r="F35" s="1"/>
      <c r="G35" s="1"/>
      <c r="H35" s="1"/>
      <c r="I35" s="1"/>
      <c r="J35" s="1"/>
    </row>
    <row r="36" spans="1:10" ht="21.95" customHeight="1">
      <c r="A36" s="1"/>
      <c r="B36" s="2"/>
      <c r="C36" s="10"/>
      <c r="D36" s="10"/>
      <c r="E36" s="10"/>
      <c r="F36" s="10"/>
      <c r="G36" s="11"/>
      <c r="H36" s="12"/>
      <c r="I36" s="1"/>
      <c r="J36" s="1"/>
    </row>
    <row r="37" spans="1:10" ht="21.95" customHeight="1">
      <c r="A37" s="1"/>
      <c r="B37" s="2"/>
      <c r="C37" s="10"/>
      <c r="D37" s="10"/>
      <c r="E37" s="10"/>
      <c r="F37" s="10"/>
      <c r="G37" s="11"/>
      <c r="H37" s="1"/>
      <c r="I37" s="1"/>
      <c r="J37" s="1"/>
    </row>
    <row r="38" spans="1:10" ht="21.95" customHeight="1">
      <c r="A38" s="1"/>
      <c r="B38" s="2"/>
      <c r="C38" s="10"/>
      <c r="D38" s="10"/>
      <c r="E38" s="10"/>
      <c r="F38" s="11"/>
      <c r="G38" s="11"/>
      <c r="H38" s="1"/>
      <c r="I38" s="1"/>
      <c r="J38" s="1"/>
    </row>
    <row r="39" spans="1:10" ht="20.100000000000001" customHeight="1">
      <c r="A39" s="1"/>
      <c r="B39" s="2"/>
      <c r="C39" s="1"/>
      <c r="D39" s="1"/>
      <c r="E39" s="1"/>
      <c r="F39" s="1"/>
      <c r="G39" s="1"/>
      <c r="H39" s="1"/>
      <c r="I39" s="1"/>
      <c r="J39" s="1"/>
    </row>
    <row r="40" spans="1:10" ht="45" customHeight="1">
      <c r="A40" s="169" t="s">
        <v>52</v>
      </c>
      <c r="B40" s="170"/>
      <c r="C40" s="170"/>
      <c r="D40" s="170"/>
      <c r="E40" s="170"/>
      <c r="F40" s="170"/>
      <c r="G40" s="170"/>
      <c r="H40" s="170"/>
      <c r="I40" s="170"/>
      <c r="J40" s="1"/>
    </row>
    <row r="41" spans="1:10" ht="20.100000000000001" customHeight="1">
      <c r="A41" s="1"/>
      <c r="B41" s="2"/>
      <c r="C41" s="1"/>
      <c r="D41" s="1"/>
      <c r="E41" s="1"/>
      <c r="F41" s="1"/>
      <c r="G41" s="1"/>
      <c r="H41" s="1"/>
      <c r="I41" s="1"/>
      <c r="J41" s="1"/>
    </row>
    <row r="42" spans="1:10" ht="55.5" customHeight="1">
      <c r="A42" s="171"/>
      <c r="B42" s="172"/>
      <c r="C42" s="172"/>
      <c r="D42" s="172"/>
      <c r="E42" s="172"/>
      <c r="F42" s="172"/>
      <c r="G42" s="172"/>
      <c r="H42" s="172"/>
      <c r="I42" s="172"/>
      <c r="J42" s="1"/>
    </row>
    <row r="43" spans="1:10" ht="37.5" customHeight="1">
      <c r="A43" s="173"/>
      <c r="B43" s="173"/>
      <c r="C43" s="173"/>
      <c r="D43" s="173"/>
      <c r="E43" s="173"/>
      <c r="F43" s="173"/>
      <c r="G43" s="173"/>
      <c r="H43" s="173"/>
      <c r="I43" s="173"/>
      <c r="J43" s="1"/>
    </row>
    <row r="44" spans="1:10" ht="13.5">
      <c r="A44" s="1"/>
      <c r="B44" s="2"/>
      <c r="C44" s="1"/>
      <c r="D44" s="1"/>
      <c r="E44" s="1"/>
      <c r="F44" s="1"/>
      <c r="G44" s="1"/>
      <c r="H44" s="1"/>
      <c r="I44" s="1"/>
      <c r="J44" s="1"/>
    </row>
    <row r="45" spans="1:10" ht="13.5">
      <c r="A45" s="1"/>
      <c r="B45" s="2"/>
      <c r="C45" s="1"/>
      <c r="D45" s="1"/>
      <c r="E45" s="1"/>
      <c r="F45" s="1"/>
      <c r="G45" s="1"/>
      <c r="H45" s="1"/>
      <c r="I45" s="1"/>
      <c r="J45" s="1"/>
    </row>
    <row r="46" spans="1:10" ht="13.5">
      <c r="A46" s="1"/>
      <c r="B46" s="2"/>
      <c r="C46" s="1"/>
      <c r="D46" s="1"/>
      <c r="E46" s="1"/>
      <c r="F46" s="1"/>
      <c r="G46" s="1"/>
      <c r="H46" s="1"/>
      <c r="I46" s="1"/>
      <c r="J46" s="1"/>
    </row>
  </sheetData>
  <mergeCells count="9">
    <mergeCell ref="A40:I40"/>
    <mergeCell ref="A42:I42"/>
    <mergeCell ref="A43:I43"/>
    <mergeCell ref="A8:I8"/>
    <mergeCell ref="A9:I9"/>
    <mergeCell ref="A20:I20"/>
    <mergeCell ref="A21:I21"/>
    <mergeCell ref="A22:I22"/>
    <mergeCell ref="A23:I23"/>
  </mergeCells>
  <phoneticPr fontId="1" type="noConversion"/>
  <pageMargins left="0.51181102362204722" right="0.43307086614173229" top="1.1811023622047245" bottom="0.59055118110236227" header="0.62992125984251968" footer="0.51181102362204722"/>
  <pageSetup paperSize="9" scale="9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6"/>
  <sheetViews>
    <sheetView showGridLines="0" workbookViewId="0">
      <selection activeCell="D20" sqref="D20"/>
    </sheetView>
  </sheetViews>
  <sheetFormatPr defaultRowHeight="13.5"/>
  <cols>
    <col min="1" max="1" width="1.625" customWidth="1"/>
    <col min="2" max="2" width="10.625" customWidth="1"/>
    <col min="3" max="3" width="15.625" customWidth="1"/>
    <col min="4" max="4" width="57.625" customWidth="1"/>
    <col min="5" max="6" width="10.625" customWidth="1"/>
  </cols>
  <sheetData>
    <row r="1" spans="2:6" ht="14.25" thickBot="1"/>
    <row r="2" spans="2:6" ht="27" thickBot="1">
      <c r="B2" s="177" t="s">
        <v>0</v>
      </c>
      <c r="C2" s="178"/>
      <c r="D2" s="178"/>
      <c r="E2" s="178"/>
      <c r="F2" s="179"/>
    </row>
    <row r="3" spans="2:6">
      <c r="B3" s="14"/>
      <c r="C3" s="15"/>
      <c r="D3" s="15"/>
      <c r="E3" s="16"/>
      <c r="F3" s="17"/>
    </row>
    <row r="4" spans="2:6">
      <c r="B4" s="18" t="s">
        <v>1</v>
      </c>
      <c r="C4" s="18" t="s">
        <v>2</v>
      </c>
      <c r="D4" s="18" t="s">
        <v>3</v>
      </c>
      <c r="E4" s="19" t="s">
        <v>4</v>
      </c>
      <c r="F4" s="20" t="s">
        <v>5</v>
      </c>
    </row>
    <row r="5" spans="2:6">
      <c r="B5" s="31" t="s">
        <v>43</v>
      </c>
      <c r="C5" s="23">
        <v>42991</v>
      </c>
      <c r="D5" s="32" t="s">
        <v>54</v>
      </c>
      <c r="E5" s="31" t="s">
        <v>76</v>
      </c>
      <c r="F5" s="33"/>
    </row>
    <row r="6" spans="2:6">
      <c r="B6" s="22"/>
      <c r="C6" s="23"/>
      <c r="D6" s="24"/>
      <c r="E6" s="22"/>
      <c r="F6" s="23"/>
    </row>
    <row r="7" spans="2:6">
      <c r="B7" s="22"/>
      <c r="C7" s="23"/>
      <c r="D7" s="24"/>
      <c r="E7" s="22"/>
      <c r="F7" s="23"/>
    </row>
    <row r="8" spans="2:6">
      <c r="B8" s="22"/>
      <c r="C8" s="23"/>
      <c r="D8" s="24"/>
      <c r="E8" s="22"/>
      <c r="F8" s="23"/>
    </row>
    <row r="9" spans="2:6">
      <c r="B9" s="22"/>
      <c r="C9" s="23"/>
      <c r="D9" s="25"/>
      <c r="E9" s="22"/>
      <c r="F9" s="23"/>
    </row>
    <row r="10" spans="2:6">
      <c r="B10" s="22"/>
      <c r="C10" s="23"/>
      <c r="D10" s="25"/>
      <c r="E10" s="22"/>
      <c r="F10" s="23"/>
    </row>
    <row r="11" spans="2:6">
      <c r="B11" s="22"/>
      <c r="C11" s="23"/>
      <c r="D11" s="25"/>
      <c r="E11" s="22"/>
      <c r="F11" s="23"/>
    </row>
    <row r="12" spans="2:6">
      <c r="B12" s="22"/>
      <c r="C12" s="23"/>
      <c r="D12" s="25"/>
      <c r="E12" s="22"/>
      <c r="F12" s="23"/>
    </row>
    <row r="13" spans="2:6">
      <c r="B13" s="22"/>
      <c r="C13" s="23"/>
      <c r="D13" s="25"/>
      <c r="E13" s="22"/>
      <c r="F13" s="23"/>
    </row>
    <row r="14" spans="2:6">
      <c r="B14" s="21"/>
      <c r="C14" s="23"/>
      <c r="D14" s="25"/>
      <c r="E14" s="22"/>
      <c r="F14" s="23"/>
    </row>
    <row r="15" spans="2:6">
      <c r="B15" s="21"/>
      <c r="C15" s="26"/>
      <c r="D15" s="25"/>
      <c r="E15" s="22"/>
      <c r="F15" s="23"/>
    </row>
    <row r="16" spans="2:6">
      <c r="B16" s="21"/>
      <c r="C16" s="26"/>
      <c r="D16" s="25"/>
      <c r="E16" s="22"/>
      <c r="F16" s="23"/>
    </row>
  </sheetData>
  <mergeCells count="1">
    <mergeCell ref="B2:F2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8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N5002"/>
  <sheetViews>
    <sheetView showGridLines="0" tabSelected="1" topLeftCell="A564" zoomScaleNormal="100" zoomScaleSheetLayoutView="85" workbookViewId="0">
      <selection activeCell="B584" sqref="B584"/>
    </sheetView>
  </sheetViews>
  <sheetFormatPr defaultColWidth="9" defaultRowHeight="13.5"/>
  <cols>
    <col min="1" max="1" width="2.375" style="27" customWidth="1"/>
    <col min="2" max="2" width="14.625" style="158" customWidth="1"/>
    <col min="3" max="3" width="15.875" style="158" customWidth="1"/>
    <col min="4" max="4" width="23.5" style="158" customWidth="1"/>
    <col min="5" max="5" width="26.375" style="158" bestFit="1" customWidth="1"/>
    <col min="6" max="6" width="14.875" style="159" bestFit="1" customWidth="1"/>
    <col min="7" max="7" width="13.25" style="160" customWidth="1"/>
    <col min="8" max="9" width="9.375" style="160" customWidth="1"/>
    <col min="10" max="10" width="9.375" style="161" customWidth="1"/>
    <col min="11" max="12" width="9.375" style="27" customWidth="1"/>
    <col min="13" max="13" width="9.5" style="112" customWidth="1"/>
    <col min="14" max="14" width="15.625" style="27" customWidth="1"/>
    <col min="15" max="15" width="33.75" style="27" customWidth="1"/>
    <col min="16" max="16" width="12.625" style="27" hidden="1" customWidth="1"/>
    <col min="17" max="17" width="9.375" style="27" hidden="1" customWidth="1"/>
    <col min="18" max="18" width="12.75" style="27" hidden="1" customWidth="1"/>
    <col min="19" max="19" width="10.875" style="27" hidden="1" customWidth="1"/>
    <col min="20" max="20" width="9.375" style="27" hidden="1" customWidth="1"/>
    <col min="21" max="21" width="25.75" style="27" hidden="1" customWidth="1"/>
    <col min="22" max="22" width="9" style="27"/>
    <col min="23" max="23" width="28.5" style="27" customWidth="1"/>
    <col min="24" max="24" width="9.5" style="27" customWidth="1"/>
    <col min="25" max="16384" width="9" style="27"/>
  </cols>
  <sheetData>
    <row r="1" spans="2:30">
      <c r="B1" s="61" t="s">
        <v>12</v>
      </c>
      <c r="C1" s="28"/>
      <c r="D1" s="28"/>
      <c r="E1" s="28"/>
      <c r="F1" s="34"/>
      <c r="G1" s="28"/>
      <c r="H1" s="28"/>
      <c r="I1" s="28"/>
      <c r="J1" s="27"/>
    </row>
    <row r="2" spans="2:30">
      <c r="B2" s="214" t="s">
        <v>40</v>
      </c>
      <c r="C2" s="214"/>
      <c r="D2" s="214"/>
      <c r="E2" s="214"/>
      <c r="F2" s="214"/>
      <c r="G2" s="214"/>
      <c r="H2" s="214"/>
      <c r="I2" s="214"/>
      <c r="J2" s="214"/>
      <c r="K2" s="214"/>
      <c r="L2" s="214"/>
      <c r="O2" s="137"/>
      <c r="P2" s="137"/>
      <c r="Q2" s="137"/>
      <c r="R2" s="137"/>
      <c r="S2" s="137"/>
      <c r="T2" s="137"/>
      <c r="U2" s="137"/>
    </row>
    <row r="3" spans="2:30">
      <c r="B3" s="214" t="s">
        <v>39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113"/>
      <c r="O3" s="137"/>
      <c r="P3" s="137"/>
      <c r="Q3" s="137"/>
      <c r="R3" s="137"/>
      <c r="S3" s="137"/>
      <c r="T3" s="137"/>
      <c r="U3" s="137"/>
    </row>
    <row r="4" spans="2:30">
      <c r="B4" s="28"/>
      <c r="C4" s="28"/>
      <c r="D4" s="28"/>
      <c r="E4" s="28"/>
      <c r="F4" s="34"/>
      <c r="G4" s="28"/>
      <c r="H4" s="28"/>
      <c r="I4" s="28"/>
      <c r="J4" s="27"/>
    </row>
    <row r="5" spans="2:30">
      <c r="B5" s="62" t="s">
        <v>19</v>
      </c>
      <c r="C5" s="63"/>
      <c r="D5" s="64"/>
      <c r="E5" s="64"/>
      <c r="F5" s="64"/>
      <c r="G5" s="64"/>
      <c r="H5" s="64"/>
      <c r="I5" s="64"/>
      <c r="J5" s="64"/>
      <c r="K5" s="64"/>
      <c r="L5" s="64"/>
      <c r="M5" s="114"/>
      <c r="O5" s="64"/>
      <c r="P5" s="64"/>
      <c r="Q5" s="64"/>
      <c r="R5" s="64"/>
      <c r="S5" s="64"/>
      <c r="T5" s="64"/>
      <c r="U5" s="64"/>
    </row>
    <row r="6" spans="2:30">
      <c r="B6" s="65" t="s">
        <v>20</v>
      </c>
      <c r="C6" s="66"/>
      <c r="D6" s="67"/>
      <c r="E6" s="67"/>
      <c r="F6" s="68"/>
      <c r="G6" s="67"/>
      <c r="H6" s="67"/>
      <c r="I6" s="67"/>
      <c r="J6" s="67"/>
      <c r="K6" s="69"/>
      <c r="L6" s="64"/>
      <c r="M6" s="114"/>
      <c r="O6" s="64"/>
      <c r="P6" s="64"/>
      <c r="Q6" s="64"/>
      <c r="R6" s="64"/>
      <c r="S6" s="64"/>
      <c r="T6" s="64"/>
      <c r="U6" s="64"/>
    </row>
    <row r="7" spans="2:30" ht="19.5" customHeight="1">
      <c r="B7" s="135" t="s">
        <v>45</v>
      </c>
      <c r="C7" s="70"/>
      <c r="D7" s="71"/>
      <c r="E7" s="71"/>
      <c r="F7" s="72"/>
      <c r="G7" s="71"/>
      <c r="H7" s="70"/>
      <c r="I7" s="70"/>
      <c r="J7" s="70"/>
      <c r="K7" s="73"/>
      <c r="L7" s="64"/>
      <c r="M7" s="114"/>
      <c r="O7" s="64"/>
      <c r="P7" s="64"/>
      <c r="Q7" s="64"/>
      <c r="R7" s="64"/>
      <c r="S7" s="64"/>
      <c r="T7" s="64"/>
      <c r="U7" s="64"/>
    </row>
    <row r="8" spans="2:30" ht="17.25">
      <c r="B8" s="115" t="s">
        <v>140</v>
      </c>
      <c r="C8" s="74"/>
      <c r="D8" s="74"/>
      <c r="E8" s="74"/>
      <c r="F8" s="75"/>
      <c r="G8" s="74"/>
      <c r="H8" s="74"/>
      <c r="I8" s="74"/>
      <c r="J8" s="74"/>
      <c r="K8" s="74"/>
      <c r="L8" s="74"/>
      <c r="M8" s="116"/>
      <c r="N8" s="117"/>
      <c r="O8" s="74"/>
      <c r="P8" s="74"/>
      <c r="Q8" s="74"/>
      <c r="R8" s="74"/>
      <c r="S8" s="74"/>
      <c r="T8" s="74"/>
      <c r="U8" s="74"/>
      <c r="V8" s="117"/>
    </row>
    <row r="9" spans="2:30" ht="66.75" customHeight="1">
      <c r="B9" s="219" t="s">
        <v>145</v>
      </c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116"/>
      <c r="N9" s="117"/>
      <c r="O9" s="74"/>
      <c r="P9" s="74"/>
      <c r="Q9" s="74"/>
      <c r="R9" s="74"/>
      <c r="S9" s="74"/>
      <c r="T9" s="74"/>
      <c r="U9" s="74"/>
      <c r="V9" s="117"/>
    </row>
    <row r="10" spans="2:30">
      <c r="B10" s="188" t="s">
        <v>53</v>
      </c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18"/>
      <c r="O10" s="138"/>
      <c r="P10" s="138"/>
      <c r="Q10" s="138"/>
      <c r="R10" s="138"/>
      <c r="S10" s="138"/>
      <c r="T10" s="138"/>
      <c r="U10" s="138"/>
    </row>
    <row r="11" spans="2:30">
      <c r="B11" s="188" t="s">
        <v>55</v>
      </c>
      <c r="C11" s="188"/>
      <c r="D11" s="188"/>
      <c r="E11" s="188"/>
      <c r="F11" s="188"/>
      <c r="G11" s="188"/>
      <c r="H11" s="188"/>
      <c r="I11" s="188"/>
      <c r="J11" s="188"/>
      <c r="K11" s="188"/>
      <c r="L11" s="188"/>
      <c r="M11" s="118"/>
      <c r="O11" s="138"/>
      <c r="P11" s="138"/>
      <c r="Q11" s="138"/>
      <c r="R11" s="138"/>
      <c r="S11" s="138"/>
      <c r="T11" s="138"/>
      <c r="U11" s="138"/>
    </row>
    <row r="12" spans="2:30">
      <c r="B12" s="188" t="s">
        <v>21</v>
      </c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18"/>
      <c r="O12" s="138"/>
      <c r="P12" s="138"/>
      <c r="Q12" s="138"/>
      <c r="R12" s="138"/>
      <c r="S12" s="138"/>
      <c r="T12" s="138"/>
      <c r="U12" s="138"/>
    </row>
    <row r="13" spans="2:30">
      <c r="B13" s="188" t="s">
        <v>24</v>
      </c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18"/>
      <c r="O13" s="138"/>
      <c r="P13" s="138"/>
      <c r="Q13" s="138"/>
      <c r="R13" s="138"/>
      <c r="S13" s="138"/>
      <c r="T13" s="138"/>
      <c r="U13" s="138"/>
    </row>
    <row r="14" spans="2:30">
      <c r="B14" s="188" t="s">
        <v>22</v>
      </c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1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8"/>
      <c r="AB14" s="138"/>
      <c r="AC14" s="138"/>
      <c r="AD14" s="138"/>
    </row>
    <row r="15" spans="2:30">
      <c r="B15" s="188" t="s">
        <v>56</v>
      </c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1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8"/>
      <c r="AB15" s="138"/>
      <c r="AC15" s="138"/>
      <c r="AD15" s="138"/>
    </row>
    <row r="16" spans="2:30" ht="17.25" customHeight="1">
      <c r="B16" s="188" t="s">
        <v>57</v>
      </c>
      <c r="C16" s="188"/>
      <c r="D16" s="188"/>
      <c r="E16" s="188"/>
      <c r="F16" s="188"/>
      <c r="G16" s="188"/>
      <c r="H16" s="188"/>
      <c r="I16" s="188"/>
      <c r="J16" s="188"/>
      <c r="K16" s="188"/>
      <c r="L16" s="188"/>
      <c r="M16" s="11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8"/>
      <c r="AB16" s="138"/>
      <c r="AC16" s="138"/>
      <c r="AD16" s="138"/>
    </row>
    <row r="17" spans="2:39" ht="17.25" customHeight="1">
      <c r="B17" s="188" t="s">
        <v>58</v>
      </c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1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8"/>
      <c r="AB17" s="138"/>
      <c r="AC17" s="138"/>
      <c r="AD17" s="138"/>
    </row>
    <row r="18" spans="2:39" ht="17.25" customHeight="1">
      <c r="B18" s="188" t="s">
        <v>23</v>
      </c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1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</row>
    <row r="19" spans="2:39" s="119" customFormat="1" ht="28.5" customHeight="1">
      <c r="B19" s="188" t="s">
        <v>130</v>
      </c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1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8"/>
      <c r="AB19" s="138"/>
      <c r="AC19" s="138"/>
      <c r="AD19" s="138"/>
    </row>
    <row r="20" spans="2:39" s="119" customFormat="1" ht="36.75" customHeight="1">
      <c r="B20" s="195" t="s">
        <v>128</v>
      </c>
      <c r="C20" s="195"/>
      <c r="D20" s="195"/>
      <c r="E20" s="195"/>
      <c r="F20" s="195"/>
      <c r="G20" s="195"/>
      <c r="H20" s="195"/>
      <c r="I20" s="195"/>
      <c r="J20" s="195"/>
      <c r="K20" s="195"/>
      <c r="L20" s="195"/>
      <c r="M20" s="11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8"/>
      <c r="AB20" s="138"/>
      <c r="AC20" s="138"/>
      <c r="AD20" s="138"/>
    </row>
    <row r="21" spans="2:39">
      <c r="B21" s="188" t="s">
        <v>131</v>
      </c>
      <c r="C21" s="188"/>
      <c r="D21" s="188"/>
      <c r="E21" s="188"/>
      <c r="F21" s="188"/>
      <c r="G21" s="188"/>
      <c r="H21" s="188"/>
      <c r="I21" s="188"/>
      <c r="J21" s="188"/>
      <c r="K21" s="188"/>
      <c r="L21" s="188"/>
      <c r="M21" s="11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</row>
    <row r="22" spans="2:39">
      <c r="B22" s="188" t="s">
        <v>29</v>
      </c>
      <c r="C22" s="188"/>
      <c r="D22" s="188"/>
      <c r="E22" s="188"/>
      <c r="F22" s="188"/>
      <c r="G22" s="188"/>
      <c r="H22" s="188"/>
      <c r="I22" s="188"/>
      <c r="J22" s="188"/>
      <c r="K22" s="188"/>
      <c r="L22" s="188"/>
      <c r="M22" s="11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  <c r="AC22" s="138"/>
      <c r="AD22" s="138"/>
    </row>
    <row r="23" spans="2:39">
      <c r="B23" s="188" t="s">
        <v>77</v>
      </c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1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  <c r="AC23" s="138"/>
      <c r="AD23" s="138"/>
    </row>
    <row r="24" spans="2:39">
      <c r="B24" s="188" t="s">
        <v>132</v>
      </c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1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8"/>
      <c r="AB24" s="138"/>
      <c r="AC24" s="138"/>
      <c r="AD24" s="138"/>
    </row>
    <row r="25" spans="2:39">
      <c r="B25" s="195" t="s">
        <v>143</v>
      </c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1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</row>
    <row r="26" spans="2:39">
      <c r="B26" s="188" t="s">
        <v>144</v>
      </c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1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8"/>
      <c r="AB26" s="138"/>
      <c r="AC26" s="138"/>
      <c r="AD26" s="138"/>
    </row>
    <row r="27" spans="2:39" ht="16.5">
      <c r="B27" s="188"/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1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8"/>
      <c r="AB27" s="138"/>
      <c r="AC27" s="138"/>
      <c r="AD27" s="138"/>
      <c r="AL27" s="120"/>
      <c r="AM27" s="121"/>
    </row>
    <row r="28" spans="2:39" ht="17.25">
      <c r="B28" s="29" t="s">
        <v>142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8"/>
      <c r="AB28" s="138"/>
      <c r="AC28" s="138"/>
      <c r="AD28" s="138"/>
      <c r="AE28" s="122"/>
      <c r="AM28" s="123"/>
    </row>
    <row r="29" spans="2:39">
      <c r="B29" s="138"/>
      <c r="C29" s="138"/>
      <c r="D29" s="138"/>
      <c r="E29" s="138"/>
      <c r="F29" s="75"/>
      <c r="G29" s="138"/>
      <c r="H29" s="138"/>
      <c r="I29" s="138"/>
      <c r="J29" s="138"/>
      <c r="K29" s="138"/>
      <c r="L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8"/>
      <c r="AB29" s="138"/>
      <c r="AC29" s="138"/>
      <c r="AD29" s="138"/>
      <c r="AE29" s="122"/>
      <c r="AF29" s="122"/>
      <c r="AM29" s="124"/>
    </row>
    <row r="30" spans="2:39" ht="23.25">
      <c r="B30" s="125" t="s">
        <v>13</v>
      </c>
      <c r="C30" s="162" t="s">
        <v>157</v>
      </c>
      <c r="D30" s="126" t="s">
        <v>14</v>
      </c>
      <c r="E30" s="28"/>
      <c r="F30" s="34"/>
      <c r="G30" s="28"/>
      <c r="H30" s="28"/>
      <c r="I30" s="28"/>
      <c r="J30" s="27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8"/>
      <c r="AB30" s="138"/>
      <c r="AC30" s="138"/>
      <c r="AD30" s="138"/>
      <c r="AE30" s="122"/>
      <c r="AF30" s="122"/>
    </row>
    <row r="31" spans="2:39">
      <c r="B31" s="62" t="s">
        <v>15</v>
      </c>
      <c r="C31" s="127"/>
      <c r="D31" s="128"/>
      <c r="E31" s="28"/>
      <c r="F31" s="34"/>
      <c r="G31" s="28"/>
      <c r="H31" s="28"/>
      <c r="I31" s="28"/>
      <c r="J31" s="27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8"/>
      <c r="AE31" s="122"/>
      <c r="AF31" s="122"/>
    </row>
    <row r="32" spans="2:39">
      <c r="B32" s="62"/>
      <c r="C32" s="127"/>
      <c r="D32" s="128"/>
      <c r="E32" s="28"/>
      <c r="F32" s="34"/>
      <c r="G32" s="28"/>
      <c r="H32" s="28"/>
      <c r="I32" s="28"/>
      <c r="J32" s="27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22"/>
      <c r="AF32" s="122"/>
    </row>
    <row r="33" spans="1:40" ht="17.25">
      <c r="B33" s="29" t="s">
        <v>141</v>
      </c>
      <c r="C33" s="127"/>
      <c r="D33" s="128"/>
      <c r="E33" s="28"/>
      <c r="F33" s="34"/>
      <c r="G33" s="28"/>
      <c r="H33" s="28"/>
      <c r="I33" s="28"/>
      <c r="J33" s="27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22"/>
      <c r="AF33" s="122"/>
    </row>
    <row r="34" spans="1:40" ht="18" thickBot="1">
      <c r="B34" s="29"/>
      <c r="C34" s="127"/>
      <c r="D34" s="128"/>
      <c r="E34" s="28"/>
      <c r="F34" s="34"/>
      <c r="G34" s="28"/>
      <c r="H34" s="28"/>
      <c r="I34" s="28"/>
      <c r="J34" s="27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</row>
    <row r="35" spans="1:40" ht="14.25" thickBot="1">
      <c r="B35" s="196" t="s">
        <v>139</v>
      </c>
      <c r="C35" s="197"/>
      <c r="D35" s="197"/>
      <c r="E35" s="164" t="s">
        <v>154</v>
      </c>
      <c r="F35" s="34"/>
      <c r="G35" s="28"/>
      <c r="H35" s="28"/>
      <c r="I35" s="28"/>
      <c r="J35" s="27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</row>
    <row r="36" spans="1:40" s="131" customFormat="1">
      <c r="A36" s="27"/>
      <c r="B36" s="198" t="s">
        <v>133</v>
      </c>
      <c r="C36" s="199"/>
      <c r="D36" s="200"/>
      <c r="E36" s="147">
        <v>2</v>
      </c>
      <c r="F36" s="34"/>
      <c r="G36" s="28"/>
      <c r="H36" s="28"/>
      <c r="I36" s="28"/>
      <c r="J36" s="27"/>
      <c r="K36" s="27"/>
      <c r="L36" s="27"/>
      <c r="M36" s="112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0"/>
      <c r="AF36" s="130"/>
      <c r="AG36" s="130"/>
      <c r="AH36" s="130"/>
      <c r="AI36" s="130"/>
      <c r="AJ36" s="130"/>
      <c r="AK36" s="130"/>
      <c r="AL36" s="130"/>
      <c r="AM36" s="130"/>
      <c r="AN36" s="130"/>
    </row>
    <row r="37" spans="1:40" s="131" customFormat="1">
      <c r="B37" s="201" t="s">
        <v>146</v>
      </c>
      <c r="C37" s="202"/>
      <c r="D37" s="136" t="s">
        <v>147</v>
      </c>
      <c r="E37" s="148">
        <v>30</v>
      </c>
      <c r="F37" s="34"/>
      <c r="G37" s="28"/>
      <c r="H37" s="28"/>
      <c r="I37" s="28"/>
      <c r="J37" s="27"/>
      <c r="K37" s="27"/>
      <c r="L37" s="27"/>
      <c r="M37" s="112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0"/>
      <c r="AF37" s="130"/>
      <c r="AG37" s="130"/>
      <c r="AH37" s="130"/>
      <c r="AI37" s="130"/>
      <c r="AJ37" s="130"/>
      <c r="AK37" s="130"/>
      <c r="AL37" s="130"/>
      <c r="AM37" s="130"/>
      <c r="AN37" s="130"/>
    </row>
    <row r="38" spans="1:40" s="131" customFormat="1">
      <c r="B38" s="203"/>
      <c r="C38" s="204"/>
      <c r="D38" s="136" t="s">
        <v>148</v>
      </c>
      <c r="E38" s="148">
        <v>30</v>
      </c>
      <c r="F38" s="34"/>
      <c r="G38" s="28"/>
      <c r="H38" s="28"/>
      <c r="I38" s="28"/>
      <c r="J38" s="27"/>
      <c r="K38" s="27"/>
      <c r="L38" s="27"/>
      <c r="M38" s="112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</row>
    <row r="39" spans="1:40" s="131" customFormat="1" ht="16.5">
      <c r="B39" s="203"/>
      <c r="C39" s="204"/>
      <c r="D39" s="136" t="s">
        <v>149</v>
      </c>
      <c r="E39" s="148">
        <v>30</v>
      </c>
      <c r="F39" s="34"/>
      <c r="G39" s="28"/>
      <c r="H39" s="28"/>
      <c r="I39" s="28"/>
      <c r="J39" s="27"/>
      <c r="K39" s="27"/>
      <c r="L39" s="27"/>
      <c r="M39" s="112"/>
      <c r="N39" s="27"/>
      <c r="O39" s="27"/>
      <c r="P39" s="27"/>
      <c r="Q39" s="27"/>
      <c r="R39" s="27"/>
      <c r="S39" s="27"/>
      <c r="T39" s="27"/>
      <c r="U39" s="27"/>
      <c r="V39" s="129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</row>
    <row r="40" spans="1:40" s="131" customFormat="1" ht="16.5">
      <c r="B40" s="205"/>
      <c r="C40" s="206"/>
      <c r="D40" s="168" t="s">
        <v>150</v>
      </c>
      <c r="E40" s="167">
        <f>IF(OR($E$37="(선택)", $E$38="(선택)",$E$39="(선택)"),"",(AVERAGE(E37:E39)))</f>
        <v>30</v>
      </c>
      <c r="F40" s="34"/>
      <c r="G40" s="28"/>
      <c r="H40" s="28"/>
      <c r="I40" s="28"/>
      <c r="J40" s="27"/>
      <c r="K40" s="27"/>
      <c r="L40" s="27"/>
      <c r="M40" s="112"/>
      <c r="N40" s="27"/>
      <c r="O40" s="27"/>
      <c r="P40" s="27"/>
      <c r="Q40" s="27"/>
      <c r="R40" s="27"/>
      <c r="S40" s="27"/>
      <c r="T40" s="27"/>
      <c r="U40" s="27"/>
      <c r="V40" s="129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/>
    </row>
    <row r="41" spans="1:40" s="131" customFormat="1" ht="16.5" customHeight="1">
      <c r="B41" s="189" t="s">
        <v>151</v>
      </c>
      <c r="C41" s="190"/>
      <c r="D41" s="191"/>
      <c r="E41" s="140">
        <v>0.2</v>
      </c>
      <c r="F41" s="34"/>
      <c r="G41" s="28"/>
      <c r="H41" s="28"/>
      <c r="I41" s="28"/>
      <c r="J41" s="27"/>
      <c r="K41" s="27"/>
      <c r="L41" s="27"/>
      <c r="M41" s="112"/>
      <c r="N41" s="27"/>
      <c r="O41" s="27"/>
      <c r="P41" s="27"/>
      <c r="Q41" s="27"/>
      <c r="R41" s="27"/>
      <c r="S41" s="27"/>
      <c r="T41" s="27"/>
      <c r="U41" s="27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/>
    </row>
    <row r="42" spans="1:40" s="131" customFormat="1">
      <c r="B42" s="189" t="s">
        <v>152</v>
      </c>
      <c r="C42" s="190"/>
      <c r="D42" s="191"/>
      <c r="E42" s="149">
        <v>0</v>
      </c>
      <c r="F42" s="34"/>
      <c r="G42" s="28"/>
      <c r="H42" s="28"/>
      <c r="I42" s="28"/>
      <c r="J42" s="27"/>
      <c r="K42" s="27"/>
      <c r="L42" s="27"/>
      <c r="M42" s="112"/>
      <c r="N42" s="27"/>
      <c r="O42" s="27"/>
      <c r="P42" s="27"/>
      <c r="Q42" s="27"/>
      <c r="R42" s="27"/>
      <c r="S42" s="27"/>
      <c r="T42" s="27"/>
      <c r="U42" s="27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  <c r="AJ42" s="130"/>
      <c r="AK42" s="130"/>
      <c r="AL42" s="130"/>
      <c r="AM42" s="130"/>
      <c r="AN42" s="130"/>
    </row>
    <row r="43" spans="1:40" ht="17.25" thickBot="1">
      <c r="A43" s="131"/>
      <c r="B43" s="207" t="s">
        <v>153</v>
      </c>
      <c r="C43" s="208"/>
      <c r="D43" s="209"/>
      <c r="E43" s="163">
        <v>0</v>
      </c>
      <c r="F43" s="34"/>
      <c r="G43" s="28"/>
      <c r="H43" s="28"/>
      <c r="I43" s="28"/>
      <c r="J43" s="27"/>
      <c r="V43" s="130"/>
      <c r="W43" s="129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</row>
    <row r="44" spans="1:40" ht="16.5" hidden="1">
      <c r="B44" s="210" t="s">
        <v>134</v>
      </c>
      <c r="C44" s="211"/>
      <c r="D44" s="211"/>
      <c r="E44" s="142">
        <f>R56</f>
        <v>1.4999999999999999E-2</v>
      </c>
      <c r="F44" s="34"/>
      <c r="G44" s="28"/>
      <c r="H44" s="28"/>
      <c r="I44" s="28"/>
      <c r="J44" s="27"/>
      <c r="V44" s="130"/>
      <c r="W44" s="129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</row>
    <row r="45" spans="1:40" ht="16.5" hidden="1">
      <c r="B45" s="180" t="s">
        <v>135</v>
      </c>
      <c r="C45" s="181"/>
      <c r="D45" s="181"/>
      <c r="E45" s="141">
        <f>U56</f>
        <v>0.16166811091854419</v>
      </c>
      <c r="F45" s="34"/>
      <c r="G45" s="28"/>
      <c r="H45" s="28"/>
      <c r="I45" s="28"/>
      <c r="J45" s="27"/>
      <c r="V45" s="129"/>
      <c r="W45" s="129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</row>
    <row r="46" spans="1:40" ht="16.5" hidden="1">
      <c r="B46" s="180" t="s">
        <v>136</v>
      </c>
      <c r="C46" s="181"/>
      <c r="D46" s="181"/>
      <c r="E46" s="144">
        <f>SUMIF(P59:P5002,"&gt;0",L59:L5002)</f>
        <v>7.5</v>
      </c>
      <c r="F46" s="34"/>
      <c r="G46" s="28"/>
      <c r="H46" s="28"/>
      <c r="I46" s="28"/>
      <c r="J46" s="27"/>
      <c r="V46" s="129"/>
      <c r="W46" s="129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</row>
    <row r="47" spans="1:40" ht="16.5" hidden="1">
      <c r="B47" s="180" t="s">
        <v>137</v>
      </c>
      <c r="C47" s="181"/>
      <c r="D47" s="181"/>
      <c r="E47" s="144">
        <f>SUMIF(S59:S5002,"&gt;0",L59:L5002)</f>
        <v>57.699999999999996</v>
      </c>
      <c r="F47" s="34"/>
      <c r="G47" s="28"/>
      <c r="H47" s="28"/>
      <c r="I47" s="28"/>
      <c r="J47" s="27"/>
      <c r="V47" s="129"/>
      <c r="W47" s="117"/>
    </row>
    <row r="48" spans="1:40" ht="16.5" hidden="1">
      <c r="B48" s="180" t="s">
        <v>138</v>
      </c>
      <c r="C48" s="181"/>
      <c r="D48" s="181"/>
      <c r="E48" s="145">
        <f>SUM(E46:E47)</f>
        <v>65.199999999999989</v>
      </c>
      <c r="F48" s="34"/>
      <c r="G48" s="28"/>
      <c r="H48" s="28"/>
      <c r="I48" s="28"/>
      <c r="J48" s="27"/>
      <c r="V48" s="129"/>
      <c r="W48" s="117"/>
    </row>
    <row r="49" spans="2:23" ht="16.5">
      <c r="B49" s="182" t="s">
        <v>155</v>
      </c>
      <c r="C49" s="183"/>
      <c r="D49" s="183"/>
      <c r="E49" s="143">
        <f>IF(AND(E44=0,E45=0,E48=0),"",IF(AND(E44&lt;&gt;0,E45&lt;&gt;0),(E46/E48*E44)+(E47/E48*E45),IF(E44=0,E47/E48*E45,E46/E48*E44)))</f>
        <v>0.14479677914110431</v>
      </c>
      <c r="F49" s="34"/>
      <c r="G49" s="28"/>
      <c r="H49" s="28"/>
      <c r="I49" s="28"/>
      <c r="J49" s="27"/>
      <c r="V49" s="117"/>
      <c r="W49" s="117"/>
    </row>
    <row r="50" spans="2:23" ht="17.25" thickBot="1">
      <c r="B50" s="184" t="s">
        <v>71</v>
      </c>
      <c r="C50" s="185"/>
      <c r="D50" s="185"/>
      <c r="E50" s="166">
        <f>IF($E$49="","",(0.4*$E$49)+(0.3*$E$42)+(0.3*$E$43))</f>
        <v>5.7918711656441725E-2</v>
      </c>
      <c r="F50" s="34"/>
      <c r="G50" s="28"/>
      <c r="H50" s="28"/>
      <c r="I50" s="28"/>
      <c r="J50" s="27"/>
      <c r="V50" s="117"/>
      <c r="W50" s="117"/>
    </row>
    <row r="51" spans="2:23" ht="16.5" hidden="1">
      <c r="B51" s="186" t="s">
        <v>72</v>
      </c>
      <c r="C51" s="187"/>
      <c r="D51" s="187"/>
      <c r="E51" s="165">
        <f>SUMIF(F59:F5002,"신규 개발",L59:L5002)</f>
        <v>0</v>
      </c>
      <c r="F51" s="34"/>
      <c r="G51" s="28"/>
      <c r="H51" s="28"/>
      <c r="I51" s="28"/>
      <c r="J51" s="27"/>
      <c r="V51" s="117"/>
      <c r="W51" s="117"/>
    </row>
    <row r="52" spans="2:23" ht="16.5" hidden="1">
      <c r="B52" s="180" t="s">
        <v>73</v>
      </c>
      <c r="C52" s="181"/>
      <c r="D52" s="181"/>
      <c r="E52" s="139">
        <f>SUMIF(F59:F5002,"수정 없이 재사용",L59:L5002)</f>
        <v>2425.2000000000098</v>
      </c>
      <c r="F52" s="34"/>
      <c r="G52" s="28"/>
      <c r="H52" s="28"/>
      <c r="I52" s="28"/>
      <c r="J52" s="27"/>
      <c r="V52" s="117"/>
      <c r="W52" s="117"/>
    </row>
    <row r="53" spans="2:23" ht="17.25" hidden="1" thickBot="1">
      <c r="B53" s="212" t="s">
        <v>74</v>
      </c>
      <c r="C53" s="213"/>
      <c r="D53" s="213"/>
      <c r="E53" s="146">
        <f>IF(OR($E$50="(선택)",$E$36="(선택)",$E$41="(선택)"),"",IF($E$50&lt;=0.5,$E$48*($E$36+$E$50*100*(1+0.02*($E$40+$E$41)))/100,$E$48*($E$36+$E$50*100+($E$40+$E$41))/100))</f>
        <v>7.3611851999999995</v>
      </c>
      <c r="F53" s="34"/>
      <c r="G53" s="28"/>
      <c r="H53" s="28"/>
      <c r="I53" s="28"/>
      <c r="J53" s="27"/>
      <c r="V53" s="117"/>
      <c r="W53" s="117"/>
    </row>
    <row r="54" spans="2:23" ht="16.5">
      <c r="B54" s="62"/>
      <c r="C54" s="127"/>
      <c r="D54" s="128"/>
      <c r="E54" s="28"/>
      <c r="F54" s="34"/>
      <c r="G54" s="28"/>
      <c r="H54" s="28"/>
      <c r="I54" s="28"/>
      <c r="J54" s="27"/>
      <c r="V54" s="117"/>
    </row>
    <row r="55" spans="2:23" ht="17.25">
      <c r="B55" s="29" t="s">
        <v>156</v>
      </c>
      <c r="C55" s="29"/>
      <c r="D55" s="29"/>
      <c r="E55" s="29"/>
      <c r="F55" s="132"/>
      <c r="G55" s="29"/>
      <c r="H55" s="29"/>
      <c r="I55" s="29"/>
      <c r="J55" s="29"/>
      <c r="K55" s="29"/>
      <c r="L55" s="29"/>
      <c r="M55" s="133"/>
      <c r="N55" s="117"/>
      <c r="O55" s="29"/>
      <c r="P55" s="29"/>
      <c r="Q55" s="29"/>
      <c r="R55" s="29"/>
      <c r="S55" s="29"/>
      <c r="T55" s="29"/>
      <c r="U55" s="29"/>
    </row>
    <row r="56" spans="2:23" ht="17.25">
      <c r="B56" s="29"/>
      <c r="C56" s="29"/>
      <c r="D56" s="29"/>
      <c r="E56" s="29"/>
      <c r="F56" s="132"/>
      <c r="G56" s="29"/>
      <c r="H56" s="29"/>
      <c r="I56" s="29"/>
      <c r="J56" s="29"/>
      <c r="K56" s="29"/>
      <c r="L56" s="29"/>
      <c r="M56" s="29"/>
      <c r="N56" s="117"/>
      <c r="O56" s="29"/>
      <c r="P56" s="29"/>
      <c r="Q56" s="35"/>
      <c r="R56" s="39">
        <f>SUM(R59:R5002)</f>
        <v>1.4999999999999999E-2</v>
      </c>
      <c r="S56" s="35"/>
      <c r="T56" s="36"/>
      <c r="U56" s="39">
        <f>SUM(U59:U5002)</f>
        <v>0.16166811091854419</v>
      </c>
    </row>
    <row r="57" spans="2:23" ht="17.25">
      <c r="B57" s="216" t="s">
        <v>11</v>
      </c>
      <c r="C57" s="217"/>
      <c r="D57" s="217"/>
      <c r="E57" s="218"/>
      <c r="F57" s="216" t="s">
        <v>60</v>
      </c>
      <c r="G57" s="218"/>
      <c r="H57" s="216" t="s">
        <v>10</v>
      </c>
      <c r="I57" s="217"/>
      <c r="J57" s="218"/>
      <c r="K57" s="192" t="s">
        <v>36</v>
      </c>
      <c r="L57" s="193"/>
      <c r="M57" s="194"/>
      <c r="N57" s="215" t="s">
        <v>38</v>
      </c>
      <c r="O57" s="29"/>
      <c r="P57" s="58"/>
      <c r="Q57" s="58"/>
      <c r="R57" s="58"/>
      <c r="S57" s="58"/>
      <c r="T57" s="58"/>
      <c r="U57" s="58"/>
    </row>
    <row r="58" spans="2:23" ht="27">
      <c r="B58" s="105" t="s">
        <v>59</v>
      </c>
      <c r="C58" s="106" t="s">
        <v>16</v>
      </c>
      <c r="D58" s="106" t="s">
        <v>17</v>
      </c>
      <c r="E58" s="107" t="s">
        <v>18</v>
      </c>
      <c r="F58" s="108" t="s">
        <v>26</v>
      </c>
      <c r="G58" s="109" t="s">
        <v>62</v>
      </c>
      <c r="H58" s="108" t="s">
        <v>25</v>
      </c>
      <c r="I58" s="110" t="s">
        <v>27</v>
      </c>
      <c r="J58" s="111" t="s">
        <v>28</v>
      </c>
      <c r="K58" s="102" t="s">
        <v>37</v>
      </c>
      <c r="L58" s="103" t="s">
        <v>61</v>
      </c>
      <c r="M58" s="104" t="s">
        <v>129</v>
      </c>
      <c r="N58" s="215"/>
      <c r="O58" s="29"/>
      <c r="P58" s="59" t="s">
        <v>63</v>
      </c>
      <c r="Q58" s="59" t="s">
        <v>64</v>
      </c>
      <c r="R58" s="60" t="s">
        <v>65</v>
      </c>
      <c r="S58" s="59" t="s">
        <v>66</v>
      </c>
      <c r="T58" s="59" t="s">
        <v>67</v>
      </c>
      <c r="U58" s="60" t="s">
        <v>68</v>
      </c>
    </row>
    <row r="59" spans="2:23" ht="17.25">
      <c r="B59" s="280" t="s">
        <v>159</v>
      </c>
      <c r="C59" s="150" t="s">
        <v>160</v>
      </c>
      <c r="D59" s="280" t="s">
        <v>161</v>
      </c>
      <c r="E59" s="280" t="s">
        <v>162</v>
      </c>
      <c r="F59" s="151" t="s">
        <v>46</v>
      </c>
      <c r="G59" s="152">
        <f>((0.25*100)+(0.45*100)+(0.3*100))/100</f>
        <v>1</v>
      </c>
      <c r="H59" s="153" t="s">
        <v>69</v>
      </c>
      <c r="I59" s="154">
        <v>3</v>
      </c>
      <c r="J59" s="154">
        <v>6</v>
      </c>
      <c r="K59" s="30" t="str">
        <f>IF(H59="","",IF($C$30="간이법","",FPR(H59,I59,J59)))</f>
        <v/>
      </c>
      <c r="L59" s="30">
        <f>IF(H59="","",IF($C$30="상세법",FPV(H59,K59),IF(H59="EI",4,IF(H59="EO",5.2,IF(H59="EQ",3.9,IF(H59="ILF",7.5,IF(H59="EIF",5.4)))))))</f>
        <v>5.2</v>
      </c>
      <c r="M59" s="30">
        <f>IF(OR(G59="",$E$36="(선택)",$E$40="(선택)",$E$41="(선택)",F59="신규 개발",F59="수정 없이 재사용"),"",(IF(F59="수정 후 재사용",IF($E$50&lt;=0.5,L59*($E$36+$E$50*100*(1+0.02*($E$40*$E$41)))/100,L59*($E$36+$E$50*100+($E$40*$E$41))/100))))</f>
        <v>0.4413185766871166</v>
      </c>
      <c r="N59" s="134"/>
      <c r="O59" s="29"/>
      <c r="P59" s="37" t="str">
        <f t="shared" ref="P59" si="0">IF(F59="수정 후 재사용",IF(H59="ILF",G59,IF(H59="EIF",G59,"")),"")</f>
        <v/>
      </c>
      <c r="Q59" s="38" t="str">
        <f>IF(P59&lt;&gt;"",IF(H59="ILF", L59/$E$46,IF(H59="EIF", L59/$E$46,"")),"")</f>
        <v/>
      </c>
      <c r="R59" s="37" t="str">
        <f>IF(P59&lt;&gt;"",P59*Q59,"")</f>
        <v/>
      </c>
      <c r="S59" s="37">
        <f t="shared" ref="S59" si="1">IF(F59="수정 후 재사용",IF(H59="EI",G59,IF(H59="EO",G59,IF(H59="EQ",G59,""))),"")</f>
        <v>1</v>
      </c>
      <c r="T59" s="38">
        <f>IF(S59&lt;&gt;"",IF(H59="EI",L59/$E$47,IF(H59="EO",L59/$E$47,IF(H59="EQ",L59/$E$47,""))),"")</f>
        <v>9.0121317157712308E-2</v>
      </c>
      <c r="U59" s="37">
        <f>IF(S59&lt;&gt;"",S59*T59,"")</f>
        <v>9.0121317157712308E-2</v>
      </c>
    </row>
    <row r="60" spans="2:23" ht="17.25">
      <c r="B60" s="280" t="s">
        <v>159</v>
      </c>
      <c r="C60" s="150" t="s">
        <v>160</v>
      </c>
      <c r="D60" s="280" t="s">
        <v>163</v>
      </c>
      <c r="E60" s="280" t="s">
        <v>164</v>
      </c>
      <c r="F60" s="151" t="s">
        <v>127</v>
      </c>
      <c r="G60" s="152">
        <v>0</v>
      </c>
      <c r="H60" s="153" t="s">
        <v>69</v>
      </c>
      <c r="I60" s="154">
        <v>1</v>
      </c>
      <c r="J60" s="154">
        <v>5</v>
      </c>
      <c r="K60" s="30" t="str">
        <f>IF(H60="","",IF($C$30="간이법","",FPR(H60,I60,J60)))</f>
        <v/>
      </c>
      <c r="L60" s="30">
        <f>IF(H60="","",IF($C$30="상세법",FPV(H60,K60),IF(H60="EI",4,IF(H60="EO",5.2,IF(H60="EQ",3.9,IF(H60="ILF",7.5,IF(H60="EIF",5.4)))))))</f>
        <v>5.2</v>
      </c>
      <c r="M60" s="30" t="str">
        <f t="shared" ref="M60:M123" si="2">IF(OR(G60="",$E$36="(선택)",$E$40="(선택)",$E$41="(선택)",F60="신규 개발",F60="수정 없이 재사용"),"",(IF(F60="수정 후 재사용",IF($E$50&lt;=0.5,L60*($E$36+$E$50*100*(1+0.02*($E$40*$E$41)))/100,L60*($E$36+$E$50*100+($E$40*$E$41))/100))))</f>
        <v/>
      </c>
      <c r="N60" s="134"/>
      <c r="O60" s="29"/>
      <c r="P60" s="37" t="str">
        <f t="shared" ref="P60:P123" si="3">IF(F60="수정 후 재사용",IF(H60="ILF",G60,IF(H60="EIF",G60,"")),"")</f>
        <v/>
      </c>
      <c r="Q60" s="38" t="str">
        <f t="shared" ref="Q60:Q123" si="4">IF(P60&lt;&gt;"",IF(H60="ILF", L60/$E$46,IF(H60="EIF", L60/$E$46,"")),"")</f>
        <v/>
      </c>
      <c r="R60" s="37" t="str">
        <f t="shared" ref="R60:R123" si="5">IF(P60&lt;&gt;"",P60*Q60,"")</f>
        <v/>
      </c>
      <c r="S60" s="37" t="str">
        <f t="shared" ref="S60:S123" si="6">IF(F60="수정 후 재사용",IF(H60="EI",G60,IF(H60="EO",G60,IF(H60="EQ",G60,""))),"")</f>
        <v/>
      </c>
      <c r="T60" s="38" t="str">
        <f t="shared" ref="T60:T123" si="7">IF(S60&lt;&gt;"",IF(H60="EI",L60/$E$47,IF(H60="EO",L60/$E$47,IF(H60="EQ",L60/$E$47,""))),"")</f>
        <v/>
      </c>
      <c r="U60" s="37" t="str">
        <f t="shared" ref="U60:U123" si="8">IF(S60&lt;&gt;"",S60*T60,"")</f>
        <v/>
      </c>
    </row>
    <row r="61" spans="2:23" ht="17.25">
      <c r="B61" s="280" t="s">
        <v>159</v>
      </c>
      <c r="C61" s="150" t="s">
        <v>160</v>
      </c>
      <c r="D61" s="280" t="s">
        <v>165</v>
      </c>
      <c r="E61" s="280" t="s">
        <v>166</v>
      </c>
      <c r="F61" s="151" t="s">
        <v>127</v>
      </c>
      <c r="G61" s="152">
        <v>0</v>
      </c>
      <c r="H61" s="153" t="s">
        <v>69</v>
      </c>
      <c r="I61" s="154">
        <v>1</v>
      </c>
      <c r="J61" s="154">
        <v>5</v>
      </c>
      <c r="K61" s="30" t="str">
        <f>IF(H61="","",IF($C$30="간이법","",FPR(H61,I61,J61)))</f>
        <v/>
      </c>
      <c r="L61" s="30">
        <f>IF(H61="","",IF($C$30="상세법",FPV(H61,K61),IF(H61="EI",4,IF(H61="EO",5.2,IF(H61="EQ",3.9,IF(H61="ILF",7.5,IF(H61="EIF",5.4)))))))</f>
        <v>5.2</v>
      </c>
      <c r="M61" s="30" t="str">
        <f t="shared" si="2"/>
        <v/>
      </c>
      <c r="N61" s="134"/>
      <c r="O61" s="29"/>
      <c r="P61" s="37" t="str">
        <f t="shared" si="3"/>
        <v/>
      </c>
      <c r="Q61" s="38" t="str">
        <f t="shared" si="4"/>
        <v/>
      </c>
      <c r="R61" s="37" t="str">
        <f t="shared" si="5"/>
        <v/>
      </c>
      <c r="S61" s="37" t="str">
        <f t="shared" si="6"/>
        <v/>
      </c>
      <c r="T61" s="38" t="str">
        <f t="shared" si="7"/>
        <v/>
      </c>
      <c r="U61" s="37" t="str">
        <f t="shared" si="8"/>
        <v/>
      </c>
    </row>
    <row r="62" spans="2:23" ht="17.25">
      <c r="B62" s="280" t="s">
        <v>159</v>
      </c>
      <c r="C62" s="150" t="s">
        <v>160</v>
      </c>
      <c r="D62" s="280" t="s">
        <v>167</v>
      </c>
      <c r="E62" s="280" t="s">
        <v>168</v>
      </c>
      <c r="F62" s="151" t="s">
        <v>127</v>
      </c>
      <c r="G62" s="152">
        <v>0</v>
      </c>
      <c r="H62" s="153" t="s">
        <v>69</v>
      </c>
      <c r="I62" s="154">
        <v>1</v>
      </c>
      <c r="J62" s="154">
        <v>5</v>
      </c>
      <c r="K62" s="30" t="str">
        <f>IF(H62="","",IF($C$30="간이법","",FPR(H62,I62,J62)))</f>
        <v/>
      </c>
      <c r="L62" s="30">
        <f>IF(H62="","",IF($C$30="상세법",FPV(H62,K62),IF(H62="EI",4,IF(H62="EO",5.2,IF(H62="EQ",3.9,IF(H62="ILF",7.5,IF(H62="EIF",5.4)))))))</f>
        <v>5.2</v>
      </c>
      <c r="M62" s="30" t="str">
        <f t="shared" si="2"/>
        <v/>
      </c>
      <c r="N62" s="134"/>
      <c r="O62" s="29"/>
      <c r="P62" s="37" t="str">
        <f t="shared" si="3"/>
        <v/>
      </c>
      <c r="Q62" s="38" t="str">
        <f t="shared" si="4"/>
        <v/>
      </c>
      <c r="R62" s="37" t="str">
        <f t="shared" si="5"/>
        <v/>
      </c>
      <c r="S62" s="37" t="str">
        <f t="shared" si="6"/>
        <v/>
      </c>
      <c r="T62" s="38" t="str">
        <f t="shared" si="7"/>
        <v/>
      </c>
      <c r="U62" s="37" t="str">
        <f t="shared" si="8"/>
        <v/>
      </c>
    </row>
    <row r="63" spans="2:23" ht="17.25">
      <c r="B63" s="281" t="s">
        <v>159</v>
      </c>
      <c r="C63" s="281" t="s">
        <v>160</v>
      </c>
      <c r="D63" s="281" t="s">
        <v>169</v>
      </c>
      <c r="E63" s="281" t="s">
        <v>170</v>
      </c>
      <c r="F63" s="151" t="s">
        <v>127</v>
      </c>
      <c r="G63" s="152">
        <v>0</v>
      </c>
      <c r="H63" s="153" t="s">
        <v>70</v>
      </c>
      <c r="I63" s="283">
        <v>2</v>
      </c>
      <c r="J63" s="283">
        <v>7</v>
      </c>
      <c r="K63" s="30" t="str">
        <f>IF(H63="","",IF($C$30="간이법","",FPR(H63,I63,J63)))</f>
        <v/>
      </c>
      <c r="L63" s="30">
        <f>IF(H63="","",IF($C$30="상세법",FPV(H63,K63),IF(H63="EI",4,IF(H63="EO",5.2,IF(H63="EQ",3.9,IF(H63="ILF",7.5,IF(H63="EIF",5.4)))))))</f>
        <v>3.9</v>
      </c>
      <c r="M63" s="30" t="str">
        <f t="shared" si="2"/>
        <v/>
      </c>
      <c r="N63" s="134"/>
      <c r="O63" s="29"/>
      <c r="P63" s="37" t="str">
        <f t="shared" si="3"/>
        <v/>
      </c>
      <c r="Q63" s="38" t="str">
        <f t="shared" si="4"/>
        <v/>
      </c>
      <c r="R63" s="37" t="str">
        <f t="shared" si="5"/>
        <v/>
      </c>
      <c r="S63" s="37" t="str">
        <f t="shared" si="6"/>
        <v/>
      </c>
      <c r="T63" s="38" t="str">
        <f t="shared" si="7"/>
        <v/>
      </c>
      <c r="U63" s="37" t="str">
        <f t="shared" si="8"/>
        <v/>
      </c>
    </row>
    <row r="64" spans="2:23" ht="17.25">
      <c r="B64" s="281" t="s">
        <v>159</v>
      </c>
      <c r="C64" s="281" t="s">
        <v>160</v>
      </c>
      <c r="D64" s="281" t="s">
        <v>171</v>
      </c>
      <c r="E64" s="281" t="s">
        <v>172</v>
      </c>
      <c r="F64" s="151" t="s">
        <v>127</v>
      </c>
      <c r="G64" s="152">
        <v>0</v>
      </c>
      <c r="H64" s="153" t="s">
        <v>70</v>
      </c>
      <c r="I64" s="283">
        <v>2</v>
      </c>
      <c r="J64" s="283">
        <v>7</v>
      </c>
      <c r="K64" s="30" t="str">
        <f>IF(H64="","",IF($C$30="간이법","",FPR(H64,I64,J64)))</f>
        <v/>
      </c>
      <c r="L64" s="30">
        <f>IF(H64="","",IF($C$30="상세법",FPV(H64,K64),IF(H64="EI",4,IF(H64="EO",5.2,IF(H64="EQ",3.9,IF(H64="ILF",7.5,IF(H64="EIF",5.4)))))))</f>
        <v>3.9</v>
      </c>
      <c r="M64" s="30" t="str">
        <f t="shared" si="2"/>
        <v/>
      </c>
      <c r="N64" s="134"/>
      <c r="O64" s="29"/>
      <c r="P64" s="37" t="str">
        <f t="shared" si="3"/>
        <v/>
      </c>
      <c r="Q64" s="38" t="str">
        <f t="shared" si="4"/>
        <v/>
      </c>
      <c r="R64" s="37" t="str">
        <f t="shared" si="5"/>
        <v/>
      </c>
      <c r="S64" s="37" t="str">
        <f t="shared" si="6"/>
        <v/>
      </c>
      <c r="T64" s="38" t="str">
        <f t="shared" si="7"/>
        <v/>
      </c>
      <c r="U64" s="37" t="str">
        <f t="shared" si="8"/>
        <v/>
      </c>
    </row>
    <row r="65" spans="2:21" ht="17.25">
      <c r="B65" s="281" t="s">
        <v>159</v>
      </c>
      <c r="C65" s="281" t="s">
        <v>160</v>
      </c>
      <c r="D65" s="281" t="s">
        <v>173</v>
      </c>
      <c r="E65" s="281" t="s">
        <v>174</v>
      </c>
      <c r="F65" s="151" t="s">
        <v>127</v>
      </c>
      <c r="G65" s="152">
        <v>0</v>
      </c>
      <c r="H65" s="153" t="s">
        <v>70</v>
      </c>
      <c r="I65" s="283">
        <v>2</v>
      </c>
      <c r="J65" s="283">
        <v>6</v>
      </c>
      <c r="K65" s="30" t="str">
        <f>IF(H65="","",IF($C$30="간이법","",FPR(H65,I65,J65)))</f>
        <v/>
      </c>
      <c r="L65" s="30">
        <f>IF(H65="","",IF($C$30="상세법",FPV(H65,K65),IF(H65="EI",4,IF(H65="EO",5.2,IF(H65="EQ",3.9,IF(H65="ILF",7.5,IF(H65="EIF",5.4)))))))</f>
        <v>3.9</v>
      </c>
      <c r="M65" s="30" t="str">
        <f t="shared" si="2"/>
        <v/>
      </c>
      <c r="N65" s="134"/>
      <c r="O65" s="29"/>
      <c r="P65" s="37" t="str">
        <f t="shared" si="3"/>
        <v/>
      </c>
      <c r="Q65" s="38" t="str">
        <f t="shared" si="4"/>
        <v/>
      </c>
      <c r="R65" s="37" t="str">
        <f t="shared" si="5"/>
        <v/>
      </c>
      <c r="S65" s="37" t="str">
        <f t="shared" si="6"/>
        <v/>
      </c>
      <c r="T65" s="38" t="str">
        <f t="shared" si="7"/>
        <v/>
      </c>
      <c r="U65" s="37" t="str">
        <f t="shared" si="8"/>
        <v/>
      </c>
    </row>
    <row r="66" spans="2:21" ht="17.25">
      <c r="B66" s="281" t="s">
        <v>159</v>
      </c>
      <c r="C66" s="281" t="s">
        <v>160</v>
      </c>
      <c r="D66" s="281" t="s">
        <v>175</v>
      </c>
      <c r="E66" s="281" t="s">
        <v>176</v>
      </c>
      <c r="F66" s="151" t="s">
        <v>127</v>
      </c>
      <c r="G66" s="152">
        <v>0</v>
      </c>
      <c r="H66" s="153" t="s">
        <v>70</v>
      </c>
      <c r="I66" s="283">
        <v>2</v>
      </c>
      <c r="J66" s="283">
        <v>9</v>
      </c>
      <c r="K66" s="30" t="str">
        <f>IF(H66="","",IF($C$30="간이법","",FPR(H66,I66,J66)))</f>
        <v/>
      </c>
      <c r="L66" s="30">
        <f>IF(H66="","",IF($C$30="상세법",FPV(H66,K66),IF(H66="EI",4,IF(H66="EO",5.2,IF(H66="EQ",3.9,IF(H66="ILF",7.5,IF(H66="EIF",5.4)))))))</f>
        <v>3.9</v>
      </c>
      <c r="M66" s="30" t="str">
        <f t="shared" si="2"/>
        <v/>
      </c>
      <c r="N66" s="134"/>
      <c r="O66" s="29"/>
      <c r="P66" s="37" t="str">
        <f t="shared" si="3"/>
        <v/>
      </c>
      <c r="Q66" s="38" t="str">
        <f t="shared" si="4"/>
        <v/>
      </c>
      <c r="R66" s="37" t="str">
        <f t="shared" si="5"/>
        <v/>
      </c>
      <c r="S66" s="37" t="str">
        <f t="shared" si="6"/>
        <v/>
      </c>
      <c r="T66" s="38" t="str">
        <f t="shared" si="7"/>
        <v/>
      </c>
      <c r="U66" s="37" t="str">
        <f t="shared" si="8"/>
        <v/>
      </c>
    </row>
    <row r="67" spans="2:21" ht="17.25">
      <c r="B67" s="281" t="s">
        <v>159</v>
      </c>
      <c r="C67" s="281" t="s">
        <v>160</v>
      </c>
      <c r="D67" s="281" t="s">
        <v>177</v>
      </c>
      <c r="E67" s="281" t="s">
        <v>178</v>
      </c>
      <c r="F67" s="151" t="s">
        <v>127</v>
      </c>
      <c r="G67" s="152">
        <v>0</v>
      </c>
      <c r="H67" s="153" t="s">
        <v>70</v>
      </c>
      <c r="I67" s="283">
        <v>2</v>
      </c>
      <c r="J67" s="283">
        <v>7</v>
      </c>
      <c r="K67" s="30" t="str">
        <f>IF(H67="","",IF($C$30="간이법","",FPR(H67,I67,J67)))</f>
        <v/>
      </c>
      <c r="L67" s="30">
        <f>IF(H67="","",IF($C$30="상세법",FPV(H67,K67),IF(H67="EI",4,IF(H67="EO",5.2,IF(H67="EQ",3.9,IF(H67="ILF",7.5,IF(H67="EIF",5.4)))))))</f>
        <v>3.9</v>
      </c>
      <c r="M67" s="30" t="str">
        <f t="shared" si="2"/>
        <v/>
      </c>
      <c r="N67" s="134"/>
      <c r="O67" s="29"/>
      <c r="P67" s="37" t="str">
        <f t="shared" si="3"/>
        <v/>
      </c>
      <c r="Q67" s="38" t="str">
        <f t="shared" si="4"/>
        <v/>
      </c>
      <c r="R67" s="37" t="str">
        <f t="shared" si="5"/>
        <v/>
      </c>
      <c r="S67" s="37" t="str">
        <f t="shared" si="6"/>
        <v/>
      </c>
      <c r="T67" s="38" t="str">
        <f t="shared" si="7"/>
        <v/>
      </c>
      <c r="U67" s="37" t="str">
        <f t="shared" si="8"/>
        <v/>
      </c>
    </row>
    <row r="68" spans="2:21" ht="27">
      <c r="B68" s="282" t="s">
        <v>159</v>
      </c>
      <c r="C68" s="156" t="s">
        <v>160</v>
      </c>
      <c r="D68" s="157" t="s">
        <v>179</v>
      </c>
      <c r="E68" s="281" t="s">
        <v>180</v>
      </c>
      <c r="F68" s="151" t="s">
        <v>127</v>
      </c>
      <c r="G68" s="152">
        <v>0</v>
      </c>
      <c r="H68" s="153" t="s">
        <v>8</v>
      </c>
      <c r="I68" s="154">
        <v>2</v>
      </c>
      <c r="J68" s="154">
        <v>22</v>
      </c>
      <c r="K68" s="30" t="str">
        <f>IF(H68="","",IF($C$30="간이법","",FPR(H68,I68,J68)))</f>
        <v/>
      </c>
      <c r="L68" s="30">
        <f>IF(H68="","",IF($C$30="상세법",FPV(H68,K68),IF(H68="EI",4,IF(H68="EO",5.2,IF(H68="EQ",3.9,IF(H68="ILF",7.5,IF(H68="EIF",5.4)))))))</f>
        <v>4</v>
      </c>
      <c r="M68" s="30" t="str">
        <f t="shared" si="2"/>
        <v/>
      </c>
      <c r="N68" s="134"/>
      <c r="O68" s="29"/>
      <c r="P68" s="37" t="str">
        <f t="shared" si="3"/>
        <v/>
      </c>
      <c r="Q68" s="38" t="str">
        <f t="shared" si="4"/>
        <v/>
      </c>
      <c r="R68" s="37" t="str">
        <f t="shared" si="5"/>
        <v/>
      </c>
      <c r="S68" s="37" t="str">
        <f t="shared" si="6"/>
        <v/>
      </c>
      <c r="T68" s="38" t="str">
        <f t="shared" si="7"/>
        <v/>
      </c>
      <c r="U68" s="37" t="str">
        <f t="shared" si="8"/>
        <v/>
      </c>
    </row>
    <row r="69" spans="2:21" ht="27">
      <c r="B69" s="282" t="s">
        <v>159</v>
      </c>
      <c r="C69" s="156" t="s">
        <v>160</v>
      </c>
      <c r="D69" s="157" t="s">
        <v>181</v>
      </c>
      <c r="E69" s="281" t="s">
        <v>182</v>
      </c>
      <c r="F69" s="151" t="s">
        <v>127</v>
      </c>
      <c r="G69" s="152">
        <v>0</v>
      </c>
      <c r="H69" s="153" t="s">
        <v>8</v>
      </c>
      <c r="I69" s="154">
        <v>2</v>
      </c>
      <c r="J69" s="154">
        <v>22</v>
      </c>
      <c r="K69" s="30" t="str">
        <f>IF(H69="","",IF($C$30="간이법","",FPR(H69,I69,J69)))</f>
        <v/>
      </c>
      <c r="L69" s="30">
        <f>IF(H69="","",IF($C$30="상세법",FPV(H69,K69),IF(H69="EI",4,IF(H69="EO",5.2,IF(H69="EQ",3.9,IF(H69="ILF",7.5,IF(H69="EIF",5.4)))))))</f>
        <v>4</v>
      </c>
      <c r="M69" s="30" t="str">
        <f t="shared" si="2"/>
        <v/>
      </c>
      <c r="N69" s="134"/>
      <c r="O69" s="29"/>
      <c r="P69" s="37" t="str">
        <f t="shared" si="3"/>
        <v/>
      </c>
      <c r="Q69" s="38" t="str">
        <f t="shared" si="4"/>
        <v/>
      </c>
      <c r="R69" s="37" t="str">
        <f t="shared" si="5"/>
        <v/>
      </c>
      <c r="S69" s="37" t="str">
        <f t="shared" si="6"/>
        <v/>
      </c>
      <c r="T69" s="38" t="str">
        <f t="shared" si="7"/>
        <v/>
      </c>
      <c r="U69" s="37" t="str">
        <f t="shared" si="8"/>
        <v/>
      </c>
    </row>
    <row r="70" spans="2:21" ht="27">
      <c r="B70" s="282" t="s">
        <v>159</v>
      </c>
      <c r="C70" s="156" t="s">
        <v>160</v>
      </c>
      <c r="D70" s="157" t="s">
        <v>183</v>
      </c>
      <c r="E70" s="281" t="s">
        <v>184</v>
      </c>
      <c r="F70" s="151" t="s">
        <v>127</v>
      </c>
      <c r="G70" s="152">
        <v>0</v>
      </c>
      <c r="H70" s="153" t="s">
        <v>8</v>
      </c>
      <c r="I70" s="154">
        <v>4</v>
      </c>
      <c r="J70" s="154">
        <v>3</v>
      </c>
      <c r="K70" s="30" t="str">
        <f>IF(H70="","",IF($C$30="간이법","",FPR(H70,I70,J70)))</f>
        <v/>
      </c>
      <c r="L70" s="30">
        <f>IF(H70="","",IF($C$30="상세법",FPV(H70,K70),IF(H70="EI",4,IF(H70="EO",5.2,IF(H70="EQ",3.9,IF(H70="ILF",7.5,IF(H70="EIF",5.4)))))))</f>
        <v>4</v>
      </c>
      <c r="M70" s="30" t="str">
        <f t="shared" si="2"/>
        <v/>
      </c>
      <c r="N70" s="134"/>
      <c r="O70" s="29"/>
      <c r="P70" s="37" t="str">
        <f t="shared" si="3"/>
        <v/>
      </c>
      <c r="Q70" s="38" t="str">
        <f t="shared" si="4"/>
        <v/>
      </c>
      <c r="R70" s="37" t="str">
        <f t="shared" si="5"/>
        <v/>
      </c>
      <c r="S70" s="37" t="str">
        <f t="shared" si="6"/>
        <v/>
      </c>
      <c r="T70" s="38" t="str">
        <f t="shared" si="7"/>
        <v/>
      </c>
      <c r="U70" s="37" t="str">
        <f t="shared" si="8"/>
        <v/>
      </c>
    </row>
    <row r="71" spans="2:21" ht="27">
      <c r="B71" s="282" t="s">
        <v>159</v>
      </c>
      <c r="C71" s="156" t="s">
        <v>160</v>
      </c>
      <c r="D71" s="157" t="s">
        <v>185</v>
      </c>
      <c r="E71" s="281" t="s">
        <v>186</v>
      </c>
      <c r="F71" s="151" t="s">
        <v>127</v>
      </c>
      <c r="G71" s="152">
        <v>0</v>
      </c>
      <c r="H71" s="153" t="s">
        <v>70</v>
      </c>
      <c r="I71" s="154">
        <v>2</v>
      </c>
      <c r="J71" s="154">
        <v>7</v>
      </c>
      <c r="K71" s="30" t="str">
        <f>IF(H71="","",IF($C$30="간이법","",FPR(H71,I71,J71)))</f>
        <v/>
      </c>
      <c r="L71" s="30">
        <f>IF(H71="","",IF($C$30="상세법",FPV(H71,K71),IF(H71="EI",4,IF(H71="EO",5.2,IF(H71="EQ",3.9,IF(H71="ILF",7.5,IF(H71="EIF",5.4)))))))</f>
        <v>3.9</v>
      </c>
      <c r="M71" s="30" t="str">
        <f t="shared" si="2"/>
        <v/>
      </c>
      <c r="N71" s="134"/>
      <c r="O71" s="29"/>
      <c r="P71" s="37" t="str">
        <f t="shared" si="3"/>
        <v/>
      </c>
      <c r="Q71" s="38" t="str">
        <f t="shared" si="4"/>
        <v/>
      </c>
      <c r="R71" s="37" t="str">
        <f t="shared" si="5"/>
        <v/>
      </c>
      <c r="S71" s="37" t="str">
        <f t="shared" si="6"/>
        <v/>
      </c>
      <c r="T71" s="38" t="str">
        <f t="shared" si="7"/>
        <v/>
      </c>
      <c r="U71" s="37" t="str">
        <f t="shared" si="8"/>
        <v/>
      </c>
    </row>
    <row r="72" spans="2:21" ht="27">
      <c r="B72" s="282" t="s">
        <v>159</v>
      </c>
      <c r="C72" s="156" t="s">
        <v>160</v>
      </c>
      <c r="D72" s="157" t="s">
        <v>187</v>
      </c>
      <c r="E72" s="281" t="s">
        <v>188</v>
      </c>
      <c r="F72" s="151" t="s">
        <v>127</v>
      </c>
      <c r="G72" s="152">
        <v>0</v>
      </c>
      <c r="H72" s="153" t="s">
        <v>70</v>
      </c>
      <c r="I72" s="154">
        <v>4</v>
      </c>
      <c r="J72" s="154">
        <v>17</v>
      </c>
      <c r="K72" s="30" t="str">
        <f>IF(H72="","",IF($C$30="간이법","",FPR(H72,I72,J72)))</f>
        <v/>
      </c>
      <c r="L72" s="30">
        <f>IF(H72="","",IF($C$30="상세법",FPV(H72,K72),IF(H72="EI",4,IF(H72="EO",5.2,IF(H72="EQ",3.9,IF(H72="ILF",7.5,IF(H72="EIF",5.4)))))))</f>
        <v>3.9</v>
      </c>
      <c r="M72" s="30" t="str">
        <f t="shared" si="2"/>
        <v/>
      </c>
      <c r="N72" s="134"/>
      <c r="O72" s="29"/>
      <c r="P72" s="37" t="str">
        <f t="shared" si="3"/>
        <v/>
      </c>
      <c r="Q72" s="38" t="str">
        <f t="shared" si="4"/>
        <v/>
      </c>
      <c r="R72" s="37" t="str">
        <f t="shared" si="5"/>
        <v/>
      </c>
      <c r="S72" s="37" t="str">
        <f t="shared" si="6"/>
        <v/>
      </c>
      <c r="T72" s="38" t="str">
        <f t="shared" si="7"/>
        <v/>
      </c>
      <c r="U72" s="37" t="str">
        <f t="shared" si="8"/>
        <v/>
      </c>
    </row>
    <row r="73" spans="2:21" ht="27">
      <c r="B73" s="282" t="s">
        <v>159</v>
      </c>
      <c r="C73" s="156" t="s">
        <v>160</v>
      </c>
      <c r="D73" s="157" t="s">
        <v>189</v>
      </c>
      <c r="E73" s="281" t="s">
        <v>190</v>
      </c>
      <c r="F73" s="151" t="s">
        <v>127</v>
      </c>
      <c r="G73" s="152">
        <v>0</v>
      </c>
      <c r="H73" s="153" t="s">
        <v>8</v>
      </c>
      <c r="I73" s="154">
        <v>1</v>
      </c>
      <c r="J73" s="154">
        <v>6</v>
      </c>
      <c r="K73" s="30" t="str">
        <f>IF(H73="","",IF($C$30="간이법","",FPR(H73,I73,J73)))</f>
        <v/>
      </c>
      <c r="L73" s="30">
        <f>IF(H73="","",IF($C$30="상세법",FPV(H73,K73),IF(H73="EI",4,IF(H73="EO",5.2,IF(H73="EQ",3.9,IF(H73="ILF",7.5,IF(H73="EIF",5.4)))))))</f>
        <v>4</v>
      </c>
      <c r="M73" s="30" t="str">
        <f t="shared" si="2"/>
        <v/>
      </c>
      <c r="N73" s="134"/>
      <c r="O73" s="29"/>
      <c r="P73" s="37" t="str">
        <f t="shared" si="3"/>
        <v/>
      </c>
      <c r="Q73" s="38" t="str">
        <f t="shared" si="4"/>
        <v/>
      </c>
      <c r="R73" s="37" t="str">
        <f t="shared" si="5"/>
        <v/>
      </c>
      <c r="S73" s="37" t="str">
        <f t="shared" si="6"/>
        <v/>
      </c>
      <c r="T73" s="38" t="str">
        <f t="shared" si="7"/>
        <v/>
      </c>
      <c r="U73" s="37" t="str">
        <f t="shared" si="8"/>
        <v/>
      </c>
    </row>
    <row r="74" spans="2:21" ht="27">
      <c r="B74" s="282" t="s">
        <v>159</v>
      </c>
      <c r="C74" s="156" t="s">
        <v>160</v>
      </c>
      <c r="D74" s="157" t="s">
        <v>191</v>
      </c>
      <c r="E74" s="281" t="s">
        <v>192</v>
      </c>
      <c r="F74" s="151" t="s">
        <v>127</v>
      </c>
      <c r="G74" s="152">
        <v>0</v>
      </c>
      <c r="H74" s="153" t="s">
        <v>8</v>
      </c>
      <c r="I74" s="154">
        <v>4</v>
      </c>
      <c r="J74" s="154">
        <v>16</v>
      </c>
      <c r="K74" s="30" t="str">
        <f>IF(H74="","",IF($C$30="간이법","",FPR(H74,I74,J74)))</f>
        <v/>
      </c>
      <c r="L74" s="30">
        <f>IF(H74="","",IF($C$30="상세법",FPV(H74,K74),IF(H74="EI",4,IF(H74="EO",5.2,IF(H74="EQ",3.9,IF(H74="ILF",7.5,IF(H74="EIF",5.4)))))))</f>
        <v>4</v>
      </c>
      <c r="M74" s="30" t="str">
        <f t="shared" si="2"/>
        <v/>
      </c>
      <c r="N74" s="134"/>
      <c r="O74" s="29"/>
      <c r="P74" s="37" t="str">
        <f t="shared" si="3"/>
        <v/>
      </c>
      <c r="Q74" s="38" t="str">
        <f t="shared" si="4"/>
        <v/>
      </c>
      <c r="R74" s="37" t="str">
        <f t="shared" si="5"/>
        <v/>
      </c>
      <c r="S74" s="37" t="str">
        <f t="shared" si="6"/>
        <v/>
      </c>
      <c r="T74" s="38" t="str">
        <f t="shared" si="7"/>
        <v/>
      </c>
      <c r="U74" s="37" t="str">
        <f t="shared" si="8"/>
        <v/>
      </c>
    </row>
    <row r="75" spans="2:21" ht="27">
      <c r="B75" s="282" t="s">
        <v>159</v>
      </c>
      <c r="C75" s="156" t="s">
        <v>160</v>
      </c>
      <c r="D75" s="157" t="s">
        <v>193</v>
      </c>
      <c r="E75" s="281" t="s">
        <v>194</v>
      </c>
      <c r="F75" s="151" t="s">
        <v>127</v>
      </c>
      <c r="G75" s="152">
        <v>0</v>
      </c>
      <c r="H75" s="153" t="s">
        <v>8</v>
      </c>
      <c r="I75" s="154">
        <v>4</v>
      </c>
      <c r="J75" s="154">
        <v>42</v>
      </c>
      <c r="K75" s="30" t="str">
        <f>IF(H75="","",IF($C$30="간이법","",FPR(H75,I75,J75)))</f>
        <v/>
      </c>
      <c r="L75" s="30">
        <f>IF(H75="","",IF($C$30="상세법",FPV(H75,K75),IF(H75="EI",4,IF(H75="EO",5.2,IF(H75="EQ",3.9,IF(H75="ILF",7.5,IF(H75="EIF",5.4)))))))</f>
        <v>4</v>
      </c>
      <c r="M75" s="30" t="str">
        <f t="shared" si="2"/>
        <v/>
      </c>
      <c r="N75" s="134"/>
      <c r="O75" s="29"/>
      <c r="P75" s="37" t="str">
        <f t="shared" si="3"/>
        <v/>
      </c>
      <c r="Q75" s="38" t="str">
        <f t="shared" si="4"/>
        <v/>
      </c>
      <c r="R75" s="37" t="str">
        <f t="shared" si="5"/>
        <v/>
      </c>
      <c r="S75" s="37" t="str">
        <f t="shared" si="6"/>
        <v/>
      </c>
      <c r="T75" s="38" t="str">
        <f t="shared" si="7"/>
        <v/>
      </c>
      <c r="U75" s="37" t="str">
        <f t="shared" si="8"/>
        <v/>
      </c>
    </row>
    <row r="76" spans="2:21" ht="27">
      <c r="B76" s="282" t="s">
        <v>159</v>
      </c>
      <c r="C76" s="156" t="s">
        <v>160</v>
      </c>
      <c r="D76" s="157" t="s">
        <v>195</v>
      </c>
      <c r="E76" s="281" t="s">
        <v>196</v>
      </c>
      <c r="F76" s="151" t="s">
        <v>127</v>
      </c>
      <c r="G76" s="152">
        <v>0</v>
      </c>
      <c r="H76" s="153" t="s">
        <v>8</v>
      </c>
      <c r="I76" s="154">
        <v>4</v>
      </c>
      <c r="J76" s="154">
        <v>3</v>
      </c>
      <c r="K76" s="30" t="str">
        <f>IF(H76="","",IF($C$30="간이법","",FPR(H76,I76,J76)))</f>
        <v/>
      </c>
      <c r="L76" s="30">
        <f>IF(H76="","",IF($C$30="상세법",FPV(H76,K76),IF(H76="EI",4,IF(H76="EO",5.2,IF(H76="EQ",3.9,IF(H76="ILF",7.5,IF(H76="EIF",5.4)))))))</f>
        <v>4</v>
      </c>
      <c r="M76" s="30" t="str">
        <f t="shared" si="2"/>
        <v/>
      </c>
      <c r="N76" s="134"/>
      <c r="O76" s="29"/>
      <c r="P76" s="37" t="str">
        <f t="shared" si="3"/>
        <v/>
      </c>
      <c r="Q76" s="38" t="str">
        <f t="shared" si="4"/>
        <v/>
      </c>
      <c r="R76" s="37" t="str">
        <f t="shared" si="5"/>
        <v/>
      </c>
      <c r="S76" s="37" t="str">
        <f t="shared" si="6"/>
        <v/>
      </c>
      <c r="T76" s="38" t="str">
        <f t="shared" si="7"/>
        <v/>
      </c>
      <c r="U76" s="37" t="str">
        <f t="shared" si="8"/>
        <v/>
      </c>
    </row>
    <row r="77" spans="2:21" ht="27">
      <c r="B77" s="282" t="s">
        <v>159</v>
      </c>
      <c r="C77" s="156" t="s">
        <v>160</v>
      </c>
      <c r="D77" s="157" t="s">
        <v>197</v>
      </c>
      <c r="E77" s="281" t="s">
        <v>198</v>
      </c>
      <c r="F77" s="151" t="s">
        <v>127</v>
      </c>
      <c r="G77" s="152">
        <v>0</v>
      </c>
      <c r="H77" s="153" t="s">
        <v>70</v>
      </c>
      <c r="I77" s="154">
        <v>2</v>
      </c>
      <c r="J77" s="154">
        <v>6</v>
      </c>
      <c r="K77" s="30" t="str">
        <f>IF(H77="","",IF($C$30="간이법","",FPR(H77,I77,J77)))</f>
        <v/>
      </c>
      <c r="L77" s="30">
        <f>IF(H77="","",IF($C$30="상세법",FPV(H77,K77),IF(H77="EI",4,IF(H77="EO",5.2,IF(H77="EQ",3.9,IF(H77="ILF",7.5,IF(H77="EIF",5.4)))))))</f>
        <v>3.9</v>
      </c>
      <c r="M77" s="30" t="str">
        <f t="shared" si="2"/>
        <v/>
      </c>
      <c r="N77" s="134"/>
      <c r="O77" s="29"/>
      <c r="P77" s="37" t="str">
        <f t="shared" si="3"/>
        <v/>
      </c>
      <c r="Q77" s="38" t="str">
        <f t="shared" si="4"/>
        <v/>
      </c>
      <c r="R77" s="37" t="str">
        <f t="shared" si="5"/>
        <v/>
      </c>
      <c r="S77" s="37" t="str">
        <f t="shared" si="6"/>
        <v/>
      </c>
      <c r="T77" s="38" t="str">
        <f t="shared" si="7"/>
        <v/>
      </c>
      <c r="U77" s="37" t="str">
        <f t="shared" si="8"/>
        <v/>
      </c>
    </row>
    <row r="78" spans="2:21" ht="27">
      <c r="B78" s="282" t="s">
        <v>159</v>
      </c>
      <c r="C78" s="156" t="s">
        <v>160</v>
      </c>
      <c r="D78" s="157" t="s">
        <v>199</v>
      </c>
      <c r="E78" s="281" t="s">
        <v>200</v>
      </c>
      <c r="F78" s="151" t="s">
        <v>127</v>
      </c>
      <c r="G78" s="152">
        <v>0</v>
      </c>
      <c r="H78" s="153" t="s">
        <v>70</v>
      </c>
      <c r="I78" s="154">
        <v>1</v>
      </c>
      <c r="J78" s="154">
        <v>36</v>
      </c>
      <c r="K78" s="30" t="str">
        <f>IF(H78="","",IF($C$30="간이법","",FPR(H78,I78,J78)))</f>
        <v/>
      </c>
      <c r="L78" s="30">
        <f>IF(H78="","",IF($C$30="상세법",FPV(H78,K78),IF(H78="EI",4,IF(H78="EO",5.2,IF(H78="EQ",3.9,IF(H78="ILF",7.5,IF(H78="EIF",5.4)))))))</f>
        <v>3.9</v>
      </c>
      <c r="M78" s="30" t="str">
        <f t="shared" si="2"/>
        <v/>
      </c>
      <c r="N78" s="134"/>
      <c r="O78" s="29"/>
      <c r="P78" s="37" t="str">
        <f t="shared" si="3"/>
        <v/>
      </c>
      <c r="Q78" s="38" t="str">
        <f t="shared" si="4"/>
        <v/>
      </c>
      <c r="R78" s="37" t="str">
        <f t="shared" si="5"/>
        <v/>
      </c>
      <c r="S78" s="37" t="str">
        <f t="shared" si="6"/>
        <v/>
      </c>
      <c r="T78" s="38" t="str">
        <f t="shared" si="7"/>
        <v/>
      </c>
      <c r="U78" s="37" t="str">
        <f t="shared" si="8"/>
        <v/>
      </c>
    </row>
    <row r="79" spans="2:21" ht="27">
      <c r="B79" s="282" t="s">
        <v>159</v>
      </c>
      <c r="C79" s="156" t="s">
        <v>160</v>
      </c>
      <c r="D79" s="157" t="s">
        <v>201</v>
      </c>
      <c r="E79" s="281" t="s">
        <v>202</v>
      </c>
      <c r="F79" s="151" t="s">
        <v>127</v>
      </c>
      <c r="G79" s="152">
        <v>0</v>
      </c>
      <c r="H79" s="153" t="s">
        <v>70</v>
      </c>
      <c r="I79" s="154">
        <v>2</v>
      </c>
      <c r="J79" s="154">
        <v>6</v>
      </c>
      <c r="K79" s="30" t="str">
        <f>IF(H79="","",IF($C$30="간이법","",FPR(H79,I79,J79)))</f>
        <v/>
      </c>
      <c r="L79" s="30">
        <f>IF(H79="","",IF($C$30="상세법",FPV(H79,K79),IF(H79="EI",4,IF(H79="EO",5.2,IF(H79="EQ",3.9,IF(H79="ILF",7.5,IF(H79="EIF",5.4)))))))</f>
        <v>3.9</v>
      </c>
      <c r="M79" s="30" t="str">
        <f t="shared" si="2"/>
        <v/>
      </c>
      <c r="N79" s="134"/>
      <c r="O79" s="29"/>
      <c r="P79" s="37" t="str">
        <f t="shared" si="3"/>
        <v/>
      </c>
      <c r="Q79" s="38" t="str">
        <f t="shared" si="4"/>
        <v/>
      </c>
      <c r="R79" s="37" t="str">
        <f t="shared" si="5"/>
        <v/>
      </c>
      <c r="S79" s="37" t="str">
        <f t="shared" si="6"/>
        <v/>
      </c>
      <c r="T79" s="38" t="str">
        <f t="shared" si="7"/>
        <v/>
      </c>
      <c r="U79" s="37" t="str">
        <f t="shared" si="8"/>
        <v/>
      </c>
    </row>
    <row r="80" spans="2:21" ht="17.25">
      <c r="B80" s="281" t="s">
        <v>159</v>
      </c>
      <c r="C80" s="281" t="s">
        <v>160</v>
      </c>
      <c r="D80" s="281" t="s">
        <v>203</v>
      </c>
      <c r="E80" s="281" t="s">
        <v>204</v>
      </c>
      <c r="F80" s="151" t="s">
        <v>127</v>
      </c>
      <c r="G80" s="152">
        <v>0</v>
      </c>
      <c r="H80" s="153" t="s">
        <v>70</v>
      </c>
      <c r="I80" s="283">
        <v>1</v>
      </c>
      <c r="J80" s="283">
        <v>6</v>
      </c>
      <c r="K80" s="30" t="str">
        <f>IF(H80="","",IF($C$30="간이법","",FPR(H80,I80,J80)))</f>
        <v/>
      </c>
      <c r="L80" s="30">
        <f>IF(H80="","",IF($C$30="상세법",FPV(H80,K80),IF(H80="EI",4,IF(H80="EO",5.2,IF(H80="EQ",3.9,IF(H80="ILF",7.5,IF(H80="EIF",5.4)))))))</f>
        <v>3.9</v>
      </c>
      <c r="M80" s="30" t="str">
        <f t="shared" si="2"/>
        <v/>
      </c>
      <c r="N80" s="134"/>
      <c r="O80" s="29"/>
      <c r="P80" s="37" t="str">
        <f t="shared" si="3"/>
        <v/>
      </c>
      <c r="Q80" s="38" t="str">
        <f t="shared" si="4"/>
        <v/>
      </c>
      <c r="R80" s="37" t="str">
        <f t="shared" si="5"/>
        <v/>
      </c>
      <c r="S80" s="37" t="str">
        <f t="shared" si="6"/>
        <v/>
      </c>
      <c r="T80" s="38" t="str">
        <f t="shared" si="7"/>
        <v/>
      </c>
      <c r="U80" s="37" t="str">
        <f t="shared" si="8"/>
        <v/>
      </c>
    </row>
    <row r="81" spans="2:21" ht="17.25">
      <c r="B81" s="281" t="s">
        <v>159</v>
      </c>
      <c r="C81" s="281" t="s">
        <v>160</v>
      </c>
      <c r="D81" s="281" t="s">
        <v>205</v>
      </c>
      <c r="E81" s="281" t="s">
        <v>206</v>
      </c>
      <c r="F81" s="151" t="s">
        <v>127</v>
      </c>
      <c r="G81" s="152">
        <v>0</v>
      </c>
      <c r="H81" s="153" t="s">
        <v>70</v>
      </c>
      <c r="I81" s="283">
        <v>3</v>
      </c>
      <c r="J81" s="283">
        <v>30</v>
      </c>
      <c r="K81" s="30" t="str">
        <f>IF(H81="","",IF($C$30="간이법","",FPR(H81,I81,J81)))</f>
        <v/>
      </c>
      <c r="L81" s="30">
        <f>IF(H81="","",IF($C$30="상세법",FPV(H81,K81),IF(H81="EI",4,IF(H81="EO",5.2,IF(H81="EQ",3.9,IF(H81="ILF",7.5,IF(H81="EIF",5.4)))))))</f>
        <v>3.9</v>
      </c>
      <c r="M81" s="30" t="str">
        <f t="shared" si="2"/>
        <v/>
      </c>
      <c r="N81" s="134"/>
      <c r="O81" s="29"/>
      <c r="P81" s="37" t="str">
        <f t="shared" si="3"/>
        <v/>
      </c>
      <c r="Q81" s="38" t="str">
        <f t="shared" si="4"/>
        <v/>
      </c>
      <c r="R81" s="37" t="str">
        <f t="shared" si="5"/>
        <v/>
      </c>
      <c r="S81" s="37" t="str">
        <f t="shared" si="6"/>
        <v/>
      </c>
      <c r="T81" s="38" t="str">
        <f t="shared" si="7"/>
        <v/>
      </c>
      <c r="U81" s="37" t="str">
        <f t="shared" si="8"/>
        <v/>
      </c>
    </row>
    <row r="82" spans="2:21" ht="17.25">
      <c r="B82" s="281" t="s">
        <v>159</v>
      </c>
      <c r="C82" s="281" t="s">
        <v>160</v>
      </c>
      <c r="D82" s="281" t="s">
        <v>207</v>
      </c>
      <c r="E82" s="281" t="s">
        <v>208</v>
      </c>
      <c r="F82" s="151" t="s">
        <v>127</v>
      </c>
      <c r="G82" s="152">
        <v>0</v>
      </c>
      <c r="H82" s="153" t="s">
        <v>8</v>
      </c>
      <c r="I82" s="283">
        <v>3</v>
      </c>
      <c r="J82" s="283">
        <v>36</v>
      </c>
      <c r="K82" s="30" t="str">
        <f>IF(H82="","",IF($C$30="간이법","",FPR(H82,I82,J82)))</f>
        <v/>
      </c>
      <c r="L82" s="30">
        <f>IF(H82="","",IF($C$30="상세법",FPV(H82,K82),IF(H82="EI",4,IF(H82="EO",5.2,IF(H82="EQ",3.9,IF(H82="ILF",7.5,IF(H82="EIF",5.4)))))))</f>
        <v>4</v>
      </c>
      <c r="M82" s="30" t="str">
        <f t="shared" si="2"/>
        <v/>
      </c>
      <c r="N82" s="134"/>
      <c r="O82" s="29"/>
      <c r="P82" s="37" t="str">
        <f t="shared" si="3"/>
        <v/>
      </c>
      <c r="Q82" s="38" t="str">
        <f t="shared" si="4"/>
        <v/>
      </c>
      <c r="R82" s="37" t="str">
        <f t="shared" si="5"/>
        <v/>
      </c>
      <c r="S82" s="37" t="str">
        <f t="shared" si="6"/>
        <v/>
      </c>
      <c r="T82" s="38" t="str">
        <f t="shared" si="7"/>
        <v/>
      </c>
      <c r="U82" s="37" t="str">
        <f t="shared" si="8"/>
        <v/>
      </c>
    </row>
    <row r="83" spans="2:21" ht="17.25">
      <c r="B83" s="280" t="s">
        <v>159</v>
      </c>
      <c r="C83" s="150" t="s">
        <v>160</v>
      </c>
      <c r="D83" s="280" t="s">
        <v>209</v>
      </c>
      <c r="E83" s="280" t="s">
        <v>210</v>
      </c>
      <c r="F83" s="151" t="s">
        <v>127</v>
      </c>
      <c r="G83" s="152">
        <v>0</v>
      </c>
      <c r="H83" s="153" t="s">
        <v>69</v>
      </c>
      <c r="I83" s="154">
        <v>2</v>
      </c>
      <c r="J83" s="154">
        <v>5</v>
      </c>
      <c r="K83" s="30" t="str">
        <f>IF(H83="","",IF($C$30="간이법","",FPR(H83,I83,J83)))</f>
        <v/>
      </c>
      <c r="L83" s="30">
        <f>IF(H83="","",IF($C$30="상세법",FPV(H83,K83),IF(H83="EI",4,IF(H83="EO",5.2,IF(H83="EQ",3.9,IF(H83="ILF",7.5,IF(H83="EIF",5.4)))))))</f>
        <v>5.2</v>
      </c>
      <c r="M83" s="30" t="str">
        <f t="shared" si="2"/>
        <v/>
      </c>
      <c r="N83" s="134"/>
      <c r="O83" s="29"/>
      <c r="P83" s="37" t="str">
        <f t="shared" si="3"/>
        <v/>
      </c>
      <c r="Q83" s="38" t="str">
        <f t="shared" si="4"/>
        <v/>
      </c>
      <c r="R83" s="37" t="str">
        <f t="shared" si="5"/>
        <v/>
      </c>
      <c r="S83" s="37" t="str">
        <f t="shared" si="6"/>
        <v/>
      </c>
      <c r="T83" s="38" t="str">
        <f t="shared" si="7"/>
        <v/>
      </c>
      <c r="U83" s="37" t="str">
        <f t="shared" si="8"/>
        <v/>
      </c>
    </row>
    <row r="84" spans="2:21" ht="17.25">
      <c r="B84" s="280" t="s">
        <v>159</v>
      </c>
      <c r="C84" s="150" t="s">
        <v>160</v>
      </c>
      <c r="D84" s="280" t="s">
        <v>211</v>
      </c>
      <c r="E84" s="280" t="s">
        <v>212</v>
      </c>
      <c r="F84" s="151" t="s">
        <v>127</v>
      </c>
      <c r="G84" s="152">
        <v>0</v>
      </c>
      <c r="H84" s="153" t="s">
        <v>69</v>
      </c>
      <c r="I84" s="154">
        <v>2</v>
      </c>
      <c r="J84" s="154">
        <v>5</v>
      </c>
      <c r="K84" s="30" t="str">
        <f>IF(H84="","",IF($C$30="간이법","",FPR(H84,I84,J84)))</f>
        <v/>
      </c>
      <c r="L84" s="30">
        <f>IF(H84="","",IF($C$30="상세법",FPV(H84,K84),IF(H84="EI",4,IF(H84="EO",5.2,IF(H84="EQ",3.9,IF(H84="ILF",7.5,IF(H84="EIF",5.4)))))))</f>
        <v>5.2</v>
      </c>
      <c r="M84" s="30" t="str">
        <f t="shared" si="2"/>
        <v/>
      </c>
      <c r="N84" s="134"/>
      <c r="O84" s="29"/>
      <c r="P84" s="37" t="str">
        <f t="shared" si="3"/>
        <v/>
      </c>
      <c r="Q84" s="38" t="str">
        <f t="shared" si="4"/>
        <v/>
      </c>
      <c r="R84" s="37" t="str">
        <f t="shared" si="5"/>
        <v/>
      </c>
      <c r="S84" s="37" t="str">
        <f t="shared" si="6"/>
        <v/>
      </c>
      <c r="T84" s="38" t="str">
        <f t="shared" si="7"/>
        <v/>
      </c>
      <c r="U84" s="37" t="str">
        <f t="shared" si="8"/>
        <v/>
      </c>
    </row>
    <row r="85" spans="2:21" ht="17.25">
      <c r="B85" s="281" t="s">
        <v>159</v>
      </c>
      <c r="C85" s="281" t="s">
        <v>160</v>
      </c>
      <c r="D85" s="281" t="s">
        <v>213</v>
      </c>
      <c r="E85" s="281" t="s">
        <v>214</v>
      </c>
      <c r="F85" s="151" t="s">
        <v>127</v>
      </c>
      <c r="G85" s="152">
        <v>0</v>
      </c>
      <c r="H85" s="153" t="s">
        <v>69</v>
      </c>
      <c r="I85" s="283">
        <v>2</v>
      </c>
      <c r="J85" s="283">
        <v>5</v>
      </c>
      <c r="K85" s="30" t="str">
        <f>IF(H85="","",IF($C$30="간이법","",FPR(H85,I85,J85)))</f>
        <v/>
      </c>
      <c r="L85" s="30">
        <f>IF(H85="","",IF($C$30="상세법",FPV(H85,K85),IF(H85="EI",4,IF(H85="EO",5.2,IF(H85="EQ",3.9,IF(H85="ILF",7.5,IF(H85="EIF",5.4)))))))</f>
        <v>5.2</v>
      </c>
      <c r="M85" s="30" t="str">
        <f t="shared" si="2"/>
        <v/>
      </c>
      <c r="N85" s="134"/>
      <c r="O85" s="29"/>
      <c r="P85" s="37" t="str">
        <f t="shared" si="3"/>
        <v/>
      </c>
      <c r="Q85" s="38" t="str">
        <f t="shared" si="4"/>
        <v/>
      </c>
      <c r="R85" s="37" t="str">
        <f t="shared" si="5"/>
        <v/>
      </c>
      <c r="S85" s="37" t="str">
        <f t="shared" si="6"/>
        <v/>
      </c>
      <c r="T85" s="38" t="str">
        <f t="shared" si="7"/>
        <v/>
      </c>
      <c r="U85" s="37" t="str">
        <f t="shared" si="8"/>
        <v/>
      </c>
    </row>
    <row r="86" spans="2:21" ht="17.25">
      <c r="B86" s="280" t="s">
        <v>159</v>
      </c>
      <c r="C86" s="150" t="s">
        <v>160</v>
      </c>
      <c r="D86" s="280" t="s">
        <v>215</v>
      </c>
      <c r="E86" s="280" t="s">
        <v>216</v>
      </c>
      <c r="F86" s="151" t="s">
        <v>127</v>
      </c>
      <c r="G86" s="152">
        <v>0</v>
      </c>
      <c r="H86" s="153" t="s">
        <v>69</v>
      </c>
      <c r="I86" s="154">
        <v>2</v>
      </c>
      <c r="J86" s="154">
        <v>5</v>
      </c>
      <c r="K86" s="30" t="str">
        <f>IF(H86="","",IF($C$30="간이법","",FPR(H86,I86,J86)))</f>
        <v/>
      </c>
      <c r="L86" s="30">
        <f>IF(H86="","",IF($C$30="상세법",FPV(H86,K86),IF(H86="EI",4,IF(H86="EO",5.2,IF(H86="EQ",3.9,IF(H86="ILF",7.5,IF(H86="EIF",5.4)))))))</f>
        <v>5.2</v>
      </c>
      <c r="M86" s="30" t="str">
        <f t="shared" si="2"/>
        <v/>
      </c>
      <c r="N86" s="134"/>
      <c r="O86" s="29"/>
      <c r="P86" s="37" t="str">
        <f t="shared" si="3"/>
        <v/>
      </c>
      <c r="Q86" s="38" t="str">
        <f t="shared" si="4"/>
        <v/>
      </c>
      <c r="R86" s="37" t="str">
        <f t="shared" si="5"/>
        <v/>
      </c>
      <c r="S86" s="37" t="str">
        <f t="shared" si="6"/>
        <v/>
      </c>
      <c r="T86" s="38" t="str">
        <f t="shared" si="7"/>
        <v/>
      </c>
      <c r="U86" s="37" t="str">
        <f t="shared" si="8"/>
        <v/>
      </c>
    </row>
    <row r="87" spans="2:21" ht="17.25">
      <c r="B87" s="280" t="s">
        <v>159</v>
      </c>
      <c r="C87" s="150" t="s">
        <v>160</v>
      </c>
      <c r="D87" s="280" t="s">
        <v>217</v>
      </c>
      <c r="E87" s="280" t="s">
        <v>218</v>
      </c>
      <c r="F87" s="151" t="s">
        <v>127</v>
      </c>
      <c r="G87" s="152">
        <v>0</v>
      </c>
      <c r="H87" s="153" t="s">
        <v>69</v>
      </c>
      <c r="I87" s="154">
        <v>2</v>
      </c>
      <c r="J87" s="154">
        <v>5</v>
      </c>
      <c r="K87" s="30" t="str">
        <f>IF(H87="","",IF($C$30="간이법","",FPR(H87,I87,J87)))</f>
        <v/>
      </c>
      <c r="L87" s="30">
        <f>IF(H87="","",IF($C$30="상세법",FPV(H87,K87),IF(H87="EI",4,IF(H87="EO",5.2,IF(H87="EQ",3.9,IF(H87="ILF",7.5,IF(H87="EIF",5.4)))))))</f>
        <v>5.2</v>
      </c>
      <c r="M87" s="30" t="str">
        <f t="shared" si="2"/>
        <v/>
      </c>
      <c r="N87" s="134"/>
      <c r="O87" s="29"/>
      <c r="P87" s="37" t="str">
        <f t="shared" si="3"/>
        <v/>
      </c>
      <c r="Q87" s="38" t="str">
        <f t="shared" si="4"/>
        <v/>
      </c>
      <c r="R87" s="37" t="str">
        <f t="shared" si="5"/>
        <v/>
      </c>
      <c r="S87" s="37" t="str">
        <f t="shared" si="6"/>
        <v/>
      </c>
      <c r="T87" s="38" t="str">
        <f t="shared" si="7"/>
        <v/>
      </c>
      <c r="U87" s="37" t="str">
        <f t="shared" si="8"/>
        <v/>
      </c>
    </row>
    <row r="88" spans="2:21" ht="17.25">
      <c r="B88" s="281" t="s">
        <v>159</v>
      </c>
      <c r="C88" s="281" t="s">
        <v>160</v>
      </c>
      <c r="D88" s="281" t="s">
        <v>219</v>
      </c>
      <c r="E88" s="281" t="s">
        <v>220</v>
      </c>
      <c r="F88" s="151" t="s">
        <v>127</v>
      </c>
      <c r="G88" s="152">
        <v>0</v>
      </c>
      <c r="H88" s="153" t="s">
        <v>69</v>
      </c>
      <c r="I88" s="283">
        <v>2</v>
      </c>
      <c r="J88" s="283">
        <v>5</v>
      </c>
      <c r="K88" s="30" t="str">
        <f>IF(H88="","",IF($C$30="간이법","",FPR(H88,I88,J88)))</f>
        <v/>
      </c>
      <c r="L88" s="30">
        <f>IF(H88="","",IF($C$30="상세법",FPV(H88,K88),IF(H88="EI",4,IF(H88="EO",5.2,IF(H88="EQ",3.9,IF(H88="ILF",7.5,IF(H88="EIF",5.4)))))))</f>
        <v>5.2</v>
      </c>
      <c r="M88" s="30" t="str">
        <f t="shared" si="2"/>
        <v/>
      </c>
      <c r="N88" s="134"/>
      <c r="O88" s="29"/>
      <c r="P88" s="37" t="str">
        <f t="shared" si="3"/>
        <v/>
      </c>
      <c r="Q88" s="38" t="str">
        <f t="shared" si="4"/>
        <v/>
      </c>
      <c r="R88" s="37" t="str">
        <f t="shared" si="5"/>
        <v/>
      </c>
      <c r="S88" s="37" t="str">
        <f t="shared" si="6"/>
        <v/>
      </c>
      <c r="T88" s="38" t="str">
        <f t="shared" si="7"/>
        <v/>
      </c>
      <c r="U88" s="37" t="str">
        <f t="shared" si="8"/>
        <v/>
      </c>
    </row>
    <row r="89" spans="2:21" ht="17.25">
      <c r="B89" s="280" t="s">
        <v>159</v>
      </c>
      <c r="C89" s="150" t="s">
        <v>160</v>
      </c>
      <c r="D89" s="280" t="s">
        <v>221</v>
      </c>
      <c r="E89" s="280" t="s">
        <v>222</v>
      </c>
      <c r="F89" s="151" t="s">
        <v>127</v>
      </c>
      <c r="G89" s="152">
        <v>0</v>
      </c>
      <c r="H89" s="153" t="s">
        <v>69</v>
      </c>
      <c r="I89" s="154">
        <v>1</v>
      </c>
      <c r="J89" s="154">
        <v>4</v>
      </c>
      <c r="K89" s="30" t="str">
        <f>IF(H89="","",IF($C$30="간이법","",FPR(H89,I89,J89)))</f>
        <v/>
      </c>
      <c r="L89" s="30">
        <f>IF(H89="","",IF($C$30="상세법",FPV(H89,K89),IF(H89="EI",4,IF(H89="EO",5.2,IF(H89="EQ",3.9,IF(H89="ILF",7.5,IF(H89="EIF",5.4)))))))</f>
        <v>5.2</v>
      </c>
      <c r="M89" s="30" t="str">
        <f t="shared" si="2"/>
        <v/>
      </c>
      <c r="N89" s="134"/>
      <c r="O89" s="29"/>
      <c r="P89" s="37" t="str">
        <f t="shared" si="3"/>
        <v/>
      </c>
      <c r="Q89" s="38" t="str">
        <f t="shared" si="4"/>
        <v/>
      </c>
      <c r="R89" s="37" t="str">
        <f t="shared" si="5"/>
        <v/>
      </c>
      <c r="S89" s="37" t="str">
        <f t="shared" si="6"/>
        <v/>
      </c>
      <c r="T89" s="38" t="str">
        <f t="shared" si="7"/>
        <v/>
      </c>
      <c r="U89" s="37" t="str">
        <f t="shared" si="8"/>
        <v/>
      </c>
    </row>
    <row r="90" spans="2:21" ht="17.25">
      <c r="B90" s="280" t="s">
        <v>159</v>
      </c>
      <c r="C90" s="150" t="s">
        <v>160</v>
      </c>
      <c r="D90" s="280" t="s">
        <v>223</v>
      </c>
      <c r="E90" s="280" t="s">
        <v>224</v>
      </c>
      <c r="F90" s="151" t="s">
        <v>127</v>
      </c>
      <c r="G90" s="152">
        <v>0</v>
      </c>
      <c r="H90" s="153" t="s">
        <v>69</v>
      </c>
      <c r="I90" s="154">
        <v>1</v>
      </c>
      <c r="J90" s="154">
        <v>4</v>
      </c>
      <c r="K90" s="30" t="str">
        <f>IF(H90="","",IF($C$30="간이법","",FPR(H90,I90,J90)))</f>
        <v/>
      </c>
      <c r="L90" s="30">
        <f>IF(H90="","",IF($C$30="상세법",FPV(H90,K90),IF(H90="EI",4,IF(H90="EO",5.2,IF(H90="EQ",3.9,IF(H90="ILF",7.5,IF(H90="EIF",5.4)))))))</f>
        <v>5.2</v>
      </c>
      <c r="M90" s="30" t="str">
        <f t="shared" si="2"/>
        <v/>
      </c>
      <c r="N90" s="134"/>
      <c r="O90" s="29"/>
      <c r="P90" s="37" t="str">
        <f t="shared" si="3"/>
        <v/>
      </c>
      <c r="Q90" s="38" t="str">
        <f t="shared" si="4"/>
        <v/>
      </c>
      <c r="R90" s="37" t="str">
        <f t="shared" si="5"/>
        <v/>
      </c>
      <c r="S90" s="37" t="str">
        <f t="shared" si="6"/>
        <v/>
      </c>
      <c r="T90" s="38" t="str">
        <f t="shared" si="7"/>
        <v/>
      </c>
      <c r="U90" s="37" t="str">
        <f t="shared" si="8"/>
        <v/>
      </c>
    </row>
    <row r="91" spans="2:21" ht="17.25">
      <c r="B91" s="281" t="s">
        <v>159</v>
      </c>
      <c r="C91" s="281" t="s">
        <v>160</v>
      </c>
      <c r="D91" s="281" t="s">
        <v>225</v>
      </c>
      <c r="E91" s="281" t="s">
        <v>226</v>
      </c>
      <c r="F91" s="151" t="s">
        <v>127</v>
      </c>
      <c r="G91" s="152">
        <v>0</v>
      </c>
      <c r="H91" s="153" t="s">
        <v>69</v>
      </c>
      <c r="I91" s="283">
        <v>1</v>
      </c>
      <c r="J91" s="283">
        <v>4</v>
      </c>
      <c r="K91" s="30" t="str">
        <f>IF(H91="","",IF($C$30="간이법","",FPR(H91,I91,J91)))</f>
        <v/>
      </c>
      <c r="L91" s="30">
        <f>IF(H91="","",IF($C$30="상세법",FPV(H91,K91),IF(H91="EI",4,IF(H91="EO",5.2,IF(H91="EQ",3.9,IF(H91="ILF",7.5,IF(H91="EIF",5.4)))))))</f>
        <v>5.2</v>
      </c>
      <c r="M91" s="30" t="str">
        <f t="shared" si="2"/>
        <v/>
      </c>
      <c r="N91" s="134"/>
      <c r="O91" s="29"/>
      <c r="P91" s="37" t="str">
        <f t="shared" si="3"/>
        <v/>
      </c>
      <c r="Q91" s="38" t="str">
        <f t="shared" si="4"/>
        <v/>
      </c>
      <c r="R91" s="37" t="str">
        <f t="shared" si="5"/>
        <v/>
      </c>
      <c r="S91" s="37" t="str">
        <f t="shared" si="6"/>
        <v/>
      </c>
      <c r="T91" s="38" t="str">
        <f t="shared" si="7"/>
        <v/>
      </c>
      <c r="U91" s="37" t="str">
        <f t="shared" si="8"/>
        <v/>
      </c>
    </row>
    <row r="92" spans="2:21" ht="17.25">
      <c r="B92" s="280" t="s">
        <v>159</v>
      </c>
      <c r="C92" s="150" t="s">
        <v>227</v>
      </c>
      <c r="D92" s="280" t="s">
        <v>228</v>
      </c>
      <c r="E92" s="280" t="s">
        <v>229</v>
      </c>
      <c r="F92" s="151" t="s">
        <v>127</v>
      </c>
      <c r="G92" s="152">
        <v>0</v>
      </c>
      <c r="H92" s="153" t="s">
        <v>70</v>
      </c>
      <c r="I92" s="154">
        <v>1</v>
      </c>
      <c r="J92" s="154">
        <v>7</v>
      </c>
      <c r="K92" s="30" t="str">
        <f>IF(H92="","",IF($C$30="간이법","",FPR(H92,I92,J92)))</f>
        <v/>
      </c>
      <c r="L92" s="30">
        <f>IF(H92="","",IF($C$30="상세법",FPV(H92,K92),IF(H92="EI",4,IF(H92="EO",5.2,IF(H92="EQ",3.9,IF(H92="ILF",7.5,IF(H92="EIF",5.4)))))))</f>
        <v>3.9</v>
      </c>
      <c r="M92" s="30" t="str">
        <f t="shared" si="2"/>
        <v/>
      </c>
      <c r="N92" s="134"/>
      <c r="O92" s="29"/>
      <c r="P92" s="37" t="str">
        <f t="shared" si="3"/>
        <v/>
      </c>
      <c r="Q92" s="38" t="str">
        <f t="shared" si="4"/>
        <v/>
      </c>
      <c r="R92" s="37" t="str">
        <f t="shared" si="5"/>
        <v/>
      </c>
      <c r="S92" s="37" t="str">
        <f t="shared" si="6"/>
        <v/>
      </c>
      <c r="T92" s="38" t="str">
        <f t="shared" si="7"/>
        <v/>
      </c>
      <c r="U92" s="37" t="str">
        <f t="shared" si="8"/>
        <v/>
      </c>
    </row>
    <row r="93" spans="2:21" ht="17.25">
      <c r="B93" s="280" t="s">
        <v>159</v>
      </c>
      <c r="C93" s="150" t="s">
        <v>227</v>
      </c>
      <c r="D93" s="280" t="s">
        <v>230</v>
      </c>
      <c r="E93" s="280" t="s">
        <v>231</v>
      </c>
      <c r="F93" s="151" t="s">
        <v>46</v>
      </c>
      <c r="G93" s="152">
        <f>((0.25*10)+(0.45*10)+(0.3*5))/100</f>
        <v>8.5000000000000006E-2</v>
      </c>
      <c r="H93" s="153" t="s">
        <v>70</v>
      </c>
      <c r="I93" s="154">
        <v>4</v>
      </c>
      <c r="J93" s="154">
        <v>34</v>
      </c>
      <c r="K93" s="30" t="str">
        <f>IF(H93="","",IF($C$30="간이법","",FPR(H93,I93,J93)))</f>
        <v/>
      </c>
      <c r="L93" s="30">
        <f>IF(H93="","",IF($C$30="상세법",FPV(H93,K93),IF(H93="EI",4,IF(H93="EO",5.2,IF(H93="EQ",3.9,IF(H93="ILF",7.5,IF(H93="EIF",5.4)))))))</f>
        <v>3.9</v>
      </c>
      <c r="M93" s="30">
        <f t="shared" si="2"/>
        <v>0.33098893251533745</v>
      </c>
      <c r="N93" s="134"/>
      <c r="O93" s="29"/>
      <c r="P93" s="37" t="str">
        <f t="shared" si="3"/>
        <v/>
      </c>
      <c r="Q93" s="38" t="str">
        <f t="shared" si="4"/>
        <v/>
      </c>
      <c r="R93" s="37" t="str">
        <f t="shared" si="5"/>
        <v/>
      </c>
      <c r="S93" s="37">
        <f t="shared" si="6"/>
        <v>8.5000000000000006E-2</v>
      </c>
      <c r="T93" s="38">
        <f t="shared" si="7"/>
        <v>6.7590987868284227E-2</v>
      </c>
      <c r="U93" s="37">
        <f t="shared" si="8"/>
        <v>5.7452339688041599E-3</v>
      </c>
    </row>
    <row r="94" spans="2:21" ht="17.25">
      <c r="B94" s="281" t="s">
        <v>159</v>
      </c>
      <c r="C94" s="281" t="s">
        <v>227</v>
      </c>
      <c r="D94" s="281" t="s">
        <v>232</v>
      </c>
      <c r="E94" s="281" t="s">
        <v>233</v>
      </c>
      <c r="F94" s="151" t="s">
        <v>127</v>
      </c>
      <c r="G94" s="152">
        <v>0</v>
      </c>
      <c r="H94" s="153" t="s">
        <v>8</v>
      </c>
      <c r="I94" s="283">
        <v>1</v>
      </c>
      <c r="J94" s="283">
        <v>4</v>
      </c>
      <c r="K94" s="30" t="str">
        <f>IF(H94="","",IF($C$30="간이법","",FPR(H94,I94,J94)))</f>
        <v/>
      </c>
      <c r="L94" s="30">
        <f>IF(H94="","",IF($C$30="상세법",FPV(H94,K94),IF(H94="EI",4,IF(H94="EO",5.2,IF(H94="EQ",3.9,IF(H94="ILF",7.5,IF(H94="EIF",5.4)))))))</f>
        <v>4</v>
      </c>
      <c r="M94" s="30" t="str">
        <f t="shared" si="2"/>
        <v/>
      </c>
      <c r="N94" s="134"/>
      <c r="O94" s="29"/>
      <c r="P94" s="37" t="str">
        <f t="shared" si="3"/>
        <v/>
      </c>
      <c r="Q94" s="38" t="str">
        <f t="shared" si="4"/>
        <v/>
      </c>
      <c r="R94" s="37" t="str">
        <f t="shared" si="5"/>
        <v/>
      </c>
      <c r="S94" s="37" t="str">
        <f t="shared" si="6"/>
        <v/>
      </c>
      <c r="T94" s="38" t="str">
        <f t="shared" si="7"/>
        <v/>
      </c>
      <c r="U94" s="37" t="str">
        <f t="shared" si="8"/>
        <v/>
      </c>
    </row>
    <row r="95" spans="2:21" ht="17.25">
      <c r="B95" s="280" t="s">
        <v>159</v>
      </c>
      <c r="C95" s="150" t="s">
        <v>227</v>
      </c>
      <c r="D95" s="280" t="s">
        <v>234</v>
      </c>
      <c r="E95" s="280" t="s">
        <v>235</v>
      </c>
      <c r="F95" s="151" t="s">
        <v>46</v>
      </c>
      <c r="G95" s="152">
        <f>((0.25*10)+(0.45*10)+(0.3*30))/100</f>
        <v>0.16</v>
      </c>
      <c r="H95" s="153" t="s">
        <v>8</v>
      </c>
      <c r="I95" s="154">
        <v>1</v>
      </c>
      <c r="J95" s="154">
        <v>5</v>
      </c>
      <c r="K95" s="30" t="str">
        <f>IF(H95="","",IF($C$30="간이법","",FPR(H95,I95,J95)))</f>
        <v/>
      </c>
      <c r="L95" s="30">
        <f>IF(H95="","",IF($C$30="상세법",FPV(H95,K95),IF(H95="EI",4,IF(H95="EO",5.2,IF(H95="EQ",3.9,IF(H95="ILF",7.5,IF(H95="EIF",5.4)))))))</f>
        <v>4</v>
      </c>
      <c r="M95" s="30">
        <f t="shared" si="2"/>
        <v>0.33947582822085892</v>
      </c>
      <c r="N95" s="134"/>
      <c r="O95" s="29"/>
      <c r="P95" s="37" t="str">
        <f t="shared" si="3"/>
        <v/>
      </c>
      <c r="Q95" s="38" t="str">
        <f t="shared" si="4"/>
        <v/>
      </c>
      <c r="R95" s="37" t="str">
        <f t="shared" si="5"/>
        <v/>
      </c>
      <c r="S95" s="37">
        <f t="shared" si="6"/>
        <v>0.16</v>
      </c>
      <c r="T95" s="38">
        <f t="shared" si="7"/>
        <v>6.932409012131717E-2</v>
      </c>
      <c r="U95" s="37">
        <f t="shared" si="8"/>
        <v>1.1091854419410747E-2</v>
      </c>
    </row>
    <row r="96" spans="2:21" ht="17.25">
      <c r="B96" s="280" t="s">
        <v>159</v>
      </c>
      <c r="C96" s="150" t="s">
        <v>227</v>
      </c>
      <c r="D96" s="280" t="s">
        <v>236</v>
      </c>
      <c r="E96" s="280" t="s">
        <v>237</v>
      </c>
      <c r="F96" s="151" t="s">
        <v>127</v>
      </c>
      <c r="G96" s="152">
        <v>0</v>
      </c>
      <c r="H96" s="153" t="s">
        <v>8</v>
      </c>
      <c r="I96" s="154">
        <v>2</v>
      </c>
      <c r="J96" s="154">
        <v>6</v>
      </c>
      <c r="K96" s="30" t="str">
        <f>IF(H96="","",IF($C$30="간이법","",FPR(H96,I96,J96)))</f>
        <v/>
      </c>
      <c r="L96" s="30">
        <f>IF(H96="","",IF($C$30="상세법",FPV(H96,K96),IF(H96="EI",4,IF(H96="EO",5.2,IF(H96="EQ",3.9,IF(H96="ILF",7.5,IF(H96="EIF",5.4)))))))</f>
        <v>4</v>
      </c>
      <c r="M96" s="30" t="str">
        <f t="shared" si="2"/>
        <v/>
      </c>
      <c r="N96" s="134"/>
      <c r="O96" s="29"/>
      <c r="P96" s="37" t="str">
        <f t="shared" si="3"/>
        <v/>
      </c>
      <c r="Q96" s="38" t="str">
        <f t="shared" si="4"/>
        <v/>
      </c>
      <c r="R96" s="37" t="str">
        <f t="shared" si="5"/>
        <v/>
      </c>
      <c r="S96" s="37" t="str">
        <f t="shared" si="6"/>
        <v/>
      </c>
      <c r="T96" s="38" t="str">
        <f t="shared" si="7"/>
        <v/>
      </c>
      <c r="U96" s="37" t="str">
        <f t="shared" si="8"/>
        <v/>
      </c>
    </row>
    <row r="97" spans="2:21" ht="17.25">
      <c r="B97" s="281" t="s">
        <v>159</v>
      </c>
      <c r="C97" s="281" t="s">
        <v>227</v>
      </c>
      <c r="D97" s="281" t="s">
        <v>238</v>
      </c>
      <c r="E97" s="281" t="s">
        <v>239</v>
      </c>
      <c r="F97" s="151" t="s">
        <v>127</v>
      </c>
      <c r="G97" s="152">
        <v>0</v>
      </c>
      <c r="H97" s="153" t="s">
        <v>70</v>
      </c>
      <c r="I97" s="283">
        <v>2</v>
      </c>
      <c r="J97" s="283">
        <v>7</v>
      </c>
      <c r="K97" s="30" t="str">
        <f>IF(H97="","",IF($C$30="간이법","",FPR(H97,I97,J97)))</f>
        <v/>
      </c>
      <c r="L97" s="30">
        <f>IF(H97="","",IF($C$30="상세법",FPV(H97,K97),IF(H97="EI",4,IF(H97="EO",5.2,IF(H97="EQ",3.9,IF(H97="ILF",7.5,IF(H97="EIF",5.4)))))))</f>
        <v>3.9</v>
      </c>
      <c r="M97" s="30" t="str">
        <f t="shared" si="2"/>
        <v/>
      </c>
      <c r="N97" s="134"/>
      <c r="O97" s="29"/>
      <c r="P97" s="37" t="str">
        <f t="shared" si="3"/>
        <v/>
      </c>
      <c r="Q97" s="38" t="str">
        <f t="shared" si="4"/>
        <v/>
      </c>
      <c r="R97" s="37" t="str">
        <f t="shared" si="5"/>
        <v/>
      </c>
      <c r="S97" s="37" t="str">
        <f t="shared" si="6"/>
        <v/>
      </c>
      <c r="T97" s="38" t="str">
        <f t="shared" si="7"/>
        <v/>
      </c>
      <c r="U97" s="37" t="str">
        <f t="shared" si="8"/>
        <v/>
      </c>
    </row>
    <row r="98" spans="2:21" ht="17.25">
      <c r="B98" s="280" t="s">
        <v>159</v>
      </c>
      <c r="C98" s="150" t="s">
        <v>227</v>
      </c>
      <c r="D98" s="280" t="s">
        <v>240</v>
      </c>
      <c r="E98" s="280" t="s">
        <v>241</v>
      </c>
      <c r="F98" s="151" t="s">
        <v>127</v>
      </c>
      <c r="G98" s="152">
        <v>0</v>
      </c>
      <c r="H98" s="153" t="s">
        <v>69</v>
      </c>
      <c r="I98" s="154">
        <v>2</v>
      </c>
      <c r="J98" s="154">
        <v>6</v>
      </c>
      <c r="K98" s="30" t="str">
        <f>IF(H98="","",IF($C$30="간이법","",FPR(H98,I98,J98)))</f>
        <v/>
      </c>
      <c r="L98" s="30">
        <f>IF(H98="","",IF($C$30="상세법",FPV(H98,K98),IF(H98="EI",4,IF(H98="EO",5.2,IF(H98="EQ",3.9,IF(H98="ILF",7.5,IF(H98="EIF",5.4)))))))</f>
        <v>5.2</v>
      </c>
      <c r="M98" s="30" t="str">
        <f t="shared" si="2"/>
        <v/>
      </c>
      <c r="N98" s="134"/>
      <c r="O98" s="29"/>
      <c r="P98" s="37" t="str">
        <f t="shared" si="3"/>
        <v/>
      </c>
      <c r="Q98" s="38" t="str">
        <f t="shared" si="4"/>
        <v/>
      </c>
      <c r="R98" s="37" t="str">
        <f t="shared" si="5"/>
        <v/>
      </c>
      <c r="S98" s="37" t="str">
        <f t="shared" si="6"/>
        <v/>
      </c>
      <c r="T98" s="38" t="str">
        <f t="shared" si="7"/>
        <v/>
      </c>
      <c r="U98" s="37" t="str">
        <f t="shared" si="8"/>
        <v/>
      </c>
    </row>
    <row r="99" spans="2:21" ht="17.25">
      <c r="B99" s="280" t="s">
        <v>159</v>
      </c>
      <c r="C99" s="150" t="s">
        <v>227</v>
      </c>
      <c r="D99" s="280" t="s">
        <v>242</v>
      </c>
      <c r="E99" s="280" t="s">
        <v>243</v>
      </c>
      <c r="F99" s="151" t="s">
        <v>127</v>
      </c>
      <c r="G99" s="152">
        <v>0</v>
      </c>
      <c r="H99" s="153" t="s">
        <v>8</v>
      </c>
      <c r="I99" s="154">
        <v>1</v>
      </c>
      <c r="J99" s="154">
        <v>5</v>
      </c>
      <c r="K99" s="30" t="str">
        <f>IF(H99="","",IF($C$30="간이법","",FPR(H99,I99,J99)))</f>
        <v/>
      </c>
      <c r="L99" s="30">
        <f>IF(H99="","",IF($C$30="상세법",FPV(H99,K99),IF(H99="EI",4,IF(H99="EO",5.2,IF(H99="EQ",3.9,IF(H99="ILF",7.5,IF(H99="EIF",5.4)))))))</f>
        <v>4</v>
      </c>
      <c r="M99" s="30" t="str">
        <f t="shared" si="2"/>
        <v/>
      </c>
      <c r="N99" s="134"/>
      <c r="O99" s="29"/>
      <c r="P99" s="37" t="str">
        <f t="shared" si="3"/>
        <v/>
      </c>
      <c r="Q99" s="38" t="str">
        <f t="shared" si="4"/>
        <v/>
      </c>
      <c r="R99" s="37" t="str">
        <f t="shared" si="5"/>
        <v/>
      </c>
      <c r="S99" s="37" t="str">
        <f t="shared" si="6"/>
        <v/>
      </c>
      <c r="T99" s="38" t="str">
        <f t="shared" si="7"/>
        <v/>
      </c>
      <c r="U99" s="37" t="str">
        <f t="shared" si="8"/>
        <v/>
      </c>
    </row>
    <row r="100" spans="2:21" ht="17.25">
      <c r="B100" s="281" t="s">
        <v>159</v>
      </c>
      <c r="C100" s="281" t="s">
        <v>227</v>
      </c>
      <c r="D100" s="281" t="s">
        <v>244</v>
      </c>
      <c r="E100" s="281" t="s">
        <v>245</v>
      </c>
      <c r="F100" s="151" t="s">
        <v>127</v>
      </c>
      <c r="G100" s="152">
        <v>0</v>
      </c>
      <c r="H100" s="153" t="s">
        <v>70</v>
      </c>
      <c r="I100" s="283">
        <v>2</v>
      </c>
      <c r="J100" s="283">
        <v>7</v>
      </c>
      <c r="K100" s="30" t="str">
        <f>IF(H100="","",IF($C$30="간이법","",FPR(H100,I100,J100)))</f>
        <v/>
      </c>
      <c r="L100" s="30">
        <f>IF(H100="","",IF($C$30="상세법",FPV(H100,K100),IF(H100="EI",4,IF(H100="EO",5.2,IF(H100="EQ",3.9,IF(H100="ILF",7.5,IF(H100="EIF",5.4)))))))</f>
        <v>3.9</v>
      </c>
      <c r="M100" s="30" t="str">
        <f t="shared" si="2"/>
        <v/>
      </c>
      <c r="N100" s="134"/>
      <c r="O100" s="29"/>
      <c r="P100" s="37" t="str">
        <f t="shared" si="3"/>
        <v/>
      </c>
      <c r="Q100" s="38" t="str">
        <f t="shared" si="4"/>
        <v/>
      </c>
      <c r="R100" s="37" t="str">
        <f t="shared" si="5"/>
        <v/>
      </c>
      <c r="S100" s="37" t="str">
        <f t="shared" si="6"/>
        <v/>
      </c>
      <c r="T100" s="38" t="str">
        <f t="shared" si="7"/>
        <v/>
      </c>
      <c r="U100" s="37" t="str">
        <f t="shared" si="8"/>
        <v/>
      </c>
    </row>
    <row r="101" spans="2:21" ht="17.25">
      <c r="B101" s="280" t="s">
        <v>159</v>
      </c>
      <c r="C101" s="150" t="s">
        <v>227</v>
      </c>
      <c r="D101" s="280" t="s">
        <v>246</v>
      </c>
      <c r="E101" s="280" t="s">
        <v>247</v>
      </c>
      <c r="F101" s="151" t="s">
        <v>127</v>
      </c>
      <c r="G101" s="152">
        <v>0</v>
      </c>
      <c r="H101" s="153" t="s">
        <v>8</v>
      </c>
      <c r="I101" s="154">
        <v>2</v>
      </c>
      <c r="J101" s="154">
        <v>14</v>
      </c>
      <c r="K101" s="30" t="str">
        <f>IF(H101="","",IF($C$30="간이법","",FPR(H101,I101,J101)))</f>
        <v/>
      </c>
      <c r="L101" s="30">
        <f>IF(H101="","",IF($C$30="상세법",FPV(H101,K101),IF(H101="EI",4,IF(H101="EO",5.2,IF(H101="EQ",3.9,IF(H101="ILF",7.5,IF(H101="EIF",5.4)))))))</f>
        <v>4</v>
      </c>
      <c r="M101" s="30" t="str">
        <f t="shared" si="2"/>
        <v/>
      </c>
      <c r="N101" s="134"/>
      <c r="O101" s="29"/>
      <c r="P101" s="37" t="str">
        <f t="shared" si="3"/>
        <v/>
      </c>
      <c r="Q101" s="38" t="str">
        <f t="shared" si="4"/>
        <v/>
      </c>
      <c r="R101" s="37" t="str">
        <f t="shared" si="5"/>
        <v/>
      </c>
      <c r="S101" s="37" t="str">
        <f t="shared" si="6"/>
        <v/>
      </c>
      <c r="T101" s="38" t="str">
        <f t="shared" si="7"/>
        <v/>
      </c>
      <c r="U101" s="37" t="str">
        <f t="shared" si="8"/>
        <v/>
      </c>
    </row>
    <row r="102" spans="2:21" ht="17.25">
      <c r="B102" s="280" t="s">
        <v>159</v>
      </c>
      <c r="C102" s="150" t="s">
        <v>227</v>
      </c>
      <c r="D102" s="280" t="s">
        <v>248</v>
      </c>
      <c r="E102" s="280" t="s">
        <v>249</v>
      </c>
      <c r="F102" s="151" t="s">
        <v>127</v>
      </c>
      <c r="G102" s="152">
        <v>0</v>
      </c>
      <c r="H102" s="153" t="s">
        <v>8</v>
      </c>
      <c r="I102" s="154">
        <v>2</v>
      </c>
      <c r="J102" s="154">
        <v>14</v>
      </c>
      <c r="K102" s="30" t="str">
        <f>IF(H102="","",IF($C$30="간이법","",FPR(H102,I102,J102)))</f>
        <v/>
      </c>
      <c r="L102" s="30">
        <f>IF(H102="","",IF($C$30="상세법",FPV(H102,K102),IF(H102="EI",4,IF(H102="EO",5.2,IF(H102="EQ",3.9,IF(H102="ILF",7.5,IF(H102="EIF",5.4)))))))</f>
        <v>4</v>
      </c>
      <c r="M102" s="30" t="str">
        <f t="shared" si="2"/>
        <v/>
      </c>
      <c r="N102" s="134"/>
      <c r="O102" s="29"/>
      <c r="P102" s="37" t="str">
        <f t="shared" si="3"/>
        <v/>
      </c>
      <c r="Q102" s="38" t="str">
        <f t="shared" si="4"/>
        <v/>
      </c>
      <c r="R102" s="37" t="str">
        <f t="shared" si="5"/>
        <v/>
      </c>
      <c r="S102" s="37" t="str">
        <f t="shared" si="6"/>
        <v/>
      </c>
      <c r="T102" s="38" t="str">
        <f t="shared" si="7"/>
        <v/>
      </c>
      <c r="U102" s="37" t="str">
        <f t="shared" si="8"/>
        <v/>
      </c>
    </row>
    <row r="103" spans="2:21" ht="17.25">
      <c r="B103" s="281" t="s">
        <v>159</v>
      </c>
      <c r="C103" s="281" t="s">
        <v>227</v>
      </c>
      <c r="D103" s="281" t="s">
        <v>250</v>
      </c>
      <c r="E103" s="281" t="s">
        <v>251</v>
      </c>
      <c r="F103" s="151" t="s">
        <v>127</v>
      </c>
      <c r="G103" s="152">
        <v>0</v>
      </c>
      <c r="H103" s="153" t="s">
        <v>8</v>
      </c>
      <c r="I103" s="283">
        <v>2</v>
      </c>
      <c r="J103" s="283">
        <v>4</v>
      </c>
      <c r="K103" s="30" t="str">
        <f>IF(H103="","",IF($C$30="간이법","",FPR(H103,I103,J103)))</f>
        <v/>
      </c>
      <c r="L103" s="30">
        <f>IF(H103="","",IF($C$30="상세법",FPV(H103,K103),IF(H103="EI",4,IF(H103="EO",5.2,IF(H103="EQ",3.9,IF(H103="ILF",7.5,IF(H103="EIF",5.4)))))))</f>
        <v>4</v>
      </c>
      <c r="M103" s="30" t="str">
        <f t="shared" si="2"/>
        <v/>
      </c>
      <c r="N103" s="134"/>
      <c r="O103" s="29"/>
      <c r="P103" s="37" t="str">
        <f t="shared" si="3"/>
        <v/>
      </c>
      <c r="Q103" s="38" t="str">
        <f t="shared" si="4"/>
        <v/>
      </c>
      <c r="R103" s="37" t="str">
        <f t="shared" si="5"/>
        <v/>
      </c>
      <c r="S103" s="37" t="str">
        <f t="shared" si="6"/>
        <v/>
      </c>
      <c r="T103" s="38" t="str">
        <f t="shared" si="7"/>
        <v/>
      </c>
      <c r="U103" s="37" t="str">
        <f t="shared" si="8"/>
        <v/>
      </c>
    </row>
    <row r="104" spans="2:21" ht="17.25">
      <c r="B104" s="280" t="s">
        <v>159</v>
      </c>
      <c r="C104" s="150" t="s">
        <v>227</v>
      </c>
      <c r="D104" s="280" t="s">
        <v>252</v>
      </c>
      <c r="E104" s="280" t="s">
        <v>253</v>
      </c>
      <c r="F104" s="151" t="s">
        <v>127</v>
      </c>
      <c r="G104" s="152">
        <v>0</v>
      </c>
      <c r="H104" s="153" t="s">
        <v>70</v>
      </c>
      <c r="I104" s="154">
        <v>1</v>
      </c>
      <c r="J104" s="154">
        <v>6</v>
      </c>
      <c r="K104" s="30" t="str">
        <f>IF(H104="","",IF($C$30="간이법","",FPR(H104,I104,J104)))</f>
        <v/>
      </c>
      <c r="L104" s="30">
        <f>IF(H104="","",IF($C$30="상세법",FPV(H104,K104),IF(H104="EI",4,IF(H104="EO",5.2,IF(H104="EQ",3.9,IF(H104="ILF",7.5,IF(H104="EIF",5.4)))))))</f>
        <v>3.9</v>
      </c>
      <c r="M104" s="30" t="str">
        <f t="shared" si="2"/>
        <v/>
      </c>
      <c r="N104" s="134"/>
      <c r="O104" s="29"/>
      <c r="P104" s="37" t="str">
        <f t="shared" si="3"/>
        <v/>
      </c>
      <c r="Q104" s="38" t="str">
        <f t="shared" si="4"/>
        <v/>
      </c>
      <c r="R104" s="37" t="str">
        <f t="shared" si="5"/>
        <v/>
      </c>
      <c r="S104" s="37" t="str">
        <f t="shared" si="6"/>
        <v/>
      </c>
      <c r="T104" s="38" t="str">
        <f t="shared" si="7"/>
        <v/>
      </c>
      <c r="U104" s="37" t="str">
        <f t="shared" si="8"/>
        <v/>
      </c>
    </row>
    <row r="105" spans="2:21" ht="17.25">
      <c r="B105" s="280" t="s">
        <v>159</v>
      </c>
      <c r="C105" s="150" t="s">
        <v>227</v>
      </c>
      <c r="D105" s="280" t="s">
        <v>254</v>
      </c>
      <c r="E105" s="280" t="s">
        <v>255</v>
      </c>
      <c r="F105" s="151" t="s">
        <v>127</v>
      </c>
      <c r="G105" s="152">
        <v>0</v>
      </c>
      <c r="H105" s="153" t="s">
        <v>70</v>
      </c>
      <c r="I105" s="154">
        <v>1</v>
      </c>
      <c r="J105" s="154">
        <v>6</v>
      </c>
      <c r="K105" s="30" t="str">
        <f>IF(H105="","",IF($C$30="간이법","",FPR(H105,I105,J105)))</f>
        <v/>
      </c>
      <c r="L105" s="30">
        <f>IF(H105="","",IF($C$30="상세법",FPV(H105,K105),IF(H105="EI",4,IF(H105="EO",5.2,IF(H105="EQ",3.9,IF(H105="ILF",7.5,IF(H105="EIF",5.4)))))))</f>
        <v>3.9</v>
      </c>
      <c r="M105" s="30" t="str">
        <f t="shared" si="2"/>
        <v/>
      </c>
      <c r="N105" s="134"/>
      <c r="O105" s="29"/>
      <c r="P105" s="37" t="str">
        <f t="shared" si="3"/>
        <v/>
      </c>
      <c r="Q105" s="38" t="str">
        <f t="shared" si="4"/>
        <v/>
      </c>
      <c r="R105" s="37" t="str">
        <f t="shared" si="5"/>
        <v/>
      </c>
      <c r="S105" s="37" t="str">
        <f t="shared" si="6"/>
        <v/>
      </c>
      <c r="T105" s="38" t="str">
        <f t="shared" si="7"/>
        <v/>
      </c>
      <c r="U105" s="37" t="str">
        <f t="shared" si="8"/>
        <v/>
      </c>
    </row>
    <row r="106" spans="2:21" ht="17.25">
      <c r="B106" s="281" t="s">
        <v>159</v>
      </c>
      <c r="C106" s="281" t="s">
        <v>227</v>
      </c>
      <c r="D106" s="281" t="s">
        <v>256</v>
      </c>
      <c r="E106" s="281" t="s">
        <v>257</v>
      </c>
      <c r="F106" s="151" t="s">
        <v>127</v>
      </c>
      <c r="G106" s="152">
        <v>0</v>
      </c>
      <c r="H106" s="153" t="s">
        <v>70</v>
      </c>
      <c r="I106" s="283">
        <v>2</v>
      </c>
      <c r="J106" s="283">
        <v>6</v>
      </c>
      <c r="K106" s="30" t="str">
        <f>IF(H106="","",IF($C$30="간이법","",FPR(H106,I106,J106)))</f>
        <v/>
      </c>
      <c r="L106" s="30">
        <f>IF(H106="","",IF($C$30="상세법",FPV(H106,K106),IF(H106="EI",4,IF(H106="EO",5.2,IF(H106="EQ",3.9,IF(H106="ILF",7.5,IF(H106="EIF",5.4)))))))</f>
        <v>3.9</v>
      </c>
      <c r="M106" s="30" t="str">
        <f t="shared" si="2"/>
        <v/>
      </c>
      <c r="N106" s="134"/>
      <c r="O106" s="29"/>
      <c r="P106" s="37" t="str">
        <f t="shared" si="3"/>
        <v/>
      </c>
      <c r="Q106" s="38" t="str">
        <f t="shared" si="4"/>
        <v/>
      </c>
      <c r="R106" s="37" t="str">
        <f t="shared" si="5"/>
        <v/>
      </c>
      <c r="S106" s="37" t="str">
        <f t="shared" si="6"/>
        <v/>
      </c>
      <c r="T106" s="38" t="str">
        <f t="shared" si="7"/>
        <v/>
      </c>
      <c r="U106" s="37" t="str">
        <f t="shared" si="8"/>
        <v/>
      </c>
    </row>
    <row r="107" spans="2:21" ht="17.25">
      <c r="B107" s="280" t="s">
        <v>159</v>
      </c>
      <c r="C107" s="150" t="s">
        <v>227</v>
      </c>
      <c r="D107" s="280" t="s">
        <v>258</v>
      </c>
      <c r="E107" s="280" t="s">
        <v>259</v>
      </c>
      <c r="F107" s="151" t="s">
        <v>127</v>
      </c>
      <c r="G107" s="152">
        <v>0</v>
      </c>
      <c r="H107" s="153" t="s">
        <v>8</v>
      </c>
      <c r="I107" s="154">
        <v>1</v>
      </c>
      <c r="J107" s="154">
        <v>6</v>
      </c>
      <c r="K107" s="30" t="str">
        <f>IF(H107="","",IF($C$30="간이법","",FPR(H107,I107,J107)))</f>
        <v/>
      </c>
      <c r="L107" s="30">
        <f>IF(H107="","",IF($C$30="상세법",FPV(H107,K107),IF(H107="EI",4,IF(H107="EO",5.2,IF(H107="EQ",3.9,IF(H107="ILF",7.5,IF(H107="EIF",5.4)))))))</f>
        <v>4</v>
      </c>
      <c r="M107" s="30" t="str">
        <f t="shared" si="2"/>
        <v/>
      </c>
      <c r="N107" s="134"/>
      <c r="O107" s="29"/>
      <c r="P107" s="37" t="str">
        <f t="shared" si="3"/>
        <v/>
      </c>
      <c r="Q107" s="38" t="str">
        <f t="shared" si="4"/>
        <v/>
      </c>
      <c r="R107" s="37" t="str">
        <f t="shared" si="5"/>
        <v/>
      </c>
      <c r="S107" s="37" t="str">
        <f t="shared" si="6"/>
        <v/>
      </c>
      <c r="T107" s="38" t="str">
        <f t="shared" si="7"/>
        <v/>
      </c>
      <c r="U107" s="37" t="str">
        <f t="shared" si="8"/>
        <v/>
      </c>
    </row>
    <row r="108" spans="2:21" ht="17.25">
      <c r="B108" s="280" t="s">
        <v>159</v>
      </c>
      <c r="C108" s="150" t="s">
        <v>227</v>
      </c>
      <c r="D108" s="280" t="s">
        <v>260</v>
      </c>
      <c r="E108" s="280" t="s">
        <v>261</v>
      </c>
      <c r="F108" s="151" t="s">
        <v>127</v>
      </c>
      <c r="G108" s="152">
        <v>0</v>
      </c>
      <c r="H108" s="153" t="s">
        <v>8</v>
      </c>
      <c r="I108" s="154">
        <v>5</v>
      </c>
      <c r="J108" s="154">
        <v>20</v>
      </c>
      <c r="K108" s="30" t="str">
        <f>IF(H108="","",IF($C$30="간이법","",FPR(H108,I108,J108)))</f>
        <v/>
      </c>
      <c r="L108" s="30">
        <f>IF(H108="","",IF($C$30="상세법",FPV(H108,K108),IF(H108="EI",4,IF(H108="EO",5.2,IF(H108="EQ",3.9,IF(H108="ILF",7.5,IF(H108="EIF",5.4)))))))</f>
        <v>4</v>
      </c>
      <c r="M108" s="30" t="str">
        <f t="shared" si="2"/>
        <v/>
      </c>
      <c r="N108" s="134"/>
      <c r="O108" s="29"/>
      <c r="P108" s="37" t="str">
        <f t="shared" si="3"/>
        <v/>
      </c>
      <c r="Q108" s="38" t="str">
        <f t="shared" si="4"/>
        <v/>
      </c>
      <c r="R108" s="37" t="str">
        <f t="shared" si="5"/>
        <v/>
      </c>
      <c r="S108" s="37" t="str">
        <f t="shared" si="6"/>
        <v/>
      </c>
      <c r="T108" s="38" t="str">
        <f t="shared" si="7"/>
        <v/>
      </c>
      <c r="U108" s="37" t="str">
        <f t="shared" si="8"/>
        <v/>
      </c>
    </row>
    <row r="109" spans="2:21" ht="17.25">
      <c r="B109" s="281" t="s">
        <v>159</v>
      </c>
      <c r="C109" s="281" t="s">
        <v>227</v>
      </c>
      <c r="D109" s="281" t="s">
        <v>262</v>
      </c>
      <c r="E109" s="281" t="s">
        <v>263</v>
      </c>
      <c r="F109" s="151" t="s">
        <v>127</v>
      </c>
      <c r="G109" s="152">
        <v>0</v>
      </c>
      <c r="H109" s="153" t="s">
        <v>8</v>
      </c>
      <c r="I109" s="283">
        <v>1</v>
      </c>
      <c r="J109" s="283">
        <v>7</v>
      </c>
      <c r="K109" s="30" t="str">
        <f>IF(H109="","",IF($C$30="간이법","",FPR(H109,I109,J109)))</f>
        <v/>
      </c>
      <c r="L109" s="30">
        <f>IF(H109="","",IF($C$30="상세법",FPV(H109,K109),IF(H109="EI",4,IF(H109="EO",5.2,IF(H109="EQ",3.9,IF(H109="ILF",7.5,IF(H109="EIF",5.4)))))))</f>
        <v>4</v>
      </c>
      <c r="M109" s="30" t="str">
        <f t="shared" si="2"/>
        <v/>
      </c>
      <c r="N109" s="134"/>
      <c r="O109" s="29"/>
      <c r="P109" s="37" t="str">
        <f t="shared" si="3"/>
        <v/>
      </c>
      <c r="Q109" s="38" t="str">
        <f t="shared" si="4"/>
        <v/>
      </c>
      <c r="R109" s="37" t="str">
        <f t="shared" si="5"/>
        <v/>
      </c>
      <c r="S109" s="37" t="str">
        <f t="shared" si="6"/>
        <v/>
      </c>
      <c r="T109" s="38" t="str">
        <f t="shared" si="7"/>
        <v/>
      </c>
      <c r="U109" s="37" t="str">
        <f t="shared" si="8"/>
        <v/>
      </c>
    </row>
    <row r="110" spans="2:21" ht="17.25">
      <c r="B110" s="280" t="s">
        <v>159</v>
      </c>
      <c r="C110" s="150" t="s">
        <v>227</v>
      </c>
      <c r="D110" s="280" t="s">
        <v>260</v>
      </c>
      <c r="E110" s="280" t="s">
        <v>264</v>
      </c>
      <c r="F110" s="151" t="s">
        <v>127</v>
      </c>
      <c r="G110" s="152">
        <v>0</v>
      </c>
      <c r="H110" s="153" t="s">
        <v>8</v>
      </c>
      <c r="I110" s="154">
        <v>1</v>
      </c>
      <c r="J110" s="154">
        <v>14</v>
      </c>
      <c r="K110" s="30" t="str">
        <f>IF(H110="","",IF($C$30="간이법","",FPR(H110,I110,J110)))</f>
        <v/>
      </c>
      <c r="L110" s="30">
        <f>IF(H110="","",IF($C$30="상세법",FPV(H110,K110),IF(H110="EI",4,IF(H110="EO",5.2,IF(H110="EQ",3.9,IF(H110="ILF",7.5,IF(H110="EIF",5.4)))))))</f>
        <v>4</v>
      </c>
      <c r="M110" s="30" t="str">
        <f t="shared" si="2"/>
        <v/>
      </c>
      <c r="N110" s="134"/>
      <c r="O110" s="29"/>
      <c r="P110" s="37" t="str">
        <f t="shared" si="3"/>
        <v/>
      </c>
      <c r="Q110" s="38" t="str">
        <f t="shared" si="4"/>
        <v/>
      </c>
      <c r="R110" s="37" t="str">
        <f t="shared" si="5"/>
        <v/>
      </c>
      <c r="S110" s="37" t="str">
        <f t="shared" si="6"/>
        <v/>
      </c>
      <c r="T110" s="38" t="str">
        <f t="shared" si="7"/>
        <v/>
      </c>
      <c r="U110" s="37" t="str">
        <f t="shared" si="8"/>
        <v/>
      </c>
    </row>
    <row r="111" spans="2:21" ht="17.25">
      <c r="B111" s="280" t="s">
        <v>159</v>
      </c>
      <c r="C111" s="150" t="s">
        <v>227</v>
      </c>
      <c r="D111" s="280" t="s">
        <v>265</v>
      </c>
      <c r="E111" s="280" t="s">
        <v>266</v>
      </c>
      <c r="F111" s="151" t="s">
        <v>127</v>
      </c>
      <c r="G111" s="152">
        <v>0</v>
      </c>
      <c r="H111" s="153" t="s">
        <v>70</v>
      </c>
      <c r="I111" s="154">
        <v>1</v>
      </c>
      <c r="J111" s="154">
        <v>8</v>
      </c>
      <c r="K111" s="30" t="str">
        <f>IF(H111="","",IF($C$30="간이법","",FPR(H111,I111,J111)))</f>
        <v/>
      </c>
      <c r="L111" s="30">
        <f>IF(H111="","",IF($C$30="상세법",FPV(H111,K111),IF(H111="EI",4,IF(H111="EO",5.2,IF(H111="EQ",3.9,IF(H111="ILF",7.5,IF(H111="EIF",5.4)))))))</f>
        <v>3.9</v>
      </c>
      <c r="M111" s="30" t="str">
        <f t="shared" si="2"/>
        <v/>
      </c>
      <c r="N111" s="134"/>
      <c r="O111" s="29"/>
      <c r="P111" s="37" t="str">
        <f t="shared" si="3"/>
        <v/>
      </c>
      <c r="Q111" s="38" t="str">
        <f t="shared" si="4"/>
        <v/>
      </c>
      <c r="R111" s="37" t="str">
        <f t="shared" si="5"/>
        <v/>
      </c>
      <c r="S111" s="37" t="str">
        <f t="shared" si="6"/>
        <v/>
      </c>
      <c r="T111" s="38" t="str">
        <f t="shared" si="7"/>
        <v/>
      </c>
      <c r="U111" s="37" t="str">
        <f t="shared" si="8"/>
        <v/>
      </c>
    </row>
    <row r="112" spans="2:21" ht="17.25">
      <c r="B112" s="281" t="s">
        <v>159</v>
      </c>
      <c r="C112" s="281" t="s">
        <v>227</v>
      </c>
      <c r="D112" s="281" t="s">
        <v>267</v>
      </c>
      <c r="E112" s="281" t="s">
        <v>268</v>
      </c>
      <c r="F112" s="151" t="s">
        <v>127</v>
      </c>
      <c r="G112" s="152">
        <v>0</v>
      </c>
      <c r="H112" s="153" t="s">
        <v>70</v>
      </c>
      <c r="I112" s="283">
        <v>3</v>
      </c>
      <c r="J112" s="283">
        <v>9</v>
      </c>
      <c r="K112" s="30" t="str">
        <f>IF(H112="","",IF($C$30="간이법","",FPR(H112,I112,J112)))</f>
        <v/>
      </c>
      <c r="L112" s="30">
        <f>IF(H112="","",IF($C$30="상세법",FPV(H112,K112),IF(H112="EI",4,IF(H112="EO",5.2,IF(H112="EQ",3.9,IF(H112="ILF",7.5,IF(H112="EIF",5.4)))))))</f>
        <v>3.9</v>
      </c>
      <c r="M112" s="30" t="str">
        <f t="shared" si="2"/>
        <v/>
      </c>
      <c r="N112" s="134"/>
      <c r="O112" s="29"/>
      <c r="P112" s="37" t="str">
        <f t="shared" si="3"/>
        <v/>
      </c>
      <c r="Q112" s="38" t="str">
        <f t="shared" si="4"/>
        <v/>
      </c>
      <c r="R112" s="37" t="str">
        <f t="shared" si="5"/>
        <v/>
      </c>
      <c r="S112" s="37" t="str">
        <f t="shared" si="6"/>
        <v/>
      </c>
      <c r="T112" s="38" t="str">
        <f t="shared" si="7"/>
        <v/>
      </c>
      <c r="U112" s="37" t="str">
        <f t="shared" si="8"/>
        <v/>
      </c>
    </row>
    <row r="113" spans="2:21" ht="17.25">
      <c r="B113" s="280" t="s">
        <v>159</v>
      </c>
      <c r="C113" s="150" t="s">
        <v>227</v>
      </c>
      <c r="D113" s="280" t="s">
        <v>269</v>
      </c>
      <c r="E113" s="280" t="s">
        <v>270</v>
      </c>
      <c r="F113" s="151" t="s">
        <v>127</v>
      </c>
      <c r="G113" s="152">
        <v>0</v>
      </c>
      <c r="H113" s="153" t="s">
        <v>70</v>
      </c>
      <c r="I113" s="154">
        <v>2</v>
      </c>
      <c r="J113" s="154">
        <v>11</v>
      </c>
      <c r="K113" s="30" t="str">
        <f>IF(H113="","",IF($C$30="간이법","",FPR(H113,I113,J113)))</f>
        <v/>
      </c>
      <c r="L113" s="30">
        <f>IF(H113="","",IF($C$30="상세법",FPV(H113,K113),IF(H113="EI",4,IF(H113="EO",5.2,IF(H113="EQ",3.9,IF(H113="ILF",7.5,IF(H113="EIF",5.4)))))))</f>
        <v>3.9</v>
      </c>
      <c r="M113" s="30" t="str">
        <f t="shared" si="2"/>
        <v/>
      </c>
      <c r="N113" s="134"/>
      <c r="O113" s="29"/>
      <c r="P113" s="37" t="str">
        <f t="shared" si="3"/>
        <v/>
      </c>
      <c r="Q113" s="38" t="str">
        <f t="shared" si="4"/>
        <v/>
      </c>
      <c r="R113" s="37" t="str">
        <f t="shared" si="5"/>
        <v/>
      </c>
      <c r="S113" s="37" t="str">
        <f t="shared" si="6"/>
        <v/>
      </c>
      <c r="T113" s="38" t="str">
        <f t="shared" si="7"/>
        <v/>
      </c>
      <c r="U113" s="37" t="str">
        <f t="shared" si="8"/>
        <v/>
      </c>
    </row>
    <row r="114" spans="2:21" ht="17.25">
      <c r="B114" s="280" t="s">
        <v>159</v>
      </c>
      <c r="C114" s="150" t="s">
        <v>227</v>
      </c>
      <c r="D114" s="280" t="s">
        <v>271</v>
      </c>
      <c r="E114" s="280" t="s">
        <v>272</v>
      </c>
      <c r="F114" s="151" t="s">
        <v>127</v>
      </c>
      <c r="G114" s="152">
        <v>0</v>
      </c>
      <c r="H114" s="153" t="s">
        <v>70</v>
      </c>
      <c r="I114" s="154">
        <v>3</v>
      </c>
      <c r="J114" s="154">
        <v>12</v>
      </c>
      <c r="K114" s="30" t="str">
        <f>IF(H114="","",IF($C$30="간이법","",FPR(H114,I114,J114)))</f>
        <v/>
      </c>
      <c r="L114" s="30">
        <f>IF(H114="","",IF($C$30="상세법",FPV(H114,K114),IF(H114="EI",4,IF(H114="EO",5.2,IF(H114="EQ",3.9,IF(H114="ILF",7.5,IF(H114="EIF",5.4)))))))</f>
        <v>3.9</v>
      </c>
      <c r="M114" s="30" t="str">
        <f t="shared" si="2"/>
        <v/>
      </c>
      <c r="N114" s="134"/>
      <c r="O114" s="29"/>
      <c r="P114" s="37" t="str">
        <f t="shared" si="3"/>
        <v/>
      </c>
      <c r="Q114" s="38" t="str">
        <f t="shared" si="4"/>
        <v/>
      </c>
      <c r="R114" s="37" t="str">
        <f t="shared" si="5"/>
        <v/>
      </c>
      <c r="S114" s="37" t="str">
        <f t="shared" si="6"/>
        <v/>
      </c>
      <c r="T114" s="38" t="str">
        <f t="shared" si="7"/>
        <v/>
      </c>
      <c r="U114" s="37" t="str">
        <f t="shared" si="8"/>
        <v/>
      </c>
    </row>
    <row r="115" spans="2:21" ht="17.25">
      <c r="B115" s="281" t="s">
        <v>159</v>
      </c>
      <c r="C115" s="281" t="s">
        <v>227</v>
      </c>
      <c r="D115" s="281" t="s">
        <v>273</v>
      </c>
      <c r="E115" s="281" t="s">
        <v>274</v>
      </c>
      <c r="F115" s="151" t="s">
        <v>127</v>
      </c>
      <c r="G115" s="152">
        <v>0</v>
      </c>
      <c r="H115" s="153" t="s">
        <v>70</v>
      </c>
      <c r="I115" s="283">
        <v>3</v>
      </c>
      <c r="J115" s="283">
        <v>9</v>
      </c>
      <c r="K115" s="30" t="str">
        <f>IF(H115="","",IF($C$30="간이법","",FPR(H115,I115,J115)))</f>
        <v/>
      </c>
      <c r="L115" s="30">
        <f>IF(H115="","",IF($C$30="상세법",FPV(H115,K115),IF(H115="EI",4,IF(H115="EO",5.2,IF(H115="EQ",3.9,IF(H115="ILF",7.5,IF(H115="EIF",5.4)))))))</f>
        <v>3.9</v>
      </c>
      <c r="M115" s="30" t="str">
        <f t="shared" si="2"/>
        <v/>
      </c>
      <c r="N115" s="134"/>
      <c r="O115" s="29"/>
      <c r="P115" s="37" t="str">
        <f t="shared" si="3"/>
        <v/>
      </c>
      <c r="Q115" s="38" t="str">
        <f t="shared" si="4"/>
        <v/>
      </c>
      <c r="R115" s="37" t="str">
        <f t="shared" si="5"/>
        <v/>
      </c>
      <c r="S115" s="37" t="str">
        <f t="shared" si="6"/>
        <v/>
      </c>
      <c r="T115" s="38" t="str">
        <f t="shared" si="7"/>
        <v/>
      </c>
      <c r="U115" s="37" t="str">
        <f t="shared" si="8"/>
        <v/>
      </c>
    </row>
    <row r="116" spans="2:21" ht="17.25">
      <c r="B116" s="280" t="s">
        <v>159</v>
      </c>
      <c r="C116" s="150" t="s">
        <v>227</v>
      </c>
      <c r="D116" s="280" t="s">
        <v>275</v>
      </c>
      <c r="E116" s="280" t="s">
        <v>276</v>
      </c>
      <c r="F116" s="151" t="s">
        <v>127</v>
      </c>
      <c r="G116" s="152">
        <v>0</v>
      </c>
      <c r="H116" s="153" t="s">
        <v>70</v>
      </c>
      <c r="I116" s="154">
        <v>3</v>
      </c>
      <c r="J116" s="154">
        <v>7</v>
      </c>
      <c r="K116" s="30" t="str">
        <f>IF(H116="","",IF($C$30="간이법","",FPR(H116,I116,J116)))</f>
        <v/>
      </c>
      <c r="L116" s="30">
        <f>IF(H116="","",IF($C$30="상세법",FPV(H116,K116),IF(H116="EI",4,IF(H116="EO",5.2,IF(H116="EQ",3.9,IF(H116="ILF",7.5,IF(H116="EIF",5.4)))))))</f>
        <v>3.9</v>
      </c>
      <c r="M116" s="30" t="str">
        <f t="shared" si="2"/>
        <v/>
      </c>
      <c r="N116" s="134"/>
      <c r="O116" s="29"/>
      <c r="P116" s="37" t="str">
        <f t="shared" si="3"/>
        <v/>
      </c>
      <c r="Q116" s="38" t="str">
        <f t="shared" si="4"/>
        <v/>
      </c>
      <c r="R116" s="37" t="str">
        <f t="shared" si="5"/>
        <v/>
      </c>
      <c r="S116" s="37" t="str">
        <f t="shared" si="6"/>
        <v/>
      </c>
      <c r="T116" s="38" t="str">
        <f t="shared" si="7"/>
        <v/>
      </c>
      <c r="U116" s="37" t="str">
        <f t="shared" si="8"/>
        <v/>
      </c>
    </row>
    <row r="117" spans="2:21" ht="17.25">
      <c r="B117" s="280" t="s">
        <v>159</v>
      </c>
      <c r="C117" s="150" t="s">
        <v>227</v>
      </c>
      <c r="D117" s="280" t="s">
        <v>277</v>
      </c>
      <c r="E117" s="280" t="s">
        <v>278</v>
      </c>
      <c r="F117" s="151" t="s">
        <v>127</v>
      </c>
      <c r="G117" s="152">
        <v>0</v>
      </c>
      <c r="H117" s="153" t="s">
        <v>69</v>
      </c>
      <c r="I117" s="154">
        <v>3</v>
      </c>
      <c r="J117" s="154">
        <v>14</v>
      </c>
      <c r="K117" s="30" t="str">
        <f>IF(H117="","",IF($C$30="간이법","",FPR(H117,I117,J117)))</f>
        <v/>
      </c>
      <c r="L117" s="30">
        <f>IF(H117="","",IF($C$30="상세법",FPV(H117,K117),IF(H117="EI",4,IF(H117="EO",5.2,IF(H117="EQ",3.9,IF(H117="ILF",7.5,IF(H117="EIF",5.4)))))))</f>
        <v>5.2</v>
      </c>
      <c r="M117" s="30" t="str">
        <f t="shared" si="2"/>
        <v/>
      </c>
      <c r="N117" s="134"/>
      <c r="O117" s="29"/>
      <c r="P117" s="37" t="str">
        <f t="shared" si="3"/>
        <v/>
      </c>
      <c r="Q117" s="38" t="str">
        <f t="shared" si="4"/>
        <v/>
      </c>
      <c r="R117" s="37" t="str">
        <f t="shared" si="5"/>
        <v/>
      </c>
      <c r="S117" s="37" t="str">
        <f t="shared" si="6"/>
        <v/>
      </c>
      <c r="T117" s="38" t="str">
        <f t="shared" si="7"/>
        <v/>
      </c>
      <c r="U117" s="37" t="str">
        <f t="shared" si="8"/>
        <v/>
      </c>
    </row>
    <row r="118" spans="2:21" ht="17.25">
      <c r="B118" s="281" t="s">
        <v>159</v>
      </c>
      <c r="C118" s="281" t="s">
        <v>227</v>
      </c>
      <c r="D118" s="281" t="s">
        <v>279</v>
      </c>
      <c r="E118" s="281" t="s">
        <v>280</v>
      </c>
      <c r="F118" s="151" t="s">
        <v>127</v>
      </c>
      <c r="G118" s="152">
        <v>0</v>
      </c>
      <c r="H118" s="153" t="s">
        <v>69</v>
      </c>
      <c r="I118" s="283">
        <v>3</v>
      </c>
      <c r="J118" s="283">
        <v>9</v>
      </c>
      <c r="K118" s="30" t="str">
        <f>IF(H118="","",IF($C$30="간이법","",FPR(H118,I118,J118)))</f>
        <v/>
      </c>
      <c r="L118" s="30">
        <f>IF(H118="","",IF($C$30="상세법",FPV(H118,K118),IF(H118="EI",4,IF(H118="EO",5.2,IF(H118="EQ",3.9,IF(H118="ILF",7.5,IF(H118="EIF",5.4)))))))</f>
        <v>5.2</v>
      </c>
      <c r="M118" s="30" t="str">
        <f t="shared" si="2"/>
        <v/>
      </c>
      <c r="N118" s="134"/>
      <c r="O118" s="29"/>
      <c r="P118" s="37" t="str">
        <f t="shared" si="3"/>
        <v/>
      </c>
      <c r="Q118" s="38" t="str">
        <f t="shared" si="4"/>
        <v/>
      </c>
      <c r="R118" s="37" t="str">
        <f t="shared" si="5"/>
        <v/>
      </c>
      <c r="S118" s="37" t="str">
        <f t="shared" si="6"/>
        <v/>
      </c>
      <c r="T118" s="38" t="str">
        <f t="shared" si="7"/>
        <v/>
      </c>
      <c r="U118" s="37" t="str">
        <f t="shared" si="8"/>
        <v/>
      </c>
    </row>
    <row r="119" spans="2:21" ht="17.25">
      <c r="B119" s="280" t="s">
        <v>159</v>
      </c>
      <c r="C119" s="150" t="s">
        <v>227</v>
      </c>
      <c r="D119" s="280" t="s">
        <v>281</v>
      </c>
      <c r="E119" s="280" t="s">
        <v>282</v>
      </c>
      <c r="F119" s="151" t="s">
        <v>127</v>
      </c>
      <c r="G119" s="152">
        <v>0</v>
      </c>
      <c r="H119" s="153" t="s">
        <v>69</v>
      </c>
      <c r="I119" s="154">
        <v>3</v>
      </c>
      <c r="J119" s="154">
        <v>13</v>
      </c>
      <c r="K119" s="30" t="str">
        <f>IF(H119="","",IF($C$30="간이법","",FPR(H119,I119,J119)))</f>
        <v/>
      </c>
      <c r="L119" s="30">
        <f>IF(H119="","",IF($C$30="상세법",FPV(H119,K119),IF(H119="EI",4,IF(H119="EO",5.2,IF(H119="EQ",3.9,IF(H119="ILF",7.5,IF(H119="EIF",5.4)))))))</f>
        <v>5.2</v>
      </c>
      <c r="M119" s="30" t="str">
        <f t="shared" si="2"/>
        <v/>
      </c>
      <c r="N119" s="134"/>
      <c r="O119" s="29"/>
      <c r="P119" s="37" t="str">
        <f t="shared" si="3"/>
        <v/>
      </c>
      <c r="Q119" s="38" t="str">
        <f t="shared" si="4"/>
        <v/>
      </c>
      <c r="R119" s="37" t="str">
        <f t="shared" si="5"/>
        <v/>
      </c>
      <c r="S119" s="37" t="str">
        <f t="shared" si="6"/>
        <v/>
      </c>
      <c r="T119" s="38" t="str">
        <f t="shared" si="7"/>
        <v/>
      </c>
      <c r="U119" s="37" t="str">
        <f t="shared" si="8"/>
        <v/>
      </c>
    </row>
    <row r="120" spans="2:21" ht="17.25">
      <c r="B120" s="280" t="s">
        <v>159</v>
      </c>
      <c r="C120" s="150" t="s">
        <v>227</v>
      </c>
      <c r="D120" s="280" t="s">
        <v>283</v>
      </c>
      <c r="E120" s="280" t="s">
        <v>284</v>
      </c>
      <c r="F120" s="151" t="s">
        <v>127</v>
      </c>
      <c r="G120" s="152">
        <v>0</v>
      </c>
      <c r="H120" s="153" t="s">
        <v>69</v>
      </c>
      <c r="I120" s="154">
        <v>3</v>
      </c>
      <c r="J120" s="154">
        <v>16</v>
      </c>
      <c r="K120" s="30" t="str">
        <f>IF(H120="","",IF($C$30="간이법","",FPR(H120,I120,J120)))</f>
        <v/>
      </c>
      <c r="L120" s="30">
        <f>IF(H120="","",IF($C$30="상세법",FPV(H120,K120),IF(H120="EI",4,IF(H120="EO",5.2,IF(H120="EQ",3.9,IF(H120="ILF",7.5,IF(H120="EIF",5.4)))))))</f>
        <v>5.2</v>
      </c>
      <c r="M120" s="30" t="str">
        <f t="shared" si="2"/>
        <v/>
      </c>
      <c r="N120" s="134"/>
      <c r="O120" s="29"/>
      <c r="P120" s="37" t="str">
        <f t="shared" si="3"/>
        <v/>
      </c>
      <c r="Q120" s="38" t="str">
        <f t="shared" si="4"/>
        <v/>
      </c>
      <c r="R120" s="37" t="str">
        <f t="shared" si="5"/>
        <v/>
      </c>
      <c r="S120" s="37" t="str">
        <f t="shared" si="6"/>
        <v/>
      </c>
      <c r="T120" s="38" t="str">
        <f t="shared" si="7"/>
        <v/>
      </c>
      <c r="U120" s="37" t="str">
        <f t="shared" si="8"/>
        <v/>
      </c>
    </row>
    <row r="121" spans="2:21" ht="17.25">
      <c r="B121" s="281" t="s">
        <v>159</v>
      </c>
      <c r="C121" s="281" t="s">
        <v>227</v>
      </c>
      <c r="D121" s="281" t="s">
        <v>285</v>
      </c>
      <c r="E121" s="281" t="s">
        <v>286</v>
      </c>
      <c r="F121" s="151" t="s">
        <v>127</v>
      </c>
      <c r="G121" s="152">
        <v>0</v>
      </c>
      <c r="H121" s="153" t="s">
        <v>69</v>
      </c>
      <c r="I121" s="283">
        <v>2</v>
      </c>
      <c r="J121" s="283">
        <v>6</v>
      </c>
      <c r="K121" s="30" t="str">
        <f>IF(H121="","",IF($C$30="간이법","",FPR(H121,I121,J121)))</f>
        <v/>
      </c>
      <c r="L121" s="30">
        <f>IF(H121="","",IF($C$30="상세법",FPV(H121,K121),IF(H121="EI",4,IF(H121="EO",5.2,IF(H121="EQ",3.9,IF(H121="ILF",7.5,IF(H121="EIF",5.4)))))))</f>
        <v>5.2</v>
      </c>
      <c r="M121" s="30" t="str">
        <f t="shared" si="2"/>
        <v/>
      </c>
      <c r="N121" s="134"/>
      <c r="O121" s="29"/>
      <c r="P121" s="37" t="str">
        <f t="shared" si="3"/>
        <v/>
      </c>
      <c r="Q121" s="38" t="str">
        <f t="shared" si="4"/>
        <v/>
      </c>
      <c r="R121" s="37" t="str">
        <f t="shared" si="5"/>
        <v/>
      </c>
      <c r="S121" s="37" t="str">
        <f t="shared" si="6"/>
        <v/>
      </c>
      <c r="T121" s="38" t="str">
        <f t="shared" si="7"/>
        <v/>
      </c>
      <c r="U121" s="37" t="str">
        <f t="shared" si="8"/>
        <v/>
      </c>
    </row>
    <row r="122" spans="2:21" ht="17.25">
      <c r="B122" s="280" t="s">
        <v>159</v>
      </c>
      <c r="C122" s="150" t="s">
        <v>227</v>
      </c>
      <c r="D122" s="280" t="s">
        <v>287</v>
      </c>
      <c r="E122" s="280" t="s">
        <v>288</v>
      </c>
      <c r="F122" s="151" t="s">
        <v>127</v>
      </c>
      <c r="G122" s="152">
        <v>0</v>
      </c>
      <c r="H122" s="153" t="s">
        <v>69</v>
      </c>
      <c r="I122" s="154">
        <v>2</v>
      </c>
      <c r="J122" s="154">
        <v>5</v>
      </c>
      <c r="K122" s="30" t="str">
        <f>IF(H122="","",IF($C$30="간이법","",FPR(H122,I122,J122)))</f>
        <v/>
      </c>
      <c r="L122" s="30">
        <f>IF(H122="","",IF($C$30="상세법",FPV(H122,K122),IF(H122="EI",4,IF(H122="EO",5.2,IF(H122="EQ",3.9,IF(H122="ILF",7.5,IF(H122="EIF",5.4)))))))</f>
        <v>5.2</v>
      </c>
      <c r="M122" s="30" t="str">
        <f t="shared" si="2"/>
        <v/>
      </c>
      <c r="N122" s="134"/>
      <c r="O122" s="29"/>
      <c r="P122" s="37" t="str">
        <f t="shared" si="3"/>
        <v/>
      </c>
      <c r="Q122" s="38" t="str">
        <f t="shared" si="4"/>
        <v/>
      </c>
      <c r="R122" s="37" t="str">
        <f t="shared" si="5"/>
        <v/>
      </c>
      <c r="S122" s="37" t="str">
        <f t="shared" si="6"/>
        <v/>
      </c>
      <c r="T122" s="38" t="str">
        <f t="shared" si="7"/>
        <v/>
      </c>
      <c r="U122" s="37" t="str">
        <f t="shared" si="8"/>
        <v/>
      </c>
    </row>
    <row r="123" spans="2:21" ht="17.25">
      <c r="B123" s="280" t="s">
        <v>159</v>
      </c>
      <c r="C123" s="150" t="s">
        <v>227</v>
      </c>
      <c r="D123" s="280" t="s">
        <v>289</v>
      </c>
      <c r="E123" s="280" t="s">
        <v>290</v>
      </c>
      <c r="F123" s="151" t="s">
        <v>127</v>
      </c>
      <c r="G123" s="152">
        <v>0</v>
      </c>
      <c r="H123" s="153" t="s">
        <v>69</v>
      </c>
      <c r="I123" s="154">
        <v>3</v>
      </c>
      <c r="J123" s="154">
        <v>10</v>
      </c>
      <c r="K123" s="30" t="str">
        <f>IF(H123="","",IF($C$30="간이법","",FPR(H123,I123,J123)))</f>
        <v/>
      </c>
      <c r="L123" s="30">
        <f>IF(H123="","",IF($C$30="상세법",FPV(H123,K123),IF(H123="EI",4,IF(H123="EO",5.2,IF(H123="EQ",3.9,IF(H123="ILF",7.5,IF(H123="EIF",5.4)))))))</f>
        <v>5.2</v>
      </c>
      <c r="M123" s="30" t="str">
        <f t="shared" si="2"/>
        <v/>
      </c>
      <c r="N123" s="134"/>
      <c r="O123" s="29"/>
      <c r="P123" s="37" t="str">
        <f t="shared" si="3"/>
        <v/>
      </c>
      <c r="Q123" s="38" t="str">
        <f t="shared" si="4"/>
        <v/>
      </c>
      <c r="R123" s="37" t="str">
        <f t="shared" si="5"/>
        <v/>
      </c>
      <c r="S123" s="37" t="str">
        <f t="shared" si="6"/>
        <v/>
      </c>
      <c r="T123" s="38" t="str">
        <f t="shared" si="7"/>
        <v/>
      </c>
      <c r="U123" s="37" t="str">
        <f t="shared" si="8"/>
        <v/>
      </c>
    </row>
    <row r="124" spans="2:21" ht="17.25">
      <c r="B124" s="281" t="s">
        <v>159</v>
      </c>
      <c r="C124" s="281" t="s">
        <v>227</v>
      </c>
      <c r="D124" s="281" t="s">
        <v>291</v>
      </c>
      <c r="E124" s="281" t="s">
        <v>292</v>
      </c>
      <c r="F124" s="151" t="s">
        <v>127</v>
      </c>
      <c r="G124" s="152">
        <v>0</v>
      </c>
      <c r="H124" s="153" t="s">
        <v>69</v>
      </c>
      <c r="I124" s="283">
        <v>3</v>
      </c>
      <c r="J124" s="283">
        <v>13</v>
      </c>
      <c r="K124" s="30" t="str">
        <f>IF(H124="","",IF($C$30="간이법","",FPR(H124,I124,J124)))</f>
        <v/>
      </c>
      <c r="L124" s="30">
        <f>IF(H124="","",IF($C$30="상세법",FPV(H124,K124),IF(H124="EI",4,IF(H124="EO",5.2,IF(H124="EQ",3.9,IF(H124="ILF",7.5,IF(H124="EIF",5.4)))))))</f>
        <v>5.2</v>
      </c>
      <c r="M124" s="30" t="str">
        <f t="shared" ref="M124:M187" si="9">IF(OR(G124="",$E$36="(선택)",$E$40="(선택)",$E$41="(선택)",F124="신규 개발",F124="수정 없이 재사용"),"",(IF(F124="수정 후 재사용",IF($E$50&lt;=0.5,L124*($E$36+$E$50*100*(1+0.02*($E$40*$E$41)))/100,L124*($E$36+$E$50*100+($E$40*$E$41))/100))))</f>
        <v/>
      </c>
      <c r="N124" s="134"/>
      <c r="O124" s="29"/>
      <c r="P124" s="37" t="str">
        <f t="shared" ref="P124:P187" si="10">IF(F124="수정 후 재사용",IF(H124="ILF",G124,IF(H124="EIF",G124,"")),"")</f>
        <v/>
      </c>
      <c r="Q124" s="38" t="str">
        <f t="shared" ref="Q124:Q187" si="11">IF(P124&lt;&gt;"",IF(H124="ILF", L124/$E$46,IF(H124="EIF", L124/$E$46,"")),"")</f>
        <v/>
      </c>
      <c r="R124" s="37" t="str">
        <f t="shared" ref="R124:R187" si="12">IF(P124&lt;&gt;"",P124*Q124,"")</f>
        <v/>
      </c>
      <c r="S124" s="37" t="str">
        <f t="shared" ref="S124:S187" si="13">IF(F124="수정 후 재사용",IF(H124="EI",G124,IF(H124="EO",G124,IF(H124="EQ",G124,""))),"")</f>
        <v/>
      </c>
      <c r="T124" s="38" t="str">
        <f t="shared" ref="T124:T187" si="14">IF(S124&lt;&gt;"",IF(H124="EI",L124/$E$47,IF(H124="EO",L124/$E$47,IF(H124="EQ",L124/$E$47,""))),"")</f>
        <v/>
      </c>
      <c r="U124" s="37" t="str">
        <f t="shared" ref="U124:U187" si="15">IF(S124&lt;&gt;"",S124*T124,"")</f>
        <v/>
      </c>
    </row>
    <row r="125" spans="2:21" ht="17.25">
      <c r="B125" s="280" t="s">
        <v>159</v>
      </c>
      <c r="C125" s="150" t="s">
        <v>227</v>
      </c>
      <c r="D125" s="280" t="s">
        <v>293</v>
      </c>
      <c r="E125" s="280" t="s">
        <v>294</v>
      </c>
      <c r="F125" s="151" t="s">
        <v>127</v>
      </c>
      <c r="G125" s="152">
        <v>0</v>
      </c>
      <c r="H125" s="153" t="s">
        <v>69</v>
      </c>
      <c r="I125" s="154">
        <v>3</v>
      </c>
      <c r="J125" s="154">
        <v>12</v>
      </c>
      <c r="K125" s="30" t="str">
        <f>IF(H125="","",IF($C$30="간이법","",FPR(H125,I125,J125)))</f>
        <v/>
      </c>
      <c r="L125" s="30">
        <f>IF(H125="","",IF($C$30="상세법",FPV(H125,K125),IF(H125="EI",4,IF(H125="EO",5.2,IF(H125="EQ",3.9,IF(H125="ILF",7.5,IF(H125="EIF",5.4)))))))</f>
        <v>5.2</v>
      </c>
      <c r="M125" s="30" t="str">
        <f t="shared" si="9"/>
        <v/>
      </c>
      <c r="N125" s="134"/>
      <c r="O125" s="29"/>
      <c r="P125" s="37" t="str">
        <f t="shared" si="10"/>
        <v/>
      </c>
      <c r="Q125" s="38" t="str">
        <f t="shared" si="11"/>
        <v/>
      </c>
      <c r="R125" s="37" t="str">
        <f t="shared" si="12"/>
        <v/>
      </c>
      <c r="S125" s="37" t="str">
        <f t="shared" si="13"/>
        <v/>
      </c>
      <c r="T125" s="38" t="str">
        <f t="shared" si="14"/>
        <v/>
      </c>
      <c r="U125" s="37" t="str">
        <f t="shared" si="15"/>
        <v/>
      </c>
    </row>
    <row r="126" spans="2:21" ht="17.25">
      <c r="B126" s="280" t="s">
        <v>159</v>
      </c>
      <c r="C126" s="150" t="s">
        <v>227</v>
      </c>
      <c r="D126" s="280" t="s">
        <v>295</v>
      </c>
      <c r="E126" s="280" t="s">
        <v>296</v>
      </c>
      <c r="F126" s="151" t="s">
        <v>127</v>
      </c>
      <c r="G126" s="152">
        <v>0</v>
      </c>
      <c r="H126" s="153" t="s">
        <v>69</v>
      </c>
      <c r="I126" s="154">
        <v>6</v>
      </c>
      <c r="J126" s="154">
        <v>32</v>
      </c>
      <c r="K126" s="30" t="str">
        <f>IF(H126="","",IF($C$30="간이법","",FPR(H126,I126,J126)))</f>
        <v/>
      </c>
      <c r="L126" s="30">
        <f>IF(H126="","",IF($C$30="상세법",FPV(H126,K126),IF(H126="EI",4,IF(H126="EO",5.2,IF(H126="EQ",3.9,IF(H126="ILF",7.5,IF(H126="EIF",5.4)))))))</f>
        <v>5.2</v>
      </c>
      <c r="M126" s="30" t="str">
        <f t="shared" si="9"/>
        <v/>
      </c>
      <c r="N126" s="134"/>
      <c r="O126" s="29"/>
      <c r="P126" s="37" t="str">
        <f t="shared" si="10"/>
        <v/>
      </c>
      <c r="Q126" s="38" t="str">
        <f t="shared" si="11"/>
        <v/>
      </c>
      <c r="R126" s="37" t="str">
        <f t="shared" si="12"/>
        <v/>
      </c>
      <c r="S126" s="37" t="str">
        <f t="shared" si="13"/>
        <v/>
      </c>
      <c r="T126" s="38" t="str">
        <f t="shared" si="14"/>
        <v/>
      </c>
      <c r="U126" s="37" t="str">
        <f t="shared" si="15"/>
        <v/>
      </c>
    </row>
    <row r="127" spans="2:21" ht="17.25">
      <c r="B127" s="281" t="s">
        <v>159</v>
      </c>
      <c r="C127" s="281" t="s">
        <v>227</v>
      </c>
      <c r="D127" s="281" t="s">
        <v>297</v>
      </c>
      <c r="E127" s="281" t="s">
        <v>296</v>
      </c>
      <c r="F127" s="151" t="s">
        <v>127</v>
      </c>
      <c r="G127" s="152">
        <v>0</v>
      </c>
      <c r="H127" s="153" t="s">
        <v>69</v>
      </c>
      <c r="I127" s="283">
        <v>6</v>
      </c>
      <c r="J127" s="283">
        <v>88</v>
      </c>
      <c r="K127" s="30" t="str">
        <f>IF(H127="","",IF($C$30="간이법","",FPR(H127,I127,J127)))</f>
        <v/>
      </c>
      <c r="L127" s="30">
        <f>IF(H127="","",IF($C$30="상세법",FPV(H127,K127),IF(H127="EI",4,IF(H127="EO",5.2,IF(H127="EQ",3.9,IF(H127="ILF",7.5,IF(H127="EIF",5.4)))))))</f>
        <v>5.2</v>
      </c>
      <c r="M127" s="30" t="str">
        <f t="shared" si="9"/>
        <v/>
      </c>
      <c r="N127" s="134"/>
      <c r="O127" s="29"/>
      <c r="P127" s="37" t="str">
        <f t="shared" si="10"/>
        <v/>
      </c>
      <c r="Q127" s="38" t="str">
        <f t="shared" si="11"/>
        <v/>
      </c>
      <c r="R127" s="37" t="str">
        <f t="shared" si="12"/>
        <v/>
      </c>
      <c r="S127" s="37" t="str">
        <f t="shared" si="13"/>
        <v/>
      </c>
      <c r="T127" s="38" t="str">
        <f t="shared" si="14"/>
        <v/>
      </c>
      <c r="U127" s="37" t="str">
        <f t="shared" si="15"/>
        <v/>
      </c>
    </row>
    <row r="128" spans="2:21" ht="17.25">
      <c r="B128" s="280" t="s">
        <v>159</v>
      </c>
      <c r="C128" s="150" t="s">
        <v>227</v>
      </c>
      <c r="D128" s="280" t="s">
        <v>298</v>
      </c>
      <c r="E128" s="280" t="s">
        <v>299</v>
      </c>
      <c r="F128" s="151" t="s">
        <v>127</v>
      </c>
      <c r="G128" s="152">
        <v>0</v>
      </c>
      <c r="H128" s="153" t="s">
        <v>70</v>
      </c>
      <c r="I128" s="154">
        <v>2</v>
      </c>
      <c r="J128" s="154">
        <v>7</v>
      </c>
      <c r="K128" s="30" t="str">
        <f>IF(H128="","",IF($C$30="간이법","",FPR(H128,I128,J128)))</f>
        <v/>
      </c>
      <c r="L128" s="30">
        <f>IF(H128="","",IF($C$30="상세법",FPV(H128,K128),IF(H128="EI",4,IF(H128="EO",5.2,IF(H128="EQ",3.9,IF(H128="ILF",7.5,IF(H128="EIF",5.4)))))))</f>
        <v>3.9</v>
      </c>
      <c r="M128" s="30" t="str">
        <f t="shared" si="9"/>
        <v/>
      </c>
      <c r="N128" s="134"/>
      <c r="O128" s="29"/>
      <c r="P128" s="37" t="str">
        <f t="shared" si="10"/>
        <v/>
      </c>
      <c r="Q128" s="38" t="str">
        <f t="shared" si="11"/>
        <v/>
      </c>
      <c r="R128" s="37" t="str">
        <f t="shared" si="12"/>
        <v/>
      </c>
      <c r="S128" s="37" t="str">
        <f t="shared" si="13"/>
        <v/>
      </c>
      <c r="T128" s="38" t="str">
        <f t="shared" si="14"/>
        <v/>
      </c>
      <c r="U128" s="37" t="str">
        <f t="shared" si="15"/>
        <v/>
      </c>
    </row>
    <row r="129" spans="2:21" ht="17.25">
      <c r="B129" s="280" t="s">
        <v>159</v>
      </c>
      <c r="C129" s="150" t="s">
        <v>227</v>
      </c>
      <c r="D129" s="280" t="s">
        <v>300</v>
      </c>
      <c r="E129" s="280" t="s">
        <v>301</v>
      </c>
      <c r="F129" s="151" t="s">
        <v>127</v>
      </c>
      <c r="G129" s="152">
        <v>0</v>
      </c>
      <c r="H129" s="153" t="s">
        <v>8</v>
      </c>
      <c r="I129" s="154">
        <v>6</v>
      </c>
      <c r="J129" s="154">
        <v>32</v>
      </c>
      <c r="K129" s="30" t="str">
        <f>IF(H129="","",IF($C$30="간이법","",FPR(H129,I129,J129)))</f>
        <v/>
      </c>
      <c r="L129" s="30">
        <f>IF(H129="","",IF($C$30="상세법",FPV(H129,K129),IF(H129="EI",4,IF(H129="EO",5.2,IF(H129="EQ",3.9,IF(H129="ILF",7.5,IF(H129="EIF",5.4)))))))</f>
        <v>4</v>
      </c>
      <c r="M129" s="30" t="str">
        <f t="shared" si="9"/>
        <v/>
      </c>
      <c r="N129" s="134"/>
      <c r="O129" s="29"/>
      <c r="P129" s="37" t="str">
        <f t="shared" si="10"/>
        <v/>
      </c>
      <c r="Q129" s="38" t="str">
        <f t="shared" si="11"/>
        <v/>
      </c>
      <c r="R129" s="37" t="str">
        <f t="shared" si="12"/>
        <v/>
      </c>
      <c r="S129" s="37" t="str">
        <f t="shared" si="13"/>
        <v/>
      </c>
      <c r="T129" s="38" t="str">
        <f t="shared" si="14"/>
        <v/>
      </c>
      <c r="U129" s="37" t="str">
        <f t="shared" si="15"/>
        <v/>
      </c>
    </row>
    <row r="130" spans="2:21" ht="17.25">
      <c r="B130" s="281" t="s">
        <v>159</v>
      </c>
      <c r="C130" s="281" t="s">
        <v>227</v>
      </c>
      <c r="D130" s="281" t="s">
        <v>302</v>
      </c>
      <c r="E130" s="281" t="s">
        <v>303</v>
      </c>
      <c r="F130" s="151" t="s">
        <v>127</v>
      </c>
      <c r="G130" s="152">
        <v>0</v>
      </c>
      <c r="H130" s="153" t="s">
        <v>70</v>
      </c>
      <c r="I130" s="283">
        <v>2</v>
      </c>
      <c r="J130" s="283">
        <v>11</v>
      </c>
      <c r="K130" s="30" t="str">
        <f>IF(H130="","",IF($C$30="간이법","",FPR(H130,I130,J130)))</f>
        <v/>
      </c>
      <c r="L130" s="30">
        <f>IF(H130="","",IF($C$30="상세법",FPV(H130,K130),IF(H130="EI",4,IF(H130="EO",5.2,IF(H130="EQ",3.9,IF(H130="ILF",7.5,IF(H130="EIF",5.4)))))))</f>
        <v>3.9</v>
      </c>
      <c r="M130" s="30" t="str">
        <f t="shared" si="9"/>
        <v/>
      </c>
      <c r="N130" s="134"/>
      <c r="O130" s="29"/>
      <c r="P130" s="37" t="str">
        <f t="shared" si="10"/>
        <v/>
      </c>
      <c r="Q130" s="38" t="str">
        <f t="shared" si="11"/>
        <v/>
      </c>
      <c r="R130" s="37" t="str">
        <f t="shared" si="12"/>
        <v/>
      </c>
      <c r="S130" s="37" t="str">
        <f t="shared" si="13"/>
        <v/>
      </c>
      <c r="T130" s="38" t="str">
        <f t="shared" si="14"/>
        <v/>
      </c>
      <c r="U130" s="37" t="str">
        <f t="shared" si="15"/>
        <v/>
      </c>
    </row>
    <row r="131" spans="2:21" ht="17.25">
      <c r="B131" s="280" t="s">
        <v>159</v>
      </c>
      <c r="C131" s="150" t="s">
        <v>227</v>
      </c>
      <c r="D131" s="280" t="s">
        <v>304</v>
      </c>
      <c r="E131" s="280" t="s">
        <v>305</v>
      </c>
      <c r="F131" s="151" t="s">
        <v>127</v>
      </c>
      <c r="G131" s="152">
        <v>0</v>
      </c>
      <c r="H131" s="153" t="s">
        <v>70</v>
      </c>
      <c r="I131" s="154">
        <v>2</v>
      </c>
      <c r="J131" s="154">
        <v>20</v>
      </c>
      <c r="K131" s="30" t="str">
        <f>IF(H131="","",IF($C$30="간이법","",FPR(H131,I131,J131)))</f>
        <v/>
      </c>
      <c r="L131" s="30">
        <f>IF(H131="","",IF($C$30="상세법",FPV(H131,K131),IF(H131="EI",4,IF(H131="EO",5.2,IF(H131="EQ",3.9,IF(H131="ILF",7.5,IF(H131="EIF",5.4)))))))</f>
        <v>3.9</v>
      </c>
      <c r="M131" s="30" t="str">
        <f t="shared" si="9"/>
        <v/>
      </c>
      <c r="N131" s="134"/>
      <c r="O131" s="29"/>
      <c r="P131" s="37" t="str">
        <f t="shared" si="10"/>
        <v/>
      </c>
      <c r="Q131" s="38" t="str">
        <f t="shared" si="11"/>
        <v/>
      </c>
      <c r="R131" s="37" t="str">
        <f t="shared" si="12"/>
        <v/>
      </c>
      <c r="S131" s="37" t="str">
        <f t="shared" si="13"/>
        <v/>
      </c>
      <c r="T131" s="38" t="str">
        <f t="shared" si="14"/>
        <v/>
      </c>
      <c r="U131" s="37" t="str">
        <f t="shared" si="15"/>
        <v/>
      </c>
    </row>
    <row r="132" spans="2:21" ht="17.25">
      <c r="B132" s="280" t="s">
        <v>159</v>
      </c>
      <c r="C132" s="150" t="s">
        <v>227</v>
      </c>
      <c r="D132" s="280" t="s">
        <v>306</v>
      </c>
      <c r="E132" s="280" t="s">
        <v>307</v>
      </c>
      <c r="F132" s="151" t="s">
        <v>127</v>
      </c>
      <c r="G132" s="152">
        <v>0</v>
      </c>
      <c r="H132" s="153" t="s">
        <v>70</v>
      </c>
      <c r="I132" s="154">
        <v>2</v>
      </c>
      <c r="J132" s="154">
        <v>11</v>
      </c>
      <c r="K132" s="30" t="str">
        <f>IF(H132="","",IF($C$30="간이법","",FPR(H132,I132,J132)))</f>
        <v/>
      </c>
      <c r="L132" s="30">
        <f>IF(H132="","",IF($C$30="상세법",FPV(H132,K132),IF(H132="EI",4,IF(H132="EO",5.2,IF(H132="EQ",3.9,IF(H132="ILF",7.5,IF(H132="EIF",5.4)))))))</f>
        <v>3.9</v>
      </c>
      <c r="M132" s="30" t="str">
        <f t="shared" si="9"/>
        <v/>
      </c>
      <c r="N132" s="134"/>
      <c r="O132" s="29"/>
      <c r="P132" s="37" t="str">
        <f t="shared" si="10"/>
        <v/>
      </c>
      <c r="Q132" s="38" t="str">
        <f t="shared" si="11"/>
        <v/>
      </c>
      <c r="R132" s="37" t="str">
        <f t="shared" si="12"/>
        <v/>
      </c>
      <c r="S132" s="37" t="str">
        <f t="shared" si="13"/>
        <v/>
      </c>
      <c r="T132" s="38" t="str">
        <f t="shared" si="14"/>
        <v/>
      </c>
      <c r="U132" s="37" t="str">
        <f t="shared" si="15"/>
        <v/>
      </c>
    </row>
    <row r="133" spans="2:21" ht="17.25">
      <c r="B133" s="281" t="s">
        <v>159</v>
      </c>
      <c r="C133" s="281" t="s">
        <v>227</v>
      </c>
      <c r="D133" s="281" t="s">
        <v>308</v>
      </c>
      <c r="E133" s="281" t="s">
        <v>309</v>
      </c>
      <c r="F133" s="151" t="s">
        <v>127</v>
      </c>
      <c r="G133" s="152">
        <v>0</v>
      </c>
      <c r="H133" s="153" t="s">
        <v>70</v>
      </c>
      <c r="I133" s="283">
        <v>2</v>
      </c>
      <c r="J133" s="283">
        <v>24</v>
      </c>
      <c r="K133" s="30" t="str">
        <f>IF(H133="","",IF($C$30="간이법","",FPR(H133,I133,J133)))</f>
        <v/>
      </c>
      <c r="L133" s="30">
        <f>IF(H133="","",IF($C$30="상세법",FPV(H133,K133),IF(H133="EI",4,IF(H133="EO",5.2,IF(H133="EQ",3.9,IF(H133="ILF",7.5,IF(H133="EIF",5.4)))))))</f>
        <v>3.9</v>
      </c>
      <c r="M133" s="30" t="str">
        <f t="shared" si="9"/>
        <v/>
      </c>
      <c r="N133" s="134"/>
      <c r="O133" s="29"/>
      <c r="P133" s="37" t="str">
        <f t="shared" si="10"/>
        <v/>
      </c>
      <c r="Q133" s="38" t="str">
        <f t="shared" si="11"/>
        <v/>
      </c>
      <c r="R133" s="37" t="str">
        <f t="shared" si="12"/>
        <v/>
      </c>
      <c r="S133" s="37" t="str">
        <f t="shared" si="13"/>
        <v/>
      </c>
      <c r="T133" s="38" t="str">
        <f t="shared" si="14"/>
        <v/>
      </c>
      <c r="U133" s="37" t="str">
        <f t="shared" si="15"/>
        <v/>
      </c>
    </row>
    <row r="134" spans="2:21" ht="17.25">
      <c r="B134" s="280" t="s">
        <v>159</v>
      </c>
      <c r="C134" s="150" t="s">
        <v>227</v>
      </c>
      <c r="D134" s="280" t="s">
        <v>310</v>
      </c>
      <c r="E134" s="280" t="s">
        <v>311</v>
      </c>
      <c r="F134" s="151" t="s">
        <v>127</v>
      </c>
      <c r="G134" s="152">
        <v>0</v>
      </c>
      <c r="H134" s="153" t="s">
        <v>70</v>
      </c>
      <c r="I134" s="154">
        <v>2</v>
      </c>
      <c r="J134" s="154">
        <v>12</v>
      </c>
      <c r="K134" s="30" t="str">
        <f>IF(H134="","",IF($C$30="간이법","",FPR(H134,I134,J134)))</f>
        <v/>
      </c>
      <c r="L134" s="30">
        <f>IF(H134="","",IF($C$30="상세법",FPV(H134,K134),IF(H134="EI",4,IF(H134="EO",5.2,IF(H134="EQ",3.9,IF(H134="ILF",7.5,IF(H134="EIF",5.4)))))))</f>
        <v>3.9</v>
      </c>
      <c r="M134" s="30" t="str">
        <f t="shared" si="9"/>
        <v/>
      </c>
      <c r="N134" s="134"/>
      <c r="O134" s="29"/>
      <c r="P134" s="37" t="str">
        <f t="shared" si="10"/>
        <v/>
      </c>
      <c r="Q134" s="38" t="str">
        <f t="shared" si="11"/>
        <v/>
      </c>
      <c r="R134" s="37" t="str">
        <f t="shared" si="12"/>
        <v/>
      </c>
      <c r="S134" s="37" t="str">
        <f t="shared" si="13"/>
        <v/>
      </c>
      <c r="T134" s="38" t="str">
        <f t="shared" si="14"/>
        <v/>
      </c>
      <c r="U134" s="37" t="str">
        <f t="shared" si="15"/>
        <v/>
      </c>
    </row>
    <row r="135" spans="2:21" ht="17.25">
      <c r="B135" s="280" t="s">
        <v>159</v>
      </c>
      <c r="C135" s="150" t="s">
        <v>227</v>
      </c>
      <c r="D135" s="280" t="s">
        <v>312</v>
      </c>
      <c r="E135" s="280" t="s">
        <v>313</v>
      </c>
      <c r="F135" s="151" t="s">
        <v>127</v>
      </c>
      <c r="G135" s="152">
        <v>0</v>
      </c>
      <c r="H135" s="153" t="s">
        <v>70</v>
      </c>
      <c r="I135" s="154">
        <v>2</v>
      </c>
      <c r="J135" s="154">
        <v>18</v>
      </c>
      <c r="K135" s="30" t="str">
        <f>IF(H135="","",IF($C$30="간이법","",FPR(H135,I135,J135)))</f>
        <v/>
      </c>
      <c r="L135" s="30">
        <f>IF(H135="","",IF($C$30="상세법",FPV(H135,K135),IF(H135="EI",4,IF(H135="EO",5.2,IF(H135="EQ",3.9,IF(H135="ILF",7.5,IF(H135="EIF",5.4)))))))</f>
        <v>3.9</v>
      </c>
      <c r="M135" s="30" t="str">
        <f t="shared" si="9"/>
        <v/>
      </c>
      <c r="N135" s="134"/>
      <c r="O135" s="29"/>
      <c r="P135" s="37" t="str">
        <f t="shared" si="10"/>
        <v/>
      </c>
      <c r="Q135" s="38" t="str">
        <f t="shared" si="11"/>
        <v/>
      </c>
      <c r="R135" s="37" t="str">
        <f t="shared" si="12"/>
        <v/>
      </c>
      <c r="S135" s="37" t="str">
        <f t="shared" si="13"/>
        <v/>
      </c>
      <c r="T135" s="38" t="str">
        <f t="shared" si="14"/>
        <v/>
      </c>
      <c r="U135" s="37" t="str">
        <f t="shared" si="15"/>
        <v/>
      </c>
    </row>
    <row r="136" spans="2:21" ht="17.25">
      <c r="B136" s="281" t="s">
        <v>159</v>
      </c>
      <c r="C136" s="281" t="s">
        <v>227</v>
      </c>
      <c r="D136" s="281" t="s">
        <v>314</v>
      </c>
      <c r="E136" s="281" t="s">
        <v>315</v>
      </c>
      <c r="F136" s="151" t="s">
        <v>127</v>
      </c>
      <c r="G136" s="152">
        <v>0</v>
      </c>
      <c r="H136" s="153" t="s">
        <v>70</v>
      </c>
      <c r="I136" s="283">
        <v>2</v>
      </c>
      <c r="J136" s="283">
        <v>7</v>
      </c>
      <c r="K136" s="30" t="str">
        <f>IF(H136="","",IF($C$30="간이법","",FPR(H136,I136,J136)))</f>
        <v/>
      </c>
      <c r="L136" s="30">
        <f>IF(H136="","",IF($C$30="상세법",FPV(H136,K136),IF(H136="EI",4,IF(H136="EO",5.2,IF(H136="EQ",3.9,IF(H136="ILF",7.5,IF(H136="EIF",5.4)))))))</f>
        <v>3.9</v>
      </c>
      <c r="M136" s="30" t="str">
        <f t="shared" si="9"/>
        <v/>
      </c>
      <c r="N136" s="134"/>
      <c r="O136" s="29"/>
      <c r="P136" s="37" t="str">
        <f t="shared" si="10"/>
        <v/>
      </c>
      <c r="Q136" s="38" t="str">
        <f t="shared" si="11"/>
        <v/>
      </c>
      <c r="R136" s="37" t="str">
        <f t="shared" si="12"/>
        <v/>
      </c>
      <c r="S136" s="37" t="str">
        <f t="shared" si="13"/>
        <v/>
      </c>
      <c r="T136" s="38" t="str">
        <f t="shared" si="14"/>
        <v/>
      </c>
      <c r="U136" s="37" t="str">
        <f t="shared" si="15"/>
        <v/>
      </c>
    </row>
    <row r="137" spans="2:21" ht="17.25">
      <c r="B137" s="280" t="s">
        <v>159</v>
      </c>
      <c r="C137" s="150" t="s">
        <v>227</v>
      </c>
      <c r="D137" s="280" t="s">
        <v>316</v>
      </c>
      <c r="E137" s="280" t="s">
        <v>317</v>
      </c>
      <c r="F137" s="151" t="s">
        <v>127</v>
      </c>
      <c r="G137" s="152">
        <v>0</v>
      </c>
      <c r="H137" s="153" t="s">
        <v>70</v>
      </c>
      <c r="I137" s="154">
        <v>2</v>
      </c>
      <c r="J137" s="154">
        <v>9</v>
      </c>
      <c r="K137" s="30" t="str">
        <f>IF(H137="","",IF($C$30="간이법","",FPR(H137,I137,J137)))</f>
        <v/>
      </c>
      <c r="L137" s="30">
        <f>IF(H137="","",IF($C$30="상세법",FPV(H137,K137),IF(H137="EI",4,IF(H137="EO",5.2,IF(H137="EQ",3.9,IF(H137="ILF",7.5,IF(H137="EIF",5.4)))))))</f>
        <v>3.9</v>
      </c>
      <c r="M137" s="30" t="str">
        <f t="shared" si="9"/>
        <v/>
      </c>
      <c r="N137" s="134"/>
      <c r="O137" s="29"/>
      <c r="P137" s="37" t="str">
        <f t="shared" si="10"/>
        <v/>
      </c>
      <c r="Q137" s="38" t="str">
        <f t="shared" si="11"/>
        <v/>
      </c>
      <c r="R137" s="37" t="str">
        <f t="shared" si="12"/>
        <v/>
      </c>
      <c r="S137" s="37" t="str">
        <f t="shared" si="13"/>
        <v/>
      </c>
      <c r="T137" s="38" t="str">
        <f t="shared" si="14"/>
        <v/>
      </c>
      <c r="U137" s="37" t="str">
        <f t="shared" si="15"/>
        <v/>
      </c>
    </row>
    <row r="138" spans="2:21" ht="17.25">
      <c r="B138" s="280" t="s">
        <v>159</v>
      </c>
      <c r="C138" s="150" t="s">
        <v>227</v>
      </c>
      <c r="D138" s="280" t="s">
        <v>318</v>
      </c>
      <c r="E138" s="280" t="s">
        <v>319</v>
      </c>
      <c r="F138" s="151" t="s">
        <v>127</v>
      </c>
      <c r="G138" s="152">
        <v>0</v>
      </c>
      <c r="H138" s="153" t="s">
        <v>8</v>
      </c>
      <c r="I138" s="154">
        <v>1</v>
      </c>
      <c r="J138" s="154">
        <v>4</v>
      </c>
      <c r="K138" s="30" t="str">
        <f>IF(H138="","",IF($C$30="간이법","",FPR(H138,I138,J138)))</f>
        <v/>
      </c>
      <c r="L138" s="30">
        <f>IF(H138="","",IF($C$30="상세법",FPV(H138,K138),IF(H138="EI",4,IF(H138="EO",5.2,IF(H138="EQ",3.9,IF(H138="ILF",7.5,IF(H138="EIF",5.4)))))))</f>
        <v>4</v>
      </c>
      <c r="M138" s="30" t="str">
        <f t="shared" si="9"/>
        <v/>
      </c>
      <c r="N138" s="134"/>
      <c r="O138" s="29"/>
      <c r="P138" s="37" t="str">
        <f t="shared" si="10"/>
        <v/>
      </c>
      <c r="Q138" s="38" t="str">
        <f t="shared" si="11"/>
        <v/>
      </c>
      <c r="R138" s="37" t="str">
        <f t="shared" si="12"/>
        <v/>
      </c>
      <c r="S138" s="37" t="str">
        <f t="shared" si="13"/>
        <v/>
      </c>
      <c r="T138" s="38" t="str">
        <f t="shared" si="14"/>
        <v/>
      </c>
      <c r="U138" s="37" t="str">
        <f t="shared" si="15"/>
        <v/>
      </c>
    </row>
    <row r="139" spans="2:21" ht="17.25">
      <c r="B139" s="281" t="s">
        <v>159</v>
      </c>
      <c r="C139" s="281" t="s">
        <v>227</v>
      </c>
      <c r="D139" s="281" t="s">
        <v>320</v>
      </c>
      <c r="E139" s="281" t="s">
        <v>321</v>
      </c>
      <c r="F139" s="151" t="s">
        <v>127</v>
      </c>
      <c r="G139" s="152">
        <v>0</v>
      </c>
      <c r="H139" s="153" t="s">
        <v>69</v>
      </c>
      <c r="I139" s="283">
        <v>5</v>
      </c>
      <c r="J139" s="283">
        <v>45</v>
      </c>
      <c r="K139" s="30" t="str">
        <f>IF(H139="","",IF($C$30="간이법","",FPR(H139,I139,J139)))</f>
        <v/>
      </c>
      <c r="L139" s="30">
        <f>IF(H139="","",IF($C$30="상세법",FPV(H139,K139),IF(H139="EI",4,IF(H139="EO",5.2,IF(H139="EQ",3.9,IF(H139="ILF",7.5,IF(H139="EIF",5.4)))))))</f>
        <v>5.2</v>
      </c>
      <c r="M139" s="30" t="str">
        <f t="shared" si="9"/>
        <v/>
      </c>
      <c r="N139" s="134"/>
      <c r="O139" s="29"/>
      <c r="P139" s="37" t="str">
        <f t="shared" si="10"/>
        <v/>
      </c>
      <c r="Q139" s="38" t="str">
        <f t="shared" si="11"/>
        <v/>
      </c>
      <c r="R139" s="37" t="str">
        <f t="shared" si="12"/>
        <v/>
      </c>
      <c r="S139" s="37" t="str">
        <f t="shared" si="13"/>
        <v/>
      </c>
      <c r="T139" s="38" t="str">
        <f t="shared" si="14"/>
        <v/>
      </c>
      <c r="U139" s="37" t="str">
        <f t="shared" si="15"/>
        <v/>
      </c>
    </row>
    <row r="140" spans="2:21" ht="17.25">
      <c r="B140" s="280" t="s">
        <v>159</v>
      </c>
      <c r="C140" s="150" t="s">
        <v>227</v>
      </c>
      <c r="D140" s="280" t="s">
        <v>322</v>
      </c>
      <c r="E140" s="280" t="s">
        <v>323</v>
      </c>
      <c r="F140" s="151" t="s">
        <v>127</v>
      </c>
      <c r="G140" s="152">
        <v>0</v>
      </c>
      <c r="H140" s="153" t="s">
        <v>69</v>
      </c>
      <c r="I140" s="154">
        <v>1</v>
      </c>
      <c r="J140" s="154">
        <v>6</v>
      </c>
      <c r="K140" s="30" t="str">
        <f>IF(H140="","",IF($C$30="간이법","",FPR(H140,I140,J140)))</f>
        <v/>
      </c>
      <c r="L140" s="30">
        <f>IF(H140="","",IF($C$30="상세법",FPV(H140,K140),IF(H140="EI",4,IF(H140="EO",5.2,IF(H140="EQ",3.9,IF(H140="ILF",7.5,IF(H140="EIF",5.4)))))))</f>
        <v>5.2</v>
      </c>
      <c r="M140" s="30" t="str">
        <f t="shared" si="9"/>
        <v/>
      </c>
      <c r="N140" s="134"/>
      <c r="O140" s="29"/>
      <c r="P140" s="37" t="str">
        <f t="shared" si="10"/>
        <v/>
      </c>
      <c r="Q140" s="38" t="str">
        <f t="shared" si="11"/>
        <v/>
      </c>
      <c r="R140" s="37" t="str">
        <f t="shared" si="12"/>
        <v/>
      </c>
      <c r="S140" s="37" t="str">
        <f t="shared" si="13"/>
        <v/>
      </c>
      <c r="T140" s="38" t="str">
        <f t="shared" si="14"/>
        <v/>
      </c>
      <c r="U140" s="37" t="str">
        <f t="shared" si="15"/>
        <v/>
      </c>
    </row>
    <row r="141" spans="2:21" ht="17.25">
      <c r="B141" s="280" t="s">
        <v>159</v>
      </c>
      <c r="C141" s="150" t="s">
        <v>227</v>
      </c>
      <c r="D141" s="280" t="s">
        <v>324</v>
      </c>
      <c r="E141" s="280" t="s">
        <v>325</v>
      </c>
      <c r="F141" s="151" t="s">
        <v>127</v>
      </c>
      <c r="G141" s="152">
        <v>0</v>
      </c>
      <c r="H141" s="153" t="s">
        <v>8</v>
      </c>
      <c r="I141" s="154">
        <v>1</v>
      </c>
      <c r="J141" s="154">
        <v>4</v>
      </c>
      <c r="K141" s="30" t="str">
        <f>IF(H141="","",IF($C$30="간이법","",FPR(H141,I141,J141)))</f>
        <v/>
      </c>
      <c r="L141" s="30">
        <f>IF(H141="","",IF($C$30="상세법",FPV(H141,K141),IF(H141="EI",4,IF(H141="EO",5.2,IF(H141="EQ",3.9,IF(H141="ILF",7.5,IF(H141="EIF",5.4)))))))</f>
        <v>4</v>
      </c>
      <c r="M141" s="30" t="str">
        <f t="shared" si="9"/>
        <v/>
      </c>
      <c r="N141" s="134"/>
      <c r="O141" s="29"/>
      <c r="P141" s="37" t="str">
        <f t="shared" si="10"/>
        <v/>
      </c>
      <c r="Q141" s="38" t="str">
        <f t="shared" si="11"/>
        <v/>
      </c>
      <c r="R141" s="37" t="str">
        <f t="shared" si="12"/>
        <v/>
      </c>
      <c r="S141" s="37" t="str">
        <f t="shared" si="13"/>
        <v/>
      </c>
      <c r="T141" s="38" t="str">
        <f t="shared" si="14"/>
        <v/>
      </c>
      <c r="U141" s="37" t="str">
        <f t="shared" si="15"/>
        <v/>
      </c>
    </row>
    <row r="142" spans="2:21" ht="17.25">
      <c r="B142" s="281" t="s">
        <v>159</v>
      </c>
      <c r="C142" s="281" t="s">
        <v>227</v>
      </c>
      <c r="D142" s="281" t="s">
        <v>326</v>
      </c>
      <c r="E142" s="281" t="s">
        <v>327</v>
      </c>
      <c r="F142" s="151" t="s">
        <v>127</v>
      </c>
      <c r="G142" s="152">
        <v>0</v>
      </c>
      <c r="H142" s="153" t="s">
        <v>8</v>
      </c>
      <c r="I142" s="283">
        <v>1</v>
      </c>
      <c r="J142" s="283">
        <v>10</v>
      </c>
      <c r="K142" s="30" t="str">
        <f>IF(H142="","",IF($C$30="간이법","",FPR(H142,I142,J142)))</f>
        <v/>
      </c>
      <c r="L142" s="30">
        <f>IF(H142="","",IF($C$30="상세법",FPV(H142,K142),IF(H142="EI",4,IF(H142="EO",5.2,IF(H142="EQ",3.9,IF(H142="ILF",7.5,IF(H142="EIF",5.4)))))))</f>
        <v>4</v>
      </c>
      <c r="M142" s="30" t="str">
        <f t="shared" si="9"/>
        <v/>
      </c>
      <c r="N142" s="134"/>
      <c r="O142" s="29"/>
      <c r="P142" s="37" t="str">
        <f t="shared" si="10"/>
        <v/>
      </c>
      <c r="Q142" s="38" t="str">
        <f t="shared" si="11"/>
        <v/>
      </c>
      <c r="R142" s="37" t="str">
        <f t="shared" si="12"/>
        <v/>
      </c>
      <c r="S142" s="37" t="str">
        <f t="shared" si="13"/>
        <v/>
      </c>
      <c r="T142" s="38" t="str">
        <f t="shared" si="14"/>
        <v/>
      </c>
      <c r="U142" s="37" t="str">
        <f t="shared" si="15"/>
        <v/>
      </c>
    </row>
    <row r="143" spans="2:21" ht="27">
      <c r="B143" s="282" t="s">
        <v>159</v>
      </c>
      <c r="C143" s="156" t="s">
        <v>227</v>
      </c>
      <c r="D143" s="157" t="s">
        <v>328</v>
      </c>
      <c r="E143" s="281" t="s">
        <v>329</v>
      </c>
      <c r="F143" s="151" t="s">
        <v>127</v>
      </c>
      <c r="G143" s="152">
        <v>0</v>
      </c>
      <c r="H143" s="153" t="s">
        <v>69</v>
      </c>
      <c r="I143" s="154">
        <v>1</v>
      </c>
      <c r="J143" s="154">
        <v>5</v>
      </c>
      <c r="K143" s="30" t="str">
        <f>IF(H143="","",IF($C$30="간이법","",FPR(H143,I143,J143)))</f>
        <v/>
      </c>
      <c r="L143" s="30">
        <f>IF(H143="","",IF($C$30="상세법",FPV(H143,K143),IF(H143="EI",4,IF(H143="EO",5.2,IF(H143="EQ",3.9,IF(H143="ILF",7.5,IF(H143="EIF",5.4)))))))</f>
        <v>5.2</v>
      </c>
      <c r="M143" s="30" t="str">
        <f t="shared" si="9"/>
        <v/>
      </c>
      <c r="N143" s="134"/>
      <c r="O143" s="29"/>
      <c r="P143" s="37" t="str">
        <f t="shared" si="10"/>
        <v/>
      </c>
      <c r="Q143" s="38" t="str">
        <f t="shared" si="11"/>
        <v/>
      </c>
      <c r="R143" s="37" t="str">
        <f t="shared" si="12"/>
        <v/>
      </c>
      <c r="S143" s="37" t="str">
        <f t="shared" si="13"/>
        <v/>
      </c>
      <c r="T143" s="38" t="str">
        <f t="shared" si="14"/>
        <v/>
      </c>
      <c r="U143" s="37" t="str">
        <f t="shared" si="15"/>
        <v/>
      </c>
    </row>
    <row r="144" spans="2:21" ht="27">
      <c r="B144" s="282" t="s">
        <v>159</v>
      </c>
      <c r="C144" s="156" t="s">
        <v>330</v>
      </c>
      <c r="D144" s="157" t="s">
        <v>331</v>
      </c>
      <c r="E144" s="281" t="s">
        <v>332</v>
      </c>
      <c r="F144" s="151" t="s">
        <v>127</v>
      </c>
      <c r="G144" s="152">
        <v>0</v>
      </c>
      <c r="H144" s="153" t="s">
        <v>70</v>
      </c>
      <c r="I144" s="154">
        <v>1</v>
      </c>
      <c r="J144" s="154">
        <v>6</v>
      </c>
      <c r="K144" s="30" t="str">
        <f>IF(H144="","",IF($C$30="간이법","",FPR(H144,I144,J144)))</f>
        <v/>
      </c>
      <c r="L144" s="30">
        <f>IF(H144="","",IF($C$30="상세법",FPV(H144,K144),IF(H144="EI",4,IF(H144="EO",5.2,IF(H144="EQ",3.9,IF(H144="ILF",7.5,IF(H144="EIF",5.4)))))))</f>
        <v>3.9</v>
      </c>
      <c r="M144" s="30" t="str">
        <f t="shared" si="9"/>
        <v/>
      </c>
      <c r="N144" s="134"/>
      <c r="O144" s="29"/>
      <c r="P144" s="37" t="str">
        <f t="shared" si="10"/>
        <v/>
      </c>
      <c r="Q144" s="38" t="str">
        <f t="shared" si="11"/>
        <v/>
      </c>
      <c r="R144" s="37" t="str">
        <f t="shared" si="12"/>
        <v/>
      </c>
      <c r="S144" s="37" t="str">
        <f t="shared" si="13"/>
        <v/>
      </c>
      <c r="T144" s="38" t="str">
        <f t="shared" si="14"/>
        <v/>
      </c>
      <c r="U144" s="37" t="str">
        <f t="shared" si="15"/>
        <v/>
      </c>
    </row>
    <row r="145" spans="2:21" ht="27">
      <c r="B145" s="282" t="s">
        <v>159</v>
      </c>
      <c r="C145" s="156" t="s">
        <v>330</v>
      </c>
      <c r="D145" s="157" t="s">
        <v>333</v>
      </c>
      <c r="E145" s="281" t="s">
        <v>334</v>
      </c>
      <c r="F145" s="151" t="s">
        <v>127</v>
      </c>
      <c r="G145" s="152">
        <v>0</v>
      </c>
      <c r="H145" s="153" t="s">
        <v>8</v>
      </c>
      <c r="I145" s="154">
        <v>1</v>
      </c>
      <c r="J145" s="154">
        <v>6</v>
      </c>
      <c r="K145" s="30" t="str">
        <f>IF(H145="","",IF($C$30="간이법","",FPR(H145,I145,J145)))</f>
        <v/>
      </c>
      <c r="L145" s="30">
        <f>IF(H145="","",IF($C$30="상세법",FPV(H145,K145),IF(H145="EI",4,IF(H145="EO",5.2,IF(H145="EQ",3.9,IF(H145="ILF",7.5,IF(H145="EIF",5.4)))))))</f>
        <v>4</v>
      </c>
      <c r="M145" s="30" t="str">
        <f t="shared" si="9"/>
        <v/>
      </c>
      <c r="N145" s="134"/>
      <c r="O145" s="29"/>
      <c r="P145" s="37" t="str">
        <f t="shared" si="10"/>
        <v/>
      </c>
      <c r="Q145" s="38" t="str">
        <f t="shared" si="11"/>
        <v/>
      </c>
      <c r="R145" s="37" t="str">
        <f t="shared" si="12"/>
        <v/>
      </c>
      <c r="S145" s="37" t="str">
        <f t="shared" si="13"/>
        <v/>
      </c>
      <c r="T145" s="38" t="str">
        <f t="shared" si="14"/>
        <v/>
      </c>
      <c r="U145" s="37" t="str">
        <f t="shared" si="15"/>
        <v/>
      </c>
    </row>
    <row r="146" spans="2:21" ht="27">
      <c r="B146" s="282" t="s">
        <v>159</v>
      </c>
      <c r="C146" s="156" t="s">
        <v>330</v>
      </c>
      <c r="D146" s="157" t="s">
        <v>335</v>
      </c>
      <c r="E146" s="281" t="s">
        <v>336</v>
      </c>
      <c r="F146" s="151" t="s">
        <v>127</v>
      </c>
      <c r="G146" s="152">
        <v>0</v>
      </c>
      <c r="H146" s="153" t="s">
        <v>8</v>
      </c>
      <c r="I146" s="154">
        <v>1</v>
      </c>
      <c r="J146" s="154">
        <v>6</v>
      </c>
      <c r="K146" s="30" t="str">
        <f>IF(H146="","",IF($C$30="간이법","",FPR(H146,I146,J146)))</f>
        <v/>
      </c>
      <c r="L146" s="30">
        <f>IF(H146="","",IF($C$30="상세법",FPV(H146,K146),IF(H146="EI",4,IF(H146="EO",5.2,IF(H146="EQ",3.9,IF(H146="ILF",7.5,IF(H146="EIF",5.4)))))))</f>
        <v>4</v>
      </c>
      <c r="M146" s="30" t="str">
        <f t="shared" si="9"/>
        <v/>
      </c>
      <c r="N146" s="134"/>
      <c r="O146" s="29"/>
      <c r="P146" s="37" t="str">
        <f t="shared" si="10"/>
        <v/>
      </c>
      <c r="Q146" s="38" t="str">
        <f t="shared" si="11"/>
        <v/>
      </c>
      <c r="R146" s="37" t="str">
        <f t="shared" si="12"/>
        <v/>
      </c>
      <c r="S146" s="37" t="str">
        <f t="shared" si="13"/>
        <v/>
      </c>
      <c r="T146" s="38" t="str">
        <f t="shared" si="14"/>
        <v/>
      </c>
      <c r="U146" s="37" t="str">
        <f t="shared" si="15"/>
        <v/>
      </c>
    </row>
    <row r="147" spans="2:21" ht="27">
      <c r="B147" s="282" t="s">
        <v>159</v>
      </c>
      <c r="C147" s="156" t="s">
        <v>330</v>
      </c>
      <c r="D147" s="157" t="s">
        <v>337</v>
      </c>
      <c r="E147" s="281" t="s">
        <v>338</v>
      </c>
      <c r="F147" s="151" t="s">
        <v>127</v>
      </c>
      <c r="G147" s="152">
        <v>0</v>
      </c>
      <c r="H147" s="153" t="s">
        <v>8</v>
      </c>
      <c r="I147" s="154">
        <v>1</v>
      </c>
      <c r="J147" s="154">
        <v>7</v>
      </c>
      <c r="K147" s="30" t="str">
        <f>IF(H147="","",IF($C$30="간이법","",FPR(H147,I147,J147)))</f>
        <v/>
      </c>
      <c r="L147" s="30">
        <f>IF(H147="","",IF($C$30="상세법",FPV(H147,K147),IF(H147="EI",4,IF(H147="EO",5.2,IF(H147="EQ",3.9,IF(H147="ILF",7.5,IF(H147="EIF",5.4)))))))</f>
        <v>4</v>
      </c>
      <c r="M147" s="30" t="str">
        <f t="shared" si="9"/>
        <v/>
      </c>
      <c r="N147" s="134"/>
      <c r="O147" s="29"/>
      <c r="P147" s="37" t="str">
        <f t="shared" si="10"/>
        <v/>
      </c>
      <c r="Q147" s="38" t="str">
        <f t="shared" si="11"/>
        <v/>
      </c>
      <c r="R147" s="37" t="str">
        <f t="shared" si="12"/>
        <v/>
      </c>
      <c r="S147" s="37" t="str">
        <f t="shared" si="13"/>
        <v/>
      </c>
      <c r="T147" s="38" t="str">
        <f t="shared" si="14"/>
        <v/>
      </c>
      <c r="U147" s="37" t="str">
        <f t="shared" si="15"/>
        <v/>
      </c>
    </row>
    <row r="148" spans="2:21" ht="27">
      <c r="B148" s="282" t="s">
        <v>159</v>
      </c>
      <c r="C148" s="156" t="s">
        <v>330</v>
      </c>
      <c r="D148" s="157" t="s">
        <v>339</v>
      </c>
      <c r="E148" s="281" t="s">
        <v>340</v>
      </c>
      <c r="F148" s="151" t="s">
        <v>127</v>
      </c>
      <c r="G148" s="152">
        <v>0</v>
      </c>
      <c r="H148" s="153" t="s">
        <v>8</v>
      </c>
      <c r="I148" s="154">
        <v>2</v>
      </c>
      <c r="J148" s="154">
        <v>16</v>
      </c>
      <c r="K148" s="30" t="str">
        <f>IF(H148="","",IF($C$30="간이법","",FPR(H148,I148,J148)))</f>
        <v/>
      </c>
      <c r="L148" s="30">
        <f>IF(H148="","",IF($C$30="상세법",FPV(H148,K148),IF(H148="EI",4,IF(H148="EO",5.2,IF(H148="EQ",3.9,IF(H148="ILF",7.5,IF(H148="EIF",5.4)))))))</f>
        <v>4</v>
      </c>
      <c r="M148" s="30" t="str">
        <f t="shared" si="9"/>
        <v/>
      </c>
      <c r="N148" s="134"/>
      <c r="O148" s="29"/>
      <c r="P148" s="37" t="str">
        <f t="shared" si="10"/>
        <v/>
      </c>
      <c r="Q148" s="38" t="str">
        <f t="shared" si="11"/>
        <v/>
      </c>
      <c r="R148" s="37" t="str">
        <f t="shared" si="12"/>
        <v/>
      </c>
      <c r="S148" s="37" t="str">
        <f t="shared" si="13"/>
        <v/>
      </c>
      <c r="T148" s="38" t="str">
        <f t="shared" si="14"/>
        <v/>
      </c>
      <c r="U148" s="37" t="str">
        <f t="shared" si="15"/>
        <v/>
      </c>
    </row>
    <row r="149" spans="2:21" ht="27">
      <c r="B149" s="282" t="s">
        <v>159</v>
      </c>
      <c r="C149" s="156" t="s">
        <v>330</v>
      </c>
      <c r="D149" s="157" t="s">
        <v>341</v>
      </c>
      <c r="E149" s="281" t="s">
        <v>342</v>
      </c>
      <c r="F149" s="151" t="s">
        <v>127</v>
      </c>
      <c r="G149" s="152">
        <v>0</v>
      </c>
      <c r="H149" s="153" t="s">
        <v>8</v>
      </c>
      <c r="I149" s="154">
        <v>1</v>
      </c>
      <c r="J149" s="154">
        <v>6</v>
      </c>
      <c r="K149" s="30" t="str">
        <f>IF(H149="","",IF($C$30="간이법","",FPR(H149,I149,J149)))</f>
        <v/>
      </c>
      <c r="L149" s="30">
        <f>IF(H149="","",IF($C$30="상세법",FPV(H149,K149),IF(H149="EI",4,IF(H149="EO",5.2,IF(H149="EQ",3.9,IF(H149="ILF",7.5,IF(H149="EIF",5.4)))))))</f>
        <v>4</v>
      </c>
      <c r="M149" s="30" t="str">
        <f t="shared" si="9"/>
        <v/>
      </c>
      <c r="N149" s="134"/>
      <c r="O149" s="29"/>
      <c r="P149" s="37" t="str">
        <f t="shared" si="10"/>
        <v/>
      </c>
      <c r="Q149" s="38" t="str">
        <f t="shared" si="11"/>
        <v/>
      </c>
      <c r="R149" s="37" t="str">
        <f t="shared" si="12"/>
        <v/>
      </c>
      <c r="S149" s="37" t="str">
        <f t="shared" si="13"/>
        <v/>
      </c>
      <c r="T149" s="38" t="str">
        <f t="shared" si="14"/>
        <v/>
      </c>
      <c r="U149" s="37" t="str">
        <f t="shared" si="15"/>
        <v/>
      </c>
    </row>
    <row r="150" spans="2:21" ht="27">
      <c r="B150" s="282" t="s">
        <v>159</v>
      </c>
      <c r="C150" s="156" t="s">
        <v>330</v>
      </c>
      <c r="D150" s="157" t="s">
        <v>343</v>
      </c>
      <c r="E150" s="281" t="s">
        <v>344</v>
      </c>
      <c r="F150" s="151" t="s">
        <v>127</v>
      </c>
      <c r="G150" s="152">
        <v>0</v>
      </c>
      <c r="H150" s="153" t="s">
        <v>70</v>
      </c>
      <c r="I150" s="154">
        <v>3</v>
      </c>
      <c r="J150" s="154">
        <v>9</v>
      </c>
      <c r="K150" s="30" t="str">
        <f>IF(H150="","",IF($C$30="간이법","",FPR(H150,I150,J150)))</f>
        <v/>
      </c>
      <c r="L150" s="30">
        <f>IF(H150="","",IF($C$30="상세법",FPV(H150,K150),IF(H150="EI",4,IF(H150="EO",5.2,IF(H150="EQ",3.9,IF(H150="ILF",7.5,IF(H150="EIF",5.4)))))))</f>
        <v>3.9</v>
      </c>
      <c r="M150" s="30" t="str">
        <f t="shared" si="9"/>
        <v/>
      </c>
      <c r="N150" s="134"/>
      <c r="O150" s="29"/>
      <c r="P150" s="37" t="str">
        <f t="shared" si="10"/>
        <v/>
      </c>
      <c r="Q150" s="38" t="str">
        <f t="shared" si="11"/>
        <v/>
      </c>
      <c r="R150" s="37" t="str">
        <f t="shared" si="12"/>
        <v/>
      </c>
      <c r="S150" s="37" t="str">
        <f t="shared" si="13"/>
        <v/>
      </c>
      <c r="T150" s="38" t="str">
        <f t="shared" si="14"/>
        <v/>
      </c>
      <c r="U150" s="37" t="str">
        <f t="shared" si="15"/>
        <v/>
      </c>
    </row>
    <row r="151" spans="2:21" ht="27">
      <c r="B151" s="282" t="s">
        <v>159</v>
      </c>
      <c r="C151" s="156" t="s">
        <v>330</v>
      </c>
      <c r="D151" s="157" t="s">
        <v>345</v>
      </c>
      <c r="E151" s="281" t="s">
        <v>346</v>
      </c>
      <c r="F151" s="151" t="s">
        <v>127</v>
      </c>
      <c r="G151" s="152">
        <v>0</v>
      </c>
      <c r="H151" s="153" t="s">
        <v>8</v>
      </c>
      <c r="I151" s="154">
        <v>1</v>
      </c>
      <c r="J151" s="154">
        <v>6</v>
      </c>
      <c r="K151" s="30" t="str">
        <f>IF(H151="","",IF($C$30="간이법","",FPR(H151,I151,J151)))</f>
        <v/>
      </c>
      <c r="L151" s="30">
        <f>IF(H151="","",IF($C$30="상세법",FPV(H151,K151),IF(H151="EI",4,IF(H151="EO",5.2,IF(H151="EQ",3.9,IF(H151="ILF",7.5,IF(H151="EIF",5.4)))))))</f>
        <v>4</v>
      </c>
      <c r="M151" s="30" t="str">
        <f t="shared" si="9"/>
        <v/>
      </c>
      <c r="N151" s="134"/>
      <c r="O151" s="29"/>
      <c r="P151" s="37" t="str">
        <f t="shared" si="10"/>
        <v/>
      </c>
      <c r="Q151" s="38" t="str">
        <f t="shared" si="11"/>
        <v/>
      </c>
      <c r="R151" s="37" t="str">
        <f t="shared" si="12"/>
        <v/>
      </c>
      <c r="S151" s="37" t="str">
        <f t="shared" si="13"/>
        <v/>
      </c>
      <c r="T151" s="38" t="str">
        <f t="shared" si="14"/>
        <v/>
      </c>
      <c r="U151" s="37" t="str">
        <f t="shared" si="15"/>
        <v/>
      </c>
    </row>
    <row r="152" spans="2:21" ht="27">
      <c r="B152" s="282" t="s">
        <v>159</v>
      </c>
      <c r="C152" s="156" t="s">
        <v>330</v>
      </c>
      <c r="D152" s="157" t="s">
        <v>347</v>
      </c>
      <c r="E152" s="281" t="s">
        <v>348</v>
      </c>
      <c r="F152" s="151" t="s">
        <v>127</v>
      </c>
      <c r="G152" s="152">
        <v>0</v>
      </c>
      <c r="H152" s="153" t="s">
        <v>70</v>
      </c>
      <c r="I152" s="154">
        <v>1</v>
      </c>
      <c r="J152" s="154">
        <v>7</v>
      </c>
      <c r="K152" s="30" t="str">
        <f>IF(H152="","",IF($C$30="간이법","",FPR(H152,I152,J152)))</f>
        <v/>
      </c>
      <c r="L152" s="30">
        <f>IF(H152="","",IF($C$30="상세법",FPV(H152,K152),IF(H152="EI",4,IF(H152="EO",5.2,IF(H152="EQ",3.9,IF(H152="ILF",7.5,IF(H152="EIF",5.4)))))))</f>
        <v>3.9</v>
      </c>
      <c r="M152" s="30" t="str">
        <f t="shared" si="9"/>
        <v/>
      </c>
      <c r="N152" s="134"/>
      <c r="O152" s="29"/>
      <c r="P152" s="37" t="str">
        <f t="shared" si="10"/>
        <v/>
      </c>
      <c r="Q152" s="38" t="str">
        <f t="shared" si="11"/>
        <v/>
      </c>
      <c r="R152" s="37" t="str">
        <f t="shared" si="12"/>
        <v/>
      </c>
      <c r="S152" s="37" t="str">
        <f t="shared" si="13"/>
        <v/>
      </c>
      <c r="T152" s="38" t="str">
        <f t="shared" si="14"/>
        <v/>
      </c>
      <c r="U152" s="37" t="str">
        <f t="shared" si="15"/>
        <v/>
      </c>
    </row>
    <row r="153" spans="2:21" ht="27">
      <c r="B153" s="282" t="s">
        <v>159</v>
      </c>
      <c r="C153" s="156" t="s">
        <v>330</v>
      </c>
      <c r="D153" s="157" t="s">
        <v>349</v>
      </c>
      <c r="E153" s="281" t="s">
        <v>350</v>
      </c>
      <c r="F153" s="151" t="s">
        <v>46</v>
      </c>
      <c r="G153" s="152">
        <f>((0.25*10)+(0.45*10)+(0.3*5))/100</f>
        <v>8.5000000000000006E-2</v>
      </c>
      <c r="H153" s="153" t="s">
        <v>70</v>
      </c>
      <c r="I153" s="154">
        <v>4</v>
      </c>
      <c r="J153" s="154">
        <v>34</v>
      </c>
      <c r="K153" s="30" t="str">
        <f>IF(H153="","",IF($C$30="간이법","",FPR(H153,I153,J153)))</f>
        <v/>
      </c>
      <c r="L153" s="30">
        <f>IF(H153="","",IF($C$30="상세법",FPV(H153,K153),IF(H153="EI",4,IF(H153="EO",5.2,IF(H153="EQ",3.9,IF(H153="ILF",7.5,IF(H153="EIF",5.4)))))))</f>
        <v>3.9</v>
      </c>
      <c r="M153" s="30">
        <f t="shared" si="9"/>
        <v>0.33098893251533745</v>
      </c>
      <c r="N153" s="134"/>
      <c r="O153" s="29"/>
      <c r="P153" s="37" t="str">
        <f t="shared" si="10"/>
        <v/>
      </c>
      <c r="Q153" s="38" t="str">
        <f t="shared" si="11"/>
        <v/>
      </c>
      <c r="R153" s="37" t="str">
        <f t="shared" si="12"/>
        <v/>
      </c>
      <c r="S153" s="37">
        <f t="shared" si="13"/>
        <v>8.5000000000000006E-2</v>
      </c>
      <c r="T153" s="38">
        <f t="shared" si="14"/>
        <v>6.7590987868284227E-2</v>
      </c>
      <c r="U153" s="37">
        <f t="shared" si="15"/>
        <v>5.7452339688041599E-3</v>
      </c>
    </row>
    <row r="154" spans="2:21" ht="27">
      <c r="B154" s="282" t="s">
        <v>159</v>
      </c>
      <c r="C154" s="156" t="s">
        <v>330</v>
      </c>
      <c r="D154" s="157" t="s">
        <v>351</v>
      </c>
      <c r="E154" s="281" t="s">
        <v>352</v>
      </c>
      <c r="F154" s="151" t="s">
        <v>127</v>
      </c>
      <c r="G154" s="152">
        <v>0</v>
      </c>
      <c r="H154" s="153" t="s">
        <v>8</v>
      </c>
      <c r="I154" s="154">
        <v>1</v>
      </c>
      <c r="J154" s="154">
        <v>4</v>
      </c>
      <c r="K154" s="30" t="str">
        <f>IF(H154="","",IF($C$30="간이법","",FPR(H154,I154,J154)))</f>
        <v/>
      </c>
      <c r="L154" s="30">
        <f>IF(H154="","",IF($C$30="상세법",FPV(H154,K154),IF(H154="EI",4,IF(H154="EO",5.2,IF(H154="EQ",3.9,IF(H154="ILF",7.5,IF(H154="EIF",5.4)))))))</f>
        <v>4</v>
      </c>
      <c r="M154" s="30" t="str">
        <f t="shared" si="9"/>
        <v/>
      </c>
      <c r="N154" s="134"/>
      <c r="O154" s="29"/>
      <c r="P154" s="37" t="str">
        <f t="shared" si="10"/>
        <v/>
      </c>
      <c r="Q154" s="38" t="str">
        <f t="shared" si="11"/>
        <v/>
      </c>
      <c r="R154" s="37" t="str">
        <f t="shared" si="12"/>
        <v/>
      </c>
      <c r="S154" s="37" t="str">
        <f t="shared" si="13"/>
        <v/>
      </c>
      <c r="T154" s="38" t="str">
        <f t="shared" si="14"/>
        <v/>
      </c>
      <c r="U154" s="37" t="str">
        <f t="shared" si="15"/>
        <v/>
      </c>
    </row>
    <row r="155" spans="2:21" ht="27">
      <c r="B155" s="282" t="s">
        <v>159</v>
      </c>
      <c r="C155" s="156" t="s">
        <v>330</v>
      </c>
      <c r="D155" s="157" t="s">
        <v>353</v>
      </c>
      <c r="E155" s="281" t="s">
        <v>354</v>
      </c>
      <c r="F155" s="151" t="s">
        <v>46</v>
      </c>
      <c r="G155" s="152">
        <f>((0.25*10)+(0.45*10)+(0.3*15))/100</f>
        <v>0.115</v>
      </c>
      <c r="H155" s="153" t="s">
        <v>8</v>
      </c>
      <c r="I155" s="154">
        <v>1</v>
      </c>
      <c r="J155" s="154">
        <v>6</v>
      </c>
      <c r="K155" s="30" t="str">
        <f>IF(H155="","",IF($C$30="간이법","",FPR(H155,I155,J155)))</f>
        <v/>
      </c>
      <c r="L155" s="30">
        <f>IF(H155="","",IF($C$30="상세법",FPV(H155,K155),IF(H155="EI",4,IF(H155="EO",5.2,IF(H155="EQ",3.9,IF(H155="ILF",7.5,IF(H155="EIF",5.4)))))))</f>
        <v>4</v>
      </c>
      <c r="M155" s="30">
        <f t="shared" si="9"/>
        <v>0.33947582822085892</v>
      </c>
      <c r="N155" s="134"/>
      <c r="O155" s="29"/>
      <c r="P155" s="37" t="str">
        <f t="shared" si="10"/>
        <v/>
      </c>
      <c r="Q155" s="38" t="str">
        <f t="shared" si="11"/>
        <v/>
      </c>
      <c r="R155" s="37" t="str">
        <f t="shared" si="12"/>
        <v/>
      </c>
      <c r="S155" s="37">
        <f t="shared" si="13"/>
        <v>0.115</v>
      </c>
      <c r="T155" s="38">
        <f t="shared" si="14"/>
        <v>6.932409012131717E-2</v>
      </c>
      <c r="U155" s="37">
        <f t="shared" si="15"/>
        <v>7.9722703639514749E-3</v>
      </c>
    </row>
    <row r="156" spans="2:21" ht="27">
      <c r="B156" s="282" t="s">
        <v>159</v>
      </c>
      <c r="C156" s="156" t="s">
        <v>330</v>
      </c>
      <c r="D156" s="157" t="s">
        <v>355</v>
      </c>
      <c r="E156" s="281" t="s">
        <v>356</v>
      </c>
      <c r="F156" s="151" t="s">
        <v>127</v>
      </c>
      <c r="G156" s="152">
        <v>0</v>
      </c>
      <c r="H156" s="153" t="s">
        <v>8</v>
      </c>
      <c r="I156" s="154">
        <v>2</v>
      </c>
      <c r="J156" s="154">
        <v>4</v>
      </c>
      <c r="K156" s="30" t="str">
        <f>IF(H156="","",IF($C$30="간이법","",FPR(H156,I156,J156)))</f>
        <v/>
      </c>
      <c r="L156" s="30">
        <f>IF(H156="","",IF($C$30="상세법",FPV(H156,K156),IF(H156="EI",4,IF(H156="EO",5.2,IF(H156="EQ",3.9,IF(H156="ILF",7.5,IF(H156="EIF",5.4)))))))</f>
        <v>4</v>
      </c>
      <c r="M156" s="30" t="str">
        <f t="shared" si="9"/>
        <v/>
      </c>
      <c r="N156" s="134"/>
      <c r="O156" s="29"/>
      <c r="P156" s="37" t="str">
        <f t="shared" si="10"/>
        <v/>
      </c>
      <c r="Q156" s="38" t="str">
        <f t="shared" si="11"/>
        <v/>
      </c>
      <c r="R156" s="37" t="str">
        <f t="shared" si="12"/>
        <v/>
      </c>
      <c r="S156" s="37" t="str">
        <f t="shared" si="13"/>
        <v/>
      </c>
      <c r="T156" s="38" t="str">
        <f t="shared" si="14"/>
        <v/>
      </c>
      <c r="U156" s="37" t="str">
        <f t="shared" si="15"/>
        <v/>
      </c>
    </row>
    <row r="157" spans="2:21" ht="27">
      <c r="B157" s="282" t="s">
        <v>159</v>
      </c>
      <c r="C157" s="156" t="s">
        <v>330</v>
      </c>
      <c r="D157" s="157" t="s">
        <v>357</v>
      </c>
      <c r="E157" s="281" t="s">
        <v>358</v>
      </c>
      <c r="F157" s="151" t="s">
        <v>127</v>
      </c>
      <c r="G157" s="152">
        <v>0</v>
      </c>
      <c r="H157" s="153" t="s">
        <v>70</v>
      </c>
      <c r="I157" s="154">
        <v>2</v>
      </c>
      <c r="J157" s="154">
        <v>7</v>
      </c>
      <c r="K157" s="30" t="str">
        <f>IF(H157="","",IF($C$30="간이법","",FPR(H157,I157,J157)))</f>
        <v/>
      </c>
      <c r="L157" s="30">
        <f>IF(H157="","",IF($C$30="상세법",FPV(H157,K157),IF(H157="EI",4,IF(H157="EO",5.2,IF(H157="EQ",3.9,IF(H157="ILF",7.5,IF(H157="EIF",5.4)))))))</f>
        <v>3.9</v>
      </c>
      <c r="M157" s="30" t="str">
        <f t="shared" si="9"/>
        <v/>
      </c>
      <c r="N157" s="134"/>
      <c r="O157" s="29"/>
      <c r="P157" s="37" t="str">
        <f t="shared" si="10"/>
        <v/>
      </c>
      <c r="Q157" s="38" t="str">
        <f t="shared" si="11"/>
        <v/>
      </c>
      <c r="R157" s="37" t="str">
        <f t="shared" si="12"/>
        <v/>
      </c>
      <c r="S157" s="37" t="str">
        <f t="shared" si="13"/>
        <v/>
      </c>
      <c r="T157" s="38" t="str">
        <f t="shared" si="14"/>
        <v/>
      </c>
      <c r="U157" s="37" t="str">
        <f t="shared" si="15"/>
        <v/>
      </c>
    </row>
    <row r="158" spans="2:21" ht="27">
      <c r="B158" s="282" t="s">
        <v>159</v>
      </c>
      <c r="C158" s="156" t="s">
        <v>330</v>
      </c>
      <c r="D158" s="157" t="s">
        <v>359</v>
      </c>
      <c r="E158" s="281" t="s">
        <v>360</v>
      </c>
      <c r="F158" s="151" t="s">
        <v>127</v>
      </c>
      <c r="G158" s="152">
        <v>0</v>
      </c>
      <c r="H158" s="153" t="s">
        <v>69</v>
      </c>
      <c r="I158" s="154">
        <v>2</v>
      </c>
      <c r="J158" s="154">
        <v>4</v>
      </c>
      <c r="K158" s="30" t="str">
        <f>IF(H158="","",IF($C$30="간이법","",FPR(H158,I158,J158)))</f>
        <v/>
      </c>
      <c r="L158" s="30">
        <f>IF(H158="","",IF($C$30="상세법",FPV(H158,K158),IF(H158="EI",4,IF(H158="EO",5.2,IF(H158="EQ",3.9,IF(H158="ILF",7.5,IF(H158="EIF",5.4)))))))</f>
        <v>5.2</v>
      </c>
      <c r="M158" s="30" t="str">
        <f t="shared" si="9"/>
        <v/>
      </c>
      <c r="N158" s="134"/>
      <c r="O158" s="29"/>
      <c r="P158" s="37" t="str">
        <f t="shared" si="10"/>
        <v/>
      </c>
      <c r="Q158" s="38" t="str">
        <f t="shared" si="11"/>
        <v/>
      </c>
      <c r="R158" s="37" t="str">
        <f t="shared" si="12"/>
        <v/>
      </c>
      <c r="S158" s="37" t="str">
        <f t="shared" si="13"/>
        <v/>
      </c>
      <c r="T158" s="38" t="str">
        <f t="shared" si="14"/>
        <v/>
      </c>
      <c r="U158" s="37" t="str">
        <f t="shared" si="15"/>
        <v/>
      </c>
    </row>
    <row r="159" spans="2:21" ht="27">
      <c r="B159" s="282" t="s">
        <v>159</v>
      </c>
      <c r="C159" s="156" t="s">
        <v>330</v>
      </c>
      <c r="D159" s="157" t="s">
        <v>361</v>
      </c>
      <c r="E159" s="281" t="s">
        <v>362</v>
      </c>
      <c r="F159" s="151" t="s">
        <v>127</v>
      </c>
      <c r="G159" s="152">
        <v>0</v>
      </c>
      <c r="H159" s="153" t="s">
        <v>8</v>
      </c>
      <c r="I159" s="154">
        <v>1</v>
      </c>
      <c r="J159" s="154">
        <v>5</v>
      </c>
      <c r="K159" s="30" t="str">
        <f>IF(H159="","",IF($C$30="간이법","",FPR(H159,I159,J159)))</f>
        <v/>
      </c>
      <c r="L159" s="30">
        <f>IF(H159="","",IF($C$30="상세법",FPV(H159,K159),IF(H159="EI",4,IF(H159="EO",5.2,IF(H159="EQ",3.9,IF(H159="ILF",7.5,IF(H159="EIF",5.4)))))))</f>
        <v>4</v>
      </c>
      <c r="M159" s="30" t="str">
        <f t="shared" si="9"/>
        <v/>
      </c>
      <c r="N159" s="134"/>
      <c r="O159" s="29"/>
      <c r="P159" s="37" t="str">
        <f t="shared" si="10"/>
        <v/>
      </c>
      <c r="Q159" s="38" t="str">
        <f t="shared" si="11"/>
        <v/>
      </c>
      <c r="R159" s="37" t="str">
        <f t="shared" si="12"/>
        <v/>
      </c>
      <c r="S159" s="37" t="str">
        <f t="shared" si="13"/>
        <v/>
      </c>
      <c r="T159" s="38" t="str">
        <f t="shared" si="14"/>
        <v/>
      </c>
      <c r="U159" s="37" t="str">
        <f t="shared" si="15"/>
        <v/>
      </c>
    </row>
    <row r="160" spans="2:21" ht="27">
      <c r="B160" s="282" t="s">
        <v>159</v>
      </c>
      <c r="C160" s="156" t="s">
        <v>330</v>
      </c>
      <c r="D160" s="157" t="s">
        <v>363</v>
      </c>
      <c r="E160" s="281" t="s">
        <v>364</v>
      </c>
      <c r="F160" s="151" t="s">
        <v>127</v>
      </c>
      <c r="G160" s="152">
        <v>0</v>
      </c>
      <c r="H160" s="153" t="s">
        <v>70</v>
      </c>
      <c r="I160" s="154">
        <v>2</v>
      </c>
      <c r="J160" s="154">
        <v>7</v>
      </c>
      <c r="K160" s="30" t="str">
        <f>IF(H160="","",IF($C$30="간이법","",FPR(H160,I160,J160)))</f>
        <v/>
      </c>
      <c r="L160" s="30">
        <f>IF(H160="","",IF($C$30="상세법",FPV(H160,K160),IF(H160="EI",4,IF(H160="EO",5.2,IF(H160="EQ",3.9,IF(H160="ILF",7.5,IF(H160="EIF",5.4)))))))</f>
        <v>3.9</v>
      </c>
      <c r="M160" s="30" t="str">
        <f t="shared" si="9"/>
        <v/>
      </c>
      <c r="N160" s="134"/>
      <c r="O160" s="29"/>
      <c r="P160" s="37" t="str">
        <f t="shared" si="10"/>
        <v/>
      </c>
      <c r="Q160" s="38" t="str">
        <f t="shared" si="11"/>
        <v/>
      </c>
      <c r="R160" s="37" t="str">
        <f t="shared" si="12"/>
        <v/>
      </c>
      <c r="S160" s="37" t="str">
        <f t="shared" si="13"/>
        <v/>
      </c>
      <c r="T160" s="38" t="str">
        <f t="shared" si="14"/>
        <v/>
      </c>
      <c r="U160" s="37" t="str">
        <f t="shared" si="15"/>
        <v/>
      </c>
    </row>
    <row r="161" spans="2:21" ht="27">
      <c r="B161" s="282" t="s">
        <v>159</v>
      </c>
      <c r="C161" s="156" t="s">
        <v>330</v>
      </c>
      <c r="D161" s="157" t="s">
        <v>365</v>
      </c>
      <c r="E161" s="281" t="s">
        <v>366</v>
      </c>
      <c r="F161" s="151" t="s">
        <v>127</v>
      </c>
      <c r="G161" s="152">
        <v>0</v>
      </c>
      <c r="H161" s="153" t="s">
        <v>8</v>
      </c>
      <c r="I161" s="154">
        <v>2</v>
      </c>
      <c r="J161" s="154">
        <v>8</v>
      </c>
      <c r="K161" s="30" t="str">
        <f>IF(H161="","",IF($C$30="간이법","",FPR(H161,I161,J161)))</f>
        <v/>
      </c>
      <c r="L161" s="30">
        <f>IF(H161="","",IF($C$30="상세법",FPV(H161,K161),IF(H161="EI",4,IF(H161="EO",5.2,IF(H161="EQ",3.9,IF(H161="ILF",7.5,IF(H161="EIF",5.4)))))))</f>
        <v>4</v>
      </c>
      <c r="M161" s="30" t="str">
        <f t="shared" si="9"/>
        <v/>
      </c>
      <c r="N161" s="134"/>
      <c r="O161" s="29"/>
      <c r="P161" s="37" t="str">
        <f t="shared" si="10"/>
        <v/>
      </c>
      <c r="Q161" s="38" t="str">
        <f t="shared" si="11"/>
        <v/>
      </c>
      <c r="R161" s="37" t="str">
        <f t="shared" si="12"/>
        <v/>
      </c>
      <c r="S161" s="37" t="str">
        <f t="shared" si="13"/>
        <v/>
      </c>
      <c r="T161" s="38" t="str">
        <f t="shared" si="14"/>
        <v/>
      </c>
      <c r="U161" s="37" t="str">
        <f t="shared" si="15"/>
        <v/>
      </c>
    </row>
    <row r="162" spans="2:21" ht="27">
      <c r="B162" s="282" t="s">
        <v>159</v>
      </c>
      <c r="C162" s="156" t="s">
        <v>330</v>
      </c>
      <c r="D162" s="157" t="s">
        <v>367</v>
      </c>
      <c r="E162" s="281" t="s">
        <v>368</v>
      </c>
      <c r="F162" s="151" t="s">
        <v>127</v>
      </c>
      <c r="G162" s="152">
        <v>0</v>
      </c>
      <c r="H162" s="153" t="s">
        <v>8</v>
      </c>
      <c r="I162" s="154">
        <v>2</v>
      </c>
      <c r="J162" s="154">
        <v>8</v>
      </c>
      <c r="K162" s="30" t="str">
        <f>IF(H162="","",IF($C$30="간이법","",FPR(H162,I162,J162)))</f>
        <v/>
      </c>
      <c r="L162" s="30">
        <f>IF(H162="","",IF($C$30="상세법",FPV(H162,K162),IF(H162="EI",4,IF(H162="EO",5.2,IF(H162="EQ",3.9,IF(H162="ILF",7.5,IF(H162="EIF",5.4)))))))</f>
        <v>4</v>
      </c>
      <c r="M162" s="30" t="str">
        <f t="shared" si="9"/>
        <v/>
      </c>
      <c r="N162" s="134"/>
      <c r="O162" s="29"/>
      <c r="P162" s="37" t="str">
        <f t="shared" si="10"/>
        <v/>
      </c>
      <c r="Q162" s="38" t="str">
        <f t="shared" si="11"/>
        <v/>
      </c>
      <c r="R162" s="37" t="str">
        <f t="shared" si="12"/>
        <v/>
      </c>
      <c r="S162" s="37" t="str">
        <f t="shared" si="13"/>
        <v/>
      </c>
      <c r="T162" s="38" t="str">
        <f t="shared" si="14"/>
        <v/>
      </c>
      <c r="U162" s="37" t="str">
        <f t="shared" si="15"/>
        <v/>
      </c>
    </row>
    <row r="163" spans="2:21" ht="27">
      <c r="B163" s="282" t="s">
        <v>159</v>
      </c>
      <c r="C163" s="156" t="s">
        <v>330</v>
      </c>
      <c r="D163" s="157" t="s">
        <v>369</v>
      </c>
      <c r="E163" s="281" t="s">
        <v>370</v>
      </c>
      <c r="F163" s="151" t="s">
        <v>127</v>
      </c>
      <c r="G163" s="152">
        <v>0</v>
      </c>
      <c r="H163" s="153" t="s">
        <v>8</v>
      </c>
      <c r="I163" s="154">
        <v>2</v>
      </c>
      <c r="J163" s="154">
        <v>4</v>
      </c>
      <c r="K163" s="30" t="str">
        <f>IF(H163="","",IF($C$30="간이법","",FPR(H163,I163,J163)))</f>
        <v/>
      </c>
      <c r="L163" s="30">
        <f>IF(H163="","",IF($C$30="상세법",FPV(H163,K163),IF(H163="EI",4,IF(H163="EO",5.2,IF(H163="EQ",3.9,IF(H163="ILF",7.5,IF(H163="EIF",5.4)))))))</f>
        <v>4</v>
      </c>
      <c r="M163" s="30" t="str">
        <f t="shared" si="9"/>
        <v/>
      </c>
      <c r="N163" s="134"/>
      <c r="O163" s="29"/>
      <c r="P163" s="37" t="str">
        <f t="shared" si="10"/>
        <v/>
      </c>
      <c r="Q163" s="38" t="str">
        <f t="shared" si="11"/>
        <v/>
      </c>
      <c r="R163" s="37" t="str">
        <f t="shared" si="12"/>
        <v/>
      </c>
      <c r="S163" s="37" t="str">
        <f t="shared" si="13"/>
        <v/>
      </c>
      <c r="T163" s="38" t="str">
        <f t="shared" si="14"/>
        <v/>
      </c>
      <c r="U163" s="37" t="str">
        <f t="shared" si="15"/>
        <v/>
      </c>
    </row>
    <row r="164" spans="2:21" ht="27">
      <c r="B164" s="282" t="s">
        <v>159</v>
      </c>
      <c r="C164" s="156" t="s">
        <v>330</v>
      </c>
      <c r="D164" s="157" t="s">
        <v>371</v>
      </c>
      <c r="E164" s="281" t="s">
        <v>372</v>
      </c>
      <c r="F164" s="151" t="s">
        <v>127</v>
      </c>
      <c r="G164" s="152">
        <v>0</v>
      </c>
      <c r="H164" s="153" t="s">
        <v>70</v>
      </c>
      <c r="I164" s="154">
        <v>1</v>
      </c>
      <c r="J164" s="154">
        <v>6</v>
      </c>
      <c r="K164" s="30" t="str">
        <f>IF(H164="","",IF($C$30="간이법","",FPR(H164,I164,J164)))</f>
        <v/>
      </c>
      <c r="L164" s="30">
        <f>IF(H164="","",IF($C$30="상세법",FPV(H164,K164),IF(H164="EI",4,IF(H164="EO",5.2,IF(H164="EQ",3.9,IF(H164="ILF",7.5,IF(H164="EIF",5.4)))))))</f>
        <v>3.9</v>
      </c>
      <c r="M164" s="30" t="str">
        <f t="shared" si="9"/>
        <v/>
      </c>
      <c r="N164" s="134"/>
      <c r="O164" s="29"/>
      <c r="P164" s="37" t="str">
        <f t="shared" si="10"/>
        <v/>
      </c>
      <c r="Q164" s="38" t="str">
        <f t="shared" si="11"/>
        <v/>
      </c>
      <c r="R164" s="37" t="str">
        <f t="shared" si="12"/>
        <v/>
      </c>
      <c r="S164" s="37" t="str">
        <f t="shared" si="13"/>
        <v/>
      </c>
      <c r="T164" s="38" t="str">
        <f t="shared" si="14"/>
        <v/>
      </c>
      <c r="U164" s="37" t="str">
        <f t="shared" si="15"/>
        <v/>
      </c>
    </row>
    <row r="165" spans="2:21" ht="27">
      <c r="B165" s="282" t="s">
        <v>159</v>
      </c>
      <c r="C165" s="156" t="s">
        <v>330</v>
      </c>
      <c r="D165" s="157" t="s">
        <v>373</v>
      </c>
      <c r="E165" s="281" t="s">
        <v>374</v>
      </c>
      <c r="F165" s="151" t="s">
        <v>127</v>
      </c>
      <c r="G165" s="152">
        <v>0</v>
      </c>
      <c r="H165" s="153" t="s">
        <v>70</v>
      </c>
      <c r="I165" s="154">
        <v>1</v>
      </c>
      <c r="J165" s="154">
        <v>6</v>
      </c>
      <c r="K165" s="30" t="str">
        <f>IF(H165="","",IF($C$30="간이법","",FPR(H165,I165,J165)))</f>
        <v/>
      </c>
      <c r="L165" s="30">
        <f>IF(H165="","",IF($C$30="상세법",FPV(H165,K165),IF(H165="EI",4,IF(H165="EO",5.2,IF(H165="EQ",3.9,IF(H165="ILF",7.5,IF(H165="EIF",5.4)))))))</f>
        <v>3.9</v>
      </c>
      <c r="M165" s="30" t="str">
        <f t="shared" si="9"/>
        <v/>
      </c>
      <c r="N165" s="134"/>
      <c r="O165" s="29"/>
      <c r="P165" s="37" t="str">
        <f t="shared" si="10"/>
        <v/>
      </c>
      <c r="Q165" s="38" t="str">
        <f t="shared" si="11"/>
        <v/>
      </c>
      <c r="R165" s="37" t="str">
        <f t="shared" si="12"/>
        <v/>
      </c>
      <c r="S165" s="37" t="str">
        <f t="shared" si="13"/>
        <v/>
      </c>
      <c r="T165" s="38" t="str">
        <f t="shared" si="14"/>
        <v/>
      </c>
      <c r="U165" s="37" t="str">
        <f t="shared" si="15"/>
        <v/>
      </c>
    </row>
    <row r="166" spans="2:21" ht="27">
      <c r="B166" s="282" t="s">
        <v>159</v>
      </c>
      <c r="C166" s="156" t="s">
        <v>330</v>
      </c>
      <c r="D166" s="157" t="s">
        <v>375</v>
      </c>
      <c r="E166" s="281" t="s">
        <v>376</v>
      </c>
      <c r="F166" s="151" t="s">
        <v>127</v>
      </c>
      <c r="G166" s="152">
        <v>0</v>
      </c>
      <c r="H166" s="153" t="s">
        <v>70</v>
      </c>
      <c r="I166" s="154">
        <v>2</v>
      </c>
      <c r="J166" s="154">
        <v>4</v>
      </c>
      <c r="K166" s="30" t="str">
        <f>IF(H166="","",IF($C$30="간이법","",FPR(H166,I166,J166)))</f>
        <v/>
      </c>
      <c r="L166" s="30">
        <f>IF(H166="","",IF($C$30="상세법",FPV(H166,K166),IF(H166="EI",4,IF(H166="EO",5.2,IF(H166="EQ",3.9,IF(H166="ILF",7.5,IF(H166="EIF",5.4)))))))</f>
        <v>3.9</v>
      </c>
      <c r="M166" s="30" t="str">
        <f t="shared" si="9"/>
        <v/>
      </c>
      <c r="N166" s="134"/>
      <c r="O166" s="29"/>
      <c r="P166" s="37" t="str">
        <f t="shared" si="10"/>
        <v/>
      </c>
      <c r="Q166" s="38" t="str">
        <f t="shared" si="11"/>
        <v/>
      </c>
      <c r="R166" s="37" t="str">
        <f t="shared" si="12"/>
        <v/>
      </c>
      <c r="S166" s="37" t="str">
        <f t="shared" si="13"/>
        <v/>
      </c>
      <c r="T166" s="38" t="str">
        <f t="shared" si="14"/>
        <v/>
      </c>
      <c r="U166" s="37" t="str">
        <f t="shared" si="15"/>
        <v/>
      </c>
    </row>
    <row r="167" spans="2:21" ht="27">
      <c r="B167" s="282" t="s">
        <v>159</v>
      </c>
      <c r="C167" s="156" t="s">
        <v>330</v>
      </c>
      <c r="D167" s="157" t="s">
        <v>377</v>
      </c>
      <c r="E167" s="281" t="s">
        <v>378</v>
      </c>
      <c r="F167" s="151" t="s">
        <v>127</v>
      </c>
      <c r="G167" s="152">
        <v>0</v>
      </c>
      <c r="H167" s="153" t="s">
        <v>8</v>
      </c>
      <c r="I167" s="154">
        <v>1</v>
      </c>
      <c r="J167" s="154">
        <v>4</v>
      </c>
      <c r="K167" s="30" t="str">
        <f>IF(H167="","",IF($C$30="간이법","",FPR(H167,I167,J167)))</f>
        <v/>
      </c>
      <c r="L167" s="30">
        <f>IF(H167="","",IF($C$30="상세법",FPV(H167,K167),IF(H167="EI",4,IF(H167="EO",5.2,IF(H167="EQ",3.9,IF(H167="ILF",7.5,IF(H167="EIF",5.4)))))))</f>
        <v>4</v>
      </c>
      <c r="M167" s="30" t="str">
        <f t="shared" si="9"/>
        <v/>
      </c>
      <c r="N167" s="134"/>
      <c r="O167" s="29"/>
      <c r="P167" s="37" t="str">
        <f t="shared" si="10"/>
        <v/>
      </c>
      <c r="Q167" s="38" t="str">
        <f t="shared" si="11"/>
        <v/>
      </c>
      <c r="R167" s="37" t="str">
        <f t="shared" si="12"/>
        <v/>
      </c>
      <c r="S167" s="37" t="str">
        <f t="shared" si="13"/>
        <v/>
      </c>
      <c r="T167" s="38" t="str">
        <f t="shared" si="14"/>
        <v/>
      </c>
      <c r="U167" s="37" t="str">
        <f t="shared" si="15"/>
        <v/>
      </c>
    </row>
    <row r="168" spans="2:21" ht="27">
      <c r="B168" s="282" t="s">
        <v>159</v>
      </c>
      <c r="C168" s="156" t="s">
        <v>330</v>
      </c>
      <c r="D168" s="157" t="s">
        <v>379</v>
      </c>
      <c r="E168" s="281" t="s">
        <v>380</v>
      </c>
      <c r="F168" s="151" t="s">
        <v>127</v>
      </c>
      <c r="G168" s="152">
        <v>0</v>
      </c>
      <c r="H168" s="153" t="s">
        <v>70</v>
      </c>
      <c r="I168" s="154">
        <v>3</v>
      </c>
      <c r="J168" s="154">
        <v>9</v>
      </c>
      <c r="K168" s="30" t="str">
        <f>IF(H168="","",IF($C$30="간이법","",FPR(H168,I168,J168)))</f>
        <v/>
      </c>
      <c r="L168" s="30">
        <f>IF(H168="","",IF($C$30="상세법",FPV(H168,K168),IF(H168="EI",4,IF(H168="EO",5.2,IF(H168="EQ",3.9,IF(H168="ILF",7.5,IF(H168="EIF",5.4)))))))</f>
        <v>3.9</v>
      </c>
      <c r="M168" s="30" t="str">
        <f t="shared" si="9"/>
        <v/>
      </c>
      <c r="N168" s="134"/>
      <c r="O168" s="29"/>
      <c r="P168" s="37" t="str">
        <f t="shared" si="10"/>
        <v/>
      </c>
      <c r="Q168" s="38" t="str">
        <f t="shared" si="11"/>
        <v/>
      </c>
      <c r="R168" s="37" t="str">
        <f t="shared" si="12"/>
        <v/>
      </c>
      <c r="S168" s="37" t="str">
        <f t="shared" si="13"/>
        <v/>
      </c>
      <c r="T168" s="38" t="str">
        <f t="shared" si="14"/>
        <v/>
      </c>
      <c r="U168" s="37" t="str">
        <f t="shared" si="15"/>
        <v/>
      </c>
    </row>
    <row r="169" spans="2:21" ht="27">
      <c r="B169" s="282" t="s">
        <v>159</v>
      </c>
      <c r="C169" s="156" t="s">
        <v>330</v>
      </c>
      <c r="D169" s="157" t="s">
        <v>381</v>
      </c>
      <c r="E169" s="281" t="s">
        <v>382</v>
      </c>
      <c r="F169" s="151" t="s">
        <v>127</v>
      </c>
      <c r="G169" s="152">
        <v>0</v>
      </c>
      <c r="H169" s="153" t="s">
        <v>70</v>
      </c>
      <c r="I169" s="154">
        <v>2</v>
      </c>
      <c r="J169" s="154">
        <v>11</v>
      </c>
      <c r="K169" s="30" t="str">
        <f>IF(H169="","",IF($C$30="간이법","",FPR(H169,I169,J169)))</f>
        <v/>
      </c>
      <c r="L169" s="30">
        <f>IF(H169="","",IF($C$30="상세법",FPV(H169,K169),IF(H169="EI",4,IF(H169="EO",5.2,IF(H169="EQ",3.9,IF(H169="ILF",7.5,IF(H169="EIF",5.4)))))))</f>
        <v>3.9</v>
      </c>
      <c r="M169" s="30" t="str">
        <f t="shared" si="9"/>
        <v/>
      </c>
      <c r="N169" s="134"/>
      <c r="O169" s="29"/>
      <c r="P169" s="37" t="str">
        <f t="shared" si="10"/>
        <v/>
      </c>
      <c r="Q169" s="38" t="str">
        <f t="shared" si="11"/>
        <v/>
      </c>
      <c r="R169" s="37" t="str">
        <f t="shared" si="12"/>
        <v/>
      </c>
      <c r="S169" s="37" t="str">
        <f t="shared" si="13"/>
        <v/>
      </c>
      <c r="T169" s="38" t="str">
        <f t="shared" si="14"/>
        <v/>
      </c>
      <c r="U169" s="37" t="str">
        <f t="shared" si="15"/>
        <v/>
      </c>
    </row>
    <row r="170" spans="2:21" ht="27">
      <c r="B170" s="282" t="s">
        <v>159</v>
      </c>
      <c r="C170" s="156" t="s">
        <v>330</v>
      </c>
      <c r="D170" s="157" t="s">
        <v>383</v>
      </c>
      <c r="E170" s="281" t="s">
        <v>384</v>
      </c>
      <c r="F170" s="151" t="s">
        <v>127</v>
      </c>
      <c r="G170" s="152">
        <v>0</v>
      </c>
      <c r="H170" s="153" t="s">
        <v>70</v>
      </c>
      <c r="I170" s="154">
        <v>3</v>
      </c>
      <c r="J170" s="154">
        <v>12</v>
      </c>
      <c r="K170" s="30" t="str">
        <f>IF(H170="","",IF($C$30="간이법","",FPR(H170,I170,J170)))</f>
        <v/>
      </c>
      <c r="L170" s="30">
        <f>IF(H170="","",IF($C$30="상세법",FPV(H170,K170),IF(H170="EI",4,IF(H170="EO",5.2,IF(H170="EQ",3.9,IF(H170="ILF",7.5,IF(H170="EIF",5.4)))))))</f>
        <v>3.9</v>
      </c>
      <c r="M170" s="30" t="str">
        <f t="shared" si="9"/>
        <v/>
      </c>
      <c r="N170" s="134"/>
      <c r="O170" s="29"/>
      <c r="P170" s="37" t="str">
        <f t="shared" si="10"/>
        <v/>
      </c>
      <c r="Q170" s="38" t="str">
        <f t="shared" si="11"/>
        <v/>
      </c>
      <c r="R170" s="37" t="str">
        <f t="shared" si="12"/>
        <v/>
      </c>
      <c r="S170" s="37" t="str">
        <f t="shared" si="13"/>
        <v/>
      </c>
      <c r="T170" s="38" t="str">
        <f t="shared" si="14"/>
        <v/>
      </c>
      <c r="U170" s="37" t="str">
        <f t="shared" si="15"/>
        <v/>
      </c>
    </row>
    <row r="171" spans="2:21" ht="27">
      <c r="B171" s="282" t="s">
        <v>159</v>
      </c>
      <c r="C171" s="156" t="s">
        <v>330</v>
      </c>
      <c r="D171" s="157" t="s">
        <v>385</v>
      </c>
      <c r="E171" s="281" t="s">
        <v>386</v>
      </c>
      <c r="F171" s="151" t="s">
        <v>127</v>
      </c>
      <c r="G171" s="152">
        <v>0</v>
      </c>
      <c r="H171" s="153" t="s">
        <v>69</v>
      </c>
      <c r="I171" s="154">
        <v>3</v>
      </c>
      <c r="J171" s="154">
        <v>14</v>
      </c>
      <c r="K171" s="30" t="str">
        <f>IF(H171="","",IF($C$30="간이법","",FPR(H171,I171,J171)))</f>
        <v/>
      </c>
      <c r="L171" s="30">
        <f>IF(H171="","",IF($C$30="상세법",FPV(H171,K171),IF(H171="EI",4,IF(H171="EO",5.2,IF(H171="EQ",3.9,IF(H171="ILF",7.5,IF(H171="EIF",5.4)))))))</f>
        <v>5.2</v>
      </c>
      <c r="M171" s="30" t="str">
        <f t="shared" si="9"/>
        <v/>
      </c>
      <c r="N171" s="134"/>
      <c r="O171" s="29"/>
      <c r="P171" s="37" t="str">
        <f t="shared" si="10"/>
        <v/>
      </c>
      <c r="Q171" s="38" t="str">
        <f t="shared" si="11"/>
        <v/>
      </c>
      <c r="R171" s="37" t="str">
        <f t="shared" si="12"/>
        <v/>
      </c>
      <c r="S171" s="37" t="str">
        <f t="shared" si="13"/>
        <v/>
      </c>
      <c r="T171" s="38" t="str">
        <f t="shared" si="14"/>
        <v/>
      </c>
      <c r="U171" s="37" t="str">
        <f t="shared" si="15"/>
        <v/>
      </c>
    </row>
    <row r="172" spans="2:21" ht="27">
      <c r="B172" s="282" t="s">
        <v>159</v>
      </c>
      <c r="C172" s="156" t="s">
        <v>330</v>
      </c>
      <c r="D172" s="157" t="s">
        <v>387</v>
      </c>
      <c r="E172" s="281" t="s">
        <v>388</v>
      </c>
      <c r="F172" s="151" t="s">
        <v>127</v>
      </c>
      <c r="G172" s="152">
        <v>0</v>
      </c>
      <c r="H172" s="153" t="s">
        <v>69</v>
      </c>
      <c r="I172" s="154">
        <v>3</v>
      </c>
      <c r="J172" s="154">
        <v>9</v>
      </c>
      <c r="K172" s="30" t="str">
        <f>IF(H172="","",IF($C$30="간이법","",FPR(H172,I172,J172)))</f>
        <v/>
      </c>
      <c r="L172" s="30">
        <f>IF(H172="","",IF($C$30="상세법",FPV(H172,K172),IF(H172="EI",4,IF(H172="EO",5.2,IF(H172="EQ",3.9,IF(H172="ILF",7.5,IF(H172="EIF",5.4)))))))</f>
        <v>5.2</v>
      </c>
      <c r="M172" s="30" t="str">
        <f t="shared" si="9"/>
        <v/>
      </c>
      <c r="N172" s="134"/>
      <c r="O172" s="29"/>
      <c r="P172" s="37" t="str">
        <f t="shared" si="10"/>
        <v/>
      </c>
      <c r="Q172" s="38" t="str">
        <f t="shared" si="11"/>
        <v/>
      </c>
      <c r="R172" s="37" t="str">
        <f t="shared" si="12"/>
        <v/>
      </c>
      <c r="S172" s="37" t="str">
        <f t="shared" si="13"/>
        <v/>
      </c>
      <c r="T172" s="38" t="str">
        <f t="shared" si="14"/>
        <v/>
      </c>
      <c r="U172" s="37" t="str">
        <f t="shared" si="15"/>
        <v/>
      </c>
    </row>
    <row r="173" spans="2:21" ht="27">
      <c r="B173" s="282" t="s">
        <v>159</v>
      </c>
      <c r="C173" s="156" t="s">
        <v>330</v>
      </c>
      <c r="D173" s="157" t="s">
        <v>389</v>
      </c>
      <c r="E173" s="281" t="s">
        <v>390</v>
      </c>
      <c r="F173" s="151" t="s">
        <v>127</v>
      </c>
      <c r="G173" s="152">
        <v>0</v>
      </c>
      <c r="H173" s="153" t="s">
        <v>69</v>
      </c>
      <c r="I173" s="154">
        <v>3</v>
      </c>
      <c r="J173" s="154">
        <v>13</v>
      </c>
      <c r="K173" s="30" t="str">
        <f>IF(H173="","",IF($C$30="간이법","",FPR(H173,I173,J173)))</f>
        <v/>
      </c>
      <c r="L173" s="30">
        <f>IF(H173="","",IF($C$30="상세법",FPV(H173,K173),IF(H173="EI",4,IF(H173="EO",5.2,IF(H173="EQ",3.9,IF(H173="ILF",7.5,IF(H173="EIF",5.4)))))))</f>
        <v>5.2</v>
      </c>
      <c r="M173" s="30" t="str">
        <f t="shared" si="9"/>
        <v/>
      </c>
      <c r="N173" s="134"/>
      <c r="O173" s="29"/>
      <c r="P173" s="37" t="str">
        <f t="shared" si="10"/>
        <v/>
      </c>
      <c r="Q173" s="38" t="str">
        <f t="shared" si="11"/>
        <v/>
      </c>
      <c r="R173" s="37" t="str">
        <f t="shared" si="12"/>
        <v/>
      </c>
      <c r="S173" s="37" t="str">
        <f t="shared" si="13"/>
        <v/>
      </c>
      <c r="T173" s="38" t="str">
        <f t="shared" si="14"/>
        <v/>
      </c>
      <c r="U173" s="37" t="str">
        <f t="shared" si="15"/>
        <v/>
      </c>
    </row>
    <row r="174" spans="2:21" ht="27">
      <c r="B174" s="282" t="s">
        <v>159</v>
      </c>
      <c r="C174" s="156" t="s">
        <v>330</v>
      </c>
      <c r="D174" s="157" t="s">
        <v>391</v>
      </c>
      <c r="E174" s="281" t="s">
        <v>392</v>
      </c>
      <c r="F174" s="151" t="s">
        <v>127</v>
      </c>
      <c r="G174" s="152">
        <v>0</v>
      </c>
      <c r="H174" s="153" t="s">
        <v>69</v>
      </c>
      <c r="I174" s="154">
        <v>3</v>
      </c>
      <c r="J174" s="154">
        <v>16</v>
      </c>
      <c r="K174" s="30" t="str">
        <f>IF(H174="","",IF($C$30="간이법","",FPR(H174,I174,J174)))</f>
        <v/>
      </c>
      <c r="L174" s="30">
        <f>IF(H174="","",IF($C$30="상세법",FPV(H174,K174),IF(H174="EI",4,IF(H174="EO",5.2,IF(H174="EQ",3.9,IF(H174="ILF",7.5,IF(H174="EIF",5.4)))))))</f>
        <v>5.2</v>
      </c>
      <c r="M174" s="30" t="str">
        <f t="shared" si="9"/>
        <v/>
      </c>
      <c r="N174" s="134"/>
      <c r="O174" s="29"/>
      <c r="P174" s="37" t="str">
        <f t="shared" si="10"/>
        <v/>
      </c>
      <c r="Q174" s="38" t="str">
        <f t="shared" si="11"/>
        <v/>
      </c>
      <c r="R174" s="37" t="str">
        <f t="shared" si="12"/>
        <v/>
      </c>
      <c r="S174" s="37" t="str">
        <f t="shared" si="13"/>
        <v/>
      </c>
      <c r="T174" s="38" t="str">
        <f t="shared" si="14"/>
        <v/>
      </c>
      <c r="U174" s="37" t="str">
        <f t="shared" si="15"/>
        <v/>
      </c>
    </row>
    <row r="175" spans="2:21" ht="27">
      <c r="B175" s="282" t="s">
        <v>159</v>
      </c>
      <c r="C175" s="156" t="s">
        <v>330</v>
      </c>
      <c r="D175" s="157" t="s">
        <v>393</v>
      </c>
      <c r="E175" s="281" t="s">
        <v>286</v>
      </c>
      <c r="F175" s="151" t="s">
        <v>127</v>
      </c>
      <c r="G175" s="152">
        <v>0</v>
      </c>
      <c r="H175" s="153" t="s">
        <v>69</v>
      </c>
      <c r="I175" s="154">
        <v>2</v>
      </c>
      <c r="J175" s="154">
        <v>6</v>
      </c>
      <c r="K175" s="30" t="str">
        <f>IF(H175="","",IF($C$30="간이법","",FPR(H175,I175,J175)))</f>
        <v/>
      </c>
      <c r="L175" s="30">
        <f>IF(H175="","",IF($C$30="상세법",FPV(H175,K175),IF(H175="EI",4,IF(H175="EO",5.2,IF(H175="EQ",3.9,IF(H175="ILF",7.5,IF(H175="EIF",5.4)))))))</f>
        <v>5.2</v>
      </c>
      <c r="M175" s="30" t="str">
        <f t="shared" si="9"/>
        <v/>
      </c>
      <c r="N175" s="134"/>
      <c r="O175" s="29"/>
      <c r="P175" s="37" t="str">
        <f t="shared" si="10"/>
        <v/>
      </c>
      <c r="Q175" s="38" t="str">
        <f t="shared" si="11"/>
        <v/>
      </c>
      <c r="R175" s="37" t="str">
        <f t="shared" si="12"/>
        <v/>
      </c>
      <c r="S175" s="37" t="str">
        <f t="shared" si="13"/>
        <v/>
      </c>
      <c r="T175" s="38" t="str">
        <f t="shared" si="14"/>
        <v/>
      </c>
      <c r="U175" s="37" t="str">
        <f t="shared" si="15"/>
        <v/>
      </c>
    </row>
    <row r="176" spans="2:21" ht="27">
      <c r="B176" s="282" t="s">
        <v>159</v>
      </c>
      <c r="C176" s="156" t="s">
        <v>330</v>
      </c>
      <c r="D176" s="157" t="s">
        <v>394</v>
      </c>
      <c r="E176" s="281" t="s">
        <v>395</v>
      </c>
      <c r="F176" s="151" t="s">
        <v>127</v>
      </c>
      <c r="G176" s="152">
        <v>0</v>
      </c>
      <c r="H176" s="153" t="s">
        <v>69</v>
      </c>
      <c r="I176" s="154">
        <v>2</v>
      </c>
      <c r="J176" s="154">
        <v>6</v>
      </c>
      <c r="K176" s="30" t="str">
        <f>IF(H176="","",IF($C$30="간이법","",FPR(H176,I176,J176)))</f>
        <v/>
      </c>
      <c r="L176" s="30">
        <f>IF(H176="","",IF($C$30="상세법",FPV(H176,K176),IF(H176="EI",4,IF(H176="EO",5.2,IF(H176="EQ",3.9,IF(H176="ILF",7.5,IF(H176="EIF",5.4)))))))</f>
        <v>5.2</v>
      </c>
      <c r="M176" s="30" t="str">
        <f t="shared" si="9"/>
        <v/>
      </c>
      <c r="N176" s="134"/>
      <c r="O176" s="29"/>
      <c r="P176" s="37" t="str">
        <f t="shared" si="10"/>
        <v/>
      </c>
      <c r="Q176" s="38" t="str">
        <f t="shared" si="11"/>
        <v/>
      </c>
      <c r="R176" s="37" t="str">
        <f t="shared" si="12"/>
        <v/>
      </c>
      <c r="S176" s="37" t="str">
        <f t="shared" si="13"/>
        <v/>
      </c>
      <c r="T176" s="38" t="str">
        <f t="shared" si="14"/>
        <v/>
      </c>
      <c r="U176" s="37" t="str">
        <f t="shared" si="15"/>
        <v/>
      </c>
    </row>
    <row r="177" spans="2:21" ht="27">
      <c r="B177" s="282" t="s">
        <v>159</v>
      </c>
      <c r="C177" s="156" t="s">
        <v>330</v>
      </c>
      <c r="D177" s="157" t="s">
        <v>396</v>
      </c>
      <c r="E177" s="281" t="s">
        <v>397</v>
      </c>
      <c r="F177" s="151" t="s">
        <v>127</v>
      </c>
      <c r="G177" s="152">
        <v>0</v>
      </c>
      <c r="H177" s="153" t="s">
        <v>69</v>
      </c>
      <c r="I177" s="154">
        <v>3</v>
      </c>
      <c r="J177" s="154">
        <v>6</v>
      </c>
      <c r="K177" s="30" t="str">
        <f>IF(H177="","",IF($C$30="간이법","",FPR(H177,I177,J177)))</f>
        <v/>
      </c>
      <c r="L177" s="30">
        <f>IF(H177="","",IF($C$30="상세법",FPV(H177,K177),IF(H177="EI",4,IF(H177="EO",5.2,IF(H177="EQ",3.9,IF(H177="ILF",7.5,IF(H177="EIF",5.4)))))))</f>
        <v>5.2</v>
      </c>
      <c r="M177" s="30" t="str">
        <f t="shared" si="9"/>
        <v/>
      </c>
      <c r="N177" s="134"/>
      <c r="O177" s="29"/>
      <c r="P177" s="37" t="str">
        <f t="shared" si="10"/>
        <v/>
      </c>
      <c r="Q177" s="38" t="str">
        <f t="shared" si="11"/>
        <v/>
      </c>
      <c r="R177" s="37" t="str">
        <f t="shared" si="12"/>
        <v/>
      </c>
      <c r="S177" s="37" t="str">
        <f t="shared" si="13"/>
        <v/>
      </c>
      <c r="T177" s="38" t="str">
        <f t="shared" si="14"/>
        <v/>
      </c>
      <c r="U177" s="37" t="str">
        <f t="shared" si="15"/>
        <v/>
      </c>
    </row>
    <row r="178" spans="2:21" ht="27">
      <c r="B178" s="282" t="s">
        <v>159</v>
      </c>
      <c r="C178" s="156" t="s">
        <v>330</v>
      </c>
      <c r="D178" s="157" t="s">
        <v>398</v>
      </c>
      <c r="E178" s="281" t="s">
        <v>399</v>
      </c>
      <c r="F178" s="151" t="s">
        <v>127</v>
      </c>
      <c r="G178" s="152">
        <v>0</v>
      </c>
      <c r="H178" s="153" t="s">
        <v>69</v>
      </c>
      <c r="I178" s="154">
        <v>3</v>
      </c>
      <c r="J178" s="154">
        <v>10</v>
      </c>
      <c r="K178" s="30" t="str">
        <f>IF(H178="","",IF($C$30="간이법","",FPR(H178,I178,J178)))</f>
        <v/>
      </c>
      <c r="L178" s="30">
        <f>IF(H178="","",IF($C$30="상세법",FPV(H178,K178),IF(H178="EI",4,IF(H178="EO",5.2,IF(H178="EQ",3.9,IF(H178="ILF",7.5,IF(H178="EIF",5.4)))))))</f>
        <v>5.2</v>
      </c>
      <c r="M178" s="30" t="str">
        <f t="shared" si="9"/>
        <v/>
      </c>
      <c r="N178" s="134"/>
      <c r="O178" s="29"/>
      <c r="P178" s="37" t="str">
        <f t="shared" si="10"/>
        <v/>
      </c>
      <c r="Q178" s="38" t="str">
        <f t="shared" si="11"/>
        <v/>
      </c>
      <c r="R178" s="37" t="str">
        <f t="shared" si="12"/>
        <v/>
      </c>
      <c r="S178" s="37" t="str">
        <f t="shared" si="13"/>
        <v/>
      </c>
      <c r="T178" s="38" t="str">
        <f t="shared" si="14"/>
        <v/>
      </c>
      <c r="U178" s="37" t="str">
        <f t="shared" si="15"/>
        <v/>
      </c>
    </row>
    <row r="179" spans="2:21" ht="27">
      <c r="B179" s="282" t="s">
        <v>159</v>
      </c>
      <c r="C179" s="156" t="s">
        <v>330</v>
      </c>
      <c r="D179" s="157" t="s">
        <v>400</v>
      </c>
      <c r="E179" s="281" t="s">
        <v>401</v>
      </c>
      <c r="F179" s="151" t="s">
        <v>127</v>
      </c>
      <c r="G179" s="152">
        <v>0</v>
      </c>
      <c r="H179" s="153" t="s">
        <v>69</v>
      </c>
      <c r="I179" s="154">
        <v>3</v>
      </c>
      <c r="J179" s="154">
        <v>13</v>
      </c>
      <c r="K179" s="30" t="str">
        <f>IF(H179="","",IF($C$30="간이법","",FPR(H179,I179,J179)))</f>
        <v/>
      </c>
      <c r="L179" s="30">
        <f>IF(H179="","",IF($C$30="상세법",FPV(H179,K179),IF(H179="EI",4,IF(H179="EO",5.2,IF(H179="EQ",3.9,IF(H179="ILF",7.5,IF(H179="EIF",5.4)))))))</f>
        <v>5.2</v>
      </c>
      <c r="M179" s="30" t="str">
        <f t="shared" si="9"/>
        <v/>
      </c>
      <c r="N179" s="134"/>
      <c r="O179" s="29"/>
      <c r="P179" s="37" t="str">
        <f t="shared" si="10"/>
        <v/>
      </c>
      <c r="Q179" s="38" t="str">
        <f t="shared" si="11"/>
        <v/>
      </c>
      <c r="R179" s="37" t="str">
        <f t="shared" si="12"/>
        <v/>
      </c>
      <c r="S179" s="37" t="str">
        <f t="shared" si="13"/>
        <v/>
      </c>
      <c r="T179" s="38" t="str">
        <f t="shared" si="14"/>
        <v/>
      </c>
      <c r="U179" s="37" t="str">
        <f t="shared" si="15"/>
        <v/>
      </c>
    </row>
    <row r="180" spans="2:21" ht="27">
      <c r="B180" s="282" t="s">
        <v>159</v>
      </c>
      <c r="C180" s="156" t="s">
        <v>330</v>
      </c>
      <c r="D180" s="157" t="s">
        <v>402</v>
      </c>
      <c r="E180" s="281" t="s">
        <v>403</v>
      </c>
      <c r="F180" s="151" t="s">
        <v>127</v>
      </c>
      <c r="G180" s="152">
        <v>0</v>
      </c>
      <c r="H180" s="153" t="s">
        <v>69</v>
      </c>
      <c r="I180" s="154">
        <v>3</v>
      </c>
      <c r="J180" s="154">
        <v>12</v>
      </c>
      <c r="K180" s="30" t="str">
        <f>IF(H180="","",IF($C$30="간이법","",FPR(H180,I180,J180)))</f>
        <v/>
      </c>
      <c r="L180" s="30">
        <f>IF(H180="","",IF($C$30="상세법",FPV(H180,K180),IF(H180="EI",4,IF(H180="EO",5.2,IF(H180="EQ",3.9,IF(H180="ILF",7.5,IF(H180="EIF",5.4)))))))</f>
        <v>5.2</v>
      </c>
      <c r="M180" s="30" t="str">
        <f t="shared" si="9"/>
        <v/>
      </c>
      <c r="N180" s="134"/>
      <c r="O180" s="29"/>
      <c r="P180" s="37" t="str">
        <f t="shared" si="10"/>
        <v/>
      </c>
      <c r="Q180" s="38" t="str">
        <f t="shared" si="11"/>
        <v/>
      </c>
      <c r="R180" s="37" t="str">
        <f t="shared" si="12"/>
        <v/>
      </c>
      <c r="S180" s="37" t="str">
        <f t="shared" si="13"/>
        <v/>
      </c>
      <c r="T180" s="38" t="str">
        <f t="shared" si="14"/>
        <v/>
      </c>
      <c r="U180" s="37" t="str">
        <f t="shared" si="15"/>
        <v/>
      </c>
    </row>
    <row r="181" spans="2:21" ht="27">
      <c r="B181" s="282" t="s">
        <v>159</v>
      </c>
      <c r="C181" s="156" t="s">
        <v>330</v>
      </c>
      <c r="D181" s="157" t="s">
        <v>404</v>
      </c>
      <c r="E181" s="281" t="s">
        <v>405</v>
      </c>
      <c r="F181" s="151" t="s">
        <v>127</v>
      </c>
      <c r="G181" s="152">
        <v>0</v>
      </c>
      <c r="H181" s="153" t="s">
        <v>69</v>
      </c>
      <c r="I181" s="154">
        <v>6</v>
      </c>
      <c r="J181" s="154">
        <v>32</v>
      </c>
      <c r="K181" s="30" t="str">
        <f>IF(H181="","",IF($C$30="간이법","",FPR(H181,I181,J181)))</f>
        <v/>
      </c>
      <c r="L181" s="30">
        <f>IF(H181="","",IF($C$30="상세법",FPV(H181,K181),IF(H181="EI",4,IF(H181="EO",5.2,IF(H181="EQ",3.9,IF(H181="ILF",7.5,IF(H181="EIF",5.4)))))))</f>
        <v>5.2</v>
      </c>
      <c r="M181" s="30" t="str">
        <f t="shared" si="9"/>
        <v/>
      </c>
      <c r="N181" s="134"/>
      <c r="O181" s="29"/>
      <c r="P181" s="37" t="str">
        <f t="shared" si="10"/>
        <v/>
      </c>
      <c r="Q181" s="38" t="str">
        <f t="shared" si="11"/>
        <v/>
      </c>
      <c r="R181" s="37" t="str">
        <f t="shared" si="12"/>
        <v/>
      </c>
      <c r="S181" s="37" t="str">
        <f t="shared" si="13"/>
        <v/>
      </c>
      <c r="T181" s="38" t="str">
        <f t="shared" si="14"/>
        <v/>
      </c>
      <c r="U181" s="37" t="str">
        <f t="shared" si="15"/>
        <v/>
      </c>
    </row>
    <row r="182" spans="2:21" ht="27">
      <c r="B182" s="282" t="s">
        <v>159</v>
      </c>
      <c r="C182" s="156" t="s">
        <v>330</v>
      </c>
      <c r="D182" s="157" t="s">
        <v>406</v>
      </c>
      <c r="E182" s="281" t="s">
        <v>405</v>
      </c>
      <c r="F182" s="151" t="s">
        <v>127</v>
      </c>
      <c r="G182" s="152">
        <v>0</v>
      </c>
      <c r="H182" s="153" t="s">
        <v>69</v>
      </c>
      <c r="I182" s="154">
        <v>6</v>
      </c>
      <c r="J182" s="154">
        <v>88</v>
      </c>
      <c r="K182" s="30" t="str">
        <f>IF(H182="","",IF($C$30="간이법","",FPR(H182,I182,J182)))</f>
        <v/>
      </c>
      <c r="L182" s="30">
        <f>IF(H182="","",IF($C$30="상세법",FPV(H182,K182),IF(H182="EI",4,IF(H182="EO",5.2,IF(H182="EQ",3.9,IF(H182="ILF",7.5,IF(H182="EIF",5.4)))))))</f>
        <v>5.2</v>
      </c>
      <c r="M182" s="30" t="str">
        <f t="shared" si="9"/>
        <v/>
      </c>
      <c r="N182" s="134"/>
      <c r="O182" s="29"/>
      <c r="P182" s="37" t="str">
        <f t="shared" si="10"/>
        <v/>
      </c>
      <c r="Q182" s="38" t="str">
        <f t="shared" si="11"/>
        <v/>
      </c>
      <c r="R182" s="37" t="str">
        <f t="shared" si="12"/>
        <v/>
      </c>
      <c r="S182" s="37" t="str">
        <f t="shared" si="13"/>
        <v/>
      </c>
      <c r="T182" s="38" t="str">
        <f t="shared" si="14"/>
        <v/>
      </c>
      <c r="U182" s="37" t="str">
        <f t="shared" si="15"/>
        <v/>
      </c>
    </row>
    <row r="183" spans="2:21" ht="27">
      <c r="B183" s="282" t="s">
        <v>159</v>
      </c>
      <c r="C183" s="156" t="s">
        <v>330</v>
      </c>
      <c r="D183" s="157" t="s">
        <v>407</v>
      </c>
      <c r="E183" s="281" t="s">
        <v>408</v>
      </c>
      <c r="F183" s="151" t="s">
        <v>127</v>
      </c>
      <c r="G183" s="152">
        <v>0</v>
      </c>
      <c r="H183" s="153" t="s">
        <v>70</v>
      </c>
      <c r="I183" s="154">
        <v>2</v>
      </c>
      <c r="J183" s="154">
        <v>7</v>
      </c>
      <c r="K183" s="30" t="str">
        <f>IF(H183="","",IF($C$30="간이법","",FPR(H183,I183,J183)))</f>
        <v/>
      </c>
      <c r="L183" s="30">
        <f>IF(H183="","",IF($C$30="상세법",FPV(H183,K183),IF(H183="EI",4,IF(H183="EO",5.2,IF(H183="EQ",3.9,IF(H183="ILF",7.5,IF(H183="EIF",5.4)))))))</f>
        <v>3.9</v>
      </c>
      <c r="M183" s="30" t="str">
        <f t="shared" si="9"/>
        <v/>
      </c>
      <c r="N183" s="134"/>
      <c r="O183" s="29"/>
      <c r="P183" s="37" t="str">
        <f t="shared" si="10"/>
        <v/>
      </c>
      <c r="Q183" s="38" t="str">
        <f t="shared" si="11"/>
        <v/>
      </c>
      <c r="R183" s="37" t="str">
        <f t="shared" si="12"/>
        <v/>
      </c>
      <c r="S183" s="37" t="str">
        <f t="shared" si="13"/>
        <v/>
      </c>
      <c r="T183" s="38" t="str">
        <f t="shared" si="14"/>
        <v/>
      </c>
      <c r="U183" s="37" t="str">
        <f t="shared" si="15"/>
        <v/>
      </c>
    </row>
    <row r="184" spans="2:21" ht="27">
      <c r="B184" s="282" t="s">
        <v>159</v>
      </c>
      <c r="C184" s="156" t="s">
        <v>330</v>
      </c>
      <c r="D184" s="157" t="s">
        <v>409</v>
      </c>
      <c r="E184" s="281" t="s">
        <v>410</v>
      </c>
      <c r="F184" s="151" t="s">
        <v>127</v>
      </c>
      <c r="G184" s="152">
        <v>0</v>
      </c>
      <c r="H184" s="153" t="s">
        <v>8</v>
      </c>
      <c r="I184" s="154">
        <v>6</v>
      </c>
      <c r="J184" s="154">
        <v>32</v>
      </c>
      <c r="K184" s="30" t="str">
        <f>IF(H184="","",IF($C$30="간이법","",FPR(H184,I184,J184)))</f>
        <v/>
      </c>
      <c r="L184" s="30">
        <f>IF(H184="","",IF($C$30="상세법",FPV(H184,K184),IF(H184="EI",4,IF(H184="EO",5.2,IF(H184="EQ",3.9,IF(H184="ILF",7.5,IF(H184="EIF",5.4)))))))</f>
        <v>4</v>
      </c>
      <c r="M184" s="30" t="str">
        <f t="shared" si="9"/>
        <v/>
      </c>
      <c r="N184" s="134"/>
      <c r="O184" s="29"/>
      <c r="P184" s="37" t="str">
        <f t="shared" si="10"/>
        <v/>
      </c>
      <c r="Q184" s="38" t="str">
        <f t="shared" si="11"/>
        <v/>
      </c>
      <c r="R184" s="37" t="str">
        <f t="shared" si="12"/>
        <v/>
      </c>
      <c r="S184" s="37" t="str">
        <f t="shared" si="13"/>
        <v/>
      </c>
      <c r="T184" s="38" t="str">
        <f t="shared" si="14"/>
        <v/>
      </c>
      <c r="U184" s="37" t="str">
        <f t="shared" si="15"/>
        <v/>
      </c>
    </row>
    <row r="185" spans="2:21" ht="27">
      <c r="B185" s="282" t="s">
        <v>159</v>
      </c>
      <c r="C185" s="156" t="s">
        <v>411</v>
      </c>
      <c r="D185" s="157" t="s">
        <v>412</v>
      </c>
      <c r="E185" s="281" t="s">
        <v>229</v>
      </c>
      <c r="F185" s="151" t="s">
        <v>127</v>
      </c>
      <c r="G185" s="152">
        <v>0</v>
      </c>
      <c r="H185" s="153" t="s">
        <v>70</v>
      </c>
      <c r="I185" s="154">
        <v>1</v>
      </c>
      <c r="J185" s="154">
        <v>7</v>
      </c>
      <c r="K185" s="30" t="str">
        <f>IF(H185="","",IF($C$30="간이법","",FPR(H185,I185,J185)))</f>
        <v/>
      </c>
      <c r="L185" s="30">
        <f>IF(H185="","",IF($C$30="상세법",FPV(H185,K185),IF(H185="EI",4,IF(H185="EO",5.2,IF(H185="EQ",3.9,IF(H185="ILF",7.5,IF(H185="EIF",5.4)))))))</f>
        <v>3.9</v>
      </c>
      <c r="M185" s="30" t="str">
        <f t="shared" si="9"/>
        <v/>
      </c>
      <c r="N185" s="134"/>
      <c r="O185" s="29"/>
      <c r="P185" s="37" t="str">
        <f t="shared" si="10"/>
        <v/>
      </c>
      <c r="Q185" s="38" t="str">
        <f t="shared" si="11"/>
        <v/>
      </c>
      <c r="R185" s="37" t="str">
        <f t="shared" si="12"/>
        <v/>
      </c>
      <c r="S185" s="37" t="str">
        <f t="shared" si="13"/>
        <v/>
      </c>
      <c r="T185" s="38" t="str">
        <f t="shared" si="14"/>
        <v/>
      </c>
      <c r="U185" s="37" t="str">
        <f t="shared" si="15"/>
        <v/>
      </c>
    </row>
    <row r="186" spans="2:21" ht="27">
      <c r="B186" s="282" t="s">
        <v>159</v>
      </c>
      <c r="C186" s="156" t="s">
        <v>411</v>
      </c>
      <c r="D186" s="157" t="s">
        <v>413</v>
      </c>
      <c r="E186" s="281" t="s">
        <v>414</v>
      </c>
      <c r="F186" s="151" t="s">
        <v>46</v>
      </c>
      <c r="G186" s="152">
        <f>((0.25*10)+(0.45*10)+(0.3*5))/100</f>
        <v>8.5000000000000006E-2</v>
      </c>
      <c r="H186" s="153" t="s">
        <v>70</v>
      </c>
      <c r="I186" s="154">
        <v>4</v>
      </c>
      <c r="J186" s="154">
        <v>34</v>
      </c>
      <c r="K186" s="30" t="str">
        <f>IF(H186="","",IF($C$30="간이법","",FPR(H186,I186,J186)))</f>
        <v/>
      </c>
      <c r="L186" s="30">
        <f>IF(H186="","",IF($C$30="상세법",FPV(H186,K186),IF(H186="EI",4,IF(H186="EO",5.2,IF(H186="EQ",3.9,IF(H186="ILF",7.5,IF(H186="EIF",5.4)))))))</f>
        <v>3.9</v>
      </c>
      <c r="M186" s="30">
        <f t="shared" si="9"/>
        <v>0.33098893251533745</v>
      </c>
      <c r="N186" s="134"/>
      <c r="O186" s="29"/>
      <c r="P186" s="37" t="str">
        <f t="shared" si="10"/>
        <v/>
      </c>
      <c r="Q186" s="38" t="str">
        <f t="shared" si="11"/>
        <v/>
      </c>
      <c r="R186" s="37" t="str">
        <f t="shared" si="12"/>
        <v/>
      </c>
      <c r="S186" s="37">
        <f t="shared" si="13"/>
        <v>8.5000000000000006E-2</v>
      </c>
      <c r="T186" s="38">
        <f t="shared" si="14"/>
        <v>6.7590987868284227E-2</v>
      </c>
      <c r="U186" s="37">
        <f t="shared" si="15"/>
        <v>5.7452339688041599E-3</v>
      </c>
    </row>
    <row r="187" spans="2:21" ht="27">
      <c r="B187" s="282" t="s">
        <v>159</v>
      </c>
      <c r="C187" s="156" t="s">
        <v>411</v>
      </c>
      <c r="D187" s="157" t="s">
        <v>415</v>
      </c>
      <c r="E187" s="281" t="s">
        <v>416</v>
      </c>
      <c r="F187" s="151" t="s">
        <v>127</v>
      </c>
      <c r="G187" s="152">
        <v>0</v>
      </c>
      <c r="H187" s="153" t="s">
        <v>8</v>
      </c>
      <c r="I187" s="154">
        <v>1</v>
      </c>
      <c r="J187" s="154">
        <v>4</v>
      </c>
      <c r="K187" s="30" t="str">
        <f>IF(H187="","",IF($C$30="간이법","",FPR(H187,I187,J187)))</f>
        <v/>
      </c>
      <c r="L187" s="30">
        <f>IF(H187="","",IF($C$30="상세법",FPV(H187,K187),IF(H187="EI",4,IF(H187="EO",5.2,IF(H187="EQ",3.9,IF(H187="ILF",7.5,IF(H187="EIF",5.4)))))))</f>
        <v>4</v>
      </c>
      <c r="M187" s="30" t="str">
        <f t="shared" si="9"/>
        <v/>
      </c>
      <c r="N187" s="134"/>
      <c r="O187" s="29"/>
      <c r="P187" s="37" t="str">
        <f t="shared" si="10"/>
        <v/>
      </c>
      <c r="Q187" s="38" t="str">
        <f t="shared" si="11"/>
        <v/>
      </c>
      <c r="R187" s="37" t="str">
        <f t="shared" si="12"/>
        <v/>
      </c>
      <c r="S187" s="37" t="str">
        <f t="shared" si="13"/>
        <v/>
      </c>
      <c r="T187" s="38" t="str">
        <f t="shared" si="14"/>
        <v/>
      </c>
      <c r="U187" s="37" t="str">
        <f t="shared" si="15"/>
        <v/>
      </c>
    </row>
    <row r="188" spans="2:21" ht="27">
      <c r="B188" s="282" t="s">
        <v>159</v>
      </c>
      <c r="C188" s="156" t="s">
        <v>411</v>
      </c>
      <c r="D188" s="157" t="s">
        <v>417</v>
      </c>
      <c r="E188" s="281" t="s">
        <v>418</v>
      </c>
      <c r="F188" s="151" t="s">
        <v>46</v>
      </c>
      <c r="G188" s="152">
        <f>((0.25*10)+(0.45*10)+(0.3*15))/100</f>
        <v>0.115</v>
      </c>
      <c r="H188" s="153" t="s">
        <v>8</v>
      </c>
      <c r="I188" s="154">
        <v>1</v>
      </c>
      <c r="J188" s="154">
        <v>6</v>
      </c>
      <c r="K188" s="30" t="str">
        <f>IF(H188="","",IF($C$30="간이법","",FPR(H188,I188,J188)))</f>
        <v/>
      </c>
      <c r="L188" s="30">
        <f>IF(H188="","",IF($C$30="상세법",FPV(H188,K188),IF(H188="EI",4,IF(H188="EO",5.2,IF(H188="EQ",3.9,IF(H188="ILF",7.5,IF(H188="EIF",5.4)))))))</f>
        <v>4</v>
      </c>
      <c r="M188" s="30">
        <f t="shared" ref="M188:M251" si="16">IF(OR(G188="",$E$36="(선택)",$E$40="(선택)",$E$41="(선택)",F188="신규 개발",F188="수정 없이 재사용"),"",(IF(F188="수정 후 재사용",IF($E$50&lt;=0.5,L188*($E$36+$E$50*100*(1+0.02*($E$40*$E$41)))/100,L188*($E$36+$E$50*100+($E$40*$E$41))/100))))</f>
        <v>0.33947582822085892</v>
      </c>
      <c r="N188" s="134"/>
      <c r="O188" s="29"/>
      <c r="P188" s="37" t="str">
        <f t="shared" ref="P188:P251" si="17">IF(F188="수정 후 재사용",IF(H188="ILF",G188,IF(H188="EIF",G188,"")),"")</f>
        <v/>
      </c>
      <c r="Q188" s="38" t="str">
        <f t="shared" ref="Q188:Q251" si="18">IF(P188&lt;&gt;"",IF(H188="ILF", L188/$E$46,IF(H188="EIF", L188/$E$46,"")),"")</f>
        <v/>
      </c>
      <c r="R188" s="37" t="str">
        <f t="shared" ref="R188:R251" si="19">IF(P188&lt;&gt;"",P188*Q188,"")</f>
        <v/>
      </c>
      <c r="S188" s="37">
        <f t="shared" ref="S188:S251" si="20">IF(F188="수정 후 재사용",IF(H188="EI",G188,IF(H188="EO",G188,IF(H188="EQ",G188,""))),"")</f>
        <v>0.115</v>
      </c>
      <c r="T188" s="38">
        <f t="shared" ref="T188:T251" si="21">IF(S188&lt;&gt;"",IF(H188="EI",L188/$E$47,IF(H188="EO",L188/$E$47,IF(H188="EQ",L188/$E$47,""))),"")</f>
        <v>6.932409012131717E-2</v>
      </c>
      <c r="U188" s="37">
        <f t="shared" ref="U188:U251" si="22">IF(S188&lt;&gt;"",S188*T188,"")</f>
        <v>7.9722703639514749E-3</v>
      </c>
    </row>
    <row r="189" spans="2:21" ht="27">
      <c r="B189" s="282" t="s">
        <v>159</v>
      </c>
      <c r="C189" s="156" t="s">
        <v>411</v>
      </c>
      <c r="D189" s="157" t="s">
        <v>419</v>
      </c>
      <c r="E189" s="281" t="s">
        <v>420</v>
      </c>
      <c r="F189" s="151" t="s">
        <v>127</v>
      </c>
      <c r="G189" s="152">
        <v>0</v>
      </c>
      <c r="H189" s="153" t="s">
        <v>8</v>
      </c>
      <c r="I189" s="154">
        <v>2</v>
      </c>
      <c r="J189" s="154">
        <v>4</v>
      </c>
      <c r="K189" s="30" t="str">
        <f>IF(H189="","",IF($C$30="간이법","",FPR(H189,I189,J189)))</f>
        <v/>
      </c>
      <c r="L189" s="30">
        <f>IF(H189="","",IF($C$30="상세법",FPV(H189,K189),IF(H189="EI",4,IF(H189="EO",5.2,IF(H189="EQ",3.9,IF(H189="ILF",7.5,IF(H189="EIF",5.4)))))))</f>
        <v>4</v>
      </c>
      <c r="M189" s="30" t="str">
        <f t="shared" si="16"/>
        <v/>
      </c>
      <c r="N189" s="134"/>
      <c r="O189" s="29"/>
      <c r="P189" s="37" t="str">
        <f t="shared" si="17"/>
        <v/>
      </c>
      <c r="Q189" s="38" t="str">
        <f t="shared" si="18"/>
        <v/>
      </c>
      <c r="R189" s="37" t="str">
        <f t="shared" si="19"/>
        <v/>
      </c>
      <c r="S189" s="37" t="str">
        <f t="shared" si="20"/>
        <v/>
      </c>
      <c r="T189" s="38" t="str">
        <f t="shared" si="21"/>
        <v/>
      </c>
      <c r="U189" s="37" t="str">
        <f t="shared" si="22"/>
        <v/>
      </c>
    </row>
    <row r="190" spans="2:21" ht="27">
      <c r="B190" s="282" t="s">
        <v>159</v>
      </c>
      <c r="C190" s="156" t="s">
        <v>411</v>
      </c>
      <c r="D190" s="157" t="s">
        <v>421</v>
      </c>
      <c r="E190" s="281" t="s">
        <v>422</v>
      </c>
      <c r="F190" s="151" t="s">
        <v>127</v>
      </c>
      <c r="G190" s="152">
        <v>0</v>
      </c>
      <c r="H190" s="153" t="s">
        <v>70</v>
      </c>
      <c r="I190" s="154">
        <v>2</v>
      </c>
      <c r="J190" s="154">
        <v>7</v>
      </c>
      <c r="K190" s="30" t="str">
        <f>IF(H190="","",IF($C$30="간이법","",FPR(H190,I190,J190)))</f>
        <v/>
      </c>
      <c r="L190" s="30">
        <f>IF(H190="","",IF($C$30="상세법",FPV(H190,K190),IF(H190="EI",4,IF(H190="EO",5.2,IF(H190="EQ",3.9,IF(H190="ILF",7.5,IF(H190="EIF",5.4)))))))</f>
        <v>3.9</v>
      </c>
      <c r="M190" s="30" t="str">
        <f t="shared" si="16"/>
        <v/>
      </c>
      <c r="N190" s="134"/>
      <c r="O190" s="29"/>
      <c r="P190" s="37" t="str">
        <f t="shared" si="17"/>
        <v/>
      </c>
      <c r="Q190" s="38" t="str">
        <f t="shared" si="18"/>
        <v/>
      </c>
      <c r="R190" s="37" t="str">
        <f t="shared" si="19"/>
        <v/>
      </c>
      <c r="S190" s="37" t="str">
        <f t="shared" si="20"/>
        <v/>
      </c>
      <c r="T190" s="38" t="str">
        <f t="shared" si="21"/>
        <v/>
      </c>
      <c r="U190" s="37" t="str">
        <f t="shared" si="22"/>
        <v/>
      </c>
    </row>
    <row r="191" spans="2:21" ht="27">
      <c r="B191" s="282" t="s">
        <v>159</v>
      </c>
      <c r="C191" s="156" t="s">
        <v>411</v>
      </c>
      <c r="D191" s="157" t="s">
        <v>423</v>
      </c>
      <c r="E191" s="281" t="s">
        <v>424</v>
      </c>
      <c r="F191" s="151" t="s">
        <v>127</v>
      </c>
      <c r="G191" s="152">
        <v>0</v>
      </c>
      <c r="H191" s="153" t="s">
        <v>69</v>
      </c>
      <c r="I191" s="154">
        <v>2</v>
      </c>
      <c r="J191" s="154">
        <v>4</v>
      </c>
      <c r="K191" s="30" t="str">
        <f>IF(H191="","",IF($C$30="간이법","",FPR(H191,I191,J191)))</f>
        <v/>
      </c>
      <c r="L191" s="30">
        <f>IF(H191="","",IF($C$30="상세법",FPV(H191,K191),IF(H191="EI",4,IF(H191="EO",5.2,IF(H191="EQ",3.9,IF(H191="ILF",7.5,IF(H191="EIF",5.4)))))))</f>
        <v>5.2</v>
      </c>
      <c r="M191" s="30" t="str">
        <f t="shared" si="16"/>
        <v/>
      </c>
      <c r="N191" s="134"/>
      <c r="O191" s="29"/>
      <c r="P191" s="37" t="str">
        <f t="shared" si="17"/>
        <v/>
      </c>
      <c r="Q191" s="38" t="str">
        <f t="shared" si="18"/>
        <v/>
      </c>
      <c r="R191" s="37" t="str">
        <f t="shared" si="19"/>
        <v/>
      </c>
      <c r="S191" s="37" t="str">
        <f t="shared" si="20"/>
        <v/>
      </c>
      <c r="T191" s="38" t="str">
        <f t="shared" si="21"/>
        <v/>
      </c>
      <c r="U191" s="37" t="str">
        <f t="shared" si="22"/>
        <v/>
      </c>
    </row>
    <row r="192" spans="2:21" ht="27">
      <c r="B192" s="282" t="s">
        <v>159</v>
      </c>
      <c r="C192" s="156" t="s">
        <v>411</v>
      </c>
      <c r="D192" s="157" t="s">
        <v>425</v>
      </c>
      <c r="E192" s="281" t="s">
        <v>426</v>
      </c>
      <c r="F192" s="151" t="s">
        <v>127</v>
      </c>
      <c r="G192" s="152">
        <v>0</v>
      </c>
      <c r="H192" s="153" t="s">
        <v>70</v>
      </c>
      <c r="I192" s="154">
        <v>2</v>
      </c>
      <c r="J192" s="154">
        <v>10</v>
      </c>
      <c r="K192" s="30" t="str">
        <f>IF(H192="","",IF($C$30="간이법","",FPR(H192,I192,J192)))</f>
        <v/>
      </c>
      <c r="L192" s="30">
        <f>IF(H192="","",IF($C$30="상세법",FPV(H192,K192),IF(H192="EI",4,IF(H192="EO",5.2,IF(H192="EQ",3.9,IF(H192="ILF",7.5,IF(H192="EIF",5.4)))))))</f>
        <v>3.9</v>
      </c>
      <c r="M192" s="30" t="str">
        <f t="shared" si="16"/>
        <v/>
      </c>
      <c r="N192" s="134"/>
      <c r="O192" s="29"/>
      <c r="P192" s="37" t="str">
        <f t="shared" si="17"/>
        <v/>
      </c>
      <c r="Q192" s="38" t="str">
        <f t="shared" si="18"/>
        <v/>
      </c>
      <c r="R192" s="37" t="str">
        <f t="shared" si="19"/>
        <v/>
      </c>
      <c r="S192" s="37" t="str">
        <f t="shared" si="20"/>
        <v/>
      </c>
      <c r="T192" s="38" t="str">
        <f t="shared" si="21"/>
        <v/>
      </c>
      <c r="U192" s="37" t="str">
        <f t="shared" si="22"/>
        <v/>
      </c>
    </row>
    <row r="193" spans="2:21" ht="27">
      <c r="B193" s="282" t="s">
        <v>159</v>
      </c>
      <c r="C193" s="156" t="s">
        <v>411</v>
      </c>
      <c r="D193" s="157" t="s">
        <v>427</v>
      </c>
      <c r="E193" s="281" t="s">
        <v>428</v>
      </c>
      <c r="F193" s="151" t="s">
        <v>127</v>
      </c>
      <c r="G193" s="152">
        <v>0</v>
      </c>
      <c r="H193" s="153" t="s">
        <v>8</v>
      </c>
      <c r="I193" s="154">
        <v>2</v>
      </c>
      <c r="J193" s="154">
        <v>10</v>
      </c>
      <c r="K193" s="30" t="str">
        <f>IF(H193="","",IF($C$30="간이법","",FPR(H193,I193,J193)))</f>
        <v/>
      </c>
      <c r="L193" s="30">
        <f>IF(H193="","",IF($C$30="상세법",FPV(H193,K193),IF(H193="EI",4,IF(H193="EO",5.2,IF(H193="EQ",3.9,IF(H193="ILF",7.5,IF(H193="EIF",5.4)))))))</f>
        <v>4</v>
      </c>
      <c r="M193" s="30" t="str">
        <f t="shared" si="16"/>
        <v/>
      </c>
      <c r="N193" s="134"/>
      <c r="O193" s="29"/>
      <c r="P193" s="37" t="str">
        <f t="shared" si="17"/>
        <v/>
      </c>
      <c r="Q193" s="38" t="str">
        <f t="shared" si="18"/>
        <v/>
      </c>
      <c r="R193" s="37" t="str">
        <f t="shared" si="19"/>
        <v/>
      </c>
      <c r="S193" s="37" t="str">
        <f t="shared" si="20"/>
        <v/>
      </c>
      <c r="T193" s="38" t="str">
        <f t="shared" si="21"/>
        <v/>
      </c>
      <c r="U193" s="37" t="str">
        <f t="shared" si="22"/>
        <v/>
      </c>
    </row>
    <row r="194" spans="2:21" ht="27">
      <c r="B194" s="282" t="s">
        <v>159</v>
      </c>
      <c r="C194" s="156" t="s">
        <v>411</v>
      </c>
      <c r="D194" s="157" t="s">
        <v>429</v>
      </c>
      <c r="E194" s="281" t="s">
        <v>430</v>
      </c>
      <c r="F194" s="151" t="s">
        <v>127</v>
      </c>
      <c r="G194" s="152">
        <v>0</v>
      </c>
      <c r="H194" s="153" t="s">
        <v>8</v>
      </c>
      <c r="I194" s="154">
        <v>2</v>
      </c>
      <c r="J194" s="154">
        <v>10</v>
      </c>
      <c r="K194" s="30" t="str">
        <f>IF(H194="","",IF($C$30="간이법","",FPR(H194,I194,J194)))</f>
        <v/>
      </c>
      <c r="L194" s="30">
        <f>IF(H194="","",IF($C$30="상세법",FPV(H194,K194),IF(H194="EI",4,IF(H194="EO",5.2,IF(H194="EQ",3.9,IF(H194="ILF",7.5,IF(H194="EIF",5.4)))))))</f>
        <v>4</v>
      </c>
      <c r="M194" s="30" t="str">
        <f t="shared" si="16"/>
        <v/>
      </c>
      <c r="N194" s="134"/>
      <c r="O194" s="29"/>
      <c r="P194" s="37" t="str">
        <f t="shared" si="17"/>
        <v/>
      </c>
      <c r="Q194" s="38" t="str">
        <f t="shared" si="18"/>
        <v/>
      </c>
      <c r="R194" s="37" t="str">
        <f t="shared" si="19"/>
        <v/>
      </c>
      <c r="S194" s="37" t="str">
        <f t="shared" si="20"/>
        <v/>
      </c>
      <c r="T194" s="38" t="str">
        <f t="shared" si="21"/>
        <v/>
      </c>
      <c r="U194" s="37" t="str">
        <f t="shared" si="22"/>
        <v/>
      </c>
    </row>
    <row r="195" spans="2:21" ht="27">
      <c r="B195" s="282" t="s">
        <v>159</v>
      </c>
      <c r="C195" s="156" t="s">
        <v>411</v>
      </c>
      <c r="D195" s="157" t="s">
        <v>431</v>
      </c>
      <c r="E195" s="281" t="s">
        <v>432</v>
      </c>
      <c r="F195" s="151" t="s">
        <v>127</v>
      </c>
      <c r="G195" s="152">
        <v>0</v>
      </c>
      <c r="H195" s="153" t="s">
        <v>8</v>
      </c>
      <c r="I195" s="154">
        <v>2</v>
      </c>
      <c r="J195" s="154">
        <v>4</v>
      </c>
      <c r="K195" s="30" t="str">
        <f>IF(H195="","",IF($C$30="간이법","",FPR(H195,I195,J195)))</f>
        <v/>
      </c>
      <c r="L195" s="30">
        <f>IF(H195="","",IF($C$30="상세법",FPV(H195,K195),IF(H195="EI",4,IF(H195="EO",5.2,IF(H195="EQ",3.9,IF(H195="ILF",7.5,IF(H195="EIF",5.4)))))))</f>
        <v>4</v>
      </c>
      <c r="M195" s="30" t="str">
        <f t="shared" si="16"/>
        <v/>
      </c>
      <c r="N195" s="134"/>
      <c r="O195" s="29"/>
      <c r="P195" s="37" t="str">
        <f t="shared" si="17"/>
        <v/>
      </c>
      <c r="Q195" s="38" t="str">
        <f t="shared" si="18"/>
        <v/>
      </c>
      <c r="R195" s="37" t="str">
        <f t="shared" si="19"/>
        <v/>
      </c>
      <c r="S195" s="37" t="str">
        <f t="shared" si="20"/>
        <v/>
      </c>
      <c r="T195" s="38" t="str">
        <f t="shared" si="21"/>
        <v/>
      </c>
      <c r="U195" s="37" t="str">
        <f t="shared" si="22"/>
        <v/>
      </c>
    </row>
    <row r="196" spans="2:21" ht="27">
      <c r="B196" s="282" t="s">
        <v>159</v>
      </c>
      <c r="C196" s="156" t="s">
        <v>411</v>
      </c>
      <c r="D196" s="157" t="s">
        <v>433</v>
      </c>
      <c r="E196" s="281" t="s">
        <v>434</v>
      </c>
      <c r="F196" s="151" t="s">
        <v>127</v>
      </c>
      <c r="G196" s="152">
        <v>0</v>
      </c>
      <c r="H196" s="153" t="s">
        <v>70</v>
      </c>
      <c r="I196" s="154">
        <v>1</v>
      </c>
      <c r="J196" s="154">
        <v>6</v>
      </c>
      <c r="K196" s="30" t="str">
        <f>IF(H196="","",IF($C$30="간이법","",FPR(H196,I196,J196)))</f>
        <v/>
      </c>
      <c r="L196" s="30">
        <f>IF(H196="","",IF($C$30="상세법",FPV(H196,K196),IF(H196="EI",4,IF(H196="EO",5.2,IF(H196="EQ",3.9,IF(H196="ILF",7.5,IF(H196="EIF",5.4)))))))</f>
        <v>3.9</v>
      </c>
      <c r="M196" s="30" t="str">
        <f t="shared" si="16"/>
        <v/>
      </c>
      <c r="N196" s="134"/>
      <c r="O196" s="29"/>
      <c r="P196" s="37" t="str">
        <f t="shared" si="17"/>
        <v/>
      </c>
      <c r="Q196" s="38" t="str">
        <f t="shared" si="18"/>
        <v/>
      </c>
      <c r="R196" s="37" t="str">
        <f t="shared" si="19"/>
        <v/>
      </c>
      <c r="S196" s="37" t="str">
        <f t="shared" si="20"/>
        <v/>
      </c>
      <c r="T196" s="38" t="str">
        <f t="shared" si="21"/>
        <v/>
      </c>
      <c r="U196" s="37" t="str">
        <f t="shared" si="22"/>
        <v/>
      </c>
    </row>
    <row r="197" spans="2:21" ht="27">
      <c r="B197" s="282" t="s">
        <v>159</v>
      </c>
      <c r="C197" s="156" t="s">
        <v>411</v>
      </c>
      <c r="D197" s="157" t="s">
        <v>435</v>
      </c>
      <c r="E197" s="281" t="s">
        <v>436</v>
      </c>
      <c r="F197" s="151" t="s">
        <v>127</v>
      </c>
      <c r="G197" s="152">
        <v>0</v>
      </c>
      <c r="H197" s="153" t="s">
        <v>70</v>
      </c>
      <c r="I197" s="154">
        <v>1</v>
      </c>
      <c r="J197" s="154">
        <v>6</v>
      </c>
      <c r="K197" s="30" t="str">
        <f>IF(H197="","",IF($C$30="간이법","",FPR(H197,I197,J197)))</f>
        <v/>
      </c>
      <c r="L197" s="30">
        <f>IF(H197="","",IF($C$30="상세법",FPV(H197,K197),IF(H197="EI",4,IF(H197="EO",5.2,IF(H197="EQ",3.9,IF(H197="ILF",7.5,IF(H197="EIF",5.4)))))))</f>
        <v>3.9</v>
      </c>
      <c r="M197" s="30" t="str">
        <f t="shared" si="16"/>
        <v/>
      </c>
      <c r="N197" s="134"/>
      <c r="O197" s="29"/>
      <c r="P197" s="37" t="str">
        <f t="shared" si="17"/>
        <v/>
      </c>
      <c r="Q197" s="38" t="str">
        <f t="shared" si="18"/>
        <v/>
      </c>
      <c r="R197" s="37" t="str">
        <f t="shared" si="19"/>
        <v/>
      </c>
      <c r="S197" s="37" t="str">
        <f t="shared" si="20"/>
        <v/>
      </c>
      <c r="T197" s="38" t="str">
        <f t="shared" si="21"/>
        <v/>
      </c>
      <c r="U197" s="37" t="str">
        <f t="shared" si="22"/>
        <v/>
      </c>
    </row>
    <row r="198" spans="2:21" ht="27">
      <c r="B198" s="282" t="s">
        <v>159</v>
      </c>
      <c r="C198" s="156" t="s">
        <v>411</v>
      </c>
      <c r="D198" s="157" t="s">
        <v>437</v>
      </c>
      <c r="E198" s="281" t="s">
        <v>438</v>
      </c>
      <c r="F198" s="151" t="s">
        <v>127</v>
      </c>
      <c r="G198" s="152">
        <v>0</v>
      </c>
      <c r="H198" s="153" t="s">
        <v>70</v>
      </c>
      <c r="I198" s="154">
        <v>2</v>
      </c>
      <c r="J198" s="154">
        <v>4</v>
      </c>
      <c r="K198" s="30" t="str">
        <f>IF(H198="","",IF($C$30="간이법","",FPR(H198,I198,J198)))</f>
        <v/>
      </c>
      <c r="L198" s="30">
        <f>IF(H198="","",IF($C$30="상세법",FPV(H198,K198),IF(H198="EI",4,IF(H198="EO",5.2,IF(H198="EQ",3.9,IF(H198="ILF",7.5,IF(H198="EIF",5.4)))))))</f>
        <v>3.9</v>
      </c>
      <c r="M198" s="30" t="str">
        <f t="shared" si="16"/>
        <v/>
      </c>
      <c r="N198" s="134"/>
      <c r="O198" s="29"/>
      <c r="P198" s="37" t="str">
        <f t="shared" si="17"/>
        <v/>
      </c>
      <c r="Q198" s="38" t="str">
        <f t="shared" si="18"/>
        <v/>
      </c>
      <c r="R198" s="37" t="str">
        <f t="shared" si="19"/>
        <v/>
      </c>
      <c r="S198" s="37" t="str">
        <f t="shared" si="20"/>
        <v/>
      </c>
      <c r="T198" s="38" t="str">
        <f t="shared" si="21"/>
        <v/>
      </c>
      <c r="U198" s="37" t="str">
        <f t="shared" si="22"/>
        <v/>
      </c>
    </row>
    <row r="199" spans="2:21" ht="27">
      <c r="B199" s="282" t="s">
        <v>159</v>
      </c>
      <c r="C199" s="156" t="s">
        <v>411</v>
      </c>
      <c r="D199" s="157" t="s">
        <v>439</v>
      </c>
      <c r="E199" s="281" t="s">
        <v>440</v>
      </c>
      <c r="F199" s="151" t="s">
        <v>127</v>
      </c>
      <c r="G199" s="152">
        <v>0</v>
      </c>
      <c r="H199" s="153" t="s">
        <v>8</v>
      </c>
      <c r="I199" s="154">
        <v>1</v>
      </c>
      <c r="J199" s="154">
        <v>4</v>
      </c>
      <c r="K199" s="30" t="str">
        <f>IF(H199="","",IF($C$30="간이법","",FPR(H199,I199,J199)))</f>
        <v/>
      </c>
      <c r="L199" s="30">
        <f>IF(H199="","",IF($C$30="상세법",FPV(H199,K199),IF(H199="EI",4,IF(H199="EO",5.2,IF(H199="EQ",3.9,IF(H199="ILF",7.5,IF(H199="EIF",5.4)))))))</f>
        <v>4</v>
      </c>
      <c r="M199" s="30" t="str">
        <f t="shared" si="16"/>
        <v/>
      </c>
      <c r="N199" s="134"/>
      <c r="O199" s="29"/>
      <c r="P199" s="37" t="str">
        <f t="shared" si="17"/>
        <v/>
      </c>
      <c r="Q199" s="38" t="str">
        <f t="shared" si="18"/>
        <v/>
      </c>
      <c r="R199" s="37" t="str">
        <f t="shared" si="19"/>
        <v/>
      </c>
      <c r="S199" s="37" t="str">
        <f t="shared" si="20"/>
        <v/>
      </c>
      <c r="T199" s="38" t="str">
        <f t="shared" si="21"/>
        <v/>
      </c>
      <c r="U199" s="37" t="str">
        <f t="shared" si="22"/>
        <v/>
      </c>
    </row>
    <row r="200" spans="2:21" ht="27">
      <c r="B200" s="282" t="s">
        <v>159</v>
      </c>
      <c r="C200" s="156" t="s">
        <v>411</v>
      </c>
      <c r="D200" s="157" t="s">
        <v>441</v>
      </c>
      <c r="E200" s="281" t="s">
        <v>442</v>
      </c>
      <c r="F200" s="151" t="s">
        <v>127</v>
      </c>
      <c r="G200" s="152">
        <v>0</v>
      </c>
      <c r="H200" s="153" t="s">
        <v>70</v>
      </c>
      <c r="I200" s="154">
        <v>2</v>
      </c>
      <c r="J200" s="154">
        <v>10</v>
      </c>
      <c r="K200" s="30" t="str">
        <f>IF(H200="","",IF($C$30="간이법","",FPR(H200,I200,J200)))</f>
        <v/>
      </c>
      <c r="L200" s="30">
        <f>IF(H200="","",IF($C$30="상세법",FPV(H200,K200),IF(H200="EI",4,IF(H200="EO",5.2,IF(H200="EQ",3.9,IF(H200="ILF",7.5,IF(H200="EIF",5.4)))))))</f>
        <v>3.9</v>
      </c>
      <c r="M200" s="30" t="str">
        <f t="shared" si="16"/>
        <v/>
      </c>
      <c r="N200" s="134"/>
      <c r="O200" s="29"/>
      <c r="P200" s="37" t="str">
        <f t="shared" si="17"/>
        <v/>
      </c>
      <c r="Q200" s="38" t="str">
        <f t="shared" si="18"/>
        <v/>
      </c>
      <c r="R200" s="37" t="str">
        <f t="shared" si="19"/>
        <v/>
      </c>
      <c r="S200" s="37" t="str">
        <f t="shared" si="20"/>
        <v/>
      </c>
      <c r="T200" s="38" t="str">
        <f t="shared" si="21"/>
        <v/>
      </c>
      <c r="U200" s="37" t="str">
        <f t="shared" si="22"/>
        <v/>
      </c>
    </row>
    <row r="201" spans="2:21" ht="27">
      <c r="B201" s="282" t="s">
        <v>159</v>
      </c>
      <c r="C201" s="156" t="s">
        <v>411</v>
      </c>
      <c r="D201" s="157" t="s">
        <v>443</v>
      </c>
      <c r="E201" s="281" t="s">
        <v>444</v>
      </c>
      <c r="F201" s="151" t="s">
        <v>127</v>
      </c>
      <c r="G201" s="152">
        <v>0</v>
      </c>
      <c r="H201" s="153" t="s">
        <v>70</v>
      </c>
      <c r="I201" s="154">
        <v>3</v>
      </c>
      <c r="J201" s="154">
        <v>19</v>
      </c>
      <c r="K201" s="30" t="str">
        <f>IF(H201="","",IF($C$30="간이법","",FPR(H201,I201,J201)))</f>
        <v/>
      </c>
      <c r="L201" s="30">
        <f>IF(H201="","",IF($C$30="상세법",FPV(H201,K201),IF(H201="EI",4,IF(H201="EO",5.2,IF(H201="EQ",3.9,IF(H201="ILF",7.5,IF(H201="EIF",5.4)))))))</f>
        <v>3.9</v>
      </c>
      <c r="M201" s="30" t="str">
        <f t="shared" si="16"/>
        <v/>
      </c>
      <c r="N201" s="134"/>
      <c r="O201" s="29"/>
      <c r="P201" s="37" t="str">
        <f t="shared" si="17"/>
        <v/>
      </c>
      <c r="Q201" s="38" t="str">
        <f t="shared" si="18"/>
        <v/>
      </c>
      <c r="R201" s="37" t="str">
        <f t="shared" si="19"/>
        <v/>
      </c>
      <c r="S201" s="37" t="str">
        <f t="shared" si="20"/>
        <v/>
      </c>
      <c r="T201" s="38" t="str">
        <f t="shared" si="21"/>
        <v/>
      </c>
      <c r="U201" s="37" t="str">
        <f t="shared" si="22"/>
        <v/>
      </c>
    </row>
    <row r="202" spans="2:21" ht="27">
      <c r="B202" s="282" t="s">
        <v>159</v>
      </c>
      <c r="C202" s="156" t="s">
        <v>411</v>
      </c>
      <c r="D202" s="157" t="s">
        <v>445</v>
      </c>
      <c r="E202" s="281" t="s">
        <v>446</v>
      </c>
      <c r="F202" s="151" t="s">
        <v>127</v>
      </c>
      <c r="G202" s="152">
        <v>0</v>
      </c>
      <c r="H202" s="153" t="s">
        <v>70</v>
      </c>
      <c r="I202" s="154">
        <v>3</v>
      </c>
      <c r="J202" s="154">
        <v>19</v>
      </c>
      <c r="K202" s="30" t="str">
        <f>IF(H202="","",IF($C$30="간이법","",FPR(H202,I202,J202)))</f>
        <v/>
      </c>
      <c r="L202" s="30">
        <f>IF(H202="","",IF($C$30="상세법",FPV(H202,K202),IF(H202="EI",4,IF(H202="EO",5.2,IF(H202="EQ",3.9,IF(H202="ILF",7.5,IF(H202="EIF",5.4)))))))</f>
        <v>3.9</v>
      </c>
      <c r="M202" s="30" t="str">
        <f t="shared" si="16"/>
        <v/>
      </c>
      <c r="N202" s="134"/>
      <c r="O202" s="29"/>
      <c r="P202" s="37" t="str">
        <f t="shared" si="17"/>
        <v/>
      </c>
      <c r="Q202" s="38" t="str">
        <f t="shared" si="18"/>
        <v/>
      </c>
      <c r="R202" s="37" t="str">
        <f t="shared" si="19"/>
        <v/>
      </c>
      <c r="S202" s="37" t="str">
        <f t="shared" si="20"/>
        <v/>
      </c>
      <c r="T202" s="38" t="str">
        <f t="shared" si="21"/>
        <v/>
      </c>
      <c r="U202" s="37" t="str">
        <f t="shared" si="22"/>
        <v/>
      </c>
    </row>
    <row r="203" spans="2:21" ht="27">
      <c r="B203" s="282" t="s">
        <v>159</v>
      </c>
      <c r="C203" s="156" t="s">
        <v>411</v>
      </c>
      <c r="D203" s="157" t="s">
        <v>447</v>
      </c>
      <c r="E203" s="281" t="s">
        <v>448</v>
      </c>
      <c r="F203" s="151" t="s">
        <v>127</v>
      </c>
      <c r="G203" s="152">
        <v>0</v>
      </c>
      <c r="H203" s="153" t="s">
        <v>70</v>
      </c>
      <c r="I203" s="154">
        <v>2</v>
      </c>
      <c r="J203" s="154">
        <v>7</v>
      </c>
      <c r="K203" s="30" t="str">
        <f>IF(H203="","",IF($C$30="간이법","",FPR(H203,I203,J203)))</f>
        <v/>
      </c>
      <c r="L203" s="30">
        <f>IF(H203="","",IF($C$30="상세법",FPV(H203,K203),IF(H203="EI",4,IF(H203="EO",5.2,IF(H203="EQ",3.9,IF(H203="ILF",7.5,IF(H203="EIF",5.4)))))))</f>
        <v>3.9</v>
      </c>
      <c r="M203" s="30" t="str">
        <f t="shared" si="16"/>
        <v/>
      </c>
      <c r="N203" s="134"/>
      <c r="O203" s="29"/>
      <c r="P203" s="37" t="str">
        <f t="shared" si="17"/>
        <v/>
      </c>
      <c r="Q203" s="38" t="str">
        <f t="shared" si="18"/>
        <v/>
      </c>
      <c r="R203" s="37" t="str">
        <f t="shared" si="19"/>
        <v/>
      </c>
      <c r="S203" s="37" t="str">
        <f t="shared" si="20"/>
        <v/>
      </c>
      <c r="T203" s="38" t="str">
        <f t="shared" si="21"/>
        <v/>
      </c>
      <c r="U203" s="37" t="str">
        <f t="shared" si="22"/>
        <v/>
      </c>
    </row>
    <row r="204" spans="2:21" ht="27">
      <c r="B204" s="282" t="s">
        <v>159</v>
      </c>
      <c r="C204" s="156" t="s">
        <v>411</v>
      </c>
      <c r="D204" s="157" t="s">
        <v>449</v>
      </c>
      <c r="E204" s="281" t="s">
        <v>450</v>
      </c>
      <c r="F204" s="151" t="s">
        <v>127</v>
      </c>
      <c r="G204" s="152">
        <v>0</v>
      </c>
      <c r="H204" s="153" t="s">
        <v>69</v>
      </c>
      <c r="I204" s="154">
        <v>3</v>
      </c>
      <c r="J204" s="154">
        <v>14</v>
      </c>
      <c r="K204" s="30" t="str">
        <f>IF(H204="","",IF($C$30="간이법","",FPR(H204,I204,J204)))</f>
        <v/>
      </c>
      <c r="L204" s="30">
        <f>IF(H204="","",IF($C$30="상세법",FPV(H204,K204),IF(H204="EI",4,IF(H204="EO",5.2,IF(H204="EQ",3.9,IF(H204="ILF",7.5,IF(H204="EIF",5.4)))))))</f>
        <v>5.2</v>
      </c>
      <c r="M204" s="30" t="str">
        <f t="shared" si="16"/>
        <v/>
      </c>
      <c r="N204" s="134"/>
      <c r="O204" s="29"/>
      <c r="P204" s="37" t="str">
        <f t="shared" si="17"/>
        <v/>
      </c>
      <c r="Q204" s="38" t="str">
        <f t="shared" si="18"/>
        <v/>
      </c>
      <c r="R204" s="37" t="str">
        <f t="shared" si="19"/>
        <v/>
      </c>
      <c r="S204" s="37" t="str">
        <f t="shared" si="20"/>
        <v/>
      </c>
      <c r="T204" s="38" t="str">
        <f t="shared" si="21"/>
        <v/>
      </c>
      <c r="U204" s="37" t="str">
        <f t="shared" si="22"/>
        <v/>
      </c>
    </row>
    <row r="205" spans="2:21" ht="27">
      <c r="B205" s="282" t="s">
        <v>159</v>
      </c>
      <c r="C205" s="156" t="s">
        <v>411</v>
      </c>
      <c r="D205" s="157" t="s">
        <v>451</v>
      </c>
      <c r="E205" s="281" t="s">
        <v>452</v>
      </c>
      <c r="F205" s="151" t="s">
        <v>127</v>
      </c>
      <c r="G205" s="152">
        <v>0</v>
      </c>
      <c r="H205" s="153" t="s">
        <v>69</v>
      </c>
      <c r="I205" s="154">
        <v>3</v>
      </c>
      <c r="J205" s="154">
        <v>9</v>
      </c>
      <c r="K205" s="30" t="str">
        <f>IF(H205="","",IF($C$30="간이법","",FPR(H205,I205,J205)))</f>
        <v/>
      </c>
      <c r="L205" s="30">
        <f>IF(H205="","",IF($C$30="상세법",FPV(H205,K205),IF(H205="EI",4,IF(H205="EO",5.2,IF(H205="EQ",3.9,IF(H205="ILF",7.5,IF(H205="EIF",5.4)))))))</f>
        <v>5.2</v>
      </c>
      <c r="M205" s="30" t="str">
        <f t="shared" si="16"/>
        <v/>
      </c>
      <c r="N205" s="134"/>
      <c r="O205" s="29"/>
      <c r="P205" s="37" t="str">
        <f t="shared" si="17"/>
        <v/>
      </c>
      <c r="Q205" s="38" t="str">
        <f t="shared" si="18"/>
        <v/>
      </c>
      <c r="R205" s="37" t="str">
        <f t="shared" si="19"/>
        <v/>
      </c>
      <c r="S205" s="37" t="str">
        <f t="shared" si="20"/>
        <v/>
      </c>
      <c r="T205" s="38" t="str">
        <f t="shared" si="21"/>
        <v/>
      </c>
      <c r="U205" s="37" t="str">
        <f t="shared" si="22"/>
        <v/>
      </c>
    </row>
    <row r="206" spans="2:21" ht="27">
      <c r="B206" s="282" t="s">
        <v>159</v>
      </c>
      <c r="C206" s="156" t="s">
        <v>411</v>
      </c>
      <c r="D206" s="157" t="s">
        <v>453</v>
      </c>
      <c r="E206" s="281" t="s">
        <v>454</v>
      </c>
      <c r="F206" s="151" t="s">
        <v>127</v>
      </c>
      <c r="G206" s="152">
        <v>0</v>
      </c>
      <c r="H206" s="153" t="s">
        <v>69</v>
      </c>
      <c r="I206" s="154">
        <v>3</v>
      </c>
      <c r="J206" s="154">
        <v>13</v>
      </c>
      <c r="K206" s="30" t="str">
        <f>IF(H206="","",IF($C$30="간이법","",FPR(H206,I206,J206)))</f>
        <v/>
      </c>
      <c r="L206" s="30">
        <f>IF(H206="","",IF($C$30="상세법",FPV(H206,K206),IF(H206="EI",4,IF(H206="EO",5.2,IF(H206="EQ",3.9,IF(H206="ILF",7.5,IF(H206="EIF",5.4)))))))</f>
        <v>5.2</v>
      </c>
      <c r="M206" s="30" t="str">
        <f t="shared" si="16"/>
        <v/>
      </c>
      <c r="N206" s="134"/>
      <c r="O206" s="29"/>
      <c r="P206" s="37" t="str">
        <f t="shared" si="17"/>
        <v/>
      </c>
      <c r="Q206" s="38" t="str">
        <f t="shared" si="18"/>
        <v/>
      </c>
      <c r="R206" s="37" t="str">
        <f t="shared" si="19"/>
        <v/>
      </c>
      <c r="S206" s="37" t="str">
        <f t="shared" si="20"/>
        <v/>
      </c>
      <c r="T206" s="38" t="str">
        <f t="shared" si="21"/>
        <v/>
      </c>
      <c r="U206" s="37" t="str">
        <f t="shared" si="22"/>
        <v/>
      </c>
    </row>
    <row r="207" spans="2:21" ht="27">
      <c r="B207" s="282" t="s">
        <v>159</v>
      </c>
      <c r="C207" s="156" t="s">
        <v>411</v>
      </c>
      <c r="D207" s="157" t="s">
        <v>455</v>
      </c>
      <c r="E207" s="281" t="s">
        <v>456</v>
      </c>
      <c r="F207" s="151" t="s">
        <v>127</v>
      </c>
      <c r="G207" s="152">
        <v>0</v>
      </c>
      <c r="H207" s="153" t="s">
        <v>69</v>
      </c>
      <c r="I207" s="154">
        <v>3</v>
      </c>
      <c r="J207" s="154">
        <v>16</v>
      </c>
      <c r="K207" s="30" t="str">
        <f>IF(H207="","",IF($C$30="간이법","",FPR(H207,I207,J207)))</f>
        <v/>
      </c>
      <c r="L207" s="30">
        <f>IF(H207="","",IF($C$30="상세법",FPV(H207,K207),IF(H207="EI",4,IF(H207="EO",5.2,IF(H207="EQ",3.9,IF(H207="ILF",7.5,IF(H207="EIF",5.4)))))))</f>
        <v>5.2</v>
      </c>
      <c r="M207" s="30" t="str">
        <f t="shared" si="16"/>
        <v/>
      </c>
      <c r="N207" s="134"/>
      <c r="O207" s="29"/>
      <c r="P207" s="37" t="str">
        <f t="shared" si="17"/>
        <v/>
      </c>
      <c r="Q207" s="38" t="str">
        <f t="shared" si="18"/>
        <v/>
      </c>
      <c r="R207" s="37" t="str">
        <f t="shared" si="19"/>
        <v/>
      </c>
      <c r="S207" s="37" t="str">
        <f t="shared" si="20"/>
        <v/>
      </c>
      <c r="T207" s="38" t="str">
        <f t="shared" si="21"/>
        <v/>
      </c>
      <c r="U207" s="37" t="str">
        <f t="shared" si="22"/>
        <v/>
      </c>
    </row>
    <row r="208" spans="2:21" ht="27">
      <c r="B208" s="282" t="s">
        <v>159</v>
      </c>
      <c r="C208" s="156" t="s">
        <v>411</v>
      </c>
      <c r="D208" s="157" t="s">
        <v>457</v>
      </c>
      <c r="E208" s="281" t="s">
        <v>286</v>
      </c>
      <c r="F208" s="151" t="s">
        <v>127</v>
      </c>
      <c r="G208" s="152">
        <v>0</v>
      </c>
      <c r="H208" s="153" t="s">
        <v>69</v>
      </c>
      <c r="I208" s="154">
        <v>2</v>
      </c>
      <c r="J208" s="154">
        <v>5</v>
      </c>
      <c r="K208" s="30" t="str">
        <f>IF(H208="","",IF($C$30="간이법","",FPR(H208,I208,J208)))</f>
        <v/>
      </c>
      <c r="L208" s="30">
        <f>IF(H208="","",IF($C$30="상세법",FPV(H208,K208),IF(H208="EI",4,IF(H208="EO",5.2,IF(H208="EQ",3.9,IF(H208="ILF",7.5,IF(H208="EIF",5.4)))))))</f>
        <v>5.2</v>
      </c>
      <c r="M208" s="30" t="str">
        <f t="shared" si="16"/>
        <v/>
      </c>
      <c r="N208" s="134"/>
      <c r="O208" s="29"/>
      <c r="P208" s="37" t="str">
        <f t="shared" si="17"/>
        <v/>
      </c>
      <c r="Q208" s="38" t="str">
        <f t="shared" si="18"/>
        <v/>
      </c>
      <c r="R208" s="37" t="str">
        <f t="shared" si="19"/>
        <v/>
      </c>
      <c r="S208" s="37" t="str">
        <f t="shared" si="20"/>
        <v/>
      </c>
      <c r="T208" s="38" t="str">
        <f t="shared" si="21"/>
        <v/>
      </c>
      <c r="U208" s="37" t="str">
        <f t="shared" si="22"/>
        <v/>
      </c>
    </row>
    <row r="209" spans="2:21" ht="27">
      <c r="B209" s="282" t="s">
        <v>159</v>
      </c>
      <c r="C209" s="156" t="s">
        <v>411</v>
      </c>
      <c r="D209" s="157" t="s">
        <v>458</v>
      </c>
      <c r="E209" s="281" t="s">
        <v>459</v>
      </c>
      <c r="F209" s="151" t="s">
        <v>127</v>
      </c>
      <c r="G209" s="152">
        <v>0</v>
      </c>
      <c r="H209" s="153" t="s">
        <v>69</v>
      </c>
      <c r="I209" s="154">
        <v>2</v>
      </c>
      <c r="J209" s="154">
        <v>6</v>
      </c>
      <c r="K209" s="30" t="str">
        <f>IF(H209="","",IF($C$30="간이법","",FPR(H209,I209,J209)))</f>
        <v/>
      </c>
      <c r="L209" s="30">
        <f>IF(H209="","",IF($C$30="상세법",FPV(H209,K209),IF(H209="EI",4,IF(H209="EO",5.2,IF(H209="EQ",3.9,IF(H209="ILF",7.5,IF(H209="EIF",5.4)))))))</f>
        <v>5.2</v>
      </c>
      <c r="M209" s="30" t="str">
        <f t="shared" si="16"/>
        <v/>
      </c>
      <c r="N209" s="134"/>
      <c r="O209" s="29"/>
      <c r="P209" s="37" t="str">
        <f t="shared" si="17"/>
        <v/>
      </c>
      <c r="Q209" s="38" t="str">
        <f t="shared" si="18"/>
        <v/>
      </c>
      <c r="R209" s="37" t="str">
        <f t="shared" si="19"/>
        <v/>
      </c>
      <c r="S209" s="37" t="str">
        <f t="shared" si="20"/>
        <v/>
      </c>
      <c r="T209" s="38" t="str">
        <f t="shared" si="21"/>
        <v/>
      </c>
      <c r="U209" s="37" t="str">
        <f t="shared" si="22"/>
        <v/>
      </c>
    </row>
    <row r="210" spans="2:21" ht="27">
      <c r="B210" s="282" t="s">
        <v>159</v>
      </c>
      <c r="C210" s="156" t="s">
        <v>411</v>
      </c>
      <c r="D210" s="157" t="s">
        <v>460</v>
      </c>
      <c r="E210" s="281" t="s">
        <v>461</v>
      </c>
      <c r="F210" s="151" t="s">
        <v>127</v>
      </c>
      <c r="G210" s="152">
        <v>0</v>
      </c>
      <c r="H210" s="153" t="s">
        <v>69</v>
      </c>
      <c r="I210" s="154">
        <v>2</v>
      </c>
      <c r="J210" s="154">
        <v>6</v>
      </c>
      <c r="K210" s="30" t="str">
        <f>IF(H210="","",IF($C$30="간이법","",FPR(H210,I210,J210)))</f>
        <v/>
      </c>
      <c r="L210" s="30">
        <f>IF(H210="","",IF($C$30="상세법",FPV(H210,K210),IF(H210="EI",4,IF(H210="EO",5.2,IF(H210="EQ",3.9,IF(H210="ILF",7.5,IF(H210="EIF",5.4)))))))</f>
        <v>5.2</v>
      </c>
      <c r="M210" s="30" t="str">
        <f t="shared" si="16"/>
        <v/>
      </c>
      <c r="N210" s="134"/>
      <c r="O210" s="29"/>
      <c r="P210" s="37" t="str">
        <f t="shared" si="17"/>
        <v/>
      </c>
      <c r="Q210" s="38" t="str">
        <f t="shared" si="18"/>
        <v/>
      </c>
      <c r="R210" s="37" t="str">
        <f t="shared" si="19"/>
        <v/>
      </c>
      <c r="S210" s="37" t="str">
        <f t="shared" si="20"/>
        <v/>
      </c>
      <c r="T210" s="38" t="str">
        <f t="shared" si="21"/>
        <v/>
      </c>
      <c r="U210" s="37" t="str">
        <f t="shared" si="22"/>
        <v/>
      </c>
    </row>
    <row r="211" spans="2:21" ht="27">
      <c r="B211" s="282" t="s">
        <v>159</v>
      </c>
      <c r="C211" s="156" t="s">
        <v>411</v>
      </c>
      <c r="D211" s="157" t="s">
        <v>462</v>
      </c>
      <c r="E211" s="281" t="s">
        <v>463</v>
      </c>
      <c r="F211" s="151" t="s">
        <v>127</v>
      </c>
      <c r="G211" s="152">
        <v>0</v>
      </c>
      <c r="H211" s="153" t="s">
        <v>69</v>
      </c>
      <c r="I211" s="154">
        <v>2</v>
      </c>
      <c r="J211" s="154">
        <v>10</v>
      </c>
      <c r="K211" s="30" t="str">
        <f>IF(H211="","",IF($C$30="간이법","",FPR(H211,I211,J211)))</f>
        <v/>
      </c>
      <c r="L211" s="30">
        <f>IF(H211="","",IF($C$30="상세법",FPV(H211,K211),IF(H211="EI",4,IF(H211="EO",5.2,IF(H211="EQ",3.9,IF(H211="ILF",7.5,IF(H211="EIF",5.4)))))))</f>
        <v>5.2</v>
      </c>
      <c r="M211" s="30" t="str">
        <f t="shared" si="16"/>
        <v/>
      </c>
      <c r="N211" s="134"/>
      <c r="O211" s="29"/>
      <c r="P211" s="37" t="str">
        <f t="shared" si="17"/>
        <v/>
      </c>
      <c r="Q211" s="38" t="str">
        <f t="shared" si="18"/>
        <v/>
      </c>
      <c r="R211" s="37" t="str">
        <f t="shared" si="19"/>
        <v/>
      </c>
      <c r="S211" s="37" t="str">
        <f t="shared" si="20"/>
        <v/>
      </c>
      <c r="T211" s="38" t="str">
        <f t="shared" si="21"/>
        <v/>
      </c>
      <c r="U211" s="37" t="str">
        <f t="shared" si="22"/>
        <v/>
      </c>
    </row>
    <row r="212" spans="2:21" ht="27">
      <c r="B212" s="282" t="s">
        <v>159</v>
      </c>
      <c r="C212" s="156" t="s">
        <v>411</v>
      </c>
      <c r="D212" s="157" t="s">
        <v>464</v>
      </c>
      <c r="E212" s="281" t="s">
        <v>465</v>
      </c>
      <c r="F212" s="151" t="s">
        <v>127</v>
      </c>
      <c r="G212" s="152">
        <v>0</v>
      </c>
      <c r="H212" s="153" t="s">
        <v>70</v>
      </c>
      <c r="I212" s="154">
        <v>2</v>
      </c>
      <c r="J212" s="154">
        <v>5</v>
      </c>
      <c r="K212" s="30" t="str">
        <f>IF(H212="","",IF($C$30="간이법","",FPR(H212,I212,J212)))</f>
        <v/>
      </c>
      <c r="L212" s="30">
        <f>IF(H212="","",IF($C$30="상세법",FPV(H212,K212),IF(H212="EI",4,IF(H212="EO",5.2,IF(H212="EQ",3.9,IF(H212="ILF",7.5,IF(H212="EIF",5.4)))))))</f>
        <v>3.9</v>
      </c>
      <c r="M212" s="30" t="str">
        <f t="shared" si="16"/>
        <v/>
      </c>
      <c r="N212" s="134"/>
      <c r="O212" s="29"/>
      <c r="P212" s="37" t="str">
        <f t="shared" si="17"/>
        <v/>
      </c>
      <c r="Q212" s="38" t="str">
        <f t="shared" si="18"/>
        <v/>
      </c>
      <c r="R212" s="37" t="str">
        <f t="shared" si="19"/>
        <v/>
      </c>
      <c r="S212" s="37" t="str">
        <f t="shared" si="20"/>
        <v/>
      </c>
      <c r="T212" s="38" t="str">
        <f t="shared" si="21"/>
        <v/>
      </c>
      <c r="U212" s="37" t="str">
        <f t="shared" si="22"/>
        <v/>
      </c>
    </row>
    <row r="213" spans="2:21" ht="27">
      <c r="B213" s="282" t="s">
        <v>159</v>
      </c>
      <c r="C213" s="156" t="s">
        <v>411</v>
      </c>
      <c r="D213" s="157" t="s">
        <v>466</v>
      </c>
      <c r="E213" s="281" t="s">
        <v>467</v>
      </c>
      <c r="F213" s="151" t="s">
        <v>127</v>
      </c>
      <c r="G213" s="152">
        <v>0</v>
      </c>
      <c r="H213" s="153" t="s">
        <v>69</v>
      </c>
      <c r="I213" s="154">
        <v>2</v>
      </c>
      <c r="J213" s="154">
        <v>6</v>
      </c>
      <c r="K213" s="30" t="str">
        <f>IF(H213="","",IF($C$30="간이법","",FPR(H213,I213,J213)))</f>
        <v/>
      </c>
      <c r="L213" s="30">
        <f>IF(H213="","",IF($C$30="상세법",FPV(H213,K213),IF(H213="EI",4,IF(H213="EO",5.2,IF(H213="EQ",3.9,IF(H213="ILF",7.5,IF(H213="EIF",5.4)))))))</f>
        <v>5.2</v>
      </c>
      <c r="M213" s="30" t="str">
        <f t="shared" si="16"/>
        <v/>
      </c>
      <c r="N213" s="134"/>
      <c r="O213" s="29"/>
      <c r="P213" s="37" t="str">
        <f t="shared" si="17"/>
        <v/>
      </c>
      <c r="Q213" s="38" t="str">
        <f t="shared" si="18"/>
        <v/>
      </c>
      <c r="R213" s="37" t="str">
        <f t="shared" si="19"/>
        <v/>
      </c>
      <c r="S213" s="37" t="str">
        <f t="shared" si="20"/>
        <v/>
      </c>
      <c r="T213" s="38" t="str">
        <f t="shared" si="21"/>
        <v/>
      </c>
      <c r="U213" s="37" t="str">
        <f t="shared" si="22"/>
        <v/>
      </c>
    </row>
    <row r="214" spans="2:21" ht="27">
      <c r="B214" s="282" t="s">
        <v>159</v>
      </c>
      <c r="C214" s="156" t="s">
        <v>411</v>
      </c>
      <c r="D214" s="157" t="s">
        <v>468</v>
      </c>
      <c r="E214" s="281" t="s">
        <v>469</v>
      </c>
      <c r="F214" s="151" t="s">
        <v>46</v>
      </c>
      <c r="G214" s="152">
        <f>((0.25*0)+(0.45*0)+(0.3*20))/100</f>
        <v>0.06</v>
      </c>
      <c r="H214" s="153" t="s">
        <v>69</v>
      </c>
      <c r="I214" s="154">
        <v>3</v>
      </c>
      <c r="J214" s="154">
        <v>23</v>
      </c>
      <c r="K214" s="30" t="str">
        <f>IF(H214="","",IF($C$30="간이법","",FPR(H214,I214,J214)))</f>
        <v/>
      </c>
      <c r="L214" s="30">
        <f>IF(H214="","",IF($C$30="상세법",FPV(H214,K214),IF(H214="EI",4,IF(H214="EO",5.2,IF(H214="EQ",3.9,IF(H214="ILF",7.5,IF(H214="EIF",5.4)))))))</f>
        <v>5.2</v>
      </c>
      <c r="M214" s="30">
        <f t="shared" si="16"/>
        <v>0.4413185766871166</v>
      </c>
      <c r="N214" s="134"/>
      <c r="O214" s="29"/>
      <c r="P214" s="37" t="str">
        <f t="shared" si="17"/>
        <v/>
      </c>
      <c r="Q214" s="38" t="str">
        <f t="shared" si="18"/>
        <v/>
      </c>
      <c r="R214" s="37" t="str">
        <f t="shared" si="19"/>
        <v/>
      </c>
      <c r="S214" s="37">
        <f t="shared" si="20"/>
        <v>0.06</v>
      </c>
      <c r="T214" s="38">
        <f t="shared" si="21"/>
        <v>9.0121317157712308E-2</v>
      </c>
      <c r="U214" s="37">
        <f t="shared" si="22"/>
        <v>5.4072790294627379E-3</v>
      </c>
    </row>
    <row r="215" spans="2:21" ht="27">
      <c r="B215" s="282" t="s">
        <v>159</v>
      </c>
      <c r="C215" s="156" t="s">
        <v>411</v>
      </c>
      <c r="D215" s="157" t="s">
        <v>470</v>
      </c>
      <c r="E215" s="281" t="s">
        <v>470</v>
      </c>
      <c r="F215" s="151" t="s">
        <v>46</v>
      </c>
      <c r="G215" s="152">
        <f>((0.25*0)+(0.45*10)+(0.3*10))/100</f>
        <v>7.4999999999999997E-2</v>
      </c>
      <c r="H215" s="153" t="s">
        <v>70</v>
      </c>
      <c r="I215" s="154">
        <v>2</v>
      </c>
      <c r="J215" s="154">
        <v>7</v>
      </c>
      <c r="K215" s="30" t="str">
        <f>IF(H215="","",IF($C$30="간이법","",FPR(H215,I215,J215)))</f>
        <v/>
      </c>
      <c r="L215" s="30">
        <f>IF(H215="","",IF($C$30="상세법",FPV(H215,K215),IF(H215="EI",4,IF(H215="EO",5.2,IF(H215="EQ",3.9,IF(H215="ILF",7.5,IF(H215="EIF",5.4)))))))</f>
        <v>3.9</v>
      </c>
      <c r="M215" s="30">
        <f t="shared" si="16"/>
        <v>0.33098893251533745</v>
      </c>
      <c r="N215" s="134"/>
      <c r="O215" s="29"/>
      <c r="P215" s="37" t="str">
        <f t="shared" si="17"/>
        <v/>
      </c>
      <c r="Q215" s="38" t="str">
        <f t="shared" si="18"/>
        <v/>
      </c>
      <c r="R215" s="37" t="str">
        <f t="shared" si="19"/>
        <v/>
      </c>
      <c r="S215" s="37">
        <f t="shared" si="20"/>
        <v>7.4999999999999997E-2</v>
      </c>
      <c r="T215" s="38">
        <f t="shared" si="21"/>
        <v>6.7590987868284227E-2</v>
      </c>
      <c r="U215" s="37">
        <f t="shared" si="22"/>
        <v>5.0693240901213167E-3</v>
      </c>
    </row>
    <row r="216" spans="2:21" ht="27">
      <c r="B216" s="282" t="s">
        <v>159</v>
      </c>
      <c r="C216" s="156" t="s">
        <v>471</v>
      </c>
      <c r="D216" s="157" t="s">
        <v>472</v>
      </c>
      <c r="E216" s="281" t="s">
        <v>473</v>
      </c>
      <c r="F216" s="151" t="s">
        <v>127</v>
      </c>
      <c r="G216" s="152">
        <v>0</v>
      </c>
      <c r="H216" s="153" t="s">
        <v>70</v>
      </c>
      <c r="I216" s="154">
        <v>1</v>
      </c>
      <c r="J216" s="154">
        <v>9</v>
      </c>
      <c r="K216" s="30" t="str">
        <f>IF(H216="","",IF($C$30="간이법","",FPR(H216,I216,J216)))</f>
        <v/>
      </c>
      <c r="L216" s="30">
        <f>IF(H216="","",IF($C$30="상세법",FPV(H216,K216),IF(H216="EI",4,IF(H216="EO",5.2,IF(H216="EQ",3.9,IF(H216="ILF",7.5,IF(H216="EIF",5.4)))))))</f>
        <v>3.9</v>
      </c>
      <c r="M216" s="30" t="str">
        <f t="shared" si="16"/>
        <v/>
      </c>
      <c r="N216" s="134"/>
      <c r="O216" s="29"/>
      <c r="P216" s="37" t="str">
        <f t="shared" si="17"/>
        <v/>
      </c>
      <c r="Q216" s="38" t="str">
        <f t="shared" si="18"/>
        <v/>
      </c>
      <c r="R216" s="37" t="str">
        <f t="shared" si="19"/>
        <v/>
      </c>
      <c r="S216" s="37" t="str">
        <f t="shared" si="20"/>
        <v/>
      </c>
      <c r="T216" s="38" t="str">
        <f t="shared" si="21"/>
        <v/>
      </c>
      <c r="U216" s="37" t="str">
        <f t="shared" si="22"/>
        <v/>
      </c>
    </row>
    <row r="217" spans="2:21" ht="27">
      <c r="B217" s="282" t="s">
        <v>159</v>
      </c>
      <c r="C217" s="156" t="s">
        <v>471</v>
      </c>
      <c r="D217" s="157" t="s">
        <v>474</v>
      </c>
      <c r="E217" s="281" t="s">
        <v>475</v>
      </c>
      <c r="F217" s="151" t="s">
        <v>127</v>
      </c>
      <c r="G217" s="152">
        <v>0</v>
      </c>
      <c r="H217" s="153" t="s">
        <v>70</v>
      </c>
      <c r="I217" s="154">
        <v>3</v>
      </c>
      <c r="J217" s="154">
        <v>26</v>
      </c>
      <c r="K217" s="30" t="str">
        <f>IF(H217="","",IF($C$30="간이법","",FPR(H217,I217,J217)))</f>
        <v/>
      </c>
      <c r="L217" s="30">
        <f>IF(H217="","",IF($C$30="상세법",FPV(H217,K217),IF(H217="EI",4,IF(H217="EO",5.2,IF(H217="EQ",3.9,IF(H217="ILF",7.5,IF(H217="EIF",5.4)))))))</f>
        <v>3.9</v>
      </c>
      <c r="M217" s="30" t="str">
        <f t="shared" si="16"/>
        <v/>
      </c>
      <c r="N217" s="134"/>
      <c r="O217" s="29"/>
      <c r="P217" s="37" t="str">
        <f t="shared" si="17"/>
        <v/>
      </c>
      <c r="Q217" s="38" t="str">
        <f t="shared" si="18"/>
        <v/>
      </c>
      <c r="R217" s="37" t="str">
        <f t="shared" si="19"/>
        <v/>
      </c>
      <c r="S217" s="37" t="str">
        <f t="shared" si="20"/>
        <v/>
      </c>
      <c r="T217" s="38" t="str">
        <f t="shared" si="21"/>
        <v/>
      </c>
      <c r="U217" s="37" t="str">
        <f t="shared" si="22"/>
        <v/>
      </c>
    </row>
    <row r="218" spans="2:21" ht="27">
      <c r="B218" s="282" t="s">
        <v>159</v>
      </c>
      <c r="C218" s="156" t="s">
        <v>471</v>
      </c>
      <c r="D218" s="157" t="s">
        <v>476</v>
      </c>
      <c r="E218" s="281" t="s">
        <v>477</v>
      </c>
      <c r="F218" s="151" t="s">
        <v>127</v>
      </c>
      <c r="G218" s="152">
        <v>0</v>
      </c>
      <c r="H218" s="153" t="s">
        <v>70</v>
      </c>
      <c r="I218" s="154">
        <v>1</v>
      </c>
      <c r="J218" s="154">
        <v>6</v>
      </c>
      <c r="K218" s="30" t="str">
        <f>IF(H218="","",IF($C$30="간이법","",FPR(H218,I218,J218)))</f>
        <v/>
      </c>
      <c r="L218" s="30">
        <f>IF(H218="","",IF($C$30="상세법",FPV(H218,K218),IF(H218="EI",4,IF(H218="EO",5.2,IF(H218="EQ",3.9,IF(H218="ILF",7.5,IF(H218="EIF",5.4)))))))</f>
        <v>3.9</v>
      </c>
      <c r="M218" s="30" t="str">
        <f t="shared" si="16"/>
        <v/>
      </c>
      <c r="N218" s="134"/>
      <c r="O218" s="29"/>
      <c r="P218" s="37" t="str">
        <f t="shared" si="17"/>
        <v/>
      </c>
      <c r="Q218" s="38" t="str">
        <f t="shared" si="18"/>
        <v/>
      </c>
      <c r="R218" s="37" t="str">
        <f t="shared" si="19"/>
        <v/>
      </c>
      <c r="S218" s="37" t="str">
        <f t="shared" si="20"/>
        <v/>
      </c>
      <c r="T218" s="38" t="str">
        <f t="shared" si="21"/>
        <v/>
      </c>
      <c r="U218" s="37" t="str">
        <f t="shared" si="22"/>
        <v/>
      </c>
    </row>
    <row r="219" spans="2:21" ht="27">
      <c r="B219" s="282" t="s">
        <v>159</v>
      </c>
      <c r="C219" s="156" t="s">
        <v>471</v>
      </c>
      <c r="D219" s="157" t="s">
        <v>478</v>
      </c>
      <c r="E219" s="281" t="s">
        <v>479</v>
      </c>
      <c r="F219" s="151" t="s">
        <v>127</v>
      </c>
      <c r="G219" s="152">
        <v>0</v>
      </c>
      <c r="H219" s="153" t="s">
        <v>70</v>
      </c>
      <c r="I219" s="154">
        <v>1</v>
      </c>
      <c r="J219" s="154">
        <v>4</v>
      </c>
      <c r="K219" s="30" t="str">
        <f>IF(H219="","",IF($C$30="간이법","",FPR(H219,I219,J219)))</f>
        <v/>
      </c>
      <c r="L219" s="30">
        <f>IF(H219="","",IF($C$30="상세법",FPV(H219,K219),IF(H219="EI",4,IF(H219="EO",5.2,IF(H219="EQ",3.9,IF(H219="ILF",7.5,IF(H219="EIF",5.4)))))))</f>
        <v>3.9</v>
      </c>
      <c r="M219" s="30" t="str">
        <f t="shared" si="16"/>
        <v/>
      </c>
      <c r="N219" s="134"/>
      <c r="O219" s="29"/>
      <c r="P219" s="37" t="str">
        <f t="shared" si="17"/>
        <v/>
      </c>
      <c r="Q219" s="38" t="str">
        <f t="shared" si="18"/>
        <v/>
      </c>
      <c r="R219" s="37" t="str">
        <f t="shared" si="19"/>
        <v/>
      </c>
      <c r="S219" s="37" t="str">
        <f t="shared" si="20"/>
        <v/>
      </c>
      <c r="T219" s="38" t="str">
        <f t="shared" si="21"/>
        <v/>
      </c>
      <c r="U219" s="37" t="str">
        <f t="shared" si="22"/>
        <v/>
      </c>
    </row>
    <row r="220" spans="2:21" ht="27">
      <c r="B220" s="282" t="s">
        <v>159</v>
      </c>
      <c r="C220" s="156" t="s">
        <v>471</v>
      </c>
      <c r="D220" s="157" t="s">
        <v>480</v>
      </c>
      <c r="E220" s="281" t="s">
        <v>481</v>
      </c>
      <c r="F220" s="151" t="s">
        <v>127</v>
      </c>
      <c r="G220" s="152">
        <v>0</v>
      </c>
      <c r="H220" s="153" t="s">
        <v>8</v>
      </c>
      <c r="I220" s="154">
        <v>1</v>
      </c>
      <c r="J220" s="154">
        <v>4</v>
      </c>
      <c r="K220" s="30" t="str">
        <f>IF(H220="","",IF($C$30="간이법","",FPR(H220,I220,J220)))</f>
        <v/>
      </c>
      <c r="L220" s="30">
        <f>IF(H220="","",IF($C$30="상세법",FPV(H220,K220),IF(H220="EI",4,IF(H220="EO",5.2,IF(H220="EQ",3.9,IF(H220="ILF",7.5,IF(H220="EIF",5.4)))))))</f>
        <v>4</v>
      </c>
      <c r="M220" s="30" t="str">
        <f t="shared" si="16"/>
        <v/>
      </c>
      <c r="N220" s="134"/>
      <c r="O220" s="29"/>
      <c r="P220" s="37" t="str">
        <f t="shared" si="17"/>
        <v/>
      </c>
      <c r="Q220" s="38" t="str">
        <f t="shared" si="18"/>
        <v/>
      </c>
      <c r="R220" s="37" t="str">
        <f t="shared" si="19"/>
        <v/>
      </c>
      <c r="S220" s="37" t="str">
        <f t="shared" si="20"/>
        <v/>
      </c>
      <c r="T220" s="38" t="str">
        <f t="shared" si="21"/>
        <v/>
      </c>
      <c r="U220" s="37" t="str">
        <f t="shared" si="22"/>
        <v/>
      </c>
    </row>
    <row r="221" spans="2:21" ht="27">
      <c r="B221" s="282" t="s">
        <v>159</v>
      </c>
      <c r="C221" s="156" t="s">
        <v>471</v>
      </c>
      <c r="D221" s="157" t="s">
        <v>482</v>
      </c>
      <c r="E221" s="281" t="s">
        <v>483</v>
      </c>
      <c r="F221" s="151" t="s">
        <v>127</v>
      </c>
      <c r="G221" s="152">
        <v>0</v>
      </c>
      <c r="H221" s="153" t="s">
        <v>8</v>
      </c>
      <c r="I221" s="154">
        <v>1</v>
      </c>
      <c r="J221" s="154">
        <v>4</v>
      </c>
      <c r="K221" s="30" t="str">
        <f>IF(H221="","",IF($C$30="간이법","",FPR(H221,I221,J221)))</f>
        <v/>
      </c>
      <c r="L221" s="30">
        <f>IF(H221="","",IF($C$30="상세법",FPV(H221,K221),IF(H221="EI",4,IF(H221="EO",5.2,IF(H221="EQ",3.9,IF(H221="ILF",7.5,IF(H221="EIF",5.4)))))))</f>
        <v>4</v>
      </c>
      <c r="M221" s="30" t="str">
        <f t="shared" si="16"/>
        <v/>
      </c>
      <c r="N221" s="134"/>
      <c r="O221" s="29"/>
      <c r="P221" s="37" t="str">
        <f t="shared" si="17"/>
        <v/>
      </c>
      <c r="Q221" s="38" t="str">
        <f t="shared" si="18"/>
        <v/>
      </c>
      <c r="R221" s="37" t="str">
        <f t="shared" si="19"/>
        <v/>
      </c>
      <c r="S221" s="37" t="str">
        <f t="shared" si="20"/>
        <v/>
      </c>
      <c r="T221" s="38" t="str">
        <f t="shared" si="21"/>
        <v/>
      </c>
      <c r="U221" s="37" t="str">
        <f t="shared" si="22"/>
        <v/>
      </c>
    </row>
    <row r="222" spans="2:21" ht="27">
      <c r="B222" s="282" t="s">
        <v>159</v>
      </c>
      <c r="C222" s="156" t="s">
        <v>471</v>
      </c>
      <c r="D222" s="157" t="s">
        <v>484</v>
      </c>
      <c r="E222" s="281" t="s">
        <v>485</v>
      </c>
      <c r="F222" s="151" t="s">
        <v>127</v>
      </c>
      <c r="G222" s="152">
        <v>0</v>
      </c>
      <c r="H222" s="153" t="s">
        <v>8</v>
      </c>
      <c r="I222" s="154">
        <v>1</v>
      </c>
      <c r="J222" s="154">
        <v>4</v>
      </c>
      <c r="K222" s="30" t="str">
        <f>IF(H222="","",IF($C$30="간이법","",FPR(H222,I222,J222)))</f>
        <v/>
      </c>
      <c r="L222" s="30">
        <f>IF(H222="","",IF($C$30="상세법",FPV(H222,K222),IF(H222="EI",4,IF(H222="EO",5.2,IF(H222="EQ",3.9,IF(H222="ILF",7.5,IF(H222="EIF",5.4)))))))</f>
        <v>4</v>
      </c>
      <c r="M222" s="30" t="str">
        <f t="shared" si="16"/>
        <v/>
      </c>
      <c r="N222" s="134"/>
      <c r="O222" s="29"/>
      <c r="P222" s="37" t="str">
        <f t="shared" si="17"/>
        <v/>
      </c>
      <c r="Q222" s="38" t="str">
        <f t="shared" si="18"/>
        <v/>
      </c>
      <c r="R222" s="37" t="str">
        <f t="shared" si="19"/>
        <v/>
      </c>
      <c r="S222" s="37" t="str">
        <f t="shared" si="20"/>
        <v/>
      </c>
      <c r="T222" s="38" t="str">
        <f t="shared" si="21"/>
        <v/>
      </c>
      <c r="U222" s="37" t="str">
        <f t="shared" si="22"/>
        <v/>
      </c>
    </row>
    <row r="223" spans="2:21" ht="27">
      <c r="B223" s="282" t="s">
        <v>159</v>
      </c>
      <c r="C223" s="156" t="s">
        <v>471</v>
      </c>
      <c r="D223" s="157" t="s">
        <v>486</v>
      </c>
      <c r="E223" s="281" t="s">
        <v>487</v>
      </c>
      <c r="F223" s="151" t="s">
        <v>127</v>
      </c>
      <c r="G223" s="152">
        <v>0</v>
      </c>
      <c r="H223" s="153" t="s">
        <v>70</v>
      </c>
      <c r="I223" s="154">
        <v>1</v>
      </c>
      <c r="J223" s="154">
        <v>9</v>
      </c>
      <c r="K223" s="30" t="str">
        <f>IF(H223="","",IF($C$30="간이법","",FPR(H223,I223,J223)))</f>
        <v/>
      </c>
      <c r="L223" s="30">
        <f>IF(H223="","",IF($C$30="상세법",FPV(H223,K223),IF(H223="EI",4,IF(H223="EO",5.2,IF(H223="EQ",3.9,IF(H223="ILF",7.5,IF(H223="EIF",5.4)))))))</f>
        <v>3.9</v>
      </c>
      <c r="M223" s="30" t="str">
        <f t="shared" si="16"/>
        <v/>
      </c>
      <c r="N223" s="134"/>
      <c r="O223" s="29"/>
      <c r="P223" s="37" t="str">
        <f t="shared" si="17"/>
        <v/>
      </c>
      <c r="Q223" s="38" t="str">
        <f t="shared" si="18"/>
        <v/>
      </c>
      <c r="R223" s="37" t="str">
        <f t="shared" si="19"/>
        <v/>
      </c>
      <c r="S223" s="37" t="str">
        <f t="shared" si="20"/>
        <v/>
      </c>
      <c r="T223" s="38" t="str">
        <f t="shared" si="21"/>
        <v/>
      </c>
      <c r="U223" s="37" t="str">
        <f t="shared" si="22"/>
        <v/>
      </c>
    </row>
    <row r="224" spans="2:21" ht="27">
      <c r="B224" s="282" t="s">
        <v>159</v>
      </c>
      <c r="C224" s="156" t="s">
        <v>471</v>
      </c>
      <c r="D224" s="157" t="s">
        <v>488</v>
      </c>
      <c r="E224" s="281" t="s">
        <v>489</v>
      </c>
      <c r="F224" s="151" t="s">
        <v>127</v>
      </c>
      <c r="G224" s="152">
        <v>0</v>
      </c>
      <c r="H224" s="153" t="s">
        <v>70</v>
      </c>
      <c r="I224" s="154">
        <v>1</v>
      </c>
      <c r="J224" s="154">
        <v>4</v>
      </c>
      <c r="K224" s="30" t="str">
        <f>IF(H224="","",IF($C$30="간이법","",FPR(H224,I224,J224)))</f>
        <v/>
      </c>
      <c r="L224" s="30">
        <f>IF(H224="","",IF($C$30="상세법",FPV(H224,K224),IF(H224="EI",4,IF(H224="EO",5.2,IF(H224="EQ",3.9,IF(H224="ILF",7.5,IF(H224="EIF",5.4)))))))</f>
        <v>3.9</v>
      </c>
      <c r="M224" s="30" t="str">
        <f t="shared" si="16"/>
        <v/>
      </c>
      <c r="N224" s="134"/>
      <c r="O224" s="29"/>
      <c r="P224" s="37" t="str">
        <f t="shared" si="17"/>
        <v/>
      </c>
      <c r="Q224" s="38" t="str">
        <f t="shared" si="18"/>
        <v/>
      </c>
      <c r="R224" s="37" t="str">
        <f t="shared" si="19"/>
        <v/>
      </c>
      <c r="S224" s="37" t="str">
        <f t="shared" si="20"/>
        <v/>
      </c>
      <c r="T224" s="38" t="str">
        <f t="shared" si="21"/>
        <v/>
      </c>
      <c r="U224" s="37" t="str">
        <f t="shared" si="22"/>
        <v/>
      </c>
    </row>
    <row r="225" spans="2:21" ht="27">
      <c r="B225" s="282" t="s">
        <v>159</v>
      </c>
      <c r="C225" s="156" t="s">
        <v>471</v>
      </c>
      <c r="D225" s="157" t="s">
        <v>490</v>
      </c>
      <c r="E225" s="281" t="s">
        <v>491</v>
      </c>
      <c r="F225" s="151" t="s">
        <v>127</v>
      </c>
      <c r="G225" s="152">
        <v>0</v>
      </c>
      <c r="H225" s="153" t="s">
        <v>70</v>
      </c>
      <c r="I225" s="154">
        <v>1</v>
      </c>
      <c r="J225" s="154">
        <v>4</v>
      </c>
      <c r="K225" s="30" t="str">
        <f>IF(H225="","",IF($C$30="간이법","",FPR(H225,I225,J225)))</f>
        <v/>
      </c>
      <c r="L225" s="30">
        <f>IF(H225="","",IF($C$30="상세법",FPV(H225,K225),IF(H225="EI",4,IF(H225="EO",5.2,IF(H225="EQ",3.9,IF(H225="ILF",7.5,IF(H225="EIF",5.4)))))))</f>
        <v>3.9</v>
      </c>
      <c r="M225" s="30" t="str">
        <f t="shared" si="16"/>
        <v/>
      </c>
      <c r="N225" s="134"/>
      <c r="O225" s="29"/>
      <c r="P225" s="37" t="str">
        <f t="shared" si="17"/>
        <v/>
      </c>
      <c r="Q225" s="38" t="str">
        <f t="shared" si="18"/>
        <v/>
      </c>
      <c r="R225" s="37" t="str">
        <f t="shared" si="19"/>
        <v/>
      </c>
      <c r="S225" s="37" t="str">
        <f t="shared" si="20"/>
        <v/>
      </c>
      <c r="T225" s="38" t="str">
        <f t="shared" si="21"/>
        <v/>
      </c>
      <c r="U225" s="37" t="str">
        <f t="shared" si="22"/>
        <v/>
      </c>
    </row>
    <row r="226" spans="2:21" ht="27">
      <c r="B226" s="282" t="s">
        <v>159</v>
      </c>
      <c r="C226" s="156" t="s">
        <v>471</v>
      </c>
      <c r="D226" s="157" t="s">
        <v>492</v>
      </c>
      <c r="E226" s="281" t="s">
        <v>493</v>
      </c>
      <c r="F226" s="151" t="s">
        <v>127</v>
      </c>
      <c r="G226" s="152">
        <v>0</v>
      </c>
      <c r="H226" s="153" t="s">
        <v>70</v>
      </c>
      <c r="I226" s="154">
        <v>2</v>
      </c>
      <c r="J226" s="154">
        <v>9</v>
      </c>
      <c r="K226" s="30" t="str">
        <f>IF(H226="","",IF($C$30="간이법","",FPR(H226,I226,J226)))</f>
        <v/>
      </c>
      <c r="L226" s="30">
        <f>IF(H226="","",IF($C$30="상세법",FPV(H226,K226),IF(H226="EI",4,IF(H226="EO",5.2,IF(H226="EQ",3.9,IF(H226="ILF",7.5,IF(H226="EIF",5.4)))))))</f>
        <v>3.9</v>
      </c>
      <c r="M226" s="30" t="str">
        <f t="shared" si="16"/>
        <v/>
      </c>
      <c r="N226" s="134"/>
      <c r="O226" s="29"/>
      <c r="P226" s="37" t="str">
        <f t="shared" si="17"/>
        <v/>
      </c>
      <c r="Q226" s="38" t="str">
        <f t="shared" si="18"/>
        <v/>
      </c>
      <c r="R226" s="37" t="str">
        <f t="shared" si="19"/>
        <v/>
      </c>
      <c r="S226" s="37" t="str">
        <f t="shared" si="20"/>
        <v/>
      </c>
      <c r="T226" s="38" t="str">
        <f t="shared" si="21"/>
        <v/>
      </c>
      <c r="U226" s="37" t="str">
        <f t="shared" si="22"/>
        <v/>
      </c>
    </row>
    <row r="227" spans="2:21" ht="27">
      <c r="B227" s="282" t="s">
        <v>159</v>
      </c>
      <c r="C227" s="156" t="s">
        <v>471</v>
      </c>
      <c r="D227" s="157" t="s">
        <v>494</v>
      </c>
      <c r="E227" s="281" t="s">
        <v>495</v>
      </c>
      <c r="F227" s="151" t="s">
        <v>127</v>
      </c>
      <c r="G227" s="152">
        <v>0</v>
      </c>
      <c r="H227" s="153" t="s">
        <v>8</v>
      </c>
      <c r="I227" s="154">
        <v>2</v>
      </c>
      <c r="J227" s="154">
        <v>11</v>
      </c>
      <c r="K227" s="30" t="str">
        <f>IF(H227="","",IF($C$30="간이법","",FPR(H227,I227,J227)))</f>
        <v/>
      </c>
      <c r="L227" s="30">
        <f>IF(H227="","",IF($C$30="상세법",FPV(H227,K227),IF(H227="EI",4,IF(H227="EO",5.2,IF(H227="EQ",3.9,IF(H227="ILF",7.5,IF(H227="EIF",5.4)))))))</f>
        <v>4</v>
      </c>
      <c r="M227" s="30" t="str">
        <f t="shared" si="16"/>
        <v/>
      </c>
      <c r="N227" s="134"/>
      <c r="O227" s="29"/>
      <c r="P227" s="37" t="str">
        <f t="shared" si="17"/>
        <v/>
      </c>
      <c r="Q227" s="38" t="str">
        <f t="shared" si="18"/>
        <v/>
      </c>
      <c r="R227" s="37" t="str">
        <f t="shared" si="19"/>
        <v/>
      </c>
      <c r="S227" s="37" t="str">
        <f t="shared" si="20"/>
        <v/>
      </c>
      <c r="T227" s="38" t="str">
        <f t="shared" si="21"/>
        <v/>
      </c>
      <c r="U227" s="37" t="str">
        <f t="shared" si="22"/>
        <v/>
      </c>
    </row>
    <row r="228" spans="2:21" ht="27">
      <c r="B228" s="282" t="s">
        <v>159</v>
      </c>
      <c r="C228" s="156" t="s">
        <v>471</v>
      </c>
      <c r="D228" s="157" t="s">
        <v>496</v>
      </c>
      <c r="E228" s="281" t="s">
        <v>497</v>
      </c>
      <c r="F228" s="151" t="s">
        <v>127</v>
      </c>
      <c r="G228" s="152">
        <v>0</v>
      </c>
      <c r="H228" s="153" t="s">
        <v>70</v>
      </c>
      <c r="I228" s="154">
        <v>1</v>
      </c>
      <c r="J228" s="154">
        <v>5</v>
      </c>
      <c r="K228" s="30" t="str">
        <f>IF(H228="","",IF($C$30="간이법","",FPR(H228,I228,J228)))</f>
        <v/>
      </c>
      <c r="L228" s="30">
        <f>IF(H228="","",IF($C$30="상세법",FPV(H228,K228),IF(H228="EI",4,IF(H228="EO",5.2,IF(H228="EQ",3.9,IF(H228="ILF",7.5,IF(H228="EIF",5.4)))))))</f>
        <v>3.9</v>
      </c>
      <c r="M228" s="30" t="str">
        <f t="shared" si="16"/>
        <v/>
      </c>
      <c r="N228" s="134"/>
      <c r="O228" s="29"/>
      <c r="P228" s="37" t="str">
        <f t="shared" si="17"/>
        <v/>
      </c>
      <c r="Q228" s="38" t="str">
        <f t="shared" si="18"/>
        <v/>
      </c>
      <c r="R228" s="37" t="str">
        <f t="shared" si="19"/>
        <v/>
      </c>
      <c r="S228" s="37" t="str">
        <f t="shared" si="20"/>
        <v/>
      </c>
      <c r="T228" s="38" t="str">
        <f t="shared" si="21"/>
        <v/>
      </c>
      <c r="U228" s="37" t="str">
        <f t="shared" si="22"/>
        <v/>
      </c>
    </row>
    <row r="229" spans="2:21" ht="27">
      <c r="B229" s="282" t="s">
        <v>159</v>
      </c>
      <c r="C229" s="156" t="s">
        <v>498</v>
      </c>
      <c r="D229" s="157" t="s">
        <v>499</v>
      </c>
      <c r="E229" s="281" t="s">
        <v>500</v>
      </c>
      <c r="F229" s="151" t="s">
        <v>127</v>
      </c>
      <c r="G229" s="152">
        <v>0</v>
      </c>
      <c r="H229" s="153" t="s">
        <v>70</v>
      </c>
      <c r="I229" s="154">
        <v>1</v>
      </c>
      <c r="J229" s="154">
        <v>7</v>
      </c>
      <c r="K229" s="30" t="str">
        <f>IF(H229="","",IF($C$30="간이법","",FPR(H229,I229,J229)))</f>
        <v/>
      </c>
      <c r="L229" s="30">
        <f>IF(H229="","",IF($C$30="상세법",FPV(H229,K229),IF(H229="EI",4,IF(H229="EO",5.2,IF(H229="EQ",3.9,IF(H229="ILF",7.5,IF(H229="EIF",5.4)))))))</f>
        <v>3.9</v>
      </c>
      <c r="M229" s="30" t="str">
        <f t="shared" si="16"/>
        <v/>
      </c>
      <c r="N229" s="134"/>
      <c r="O229" s="29"/>
      <c r="P229" s="37" t="str">
        <f t="shared" si="17"/>
        <v/>
      </c>
      <c r="Q229" s="38" t="str">
        <f t="shared" si="18"/>
        <v/>
      </c>
      <c r="R229" s="37" t="str">
        <f t="shared" si="19"/>
        <v/>
      </c>
      <c r="S229" s="37" t="str">
        <f t="shared" si="20"/>
        <v/>
      </c>
      <c r="T229" s="38" t="str">
        <f t="shared" si="21"/>
        <v/>
      </c>
      <c r="U229" s="37" t="str">
        <f t="shared" si="22"/>
        <v/>
      </c>
    </row>
    <row r="230" spans="2:21" ht="27">
      <c r="B230" s="282" t="s">
        <v>159</v>
      </c>
      <c r="C230" s="156" t="s">
        <v>498</v>
      </c>
      <c r="D230" s="157" t="s">
        <v>501</v>
      </c>
      <c r="E230" s="281" t="s">
        <v>502</v>
      </c>
      <c r="F230" s="151" t="s">
        <v>127</v>
      </c>
      <c r="G230" s="152">
        <v>0</v>
      </c>
      <c r="H230" s="153" t="s">
        <v>70</v>
      </c>
      <c r="I230" s="154">
        <v>2</v>
      </c>
      <c r="J230" s="154">
        <v>14</v>
      </c>
      <c r="K230" s="30" t="str">
        <f>IF(H230="","",IF($C$30="간이법","",FPR(H230,I230,J230)))</f>
        <v/>
      </c>
      <c r="L230" s="30">
        <f>IF(H230="","",IF($C$30="상세법",FPV(H230,K230),IF(H230="EI",4,IF(H230="EO",5.2,IF(H230="EQ",3.9,IF(H230="ILF",7.5,IF(H230="EIF",5.4)))))))</f>
        <v>3.9</v>
      </c>
      <c r="M230" s="30" t="str">
        <f t="shared" si="16"/>
        <v/>
      </c>
      <c r="N230" s="134"/>
      <c r="O230" s="29"/>
      <c r="P230" s="37" t="str">
        <f t="shared" si="17"/>
        <v/>
      </c>
      <c r="Q230" s="38" t="str">
        <f t="shared" si="18"/>
        <v/>
      </c>
      <c r="R230" s="37" t="str">
        <f t="shared" si="19"/>
        <v/>
      </c>
      <c r="S230" s="37" t="str">
        <f t="shared" si="20"/>
        <v/>
      </c>
      <c r="T230" s="38" t="str">
        <f t="shared" si="21"/>
        <v/>
      </c>
      <c r="U230" s="37" t="str">
        <f t="shared" si="22"/>
        <v/>
      </c>
    </row>
    <row r="231" spans="2:21" ht="27">
      <c r="B231" s="282" t="s">
        <v>159</v>
      </c>
      <c r="C231" s="156" t="s">
        <v>498</v>
      </c>
      <c r="D231" s="157" t="s">
        <v>503</v>
      </c>
      <c r="E231" s="281" t="s">
        <v>504</v>
      </c>
      <c r="F231" s="151" t="s">
        <v>127</v>
      </c>
      <c r="G231" s="152">
        <v>0</v>
      </c>
      <c r="H231" s="153" t="s">
        <v>70</v>
      </c>
      <c r="I231" s="154">
        <v>1</v>
      </c>
      <c r="J231" s="154">
        <v>4</v>
      </c>
      <c r="K231" s="30" t="str">
        <f>IF(H231="","",IF($C$30="간이법","",FPR(H231,I231,J231)))</f>
        <v/>
      </c>
      <c r="L231" s="30">
        <f>IF(H231="","",IF($C$30="상세법",FPV(H231,K231),IF(H231="EI",4,IF(H231="EO",5.2,IF(H231="EQ",3.9,IF(H231="ILF",7.5,IF(H231="EIF",5.4)))))))</f>
        <v>3.9</v>
      </c>
      <c r="M231" s="30" t="str">
        <f t="shared" si="16"/>
        <v/>
      </c>
      <c r="N231" s="134"/>
      <c r="O231" s="29"/>
      <c r="P231" s="37" t="str">
        <f t="shared" si="17"/>
        <v/>
      </c>
      <c r="Q231" s="38" t="str">
        <f t="shared" si="18"/>
        <v/>
      </c>
      <c r="R231" s="37" t="str">
        <f t="shared" si="19"/>
        <v/>
      </c>
      <c r="S231" s="37" t="str">
        <f t="shared" si="20"/>
        <v/>
      </c>
      <c r="T231" s="38" t="str">
        <f t="shared" si="21"/>
        <v/>
      </c>
      <c r="U231" s="37" t="str">
        <f t="shared" si="22"/>
        <v/>
      </c>
    </row>
    <row r="232" spans="2:21" ht="27">
      <c r="B232" s="282" t="s">
        <v>159</v>
      </c>
      <c r="C232" s="156" t="s">
        <v>498</v>
      </c>
      <c r="D232" s="157" t="s">
        <v>505</v>
      </c>
      <c r="E232" s="281" t="s">
        <v>506</v>
      </c>
      <c r="F232" s="151" t="s">
        <v>127</v>
      </c>
      <c r="G232" s="152">
        <v>0</v>
      </c>
      <c r="H232" s="153" t="s">
        <v>70</v>
      </c>
      <c r="I232" s="154">
        <v>2</v>
      </c>
      <c r="J232" s="154">
        <v>8</v>
      </c>
      <c r="K232" s="30" t="str">
        <f>IF(H232="","",IF($C$30="간이법","",FPR(H232,I232,J232)))</f>
        <v/>
      </c>
      <c r="L232" s="30">
        <f>IF(H232="","",IF($C$30="상세법",FPV(H232,K232),IF(H232="EI",4,IF(H232="EO",5.2,IF(H232="EQ",3.9,IF(H232="ILF",7.5,IF(H232="EIF",5.4)))))))</f>
        <v>3.9</v>
      </c>
      <c r="M232" s="30" t="str">
        <f t="shared" si="16"/>
        <v/>
      </c>
      <c r="N232" s="134"/>
      <c r="O232" s="29"/>
      <c r="P232" s="37" t="str">
        <f t="shared" si="17"/>
        <v/>
      </c>
      <c r="Q232" s="38" t="str">
        <f t="shared" si="18"/>
        <v/>
      </c>
      <c r="R232" s="37" t="str">
        <f t="shared" si="19"/>
        <v/>
      </c>
      <c r="S232" s="37" t="str">
        <f t="shared" si="20"/>
        <v/>
      </c>
      <c r="T232" s="38" t="str">
        <f t="shared" si="21"/>
        <v/>
      </c>
      <c r="U232" s="37" t="str">
        <f t="shared" si="22"/>
        <v/>
      </c>
    </row>
    <row r="233" spans="2:21" ht="27">
      <c r="B233" s="282" t="s">
        <v>159</v>
      </c>
      <c r="C233" s="156" t="s">
        <v>498</v>
      </c>
      <c r="D233" s="157" t="s">
        <v>507</v>
      </c>
      <c r="E233" s="281" t="s">
        <v>508</v>
      </c>
      <c r="F233" s="151" t="s">
        <v>127</v>
      </c>
      <c r="G233" s="152">
        <v>0</v>
      </c>
      <c r="H233" s="153" t="s">
        <v>70</v>
      </c>
      <c r="I233" s="154">
        <v>1</v>
      </c>
      <c r="J233" s="154">
        <v>6</v>
      </c>
      <c r="K233" s="30" t="str">
        <f>IF(H233="","",IF($C$30="간이법","",FPR(H233,I233,J233)))</f>
        <v/>
      </c>
      <c r="L233" s="30">
        <f>IF(H233="","",IF($C$30="상세법",FPV(H233,K233),IF(H233="EI",4,IF(H233="EO",5.2,IF(H233="EQ",3.9,IF(H233="ILF",7.5,IF(H233="EIF",5.4)))))))</f>
        <v>3.9</v>
      </c>
      <c r="M233" s="30" t="str">
        <f t="shared" si="16"/>
        <v/>
      </c>
      <c r="N233" s="134"/>
      <c r="O233" s="29"/>
      <c r="P233" s="37" t="str">
        <f t="shared" si="17"/>
        <v/>
      </c>
      <c r="Q233" s="38" t="str">
        <f t="shared" si="18"/>
        <v/>
      </c>
      <c r="R233" s="37" t="str">
        <f t="shared" si="19"/>
        <v/>
      </c>
      <c r="S233" s="37" t="str">
        <f t="shared" si="20"/>
        <v/>
      </c>
      <c r="T233" s="38" t="str">
        <f t="shared" si="21"/>
        <v/>
      </c>
      <c r="U233" s="37" t="str">
        <f t="shared" si="22"/>
        <v/>
      </c>
    </row>
    <row r="234" spans="2:21" ht="27">
      <c r="B234" s="282" t="s">
        <v>159</v>
      </c>
      <c r="C234" s="156" t="s">
        <v>498</v>
      </c>
      <c r="D234" s="157" t="s">
        <v>509</v>
      </c>
      <c r="E234" s="281" t="s">
        <v>510</v>
      </c>
      <c r="F234" s="151" t="s">
        <v>127</v>
      </c>
      <c r="G234" s="152">
        <v>0</v>
      </c>
      <c r="H234" s="153" t="s">
        <v>8</v>
      </c>
      <c r="I234" s="154">
        <v>1</v>
      </c>
      <c r="J234" s="154">
        <v>6</v>
      </c>
      <c r="K234" s="30" t="str">
        <f>IF(H234="","",IF($C$30="간이법","",FPR(H234,I234,J234)))</f>
        <v/>
      </c>
      <c r="L234" s="30">
        <f>IF(H234="","",IF($C$30="상세법",FPV(H234,K234),IF(H234="EI",4,IF(H234="EO",5.2,IF(H234="EQ",3.9,IF(H234="ILF",7.5,IF(H234="EIF",5.4)))))))</f>
        <v>4</v>
      </c>
      <c r="M234" s="30" t="str">
        <f t="shared" si="16"/>
        <v/>
      </c>
      <c r="N234" s="134"/>
      <c r="O234" s="29"/>
      <c r="P234" s="37" t="str">
        <f t="shared" si="17"/>
        <v/>
      </c>
      <c r="Q234" s="38" t="str">
        <f t="shared" si="18"/>
        <v/>
      </c>
      <c r="R234" s="37" t="str">
        <f t="shared" si="19"/>
        <v/>
      </c>
      <c r="S234" s="37" t="str">
        <f t="shared" si="20"/>
        <v/>
      </c>
      <c r="T234" s="38" t="str">
        <f t="shared" si="21"/>
        <v/>
      </c>
      <c r="U234" s="37" t="str">
        <f t="shared" si="22"/>
        <v/>
      </c>
    </row>
    <row r="235" spans="2:21" ht="27">
      <c r="B235" s="282" t="s">
        <v>159</v>
      </c>
      <c r="C235" s="156" t="s">
        <v>498</v>
      </c>
      <c r="D235" s="157" t="s">
        <v>511</v>
      </c>
      <c r="E235" s="281" t="s">
        <v>512</v>
      </c>
      <c r="F235" s="151" t="s">
        <v>127</v>
      </c>
      <c r="G235" s="152">
        <v>0</v>
      </c>
      <c r="H235" s="153" t="s">
        <v>8</v>
      </c>
      <c r="I235" s="154">
        <v>1</v>
      </c>
      <c r="J235" s="154">
        <v>6</v>
      </c>
      <c r="K235" s="30" t="str">
        <f>IF(H235="","",IF($C$30="간이법","",FPR(H235,I235,J235)))</f>
        <v/>
      </c>
      <c r="L235" s="30">
        <f>IF(H235="","",IF($C$30="상세법",FPV(H235,K235),IF(H235="EI",4,IF(H235="EO",5.2,IF(H235="EQ",3.9,IF(H235="ILF",7.5,IF(H235="EIF",5.4)))))))</f>
        <v>4</v>
      </c>
      <c r="M235" s="30" t="str">
        <f t="shared" si="16"/>
        <v/>
      </c>
      <c r="N235" s="134"/>
      <c r="O235" s="29"/>
      <c r="P235" s="37" t="str">
        <f t="shared" si="17"/>
        <v/>
      </c>
      <c r="Q235" s="38" t="str">
        <f t="shared" si="18"/>
        <v/>
      </c>
      <c r="R235" s="37" t="str">
        <f t="shared" si="19"/>
        <v/>
      </c>
      <c r="S235" s="37" t="str">
        <f t="shared" si="20"/>
        <v/>
      </c>
      <c r="T235" s="38" t="str">
        <f t="shared" si="21"/>
        <v/>
      </c>
      <c r="U235" s="37" t="str">
        <f t="shared" si="22"/>
        <v/>
      </c>
    </row>
    <row r="236" spans="2:21" ht="27">
      <c r="B236" s="282" t="s">
        <v>159</v>
      </c>
      <c r="C236" s="156" t="s">
        <v>498</v>
      </c>
      <c r="D236" s="157" t="s">
        <v>513</v>
      </c>
      <c r="E236" s="281" t="s">
        <v>514</v>
      </c>
      <c r="F236" s="151" t="s">
        <v>127</v>
      </c>
      <c r="G236" s="152">
        <v>0</v>
      </c>
      <c r="H236" s="153" t="s">
        <v>8</v>
      </c>
      <c r="I236" s="154">
        <v>1</v>
      </c>
      <c r="J236" s="154">
        <v>6</v>
      </c>
      <c r="K236" s="30" t="str">
        <f>IF(H236="","",IF($C$30="간이법","",FPR(H236,I236,J236)))</f>
        <v/>
      </c>
      <c r="L236" s="30">
        <f>IF(H236="","",IF($C$30="상세법",FPV(H236,K236),IF(H236="EI",4,IF(H236="EO",5.2,IF(H236="EQ",3.9,IF(H236="ILF",7.5,IF(H236="EIF",5.4)))))))</f>
        <v>4</v>
      </c>
      <c r="M236" s="30" t="str">
        <f t="shared" si="16"/>
        <v/>
      </c>
      <c r="N236" s="134"/>
      <c r="O236" s="29"/>
      <c r="P236" s="37" t="str">
        <f t="shared" si="17"/>
        <v/>
      </c>
      <c r="Q236" s="38" t="str">
        <f t="shared" si="18"/>
        <v/>
      </c>
      <c r="R236" s="37" t="str">
        <f t="shared" si="19"/>
        <v/>
      </c>
      <c r="S236" s="37" t="str">
        <f t="shared" si="20"/>
        <v/>
      </c>
      <c r="T236" s="38" t="str">
        <f t="shared" si="21"/>
        <v/>
      </c>
      <c r="U236" s="37" t="str">
        <f t="shared" si="22"/>
        <v/>
      </c>
    </row>
    <row r="237" spans="2:21" ht="27">
      <c r="B237" s="282" t="s">
        <v>159</v>
      </c>
      <c r="C237" s="156" t="s">
        <v>498</v>
      </c>
      <c r="D237" s="157" t="s">
        <v>515</v>
      </c>
      <c r="E237" s="281" t="s">
        <v>516</v>
      </c>
      <c r="F237" s="151" t="s">
        <v>127</v>
      </c>
      <c r="G237" s="152">
        <v>0</v>
      </c>
      <c r="H237" s="153" t="s">
        <v>70</v>
      </c>
      <c r="I237" s="154">
        <v>2</v>
      </c>
      <c r="J237" s="154">
        <v>9</v>
      </c>
      <c r="K237" s="30" t="str">
        <f>IF(H237="","",IF($C$30="간이법","",FPR(H237,I237,J237)))</f>
        <v/>
      </c>
      <c r="L237" s="30">
        <f>IF(H237="","",IF($C$30="상세법",FPV(H237,K237),IF(H237="EI",4,IF(H237="EO",5.2,IF(H237="EQ",3.9,IF(H237="ILF",7.5,IF(H237="EIF",5.4)))))))</f>
        <v>3.9</v>
      </c>
      <c r="M237" s="30" t="str">
        <f t="shared" si="16"/>
        <v/>
      </c>
      <c r="N237" s="134"/>
      <c r="O237" s="29"/>
      <c r="P237" s="37" t="str">
        <f t="shared" si="17"/>
        <v/>
      </c>
      <c r="Q237" s="38" t="str">
        <f t="shared" si="18"/>
        <v/>
      </c>
      <c r="R237" s="37" t="str">
        <f t="shared" si="19"/>
        <v/>
      </c>
      <c r="S237" s="37" t="str">
        <f t="shared" si="20"/>
        <v/>
      </c>
      <c r="T237" s="38" t="str">
        <f t="shared" si="21"/>
        <v/>
      </c>
      <c r="U237" s="37" t="str">
        <f t="shared" si="22"/>
        <v/>
      </c>
    </row>
    <row r="238" spans="2:21" ht="27">
      <c r="B238" s="282" t="s">
        <v>159</v>
      </c>
      <c r="C238" s="156" t="s">
        <v>498</v>
      </c>
      <c r="D238" s="157" t="s">
        <v>517</v>
      </c>
      <c r="E238" s="281" t="s">
        <v>518</v>
      </c>
      <c r="F238" s="151" t="s">
        <v>127</v>
      </c>
      <c r="G238" s="152">
        <v>0</v>
      </c>
      <c r="H238" s="153" t="s">
        <v>8</v>
      </c>
      <c r="I238" s="154">
        <v>1</v>
      </c>
      <c r="J238" s="154">
        <v>9</v>
      </c>
      <c r="K238" s="30" t="str">
        <f>IF(H238="","",IF($C$30="간이법","",FPR(H238,I238,J238)))</f>
        <v/>
      </c>
      <c r="L238" s="30">
        <f>IF(H238="","",IF($C$30="상세법",FPV(H238,K238),IF(H238="EI",4,IF(H238="EO",5.2,IF(H238="EQ",3.9,IF(H238="ILF",7.5,IF(H238="EIF",5.4)))))))</f>
        <v>4</v>
      </c>
      <c r="M238" s="30" t="str">
        <f t="shared" si="16"/>
        <v/>
      </c>
      <c r="N238" s="134"/>
      <c r="O238" s="29"/>
      <c r="P238" s="37" t="str">
        <f t="shared" si="17"/>
        <v/>
      </c>
      <c r="Q238" s="38" t="str">
        <f t="shared" si="18"/>
        <v/>
      </c>
      <c r="R238" s="37" t="str">
        <f t="shared" si="19"/>
        <v/>
      </c>
      <c r="S238" s="37" t="str">
        <f t="shared" si="20"/>
        <v/>
      </c>
      <c r="T238" s="38" t="str">
        <f t="shared" si="21"/>
        <v/>
      </c>
      <c r="U238" s="37" t="str">
        <f t="shared" si="22"/>
        <v/>
      </c>
    </row>
    <row r="239" spans="2:21" ht="27">
      <c r="B239" s="282" t="s">
        <v>159</v>
      </c>
      <c r="C239" s="156" t="s">
        <v>498</v>
      </c>
      <c r="D239" s="157" t="s">
        <v>519</v>
      </c>
      <c r="E239" s="281" t="s">
        <v>520</v>
      </c>
      <c r="F239" s="151" t="s">
        <v>127</v>
      </c>
      <c r="G239" s="152">
        <v>0</v>
      </c>
      <c r="H239" s="153" t="s">
        <v>8</v>
      </c>
      <c r="I239" s="154">
        <v>1</v>
      </c>
      <c r="J239" s="154">
        <v>7</v>
      </c>
      <c r="K239" s="30" t="str">
        <f>IF(H239="","",IF($C$30="간이법","",FPR(H239,I239,J239)))</f>
        <v/>
      </c>
      <c r="L239" s="30">
        <f>IF(H239="","",IF($C$30="상세법",FPV(H239,K239),IF(H239="EI",4,IF(H239="EO",5.2,IF(H239="EQ",3.9,IF(H239="ILF",7.5,IF(H239="EIF",5.4)))))))</f>
        <v>4</v>
      </c>
      <c r="M239" s="30" t="str">
        <f t="shared" si="16"/>
        <v/>
      </c>
      <c r="N239" s="134"/>
      <c r="O239" s="29"/>
      <c r="P239" s="37" t="str">
        <f t="shared" si="17"/>
        <v/>
      </c>
      <c r="Q239" s="38" t="str">
        <f t="shared" si="18"/>
        <v/>
      </c>
      <c r="R239" s="37" t="str">
        <f t="shared" si="19"/>
        <v/>
      </c>
      <c r="S239" s="37" t="str">
        <f t="shared" si="20"/>
        <v/>
      </c>
      <c r="T239" s="38" t="str">
        <f t="shared" si="21"/>
        <v/>
      </c>
      <c r="U239" s="37" t="str">
        <f t="shared" si="22"/>
        <v/>
      </c>
    </row>
    <row r="240" spans="2:21" ht="27">
      <c r="B240" s="282" t="s">
        <v>159</v>
      </c>
      <c r="C240" s="156" t="s">
        <v>498</v>
      </c>
      <c r="D240" s="157" t="s">
        <v>521</v>
      </c>
      <c r="E240" s="281" t="s">
        <v>522</v>
      </c>
      <c r="F240" s="151" t="s">
        <v>127</v>
      </c>
      <c r="G240" s="152">
        <v>0</v>
      </c>
      <c r="H240" s="153" t="s">
        <v>8</v>
      </c>
      <c r="I240" s="154">
        <v>1</v>
      </c>
      <c r="J240" s="154">
        <v>7</v>
      </c>
      <c r="K240" s="30" t="str">
        <f>IF(H240="","",IF($C$30="간이법","",FPR(H240,I240,J240)))</f>
        <v/>
      </c>
      <c r="L240" s="30">
        <f>IF(H240="","",IF($C$30="상세법",FPV(H240,K240),IF(H240="EI",4,IF(H240="EO",5.2,IF(H240="EQ",3.9,IF(H240="ILF",7.5,IF(H240="EIF",5.4)))))))</f>
        <v>4</v>
      </c>
      <c r="M240" s="30" t="str">
        <f t="shared" si="16"/>
        <v/>
      </c>
      <c r="N240" s="134"/>
      <c r="O240" s="29"/>
      <c r="P240" s="37" t="str">
        <f t="shared" si="17"/>
        <v/>
      </c>
      <c r="Q240" s="38" t="str">
        <f t="shared" si="18"/>
        <v/>
      </c>
      <c r="R240" s="37" t="str">
        <f t="shared" si="19"/>
        <v/>
      </c>
      <c r="S240" s="37" t="str">
        <f t="shared" si="20"/>
        <v/>
      </c>
      <c r="T240" s="38" t="str">
        <f t="shared" si="21"/>
        <v/>
      </c>
      <c r="U240" s="37" t="str">
        <f t="shared" si="22"/>
        <v/>
      </c>
    </row>
    <row r="241" spans="2:21" ht="27">
      <c r="B241" s="282" t="s">
        <v>159</v>
      </c>
      <c r="C241" s="156" t="s">
        <v>498</v>
      </c>
      <c r="D241" s="157" t="s">
        <v>523</v>
      </c>
      <c r="E241" s="281" t="s">
        <v>524</v>
      </c>
      <c r="F241" s="151" t="s">
        <v>127</v>
      </c>
      <c r="G241" s="152">
        <v>0</v>
      </c>
      <c r="H241" s="153" t="s">
        <v>70</v>
      </c>
      <c r="I241" s="154">
        <v>3</v>
      </c>
      <c r="J241" s="154">
        <v>14</v>
      </c>
      <c r="K241" s="30" t="str">
        <f>IF(H241="","",IF($C$30="간이법","",FPR(H241,I241,J241)))</f>
        <v/>
      </c>
      <c r="L241" s="30">
        <f>IF(H241="","",IF($C$30="상세법",FPV(H241,K241),IF(H241="EI",4,IF(H241="EO",5.2,IF(H241="EQ",3.9,IF(H241="ILF",7.5,IF(H241="EIF",5.4)))))))</f>
        <v>3.9</v>
      </c>
      <c r="M241" s="30" t="str">
        <f t="shared" si="16"/>
        <v/>
      </c>
      <c r="N241" s="134"/>
      <c r="O241" s="29"/>
      <c r="P241" s="37" t="str">
        <f t="shared" si="17"/>
        <v/>
      </c>
      <c r="Q241" s="38" t="str">
        <f t="shared" si="18"/>
        <v/>
      </c>
      <c r="R241" s="37" t="str">
        <f t="shared" si="19"/>
        <v/>
      </c>
      <c r="S241" s="37" t="str">
        <f t="shared" si="20"/>
        <v/>
      </c>
      <c r="T241" s="38" t="str">
        <f t="shared" si="21"/>
        <v/>
      </c>
      <c r="U241" s="37" t="str">
        <f t="shared" si="22"/>
        <v/>
      </c>
    </row>
    <row r="242" spans="2:21" ht="27">
      <c r="B242" s="282" t="s">
        <v>159</v>
      </c>
      <c r="C242" s="156" t="s">
        <v>498</v>
      </c>
      <c r="D242" s="157" t="s">
        <v>525</v>
      </c>
      <c r="E242" s="281" t="s">
        <v>526</v>
      </c>
      <c r="F242" s="151" t="s">
        <v>127</v>
      </c>
      <c r="G242" s="152">
        <v>0</v>
      </c>
      <c r="H242" s="153" t="s">
        <v>8</v>
      </c>
      <c r="I242" s="154">
        <v>1</v>
      </c>
      <c r="J242" s="154">
        <v>4</v>
      </c>
      <c r="K242" s="30" t="str">
        <f>IF(H242="","",IF($C$30="간이법","",FPR(H242,I242,J242)))</f>
        <v/>
      </c>
      <c r="L242" s="30">
        <f>IF(H242="","",IF($C$30="상세법",FPV(H242,K242),IF(H242="EI",4,IF(H242="EO",5.2,IF(H242="EQ",3.9,IF(H242="ILF",7.5,IF(H242="EIF",5.4)))))))</f>
        <v>4</v>
      </c>
      <c r="M242" s="30" t="str">
        <f t="shared" si="16"/>
        <v/>
      </c>
      <c r="N242" s="134"/>
      <c r="O242" s="29"/>
      <c r="P242" s="37" t="str">
        <f t="shared" si="17"/>
        <v/>
      </c>
      <c r="Q242" s="38" t="str">
        <f t="shared" si="18"/>
        <v/>
      </c>
      <c r="R242" s="37" t="str">
        <f t="shared" si="19"/>
        <v/>
      </c>
      <c r="S242" s="37" t="str">
        <f t="shared" si="20"/>
        <v/>
      </c>
      <c r="T242" s="38" t="str">
        <f t="shared" si="21"/>
        <v/>
      </c>
      <c r="U242" s="37" t="str">
        <f t="shared" si="22"/>
        <v/>
      </c>
    </row>
    <row r="243" spans="2:21" ht="27">
      <c r="B243" s="282" t="s">
        <v>159</v>
      </c>
      <c r="C243" s="156" t="s">
        <v>498</v>
      </c>
      <c r="D243" s="157" t="s">
        <v>527</v>
      </c>
      <c r="E243" s="281" t="s">
        <v>528</v>
      </c>
      <c r="F243" s="151" t="s">
        <v>127</v>
      </c>
      <c r="G243" s="152">
        <v>0</v>
      </c>
      <c r="H243" s="153" t="s">
        <v>70</v>
      </c>
      <c r="I243" s="154">
        <v>3</v>
      </c>
      <c r="J243" s="154">
        <v>13</v>
      </c>
      <c r="K243" s="30" t="str">
        <f>IF(H243="","",IF($C$30="간이법","",FPR(H243,I243,J243)))</f>
        <v/>
      </c>
      <c r="L243" s="30">
        <f>IF(H243="","",IF($C$30="상세법",FPV(H243,K243),IF(H243="EI",4,IF(H243="EO",5.2,IF(H243="EQ",3.9,IF(H243="ILF",7.5,IF(H243="EIF",5.4)))))))</f>
        <v>3.9</v>
      </c>
      <c r="M243" s="30" t="str">
        <f t="shared" si="16"/>
        <v/>
      </c>
      <c r="N243" s="134"/>
      <c r="O243" s="29"/>
      <c r="P243" s="37" t="str">
        <f t="shared" si="17"/>
        <v/>
      </c>
      <c r="Q243" s="38" t="str">
        <f t="shared" si="18"/>
        <v/>
      </c>
      <c r="R243" s="37" t="str">
        <f t="shared" si="19"/>
        <v/>
      </c>
      <c r="S243" s="37" t="str">
        <f t="shared" si="20"/>
        <v/>
      </c>
      <c r="T243" s="38" t="str">
        <f t="shared" si="21"/>
        <v/>
      </c>
      <c r="U243" s="37" t="str">
        <f t="shared" si="22"/>
        <v/>
      </c>
    </row>
    <row r="244" spans="2:21" ht="27">
      <c r="B244" s="282" t="s">
        <v>159</v>
      </c>
      <c r="C244" s="156" t="s">
        <v>498</v>
      </c>
      <c r="D244" s="157" t="s">
        <v>529</v>
      </c>
      <c r="E244" s="281" t="s">
        <v>530</v>
      </c>
      <c r="F244" s="151" t="s">
        <v>127</v>
      </c>
      <c r="G244" s="152">
        <v>0</v>
      </c>
      <c r="H244" s="153" t="s">
        <v>8</v>
      </c>
      <c r="I244" s="154">
        <v>1</v>
      </c>
      <c r="J244" s="154">
        <v>4</v>
      </c>
      <c r="K244" s="30" t="str">
        <f>IF(H244="","",IF($C$30="간이법","",FPR(H244,I244,J244)))</f>
        <v/>
      </c>
      <c r="L244" s="30">
        <f>IF(H244="","",IF($C$30="상세법",FPV(H244,K244),IF(H244="EI",4,IF(H244="EO",5.2,IF(H244="EQ",3.9,IF(H244="ILF",7.5,IF(H244="EIF",5.4)))))))</f>
        <v>4</v>
      </c>
      <c r="M244" s="30" t="str">
        <f t="shared" si="16"/>
        <v/>
      </c>
      <c r="N244" s="134"/>
      <c r="O244" s="29"/>
      <c r="P244" s="37" t="str">
        <f t="shared" si="17"/>
        <v/>
      </c>
      <c r="Q244" s="38" t="str">
        <f t="shared" si="18"/>
        <v/>
      </c>
      <c r="R244" s="37" t="str">
        <f t="shared" si="19"/>
        <v/>
      </c>
      <c r="S244" s="37" t="str">
        <f t="shared" si="20"/>
        <v/>
      </c>
      <c r="T244" s="38" t="str">
        <f t="shared" si="21"/>
        <v/>
      </c>
      <c r="U244" s="37" t="str">
        <f t="shared" si="22"/>
        <v/>
      </c>
    </row>
    <row r="245" spans="2:21" ht="27">
      <c r="B245" s="282" t="s">
        <v>159</v>
      </c>
      <c r="C245" s="156" t="s">
        <v>498</v>
      </c>
      <c r="D245" s="157" t="s">
        <v>531</v>
      </c>
      <c r="E245" s="281" t="s">
        <v>532</v>
      </c>
      <c r="F245" s="151" t="s">
        <v>127</v>
      </c>
      <c r="G245" s="152">
        <v>0</v>
      </c>
      <c r="H245" s="153" t="s">
        <v>8</v>
      </c>
      <c r="I245" s="154">
        <v>1</v>
      </c>
      <c r="J245" s="154">
        <v>5</v>
      </c>
      <c r="K245" s="30" t="str">
        <f>IF(H245="","",IF($C$30="간이법","",FPR(H245,I245,J245)))</f>
        <v/>
      </c>
      <c r="L245" s="30">
        <f>IF(H245="","",IF($C$30="상세법",FPV(H245,K245),IF(H245="EI",4,IF(H245="EO",5.2,IF(H245="EQ",3.9,IF(H245="ILF",7.5,IF(H245="EIF",5.4)))))))</f>
        <v>4</v>
      </c>
      <c r="M245" s="30" t="str">
        <f t="shared" si="16"/>
        <v/>
      </c>
      <c r="N245" s="134"/>
      <c r="O245" s="29"/>
      <c r="P245" s="37" t="str">
        <f t="shared" si="17"/>
        <v/>
      </c>
      <c r="Q245" s="38" t="str">
        <f t="shared" si="18"/>
        <v/>
      </c>
      <c r="R245" s="37" t="str">
        <f t="shared" si="19"/>
        <v/>
      </c>
      <c r="S245" s="37" t="str">
        <f t="shared" si="20"/>
        <v/>
      </c>
      <c r="T245" s="38" t="str">
        <f t="shared" si="21"/>
        <v/>
      </c>
      <c r="U245" s="37" t="str">
        <f t="shared" si="22"/>
        <v/>
      </c>
    </row>
    <row r="246" spans="2:21" ht="27">
      <c r="B246" s="282" t="s">
        <v>159</v>
      </c>
      <c r="C246" s="156" t="s">
        <v>498</v>
      </c>
      <c r="D246" s="157" t="s">
        <v>533</v>
      </c>
      <c r="E246" s="281" t="s">
        <v>534</v>
      </c>
      <c r="F246" s="151" t="s">
        <v>127</v>
      </c>
      <c r="G246" s="152">
        <v>0</v>
      </c>
      <c r="H246" s="153" t="s">
        <v>70</v>
      </c>
      <c r="I246" s="154">
        <v>2</v>
      </c>
      <c r="J246" s="154">
        <v>11</v>
      </c>
      <c r="K246" s="30" t="str">
        <f>IF(H246="","",IF($C$30="간이법","",FPR(H246,I246,J246)))</f>
        <v/>
      </c>
      <c r="L246" s="30">
        <f>IF(H246="","",IF($C$30="상세법",FPV(H246,K246),IF(H246="EI",4,IF(H246="EO",5.2,IF(H246="EQ",3.9,IF(H246="ILF",7.5,IF(H246="EIF",5.4)))))))</f>
        <v>3.9</v>
      </c>
      <c r="M246" s="30" t="str">
        <f t="shared" si="16"/>
        <v/>
      </c>
      <c r="N246" s="134"/>
      <c r="O246" s="29"/>
      <c r="P246" s="37" t="str">
        <f t="shared" si="17"/>
        <v/>
      </c>
      <c r="Q246" s="38" t="str">
        <f t="shared" si="18"/>
        <v/>
      </c>
      <c r="R246" s="37" t="str">
        <f t="shared" si="19"/>
        <v/>
      </c>
      <c r="S246" s="37" t="str">
        <f t="shared" si="20"/>
        <v/>
      </c>
      <c r="T246" s="38" t="str">
        <f t="shared" si="21"/>
        <v/>
      </c>
      <c r="U246" s="37" t="str">
        <f t="shared" si="22"/>
        <v/>
      </c>
    </row>
    <row r="247" spans="2:21" ht="27">
      <c r="B247" s="282" t="s">
        <v>159</v>
      </c>
      <c r="C247" s="156" t="s">
        <v>498</v>
      </c>
      <c r="D247" s="157" t="s">
        <v>535</v>
      </c>
      <c r="E247" s="281" t="s">
        <v>536</v>
      </c>
      <c r="F247" s="151" t="s">
        <v>127</v>
      </c>
      <c r="G247" s="152">
        <v>0</v>
      </c>
      <c r="H247" s="153" t="s">
        <v>70</v>
      </c>
      <c r="I247" s="154">
        <v>2</v>
      </c>
      <c r="J247" s="154">
        <v>12</v>
      </c>
      <c r="K247" s="30" t="str">
        <f>IF(H247="","",IF($C$30="간이법","",FPR(H247,I247,J247)))</f>
        <v/>
      </c>
      <c r="L247" s="30">
        <f>IF(H247="","",IF($C$30="상세법",FPV(H247,K247),IF(H247="EI",4,IF(H247="EO",5.2,IF(H247="EQ",3.9,IF(H247="ILF",7.5,IF(H247="EIF",5.4)))))))</f>
        <v>3.9</v>
      </c>
      <c r="M247" s="30" t="str">
        <f t="shared" si="16"/>
        <v/>
      </c>
      <c r="N247" s="134"/>
      <c r="O247" s="29"/>
      <c r="P247" s="37" t="str">
        <f t="shared" si="17"/>
        <v/>
      </c>
      <c r="Q247" s="38" t="str">
        <f t="shared" si="18"/>
        <v/>
      </c>
      <c r="R247" s="37" t="str">
        <f t="shared" si="19"/>
        <v/>
      </c>
      <c r="S247" s="37" t="str">
        <f t="shared" si="20"/>
        <v/>
      </c>
      <c r="T247" s="38" t="str">
        <f t="shared" si="21"/>
        <v/>
      </c>
      <c r="U247" s="37" t="str">
        <f t="shared" si="22"/>
        <v/>
      </c>
    </row>
    <row r="248" spans="2:21" ht="27">
      <c r="B248" s="282" t="s">
        <v>159</v>
      </c>
      <c r="C248" s="156" t="s">
        <v>498</v>
      </c>
      <c r="D248" s="157" t="s">
        <v>537</v>
      </c>
      <c r="E248" s="281" t="s">
        <v>538</v>
      </c>
      <c r="F248" s="151" t="s">
        <v>127</v>
      </c>
      <c r="G248" s="152">
        <v>0</v>
      </c>
      <c r="H248" s="153" t="s">
        <v>70</v>
      </c>
      <c r="I248" s="154">
        <v>2</v>
      </c>
      <c r="J248" s="154">
        <v>20</v>
      </c>
      <c r="K248" s="30" t="str">
        <f>IF(H248="","",IF($C$30="간이법","",FPR(H248,I248,J248)))</f>
        <v/>
      </c>
      <c r="L248" s="30">
        <f>IF(H248="","",IF($C$30="상세법",FPV(H248,K248),IF(H248="EI",4,IF(H248="EO",5.2,IF(H248="EQ",3.9,IF(H248="ILF",7.5,IF(H248="EIF",5.4)))))))</f>
        <v>3.9</v>
      </c>
      <c r="M248" s="30" t="str">
        <f t="shared" si="16"/>
        <v/>
      </c>
      <c r="N248" s="134"/>
      <c r="O248" s="29"/>
      <c r="P248" s="37" t="str">
        <f t="shared" si="17"/>
        <v/>
      </c>
      <c r="Q248" s="38" t="str">
        <f t="shared" si="18"/>
        <v/>
      </c>
      <c r="R248" s="37" t="str">
        <f t="shared" si="19"/>
        <v/>
      </c>
      <c r="S248" s="37" t="str">
        <f t="shared" si="20"/>
        <v/>
      </c>
      <c r="T248" s="38" t="str">
        <f t="shared" si="21"/>
        <v/>
      </c>
      <c r="U248" s="37" t="str">
        <f t="shared" si="22"/>
        <v/>
      </c>
    </row>
    <row r="249" spans="2:21" ht="27">
      <c r="B249" s="282" t="s">
        <v>159</v>
      </c>
      <c r="C249" s="156" t="s">
        <v>498</v>
      </c>
      <c r="D249" s="157" t="s">
        <v>539</v>
      </c>
      <c r="E249" s="281" t="s">
        <v>540</v>
      </c>
      <c r="F249" s="151" t="s">
        <v>127</v>
      </c>
      <c r="G249" s="152">
        <v>0</v>
      </c>
      <c r="H249" s="153" t="s">
        <v>8</v>
      </c>
      <c r="I249" s="154">
        <v>1</v>
      </c>
      <c r="J249" s="154">
        <v>12</v>
      </c>
      <c r="K249" s="30" t="str">
        <f>IF(H249="","",IF($C$30="간이법","",FPR(H249,I249,J249)))</f>
        <v/>
      </c>
      <c r="L249" s="30">
        <f>IF(H249="","",IF($C$30="상세법",FPV(H249,K249),IF(H249="EI",4,IF(H249="EO",5.2,IF(H249="EQ",3.9,IF(H249="ILF",7.5,IF(H249="EIF",5.4)))))))</f>
        <v>4</v>
      </c>
      <c r="M249" s="30" t="str">
        <f t="shared" si="16"/>
        <v/>
      </c>
      <c r="N249" s="134"/>
      <c r="O249" s="29"/>
      <c r="P249" s="37" t="str">
        <f t="shared" si="17"/>
        <v/>
      </c>
      <c r="Q249" s="38" t="str">
        <f t="shared" si="18"/>
        <v/>
      </c>
      <c r="R249" s="37" t="str">
        <f t="shared" si="19"/>
        <v/>
      </c>
      <c r="S249" s="37" t="str">
        <f t="shared" si="20"/>
        <v/>
      </c>
      <c r="T249" s="38" t="str">
        <f t="shared" si="21"/>
        <v/>
      </c>
      <c r="U249" s="37" t="str">
        <f t="shared" si="22"/>
        <v/>
      </c>
    </row>
    <row r="250" spans="2:21" ht="27">
      <c r="B250" s="282" t="s">
        <v>159</v>
      </c>
      <c r="C250" s="156" t="s">
        <v>498</v>
      </c>
      <c r="D250" s="157" t="s">
        <v>541</v>
      </c>
      <c r="E250" s="281" t="s">
        <v>542</v>
      </c>
      <c r="F250" s="151" t="s">
        <v>127</v>
      </c>
      <c r="G250" s="152">
        <v>0</v>
      </c>
      <c r="H250" s="153" t="s">
        <v>8</v>
      </c>
      <c r="I250" s="154">
        <v>2</v>
      </c>
      <c r="J250" s="154">
        <v>8</v>
      </c>
      <c r="K250" s="30" t="str">
        <f>IF(H250="","",IF($C$30="간이법","",FPR(H250,I250,J250)))</f>
        <v/>
      </c>
      <c r="L250" s="30">
        <f>IF(H250="","",IF($C$30="상세법",FPV(H250,K250),IF(H250="EI",4,IF(H250="EO",5.2,IF(H250="EQ",3.9,IF(H250="ILF",7.5,IF(H250="EIF",5.4)))))))</f>
        <v>4</v>
      </c>
      <c r="M250" s="30" t="str">
        <f t="shared" si="16"/>
        <v/>
      </c>
      <c r="N250" s="134"/>
      <c r="O250" s="29"/>
      <c r="P250" s="37" t="str">
        <f t="shared" si="17"/>
        <v/>
      </c>
      <c r="Q250" s="38" t="str">
        <f t="shared" si="18"/>
        <v/>
      </c>
      <c r="R250" s="37" t="str">
        <f t="shared" si="19"/>
        <v/>
      </c>
      <c r="S250" s="37" t="str">
        <f t="shared" si="20"/>
        <v/>
      </c>
      <c r="T250" s="38" t="str">
        <f t="shared" si="21"/>
        <v/>
      </c>
      <c r="U250" s="37" t="str">
        <f t="shared" si="22"/>
        <v/>
      </c>
    </row>
    <row r="251" spans="2:21" ht="27">
      <c r="B251" s="282" t="s">
        <v>159</v>
      </c>
      <c r="C251" s="156" t="s">
        <v>498</v>
      </c>
      <c r="D251" s="157" t="s">
        <v>543</v>
      </c>
      <c r="E251" s="281" t="s">
        <v>544</v>
      </c>
      <c r="F251" s="151" t="s">
        <v>127</v>
      </c>
      <c r="G251" s="152">
        <v>0</v>
      </c>
      <c r="H251" s="153" t="s">
        <v>70</v>
      </c>
      <c r="I251" s="154">
        <v>2</v>
      </c>
      <c r="J251" s="154">
        <v>10</v>
      </c>
      <c r="K251" s="30" t="str">
        <f>IF(H251="","",IF($C$30="간이법","",FPR(H251,I251,J251)))</f>
        <v/>
      </c>
      <c r="L251" s="30">
        <f>IF(H251="","",IF($C$30="상세법",FPV(H251,K251),IF(H251="EI",4,IF(H251="EO",5.2,IF(H251="EQ",3.9,IF(H251="ILF",7.5,IF(H251="EIF",5.4)))))))</f>
        <v>3.9</v>
      </c>
      <c r="M251" s="30" t="str">
        <f t="shared" si="16"/>
        <v/>
      </c>
      <c r="N251" s="134"/>
      <c r="O251" s="29"/>
      <c r="P251" s="37" t="str">
        <f t="shared" si="17"/>
        <v/>
      </c>
      <c r="Q251" s="38" t="str">
        <f t="shared" si="18"/>
        <v/>
      </c>
      <c r="R251" s="37" t="str">
        <f t="shared" si="19"/>
        <v/>
      </c>
      <c r="S251" s="37" t="str">
        <f t="shared" si="20"/>
        <v/>
      </c>
      <c r="T251" s="38" t="str">
        <f t="shared" si="21"/>
        <v/>
      </c>
      <c r="U251" s="37" t="str">
        <f t="shared" si="22"/>
        <v/>
      </c>
    </row>
    <row r="252" spans="2:21" ht="27">
      <c r="B252" s="282" t="s">
        <v>159</v>
      </c>
      <c r="C252" s="156" t="s">
        <v>498</v>
      </c>
      <c r="D252" s="157" t="s">
        <v>545</v>
      </c>
      <c r="E252" s="281" t="s">
        <v>546</v>
      </c>
      <c r="F252" s="151" t="s">
        <v>127</v>
      </c>
      <c r="G252" s="152">
        <v>0</v>
      </c>
      <c r="H252" s="153" t="s">
        <v>70</v>
      </c>
      <c r="I252" s="154">
        <v>1</v>
      </c>
      <c r="J252" s="154">
        <v>4</v>
      </c>
      <c r="K252" s="30" t="str">
        <f>IF(H252="","",IF($C$30="간이법","",FPR(H252,I252,J252)))</f>
        <v/>
      </c>
      <c r="L252" s="30">
        <f>IF(H252="","",IF($C$30="상세법",FPV(H252,K252),IF(H252="EI",4,IF(H252="EO",5.2,IF(H252="EQ",3.9,IF(H252="ILF",7.5,IF(H252="EIF",5.4)))))))</f>
        <v>3.9</v>
      </c>
      <c r="M252" s="30" t="str">
        <f t="shared" ref="M252:M315" si="23">IF(OR(G252="",$E$36="(선택)",$E$40="(선택)",$E$41="(선택)",F252="신규 개발",F252="수정 없이 재사용"),"",(IF(F252="수정 후 재사용",IF($E$50&lt;=0.5,L252*($E$36+$E$50*100*(1+0.02*($E$40*$E$41)))/100,L252*($E$36+$E$50*100+($E$40*$E$41))/100))))</f>
        <v/>
      </c>
      <c r="N252" s="134"/>
      <c r="O252" s="29"/>
      <c r="P252" s="37" t="str">
        <f t="shared" ref="P252:P315" si="24">IF(F252="수정 후 재사용",IF(H252="ILF",G252,IF(H252="EIF",G252,"")),"")</f>
        <v/>
      </c>
      <c r="Q252" s="38" t="str">
        <f t="shared" ref="Q252:Q315" si="25">IF(P252&lt;&gt;"",IF(H252="ILF", L252/$E$46,IF(H252="EIF", L252/$E$46,"")),"")</f>
        <v/>
      </c>
      <c r="R252" s="37" t="str">
        <f t="shared" ref="R252:R315" si="26">IF(P252&lt;&gt;"",P252*Q252,"")</f>
        <v/>
      </c>
      <c r="S252" s="37" t="str">
        <f t="shared" ref="S252:S315" si="27">IF(F252="수정 후 재사용",IF(H252="EI",G252,IF(H252="EO",G252,IF(H252="EQ",G252,""))),"")</f>
        <v/>
      </c>
      <c r="T252" s="38" t="str">
        <f t="shared" ref="T252:T315" si="28">IF(S252&lt;&gt;"",IF(H252="EI",L252/$E$47,IF(H252="EO",L252/$E$47,IF(H252="EQ",L252/$E$47,""))),"")</f>
        <v/>
      </c>
      <c r="U252" s="37" t="str">
        <f t="shared" ref="U252:U315" si="29">IF(S252&lt;&gt;"",S252*T252,"")</f>
        <v/>
      </c>
    </row>
    <row r="253" spans="2:21" ht="27">
      <c r="B253" s="282" t="s">
        <v>159</v>
      </c>
      <c r="C253" s="156" t="s">
        <v>498</v>
      </c>
      <c r="D253" s="157" t="s">
        <v>547</v>
      </c>
      <c r="E253" s="281" t="s">
        <v>548</v>
      </c>
      <c r="F253" s="151" t="s">
        <v>127</v>
      </c>
      <c r="G253" s="152">
        <v>0</v>
      </c>
      <c r="H253" s="153" t="s">
        <v>70</v>
      </c>
      <c r="I253" s="154">
        <v>1</v>
      </c>
      <c r="J253" s="154">
        <v>7</v>
      </c>
      <c r="K253" s="30" t="str">
        <f>IF(H253="","",IF($C$30="간이법","",FPR(H253,I253,J253)))</f>
        <v/>
      </c>
      <c r="L253" s="30">
        <f>IF(H253="","",IF($C$30="상세법",FPV(H253,K253),IF(H253="EI",4,IF(H253="EO",5.2,IF(H253="EQ",3.9,IF(H253="ILF",7.5,IF(H253="EIF",5.4)))))))</f>
        <v>3.9</v>
      </c>
      <c r="M253" s="30" t="str">
        <f t="shared" si="23"/>
        <v/>
      </c>
      <c r="N253" s="134"/>
      <c r="O253" s="29"/>
      <c r="P253" s="37" t="str">
        <f t="shared" si="24"/>
        <v/>
      </c>
      <c r="Q253" s="38" t="str">
        <f t="shared" si="25"/>
        <v/>
      </c>
      <c r="R253" s="37" t="str">
        <f t="shared" si="26"/>
        <v/>
      </c>
      <c r="S253" s="37" t="str">
        <f t="shared" si="27"/>
        <v/>
      </c>
      <c r="T253" s="38" t="str">
        <f t="shared" si="28"/>
        <v/>
      </c>
      <c r="U253" s="37" t="str">
        <f t="shared" si="29"/>
        <v/>
      </c>
    </row>
    <row r="254" spans="2:21" ht="27">
      <c r="B254" s="282" t="s">
        <v>159</v>
      </c>
      <c r="C254" s="156" t="s">
        <v>498</v>
      </c>
      <c r="D254" s="157" t="s">
        <v>549</v>
      </c>
      <c r="E254" s="281" t="s">
        <v>550</v>
      </c>
      <c r="F254" s="151" t="s">
        <v>127</v>
      </c>
      <c r="G254" s="152">
        <v>0</v>
      </c>
      <c r="H254" s="153" t="s">
        <v>70</v>
      </c>
      <c r="I254" s="154">
        <v>1</v>
      </c>
      <c r="J254" s="154">
        <v>5</v>
      </c>
      <c r="K254" s="30" t="str">
        <f>IF(H254="","",IF($C$30="간이법","",FPR(H254,I254,J254)))</f>
        <v/>
      </c>
      <c r="L254" s="30">
        <f>IF(H254="","",IF($C$30="상세법",FPV(H254,K254),IF(H254="EI",4,IF(H254="EO",5.2,IF(H254="EQ",3.9,IF(H254="ILF",7.5,IF(H254="EIF",5.4)))))))</f>
        <v>3.9</v>
      </c>
      <c r="M254" s="30" t="str">
        <f t="shared" si="23"/>
        <v/>
      </c>
      <c r="N254" s="134"/>
      <c r="O254" s="29"/>
      <c r="P254" s="37" t="str">
        <f t="shared" si="24"/>
        <v/>
      </c>
      <c r="Q254" s="38" t="str">
        <f t="shared" si="25"/>
        <v/>
      </c>
      <c r="R254" s="37" t="str">
        <f t="shared" si="26"/>
        <v/>
      </c>
      <c r="S254" s="37" t="str">
        <f t="shared" si="27"/>
        <v/>
      </c>
      <c r="T254" s="38" t="str">
        <f t="shared" si="28"/>
        <v/>
      </c>
      <c r="U254" s="37" t="str">
        <f t="shared" si="29"/>
        <v/>
      </c>
    </row>
    <row r="255" spans="2:21" ht="27">
      <c r="B255" s="282" t="s">
        <v>159</v>
      </c>
      <c r="C255" s="156" t="s">
        <v>498</v>
      </c>
      <c r="D255" s="157" t="s">
        <v>551</v>
      </c>
      <c r="E255" s="281" t="s">
        <v>552</v>
      </c>
      <c r="F255" s="151" t="s">
        <v>127</v>
      </c>
      <c r="G255" s="152">
        <v>0</v>
      </c>
      <c r="H255" s="153" t="s">
        <v>70</v>
      </c>
      <c r="I255" s="154">
        <v>1</v>
      </c>
      <c r="J255" s="154">
        <v>8</v>
      </c>
      <c r="K255" s="30" t="str">
        <f>IF(H255="","",IF($C$30="간이법","",FPR(H255,I255,J255)))</f>
        <v/>
      </c>
      <c r="L255" s="30">
        <f>IF(H255="","",IF($C$30="상세법",FPV(H255,K255),IF(H255="EI",4,IF(H255="EO",5.2,IF(H255="EQ",3.9,IF(H255="ILF",7.5,IF(H255="EIF",5.4)))))))</f>
        <v>3.9</v>
      </c>
      <c r="M255" s="30" t="str">
        <f t="shared" si="23"/>
        <v/>
      </c>
      <c r="N255" s="134"/>
      <c r="O255" s="29"/>
      <c r="P255" s="37" t="str">
        <f t="shared" si="24"/>
        <v/>
      </c>
      <c r="Q255" s="38" t="str">
        <f t="shared" si="25"/>
        <v/>
      </c>
      <c r="R255" s="37" t="str">
        <f t="shared" si="26"/>
        <v/>
      </c>
      <c r="S255" s="37" t="str">
        <f t="shared" si="27"/>
        <v/>
      </c>
      <c r="T255" s="38" t="str">
        <f t="shared" si="28"/>
        <v/>
      </c>
      <c r="U255" s="37" t="str">
        <f t="shared" si="29"/>
        <v/>
      </c>
    </row>
    <row r="256" spans="2:21" ht="27">
      <c r="B256" s="282" t="s">
        <v>159</v>
      </c>
      <c r="C256" s="156" t="s">
        <v>553</v>
      </c>
      <c r="D256" s="157" t="s">
        <v>554</v>
      </c>
      <c r="E256" s="281" t="s">
        <v>555</v>
      </c>
      <c r="F256" s="151" t="s">
        <v>127</v>
      </c>
      <c r="G256" s="152">
        <v>0</v>
      </c>
      <c r="H256" s="153" t="s">
        <v>70</v>
      </c>
      <c r="I256" s="154">
        <v>2</v>
      </c>
      <c r="J256" s="154">
        <v>7</v>
      </c>
      <c r="K256" s="30" t="str">
        <f>IF(H256="","",IF($C$30="간이법","",FPR(H256,I256,J256)))</f>
        <v/>
      </c>
      <c r="L256" s="30">
        <f>IF(H256="","",IF($C$30="상세법",FPV(H256,K256),IF(H256="EI",4,IF(H256="EO",5.2,IF(H256="EQ",3.9,IF(H256="ILF",7.5,IF(H256="EIF",5.4)))))))</f>
        <v>3.9</v>
      </c>
      <c r="M256" s="30" t="str">
        <f t="shared" si="23"/>
        <v/>
      </c>
      <c r="N256" s="134"/>
      <c r="O256" s="29"/>
      <c r="P256" s="37" t="str">
        <f t="shared" si="24"/>
        <v/>
      </c>
      <c r="Q256" s="38" t="str">
        <f t="shared" si="25"/>
        <v/>
      </c>
      <c r="R256" s="37" t="str">
        <f t="shared" si="26"/>
        <v/>
      </c>
      <c r="S256" s="37" t="str">
        <f t="shared" si="27"/>
        <v/>
      </c>
      <c r="T256" s="38" t="str">
        <f t="shared" si="28"/>
        <v/>
      </c>
      <c r="U256" s="37" t="str">
        <f t="shared" si="29"/>
        <v/>
      </c>
    </row>
    <row r="257" spans="2:21" ht="27">
      <c r="B257" s="282" t="s">
        <v>159</v>
      </c>
      <c r="C257" s="156" t="s">
        <v>553</v>
      </c>
      <c r="D257" s="157" t="s">
        <v>556</v>
      </c>
      <c r="E257" s="281" t="s">
        <v>556</v>
      </c>
      <c r="F257" s="151" t="s">
        <v>127</v>
      </c>
      <c r="G257" s="152">
        <v>0</v>
      </c>
      <c r="H257" s="153" t="s">
        <v>70</v>
      </c>
      <c r="I257" s="154">
        <v>2</v>
      </c>
      <c r="J257" s="154">
        <v>9</v>
      </c>
      <c r="K257" s="30" t="str">
        <f>IF(H257="","",IF($C$30="간이법","",FPR(H257,I257,J257)))</f>
        <v/>
      </c>
      <c r="L257" s="30">
        <f>IF(H257="","",IF($C$30="상세법",FPV(H257,K257),IF(H257="EI",4,IF(H257="EO",5.2,IF(H257="EQ",3.9,IF(H257="ILF",7.5,IF(H257="EIF",5.4)))))))</f>
        <v>3.9</v>
      </c>
      <c r="M257" s="30" t="str">
        <f t="shared" si="23"/>
        <v/>
      </c>
      <c r="N257" s="134"/>
      <c r="O257" s="29"/>
      <c r="P257" s="37" t="str">
        <f t="shared" si="24"/>
        <v/>
      </c>
      <c r="Q257" s="38" t="str">
        <f t="shared" si="25"/>
        <v/>
      </c>
      <c r="R257" s="37" t="str">
        <f t="shared" si="26"/>
        <v/>
      </c>
      <c r="S257" s="37" t="str">
        <f t="shared" si="27"/>
        <v/>
      </c>
      <c r="T257" s="38" t="str">
        <f t="shared" si="28"/>
        <v/>
      </c>
      <c r="U257" s="37" t="str">
        <f t="shared" si="29"/>
        <v/>
      </c>
    </row>
    <row r="258" spans="2:21" ht="27">
      <c r="B258" s="282" t="s">
        <v>159</v>
      </c>
      <c r="C258" s="156" t="s">
        <v>553</v>
      </c>
      <c r="D258" s="157" t="s">
        <v>557</v>
      </c>
      <c r="E258" s="281" t="s">
        <v>557</v>
      </c>
      <c r="F258" s="151" t="s">
        <v>127</v>
      </c>
      <c r="G258" s="152">
        <v>0</v>
      </c>
      <c r="H258" s="153" t="s">
        <v>8</v>
      </c>
      <c r="I258" s="154">
        <v>3</v>
      </c>
      <c r="J258" s="154">
        <v>18</v>
      </c>
      <c r="K258" s="30" t="str">
        <f>IF(H258="","",IF($C$30="간이법","",FPR(H258,I258,J258)))</f>
        <v/>
      </c>
      <c r="L258" s="30">
        <f>IF(H258="","",IF($C$30="상세법",FPV(H258,K258),IF(H258="EI",4,IF(H258="EO",5.2,IF(H258="EQ",3.9,IF(H258="ILF",7.5,IF(H258="EIF",5.4)))))))</f>
        <v>4</v>
      </c>
      <c r="M258" s="30" t="str">
        <f t="shared" si="23"/>
        <v/>
      </c>
      <c r="N258" s="134"/>
      <c r="O258" s="29"/>
      <c r="P258" s="37" t="str">
        <f t="shared" si="24"/>
        <v/>
      </c>
      <c r="Q258" s="38" t="str">
        <f t="shared" si="25"/>
        <v/>
      </c>
      <c r="R258" s="37" t="str">
        <f t="shared" si="26"/>
        <v/>
      </c>
      <c r="S258" s="37" t="str">
        <f t="shared" si="27"/>
        <v/>
      </c>
      <c r="T258" s="38" t="str">
        <f t="shared" si="28"/>
        <v/>
      </c>
      <c r="U258" s="37" t="str">
        <f t="shared" si="29"/>
        <v/>
      </c>
    </row>
    <row r="259" spans="2:21" ht="27">
      <c r="B259" s="282" t="s">
        <v>159</v>
      </c>
      <c r="C259" s="156" t="s">
        <v>553</v>
      </c>
      <c r="D259" s="157" t="s">
        <v>558</v>
      </c>
      <c r="E259" s="281" t="s">
        <v>558</v>
      </c>
      <c r="F259" s="151" t="s">
        <v>127</v>
      </c>
      <c r="G259" s="152">
        <v>0</v>
      </c>
      <c r="H259" s="153" t="s">
        <v>8</v>
      </c>
      <c r="I259" s="154">
        <v>3</v>
      </c>
      <c r="J259" s="154">
        <v>4</v>
      </c>
      <c r="K259" s="30" t="str">
        <f>IF(H259="","",IF($C$30="간이법","",FPR(H259,I259,J259)))</f>
        <v/>
      </c>
      <c r="L259" s="30">
        <f>IF(H259="","",IF($C$30="상세법",FPV(H259,K259),IF(H259="EI",4,IF(H259="EO",5.2,IF(H259="EQ",3.9,IF(H259="ILF",7.5,IF(H259="EIF",5.4)))))))</f>
        <v>4</v>
      </c>
      <c r="M259" s="30" t="str">
        <f t="shared" si="23"/>
        <v/>
      </c>
      <c r="N259" s="134"/>
      <c r="O259" s="29"/>
      <c r="P259" s="37" t="str">
        <f t="shared" si="24"/>
        <v/>
      </c>
      <c r="Q259" s="38" t="str">
        <f t="shared" si="25"/>
        <v/>
      </c>
      <c r="R259" s="37" t="str">
        <f t="shared" si="26"/>
        <v/>
      </c>
      <c r="S259" s="37" t="str">
        <f t="shared" si="27"/>
        <v/>
      </c>
      <c r="T259" s="38" t="str">
        <f t="shared" si="28"/>
        <v/>
      </c>
      <c r="U259" s="37" t="str">
        <f t="shared" si="29"/>
        <v/>
      </c>
    </row>
    <row r="260" spans="2:21" ht="27">
      <c r="B260" s="282" t="s">
        <v>159</v>
      </c>
      <c r="C260" s="156" t="s">
        <v>553</v>
      </c>
      <c r="D260" s="157" t="s">
        <v>559</v>
      </c>
      <c r="E260" s="281" t="s">
        <v>559</v>
      </c>
      <c r="F260" s="151" t="s">
        <v>127</v>
      </c>
      <c r="G260" s="152">
        <v>0</v>
      </c>
      <c r="H260" s="153" t="s">
        <v>8</v>
      </c>
      <c r="I260" s="154">
        <v>3</v>
      </c>
      <c r="J260" s="154">
        <v>18</v>
      </c>
      <c r="K260" s="30" t="str">
        <f>IF(H260="","",IF($C$30="간이법","",FPR(H260,I260,J260)))</f>
        <v/>
      </c>
      <c r="L260" s="30">
        <f>IF(H260="","",IF($C$30="상세법",FPV(H260,K260),IF(H260="EI",4,IF(H260="EO",5.2,IF(H260="EQ",3.9,IF(H260="ILF",7.5,IF(H260="EIF",5.4)))))))</f>
        <v>4</v>
      </c>
      <c r="M260" s="30" t="str">
        <f t="shared" si="23"/>
        <v/>
      </c>
      <c r="N260" s="134"/>
      <c r="O260" s="29"/>
      <c r="P260" s="37" t="str">
        <f t="shared" si="24"/>
        <v/>
      </c>
      <c r="Q260" s="38" t="str">
        <f t="shared" si="25"/>
        <v/>
      </c>
      <c r="R260" s="37" t="str">
        <f t="shared" si="26"/>
        <v/>
      </c>
      <c r="S260" s="37" t="str">
        <f t="shared" si="27"/>
        <v/>
      </c>
      <c r="T260" s="38" t="str">
        <f t="shared" si="28"/>
        <v/>
      </c>
      <c r="U260" s="37" t="str">
        <f t="shared" si="29"/>
        <v/>
      </c>
    </row>
    <row r="261" spans="2:21" ht="27">
      <c r="B261" s="282" t="s">
        <v>159</v>
      </c>
      <c r="C261" s="156" t="s">
        <v>553</v>
      </c>
      <c r="D261" s="157" t="s">
        <v>560</v>
      </c>
      <c r="E261" s="281" t="s">
        <v>561</v>
      </c>
      <c r="F261" s="151" t="s">
        <v>127</v>
      </c>
      <c r="G261" s="152">
        <v>0</v>
      </c>
      <c r="H261" s="153" t="s">
        <v>70</v>
      </c>
      <c r="I261" s="154">
        <v>1</v>
      </c>
      <c r="J261" s="154">
        <v>10</v>
      </c>
      <c r="K261" s="30" t="str">
        <f>IF(H261="","",IF($C$30="간이법","",FPR(H261,I261,J261)))</f>
        <v/>
      </c>
      <c r="L261" s="30">
        <f>IF(H261="","",IF($C$30="상세법",FPV(H261,K261),IF(H261="EI",4,IF(H261="EO",5.2,IF(H261="EQ",3.9,IF(H261="ILF",7.5,IF(H261="EIF",5.4)))))))</f>
        <v>3.9</v>
      </c>
      <c r="M261" s="30" t="str">
        <f t="shared" si="23"/>
        <v/>
      </c>
      <c r="N261" s="134"/>
      <c r="O261" s="29"/>
      <c r="P261" s="37" t="str">
        <f t="shared" si="24"/>
        <v/>
      </c>
      <c r="Q261" s="38" t="str">
        <f t="shared" si="25"/>
        <v/>
      </c>
      <c r="R261" s="37" t="str">
        <f t="shared" si="26"/>
        <v/>
      </c>
      <c r="S261" s="37" t="str">
        <f t="shared" si="27"/>
        <v/>
      </c>
      <c r="T261" s="38" t="str">
        <f t="shared" si="28"/>
        <v/>
      </c>
      <c r="U261" s="37" t="str">
        <f t="shared" si="29"/>
        <v/>
      </c>
    </row>
    <row r="262" spans="2:21" ht="27">
      <c r="B262" s="282" t="s">
        <v>159</v>
      </c>
      <c r="C262" s="156" t="s">
        <v>553</v>
      </c>
      <c r="D262" s="157" t="s">
        <v>562</v>
      </c>
      <c r="E262" s="281" t="s">
        <v>563</v>
      </c>
      <c r="F262" s="151" t="s">
        <v>127</v>
      </c>
      <c r="G262" s="152">
        <v>0</v>
      </c>
      <c r="H262" s="153" t="s">
        <v>8</v>
      </c>
      <c r="I262" s="154">
        <v>1</v>
      </c>
      <c r="J262" s="154">
        <v>6</v>
      </c>
      <c r="K262" s="30" t="str">
        <f>IF(H262="","",IF($C$30="간이법","",FPR(H262,I262,J262)))</f>
        <v/>
      </c>
      <c r="L262" s="30">
        <f>IF(H262="","",IF($C$30="상세법",FPV(H262,K262),IF(H262="EI",4,IF(H262="EO",5.2,IF(H262="EQ",3.9,IF(H262="ILF",7.5,IF(H262="EIF",5.4)))))))</f>
        <v>4</v>
      </c>
      <c r="M262" s="30" t="str">
        <f t="shared" si="23"/>
        <v/>
      </c>
      <c r="N262" s="134"/>
      <c r="O262" s="29"/>
      <c r="P262" s="37" t="str">
        <f t="shared" si="24"/>
        <v/>
      </c>
      <c r="Q262" s="38" t="str">
        <f t="shared" si="25"/>
        <v/>
      </c>
      <c r="R262" s="37" t="str">
        <f t="shared" si="26"/>
        <v/>
      </c>
      <c r="S262" s="37" t="str">
        <f t="shared" si="27"/>
        <v/>
      </c>
      <c r="T262" s="38" t="str">
        <f t="shared" si="28"/>
        <v/>
      </c>
      <c r="U262" s="37" t="str">
        <f t="shared" si="29"/>
        <v/>
      </c>
    </row>
    <row r="263" spans="2:21" ht="27">
      <c r="B263" s="282" t="s">
        <v>159</v>
      </c>
      <c r="C263" s="156" t="s">
        <v>553</v>
      </c>
      <c r="D263" s="157" t="s">
        <v>564</v>
      </c>
      <c r="E263" s="281" t="s">
        <v>564</v>
      </c>
      <c r="F263" s="151" t="s">
        <v>127</v>
      </c>
      <c r="G263" s="152">
        <v>0</v>
      </c>
      <c r="H263" s="153" t="s">
        <v>8</v>
      </c>
      <c r="I263" s="154">
        <v>1</v>
      </c>
      <c r="J263" s="154">
        <v>8</v>
      </c>
      <c r="K263" s="30" t="str">
        <f>IF(H263="","",IF($C$30="간이법","",FPR(H263,I263,J263)))</f>
        <v/>
      </c>
      <c r="L263" s="30">
        <f>IF(H263="","",IF($C$30="상세법",FPV(H263,K263),IF(H263="EI",4,IF(H263="EO",5.2,IF(H263="EQ",3.9,IF(H263="ILF",7.5,IF(H263="EIF",5.4)))))))</f>
        <v>4</v>
      </c>
      <c r="M263" s="30" t="str">
        <f t="shared" si="23"/>
        <v/>
      </c>
      <c r="N263" s="134"/>
      <c r="O263" s="29"/>
      <c r="P263" s="37" t="str">
        <f t="shared" si="24"/>
        <v/>
      </c>
      <c r="Q263" s="38" t="str">
        <f t="shared" si="25"/>
        <v/>
      </c>
      <c r="R263" s="37" t="str">
        <f t="shared" si="26"/>
        <v/>
      </c>
      <c r="S263" s="37" t="str">
        <f t="shared" si="27"/>
        <v/>
      </c>
      <c r="T263" s="38" t="str">
        <f t="shared" si="28"/>
        <v/>
      </c>
      <c r="U263" s="37" t="str">
        <f t="shared" si="29"/>
        <v/>
      </c>
    </row>
    <row r="264" spans="2:21" ht="27">
      <c r="B264" s="282" t="s">
        <v>159</v>
      </c>
      <c r="C264" s="156" t="s">
        <v>553</v>
      </c>
      <c r="D264" s="157" t="s">
        <v>565</v>
      </c>
      <c r="E264" s="281" t="s">
        <v>565</v>
      </c>
      <c r="F264" s="151" t="s">
        <v>127</v>
      </c>
      <c r="G264" s="152">
        <v>0</v>
      </c>
      <c r="H264" s="153" t="s">
        <v>8</v>
      </c>
      <c r="I264" s="154">
        <v>1</v>
      </c>
      <c r="J264" s="154">
        <v>3</v>
      </c>
      <c r="K264" s="30" t="str">
        <f>IF(H264="","",IF($C$30="간이법","",FPR(H264,I264,J264)))</f>
        <v/>
      </c>
      <c r="L264" s="30">
        <f>IF(H264="","",IF($C$30="상세법",FPV(H264,K264),IF(H264="EI",4,IF(H264="EO",5.2,IF(H264="EQ",3.9,IF(H264="ILF",7.5,IF(H264="EIF",5.4)))))))</f>
        <v>4</v>
      </c>
      <c r="M264" s="30" t="str">
        <f t="shared" si="23"/>
        <v/>
      </c>
      <c r="N264" s="134"/>
      <c r="O264" s="29"/>
      <c r="P264" s="37" t="str">
        <f t="shared" si="24"/>
        <v/>
      </c>
      <c r="Q264" s="38" t="str">
        <f t="shared" si="25"/>
        <v/>
      </c>
      <c r="R264" s="37" t="str">
        <f t="shared" si="26"/>
        <v/>
      </c>
      <c r="S264" s="37" t="str">
        <f t="shared" si="27"/>
        <v/>
      </c>
      <c r="T264" s="38" t="str">
        <f t="shared" si="28"/>
        <v/>
      </c>
      <c r="U264" s="37" t="str">
        <f t="shared" si="29"/>
        <v/>
      </c>
    </row>
    <row r="265" spans="2:21" ht="27">
      <c r="B265" s="282" t="s">
        <v>159</v>
      </c>
      <c r="C265" s="156" t="s">
        <v>553</v>
      </c>
      <c r="D265" s="157" t="s">
        <v>566</v>
      </c>
      <c r="E265" s="281" t="s">
        <v>566</v>
      </c>
      <c r="F265" s="151" t="s">
        <v>127</v>
      </c>
      <c r="G265" s="152">
        <v>0</v>
      </c>
      <c r="H265" s="153" t="s">
        <v>8</v>
      </c>
      <c r="I265" s="154">
        <v>1</v>
      </c>
      <c r="J265" s="154">
        <v>8</v>
      </c>
      <c r="K265" s="30" t="str">
        <f>IF(H265="","",IF($C$30="간이법","",FPR(H265,I265,J265)))</f>
        <v/>
      </c>
      <c r="L265" s="30">
        <f>IF(H265="","",IF($C$30="상세법",FPV(H265,K265),IF(H265="EI",4,IF(H265="EO",5.2,IF(H265="EQ",3.9,IF(H265="ILF",7.5,IF(H265="EIF",5.4)))))))</f>
        <v>4</v>
      </c>
      <c r="M265" s="30" t="str">
        <f t="shared" si="23"/>
        <v/>
      </c>
      <c r="N265" s="134"/>
      <c r="O265" s="29"/>
      <c r="P265" s="37" t="str">
        <f t="shared" si="24"/>
        <v/>
      </c>
      <c r="Q265" s="38" t="str">
        <f t="shared" si="25"/>
        <v/>
      </c>
      <c r="R265" s="37" t="str">
        <f t="shared" si="26"/>
        <v/>
      </c>
      <c r="S265" s="37" t="str">
        <f t="shared" si="27"/>
        <v/>
      </c>
      <c r="T265" s="38" t="str">
        <f t="shared" si="28"/>
        <v/>
      </c>
      <c r="U265" s="37" t="str">
        <f t="shared" si="29"/>
        <v/>
      </c>
    </row>
    <row r="266" spans="2:21" ht="27">
      <c r="B266" s="282" t="s">
        <v>159</v>
      </c>
      <c r="C266" s="156" t="s">
        <v>553</v>
      </c>
      <c r="D266" s="157" t="s">
        <v>567</v>
      </c>
      <c r="E266" s="281" t="s">
        <v>568</v>
      </c>
      <c r="F266" s="151" t="s">
        <v>127</v>
      </c>
      <c r="G266" s="152">
        <v>0</v>
      </c>
      <c r="H266" s="153" t="s">
        <v>70</v>
      </c>
      <c r="I266" s="154">
        <v>2</v>
      </c>
      <c r="J266" s="154">
        <v>8</v>
      </c>
      <c r="K266" s="30" t="str">
        <f>IF(H266="","",IF($C$30="간이법","",FPR(H266,I266,J266)))</f>
        <v/>
      </c>
      <c r="L266" s="30">
        <f>IF(H266="","",IF($C$30="상세법",FPV(H266,K266),IF(H266="EI",4,IF(H266="EO",5.2,IF(H266="EQ",3.9,IF(H266="ILF",7.5,IF(H266="EIF",5.4)))))))</f>
        <v>3.9</v>
      </c>
      <c r="M266" s="30" t="str">
        <f t="shared" si="23"/>
        <v/>
      </c>
      <c r="N266" s="134"/>
      <c r="O266" s="29"/>
      <c r="P266" s="37" t="str">
        <f t="shared" si="24"/>
        <v/>
      </c>
      <c r="Q266" s="38" t="str">
        <f t="shared" si="25"/>
        <v/>
      </c>
      <c r="R266" s="37" t="str">
        <f t="shared" si="26"/>
        <v/>
      </c>
      <c r="S266" s="37" t="str">
        <f t="shared" si="27"/>
        <v/>
      </c>
      <c r="T266" s="38" t="str">
        <f t="shared" si="28"/>
        <v/>
      </c>
      <c r="U266" s="37" t="str">
        <f t="shared" si="29"/>
        <v/>
      </c>
    </row>
    <row r="267" spans="2:21" ht="27">
      <c r="B267" s="282" t="s">
        <v>159</v>
      </c>
      <c r="C267" s="156" t="s">
        <v>553</v>
      </c>
      <c r="D267" s="157" t="s">
        <v>569</v>
      </c>
      <c r="E267" s="281" t="s">
        <v>570</v>
      </c>
      <c r="F267" s="151" t="s">
        <v>127</v>
      </c>
      <c r="G267" s="152">
        <v>0</v>
      </c>
      <c r="H267" s="153" t="s">
        <v>70</v>
      </c>
      <c r="I267" s="154">
        <v>1</v>
      </c>
      <c r="J267" s="154">
        <v>6</v>
      </c>
      <c r="K267" s="30" t="str">
        <f>IF(H267="","",IF($C$30="간이법","",FPR(H267,I267,J267)))</f>
        <v/>
      </c>
      <c r="L267" s="30">
        <f>IF(H267="","",IF($C$30="상세법",FPV(H267,K267),IF(H267="EI",4,IF(H267="EO",5.2,IF(H267="EQ",3.9,IF(H267="ILF",7.5,IF(H267="EIF",5.4)))))))</f>
        <v>3.9</v>
      </c>
      <c r="M267" s="30" t="str">
        <f t="shared" si="23"/>
        <v/>
      </c>
      <c r="N267" s="134"/>
      <c r="O267" s="29"/>
      <c r="P267" s="37" t="str">
        <f t="shared" si="24"/>
        <v/>
      </c>
      <c r="Q267" s="38" t="str">
        <f t="shared" si="25"/>
        <v/>
      </c>
      <c r="R267" s="37" t="str">
        <f t="shared" si="26"/>
        <v/>
      </c>
      <c r="S267" s="37" t="str">
        <f t="shared" si="27"/>
        <v/>
      </c>
      <c r="T267" s="38" t="str">
        <f t="shared" si="28"/>
        <v/>
      </c>
      <c r="U267" s="37" t="str">
        <f t="shared" si="29"/>
        <v/>
      </c>
    </row>
    <row r="268" spans="2:21" ht="27">
      <c r="B268" s="282" t="s">
        <v>159</v>
      </c>
      <c r="C268" s="156" t="s">
        <v>553</v>
      </c>
      <c r="D268" s="157" t="s">
        <v>571</v>
      </c>
      <c r="E268" s="281" t="s">
        <v>571</v>
      </c>
      <c r="F268" s="151" t="s">
        <v>127</v>
      </c>
      <c r="G268" s="152">
        <v>0</v>
      </c>
      <c r="H268" s="153" t="s">
        <v>8</v>
      </c>
      <c r="I268" s="154">
        <v>1</v>
      </c>
      <c r="J268" s="154">
        <v>12</v>
      </c>
      <c r="K268" s="30" t="str">
        <f>IF(H268="","",IF($C$30="간이법","",FPR(H268,I268,J268)))</f>
        <v/>
      </c>
      <c r="L268" s="30">
        <f>IF(H268="","",IF($C$30="상세법",FPV(H268,K268),IF(H268="EI",4,IF(H268="EO",5.2,IF(H268="EQ",3.9,IF(H268="ILF",7.5,IF(H268="EIF",5.4)))))))</f>
        <v>4</v>
      </c>
      <c r="M268" s="30" t="str">
        <f t="shared" si="23"/>
        <v/>
      </c>
      <c r="N268" s="134"/>
      <c r="O268" s="29"/>
      <c r="P268" s="37" t="str">
        <f t="shared" si="24"/>
        <v/>
      </c>
      <c r="Q268" s="38" t="str">
        <f t="shared" si="25"/>
        <v/>
      </c>
      <c r="R268" s="37" t="str">
        <f t="shared" si="26"/>
        <v/>
      </c>
      <c r="S268" s="37" t="str">
        <f t="shared" si="27"/>
        <v/>
      </c>
      <c r="T268" s="38" t="str">
        <f t="shared" si="28"/>
        <v/>
      </c>
      <c r="U268" s="37" t="str">
        <f t="shared" si="29"/>
        <v/>
      </c>
    </row>
    <row r="269" spans="2:21" ht="27">
      <c r="B269" s="282" t="s">
        <v>159</v>
      </c>
      <c r="C269" s="156" t="s">
        <v>553</v>
      </c>
      <c r="D269" s="157" t="s">
        <v>572</v>
      </c>
      <c r="E269" s="281" t="s">
        <v>573</v>
      </c>
      <c r="F269" s="151" t="s">
        <v>127</v>
      </c>
      <c r="G269" s="152">
        <v>0</v>
      </c>
      <c r="H269" s="153" t="s">
        <v>70</v>
      </c>
      <c r="I269" s="154">
        <v>1</v>
      </c>
      <c r="J269" s="154">
        <v>4</v>
      </c>
      <c r="K269" s="30" t="str">
        <f>IF(H269="","",IF($C$30="간이법","",FPR(H269,I269,J269)))</f>
        <v/>
      </c>
      <c r="L269" s="30">
        <f>IF(H269="","",IF($C$30="상세법",FPV(H269,K269),IF(H269="EI",4,IF(H269="EO",5.2,IF(H269="EQ",3.9,IF(H269="ILF",7.5,IF(H269="EIF",5.4)))))))</f>
        <v>3.9</v>
      </c>
      <c r="M269" s="30" t="str">
        <f t="shared" si="23"/>
        <v/>
      </c>
      <c r="N269" s="134"/>
      <c r="O269" s="29"/>
      <c r="P269" s="37" t="str">
        <f t="shared" si="24"/>
        <v/>
      </c>
      <c r="Q269" s="38" t="str">
        <f t="shared" si="25"/>
        <v/>
      </c>
      <c r="R269" s="37" t="str">
        <f t="shared" si="26"/>
        <v/>
      </c>
      <c r="S269" s="37" t="str">
        <f t="shared" si="27"/>
        <v/>
      </c>
      <c r="T269" s="38" t="str">
        <f t="shared" si="28"/>
        <v/>
      </c>
      <c r="U269" s="37" t="str">
        <f t="shared" si="29"/>
        <v/>
      </c>
    </row>
    <row r="270" spans="2:21" ht="27">
      <c r="B270" s="282" t="s">
        <v>159</v>
      </c>
      <c r="C270" s="156" t="s">
        <v>553</v>
      </c>
      <c r="D270" s="157" t="s">
        <v>574</v>
      </c>
      <c r="E270" s="281" t="s">
        <v>574</v>
      </c>
      <c r="F270" s="151" t="s">
        <v>127</v>
      </c>
      <c r="G270" s="152">
        <v>0</v>
      </c>
      <c r="H270" s="153" t="s">
        <v>8</v>
      </c>
      <c r="I270" s="154">
        <v>1</v>
      </c>
      <c r="J270" s="154">
        <v>5</v>
      </c>
      <c r="K270" s="30" t="str">
        <f>IF(H270="","",IF($C$30="간이법","",FPR(H270,I270,J270)))</f>
        <v/>
      </c>
      <c r="L270" s="30">
        <f>IF(H270="","",IF($C$30="상세법",FPV(H270,K270),IF(H270="EI",4,IF(H270="EO",5.2,IF(H270="EQ",3.9,IF(H270="ILF",7.5,IF(H270="EIF",5.4)))))))</f>
        <v>4</v>
      </c>
      <c r="M270" s="30" t="str">
        <f t="shared" si="23"/>
        <v/>
      </c>
      <c r="N270" s="134"/>
      <c r="O270" s="29"/>
      <c r="P270" s="37" t="str">
        <f t="shared" si="24"/>
        <v/>
      </c>
      <c r="Q270" s="38" t="str">
        <f t="shared" si="25"/>
        <v/>
      </c>
      <c r="R270" s="37" t="str">
        <f t="shared" si="26"/>
        <v/>
      </c>
      <c r="S270" s="37" t="str">
        <f t="shared" si="27"/>
        <v/>
      </c>
      <c r="T270" s="38" t="str">
        <f t="shared" si="28"/>
        <v/>
      </c>
      <c r="U270" s="37" t="str">
        <f t="shared" si="29"/>
        <v/>
      </c>
    </row>
    <row r="271" spans="2:21" ht="27">
      <c r="B271" s="282" t="s">
        <v>159</v>
      </c>
      <c r="C271" s="156" t="s">
        <v>553</v>
      </c>
      <c r="D271" s="157" t="s">
        <v>575</v>
      </c>
      <c r="E271" s="281" t="s">
        <v>575</v>
      </c>
      <c r="F271" s="151" t="s">
        <v>127</v>
      </c>
      <c r="G271" s="152">
        <v>0</v>
      </c>
      <c r="H271" s="153" t="s">
        <v>8</v>
      </c>
      <c r="I271" s="154">
        <v>1</v>
      </c>
      <c r="J271" s="154">
        <v>5</v>
      </c>
      <c r="K271" s="30" t="str">
        <f>IF(H271="","",IF($C$30="간이법","",FPR(H271,I271,J271)))</f>
        <v/>
      </c>
      <c r="L271" s="30">
        <f>IF(H271="","",IF($C$30="상세법",FPV(H271,K271),IF(H271="EI",4,IF(H271="EO",5.2,IF(H271="EQ",3.9,IF(H271="ILF",7.5,IF(H271="EIF",5.4)))))))</f>
        <v>4</v>
      </c>
      <c r="M271" s="30" t="str">
        <f t="shared" si="23"/>
        <v/>
      </c>
      <c r="N271" s="134"/>
      <c r="O271" s="29"/>
      <c r="P271" s="37" t="str">
        <f t="shared" si="24"/>
        <v/>
      </c>
      <c r="Q271" s="38" t="str">
        <f t="shared" si="25"/>
        <v/>
      </c>
      <c r="R271" s="37" t="str">
        <f t="shared" si="26"/>
        <v/>
      </c>
      <c r="S271" s="37" t="str">
        <f t="shared" si="27"/>
        <v/>
      </c>
      <c r="T271" s="38" t="str">
        <f t="shared" si="28"/>
        <v/>
      </c>
      <c r="U271" s="37" t="str">
        <f t="shared" si="29"/>
        <v/>
      </c>
    </row>
    <row r="272" spans="2:21" ht="27">
      <c r="B272" s="282" t="s">
        <v>159</v>
      </c>
      <c r="C272" s="156" t="s">
        <v>553</v>
      </c>
      <c r="D272" s="157" t="s">
        <v>576</v>
      </c>
      <c r="E272" s="281" t="s">
        <v>576</v>
      </c>
      <c r="F272" s="151" t="s">
        <v>127</v>
      </c>
      <c r="G272" s="152">
        <v>0</v>
      </c>
      <c r="H272" s="153" t="s">
        <v>8</v>
      </c>
      <c r="I272" s="154">
        <v>1</v>
      </c>
      <c r="J272" s="154">
        <v>5</v>
      </c>
      <c r="K272" s="30" t="str">
        <f>IF(H272="","",IF($C$30="간이법","",FPR(H272,I272,J272)))</f>
        <v/>
      </c>
      <c r="L272" s="30">
        <f>IF(H272="","",IF($C$30="상세법",FPV(H272,K272),IF(H272="EI",4,IF(H272="EO",5.2,IF(H272="EQ",3.9,IF(H272="ILF",7.5,IF(H272="EIF",5.4)))))))</f>
        <v>4</v>
      </c>
      <c r="M272" s="30" t="str">
        <f t="shared" si="23"/>
        <v/>
      </c>
      <c r="N272" s="134"/>
      <c r="O272" s="29"/>
      <c r="P272" s="37" t="str">
        <f t="shared" si="24"/>
        <v/>
      </c>
      <c r="Q272" s="38" t="str">
        <f t="shared" si="25"/>
        <v/>
      </c>
      <c r="R272" s="37" t="str">
        <f t="shared" si="26"/>
        <v/>
      </c>
      <c r="S272" s="37" t="str">
        <f t="shared" si="27"/>
        <v/>
      </c>
      <c r="T272" s="38" t="str">
        <f t="shared" si="28"/>
        <v/>
      </c>
      <c r="U272" s="37" t="str">
        <f t="shared" si="29"/>
        <v/>
      </c>
    </row>
    <row r="273" spans="2:21" ht="27">
      <c r="B273" s="282" t="s">
        <v>159</v>
      </c>
      <c r="C273" s="156" t="s">
        <v>553</v>
      </c>
      <c r="D273" s="157" t="s">
        <v>577</v>
      </c>
      <c r="E273" s="281" t="s">
        <v>578</v>
      </c>
      <c r="F273" s="151" t="s">
        <v>127</v>
      </c>
      <c r="G273" s="152">
        <v>0</v>
      </c>
      <c r="H273" s="153" t="s">
        <v>70</v>
      </c>
      <c r="I273" s="154">
        <v>1</v>
      </c>
      <c r="J273" s="154">
        <v>8</v>
      </c>
      <c r="K273" s="30" t="str">
        <f>IF(H273="","",IF($C$30="간이법","",FPR(H273,I273,J273)))</f>
        <v/>
      </c>
      <c r="L273" s="30">
        <f>IF(H273="","",IF($C$30="상세법",FPV(H273,K273),IF(H273="EI",4,IF(H273="EO",5.2,IF(H273="EQ",3.9,IF(H273="ILF",7.5,IF(H273="EIF",5.4)))))))</f>
        <v>3.9</v>
      </c>
      <c r="M273" s="30" t="str">
        <f t="shared" si="23"/>
        <v/>
      </c>
      <c r="N273" s="134"/>
      <c r="O273" s="29"/>
      <c r="P273" s="37" t="str">
        <f t="shared" si="24"/>
        <v/>
      </c>
      <c r="Q273" s="38" t="str">
        <f t="shared" si="25"/>
        <v/>
      </c>
      <c r="R273" s="37" t="str">
        <f t="shared" si="26"/>
        <v/>
      </c>
      <c r="S273" s="37" t="str">
        <f t="shared" si="27"/>
        <v/>
      </c>
      <c r="T273" s="38" t="str">
        <f t="shared" si="28"/>
        <v/>
      </c>
      <c r="U273" s="37" t="str">
        <f t="shared" si="29"/>
        <v/>
      </c>
    </row>
    <row r="274" spans="2:21" ht="27">
      <c r="B274" s="282" t="s">
        <v>159</v>
      </c>
      <c r="C274" s="156" t="s">
        <v>553</v>
      </c>
      <c r="D274" s="157" t="s">
        <v>579</v>
      </c>
      <c r="E274" s="281" t="s">
        <v>579</v>
      </c>
      <c r="F274" s="151" t="s">
        <v>127</v>
      </c>
      <c r="G274" s="152">
        <v>0</v>
      </c>
      <c r="H274" s="153" t="s">
        <v>8</v>
      </c>
      <c r="I274" s="154">
        <v>1</v>
      </c>
      <c r="J274" s="154">
        <v>6</v>
      </c>
      <c r="K274" s="30" t="str">
        <f>IF(H274="","",IF($C$30="간이법","",FPR(H274,I274,J274)))</f>
        <v/>
      </c>
      <c r="L274" s="30">
        <f>IF(H274="","",IF($C$30="상세법",FPV(H274,K274),IF(H274="EI",4,IF(H274="EO",5.2,IF(H274="EQ",3.9,IF(H274="ILF",7.5,IF(H274="EIF",5.4)))))))</f>
        <v>4</v>
      </c>
      <c r="M274" s="30" t="str">
        <f t="shared" si="23"/>
        <v/>
      </c>
      <c r="N274" s="134"/>
      <c r="O274" s="29"/>
      <c r="P274" s="37" t="str">
        <f t="shared" si="24"/>
        <v/>
      </c>
      <c r="Q274" s="38" t="str">
        <f t="shared" si="25"/>
        <v/>
      </c>
      <c r="R274" s="37" t="str">
        <f t="shared" si="26"/>
        <v/>
      </c>
      <c r="S274" s="37" t="str">
        <f t="shared" si="27"/>
        <v/>
      </c>
      <c r="T274" s="38" t="str">
        <f t="shared" si="28"/>
        <v/>
      </c>
      <c r="U274" s="37" t="str">
        <f t="shared" si="29"/>
        <v/>
      </c>
    </row>
    <row r="275" spans="2:21" ht="27">
      <c r="B275" s="282" t="s">
        <v>159</v>
      </c>
      <c r="C275" s="156" t="s">
        <v>553</v>
      </c>
      <c r="D275" s="157" t="s">
        <v>580</v>
      </c>
      <c r="E275" s="281" t="s">
        <v>580</v>
      </c>
      <c r="F275" s="151" t="s">
        <v>127</v>
      </c>
      <c r="G275" s="152">
        <v>0</v>
      </c>
      <c r="H275" s="153" t="s">
        <v>8</v>
      </c>
      <c r="I275" s="154">
        <v>1</v>
      </c>
      <c r="J275" s="154">
        <v>6</v>
      </c>
      <c r="K275" s="30" t="str">
        <f>IF(H275="","",IF($C$30="간이법","",FPR(H275,I275,J275)))</f>
        <v/>
      </c>
      <c r="L275" s="30">
        <f>IF(H275="","",IF($C$30="상세법",FPV(H275,K275),IF(H275="EI",4,IF(H275="EO",5.2,IF(H275="EQ",3.9,IF(H275="ILF",7.5,IF(H275="EIF",5.4)))))))</f>
        <v>4</v>
      </c>
      <c r="M275" s="30" t="str">
        <f t="shared" si="23"/>
        <v/>
      </c>
      <c r="N275" s="134"/>
      <c r="O275" s="29"/>
      <c r="P275" s="37" t="str">
        <f t="shared" si="24"/>
        <v/>
      </c>
      <c r="Q275" s="38" t="str">
        <f t="shared" si="25"/>
        <v/>
      </c>
      <c r="R275" s="37" t="str">
        <f t="shared" si="26"/>
        <v/>
      </c>
      <c r="S275" s="37" t="str">
        <f t="shared" si="27"/>
        <v/>
      </c>
      <c r="T275" s="38" t="str">
        <f t="shared" si="28"/>
        <v/>
      </c>
      <c r="U275" s="37" t="str">
        <f t="shared" si="29"/>
        <v/>
      </c>
    </row>
    <row r="276" spans="2:21" ht="27">
      <c r="B276" s="282" t="s">
        <v>159</v>
      </c>
      <c r="C276" s="156" t="s">
        <v>553</v>
      </c>
      <c r="D276" s="157" t="s">
        <v>581</v>
      </c>
      <c r="E276" s="281" t="s">
        <v>581</v>
      </c>
      <c r="F276" s="151" t="s">
        <v>127</v>
      </c>
      <c r="G276" s="152">
        <v>0</v>
      </c>
      <c r="H276" s="153" t="s">
        <v>8</v>
      </c>
      <c r="I276" s="154">
        <v>1</v>
      </c>
      <c r="J276" s="154">
        <v>6</v>
      </c>
      <c r="K276" s="30" t="str">
        <f>IF(H276="","",IF($C$30="간이법","",FPR(H276,I276,J276)))</f>
        <v/>
      </c>
      <c r="L276" s="30">
        <f>IF(H276="","",IF($C$30="상세법",FPV(H276,K276),IF(H276="EI",4,IF(H276="EO",5.2,IF(H276="EQ",3.9,IF(H276="ILF",7.5,IF(H276="EIF",5.4)))))))</f>
        <v>4</v>
      </c>
      <c r="M276" s="30" t="str">
        <f t="shared" si="23"/>
        <v/>
      </c>
      <c r="N276" s="134"/>
      <c r="O276" s="29"/>
      <c r="P276" s="37" t="str">
        <f t="shared" si="24"/>
        <v/>
      </c>
      <c r="Q276" s="38" t="str">
        <f t="shared" si="25"/>
        <v/>
      </c>
      <c r="R276" s="37" t="str">
        <f t="shared" si="26"/>
        <v/>
      </c>
      <c r="S276" s="37" t="str">
        <f t="shared" si="27"/>
        <v/>
      </c>
      <c r="T276" s="38" t="str">
        <f t="shared" si="28"/>
        <v/>
      </c>
      <c r="U276" s="37" t="str">
        <f t="shared" si="29"/>
        <v/>
      </c>
    </row>
    <row r="277" spans="2:21" ht="27">
      <c r="B277" s="282" t="s">
        <v>159</v>
      </c>
      <c r="C277" s="156" t="s">
        <v>553</v>
      </c>
      <c r="D277" s="157" t="s">
        <v>582</v>
      </c>
      <c r="E277" s="281" t="s">
        <v>583</v>
      </c>
      <c r="F277" s="151" t="s">
        <v>127</v>
      </c>
      <c r="G277" s="152">
        <v>0</v>
      </c>
      <c r="H277" s="153" t="s">
        <v>70</v>
      </c>
      <c r="I277" s="154">
        <v>1</v>
      </c>
      <c r="J277" s="154">
        <v>6</v>
      </c>
      <c r="K277" s="30" t="str">
        <f>IF(H277="","",IF($C$30="간이법","",FPR(H277,I277,J277)))</f>
        <v/>
      </c>
      <c r="L277" s="30">
        <f>IF(H277="","",IF($C$30="상세법",FPV(H277,K277),IF(H277="EI",4,IF(H277="EO",5.2,IF(H277="EQ",3.9,IF(H277="ILF",7.5,IF(H277="EIF",5.4)))))))</f>
        <v>3.9</v>
      </c>
      <c r="M277" s="30" t="str">
        <f t="shared" si="23"/>
        <v/>
      </c>
      <c r="N277" s="134"/>
      <c r="O277" s="29"/>
      <c r="P277" s="37" t="str">
        <f t="shared" si="24"/>
        <v/>
      </c>
      <c r="Q277" s="38" t="str">
        <f t="shared" si="25"/>
        <v/>
      </c>
      <c r="R277" s="37" t="str">
        <f t="shared" si="26"/>
        <v/>
      </c>
      <c r="S277" s="37" t="str">
        <f t="shared" si="27"/>
        <v/>
      </c>
      <c r="T277" s="38" t="str">
        <f t="shared" si="28"/>
        <v/>
      </c>
      <c r="U277" s="37" t="str">
        <f t="shared" si="29"/>
        <v/>
      </c>
    </row>
    <row r="278" spans="2:21" ht="27">
      <c r="B278" s="282" t="s">
        <v>159</v>
      </c>
      <c r="C278" s="156" t="s">
        <v>553</v>
      </c>
      <c r="D278" s="157" t="s">
        <v>584</v>
      </c>
      <c r="E278" s="281" t="s">
        <v>584</v>
      </c>
      <c r="F278" s="151" t="s">
        <v>127</v>
      </c>
      <c r="G278" s="152">
        <v>0</v>
      </c>
      <c r="H278" s="153" t="s">
        <v>8</v>
      </c>
      <c r="I278" s="154">
        <v>1</v>
      </c>
      <c r="J278" s="154">
        <v>4</v>
      </c>
      <c r="K278" s="30" t="str">
        <f>IF(H278="","",IF($C$30="간이법","",FPR(H278,I278,J278)))</f>
        <v/>
      </c>
      <c r="L278" s="30">
        <f>IF(H278="","",IF($C$30="상세법",FPV(H278,K278),IF(H278="EI",4,IF(H278="EO",5.2,IF(H278="EQ",3.9,IF(H278="ILF",7.5,IF(H278="EIF",5.4)))))))</f>
        <v>4</v>
      </c>
      <c r="M278" s="30" t="str">
        <f t="shared" si="23"/>
        <v/>
      </c>
      <c r="N278" s="134"/>
      <c r="O278" s="29"/>
      <c r="P278" s="37" t="str">
        <f t="shared" si="24"/>
        <v/>
      </c>
      <c r="Q278" s="38" t="str">
        <f t="shared" si="25"/>
        <v/>
      </c>
      <c r="R278" s="37" t="str">
        <f t="shared" si="26"/>
        <v/>
      </c>
      <c r="S278" s="37" t="str">
        <f t="shared" si="27"/>
        <v/>
      </c>
      <c r="T278" s="38" t="str">
        <f t="shared" si="28"/>
        <v/>
      </c>
      <c r="U278" s="37" t="str">
        <f t="shared" si="29"/>
        <v/>
      </c>
    </row>
    <row r="279" spans="2:21" ht="27">
      <c r="B279" s="282" t="s">
        <v>159</v>
      </c>
      <c r="C279" s="156" t="s">
        <v>553</v>
      </c>
      <c r="D279" s="157" t="s">
        <v>585</v>
      </c>
      <c r="E279" s="281" t="s">
        <v>585</v>
      </c>
      <c r="F279" s="151" t="s">
        <v>127</v>
      </c>
      <c r="G279" s="152">
        <v>0</v>
      </c>
      <c r="H279" s="153" t="s">
        <v>8</v>
      </c>
      <c r="I279" s="154">
        <v>1</v>
      </c>
      <c r="J279" s="154">
        <v>4</v>
      </c>
      <c r="K279" s="30" t="str">
        <f>IF(H279="","",IF($C$30="간이법","",FPR(H279,I279,J279)))</f>
        <v/>
      </c>
      <c r="L279" s="30">
        <f>IF(H279="","",IF($C$30="상세법",FPV(H279,K279),IF(H279="EI",4,IF(H279="EO",5.2,IF(H279="EQ",3.9,IF(H279="ILF",7.5,IF(H279="EIF",5.4)))))))</f>
        <v>4</v>
      </c>
      <c r="M279" s="30" t="str">
        <f t="shared" si="23"/>
        <v/>
      </c>
      <c r="N279" s="134"/>
      <c r="O279" s="29"/>
      <c r="P279" s="37" t="str">
        <f t="shared" si="24"/>
        <v/>
      </c>
      <c r="Q279" s="38" t="str">
        <f t="shared" si="25"/>
        <v/>
      </c>
      <c r="R279" s="37" t="str">
        <f t="shared" si="26"/>
        <v/>
      </c>
      <c r="S279" s="37" t="str">
        <f t="shared" si="27"/>
        <v/>
      </c>
      <c r="T279" s="38" t="str">
        <f t="shared" si="28"/>
        <v/>
      </c>
      <c r="U279" s="37" t="str">
        <f t="shared" si="29"/>
        <v/>
      </c>
    </row>
    <row r="280" spans="2:21" ht="27">
      <c r="B280" s="282" t="s">
        <v>159</v>
      </c>
      <c r="C280" s="156" t="s">
        <v>553</v>
      </c>
      <c r="D280" s="157" t="s">
        <v>586</v>
      </c>
      <c r="E280" s="281" t="s">
        <v>586</v>
      </c>
      <c r="F280" s="151" t="s">
        <v>127</v>
      </c>
      <c r="G280" s="152">
        <v>0</v>
      </c>
      <c r="H280" s="153" t="s">
        <v>8</v>
      </c>
      <c r="I280" s="154">
        <v>1</v>
      </c>
      <c r="J280" s="154">
        <v>4</v>
      </c>
      <c r="K280" s="30" t="str">
        <f>IF(H280="","",IF($C$30="간이법","",FPR(H280,I280,J280)))</f>
        <v/>
      </c>
      <c r="L280" s="30">
        <f>IF(H280="","",IF($C$30="상세법",FPV(H280,K280),IF(H280="EI",4,IF(H280="EO",5.2,IF(H280="EQ",3.9,IF(H280="ILF",7.5,IF(H280="EIF",5.4)))))))</f>
        <v>4</v>
      </c>
      <c r="M280" s="30" t="str">
        <f t="shared" si="23"/>
        <v/>
      </c>
      <c r="N280" s="134"/>
      <c r="O280" s="29"/>
      <c r="P280" s="37" t="str">
        <f t="shared" si="24"/>
        <v/>
      </c>
      <c r="Q280" s="38" t="str">
        <f t="shared" si="25"/>
        <v/>
      </c>
      <c r="R280" s="37" t="str">
        <f t="shared" si="26"/>
        <v/>
      </c>
      <c r="S280" s="37" t="str">
        <f t="shared" si="27"/>
        <v/>
      </c>
      <c r="T280" s="38" t="str">
        <f t="shared" si="28"/>
        <v/>
      </c>
      <c r="U280" s="37" t="str">
        <f t="shared" si="29"/>
        <v/>
      </c>
    </row>
    <row r="281" spans="2:21" ht="27">
      <c r="B281" s="282" t="s">
        <v>159</v>
      </c>
      <c r="C281" s="156" t="s">
        <v>553</v>
      </c>
      <c r="D281" s="157" t="s">
        <v>587</v>
      </c>
      <c r="E281" s="281" t="s">
        <v>588</v>
      </c>
      <c r="F281" s="151" t="s">
        <v>127</v>
      </c>
      <c r="G281" s="152">
        <v>0</v>
      </c>
      <c r="H281" s="153" t="s">
        <v>70</v>
      </c>
      <c r="I281" s="154">
        <v>1</v>
      </c>
      <c r="J281" s="154">
        <v>13</v>
      </c>
      <c r="K281" s="30" t="str">
        <f>IF(H281="","",IF($C$30="간이법","",FPR(H281,I281,J281)))</f>
        <v/>
      </c>
      <c r="L281" s="30">
        <f>IF(H281="","",IF($C$30="상세법",FPV(H281,K281),IF(H281="EI",4,IF(H281="EO",5.2,IF(H281="EQ",3.9,IF(H281="ILF",7.5,IF(H281="EIF",5.4)))))))</f>
        <v>3.9</v>
      </c>
      <c r="M281" s="30" t="str">
        <f t="shared" si="23"/>
        <v/>
      </c>
      <c r="N281" s="134"/>
      <c r="O281" s="29"/>
      <c r="P281" s="37" t="str">
        <f t="shared" si="24"/>
        <v/>
      </c>
      <c r="Q281" s="38" t="str">
        <f t="shared" si="25"/>
        <v/>
      </c>
      <c r="R281" s="37" t="str">
        <f t="shared" si="26"/>
        <v/>
      </c>
      <c r="S281" s="37" t="str">
        <f t="shared" si="27"/>
        <v/>
      </c>
      <c r="T281" s="38" t="str">
        <f t="shared" si="28"/>
        <v/>
      </c>
      <c r="U281" s="37" t="str">
        <f t="shared" si="29"/>
        <v/>
      </c>
    </row>
    <row r="282" spans="2:21" ht="27">
      <c r="B282" s="282" t="s">
        <v>159</v>
      </c>
      <c r="C282" s="156" t="s">
        <v>553</v>
      </c>
      <c r="D282" s="157" t="s">
        <v>589</v>
      </c>
      <c r="E282" s="281" t="s">
        <v>589</v>
      </c>
      <c r="F282" s="151" t="s">
        <v>127</v>
      </c>
      <c r="G282" s="152">
        <v>0</v>
      </c>
      <c r="H282" s="153" t="s">
        <v>70</v>
      </c>
      <c r="I282" s="154">
        <v>1</v>
      </c>
      <c r="J282" s="154">
        <v>6</v>
      </c>
      <c r="K282" s="30" t="str">
        <f>IF(H282="","",IF($C$30="간이법","",FPR(H282,I282,J282)))</f>
        <v/>
      </c>
      <c r="L282" s="30">
        <f>IF(H282="","",IF($C$30="상세법",FPV(H282,K282),IF(H282="EI",4,IF(H282="EO",5.2,IF(H282="EQ",3.9,IF(H282="ILF",7.5,IF(H282="EIF",5.4)))))))</f>
        <v>3.9</v>
      </c>
      <c r="M282" s="30" t="str">
        <f t="shared" si="23"/>
        <v/>
      </c>
      <c r="N282" s="134"/>
      <c r="O282" s="29"/>
      <c r="P282" s="37" t="str">
        <f t="shared" si="24"/>
        <v/>
      </c>
      <c r="Q282" s="38" t="str">
        <f t="shared" si="25"/>
        <v/>
      </c>
      <c r="R282" s="37" t="str">
        <f t="shared" si="26"/>
        <v/>
      </c>
      <c r="S282" s="37" t="str">
        <f t="shared" si="27"/>
        <v/>
      </c>
      <c r="T282" s="38" t="str">
        <f t="shared" si="28"/>
        <v/>
      </c>
      <c r="U282" s="37" t="str">
        <f t="shared" si="29"/>
        <v/>
      </c>
    </row>
    <row r="283" spans="2:21" ht="27">
      <c r="B283" s="282" t="s">
        <v>159</v>
      </c>
      <c r="C283" s="156" t="s">
        <v>553</v>
      </c>
      <c r="D283" s="157" t="s">
        <v>590</v>
      </c>
      <c r="E283" s="281" t="s">
        <v>590</v>
      </c>
      <c r="F283" s="151" t="s">
        <v>127</v>
      </c>
      <c r="G283" s="152">
        <v>0</v>
      </c>
      <c r="H283" s="153" t="s">
        <v>8</v>
      </c>
      <c r="I283" s="154">
        <v>1</v>
      </c>
      <c r="J283" s="154">
        <v>6</v>
      </c>
      <c r="K283" s="30" t="str">
        <f>IF(H283="","",IF($C$30="간이법","",FPR(H283,I283,J283)))</f>
        <v/>
      </c>
      <c r="L283" s="30">
        <f>IF(H283="","",IF($C$30="상세법",FPV(H283,K283),IF(H283="EI",4,IF(H283="EO",5.2,IF(H283="EQ",3.9,IF(H283="ILF",7.5,IF(H283="EIF",5.4)))))))</f>
        <v>4</v>
      </c>
      <c r="M283" s="30" t="str">
        <f t="shared" si="23"/>
        <v/>
      </c>
      <c r="N283" s="134"/>
      <c r="O283" s="29"/>
      <c r="P283" s="37" t="str">
        <f t="shared" si="24"/>
        <v/>
      </c>
      <c r="Q283" s="38" t="str">
        <f t="shared" si="25"/>
        <v/>
      </c>
      <c r="R283" s="37" t="str">
        <f t="shared" si="26"/>
        <v/>
      </c>
      <c r="S283" s="37" t="str">
        <f t="shared" si="27"/>
        <v/>
      </c>
      <c r="T283" s="38" t="str">
        <f t="shared" si="28"/>
        <v/>
      </c>
      <c r="U283" s="37" t="str">
        <f t="shared" si="29"/>
        <v/>
      </c>
    </row>
    <row r="284" spans="2:21" ht="27">
      <c r="B284" s="282" t="s">
        <v>159</v>
      </c>
      <c r="C284" s="156" t="s">
        <v>553</v>
      </c>
      <c r="D284" s="157" t="s">
        <v>591</v>
      </c>
      <c r="E284" s="281" t="s">
        <v>592</v>
      </c>
      <c r="F284" s="151" t="s">
        <v>127</v>
      </c>
      <c r="G284" s="152">
        <v>0</v>
      </c>
      <c r="H284" s="153" t="s">
        <v>70</v>
      </c>
      <c r="I284" s="154">
        <v>1</v>
      </c>
      <c r="J284" s="154">
        <v>11</v>
      </c>
      <c r="K284" s="30" t="str">
        <f>IF(H284="","",IF($C$30="간이법","",FPR(H284,I284,J284)))</f>
        <v/>
      </c>
      <c r="L284" s="30">
        <f>IF(H284="","",IF($C$30="상세법",FPV(H284,K284),IF(H284="EI",4,IF(H284="EO",5.2,IF(H284="EQ",3.9,IF(H284="ILF",7.5,IF(H284="EIF",5.4)))))))</f>
        <v>3.9</v>
      </c>
      <c r="M284" s="30" t="str">
        <f t="shared" si="23"/>
        <v/>
      </c>
      <c r="N284" s="134"/>
      <c r="O284" s="29"/>
      <c r="P284" s="37" t="str">
        <f t="shared" si="24"/>
        <v/>
      </c>
      <c r="Q284" s="38" t="str">
        <f t="shared" si="25"/>
        <v/>
      </c>
      <c r="R284" s="37" t="str">
        <f t="shared" si="26"/>
        <v/>
      </c>
      <c r="S284" s="37" t="str">
        <f t="shared" si="27"/>
        <v/>
      </c>
      <c r="T284" s="38" t="str">
        <f t="shared" si="28"/>
        <v/>
      </c>
      <c r="U284" s="37" t="str">
        <f t="shared" si="29"/>
        <v/>
      </c>
    </row>
    <row r="285" spans="2:21" ht="27">
      <c r="B285" s="282" t="s">
        <v>159</v>
      </c>
      <c r="C285" s="156" t="s">
        <v>553</v>
      </c>
      <c r="D285" s="157" t="s">
        <v>593</v>
      </c>
      <c r="E285" s="281" t="s">
        <v>593</v>
      </c>
      <c r="F285" s="151" t="s">
        <v>127</v>
      </c>
      <c r="G285" s="152">
        <v>0</v>
      </c>
      <c r="H285" s="153" t="s">
        <v>8</v>
      </c>
      <c r="I285" s="154">
        <v>1</v>
      </c>
      <c r="J285" s="154">
        <v>4</v>
      </c>
      <c r="K285" s="30" t="str">
        <f>IF(H285="","",IF($C$30="간이법","",FPR(H285,I285,J285)))</f>
        <v/>
      </c>
      <c r="L285" s="30">
        <f>IF(H285="","",IF($C$30="상세법",FPV(H285,K285),IF(H285="EI",4,IF(H285="EO",5.2,IF(H285="EQ",3.9,IF(H285="ILF",7.5,IF(H285="EIF",5.4)))))))</f>
        <v>4</v>
      </c>
      <c r="M285" s="30" t="str">
        <f t="shared" si="23"/>
        <v/>
      </c>
      <c r="N285" s="134"/>
      <c r="O285" s="29"/>
      <c r="P285" s="37" t="str">
        <f t="shared" si="24"/>
        <v/>
      </c>
      <c r="Q285" s="38" t="str">
        <f t="shared" si="25"/>
        <v/>
      </c>
      <c r="R285" s="37" t="str">
        <f t="shared" si="26"/>
        <v/>
      </c>
      <c r="S285" s="37" t="str">
        <f t="shared" si="27"/>
        <v/>
      </c>
      <c r="T285" s="38" t="str">
        <f t="shared" si="28"/>
        <v/>
      </c>
      <c r="U285" s="37" t="str">
        <f t="shared" si="29"/>
        <v/>
      </c>
    </row>
    <row r="286" spans="2:21" ht="27">
      <c r="B286" s="282" t="s">
        <v>159</v>
      </c>
      <c r="C286" s="156" t="s">
        <v>553</v>
      </c>
      <c r="D286" s="157" t="s">
        <v>594</v>
      </c>
      <c r="E286" s="281" t="s">
        <v>594</v>
      </c>
      <c r="F286" s="151" t="s">
        <v>127</v>
      </c>
      <c r="G286" s="152">
        <v>0</v>
      </c>
      <c r="H286" s="153" t="s">
        <v>8</v>
      </c>
      <c r="I286" s="154">
        <v>1</v>
      </c>
      <c r="J286" s="154">
        <v>11</v>
      </c>
      <c r="K286" s="30" t="str">
        <f>IF(H286="","",IF($C$30="간이법","",FPR(H286,I286,J286)))</f>
        <v/>
      </c>
      <c r="L286" s="30">
        <f>IF(H286="","",IF($C$30="상세법",FPV(H286,K286),IF(H286="EI",4,IF(H286="EO",5.2,IF(H286="EQ",3.9,IF(H286="ILF",7.5,IF(H286="EIF",5.4)))))))</f>
        <v>4</v>
      </c>
      <c r="M286" s="30" t="str">
        <f t="shared" si="23"/>
        <v/>
      </c>
      <c r="N286" s="134"/>
      <c r="O286" s="29"/>
      <c r="P286" s="37" t="str">
        <f t="shared" si="24"/>
        <v/>
      </c>
      <c r="Q286" s="38" t="str">
        <f t="shared" si="25"/>
        <v/>
      </c>
      <c r="R286" s="37" t="str">
        <f t="shared" si="26"/>
        <v/>
      </c>
      <c r="S286" s="37" t="str">
        <f t="shared" si="27"/>
        <v/>
      </c>
      <c r="T286" s="38" t="str">
        <f t="shared" si="28"/>
        <v/>
      </c>
      <c r="U286" s="37" t="str">
        <f t="shared" si="29"/>
        <v/>
      </c>
    </row>
    <row r="287" spans="2:21" ht="27">
      <c r="B287" s="282" t="s">
        <v>159</v>
      </c>
      <c r="C287" s="156" t="s">
        <v>553</v>
      </c>
      <c r="D287" s="157" t="s">
        <v>595</v>
      </c>
      <c r="E287" s="281" t="s">
        <v>595</v>
      </c>
      <c r="F287" s="151" t="s">
        <v>127</v>
      </c>
      <c r="G287" s="152">
        <v>0</v>
      </c>
      <c r="H287" s="153" t="s">
        <v>8</v>
      </c>
      <c r="I287" s="154">
        <v>1</v>
      </c>
      <c r="J287" s="154">
        <v>11</v>
      </c>
      <c r="K287" s="30" t="str">
        <f>IF(H287="","",IF($C$30="간이법","",FPR(H287,I287,J287)))</f>
        <v/>
      </c>
      <c r="L287" s="30">
        <f>IF(H287="","",IF($C$30="상세법",FPV(H287,K287),IF(H287="EI",4,IF(H287="EO",5.2,IF(H287="EQ",3.9,IF(H287="ILF",7.5,IF(H287="EIF",5.4)))))))</f>
        <v>4</v>
      </c>
      <c r="M287" s="30" t="str">
        <f t="shared" si="23"/>
        <v/>
      </c>
      <c r="N287" s="134"/>
      <c r="O287" s="29"/>
      <c r="P287" s="37" t="str">
        <f t="shared" si="24"/>
        <v/>
      </c>
      <c r="Q287" s="38" t="str">
        <f t="shared" si="25"/>
        <v/>
      </c>
      <c r="R287" s="37" t="str">
        <f t="shared" si="26"/>
        <v/>
      </c>
      <c r="S287" s="37" t="str">
        <f t="shared" si="27"/>
        <v/>
      </c>
      <c r="T287" s="38" t="str">
        <f t="shared" si="28"/>
        <v/>
      </c>
      <c r="U287" s="37" t="str">
        <f t="shared" si="29"/>
        <v/>
      </c>
    </row>
    <row r="288" spans="2:21" ht="27">
      <c r="B288" s="282" t="s">
        <v>159</v>
      </c>
      <c r="C288" s="156" t="s">
        <v>553</v>
      </c>
      <c r="D288" s="157" t="s">
        <v>596</v>
      </c>
      <c r="E288" s="281" t="s">
        <v>596</v>
      </c>
      <c r="F288" s="151" t="s">
        <v>127</v>
      </c>
      <c r="G288" s="152">
        <v>0</v>
      </c>
      <c r="H288" s="153" t="s">
        <v>8</v>
      </c>
      <c r="I288" s="154">
        <v>1</v>
      </c>
      <c r="J288" s="154">
        <v>3</v>
      </c>
      <c r="K288" s="30" t="str">
        <f>IF(H288="","",IF($C$30="간이법","",FPR(H288,I288,J288)))</f>
        <v/>
      </c>
      <c r="L288" s="30">
        <f>IF(H288="","",IF($C$30="상세법",FPV(H288,K288),IF(H288="EI",4,IF(H288="EO",5.2,IF(H288="EQ",3.9,IF(H288="ILF",7.5,IF(H288="EIF",5.4)))))))</f>
        <v>4</v>
      </c>
      <c r="M288" s="30" t="str">
        <f t="shared" si="23"/>
        <v/>
      </c>
      <c r="N288" s="134"/>
      <c r="O288" s="29"/>
      <c r="P288" s="37" t="str">
        <f t="shared" si="24"/>
        <v/>
      </c>
      <c r="Q288" s="38" t="str">
        <f t="shared" si="25"/>
        <v/>
      </c>
      <c r="R288" s="37" t="str">
        <f t="shared" si="26"/>
        <v/>
      </c>
      <c r="S288" s="37" t="str">
        <f t="shared" si="27"/>
        <v/>
      </c>
      <c r="T288" s="38" t="str">
        <f t="shared" si="28"/>
        <v/>
      </c>
      <c r="U288" s="37" t="str">
        <f t="shared" si="29"/>
        <v/>
      </c>
    </row>
    <row r="289" spans="2:21" ht="27">
      <c r="B289" s="282" t="s">
        <v>159</v>
      </c>
      <c r="C289" s="156" t="s">
        <v>553</v>
      </c>
      <c r="D289" s="157" t="s">
        <v>597</v>
      </c>
      <c r="E289" s="281" t="s">
        <v>598</v>
      </c>
      <c r="F289" s="151" t="s">
        <v>127</v>
      </c>
      <c r="G289" s="152">
        <v>0</v>
      </c>
      <c r="H289" s="153" t="s">
        <v>70</v>
      </c>
      <c r="I289" s="154">
        <v>1</v>
      </c>
      <c r="J289" s="154">
        <v>5</v>
      </c>
      <c r="K289" s="30" t="str">
        <f>IF(H289="","",IF($C$30="간이법","",FPR(H289,I289,J289)))</f>
        <v/>
      </c>
      <c r="L289" s="30">
        <f>IF(H289="","",IF($C$30="상세법",FPV(H289,K289),IF(H289="EI",4,IF(H289="EO",5.2,IF(H289="EQ",3.9,IF(H289="ILF",7.5,IF(H289="EIF",5.4)))))))</f>
        <v>3.9</v>
      </c>
      <c r="M289" s="30" t="str">
        <f t="shared" si="23"/>
        <v/>
      </c>
      <c r="N289" s="134"/>
      <c r="O289" s="29"/>
      <c r="P289" s="37" t="str">
        <f t="shared" si="24"/>
        <v/>
      </c>
      <c r="Q289" s="38" t="str">
        <f t="shared" si="25"/>
        <v/>
      </c>
      <c r="R289" s="37" t="str">
        <f t="shared" si="26"/>
        <v/>
      </c>
      <c r="S289" s="37" t="str">
        <f t="shared" si="27"/>
        <v/>
      </c>
      <c r="T289" s="38" t="str">
        <f t="shared" si="28"/>
        <v/>
      </c>
      <c r="U289" s="37" t="str">
        <f t="shared" si="29"/>
        <v/>
      </c>
    </row>
    <row r="290" spans="2:21" ht="27">
      <c r="B290" s="282" t="s">
        <v>159</v>
      </c>
      <c r="C290" s="156" t="s">
        <v>553</v>
      </c>
      <c r="D290" s="157" t="s">
        <v>599</v>
      </c>
      <c r="E290" s="281" t="s">
        <v>599</v>
      </c>
      <c r="F290" s="151" t="s">
        <v>127</v>
      </c>
      <c r="G290" s="152">
        <v>0</v>
      </c>
      <c r="H290" s="153" t="s">
        <v>8</v>
      </c>
      <c r="I290" s="154">
        <v>1</v>
      </c>
      <c r="J290" s="154">
        <v>5</v>
      </c>
      <c r="K290" s="30" t="str">
        <f>IF(H290="","",IF($C$30="간이법","",FPR(H290,I290,J290)))</f>
        <v/>
      </c>
      <c r="L290" s="30">
        <f>IF(H290="","",IF($C$30="상세법",FPV(H290,K290),IF(H290="EI",4,IF(H290="EO",5.2,IF(H290="EQ",3.9,IF(H290="ILF",7.5,IF(H290="EIF",5.4)))))))</f>
        <v>4</v>
      </c>
      <c r="M290" s="30" t="str">
        <f t="shared" si="23"/>
        <v/>
      </c>
      <c r="N290" s="134"/>
      <c r="O290" s="29"/>
      <c r="P290" s="37" t="str">
        <f t="shared" si="24"/>
        <v/>
      </c>
      <c r="Q290" s="38" t="str">
        <f t="shared" si="25"/>
        <v/>
      </c>
      <c r="R290" s="37" t="str">
        <f t="shared" si="26"/>
        <v/>
      </c>
      <c r="S290" s="37" t="str">
        <f t="shared" si="27"/>
        <v/>
      </c>
      <c r="T290" s="38" t="str">
        <f t="shared" si="28"/>
        <v/>
      </c>
      <c r="U290" s="37" t="str">
        <f t="shared" si="29"/>
        <v/>
      </c>
    </row>
    <row r="291" spans="2:21" ht="27">
      <c r="B291" s="282" t="s">
        <v>159</v>
      </c>
      <c r="C291" s="156" t="s">
        <v>553</v>
      </c>
      <c r="D291" s="157" t="s">
        <v>600</v>
      </c>
      <c r="E291" s="281" t="s">
        <v>600</v>
      </c>
      <c r="F291" s="151" t="s">
        <v>127</v>
      </c>
      <c r="G291" s="152">
        <v>0</v>
      </c>
      <c r="H291" s="153" t="s">
        <v>8</v>
      </c>
      <c r="I291" s="154">
        <v>1</v>
      </c>
      <c r="J291" s="154">
        <v>6</v>
      </c>
      <c r="K291" s="30" t="str">
        <f>IF(H291="","",IF($C$30="간이법","",FPR(H291,I291,J291)))</f>
        <v/>
      </c>
      <c r="L291" s="30">
        <f>IF(H291="","",IF($C$30="상세법",FPV(H291,K291),IF(H291="EI",4,IF(H291="EO",5.2,IF(H291="EQ",3.9,IF(H291="ILF",7.5,IF(H291="EIF",5.4)))))))</f>
        <v>4</v>
      </c>
      <c r="M291" s="30" t="str">
        <f t="shared" si="23"/>
        <v/>
      </c>
      <c r="N291" s="134"/>
      <c r="O291" s="29"/>
      <c r="P291" s="37" t="str">
        <f t="shared" si="24"/>
        <v/>
      </c>
      <c r="Q291" s="38" t="str">
        <f t="shared" si="25"/>
        <v/>
      </c>
      <c r="R291" s="37" t="str">
        <f t="shared" si="26"/>
        <v/>
      </c>
      <c r="S291" s="37" t="str">
        <f t="shared" si="27"/>
        <v/>
      </c>
      <c r="T291" s="38" t="str">
        <f t="shared" si="28"/>
        <v/>
      </c>
      <c r="U291" s="37" t="str">
        <f t="shared" si="29"/>
        <v/>
      </c>
    </row>
    <row r="292" spans="2:21" ht="27">
      <c r="B292" s="282" t="s">
        <v>159</v>
      </c>
      <c r="C292" s="156" t="s">
        <v>553</v>
      </c>
      <c r="D292" s="157" t="s">
        <v>601</v>
      </c>
      <c r="E292" s="281" t="s">
        <v>601</v>
      </c>
      <c r="F292" s="151" t="s">
        <v>127</v>
      </c>
      <c r="G292" s="152">
        <v>0</v>
      </c>
      <c r="H292" s="153" t="s">
        <v>8</v>
      </c>
      <c r="I292" s="154">
        <v>1</v>
      </c>
      <c r="J292" s="154">
        <v>5</v>
      </c>
      <c r="K292" s="30" t="str">
        <f>IF(H292="","",IF($C$30="간이법","",FPR(H292,I292,J292)))</f>
        <v/>
      </c>
      <c r="L292" s="30">
        <f>IF(H292="","",IF($C$30="상세법",FPV(H292,K292),IF(H292="EI",4,IF(H292="EO",5.2,IF(H292="EQ",3.9,IF(H292="ILF",7.5,IF(H292="EIF",5.4)))))))</f>
        <v>4</v>
      </c>
      <c r="M292" s="30" t="str">
        <f t="shared" si="23"/>
        <v/>
      </c>
      <c r="N292" s="134"/>
      <c r="O292" s="29"/>
      <c r="P292" s="37" t="str">
        <f t="shared" si="24"/>
        <v/>
      </c>
      <c r="Q292" s="38" t="str">
        <f t="shared" si="25"/>
        <v/>
      </c>
      <c r="R292" s="37" t="str">
        <f t="shared" si="26"/>
        <v/>
      </c>
      <c r="S292" s="37" t="str">
        <f t="shared" si="27"/>
        <v/>
      </c>
      <c r="T292" s="38" t="str">
        <f t="shared" si="28"/>
        <v/>
      </c>
      <c r="U292" s="37" t="str">
        <f t="shared" si="29"/>
        <v/>
      </c>
    </row>
    <row r="293" spans="2:21" ht="27">
      <c r="B293" s="282" t="s">
        <v>159</v>
      </c>
      <c r="C293" s="156" t="s">
        <v>553</v>
      </c>
      <c r="D293" s="157" t="s">
        <v>602</v>
      </c>
      <c r="E293" s="281" t="s">
        <v>603</v>
      </c>
      <c r="F293" s="151" t="s">
        <v>127</v>
      </c>
      <c r="G293" s="152">
        <v>0</v>
      </c>
      <c r="H293" s="153" t="s">
        <v>70</v>
      </c>
      <c r="I293" s="154">
        <v>1</v>
      </c>
      <c r="J293" s="154">
        <v>5</v>
      </c>
      <c r="K293" s="30" t="str">
        <f>IF(H293="","",IF($C$30="간이법","",FPR(H293,I293,J293)))</f>
        <v/>
      </c>
      <c r="L293" s="30">
        <f>IF(H293="","",IF($C$30="상세법",FPV(H293,K293),IF(H293="EI",4,IF(H293="EO",5.2,IF(H293="EQ",3.9,IF(H293="ILF",7.5,IF(H293="EIF",5.4)))))))</f>
        <v>3.9</v>
      </c>
      <c r="M293" s="30" t="str">
        <f t="shared" si="23"/>
        <v/>
      </c>
      <c r="N293" s="134"/>
      <c r="O293" s="29"/>
      <c r="P293" s="37" t="str">
        <f t="shared" si="24"/>
        <v/>
      </c>
      <c r="Q293" s="38" t="str">
        <f t="shared" si="25"/>
        <v/>
      </c>
      <c r="R293" s="37" t="str">
        <f t="shared" si="26"/>
        <v/>
      </c>
      <c r="S293" s="37" t="str">
        <f t="shared" si="27"/>
        <v/>
      </c>
      <c r="T293" s="38" t="str">
        <f t="shared" si="28"/>
        <v/>
      </c>
      <c r="U293" s="37" t="str">
        <f t="shared" si="29"/>
        <v/>
      </c>
    </row>
    <row r="294" spans="2:21" ht="27">
      <c r="B294" s="282" t="s">
        <v>159</v>
      </c>
      <c r="C294" s="156" t="s">
        <v>553</v>
      </c>
      <c r="D294" s="157" t="s">
        <v>604</v>
      </c>
      <c r="E294" s="281" t="s">
        <v>604</v>
      </c>
      <c r="F294" s="151" t="s">
        <v>127</v>
      </c>
      <c r="G294" s="152">
        <v>0</v>
      </c>
      <c r="H294" s="153" t="s">
        <v>8</v>
      </c>
      <c r="I294" s="154">
        <v>1</v>
      </c>
      <c r="J294" s="154">
        <v>5</v>
      </c>
      <c r="K294" s="30" t="str">
        <f>IF(H294="","",IF($C$30="간이법","",FPR(H294,I294,J294)))</f>
        <v/>
      </c>
      <c r="L294" s="30">
        <f>IF(H294="","",IF($C$30="상세법",FPV(H294,K294),IF(H294="EI",4,IF(H294="EO",5.2,IF(H294="EQ",3.9,IF(H294="ILF",7.5,IF(H294="EIF",5.4)))))))</f>
        <v>4</v>
      </c>
      <c r="M294" s="30" t="str">
        <f t="shared" si="23"/>
        <v/>
      </c>
      <c r="N294" s="134"/>
      <c r="O294" s="29"/>
      <c r="P294" s="37" t="str">
        <f t="shared" si="24"/>
        <v/>
      </c>
      <c r="Q294" s="38" t="str">
        <f t="shared" si="25"/>
        <v/>
      </c>
      <c r="R294" s="37" t="str">
        <f t="shared" si="26"/>
        <v/>
      </c>
      <c r="S294" s="37" t="str">
        <f t="shared" si="27"/>
        <v/>
      </c>
      <c r="T294" s="38" t="str">
        <f t="shared" si="28"/>
        <v/>
      </c>
      <c r="U294" s="37" t="str">
        <f t="shared" si="29"/>
        <v/>
      </c>
    </row>
    <row r="295" spans="2:21" ht="27">
      <c r="B295" s="282" t="s">
        <v>159</v>
      </c>
      <c r="C295" s="156" t="s">
        <v>553</v>
      </c>
      <c r="D295" s="157" t="s">
        <v>605</v>
      </c>
      <c r="E295" s="281" t="s">
        <v>605</v>
      </c>
      <c r="F295" s="151" t="s">
        <v>127</v>
      </c>
      <c r="G295" s="152">
        <v>0</v>
      </c>
      <c r="H295" s="153" t="s">
        <v>8</v>
      </c>
      <c r="I295" s="154">
        <v>1</v>
      </c>
      <c r="J295" s="154">
        <v>6</v>
      </c>
      <c r="K295" s="30" t="str">
        <f>IF(H295="","",IF($C$30="간이법","",FPR(H295,I295,J295)))</f>
        <v/>
      </c>
      <c r="L295" s="30">
        <f>IF(H295="","",IF($C$30="상세법",FPV(H295,K295),IF(H295="EI",4,IF(H295="EO",5.2,IF(H295="EQ",3.9,IF(H295="ILF",7.5,IF(H295="EIF",5.4)))))))</f>
        <v>4</v>
      </c>
      <c r="M295" s="30" t="str">
        <f t="shared" si="23"/>
        <v/>
      </c>
      <c r="N295" s="134"/>
      <c r="O295" s="29"/>
      <c r="P295" s="37" t="str">
        <f t="shared" si="24"/>
        <v/>
      </c>
      <c r="Q295" s="38" t="str">
        <f t="shared" si="25"/>
        <v/>
      </c>
      <c r="R295" s="37" t="str">
        <f t="shared" si="26"/>
        <v/>
      </c>
      <c r="S295" s="37" t="str">
        <f t="shared" si="27"/>
        <v/>
      </c>
      <c r="T295" s="38" t="str">
        <f t="shared" si="28"/>
        <v/>
      </c>
      <c r="U295" s="37" t="str">
        <f t="shared" si="29"/>
        <v/>
      </c>
    </row>
    <row r="296" spans="2:21" ht="27">
      <c r="B296" s="282" t="s">
        <v>159</v>
      </c>
      <c r="C296" s="156" t="s">
        <v>553</v>
      </c>
      <c r="D296" s="157" t="s">
        <v>606</v>
      </c>
      <c r="E296" s="281" t="s">
        <v>606</v>
      </c>
      <c r="F296" s="151" t="s">
        <v>127</v>
      </c>
      <c r="G296" s="152">
        <v>0</v>
      </c>
      <c r="H296" s="153" t="s">
        <v>8</v>
      </c>
      <c r="I296" s="154">
        <v>1</v>
      </c>
      <c r="J296" s="154">
        <v>5</v>
      </c>
      <c r="K296" s="30" t="str">
        <f>IF(H296="","",IF($C$30="간이법","",FPR(H296,I296,J296)))</f>
        <v/>
      </c>
      <c r="L296" s="30">
        <f>IF(H296="","",IF($C$30="상세법",FPV(H296,K296),IF(H296="EI",4,IF(H296="EO",5.2,IF(H296="EQ",3.9,IF(H296="ILF",7.5,IF(H296="EIF",5.4)))))))</f>
        <v>4</v>
      </c>
      <c r="M296" s="30" t="str">
        <f t="shared" si="23"/>
        <v/>
      </c>
      <c r="N296" s="134"/>
      <c r="O296" s="29"/>
      <c r="P296" s="37" t="str">
        <f t="shared" si="24"/>
        <v/>
      </c>
      <c r="Q296" s="38" t="str">
        <f t="shared" si="25"/>
        <v/>
      </c>
      <c r="R296" s="37" t="str">
        <f t="shared" si="26"/>
        <v/>
      </c>
      <c r="S296" s="37" t="str">
        <f t="shared" si="27"/>
        <v/>
      </c>
      <c r="T296" s="38" t="str">
        <f t="shared" si="28"/>
        <v/>
      </c>
      <c r="U296" s="37" t="str">
        <f t="shared" si="29"/>
        <v/>
      </c>
    </row>
    <row r="297" spans="2:21" ht="27">
      <c r="B297" s="282" t="s">
        <v>159</v>
      </c>
      <c r="C297" s="156" t="s">
        <v>553</v>
      </c>
      <c r="D297" s="157" t="s">
        <v>607</v>
      </c>
      <c r="E297" s="281" t="s">
        <v>608</v>
      </c>
      <c r="F297" s="151" t="s">
        <v>127</v>
      </c>
      <c r="G297" s="152">
        <v>0</v>
      </c>
      <c r="H297" s="153" t="s">
        <v>70</v>
      </c>
      <c r="I297" s="154">
        <v>1</v>
      </c>
      <c r="J297" s="154">
        <v>5</v>
      </c>
      <c r="K297" s="30" t="str">
        <f>IF(H297="","",IF($C$30="간이법","",FPR(H297,I297,J297)))</f>
        <v/>
      </c>
      <c r="L297" s="30">
        <f>IF(H297="","",IF($C$30="상세법",FPV(H297,K297),IF(H297="EI",4,IF(H297="EO",5.2,IF(H297="EQ",3.9,IF(H297="ILF",7.5,IF(H297="EIF",5.4)))))))</f>
        <v>3.9</v>
      </c>
      <c r="M297" s="30" t="str">
        <f t="shared" si="23"/>
        <v/>
      </c>
      <c r="N297" s="134"/>
      <c r="O297" s="29"/>
      <c r="P297" s="37" t="str">
        <f t="shared" si="24"/>
        <v/>
      </c>
      <c r="Q297" s="38" t="str">
        <f t="shared" si="25"/>
        <v/>
      </c>
      <c r="R297" s="37" t="str">
        <f t="shared" si="26"/>
        <v/>
      </c>
      <c r="S297" s="37" t="str">
        <f t="shared" si="27"/>
        <v/>
      </c>
      <c r="T297" s="38" t="str">
        <f t="shared" si="28"/>
        <v/>
      </c>
      <c r="U297" s="37" t="str">
        <f t="shared" si="29"/>
        <v/>
      </c>
    </row>
    <row r="298" spans="2:21" ht="27">
      <c r="B298" s="282" t="s">
        <v>159</v>
      </c>
      <c r="C298" s="156" t="s">
        <v>553</v>
      </c>
      <c r="D298" s="157" t="s">
        <v>609</v>
      </c>
      <c r="E298" s="281" t="s">
        <v>609</v>
      </c>
      <c r="F298" s="151" t="s">
        <v>127</v>
      </c>
      <c r="G298" s="152">
        <v>0</v>
      </c>
      <c r="H298" s="153" t="s">
        <v>8</v>
      </c>
      <c r="I298" s="154">
        <v>1</v>
      </c>
      <c r="J298" s="154">
        <v>5</v>
      </c>
      <c r="K298" s="30" t="str">
        <f>IF(H298="","",IF($C$30="간이법","",FPR(H298,I298,J298)))</f>
        <v/>
      </c>
      <c r="L298" s="30">
        <f>IF(H298="","",IF($C$30="상세법",FPV(H298,K298),IF(H298="EI",4,IF(H298="EO",5.2,IF(H298="EQ",3.9,IF(H298="ILF",7.5,IF(H298="EIF",5.4)))))))</f>
        <v>4</v>
      </c>
      <c r="M298" s="30" t="str">
        <f t="shared" si="23"/>
        <v/>
      </c>
      <c r="N298" s="134"/>
      <c r="O298" s="29"/>
      <c r="P298" s="37" t="str">
        <f t="shared" si="24"/>
        <v/>
      </c>
      <c r="Q298" s="38" t="str">
        <f t="shared" si="25"/>
        <v/>
      </c>
      <c r="R298" s="37" t="str">
        <f t="shared" si="26"/>
        <v/>
      </c>
      <c r="S298" s="37" t="str">
        <f t="shared" si="27"/>
        <v/>
      </c>
      <c r="T298" s="38" t="str">
        <f t="shared" si="28"/>
        <v/>
      </c>
      <c r="U298" s="37" t="str">
        <f t="shared" si="29"/>
        <v/>
      </c>
    </row>
    <row r="299" spans="2:21" ht="27">
      <c r="B299" s="282" t="s">
        <v>159</v>
      </c>
      <c r="C299" s="156" t="s">
        <v>553</v>
      </c>
      <c r="D299" s="157" t="s">
        <v>610</v>
      </c>
      <c r="E299" s="281" t="s">
        <v>610</v>
      </c>
      <c r="F299" s="151" t="s">
        <v>127</v>
      </c>
      <c r="G299" s="152">
        <v>0</v>
      </c>
      <c r="H299" s="153" t="s">
        <v>8</v>
      </c>
      <c r="I299" s="154">
        <v>1</v>
      </c>
      <c r="J299" s="154">
        <v>6</v>
      </c>
      <c r="K299" s="30" t="str">
        <f>IF(H299="","",IF($C$30="간이법","",FPR(H299,I299,J299)))</f>
        <v/>
      </c>
      <c r="L299" s="30">
        <f>IF(H299="","",IF($C$30="상세법",FPV(H299,K299),IF(H299="EI",4,IF(H299="EO",5.2,IF(H299="EQ",3.9,IF(H299="ILF",7.5,IF(H299="EIF",5.4)))))))</f>
        <v>4</v>
      </c>
      <c r="M299" s="30" t="str">
        <f t="shared" si="23"/>
        <v/>
      </c>
      <c r="N299" s="134"/>
      <c r="O299" s="29"/>
      <c r="P299" s="37" t="str">
        <f t="shared" si="24"/>
        <v/>
      </c>
      <c r="Q299" s="38" t="str">
        <f t="shared" si="25"/>
        <v/>
      </c>
      <c r="R299" s="37" t="str">
        <f t="shared" si="26"/>
        <v/>
      </c>
      <c r="S299" s="37" t="str">
        <f t="shared" si="27"/>
        <v/>
      </c>
      <c r="T299" s="38" t="str">
        <f t="shared" si="28"/>
        <v/>
      </c>
      <c r="U299" s="37" t="str">
        <f t="shared" si="29"/>
        <v/>
      </c>
    </row>
    <row r="300" spans="2:21" ht="27">
      <c r="B300" s="282" t="s">
        <v>159</v>
      </c>
      <c r="C300" s="156" t="s">
        <v>553</v>
      </c>
      <c r="D300" s="157" t="s">
        <v>611</v>
      </c>
      <c r="E300" s="281" t="s">
        <v>611</v>
      </c>
      <c r="F300" s="151" t="s">
        <v>127</v>
      </c>
      <c r="G300" s="152">
        <v>0</v>
      </c>
      <c r="H300" s="153" t="s">
        <v>8</v>
      </c>
      <c r="I300" s="154">
        <v>1</v>
      </c>
      <c r="J300" s="154">
        <v>5</v>
      </c>
      <c r="K300" s="30" t="str">
        <f>IF(H300="","",IF($C$30="간이법","",FPR(H300,I300,J300)))</f>
        <v/>
      </c>
      <c r="L300" s="30">
        <f>IF(H300="","",IF($C$30="상세법",FPV(H300,K300),IF(H300="EI",4,IF(H300="EO",5.2,IF(H300="EQ",3.9,IF(H300="ILF",7.5,IF(H300="EIF",5.4)))))))</f>
        <v>4</v>
      </c>
      <c r="M300" s="30" t="str">
        <f t="shared" si="23"/>
        <v/>
      </c>
      <c r="N300" s="134"/>
      <c r="O300" s="29"/>
      <c r="P300" s="37" t="str">
        <f t="shared" si="24"/>
        <v/>
      </c>
      <c r="Q300" s="38" t="str">
        <f t="shared" si="25"/>
        <v/>
      </c>
      <c r="R300" s="37" t="str">
        <f t="shared" si="26"/>
        <v/>
      </c>
      <c r="S300" s="37" t="str">
        <f t="shared" si="27"/>
        <v/>
      </c>
      <c r="T300" s="38" t="str">
        <f t="shared" si="28"/>
        <v/>
      </c>
      <c r="U300" s="37" t="str">
        <f t="shared" si="29"/>
        <v/>
      </c>
    </row>
    <row r="301" spans="2:21" ht="27">
      <c r="B301" s="282" t="s">
        <v>159</v>
      </c>
      <c r="C301" s="156" t="s">
        <v>553</v>
      </c>
      <c r="D301" s="157" t="s">
        <v>612</v>
      </c>
      <c r="E301" s="281" t="s">
        <v>613</v>
      </c>
      <c r="F301" s="151" t="s">
        <v>127</v>
      </c>
      <c r="G301" s="152">
        <v>0</v>
      </c>
      <c r="H301" s="153" t="s">
        <v>70</v>
      </c>
      <c r="I301" s="154">
        <v>1</v>
      </c>
      <c r="J301" s="154">
        <v>5</v>
      </c>
      <c r="K301" s="30" t="str">
        <f>IF(H301="","",IF($C$30="간이법","",FPR(H301,I301,J301)))</f>
        <v/>
      </c>
      <c r="L301" s="30">
        <f>IF(H301="","",IF($C$30="상세법",FPV(H301,K301),IF(H301="EI",4,IF(H301="EO",5.2,IF(H301="EQ",3.9,IF(H301="ILF",7.5,IF(H301="EIF",5.4)))))))</f>
        <v>3.9</v>
      </c>
      <c r="M301" s="30" t="str">
        <f t="shared" si="23"/>
        <v/>
      </c>
      <c r="N301" s="134"/>
      <c r="O301" s="29"/>
      <c r="P301" s="37" t="str">
        <f t="shared" si="24"/>
        <v/>
      </c>
      <c r="Q301" s="38" t="str">
        <f t="shared" si="25"/>
        <v/>
      </c>
      <c r="R301" s="37" t="str">
        <f t="shared" si="26"/>
        <v/>
      </c>
      <c r="S301" s="37" t="str">
        <f t="shared" si="27"/>
        <v/>
      </c>
      <c r="T301" s="38" t="str">
        <f t="shared" si="28"/>
        <v/>
      </c>
      <c r="U301" s="37" t="str">
        <f t="shared" si="29"/>
        <v/>
      </c>
    </row>
    <row r="302" spans="2:21" ht="27">
      <c r="B302" s="282" t="s">
        <v>159</v>
      </c>
      <c r="C302" s="156" t="s">
        <v>553</v>
      </c>
      <c r="D302" s="157" t="s">
        <v>614</v>
      </c>
      <c r="E302" s="281" t="s">
        <v>614</v>
      </c>
      <c r="F302" s="151" t="s">
        <v>127</v>
      </c>
      <c r="G302" s="152">
        <v>0</v>
      </c>
      <c r="H302" s="153" t="s">
        <v>8</v>
      </c>
      <c r="I302" s="154">
        <v>1</v>
      </c>
      <c r="J302" s="154">
        <v>5</v>
      </c>
      <c r="K302" s="30" t="str">
        <f>IF(H302="","",IF($C$30="간이법","",FPR(H302,I302,J302)))</f>
        <v/>
      </c>
      <c r="L302" s="30">
        <f>IF(H302="","",IF($C$30="상세법",FPV(H302,K302),IF(H302="EI",4,IF(H302="EO",5.2,IF(H302="EQ",3.9,IF(H302="ILF",7.5,IF(H302="EIF",5.4)))))))</f>
        <v>4</v>
      </c>
      <c r="M302" s="30" t="str">
        <f t="shared" si="23"/>
        <v/>
      </c>
      <c r="N302" s="134"/>
      <c r="O302" s="29"/>
      <c r="P302" s="37" t="str">
        <f t="shared" si="24"/>
        <v/>
      </c>
      <c r="Q302" s="38" t="str">
        <f t="shared" si="25"/>
        <v/>
      </c>
      <c r="R302" s="37" t="str">
        <f t="shared" si="26"/>
        <v/>
      </c>
      <c r="S302" s="37" t="str">
        <f t="shared" si="27"/>
        <v/>
      </c>
      <c r="T302" s="38" t="str">
        <f t="shared" si="28"/>
        <v/>
      </c>
      <c r="U302" s="37" t="str">
        <f t="shared" si="29"/>
        <v/>
      </c>
    </row>
    <row r="303" spans="2:21" ht="27">
      <c r="B303" s="282" t="s">
        <v>159</v>
      </c>
      <c r="C303" s="156" t="s">
        <v>553</v>
      </c>
      <c r="D303" s="157" t="s">
        <v>615</v>
      </c>
      <c r="E303" s="281" t="s">
        <v>615</v>
      </c>
      <c r="F303" s="151" t="s">
        <v>127</v>
      </c>
      <c r="G303" s="152">
        <v>0</v>
      </c>
      <c r="H303" s="153" t="s">
        <v>8</v>
      </c>
      <c r="I303" s="154">
        <v>1</v>
      </c>
      <c r="J303" s="154">
        <v>5</v>
      </c>
      <c r="K303" s="30" t="str">
        <f>IF(H303="","",IF($C$30="간이법","",FPR(H303,I303,J303)))</f>
        <v/>
      </c>
      <c r="L303" s="30">
        <f>IF(H303="","",IF($C$30="상세법",FPV(H303,K303),IF(H303="EI",4,IF(H303="EO",5.2,IF(H303="EQ",3.9,IF(H303="ILF",7.5,IF(H303="EIF",5.4)))))))</f>
        <v>4</v>
      </c>
      <c r="M303" s="30" t="str">
        <f t="shared" si="23"/>
        <v/>
      </c>
      <c r="N303" s="134"/>
      <c r="O303" s="29"/>
      <c r="P303" s="37" t="str">
        <f t="shared" si="24"/>
        <v/>
      </c>
      <c r="Q303" s="38" t="str">
        <f t="shared" si="25"/>
        <v/>
      </c>
      <c r="R303" s="37" t="str">
        <f t="shared" si="26"/>
        <v/>
      </c>
      <c r="S303" s="37" t="str">
        <f t="shared" si="27"/>
        <v/>
      </c>
      <c r="T303" s="38" t="str">
        <f t="shared" si="28"/>
        <v/>
      </c>
      <c r="U303" s="37" t="str">
        <f t="shared" si="29"/>
        <v/>
      </c>
    </row>
    <row r="304" spans="2:21" ht="27">
      <c r="B304" s="282" t="s">
        <v>159</v>
      </c>
      <c r="C304" s="156" t="s">
        <v>553</v>
      </c>
      <c r="D304" s="157" t="s">
        <v>616</v>
      </c>
      <c r="E304" s="281" t="s">
        <v>616</v>
      </c>
      <c r="F304" s="151" t="s">
        <v>127</v>
      </c>
      <c r="G304" s="152">
        <v>0</v>
      </c>
      <c r="H304" s="153" t="s">
        <v>8</v>
      </c>
      <c r="I304" s="154">
        <v>1</v>
      </c>
      <c r="J304" s="154">
        <v>5</v>
      </c>
      <c r="K304" s="30" t="str">
        <f>IF(H304="","",IF($C$30="간이법","",FPR(H304,I304,J304)))</f>
        <v/>
      </c>
      <c r="L304" s="30">
        <f>IF(H304="","",IF($C$30="상세법",FPV(H304,K304),IF(H304="EI",4,IF(H304="EO",5.2,IF(H304="EQ",3.9,IF(H304="ILF",7.5,IF(H304="EIF",5.4)))))))</f>
        <v>4</v>
      </c>
      <c r="M304" s="30" t="str">
        <f t="shared" si="23"/>
        <v/>
      </c>
      <c r="N304" s="134"/>
      <c r="O304" s="29"/>
      <c r="P304" s="37" t="str">
        <f t="shared" si="24"/>
        <v/>
      </c>
      <c r="Q304" s="38" t="str">
        <f t="shared" si="25"/>
        <v/>
      </c>
      <c r="R304" s="37" t="str">
        <f t="shared" si="26"/>
        <v/>
      </c>
      <c r="S304" s="37" t="str">
        <f t="shared" si="27"/>
        <v/>
      </c>
      <c r="T304" s="38" t="str">
        <f t="shared" si="28"/>
        <v/>
      </c>
      <c r="U304" s="37" t="str">
        <f t="shared" si="29"/>
        <v/>
      </c>
    </row>
    <row r="305" spans="2:21" ht="27">
      <c r="B305" s="282" t="s">
        <v>159</v>
      </c>
      <c r="C305" s="156" t="s">
        <v>553</v>
      </c>
      <c r="D305" s="157" t="s">
        <v>617</v>
      </c>
      <c r="E305" s="281" t="s">
        <v>618</v>
      </c>
      <c r="F305" s="151" t="s">
        <v>127</v>
      </c>
      <c r="G305" s="152">
        <v>0</v>
      </c>
      <c r="H305" s="153" t="s">
        <v>70</v>
      </c>
      <c r="I305" s="154">
        <v>1</v>
      </c>
      <c r="J305" s="154">
        <v>5</v>
      </c>
      <c r="K305" s="30" t="str">
        <f>IF(H305="","",IF($C$30="간이법","",FPR(H305,I305,J305)))</f>
        <v/>
      </c>
      <c r="L305" s="30">
        <f>IF(H305="","",IF($C$30="상세법",FPV(H305,K305),IF(H305="EI",4,IF(H305="EO",5.2,IF(H305="EQ",3.9,IF(H305="ILF",7.5,IF(H305="EIF",5.4)))))))</f>
        <v>3.9</v>
      </c>
      <c r="M305" s="30" t="str">
        <f t="shared" si="23"/>
        <v/>
      </c>
      <c r="N305" s="134"/>
      <c r="O305" s="29"/>
      <c r="P305" s="37" t="str">
        <f t="shared" si="24"/>
        <v/>
      </c>
      <c r="Q305" s="38" t="str">
        <f t="shared" si="25"/>
        <v/>
      </c>
      <c r="R305" s="37" t="str">
        <f t="shared" si="26"/>
        <v/>
      </c>
      <c r="S305" s="37" t="str">
        <f t="shared" si="27"/>
        <v/>
      </c>
      <c r="T305" s="38" t="str">
        <f t="shared" si="28"/>
        <v/>
      </c>
      <c r="U305" s="37" t="str">
        <f t="shared" si="29"/>
        <v/>
      </c>
    </row>
    <row r="306" spans="2:21" ht="27">
      <c r="B306" s="282" t="s">
        <v>159</v>
      </c>
      <c r="C306" s="156" t="s">
        <v>553</v>
      </c>
      <c r="D306" s="157" t="s">
        <v>619</v>
      </c>
      <c r="E306" s="281" t="s">
        <v>619</v>
      </c>
      <c r="F306" s="151" t="s">
        <v>127</v>
      </c>
      <c r="G306" s="152">
        <v>0</v>
      </c>
      <c r="H306" s="153" t="s">
        <v>8</v>
      </c>
      <c r="I306" s="154">
        <v>1</v>
      </c>
      <c r="J306" s="154">
        <v>5</v>
      </c>
      <c r="K306" s="30" t="str">
        <f>IF(H306="","",IF($C$30="간이법","",FPR(H306,I306,J306)))</f>
        <v/>
      </c>
      <c r="L306" s="30">
        <f>IF(H306="","",IF($C$30="상세법",FPV(H306,K306),IF(H306="EI",4,IF(H306="EO",5.2,IF(H306="EQ",3.9,IF(H306="ILF",7.5,IF(H306="EIF",5.4)))))))</f>
        <v>4</v>
      </c>
      <c r="M306" s="30" t="str">
        <f t="shared" si="23"/>
        <v/>
      </c>
      <c r="N306" s="134"/>
      <c r="O306" s="29"/>
      <c r="P306" s="37" t="str">
        <f t="shared" si="24"/>
        <v/>
      </c>
      <c r="Q306" s="38" t="str">
        <f t="shared" si="25"/>
        <v/>
      </c>
      <c r="R306" s="37" t="str">
        <f t="shared" si="26"/>
        <v/>
      </c>
      <c r="S306" s="37" t="str">
        <f t="shared" si="27"/>
        <v/>
      </c>
      <c r="T306" s="38" t="str">
        <f t="shared" si="28"/>
        <v/>
      </c>
      <c r="U306" s="37" t="str">
        <f t="shared" si="29"/>
        <v/>
      </c>
    </row>
    <row r="307" spans="2:21" ht="27">
      <c r="B307" s="282" t="s">
        <v>159</v>
      </c>
      <c r="C307" s="156" t="s">
        <v>553</v>
      </c>
      <c r="D307" s="157" t="s">
        <v>620</v>
      </c>
      <c r="E307" s="281" t="s">
        <v>620</v>
      </c>
      <c r="F307" s="151" t="s">
        <v>127</v>
      </c>
      <c r="G307" s="152">
        <v>0</v>
      </c>
      <c r="H307" s="153" t="s">
        <v>8</v>
      </c>
      <c r="I307" s="154">
        <v>1</v>
      </c>
      <c r="J307" s="154">
        <v>5</v>
      </c>
      <c r="K307" s="30" t="str">
        <f>IF(H307="","",IF($C$30="간이법","",FPR(H307,I307,J307)))</f>
        <v/>
      </c>
      <c r="L307" s="30">
        <f>IF(H307="","",IF($C$30="상세법",FPV(H307,K307),IF(H307="EI",4,IF(H307="EO",5.2,IF(H307="EQ",3.9,IF(H307="ILF",7.5,IF(H307="EIF",5.4)))))))</f>
        <v>4</v>
      </c>
      <c r="M307" s="30" t="str">
        <f t="shared" si="23"/>
        <v/>
      </c>
      <c r="N307" s="134"/>
      <c r="O307" s="29"/>
      <c r="P307" s="37" t="str">
        <f t="shared" si="24"/>
        <v/>
      </c>
      <c r="Q307" s="38" t="str">
        <f t="shared" si="25"/>
        <v/>
      </c>
      <c r="R307" s="37" t="str">
        <f t="shared" si="26"/>
        <v/>
      </c>
      <c r="S307" s="37" t="str">
        <f t="shared" si="27"/>
        <v/>
      </c>
      <c r="T307" s="38" t="str">
        <f t="shared" si="28"/>
        <v/>
      </c>
      <c r="U307" s="37" t="str">
        <f t="shared" si="29"/>
        <v/>
      </c>
    </row>
    <row r="308" spans="2:21" ht="27">
      <c r="B308" s="282" t="s">
        <v>159</v>
      </c>
      <c r="C308" s="156" t="s">
        <v>553</v>
      </c>
      <c r="D308" s="157" t="s">
        <v>621</v>
      </c>
      <c r="E308" s="281" t="s">
        <v>621</v>
      </c>
      <c r="F308" s="151" t="s">
        <v>127</v>
      </c>
      <c r="G308" s="152">
        <v>0</v>
      </c>
      <c r="H308" s="153" t="s">
        <v>8</v>
      </c>
      <c r="I308" s="154">
        <v>1</v>
      </c>
      <c r="J308" s="154">
        <v>5</v>
      </c>
      <c r="K308" s="30" t="str">
        <f>IF(H308="","",IF($C$30="간이법","",FPR(H308,I308,J308)))</f>
        <v/>
      </c>
      <c r="L308" s="30">
        <f>IF(H308="","",IF($C$30="상세법",FPV(H308,K308),IF(H308="EI",4,IF(H308="EO",5.2,IF(H308="EQ",3.9,IF(H308="ILF",7.5,IF(H308="EIF",5.4)))))))</f>
        <v>4</v>
      </c>
      <c r="M308" s="30" t="str">
        <f t="shared" si="23"/>
        <v/>
      </c>
      <c r="N308" s="134"/>
      <c r="O308" s="29"/>
      <c r="P308" s="37" t="str">
        <f t="shared" si="24"/>
        <v/>
      </c>
      <c r="Q308" s="38" t="str">
        <f t="shared" si="25"/>
        <v/>
      </c>
      <c r="R308" s="37" t="str">
        <f t="shared" si="26"/>
        <v/>
      </c>
      <c r="S308" s="37" t="str">
        <f t="shared" si="27"/>
        <v/>
      </c>
      <c r="T308" s="38" t="str">
        <f t="shared" si="28"/>
        <v/>
      </c>
      <c r="U308" s="37" t="str">
        <f t="shared" si="29"/>
        <v/>
      </c>
    </row>
    <row r="309" spans="2:21" ht="27">
      <c r="B309" s="282" t="s">
        <v>159</v>
      </c>
      <c r="C309" s="156" t="s">
        <v>553</v>
      </c>
      <c r="D309" s="157" t="s">
        <v>622</v>
      </c>
      <c r="E309" s="281" t="s">
        <v>623</v>
      </c>
      <c r="F309" s="151" t="s">
        <v>127</v>
      </c>
      <c r="G309" s="152">
        <v>0</v>
      </c>
      <c r="H309" s="153" t="s">
        <v>70</v>
      </c>
      <c r="I309" s="154">
        <v>1</v>
      </c>
      <c r="J309" s="154">
        <v>5</v>
      </c>
      <c r="K309" s="30" t="str">
        <f>IF(H309="","",IF($C$30="간이법","",FPR(H309,I309,J309)))</f>
        <v/>
      </c>
      <c r="L309" s="30">
        <f>IF(H309="","",IF($C$30="상세법",FPV(H309,K309),IF(H309="EI",4,IF(H309="EO",5.2,IF(H309="EQ",3.9,IF(H309="ILF",7.5,IF(H309="EIF",5.4)))))))</f>
        <v>3.9</v>
      </c>
      <c r="M309" s="30" t="str">
        <f t="shared" si="23"/>
        <v/>
      </c>
      <c r="N309" s="134"/>
      <c r="O309" s="29"/>
      <c r="P309" s="37" t="str">
        <f t="shared" si="24"/>
        <v/>
      </c>
      <c r="Q309" s="38" t="str">
        <f t="shared" si="25"/>
        <v/>
      </c>
      <c r="R309" s="37" t="str">
        <f t="shared" si="26"/>
        <v/>
      </c>
      <c r="S309" s="37" t="str">
        <f t="shared" si="27"/>
        <v/>
      </c>
      <c r="T309" s="38" t="str">
        <f t="shared" si="28"/>
        <v/>
      </c>
      <c r="U309" s="37" t="str">
        <f t="shared" si="29"/>
        <v/>
      </c>
    </row>
    <row r="310" spans="2:21" ht="27">
      <c r="B310" s="282" t="s">
        <v>159</v>
      </c>
      <c r="C310" s="156" t="s">
        <v>553</v>
      </c>
      <c r="D310" s="157" t="s">
        <v>624</v>
      </c>
      <c r="E310" s="281" t="s">
        <v>624</v>
      </c>
      <c r="F310" s="151" t="s">
        <v>127</v>
      </c>
      <c r="G310" s="152">
        <v>0</v>
      </c>
      <c r="H310" s="153" t="s">
        <v>8</v>
      </c>
      <c r="I310" s="154">
        <v>1</v>
      </c>
      <c r="J310" s="154">
        <v>5</v>
      </c>
      <c r="K310" s="30" t="str">
        <f>IF(H310="","",IF($C$30="간이법","",FPR(H310,I310,J310)))</f>
        <v/>
      </c>
      <c r="L310" s="30">
        <f>IF(H310="","",IF($C$30="상세법",FPV(H310,K310),IF(H310="EI",4,IF(H310="EO",5.2,IF(H310="EQ",3.9,IF(H310="ILF",7.5,IF(H310="EIF",5.4)))))))</f>
        <v>4</v>
      </c>
      <c r="M310" s="30" t="str">
        <f t="shared" si="23"/>
        <v/>
      </c>
      <c r="N310" s="134"/>
      <c r="O310" s="29"/>
      <c r="P310" s="37" t="str">
        <f t="shared" si="24"/>
        <v/>
      </c>
      <c r="Q310" s="38" t="str">
        <f t="shared" si="25"/>
        <v/>
      </c>
      <c r="R310" s="37" t="str">
        <f t="shared" si="26"/>
        <v/>
      </c>
      <c r="S310" s="37" t="str">
        <f t="shared" si="27"/>
        <v/>
      </c>
      <c r="T310" s="38" t="str">
        <f t="shared" si="28"/>
        <v/>
      </c>
      <c r="U310" s="37" t="str">
        <f t="shared" si="29"/>
        <v/>
      </c>
    </row>
    <row r="311" spans="2:21" ht="27">
      <c r="B311" s="282" t="s">
        <v>159</v>
      </c>
      <c r="C311" s="156" t="s">
        <v>553</v>
      </c>
      <c r="D311" s="157" t="s">
        <v>625</v>
      </c>
      <c r="E311" s="281" t="s">
        <v>625</v>
      </c>
      <c r="F311" s="151" t="s">
        <v>127</v>
      </c>
      <c r="G311" s="152">
        <v>0</v>
      </c>
      <c r="H311" s="153" t="s">
        <v>8</v>
      </c>
      <c r="I311" s="154">
        <v>1</v>
      </c>
      <c r="J311" s="154">
        <v>5</v>
      </c>
      <c r="K311" s="30" t="str">
        <f>IF(H311="","",IF($C$30="간이법","",FPR(H311,I311,J311)))</f>
        <v/>
      </c>
      <c r="L311" s="30">
        <f>IF(H311="","",IF($C$30="상세법",FPV(H311,K311),IF(H311="EI",4,IF(H311="EO",5.2,IF(H311="EQ",3.9,IF(H311="ILF",7.5,IF(H311="EIF",5.4)))))))</f>
        <v>4</v>
      </c>
      <c r="M311" s="30" t="str">
        <f t="shared" si="23"/>
        <v/>
      </c>
      <c r="N311" s="134"/>
      <c r="O311" s="29"/>
      <c r="P311" s="37" t="str">
        <f t="shared" si="24"/>
        <v/>
      </c>
      <c r="Q311" s="38" t="str">
        <f t="shared" si="25"/>
        <v/>
      </c>
      <c r="R311" s="37" t="str">
        <f t="shared" si="26"/>
        <v/>
      </c>
      <c r="S311" s="37" t="str">
        <f t="shared" si="27"/>
        <v/>
      </c>
      <c r="T311" s="38" t="str">
        <f t="shared" si="28"/>
        <v/>
      </c>
      <c r="U311" s="37" t="str">
        <f t="shared" si="29"/>
        <v/>
      </c>
    </row>
    <row r="312" spans="2:21" ht="27">
      <c r="B312" s="282" t="s">
        <v>159</v>
      </c>
      <c r="C312" s="156" t="s">
        <v>553</v>
      </c>
      <c r="D312" s="157" t="s">
        <v>626</v>
      </c>
      <c r="E312" s="281" t="s">
        <v>626</v>
      </c>
      <c r="F312" s="151" t="s">
        <v>127</v>
      </c>
      <c r="G312" s="152">
        <v>0</v>
      </c>
      <c r="H312" s="153" t="s">
        <v>8</v>
      </c>
      <c r="I312" s="154">
        <v>1</v>
      </c>
      <c r="J312" s="154">
        <v>5</v>
      </c>
      <c r="K312" s="30" t="str">
        <f>IF(H312="","",IF($C$30="간이법","",FPR(H312,I312,J312)))</f>
        <v/>
      </c>
      <c r="L312" s="30">
        <f>IF(H312="","",IF($C$30="상세법",FPV(H312,K312),IF(H312="EI",4,IF(H312="EO",5.2,IF(H312="EQ",3.9,IF(H312="ILF",7.5,IF(H312="EIF",5.4)))))))</f>
        <v>4</v>
      </c>
      <c r="M312" s="30" t="str">
        <f t="shared" si="23"/>
        <v/>
      </c>
      <c r="N312" s="134"/>
      <c r="O312" s="29"/>
      <c r="P312" s="37" t="str">
        <f t="shared" si="24"/>
        <v/>
      </c>
      <c r="Q312" s="38" t="str">
        <f t="shared" si="25"/>
        <v/>
      </c>
      <c r="R312" s="37" t="str">
        <f t="shared" si="26"/>
        <v/>
      </c>
      <c r="S312" s="37" t="str">
        <f t="shared" si="27"/>
        <v/>
      </c>
      <c r="T312" s="38" t="str">
        <f t="shared" si="28"/>
        <v/>
      </c>
      <c r="U312" s="37" t="str">
        <f t="shared" si="29"/>
        <v/>
      </c>
    </row>
    <row r="313" spans="2:21" ht="27">
      <c r="B313" s="282" t="s">
        <v>159</v>
      </c>
      <c r="C313" s="156" t="s">
        <v>627</v>
      </c>
      <c r="D313" s="157" t="s">
        <v>628</v>
      </c>
      <c r="E313" s="281" t="s">
        <v>629</v>
      </c>
      <c r="F313" s="151" t="s">
        <v>127</v>
      </c>
      <c r="G313" s="152">
        <v>0</v>
      </c>
      <c r="H313" s="153" t="s">
        <v>70</v>
      </c>
      <c r="I313" s="154">
        <v>1</v>
      </c>
      <c r="J313" s="154">
        <v>7</v>
      </c>
      <c r="K313" s="30" t="str">
        <f>IF(H313="","",IF($C$30="간이법","",FPR(H313,I313,J313)))</f>
        <v/>
      </c>
      <c r="L313" s="30">
        <f>IF(H313="","",IF($C$30="상세법",FPV(H313,K313),IF(H313="EI",4,IF(H313="EO",5.2,IF(H313="EQ",3.9,IF(H313="ILF",7.5,IF(H313="EIF",5.4)))))))</f>
        <v>3.9</v>
      </c>
      <c r="M313" s="30" t="str">
        <f t="shared" si="23"/>
        <v/>
      </c>
      <c r="N313" s="134"/>
      <c r="O313" s="29"/>
      <c r="P313" s="37" t="str">
        <f t="shared" si="24"/>
        <v/>
      </c>
      <c r="Q313" s="38" t="str">
        <f t="shared" si="25"/>
        <v/>
      </c>
      <c r="R313" s="37" t="str">
        <f t="shared" si="26"/>
        <v/>
      </c>
      <c r="S313" s="37" t="str">
        <f t="shared" si="27"/>
        <v/>
      </c>
      <c r="T313" s="38" t="str">
        <f t="shared" si="28"/>
        <v/>
      </c>
      <c r="U313" s="37" t="str">
        <f t="shared" si="29"/>
        <v/>
      </c>
    </row>
    <row r="314" spans="2:21" ht="27">
      <c r="B314" s="282" t="s">
        <v>159</v>
      </c>
      <c r="C314" s="156" t="s">
        <v>627</v>
      </c>
      <c r="D314" s="157" t="s">
        <v>630</v>
      </c>
      <c r="E314" s="281" t="s">
        <v>631</v>
      </c>
      <c r="F314" s="151" t="s">
        <v>127</v>
      </c>
      <c r="G314" s="152">
        <v>0</v>
      </c>
      <c r="H314" s="153" t="s">
        <v>70</v>
      </c>
      <c r="I314" s="154">
        <v>1</v>
      </c>
      <c r="J314" s="154">
        <v>6</v>
      </c>
      <c r="K314" s="30" t="str">
        <f>IF(H314="","",IF($C$30="간이법","",FPR(H314,I314,J314)))</f>
        <v/>
      </c>
      <c r="L314" s="30">
        <f>IF(H314="","",IF($C$30="상세법",FPV(H314,K314),IF(H314="EI",4,IF(H314="EO",5.2,IF(H314="EQ",3.9,IF(H314="ILF",7.5,IF(H314="EIF",5.4)))))))</f>
        <v>3.9</v>
      </c>
      <c r="M314" s="30" t="str">
        <f t="shared" si="23"/>
        <v/>
      </c>
      <c r="N314" s="134"/>
      <c r="O314" s="29"/>
      <c r="P314" s="37" t="str">
        <f t="shared" si="24"/>
        <v/>
      </c>
      <c r="Q314" s="38" t="str">
        <f t="shared" si="25"/>
        <v/>
      </c>
      <c r="R314" s="37" t="str">
        <f t="shared" si="26"/>
        <v/>
      </c>
      <c r="S314" s="37" t="str">
        <f t="shared" si="27"/>
        <v/>
      </c>
      <c r="T314" s="38" t="str">
        <f t="shared" si="28"/>
        <v/>
      </c>
      <c r="U314" s="37" t="str">
        <f t="shared" si="29"/>
        <v/>
      </c>
    </row>
    <row r="315" spans="2:21" ht="27">
      <c r="B315" s="282" t="s">
        <v>159</v>
      </c>
      <c r="C315" s="156" t="s">
        <v>627</v>
      </c>
      <c r="D315" s="157" t="s">
        <v>632</v>
      </c>
      <c r="E315" s="281" t="s">
        <v>633</v>
      </c>
      <c r="F315" s="151" t="s">
        <v>127</v>
      </c>
      <c r="G315" s="152">
        <v>0</v>
      </c>
      <c r="H315" s="153" t="s">
        <v>70</v>
      </c>
      <c r="I315" s="154">
        <v>1</v>
      </c>
      <c r="J315" s="154">
        <v>23</v>
      </c>
      <c r="K315" s="30" t="str">
        <f>IF(H315="","",IF($C$30="간이법","",FPR(H315,I315,J315)))</f>
        <v/>
      </c>
      <c r="L315" s="30">
        <f>IF(H315="","",IF($C$30="상세법",FPV(H315,K315),IF(H315="EI",4,IF(H315="EO",5.2,IF(H315="EQ",3.9,IF(H315="ILF",7.5,IF(H315="EIF",5.4)))))))</f>
        <v>3.9</v>
      </c>
      <c r="M315" s="30" t="str">
        <f t="shared" si="23"/>
        <v/>
      </c>
      <c r="N315" s="134"/>
      <c r="O315" s="29"/>
      <c r="P315" s="37" t="str">
        <f t="shared" si="24"/>
        <v/>
      </c>
      <c r="Q315" s="38" t="str">
        <f t="shared" si="25"/>
        <v/>
      </c>
      <c r="R315" s="37" t="str">
        <f t="shared" si="26"/>
        <v/>
      </c>
      <c r="S315" s="37" t="str">
        <f t="shared" si="27"/>
        <v/>
      </c>
      <c r="T315" s="38" t="str">
        <f t="shared" si="28"/>
        <v/>
      </c>
      <c r="U315" s="37" t="str">
        <f t="shared" si="29"/>
        <v/>
      </c>
    </row>
    <row r="316" spans="2:21" ht="27">
      <c r="B316" s="282" t="s">
        <v>159</v>
      </c>
      <c r="C316" s="156" t="s">
        <v>627</v>
      </c>
      <c r="D316" s="157" t="s">
        <v>634</v>
      </c>
      <c r="E316" s="281" t="s">
        <v>634</v>
      </c>
      <c r="F316" s="151" t="s">
        <v>127</v>
      </c>
      <c r="G316" s="152">
        <v>0</v>
      </c>
      <c r="H316" s="153" t="s">
        <v>8</v>
      </c>
      <c r="I316" s="154">
        <v>1</v>
      </c>
      <c r="J316" s="154">
        <v>4</v>
      </c>
      <c r="K316" s="30" t="str">
        <f>IF(H316="","",IF($C$30="간이법","",FPR(H316,I316,J316)))</f>
        <v/>
      </c>
      <c r="L316" s="30">
        <f>IF(H316="","",IF($C$30="상세법",FPV(H316,K316),IF(H316="EI",4,IF(H316="EO",5.2,IF(H316="EQ",3.9,IF(H316="ILF",7.5,IF(H316="EIF",5.4)))))))</f>
        <v>4</v>
      </c>
      <c r="M316" s="30" t="str">
        <f t="shared" ref="M316:M379" si="30">IF(OR(G316="",$E$36="(선택)",$E$40="(선택)",$E$41="(선택)",F316="신규 개발",F316="수정 없이 재사용"),"",(IF(F316="수정 후 재사용",IF($E$50&lt;=0.5,L316*($E$36+$E$50*100*(1+0.02*($E$40*$E$41)))/100,L316*($E$36+$E$50*100+($E$40*$E$41))/100))))</f>
        <v/>
      </c>
      <c r="N316" s="134"/>
      <c r="O316" s="29"/>
      <c r="P316" s="37" t="str">
        <f t="shared" ref="P316:P379" si="31">IF(F316="수정 후 재사용",IF(H316="ILF",G316,IF(H316="EIF",G316,"")),"")</f>
        <v/>
      </c>
      <c r="Q316" s="38" t="str">
        <f t="shared" ref="Q316:Q379" si="32">IF(P316&lt;&gt;"",IF(H316="ILF", L316/$E$46,IF(H316="EIF", L316/$E$46,"")),"")</f>
        <v/>
      </c>
      <c r="R316" s="37" t="str">
        <f t="shared" ref="R316:R379" si="33">IF(P316&lt;&gt;"",P316*Q316,"")</f>
        <v/>
      </c>
      <c r="S316" s="37" t="str">
        <f t="shared" ref="S316:S379" si="34">IF(F316="수정 후 재사용",IF(H316="EI",G316,IF(H316="EO",G316,IF(H316="EQ",G316,""))),"")</f>
        <v/>
      </c>
      <c r="T316" s="38" t="str">
        <f t="shared" ref="T316:T379" si="35">IF(S316&lt;&gt;"",IF(H316="EI",L316/$E$47,IF(H316="EO",L316/$E$47,IF(H316="EQ",L316/$E$47,""))),"")</f>
        <v/>
      </c>
      <c r="U316" s="37" t="str">
        <f t="shared" ref="U316:U379" si="36">IF(S316&lt;&gt;"",S316*T316,"")</f>
        <v/>
      </c>
    </row>
    <row r="317" spans="2:21" ht="27">
      <c r="B317" s="282" t="s">
        <v>159</v>
      </c>
      <c r="C317" s="156" t="s">
        <v>635</v>
      </c>
      <c r="D317" s="157" t="s">
        <v>636</v>
      </c>
      <c r="E317" s="281" t="s">
        <v>636</v>
      </c>
      <c r="F317" s="151" t="s">
        <v>127</v>
      </c>
      <c r="G317" s="152">
        <v>0</v>
      </c>
      <c r="H317" s="153" t="s">
        <v>70</v>
      </c>
      <c r="I317" s="154">
        <v>1</v>
      </c>
      <c r="J317" s="154">
        <v>6</v>
      </c>
      <c r="K317" s="30" t="str">
        <f>IF(H317="","",IF($C$30="간이법","",FPR(H317,I317,J317)))</f>
        <v/>
      </c>
      <c r="L317" s="30">
        <f>IF(H317="","",IF($C$30="상세법",FPV(H317,K317),IF(H317="EI",4,IF(H317="EO",5.2,IF(H317="EQ",3.9,IF(H317="ILF",7.5,IF(H317="EIF",5.4)))))))</f>
        <v>3.9</v>
      </c>
      <c r="M317" s="30" t="str">
        <f t="shared" si="30"/>
        <v/>
      </c>
      <c r="N317" s="134"/>
      <c r="O317" s="29"/>
      <c r="P317" s="37" t="str">
        <f t="shared" si="31"/>
        <v/>
      </c>
      <c r="Q317" s="38" t="str">
        <f t="shared" si="32"/>
        <v/>
      </c>
      <c r="R317" s="37" t="str">
        <f t="shared" si="33"/>
        <v/>
      </c>
      <c r="S317" s="37" t="str">
        <f t="shared" si="34"/>
        <v/>
      </c>
      <c r="T317" s="38" t="str">
        <f t="shared" si="35"/>
        <v/>
      </c>
      <c r="U317" s="37" t="str">
        <f t="shared" si="36"/>
        <v/>
      </c>
    </row>
    <row r="318" spans="2:21" ht="27">
      <c r="B318" s="282" t="s">
        <v>159</v>
      </c>
      <c r="C318" s="156" t="s">
        <v>635</v>
      </c>
      <c r="D318" s="157" t="s">
        <v>637</v>
      </c>
      <c r="E318" s="281" t="s">
        <v>637</v>
      </c>
      <c r="F318" s="151" t="s">
        <v>127</v>
      </c>
      <c r="G318" s="152">
        <v>0</v>
      </c>
      <c r="H318" s="153" t="s">
        <v>70</v>
      </c>
      <c r="I318" s="154">
        <v>1</v>
      </c>
      <c r="J318" s="154">
        <v>22</v>
      </c>
      <c r="K318" s="30" t="str">
        <f>IF(H318="","",IF($C$30="간이법","",FPR(H318,I318,J318)))</f>
        <v/>
      </c>
      <c r="L318" s="30">
        <f>IF(H318="","",IF($C$30="상세법",FPV(H318,K318),IF(H318="EI",4,IF(H318="EO",5.2,IF(H318="EQ",3.9,IF(H318="ILF",7.5,IF(H318="EIF",5.4)))))))</f>
        <v>3.9</v>
      </c>
      <c r="M318" s="30" t="str">
        <f t="shared" si="30"/>
        <v/>
      </c>
      <c r="N318" s="134"/>
      <c r="O318" s="29"/>
      <c r="P318" s="37" t="str">
        <f t="shared" si="31"/>
        <v/>
      </c>
      <c r="Q318" s="38" t="str">
        <f t="shared" si="32"/>
        <v/>
      </c>
      <c r="R318" s="37" t="str">
        <f t="shared" si="33"/>
        <v/>
      </c>
      <c r="S318" s="37" t="str">
        <f t="shared" si="34"/>
        <v/>
      </c>
      <c r="T318" s="38" t="str">
        <f t="shared" si="35"/>
        <v/>
      </c>
      <c r="U318" s="37" t="str">
        <f t="shared" si="36"/>
        <v/>
      </c>
    </row>
    <row r="319" spans="2:21" ht="27">
      <c r="B319" s="282" t="s">
        <v>159</v>
      </c>
      <c r="C319" s="156" t="s">
        <v>635</v>
      </c>
      <c r="D319" s="157" t="s">
        <v>638</v>
      </c>
      <c r="E319" s="281" t="s">
        <v>638</v>
      </c>
      <c r="F319" s="151" t="s">
        <v>127</v>
      </c>
      <c r="G319" s="152">
        <v>0</v>
      </c>
      <c r="H319" s="153" t="s">
        <v>8</v>
      </c>
      <c r="I319" s="154">
        <v>1</v>
      </c>
      <c r="J319" s="154">
        <v>3</v>
      </c>
      <c r="K319" s="30" t="str">
        <f>IF(H319="","",IF($C$30="간이법","",FPR(H319,I319,J319)))</f>
        <v/>
      </c>
      <c r="L319" s="30">
        <f>IF(H319="","",IF($C$30="상세법",FPV(H319,K319),IF(H319="EI",4,IF(H319="EO",5.2,IF(H319="EQ",3.9,IF(H319="ILF",7.5,IF(H319="EIF",5.4)))))))</f>
        <v>4</v>
      </c>
      <c r="M319" s="30" t="str">
        <f t="shared" si="30"/>
        <v/>
      </c>
      <c r="N319" s="134"/>
      <c r="O319" s="29"/>
      <c r="P319" s="37" t="str">
        <f t="shared" si="31"/>
        <v/>
      </c>
      <c r="Q319" s="38" t="str">
        <f t="shared" si="32"/>
        <v/>
      </c>
      <c r="R319" s="37" t="str">
        <f t="shared" si="33"/>
        <v/>
      </c>
      <c r="S319" s="37" t="str">
        <f t="shared" si="34"/>
        <v/>
      </c>
      <c r="T319" s="38" t="str">
        <f t="shared" si="35"/>
        <v/>
      </c>
      <c r="U319" s="37" t="str">
        <f t="shared" si="36"/>
        <v/>
      </c>
    </row>
    <row r="320" spans="2:21" ht="27">
      <c r="B320" s="282" t="s">
        <v>159</v>
      </c>
      <c r="C320" s="156" t="s">
        <v>635</v>
      </c>
      <c r="D320" s="157" t="s">
        <v>639</v>
      </c>
      <c r="E320" s="281" t="s">
        <v>639</v>
      </c>
      <c r="F320" s="151" t="s">
        <v>127</v>
      </c>
      <c r="G320" s="152">
        <v>0</v>
      </c>
      <c r="H320" s="153" t="s">
        <v>8</v>
      </c>
      <c r="I320" s="154">
        <v>1</v>
      </c>
      <c r="J320" s="154">
        <v>4</v>
      </c>
      <c r="K320" s="30" t="str">
        <f>IF(H320="","",IF($C$30="간이법","",FPR(H320,I320,J320)))</f>
        <v/>
      </c>
      <c r="L320" s="30">
        <f>IF(H320="","",IF($C$30="상세법",FPV(H320,K320),IF(H320="EI",4,IF(H320="EO",5.2,IF(H320="EQ",3.9,IF(H320="ILF",7.5,IF(H320="EIF",5.4)))))))</f>
        <v>4</v>
      </c>
      <c r="M320" s="30" t="str">
        <f t="shared" si="30"/>
        <v/>
      </c>
      <c r="N320" s="134"/>
      <c r="O320" s="29"/>
      <c r="P320" s="37" t="str">
        <f t="shared" si="31"/>
        <v/>
      </c>
      <c r="Q320" s="38" t="str">
        <f t="shared" si="32"/>
        <v/>
      </c>
      <c r="R320" s="37" t="str">
        <f t="shared" si="33"/>
        <v/>
      </c>
      <c r="S320" s="37" t="str">
        <f t="shared" si="34"/>
        <v/>
      </c>
      <c r="T320" s="38" t="str">
        <f t="shared" si="35"/>
        <v/>
      </c>
      <c r="U320" s="37" t="str">
        <f t="shared" si="36"/>
        <v/>
      </c>
    </row>
    <row r="321" spans="2:21" ht="27">
      <c r="B321" s="282" t="s">
        <v>159</v>
      </c>
      <c r="C321" s="156" t="s">
        <v>635</v>
      </c>
      <c r="D321" s="157" t="s">
        <v>640</v>
      </c>
      <c r="E321" s="281" t="s">
        <v>641</v>
      </c>
      <c r="F321" s="151" t="s">
        <v>127</v>
      </c>
      <c r="G321" s="152">
        <v>0</v>
      </c>
      <c r="H321" s="153" t="s">
        <v>70</v>
      </c>
      <c r="I321" s="154">
        <v>1</v>
      </c>
      <c r="J321" s="154">
        <v>7</v>
      </c>
      <c r="K321" s="30" t="str">
        <f>IF(H321="","",IF($C$30="간이법","",FPR(H321,I321,J321)))</f>
        <v/>
      </c>
      <c r="L321" s="30">
        <f>IF(H321="","",IF($C$30="상세법",FPV(H321,K321),IF(H321="EI",4,IF(H321="EO",5.2,IF(H321="EQ",3.9,IF(H321="ILF",7.5,IF(H321="EIF",5.4)))))))</f>
        <v>3.9</v>
      </c>
      <c r="M321" s="30" t="str">
        <f t="shared" si="30"/>
        <v/>
      </c>
      <c r="N321" s="134"/>
      <c r="O321" s="29"/>
      <c r="P321" s="37" t="str">
        <f t="shared" si="31"/>
        <v/>
      </c>
      <c r="Q321" s="38" t="str">
        <f t="shared" si="32"/>
        <v/>
      </c>
      <c r="R321" s="37" t="str">
        <f t="shared" si="33"/>
        <v/>
      </c>
      <c r="S321" s="37" t="str">
        <f t="shared" si="34"/>
        <v/>
      </c>
      <c r="T321" s="38" t="str">
        <f t="shared" si="35"/>
        <v/>
      </c>
      <c r="U321" s="37" t="str">
        <f t="shared" si="36"/>
        <v/>
      </c>
    </row>
    <row r="322" spans="2:21" ht="27">
      <c r="B322" s="282" t="s">
        <v>159</v>
      </c>
      <c r="C322" s="156" t="s">
        <v>635</v>
      </c>
      <c r="D322" s="157" t="s">
        <v>642</v>
      </c>
      <c r="E322" s="281" t="s">
        <v>642</v>
      </c>
      <c r="F322" s="151" t="s">
        <v>127</v>
      </c>
      <c r="G322" s="152">
        <v>0</v>
      </c>
      <c r="H322" s="153" t="s">
        <v>8</v>
      </c>
      <c r="I322" s="154">
        <v>1</v>
      </c>
      <c r="J322" s="154">
        <v>5</v>
      </c>
      <c r="K322" s="30" t="str">
        <f>IF(H322="","",IF($C$30="간이법","",FPR(H322,I322,J322)))</f>
        <v/>
      </c>
      <c r="L322" s="30">
        <f>IF(H322="","",IF($C$30="상세법",FPV(H322,K322),IF(H322="EI",4,IF(H322="EO",5.2,IF(H322="EQ",3.9,IF(H322="ILF",7.5,IF(H322="EIF",5.4)))))))</f>
        <v>4</v>
      </c>
      <c r="M322" s="30" t="str">
        <f t="shared" si="30"/>
        <v/>
      </c>
      <c r="N322" s="134"/>
      <c r="O322" s="29"/>
      <c r="P322" s="37" t="str">
        <f t="shared" si="31"/>
        <v/>
      </c>
      <c r="Q322" s="38" t="str">
        <f t="shared" si="32"/>
        <v/>
      </c>
      <c r="R322" s="37" t="str">
        <f t="shared" si="33"/>
        <v/>
      </c>
      <c r="S322" s="37" t="str">
        <f t="shared" si="34"/>
        <v/>
      </c>
      <c r="T322" s="38" t="str">
        <f t="shared" si="35"/>
        <v/>
      </c>
      <c r="U322" s="37" t="str">
        <f t="shared" si="36"/>
        <v/>
      </c>
    </row>
    <row r="323" spans="2:21" ht="27">
      <c r="B323" s="282" t="s">
        <v>159</v>
      </c>
      <c r="C323" s="156" t="s">
        <v>635</v>
      </c>
      <c r="D323" s="157" t="s">
        <v>643</v>
      </c>
      <c r="E323" s="281" t="s">
        <v>643</v>
      </c>
      <c r="F323" s="151" t="s">
        <v>127</v>
      </c>
      <c r="G323" s="152">
        <v>0</v>
      </c>
      <c r="H323" s="153" t="s">
        <v>8</v>
      </c>
      <c r="I323" s="154">
        <v>1</v>
      </c>
      <c r="J323" s="154">
        <v>4</v>
      </c>
      <c r="K323" s="30" t="str">
        <f>IF(H323="","",IF($C$30="간이법","",FPR(H323,I323,J323)))</f>
        <v/>
      </c>
      <c r="L323" s="30">
        <f>IF(H323="","",IF($C$30="상세법",FPV(H323,K323),IF(H323="EI",4,IF(H323="EO",5.2,IF(H323="EQ",3.9,IF(H323="ILF",7.5,IF(H323="EIF",5.4)))))))</f>
        <v>4</v>
      </c>
      <c r="M323" s="30" t="str">
        <f t="shared" si="30"/>
        <v/>
      </c>
      <c r="N323" s="134"/>
      <c r="O323" s="29"/>
      <c r="P323" s="37" t="str">
        <f t="shared" si="31"/>
        <v/>
      </c>
      <c r="Q323" s="38" t="str">
        <f t="shared" si="32"/>
        <v/>
      </c>
      <c r="R323" s="37" t="str">
        <f t="shared" si="33"/>
        <v/>
      </c>
      <c r="S323" s="37" t="str">
        <f t="shared" si="34"/>
        <v/>
      </c>
      <c r="T323" s="38" t="str">
        <f t="shared" si="35"/>
        <v/>
      </c>
      <c r="U323" s="37" t="str">
        <f t="shared" si="36"/>
        <v/>
      </c>
    </row>
    <row r="324" spans="2:21" ht="27">
      <c r="B324" s="282" t="s">
        <v>159</v>
      </c>
      <c r="C324" s="156" t="s">
        <v>635</v>
      </c>
      <c r="D324" s="157" t="s">
        <v>644</v>
      </c>
      <c r="E324" s="281" t="s">
        <v>644</v>
      </c>
      <c r="F324" s="151" t="s">
        <v>127</v>
      </c>
      <c r="G324" s="152">
        <v>0</v>
      </c>
      <c r="H324" s="153" t="s">
        <v>70</v>
      </c>
      <c r="I324" s="154">
        <v>1</v>
      </c>
      <c r="J324" s="154">
        <v>22</v>
      </c>
      <c r="K324" s="30" t="str">
        <f>IF(H324="","",IF($C$30="간이법","",FPR(H324,I324,J324)))</f>
        <v/>
      </c>
      <c r="L324" s="30">
        <f>IF(H324="","",IF($C$30="상세법",FPV(H324,K324),IF(H324="EI",4,IF(H324="EO",5.2,IF(H324="EQ",3.9,IF(H324="ILF",7.5,IF(H324="EIF",5.4)))))))</f>
        <v>3.9</v>
      </c>
      <c r="M324" s="30" t="str">
        <f t="shared" si="30"/>
        <v/>
      </c>
      <c r="N324" s="134"/>
      <c r="O324" s="29"/>
      <c r="P324" s="37" t="str">
        <f t="shared" si="31"/>
        <v/>
      </c>
      <c r="Q324" s="38" t="str">
        <f t="shared" si="32"/>
        <v/>
      </c>
      <c r="R324" s="37" t="str">
        <f t="shared" si="33"/>
        <v/>
      </c>
      <c r="S324" s="37" t="str">
        <f t="shared" si="34"/>
        <v/>
      </c>
      <c r="T324" s="38" t="str">
        <f t="shared" si="35"/>
        <v/>
      </c>
      <c r="U324" s="37" t="str">
        <f t="shared" si="36"/>
        <v/>
      </c>
    </row>
    <row r="325" spans="2:21" ht="27">
      <c r="B325" s="282" t="s">
        <v>159</v>
      </c>
      <c r="C325" s="156" t="s">
        <v>635</v>
      </c>
      <c r="D325" s="157" t="s">
        <v>645</v>
      </c>
      <c r="E325" s="281" t="s">
        <v>185</v>
      </c>
      <c r="F325" s="151" t="s">
        <v>127</v>
      </c>
      <c r="G325" s="152">
        <v>0</v>
      </c>
      <c r="H325" s="153" t="s">
        <v>70</v>
      </c>
      <c r="I325" s="154">
        <v>1</v>
      </c>
      <c r="J325" s="154">
        <v>7</v>
      </c>
      <c r="K325" s="30" t="str">
        <f>IF(H325="","",IF($C$30="간이법","",FPR(H325,I325,J325)))</f>
        <v/>
      </c>
      <c r="L325" s="30">
        <f>IF(H325="","",IF($C$30="상세법",FPV(H325,K325),IF(H325="EI",4,IF(H325="EO",5.2,IF(H325="EQ",3.9,IF(H325="ILF",7.5,IF(H325="EIF",5.4)))))))</f>
        <v>3.9</v>
      </c>
      <c r="M325" s="30" t="str">
        <f t="shared" si="30"/>
        <v/>
      </c>
      <c r="N325" s="134"/>
      <c r="O325" s="29"/>
      <c r="P325" s="37" t="str">
        <f t="shared" si="31"/>
        <v/>
      </c>
      <c r="Q325" s="38" t="str">
        <f t="shared" si="32"/>
        <v/>
      </c>
      <c r="R325" s="37" t="str">
        <f t="shared" si="33"/>
        <v/>
      </c>
      <c r="S325" s="37" t="str">
        <f t="shared" si="34"/>
        <v/>
      </c>
      <c r="T325" s="38" t="str">
        <f t="shared" si="35"/>
        <v/>
      </c>
      <c r="U325" s="37" t="str">
        <f t="shared" si="36"/>
        <v/>
      </c>
    </row>
    <row r="326" spans="2:21" ht="27">
      <c r="B326" s="282" t="s">
        <v>159</v>
      </c>
      <c r="C326" s="156" t="s">
        <v>635</v>
      </c>
      <c r="D326" s="157" t="s">
        <v>646</v>
      </c>
      <c r="E326" s="281" t="s">
        <v>647</v>
      </c>
      <c r="F326" s="151" t="s">
        <v>127</v>
      </c>
      <c r="G326" s="152">
        <v>0</v>
      </c>
      <c r="H326" s="153" t="s">
        <v>8</v>
      </c>
      <c r="I326" s="154">
        <v>1</v>
      </c>
      <c r="J326" s="154">
        <v>5</v>
      </c>
      <c r="K326" s="30" t="str">
        <f>IF(H326="","",IF($C$30="간이법","",FPR(H326,I326,J326)))</f>
        <v/>
      </c>
      <c r="L326" s="30">
        <f>IF(H326="","",IF($C$30="상세법",FPV(H326,K326),IF(H326="EI",4,IF(H326="EO",5.2,IF(H326="EQ",3.9,IF(H326="ILF",7.5,IF(H326="EIF",5.4)))))))</f>
        <v>4</v>
      </c>
      <c r="M326" s="30" t="str">
        <f t="shared" si="30"/>
        <v/>
      </c>
      <c r="N326" s="134"/>
      <c r="O326" s="29"/>
      <c r="P326" s="37" t="str">
        <f t="shared" si="31"/>
        <v/>
      </c>
      <c r="Q326" s="38" t="str">
        <f t="shared" si="32"/>
        <v/>
      </c>
      <c r="R326" s="37" t="str">
        <f t="shared" si="33"/>
        <v/>
      </c>
      <c r="S326" s="37" t="str">
        <f t="shared" si="34"/>
        <v/>
      </c>
      <c r="T326" s="38" t="str">
        <f t="shared" si="35"/>
        <v/>
      </c>
      <c r="U326" s="37" t="str">
        <f t="shared" si="36"/>
        <v/>
      </c>
    </row>
    <row r="327" spans="2:21" ht="27">
      <c r="B327" s="282" t="s">
        <v>159</v>
      </c>
      <c r="C327" s="156" t="s">
        <v>635</v>
      </c>
      <c r="D327" s="157" t="s">
        <v>648</v>
      </c>
      <c r="E327" s="281" t="s">
        <v>649</v>
      </c>
      <c r="F327" s="151" t="s">
        <v>127</v>
      </c>
      <c r="G327" s="152">
        <v>0</v>
      </c>
      <c r="H327" s="153" t="s">
        <v>8</v>
      </c>
      <c r="I327" s="154">
        <v>1</v>
      </c>
      <c r="J327" s="154">
        <v>4</v>
      </c>
      <c r="K327" s="30" t="str">
        <f>IF(H327="","",IF($C$30="간이법","",FPR(H327,I327,J327)))</f>
        <v/>
      </c>
      <c r="L327" s="30">
        <f>IF(H327="","",IF($C$30="상세법",FPV(H327,K327),IF(H327="EI",4,IF(H327="EO",5.2,IF(H327="EQ",3.9,IF(H327="ILF",7.5,IF(H327="EIF",5.4)))))))</f>
        <v>4</v>
      </c>
      <c r="M327" s="30" t="str">
        <f t="shared" si="30"/>
        <v/>
      </c>
      <c r="N327" s="134"/>
      <c r="O327" s="29"/>
      <c r="P327" s="37" t="str">
        <f t="shared" si="31"/>
        <v/>
      </c>
      <c r="Q327" s="38" t="str">
        <f t="shared" si="32"/>
        <v/>
      </c>
      <c r="R327" s="37" t="str">
        <f t="shared" si="33"/>
        <v/>
      </c>
      <c r="S327" s="37" t="str">
        <f t="shared" si="34"/>
        <v/>
      </c>
      <c r="T327" s="38" t="str">
        <f t="shared" si="35"/>
        <v/>
      </c>
      <c r="U327" s="37" t="str">
        <f t="shared" si="36"/>
        <v/>
      </c>
    </row>
    <row r="328" spans="2:21" ht="27">
      <c r="B328" s="282" t="s">
        <v>159</v>
      </c>
      <c r="C328" s="156" t="s">
        <v>635</v>
      </c>
      <c r="D328" s="157" t="s">
        <v>650</v>
      </c>
      <c r="E328" s="281" t="s">
        <v>651</v>
      </c>
      <c r="F328" s="151" t="s">
        <v>127</v>
      </c>
      <c r="G328" s="152">
        <v>0</v>
      </c>
      <c r="H328" s="153" t="s">
        <v>70</v>
      </c>
      <c r="I328" s="154">
        <v>1</v>
      </c>
      <c r="J328" s="154">
        <v>22</v>
      </c>
      <c r="K328" s="30" t="str">
        <f>IF(H328="","",IF($C$30="간이법","",FPR(H328,I328,J328)))</f>
        <v/>
      </c>
      <c r="L328" s="30">
        <f>IF(H328="","",IF($C$30="상세법",FPV(H328,K328),IF(H328="EI",4,IF(H328="EO",5.2,IF(H328="EQ",3.9,IF(H328="ILF",7.5,IF(H328="EIF",5.4)))))))</f>
        <v>3.9</v>
      </c>
      <c r="M328" s="30" t="str">
        <f t="shared" si="30"/>
        <v/>
      </c>
      <c r="N328" s="134"/>
      <c r="O328" s="29"/>
      <c r="P328" s="37" t="str">
        <f t="shared" si="31"/>
        <v/>
      </c>
      <c r="Q328" s="38" t="str">
        <f t="shared" si="32"/>
        <v/>
      </c>
      <c r="R328" s="37" t="str">
        <f t="shared" si="33"/>
        <v/>
      </c>
      <c r="S328" s="37" t="str">
        <f t="shared" si="34"/>
        <v/>
      </c>
      <c r="T328" s="38" t="str">
        <f t="shared" si="35"/>
        <v/>
      </c>
      <c r="U328" s="37" t="str">
        <f t="shared" si="36"/>
        <v/>
      </c>
    </row>
    <row r="329" spans="2:21" ht="27">
      <c r="B329" s="282" t="s">
        <v>159</v>
      </c>
      <c r="C329" s="156" t="s">
        <v>652</v>
      </c>
      <c r="D329" s="157" t="s">
        <v>653</v>
      </c>
      <c r="E329" s="281" t="s">
        <v>654</v>
      </c>
      <c r="F329" s="151" t="s">
        <v>127</v>
      </c>
      <c r="G329" s="152">
        <v>0</v>
      </c>
      <c r="H329" s="153" t="s">
        <v>70</v>
      </c>
      <c r="I329" s="154">
        <v>1</v>
      </c>
      <c r="J329" s="154">
        <v>7</v>
      </c>
      <c r="K329" s="30" t="str">
        <f>IF(H329="","",IF($C$30="간이법","",FPR(H329,I329,J329)))</f>
        <v/>
      </c>
      <c r="L329" s="30">
        <f>IF(H329="","",IF($C$30="상세법",FPV(H329,K329),IF(H329="EI",4,IF(H329="EO",5.2,IF(H329="EQ",3.9,IF(H329="ILF",7.5,IF(H329="EIF",5.4)))))))</f>
        <v>3.9</v>
      </c>
      <c r="M329" s="30" t="str">
        <f t="shared" si="30"/>
        <v/>
      </c>
      <c r="N329" s="134"/>
      <c r="O329" s="29"/>
      <c r="P329" s="37" t="str">
        <f t="shared" si="31"/>
        <v/>
      </c>
      <c r="Q329" s="38" t="str">
        <f t="shared" si="32"/>
        <v/>
      </c>
      <c r="R329" s="37" t="str">
        <f t="shared" si="33"/>
        <v/>
      </c>
      <c r="S329" s="37" t="str">
        <f t="shared" si="34"/>
        <v/>
      </c>
      <c r="T329" s="38" t="str">
        <f t="shared" si="35"/>
        <v/>
      </c>
      <c r="U329" s="37" t="str">
        <f t="shared" si="36"/>
        <v/>
      </c>
    </row>
    <row r="330" spans="2:21" ht="27">
      <c r="B330" s="282" t="s">
        <v>159</v>
      </c>
      <c r="C330" s="156" t="s">
        <v>652</v>
      </c>
      <c r="D330" s="157" t="s">
        <v>655</v>
      </c>
      <c r="E330" s="281" t="s">
        <v>656</v>
      </c>
      <c r="F330" s="151" t="s">
        <v>127</v>
      </c>
      <c r="G330" s="152">
        <v>0</v>
      </c>
      <c r="H330" s="153" t="s">
        <v>70</v>
      </c>
      <c r="I330" s="154">
        <v>1</v>
      </c>
      <c r="J330" s="154">
        <v>4</v>
      </c>
      <c r="K330" s="30" t="str">
        <f>IF(H330="","",IF($C$30="간이법","",FPR(H330,I330,J330)))</f>
        <v/>
      </c>
      <c r="L330" s="30">
        <f>IF(H330="","",IF($C$30="상세법",FPV(H330,K330),IF(H330="EI",4,IF(H330="EO",5.2,IF(H330="EQ",3.9,IF(H330="ILF",7.5,IF(H330="EIF",5.4)))))))</f>
        <v>3.9</v>
      </c>
      <c r="M330" s="30" t="str">
        <f t="shared" si="30"/>
        <v/>
      </c>
      <c r="N330" s="134"/>
      <c r="O330" s="29"/>
      <c r="P330" s="37" t="str">
        <f t="shared" si="31"/>
        <v/>
      </c>
      <c r="Q330" s="38" t="str">
        <f t="shared" si="32"/>
        <v/>
      </c>
      <c r="R330" s="37" t="str">
        <f t="shared" si="33"/>
        <v/>
      </c>
      <c r="S330" s="37" t="str">
        <f t="shared" si="34"/>
        <v/>
      </c>
      <c r="T330" s="38" t="str">
        <f t="shared" si="35"/>
        <v/>
      </c>
      <c r="U330" s="37" t="str">
        <f t="shared" si="36"/>
        <v/>
      </c>
    </row>
    <row r="331" spans="2:21" ht="27">
      <c r="B331" s="282" t="s">
        <v>159</v>
      </c>
      <c r="C331" s="156" t="s">
        <v>652</v>
      </c>
      <c r="D331" s="157" t="s">
        <v>657</v>
      </c>
      <c r="E331" s="281" t="s">
        <v>658</v>
      </c>
      <c r="F331" s="151" t="s">
        <v>127</v>
      </c>
      <c r="G331" s="152">
        <v>0</v>
      </c>
      <c r="H331" s="153" t="s">
        <v>70</v>
      </c>
      <c r="I331" s="154">
        <v>2</v>
      </c>
      <c r="J331" s="154">
        <v>9</v>
      </c>
      <c r="K331" s="30" t="str">
        <f>IF(H331="","",IF($C$30="간이법","",FPR(H331,I331,J331)))</f>
        <v/>
      </c>
      <c r="L331" s="30">
        <f>IF(H331="","",IF($C$30="상세법",FPV(H331,K331),IF(H331="EI",4,IF(H331="EO",5.2,IF(H331="EQ",3.9,IF(H331="ILF",7.5,IF(H331="EIF",5.4)))))))</f>
        <v>3.9</v>
      </c>
      <c r="M331" s="30" t="str">
        <f t="shared" si="30"/>
        <v/>
      </c>
      <c r="N331" s="134"/>
      <c r="O331" s="29"/>
      <c r="P331" s="37" t="str">
        <f t="shared" si="31"/>
        <v/>
      </c>
      <c r="Q331" s="38" t="str">
        <f t="shared" si="32"/>
        <v/>
      </c>
      <c r="R331" s="37" t="str">
        <f t="shared" si="33"/>
        <v/>
      </c>
      <c r="S331" s="37" t="str">
        <f t="shared" si="34"/>
        <v/>
      </c>
      <c r="T331" s="38" t="str">
        <f t="shared" si="35"/>
        <v/>
      </c>
      <c r="U331" s="37" t="str">
        <f t="shared" si="36"/>
        <v/>
      </c>
    </row>
    <row r="332" spans="2:21" ht="27">
      <c r="B332" s="282" t="s">
        <v>159</v>
      </c>
      <c r="C332" s="156" t="s">
        <v>652</v>
      </c>
      <c r="D332" s="157" t="s">
        <v>659</v>
      </c>
      <c r="E332" s="281" t="s">
        <v>659</v>
      </c>
      <c r="F332" s="151" t="s">
        <v>127</v>
      </c>
      <c r="G332" s="152">
        <v>0</v>
      </c>
      <c r="H332" s="153" t="s">
        <v>8</v>
      </c>
      <c r="I332" s="154">
        <v>2</v>
      </c>
      <c r="J332" s="154">
        <v>5</v>
      </c>
      <c r="K332" s="30" t="str">
        <f>IF(H332="","",IF($C$30="간이법","",FPR(H332,I332,J332)))</f>
        <v/>
      </c>
      <c r="L332" s="30">
        <f>IF(H332="","",IF($C$30="상세법",FPV(H332,K332),IF(H332="EI",4,IF(H332="EO",5.2,IF(H332="EQ",3.9,IF(H332="ILF",7.5,IF(H332="EIF",5.4)))))))</f>
        <v>4</v>
      </c>
      <c r="M332" s="30" t="str">
        <f t="shared" si="30"/>
        <v/>
      </c>
      <c r="N332" s="134"/>
      <c r="O332" s="29"/>
      <c r="P332" s="37" t="str">
        <f t="shared" si="31"/>
        <v/>
      </c>
      <c r="Q332" s="38" t="str">
        <f t="shared" si="32"/>
        <v/>
      </c>
      <c r="R332" s="37" t="str">
        <f t="shared" si="33"/>
        <v/>
      </c>
      <c r="S332" s="37" t="str">
        <f t="shared" si="34"/>
        <v/>
      </c>
      <c r="T332" s="38" t="str">
        <f t="shared" si="35"/>
        <v/>
      </c>
      <c r="U332" s="37" t="str">
        <f t="shared" si="36"/>
        <v/>
      </c>
    </row>
    <row r="333" spans="2:21" ht="27">
      <c r="B333" s="282" t="s">
        <v>159</v>
      </c>
      <c r="C333" s="156" t="s">
        <v>652</v>
      </c>
      <c r="D333" s="157" t="s">
        <v>660</v>
      </c>
      <c r="E333" s="281" t="s">
        <v>661</v>
      </c>
      <c r="F333" s="151" t="s">
        <v>127</v>
      </c>
      <c r="G333" s="152">
        <v>0</v>
      </c>
      <c r="H333" s="153" t="s">
        <v>69</v>
      </c>
      <c r="I333" s="154">
        <v>1</v>
      </c>
      <c r="J333" s="154">
        <v>4</v>
      </c>
      <c r="K333" s="30" t="str">
        <f>IF(H333="","",IF($C$30="간이법","",FPR(H333,I333,J333)))</f>
        <v/>
      </c>
      <c r="L333" s="30">
        <f>IF(H333="","",IF($C$30="상세법",FPV(H333,K333),IF(H333="EI",4,IF(H333="EO",5.2,IF(H333="EQ",3.9,IF(H333="ILF",7.5,IF(H333="EIF",5.4)))))))</f>
        <v>5.2</v>
      </c>
      <c r="M333" s="30" t="str">
        <f t="shared" si="30"/>
        <v/>
      </c>
      <c r="N333" s="134"/>
      <c r="O333" s="29"/>
      <c r="P333" s="37" t="str">
        <f t="shared" si="31"/>
        <v/>
      </c>
      <c r="Q333" s="38" t="str">
        <f t="shared" si="32"/>
        <v/>
      </c>
      <c r="R333" s="37" t="str">
        <f t="shared" si="33"/>
        <v/>
      </c>
      <c r="S333" s="37" t="str">
        <f t="shared" si="34"/>
        <v/>
      </c>
      <c r="T333" s="38" t="str">
        <f t="shared" si="35"/>
        <v/>
      </c>
      <c r="U333" s="37" t="str">
        <f t="shared" si="36"/>
        <v/>
      </c>
    </row>
    <row r="334" spans="2:21" ht="27">
      <c r="B334" s="282" t="s">
        <v>159</v>
      </c>
      <c r="C334" s="156" t="s">
        <v>652</v>
      </c>
      <c r="D334" s="157" t="s">
        <v>662</v>
      </c>
      <c r="E334" s="281" t="s">
        <v>663</v>
      </c>
      <c r="F334" s="151" t="s">
        <v>127</v>
      </c>
      <c r="G334" s="152">
        <v>0</v>
      </c>
      <c r="H334" s="153" t="s">
        <v>69</v>
      </c>
      <c r="I334" s="154">
        <v>1</v>
      </c>
      <c r="J334" s="154">
        <v>4</v>
      </c>
      <c r="K334" s="30" t="str">
        <f>IF(H334="","",IF($C$30="간이법","",FPR(H334,I334,J334)))</f>
        <v/>
      </c>
      <c r="L334" s="30">
        <f>IF(H334="","",IF($C$30="상세법",FPV(H334,K334),IF(H334="EI",4,IF(H334="EO",5.2,IF(H334="EQ",3.9,IF(H334="ILF",7.5,IF(H334="EIF",5.4)))))))</f>
        <v>5.2</v>
      </c>
      <c r="M334" s="30" t="str">
        <f t="shared" si="30"/>
        <v/>
      </c>
      <c r="N334" s="134"/>
      <c r="O334" s="29"/>
      <c r="P334" s="37" t="str">
        <f t="shared" si="31"/>
        <v/>
      </c>
      <c r="Q334" s="38" t="str">
        <f t="shared" si="32"/>
        <v/>
      </c>
      <c r="R334" s="37" t="str">
        <f t="shared" si="33"/>
        <v/>
      </c>
      <c r="S334" s="37" t="str">
        <f t="shared" si="34"/>
        <v/>
      </c>
      <c r="T334" s="38" t="str">
        <f t="shared" si="35"/>
        <v/>
      </c>
      <c r="U334" s="37" t="str">
        <f t="shared" si="36"/>
        <v/>
      </c>
    </row>
    <row r="335" spans="2:21" ht="27">
      <c r="B335" s="282" t="s">
        <v>159</v>
      </c>
      <c r="C335" s="156" t="s">
        <v>652</v>
      </c>
      <c r="D335" s="157" t="s">
        <v>664</v>
      </c>
      <c r="E335" s="281" t="s">
        <v>665</v>
      </c>
      <c r="F335" s="151" t="s">
        <v>127</v>
      </c>
      <c r="G335" s="152">
        <v>0</v>
      </c>
      <c r="H335" s="153" t="s">
        <v>69</v>
      </c>
      <c r="I335" s="154">
        <v>1</v>
      </c>
      <c r="J335" s="154">
        <v>4</v>
      </c>
      <c r="K335" s="30" t="str">
        <f>IF(H335="","",IF($C$30="간이법","",FPR(H335,I335,J335)))</f>
        <v/>
      </c>
      <c r="L335" s="30">
        <f>IF(H335="","",IF($C$30="상세법",FPV(H335,K335),IF(H335="EI",4,IF(H335="EO",5.2,IF(H335="EQ",3.9,IF(H335="ILF",7.5,IF(H335="EIF",5.4)))))))</f>
        <v>5.2</v>
      </c>
      <c r="M335" s="30" t="str">
        <f t="shared" si="30"/>
        <v/>
      </c>
      <c r="N335" s="134"/>
      <c r="O335" s="29"/>
      <c r="P335" s="37" t="str">
        <f t="shared" si="31"/>
        <v/>
      </c>
      <c r="Q335" s="38" t="str">
        <f t="shared" si="32"/>
        <v/>
      </c>
      <c r="R335" s="37" t="str">
        <f t="shared" si="33"/>
        <v/>
      </c>
      <c r="S335" s="37" t="str">
        <f t="shared" si="34"/>
        <v/>
      </c>
      <c r="T335" s="38" t="str">
        <f t="shared" si="35"/>
        <v/>
      </c>
      <c r="U335" s="37" t="str">
        <f t="shared" si="36"/>
        <v/>
      </c>
    </row>
    <row r="336" spans="2:21" ht="27">
      <c r="B336" s="282" t="s">
        <v>159</v>
      </c>
      <c r="C336" s="156" t="s">
        <v>652</v>
      </c>
      <c r="D336" s="157" t="s">
        <v>666</v>
      </c>
      <c r="E336" s="281" t="s">
        <v>667</v>
      </c>
      <c r="F336" s="151" t="s">
        <v>127</v>
      </c>
      <c r="G336" s="152">
        <v>0</v>
      </c>
      <c r="H336" s="153" t="s">
        <v>69</v>
      </c>
      <c r="I336" s="154">
        <v>1</v>
      </c>
      <c r="J336" s="154">
        <v>4</v>
      </c>
      <c r="K336" s="30" t="str">
        <f>IF(H336="","",IF($C$30="간이법","",FPR(H336,I336,J336)))</f>
        <v/>
      </c>
      <c r="L336" s="30">
        <f>IF(H336="","",IF($C$30="상세법",FPV(H336,K336),IF(H336="EI",4,IF(H336="EO",5.2,IF(H336="EQ",3.9,IF(H336="ILF",7.5,IF(H336="EIF",5.4)))))))</f>
        <v>5.2</v>
      </c>
      <c r="M336" s="30" t="str">
        <f t="shared" si="30"/>
        <v/>
      </c>
      <c r="N336" s="134"/>
      <c r="O336" s="29"/>
      <c r="P336" s="37" t="str">
        <f t="shared" si="31"/>
        <v/>
      </c>
      <c r="Q336" s="38" t="str">
        <f t="shared" si="32"/>
        <v/>
      </c>
      <c r="R336" s="37" t="str">
        <f t="shared" si="33"/>
        <v/>
      </c>
      <c r="S336" s="37" t="str">
        <f t="shared" si="34"/>
        <v/>
      </c>
      <c r="T336" s="38" t="str">
        <f t="shared" si="35"/>
        <v/>
      </c>
      <c r="U336" s="37" t="str">
        <f t="shared" si="36"/>
        <v/>
      </c>
    </row>
    <row r="337" spans="2:21" ht="27">
      <c r="B337" s="282" t="s">
        <v>159</v>
      </c>
      <c r="C337" s="156" t="s">
        <v>652</v>
      </c>
      <c r="D337" s="157" t="s">
        <v>668</v>
      </c>
      <c r="E337" s="281" t="s">
        <v>669</v>
      </c>
      <c r="F337" s="151" t="s">
        <v>127</v>
      </c>
      <c r="G337" s="152">
        <v>0</v>
      </c>
      <c r="H337" s="153" t="s">
        <v>69</v>
      </c>
      <c r="I337" s="154">
        <v>1</v>
      </c>
      <c r="J337" s="154">
        <v>4</v>
      </c>
      <c r="K337" s="30" t="str">
        <f>IF(H337="","",IF($C$30="간이법","",FPR(H337,I337,J337)))</f>
        <v/>
      </c>
      <c r="L337" s="30">
        <f>IF(H337="","",IF($C$30="상세법",FPV(H337,K337),IF(H337="EI",4,IF(H337="EO",5.2,IF(H337="EQ",3.9,IF(H337="ILF",7.5,IF(H337="EIF",5.4)))))))</f>
        <v>5.2</v>
      </c>
      <c r="M337" s="30" t="str">
        <f t="shared" si="30"/>
        <v/>
      </c>
      <c r="N337" s="134"/>
      <c r="O337" s="29"/>
      <c r="P337" s="37" t="str">
        <f t="shared" si="31"/>
        <v/>
      </c>
      <c r="Q337" s="38" t="str">
        <f t="shared" si="32"/>
        <v/>
      </c>
      <c r="R337" s="37" t="str">
        <f t="shared" si="33"/>
        <v/>
      </c>
      <c r="S337" s="37" t="str">
        <f t="shared" si="34"/>
        <v/>
      </c>
      <c r="T337" s="38" t="str">
        <f t="shared" si="35"/>
        <v/>
      </c>
      <c r="U337" s="37" t="str">
        <f t="shared" si="36"/>
        <v/>
      </c>
    </row>
    <row r="338" spans="2:21" ht="27">
      <c r="B338" s="282" t="s">
        <v>159</v>
      </c>
      <c r="C338" s="156" t="s">
        <v>652</v>
      </c>
      <c r="D338" s="157" t="s">
        <v>670</v>
      </c>
      <c r="E338" s="281" t="s">
        <v>671</v>
      </c>
      <c r="F338" s="151" t="s">
        <v>127</v>
      </c>
      <c r="G338" s="152">
        <v>0</v>
      </c>
      <c r="H338" s="153" t="s">
        <v>69</v>
      </c>
      <c r="I338" s="154">
        <v>1</v>
      </c>
      <c r="J338" s="154">
        <v>4</v>
      </c>
      <c r="K338" s="30" t="str">
        <f>IF(H338="","",IF($C$30="간이법","",FPR(H338,I338,J338)))</f>
        <v/>
      </c>
      <c r="L338" s="30">
        <f>IF(H338="","",IF($C$30="상세법",FPV(H338,K338),IF(H338="EI",4,IF(H338="EO",5.2,IF(H338="EQ",3.9,IF(H338="ILF",7.5,IF(H338="EIF",5.4)))))))</f>
        <v>5.2</v>
      </c>
      <c r="M338" s="30" t="str">
        <f t="shared" si="30"/>
        <v/>
      </c>
      <c r="N338" s="134"/>
      <c r="O338" s="29"/>
      <c r="P338" s="37" t="str">
        <f t="shared" si="31"/>
        <v/>
      </c>
      <c r="Q338" s="38" t="str">
        <f t="shared" si="32"/>
        <v/>
      </c>
      <c r="R338" s="37" t="str">
        <f t="shared" si="33"/>
        <v/>
      </c>
      <c r="S338" s="37" t="str">
        <f t="shared" si="34"/>
        <v/>
      </c>
      <c r="T338" s="38" t="str">
        <f t="shared" si="35"/>
        <v/>
      </c>
      <c r="U338" s="37" t="str">
        <f t="shared" si="36"/>
        <v/>
      </c>
    </row>
    <row r="339" spans="2:21" ht="27">
      <c r="B339" s="282" t="s">
        <v>159</v>
      </c>
      <c r="C339" s="156" t="s">
        <v>652</v>
      </c>
      <c r="D339" s="157" t="s">
        <v>672</v>
      </c>
      <c r="E339" s="281" t="s">
        <v>673</v>
      </c>
      <c r="F339" s="151" t="s">
        <v>127</v>
      </c>
      <c r="G339" s="152">
        <v>0</v>
      </c>
      <c r="H339" s="153" t="s">
        <v>69</v>
      </c>
      <c r="I339" s="154">
        <v>1</v>
      </c>
      <c r="J339" s="154">
        <v>4</v>
      </c>
      <c r="K339" s="30" t="str">
        <f>IF(H339="","",IF($C$30="간이법","",FPR(H339,I339,J339)))</f>
        <v/>
      </c>
      <c r="L339" s="30">
        <f>IF(H339="","",IF($C$30="상세법",FPV(H339,K339),IF(H339="EI",4,IF(H339="EO",5.2,IF(H339="EQ",3.9,IF(H339="ILF",7.5,IF(H339="EIF",5.4)))))))</f>
        <v>5.2</v>
      </c>
      <c r="M339" s="30" t="str">
        <f t="shared" si="30"/>
        <v/>
      </c>
      <c r="N339" s="134"/>
      <c r="O339" s="29"/>
      <c r="P339" s="37" t="str">
        <f t="shared" si="31"/>
        <v/>
      </c>
      <c r="Q339" s="38" t="str">
        <f t="shared" si="32"/>
        <v/>
      </c>
      <c r="R339" s="37" t="str">
        <f t="shared" si="33"/>
        <v/>
      </c>
      <c r="S339" s="37" t="str">
        <f t="shared" si="34"/>
        <v/>
      </c>
      <c r="T339" s="38" t="str">
        <f t="shared" si="35"/>
        <v/>
      </c>
      <c r="U339" s="37" t="str">
        <f t="shared" si="36"/>
        <v/>
      </c>
    </row>
    <row r="340" spans="2:21" ht="27">
      <c r="B340" s="282" t="s">
        <v>159</v>
      </c>
      <c r="C340" s="156" t="s">
        <v>652</v>
      </c>
      <c r="D340" s="157" t="s">
        <v>674</v>
      </c>
      <c r="E340" s="281" t="s">
        <v>675</v>
      </c>
      <c r="F340" s="151" t="s">
        <v>127</v>
      </c>
      <c r="G340" s="152">
        <v>0</v>
      </c>
      <c r="H340" s="153" t="s">
        <v>69</v>
      </c>
      <c r="I340" s="154">
        <v>1</v>
      </c>
      <c r="J340" s="154">
        <v>4</v>
      </c>
      <c r="K340" s="30" t="str">
        <f>IF(H340="","",IF($C$30="간이법","",FPR(H340,I340,J340)))</f>
        <v/>
      </c>
      <c r="L340" s="30">
        <f>IF(H340="","",IF($C$30="상세법",FPV(H340,K340),IF(H340="EI",4,IF(H340="EO",5.2,IF(H340="EQ",3.9,IF(H340="ILF",7.5,IF(H340="EIF",5.4)))))))</f>
        <v>5.2</v>
      </c>
      <c r="M340" s="30" t="str">
        <f t="shared" si="30"/>
        <v/>
      </c>
      <c r="N340" s="134"/>
      <c r="O340" s="29"/>
      <c r="P340" s="37" t="str">
        <f t="shared" si="31"/>
        <v/>
      </c>
      <c r="Q340" s="38" t="str">
        <f t="shared" si="32"/>
        <v/>
      </c>
      <c r="R340" s="37" t="str">
        <f t="shared" si="33"/>
        <v/>
      </c>
      <c r="S340" s="37" t="str">
        <f t="shared" si="34"/>
        <v/>
      </c>
      <c r="T340" s="38" t="str">
        <f t="shared" si="35"/>
        <v/>
      </c>
      <c r="U340" s="37" t="str">
        <f t="shared" si="36"/>
        <v/>
      </c>
    </row>
    <row r="341" spans="2:21" ht="27">
      <c r="B341" s="282" t="s">
        <v>159</v>
      </c>
      <c r="C341" s="156" t="s">
        <v>652</v>
      </c>
      <c r="D341" s="157" t="s">
        <v>676</v>
      </c>
      <c r="E341" s="281" t="s">
        <v>677</v>
      </c>
      <c r="F341" s="151" t="s">
        <v>127</v>
      </c>
      <c r="G341" s="152">
        <v>0</v>
      </c>
      <c r="H341" s="153" t="s">
        <v>69</v>
      </c>
      <c r="I341" s="154">
        <v>1</v>
      </c>
      <c r="J341" s="154">
        <v>4</v>
      </c>
      <c r="K341" s="30" t="str">
        <f>IF(H341="","",IF($C$30="간이법","",FPR(H341,I341,J341)))</f>
        <v/>
      </c>
      <c r="L341" s="30">
        <f>IF(H341="","",IF($C$30="상세법",FPV(H341,K341),IF(H341="EI",4,IF(H341="EO",5.2,IF(H341="EQ",3.9,IF(H341="ILF",7.5,IF(H341="EIF",5.4)))))))</f>
        <v>5.2</v>
      </c>
      <c r="M341" s="30" t="str">
        <f t="shared" si="30"/>
        <v/>
      </c>
      <c r="N341" s="134"/>
      <c r="O341" s="29"/>
      <c r="P341" s="37" t="str">
        <f t="shared" si="31"/>
        <v/>
      </c>
      <c r="Q341" s="38" t="str">
        <f t="shared" si="32"/>
        <v/>
      </c>
      <c r="R341" s="37" t="str">
        <f t="shared" si="33"/>
        <v/>
      </c>
      <c r="S341" s="37" t="str">
        <f t="shared" si="34"/>
        <v/>
      </c>
      <c r="T341" s="38" t="str">
        <f t="shared" si="35"/>
        <v/>
      </c>
      <c r="U341" s="37" t="str">
        <f t="shared" si="36"/>
        <v/>
      </c>
    </row>
    <row r="342" spans="2:21" ht="27">
      <c r="B342" s="282" t="s">
        <v>159</v>
      </c>
      <c r="C342" s="156" t="s">
        <v>652</v>
      </c>
      <c r="D342" s="157" t="s">
        <v>678</v>
      </c>
      <c r="E342" s="281" t="s">
        <v>679</v>
      </c>
      <c r="F342" s="151" t="s">
        <v>127</v>
      </c>
      <c r="G342" s="152">
        <v>0</v>
      </c>
      <c r="H342" s="153" t="s">
        <v>70</v>
      </c>
      <c r="I342" s="154">
        <v>1</v>
      </c>
      <c r="J342" s="154">
        <v>7</v>
      </c>
      <c r="K342" s="30" t="str">
        <f>IF(H342="","",IF($C$30="간이법","",FPR(H342,I342,J342)))</f>
        <v/>
      </c>
      <c r="L342" s="30">
        <f>IF(H342="","",IF($C$30="상세법",FPV(H342,K342),IF(H342="EI",4,IF(H342="EO",5.2,IF(H342="EQ",3.9,IF(H342="ILF",7.5,IF(H342="EIF",5.4)))))))</f>
        <v>3.9</v>
      </c>
      <c r="M342" s="30" t="str">
        <f t="shared" si="30"/>
        <v/>
      </c>
      <c r="N342" s="134"/>
      <c r="O342" s="29"/>
      <c r="P342" s="37" t="str">
        <f t="shared" si="31"/>
        <v/>
      </c>
      <c r="Q342" s="38" t="str">
        <f t="shared" si="32"/>
        <v/>
      </c>
      <c r="R342" s="37" t="str">
        <f t="shared" si="33"/>
        <v/>
      </c>
      <c r="S342" s="37" t="str">
        <f t="shared" si="34"/>
        <v/>
      </c>
      <c r="T342" s="38" t="str">
        <f t="shared" si="35"/>
        <v/>
      </c>
      <c r="U342" s="37" t="str">
        <f t="shared" si="36"/>
        <v/>
      </c>
    </row>
    <row r="343" spans="2:21" ht="27">
      <c r="B343" s="282" t="s">
        <v>159</v>
      </c>
      <c r="C343" s="156" t="s">
        <v>652</v>
      </c>
      <c r="D343" s="157" t="s">
        <v>680</v>
      </c>
      <c r="E343" s="281" t="s">
        <v>680</v>
      </c>
      <c r="F343" s="151" t="s">
        <v>127</v>
      </c>
      <c r="G343" s="152">
        <v>0</v>
      </c>
      <c r="H343" s="153" t="s">
        <v>8</v>
      </c>
      <c r="I343" s="154">
        <v>1</v>
      </c>
      <c r="J343" s="154">
        <v>7</v>
      </c>
      <c r="K343" s="30" t="str">
        <f>IF(H343="","",IF($C$30="간이법","",FPR(H343,I343,J343)))</f>
        <v/>
      </c>
      <c r="L343" s="30">
        <f>IF(H343="","",IF($C$30="상세법",FPV(H343,K343),IF(H343="EI",4,IF(H343="EO",5.2,IF(H343="EQ",3.9,IF(H343="ILF",7.5,IF(H343="EIF",5.4)))))))</f>
        <v>4</v>
      </c>
      <c r="M343" s="30" t="str">
        <f t="shared" si="30"/>
        <v/>
      </c>
      <c r="N343" s="134"/>
      <c r="O343" s="29"/>
      <c r="P343" s="37" t="str">
        <f t="shared" si="31"/>
        <v/>
      </c>
      <c r="Q343" s="38" t="str">
        <f t="shared" si="32"/>
        <v/>
      </c>
      <c r="R343" s="37" t="str">
        <f t="shared" si="33"/>
        <v/>
      </c>
      <c r="S343" s="37" t="str">
        <f t="shared" si="34"/>
        <v/>
      </c>
      <c r="T343" s="38" t="str">
        <f t="shared" si="35"/>
        <v/>
      </c>
      <c r="U343" s="37" t="str">
        <f t="shared" si="36"/>
        <v/>
      </c>
    </row>
    <row r="344" spans="2:21" ht="27">
      <c r="B344" s="282" t="s">
        <v>159</v>
      </c>
      <c r="C344" s="156" t="s">
        <v>652</v>
      </c>
      <c r="D344" s="157" t="s">
        <v>681</v>
      </c>
      <c r="E344" s="281" t="s">
        <v>681</v>
      </c>
      <c r="F344" s="151" t="s">
        <v>127</v>
      </c>
      <c r="G344" s="152">
        <v>0</v>
      </c>
      <c r="H344" s="153" t="s">
        <v>8</v>
      </c>
      <c r="I344" s="154">
        <v>1</v>
      </c>
      <c r="J344" s="154">
        <v>7</v>
      </c>
      <c r="K344" s="30" t="str">
        <f>IF(H344="","",IF($C$30="간이법","",FPR(H344,I344,J344)))</f>
        <v/>
      </c>
      <c r="L344" s="30">
        <f>IF(H344="","",IF($C$30="상세법",FPV(H344,K344),IF(H344="EI",4,IF(H344="EO",5.2,IF(H344="EQ",3.9,IF(H344="ILF",7.5,IF(H344="EIF",5.4)))))))</f>
        <v>4</v>
      </c>
      <c r="M344" s="30" t="str">
        <f t="shared" si="30"/>
        <v/>
      </c>
      <c r="N344" s="134"/>
      <c r="O344" s="29"/>
      <c r="P344" s="37" t="str">
        <f t="shared" si="31"/>
        <v/>
      </c>
      <c r="Q344" s="38" t="str">
        <f t="shared" si="32"/>
        <v/>
      </c>
      <c r="R344" s="37" t="str">
        <f t="shared" si="33"/>
        <v/>
      </c>
      <c r="S344" s="37" t="str">
        <f t="shared" si="34"/>
        <v/>
      </c>
      <c r="T344" s="38" t="str">
        <f t="shared" si="35"/>
        <v/>
      </c>
      <c r="U344" s="37" t="str">
        <f t="shared" si="36"/>
        <v/>
      </c>
    </row>
    <row r="345" spans="2:21" ht="17.25">
      <c r="B345" s="282" t="s">
        <v>682</v>
      </c>
      <c r="C345" s="156" t="s">
        <v>683</v>
      </c>
      <c r="D345" s="157" t="s">
        <v>684</v>
      </c>
      <c r="E345" s="281" t="s">
        <v>685</v>
      </c>
      <c r="F345" s="151" t="s">
        <v>127</v>
      </c>
      <c r="G345" s="152">
        <v>0</v>
      </c>
      <c r="H345" s="153" t="s">
        <v>70</v>
      </c>
      <c r="I345" s="154">
        <v>1</v>
      </c>
      <c r="J345" s="154">
        <v>5</v>
      </c>
      <c r="K345" s="30" t="str">
        <f>IF(H345="","",IF($C$30="간이법","",FPR(H345,I345,J345)))</f>
        <v/>
      </c>
      <c r="L345" s="30">
        <f>IF(H345="","",IF($C$30="상세법",FPV(H345,K345),IF(H345="EI",4,IF(H345="EO",5.2,IF(H345="EQ",3.9,IF(H345="ILF",7.5,IF(H345="EIF",5.4)))))))</f>
        <v>3.9</v>
      </c>
      <c r="M345" s="30" t="str">
        <f t="shared" si="30"/>
        <v/>
      </c>
      <c r="N345" s="134"/>
      <c r="O345" s="29"/>
      <c r="P345" s="37" t="str">
        <f t="shared" si="31"/>
        <v/>
      </c>
      <c r="Q345" s="38" t="str">
        <f t="shared" si="32"/>
        <v/>
      </c>
      <c r="R345" s="37" t="str">
        <f t="shared" si="33"/>
        <v/>
      </c>
      <c r="S345" s="37" t="str">
        <f t="shared" si="34"/>
        <v/>
      </c>
      <c r="T345" s="38" t="str">
        <f t="shared" si="35"/>
        <v/>
      </c>
      <c r="U345" s="37" t="str">
        <f t="shared" si="36"/>
        <v/>
      </c>
    </row>
    <row r="346" spans="2:21" ht="17.25">
      <c r="B346" s="282" t="s">
        <v>682</v>
      </c>
      <c r="C346" s="156" t="s">
        <v>683</v>
      </c>
      <c r="D346" s="157" t="s">
        <v>686</v>
      </c>
      <c r="E346" s="281" t="s">
        <v>687</v>
      </c>
      <c r="F346" s="151" t="s">
        <v>127</v>
      </c>
      <c r="G346" s="152">
        <v>0</v>
      </c>
      <c r="H346" s="153" t="s">
        <v>70</v>
      </c>
      <c r="I346" s="154">
        <v>1</v>
      </c>
      <c r="J346" s="154">
        <v>5</v>
      </c>
      <c r="K346" s="30" t="str">
        <f>IF(H346="","",IF($C$30="간이법","",FPR(H346,I346,J346)))</f>
        <v/>
      </c>
      <c r="L346" s="30">
        <f>IF(H346="","",IF($C$30="상세법",FPV(H346,K346),IF(H346="EI",4,IF(H346="EO",5.2,IF(H346="EQ",3.9,IF(H346="ILF",7.5,IF(H346="EIF",5.4)))))))</f>
        <v>3.9</v>
      </c>
      <c r="M346" s="30" t="str">
        <f t="shared" si="30"/>
        <v/>
      </c>
      <c r="N346" s="134"/>
      <c r="O346" s="29"/>
      <c r="P346" s="37" t="str">
        <f t="shared" si="31"/>
        <v/>
      </c>
      <c r="Q346" s="38" t="str">
        <f t="shared" si="32"/>
        <v/>
      </c>
      <c r="R346" s="37" t="str">
        <f t="shared" si="33"/>
        <v/>
      </c>
      <c r="S346" s="37" t="str">
        <f t="shared" si="34"/>
        <v/>
      </c>
      <c r="T346" s="38" t="str">
        <f t="shared" si="35"/>
        <v/>
      </c>
      <c r="U346" s="37" t="str">
        <f t="shared" si="36"/>
        <v/>
      </c>
    </row>
    <row r="347" spans="2:21" ht="17.25">
      <c r="B347" s="282" t="s">
        <v>682</v>
      </c>
      <c r="C347" s="156" t="s">
        <v>683</v>
      </c>
      <c r="D347" s="157" t="s">
        <v>688</v>
      </c>
      <c r="E347" s="281" t="s">
        <v>689</v>
      </c>
      <c r="F347" s="151" t="s">
        <v>127</v>
      </c>
      <c r="G347" s="152">
        <v>0</v>
      </c>
      <c r="H347" s="153" t="s">
        <v>70</v>
      </c>
      <c r="I347" s="154">
        <v>1</v>
      </c>
      <c r="J347" s="154">
        <v>5</v>
      </c>
      <c r="K347" s="30" t="str">
        <f>IF(H347="","",IF($C$30="간이법","",FPR(H347,I347,J347)))</f>
        <v/>
      </c>
      <c r="L347" s="30">
        <f>IF(H347="","",IF($C$30="상세법",FPV(H347,K347),IF(H347="EI",4,IF(H347="EO",5.2,IF(H347="EQ",3.9,IF(H347="ILF",7.5,IF(H347="EIF",5.4)))))))</f>
        <v>3.9</v>
      </c>
      <c r="M347" s="30" t="str">
        <f t="shared" si="30"/>
        <v/>
      </c>
      <c r="N347" s="134"/>
      <c r="O347" s="29"/>
      <c r="P347" s="37" t="str">
        <f t="shared" si="31"/>
        <v/>
      </c>
      <c r="Q347" s="38" t="str">
        <f t="shared" si="32"/>
        <v/>
      </c>
      <c r="R347" s="37" t="str">
        <f t="shared" si="33"/>
        <v/>
      </c>
      <c r="S347" s="37" t="str">
        <f t="shared" si="34"/>
        <v/>
      </c>
      <c r="T347" s="38" t="str">
        <f t="shared" si="35"/>
        <v/>
      </c>
      <c r="U347" s="37" t="str">
        <f t="shared" si="36"/>
        <v/>
      </c>
    </row>
    <row r="348" spans="2:21" ht="27">
      <c r="B348" s="282" t="s">
        <v>682</v>
      </c>
      <c r="C348" s="156" t="s">
        <v>683</v>
      </c>
      <c r="D348" s="157" t="s">
        <v>690</v>
      </c>
      <c r="E348" s="281" t="s">
        <v>691</v>
      </c>
      <c r="F348" s="151" t="s">
        <v>127</v>
      </c>
      <c r="G348" s="152">
        <v>0</v>
      </c>
      <c r="H348" s="153" t="s">
        <v>70</v>
      </c>
      <c r="I348" s="154">
        <v>1</v>
      </c>
      <c r="J348" s="154">
        <v>5</v>
      </c>
      <c r="K348" s="30" t="str">
        <f>IF(H348="","",IF($C$30="간이법","",FPR(H348,I348,J348)))</f>
        <v/>
      </c>
      <c r="L348" s="30">
        <f>IF(H348="","",IF($C$30="상세법",FPV(H348,K348),IF(H348="EI",4,IF(H348="EO",5.2,IF(H348="EQ",3.9,IF(H348="ILF",7.5,IF(H348="EIF",5.4)))))))</f>
        <v>3.9</v>
      </c>
      <c r="M348" s="30" t="str">
        <f t="shared" si="30"/>
        <v/>
      </c>
      <c r="N348" s="134"/>
      <c r="O348" s="29"/>
      <c r="P348" s="37" t="str">
        <f t="shared" si="31"/>
        <v/>
      </c>
      <c r="Q348" s="38" t="str">
        <f t="shared" si="32"/>
        <v/>
      </c>
      <c r="R348" s="37" t="str">
        <f t="shared" si="33"/>
        <v/>
      </c>
      <c r="S348" s="37" t="str">
        <f t="shared" si="34"/>
        <v/>
      </c>
      <c r="T348" s="38" t="str">
        <f t="shared" si="35"/>
        <v/>
      </c>
      <c r="U348" s="37" t="str">
        <f t="shared" si="36"/>
        <v/>
      </c>
    </row>
    <row r="349" spans="2:21" ht="27">
      <c r="B349" s="282" t="s">
        <v>682</v>
      </c>
      <c r="C349" s="156" t="s">
        <v>683</v>
      </c>
      <c r="D349" s="157" t="s">
        <v>692</v>
      </c>
      <c r="E349" s="281" t="s">
        <v>693</v>
      </c>
      <c r="F349" s="151" t="s">
        <v>127</v>
      </c>
      <c r="G349" s="152">
        <v>0</v>
      </c>
      <c r="H349" s="153" t="s">
        <v>70</v>
      </c>
      <c r="I349" s="154">
        <v>1</v>
      </c>
      <c r="J349" s="154">
        <v>5</v>
      </c>
      <c r="K349" s="30" t="str">
        <f>IF(H349="","",IF($C$30="간이법","",FPR(H349,I349,J349)))</f>
        <v/>
      </c>
      <c r="L349" s="30">
        <f>IF(H349="","",IF($C$30="상세법",FPV(H349,K349),IF(H349="EI",4,IF(H349="EO",5.2,IF(H349="EQ",3.9,IF(H349="ILF",7.5,IF(H349="EIF",5.4)))))))</f>
        <v>3.9</v>
      </c>
      <c r="M349" s="30" t="str">
        <f t="shared" si="30"/>
        <v/>
      </c>
      <c r="N349" s="134"/>
      <c r="O349" s="29"/>
      <c r="P349" s="37" t="str">
        <f t="shared" si="31"/>
        <v/>
      </c>
      <c r="Q349" s="38" t="str">
        <f t="shared" si="32"/>
        <v/>
      </c>
      <c r="R349" s="37" t="str">
        <f t="shared" si="33"/>
        <v/>
      </c>
      <c r="S349" s="37" t="str">
        <f t="shared" si="34"/>
        <v/>
      </c>
      <c r="T349" s="38" t="str">
        <f t="shared" si="35"/>
        <v/>
      </c>
      <c r="U349" s="37" t="str">
        <f t="shared" si="36"/>
        <v/>
      </c>
    </row>
    <row r="350" spans="2:21" ht="27">
      <c r="B350" s="282" t="s">
        <v>682</v>
      </c>
      <c r="C350" s="156" t="s">
        <v>683</v>
      </c>
      <c r="D350" s="157" t="s">
        <v>694</v>
      </c>
      <c r="E350" s="281" t="s">
        <v>695</v>
      </c>
      <c r="F350" s="151" t="s">
        <v>127</v>
      </c>
      <c r="G350" s="152">
        <v>0</v>
      </c>
      <c r="H350" s="153" t="s">
        <v>70</v>
      </c>
      <c r="I350" s="154">
        <v>1</v>
      </c>
      <c r="J350" s="154">
        <v>5</v>
      </c>
      <c r="K350" s="30" t="str">
        <f>IF(H350="","",IF($C$30="간이법","",FPR(H350,I350,J350)))</f>
        <v/>
      </c>
      <c r="L350" s="30">
        <f>IF(H350="","",IF($C$30="상세법",FPV(H350,K350),IF(H350="EI",4,IF(H350="EO",5.2,IF(H350="EQ",3.9,IF(H350="ILF",7.5,IF(H350="EIF",5.4)))))))</f>
        <v>3.9</v>
      </c>
      <c r="M350" s="30" t="str">
        <f t="shared" si="30"/>
        <v/>
      </c>
      <c r="N350" s="134"/>
      <c r="O350" s="29"/>
      <c r="P350" s="37" t="str">
        <f t="shared" si="31"/>
        <v/>
      </c>
      <c r="Q350" s="38" t="str">
        <f t="shared" si="32"/>
        <v/>
      </c>
      <c r="R350" s="37" t="str">
        <f t="shared" si="33"/>
        <v/>
      </c>
      <c r="S350" s="37" t="str">
        <f t="shared" si="34"/>
        <v/>
      </c>
      <c r="T350" s="38" t="str">
        <f t="shared" si="35"/>
        <v/>
      </c>
      <c r="U350" s="37" t="str">
        <f t="shared" si="36"/>
        <v/>
      </c>
    </row>
    <row r="351" spans="2:21" ht="17.25">
      <c r="B351" s="282" t="s">
        <v>682</v>
      </c>
      <c r="C351" s="156" t="s">
        <v>683</v>
      </c>
      <c r="D351" s="157" t="s">
        <v>696</v>
      </c>
      <c r="E351" s="281" t="s">
        <v>697</v>
      </c>
      <c r="F351" s="151" t="s">
        <v>127</v>
      </c>
      <c r="G351" s="152">
        <v>0</v>
      </c>
      <c r="H351" s="153" t="s">
        <v>70</v>
      </c>
      <c r="I351" s="154">
        <v>1</v>
      </c>
      <c r="J351" s="154">
        <v>5</v>
      </c>
      <c r="K351" s="30" t="str">
        <f>IF(H351="","",IF($C$30="간이법","",FPR(H351,I351,J351)))</f>
        <v/>
      </c>
      <c r="L351" s="30">
        <f>IF(H351="","",IF($C$30="상세법",FPV(H351,K351),IF(H351="EI",4,IF(H351="EO",5.2,IF(H351="EQ",3.9,IF(H351="ILF",7.5,IF(H351="EIF",5.4)))))))</f>
        <v>3.9</v>
      </c>
      <c r="M351" s="30" t="str">
        <f t="shared" si="30"/>
        <v/>
      </c>
      <c r="N351" s="134"/>
      <c r="O351" s="29"/>
      <c r="P351" s="37" t="str">
        <f t="shared" si="31"/>
        <v/>
      </c>
      <c r="Q351" s="38" t="str">
        <f t="shared" si="32"/>
        <v/>
      </c>
      <c r="R351" s="37" t="str">
        <f t="shared" si="33"/>
        <v/>
      </c>
      <c r="S351" s="37" t="str">
        <f t="shared" si="34"/>
        <v/>
      </c>
      <c r="T351" s="38" t="str">
        <f t="shared" si="35"/>
        <v/>
      </c>
      <c r="U351" s="37" t="str">
        <f t="shared" si="36"/>
        <v/>
      </c>
    </row>
    <row r="352" spans="2:21" ht="17.25">
      <c r="B352" s="282" t="s">
        <v>682</v>
      </c>
      <c r="C352" s="156" t="s">
        <v>683</v>
      </c>
      <c r="D352" s="157" t="s">
        <v>698</v>
      </c>
      <c r="E352" s="281" t="s">
        <v>699</v>
      </c>
      <c r="F352" s="151" t="s">
        <v>127</v>
      </c>
      <c r="G352" s="152">
        <v>0</v>
      </c>
      <c r="H352" s="153" t="s">
        <v>70</v>
      </c>
      <c r="I352" s="154">
        <v>1</v>
      </c>
      <c r="J352" s="154">
        <v>5</v>
      </c>
      <c r="K352" s="30" t="str">
        <f>IF(H352="","",IF($C$30="간이법","",FPR(H352,I352,J352)))</f>
        <v/>
      </c>
      <c r="L352" s="30">
        <f>IF(H352="","",IF($C$30="상세법",FPV(H352,K352),IF(H352="EI",4,IF(H352="EO",5.2,IF(H352="EQ",3.9,IF(H352="ILF",7.5,IF(H352="EIF",5.4)))))))</f>
        <v>3.9</v>
      </c>
      <c r="M352" s="30" t="str">
        <f t="shared" si="30"/>
        <v/>
      </c>
      <c r="N352" s="134"/>
      <c r="O352" s="29"/>
      <c r="P352" s="37" t="str">
        <f t="shared" si="31"/>
        <v/>
      </c>
      <c r="Q352" s="38" t="str">
        <f t="shared" si="32"/>
        <v/>
      </c>
      <c r="R352" s="37" t="str">
        <f t="shared" si="33"/>
        <v/>
      </c>
      <c r="S352" s="37" t="str">
        <f t="shared" si="34"/>
        <v/>
      </c>
      <c r="T352" s="38" t="str">
        <f t="shared" si="35"/>
        <v/>
      </c>
      <c r="U352" s="37" t="str">
        <f t="shared" si="36"/>
        <v/>
      </c>
    </row>
    <row r="353" spans="2:21" ht="27">
      <c r="B353" s="282" t="s">
        <v>682</v>
      </c>
      <c r="C353" s="156" t="s">
        <v>683</v>
      </c>
      <c r="D353" s="157" t="s">
        <v>700</v>
      </c>
      <c r="E353" s="281" t="s">
        <v>701</v>
      </c>
      <c r="F353" s="151" t="s">
        <v>127</v>
      </c>
      <c r="G353" s="152">
        <v>0</v>
      </c>
      <c r="H353" s="153" t="s">
        <v>70</v>
      </c>
      <c r="I353" s="154">
        <v>1</v>
      </c>
      <c r="J353" s="154">
        <v>11</v>
      </c>
      <c r="K353" s="30" t="str">
        <f>IF(H353="","",IF($C$30="간이법","",FPR(H353,I353,J353)))</f>
        <v/>
      </c>
      <c r="L353" s="30">
        <f>IF(H353="","",IF($C$30="상세법",FPV(H353,K353),IF(H353="EI",4,IF(H353="EO",5.2,IF(H353="EQ",3.9,IF(H353="ILF",7.5,IF(H353="EIF",5.4)))))))</f>
        <v>3.9</v>
      </c>
      <c r="M353" s="30" t="str">
        <f t="shared" si="30"/>
        <v/>
      </c>
      <c r="N353" s="134"/>
      <c r="O353" s="29"/>
      <c r="P353" s="37" t="str">
        <f t="shared" si="31"/>
        <v/>
      </c>
      <c r="Q353" s="38" t="str">
        <f t="shared" si="32"/>
        <v/>
      </c>
      <c r="R353" s="37" t="str">
        <f t="shared" si="33"/>
        <v/>
      </c>
      <c r="S353" s="37" t="str">
        <f t="shared" si="34"/>
        <v/>
      </c>
      <c r="T353" s="38" t="str">
        <f t="shared" si="35"/>
        <v/>
      </c>
      <c r="U353" s="37" t="str">
        <f t="shared" si="36"/>
        <v/>
      </c>
    </row>
    <row r="354" spans="2:21" ht="27">
      <c r="B354" s="282" t="s">
        <v>682</v>
      </c>
      <c r="C354" s="156" t="s">
        <v>683</v>
      </c>
      <c r="D354" s="157" t="s">
        <v>702</v>
      </c>
      <c r="E354" s="281" t="s">
        <v>703</v>
      </c>
      <c r="F354" s="151" t="s">
        <v>127</v>
      </c>
      <c r="G354" s="152">
        <v>0</v>
      </c>
      <c r="H354" s="153" t="s">
        <v>70</v>
      </c>
      <c r="I354" s="154">
        <v>1</v>
      </c>
      <c r="J354" s="154">
        <v>5</v>
      </c>
      <c r="K354" s="30" t="str">
        <f>IF(H354="","",IF($C$30="간이법","",FPR(H354,I354,J354)))</f>
        <v/>
      </c>
      <c r="L354" s="30">
        <f>IF(H354="","",IF($C$30="상세법",FPV(H354,K354),IF(H354="EI",4,IF(H354="EO",5.2,IF(H354="EQ",3.9,IF(H354="ILF",7.5,IF(H354="EIF",5.4)))))))</f>
        <v>3.9</v>
      </c>
      <c r="M354" s="30" t="str">
        <f t="shared" si="30"/>
        <v/>
      </c>
      <c r="N354" s="134"/>
      <c r="O354" s="29"/>
      <c r="P354" s="37" t="str">
        <f t="shared" si="31"/>
        <v/>
      </c>
      <c r="Q354" s="38" t="str">
        <f t="shared" si="32"/>
        <v/>
      </c>
      <c r="R354" s="37" t="str">
        <f t="shared" si="33"/>
        <v/>
      </c>
      <c r="S354" s="37" t="str">
        <f t="shared" si="34"/>
        <v/>
      </c>
      <c r="T354" s="38" t="str">
        <f t="shared" si="35"/>
        <v/>
      </c>
      <c r="U354" s="37" t="str">
        <f t="shared" si="36"/>
        <v/>
      </c>
    </row>
    <row r="355" spans="2:21" ht="27">
      <c r="B355" s="282" t="s">
        <v>682</v>
      </c>
      <c r="C355" s="156" t="s">
        <v>683</v>
      </c>
      <c r="D355" s="157" t="s">
        <v>704</v>
      </c>
      <c r="E355" s="281" t="s">
        <v>705</v>
      </c>
      <c r="F355" s="151" t="s">
        <v>127</v>
      </c>
      <c r="G355" s="152">
        <v>0</v>
      </c>
      <c r="H355" s="153" t="s">
        <v>70</v>
      </c>
      <c r="I355" s="154">
        <v>1</v>
      </c>
      <c r="J355" s="154">
        <v>5</v>
      </c>
      <c r="K355" s="30" t="str">
        <f>IF(H355="","",IF($C$30="간이법","",FPR(H355,I355,J355)))</f>
        <v/>
      </c>
      <c r="L355" s="30">
        <f>IF(H355="","",IF($C$30="상세법",FPV(H355,K355),IF(H355="EI",4,IF(H355="EO",5.2,IF(H355="EQ",3.9,IF(H355="ILF",7.5,IF(H355="EIF",5.4)))))))</f>
        <v>3.9</v>
      </c>
      <c r="M355" s="30" t="str">
        <f t="shared" si="30"/>
        <v/>
      </c>
      <c r="N355" s="134"/>
      <c r="O355" s="29"/>
      <c r="P355" s="37" t="str">
        <f t="shared" si="31"/>
        <v/>
      </c>
      <c r="Q355" s="38" t="str">
        <f t="shared" si="32"/>
        <v/>
      </c>
      <c r="R355" s="37" t="str">
        <f t="shared" si="33"/>
        <v/>
      </c>
      <c r="S355" s="37" t="str">
        <f t="shared" si="34"/>
        <v/>
      </c>
      <c r="T355" s="38" t="str">
        <f t="shared" si="35"/>
        <v/>
      </c>
      <c r="U355" s="37" t="str">
        <f t="shared" si="36"/>
        <v/>
      </c>
    </row>
    <row r="356" spans="2:21" ht="17.25">
      <c r="B356" s="282" t="s">
        <v>682</v>
      </c>
      <c r="C356" s="156" t="s">
        <v>683</v>
      </c>
      <c r="D356" s="157" t="s">
        <v>706</v>
      </c>
      <c r="E356" s="281" t="s">
        <v>706</v>
      </c>
      <c r="F356" s="151" t="s">
        <v>127</v>
      </c>
      <c r="G356" s="152">
        <v>0</v>
      </c>
      <c r="H356" s="153" t="s">
        <v>8</v>
      </c>
      <c r="I356" s="154">
        <v>1</v>
      </c>
      <c r="J356" s="154">
        <v>19</v>
      </c>
      <c r="K356" s="30" t="str">
        <f>IF(H356="","",IF($C$30="간이법","",FPR(H356,I356,J356)))</f>
        <v/>
      </c>
      <c r="L356" s="30">
        <f>IF(H356="","",IF($C$30="상세법",FPV(H356,K356),IF(H356="EI",4,IF(H356="EO",5.2,IF(H356="EQ",3.9,IF(H356="ILF",7.5,IF(H356="EIF",5.4)))))))</f>
        <v>4</v>
      </c>
      <c r="M356" s="30" t="str">
        <f t="shared" si="30"/>
        <v/>
      </c>
      <c r="N356" s="134"/>
      <c r="O356" s="29"/>
      <c r="P356" s="37" t="str">
        <f t="shared" si="31"/>
        <v/>
      </c>
      <c r="Q356" s="38" t="str">
        <f t="shared" si="32"/>
        <v/>
      </c>
      <c r="R356" s="37" t="str">
        <f t="shared" si="33"/>
        <v/>
      </c>
      <c r="S356" s="37" t="str">
        <f t="shared" si="34"/>
        <v/>
      </c>
      <c r="T356" s="38" t="str">
        <f t="shared" si="35"/>
        <v/>
      </c>
      <c r="U356" s="37" t="str">
        <f t="shared" si="36"/>
        <v/>
      </c>
    </row>
    <row r="357" spans="2:21" ht="17.25">
      <c r="B357" s="282" t="s">
        <v>682</v>
      </c>
      <c r="C357" s="156" t="s">
        <v>683</v>
      </c>
      <c r="D357" s="157" t="s">
        <v>707</v>
      </c>
      <c r="E357" s="281" t="s">
        <v>707</v>
      </c>
      <c r="F357" s="151" t="s">
        <v>127</v>
      </c>
      <c r="G357" s="152">
        <v>0</v>
      </c>
      <c r="H357" s="153" t="s">
        <v>8</v>
      </c>
      <c r="I357" s="154">
        <v>1</v>
      </c>
      <c r="J357" s="154">
        <v>19</v>
      </c>
      <c r="K357" s="30" t="str">
        <f>IF(H357="","",IF($C$30="간이법","",FPR(H357,I357,J357)))</f>
        <v/>
      </c>
      <c r="L357" s="30">
        <f>IF(H357="","",IF($C$30="상세법",FPV(H357,K357),IF(H357="EI",4,IF(H357="EO",5.2,IF(H357="EQ",3.9,IF(H357="ILF",7.5,IF(H357="EIF",5.4)))))))</f>
        <v>4</v>
      </c>
      <c r="M357" s="30" t="str">
        <f t="shared" si="30"/>
        <v/>
      </c>
      <c r="N357" s="134"/>
      <c r="O357" s="29"/>
      <c r="P357" s="37" t="str">
        <f t="shared" si="31"/>
        <v/>
      </c>
      <c r="Q357" s="38" t="str">
        <f t="shared" si="32"/>
        <v/>
      </c>
      <c r="R357" s="37" t="str">
        <f t="shared" si="33"/>
        <v/>
      </c>
      <c r="S357" s="37" t="str">
        <f t="shared" si="34"/>
        <v/>
      </c>
      <c r="T357" s="38" t="str">
        <f t="shared" si="35"/>
        <v/>
      </c>
      <c r="U357" s="37" t="str">
        <f t="shared" si="36"/>
        <v/>
      </c>
    </row>
    <row r="358" spans="2:21" ht="17.25">
      <c r="B358" s="282" t="s">
        <v>682</v>
      </c>
      <c r="C358" s="156" t="s">
        <v>683</v>
      </c>
      <c r="D358" s="157" t="s">
        <v>708</v>
      </c>
      <c r="E358" s="281" t="s">
        <v>708</v>
      </c>
      <c r="F358" s="151" t="s">
        <v>127</v>
      </c>
      <c r="G358" s="152">
        <v>0</v>
      </c>
      <c r="H358" s="153" t="s">
        <v>8</v>
      </c>
      <c r="I358" s="154">
        <v>1</v>
      </c>
      <c r="J358" s="154">
        <v>5</v>
      </c>
      <c r="K358" s="30" t="str">
        <f>IF(H358="","",IF($C$30="간이법","",FPR(H358,I358,J358)))</f>
        <v/>
      </c>
      <c r="L358" s="30">
        <f>IF(H358="","",IF($C$30="상세법",FPV(H358,K358),IF(H358="EI",4,IF(H358="EO",5.2,IF(H358="EQ",3.9,IF(H358="ILF",7.5,IF(H358="EIF",5.4)))))))</f>
        <v>4</v>
      </c>
      <c r="M358" s="30" t="str">
        <f t="shared" si="30"/>
        <v/>
      </c>
      <c r="N358" s="134"/>
      <c r="O358" s="29"/>
      <c r="P358" s="37" t="str">
        <f t="shared" si="31"/>
        <v/>
      </c>
      <c r="Q358" s="38" t="str">
        <f t="shared" si="32"/>
        <v/>
      </c>
      <c r="R358" s="37" t="str">
        <f t="shared" si="33"/>
        <v/>
      </c>
      <c r="S358" s="37" t="str">
        <f t="shared" si="34"/>
        <v/>
      </c>
      <c r="T358" s="38" t="str">
        <f t="shared" si="35"/>
        <v/>
      </c>
      <c r="U358" s="37" t="str">
        <f t="shared" si="36"/>
        <v/>
      </c>
    </row>
    <row r="359" spans="2:21" ht="27">
      <c r="B359" s="282" t="s">
        <v>682</v>
      </c>
      <c r="C359" s="156" t="s">
        <v>683</v>
      </c>
      <c r="D359" s="157" t="s">
        <v>709</v>
      </c>
      <c r="E359" s="281" t="s">
        <v>710</v>
      </c>
      <c r="F359" s="151" t="s">
        <v>127</v>
      </c>
      <c r="G359" s="152">
        <v>0</v>
      </c>
      <c r="H359" s="153" t="s">
        <v>70</v>
      </c>
      <c r="I359" s="154">
        <v>3</v>
      </c>
      <c r="J359" s="154">
        <v>20</v>
      </c>
      <c r="K359" s="30" t="str">
        <f>IF(H359="","",IF($C$30="간이법","",FPR(H359,I359,J359)))</f>
        <v/>
      </c>
      <c r="L359" s="30">
        <f>IF(H359="","",IF($C$30="상세법",FPV(H359,K359),IF(H359="EI",4,IF(H359="EO",5.2,IF(H359="EQ",3.9,IF(H359="ILF",7.5,IF(H359="EIF",5.4)))))))</f>
        <v>3.9</v>
      </c>
      <c r="M359" s="30" t="str">
        <f t="shared" si="30"/>
        <v/>
      </c>
      <c r="N359" s="134"/>
      <c r="O359" s="29"/>
      <c r="P359" s="37" t="str">
        <f t="shared" si="31"/>
        <v/>
      </c>
      <c r="Q359" s="38" t="str">
        <f t="shared" si="32"/>
        <v/>
      </c>
      <c r="R359" s="37" t="str">
        <f t="shared" si="33"/>
        <v/>
      </c>
      <c r="S359" s="37" t="str">
        <f t="shared" si="34"/>
        <v/>
      </c>
      <c r="T359" s="38" t="str">
        <f t="shared" si="35"/>
        <v/>
      </c>
      <c r="U359" s="37" t="str">
        <f t="shared" si="36"/>
        <v/>
      </c>
    </row>
    <row r="360" spans="2:21" ht="27">
      <c r="B360" s="282" t="s">
        <v>682</v>
      </c>
      <c r="C360" s="156" t="s">
        <v>683</v>
      </c>
      <c r="D360" s="157" t="s">
        <v>711</v>
      </c>
      <c r="E360" s="281" t="s">
        <v>712</v>
      </c>
      <c r="F360" s="151" t="s">
        <v>127</v>
      </c>
      <c r="G360" s="152">
        <v>0</v>
      </c>
      <c r="H360" s="153" t="s">
        <v>70</v>
      </c>
      <c r="I360" s="154">
        <v>1</v>
      </c>
      <c r="J360" s="154">
        <v>7</v>
      </c>
      <c r="K360" s="30" t="str">
        <f>IF(H360="","",IF($C$30="간이법","",FPR(H360,I360,J360)))</f>
        <v/>
      </c>
      <c r="L360" s="30">
        <f>IF(H360="","",IF($C$30="상세법",FPV(H360,K360),IF(H360="EI",4,IF(H360="EO",5.2,IF(H360="EQ",3.9,IF(H360="ILF",7.5,IF(H360="EIF",5.4)))))))</f>
        <v>3.9</v>
      </c>
      <c r="M360" s="30" t="str">
        <f t="shared" si="30"/>
        <v/>
      </c>
      <c r="N360" s="134"/>
      <c r="O360" s="29"/>
      <c r="P360" s="37" t="str">
        <f t="shared" si="31"/>
        <v/>
      </c>
      <c r="Q360" s="38" t="str">
        <f t="shared" si="32"/>
        <v/>
      </c>
      <c r="R360" s="37" t="str">
        <f t="shared" si="33"/>
        <v/>
      </c>
      <c r="S360" s="37" t="str">
        <f t="shared" si="34"/>
        <v/>
      </c>
      <c r="T360" s="38" t="str">
        <f t="shared" si="35"/>
        <v/>
      </c>
      <c r="U360" s="37" t="str">
        <f t="shared" si="36"/>
        <v/>
      </c>
    </row>
    <row r="361" spans="2:21" ht="27">
      <c r="B361" s="282" t="s">
        <v>682</v>
      </c>
      <c r="C361" s="156" t="s">
        <v>683</v>
      </c>
      <c r="D361" s="157" t="s">
        <v>713</v>
      </c>
      <c r="E361" s="281" t="s">
        <v>714</v>
      </c>
      <c r="F361" s="151" t="s">
        <v>127</v>
      </c>
      <c r="G361" s="152">
        <v>0</v>
      </c>
      <c r="H361" s="153" t="s">
        <v>70</v>
      </c>
      <c r="I361" s="154">
        <v>1</v>
      </c>
      <c r="J361" s="154">
        <v>4</v>
      </c>
      <c r="K361" s="30" t="str">
        <f>IF(H361="","",IF($C$30="간이법","",FPR(H361,I361,J361)))</f>
        <v/>
      </c>
      <c r="L361" s="30">
        <f>IF(H361="","",IF($C$30="상세법",FPV(H361,K361),IF(H361="EI",4,IF(H361="EO",5.2,IF(H361="EQ",3.9,IF(H361="ILF",7.5,IF(H361="EIF",5.4)))))))</f>
        <v>3.9</v>
      </c>
      <c r="M361" s="30" t="str">
        <f t="shared" si="30"/>
        <v/>
      </c>
      <c r="N361" s="134"/>
      <c r="O361" s="29"/>
      <c r="P361" s="37" t="str">
        <f t="shared" si="31"/>
        <v/>
      </c>
      <c r="Q361" s="38" t="str">
        <f t="shared" si="32"/>
        <v/>
      </c>
      <c r="R361" s="37" t="str">
        <f t="shared" si="33"/>
        <v/>
      </c>
      <c r="S361" s="37" t="str">
        <f t="shared" si="34"/>
        <v/>
      </c>
      <c r="T361" s="38" t="str">
        <f t="shared" si="35"/>
        <v/>
      </c>
      <c r="U361" s="37" t="str">
        <f t="shared" si="36"/>
        <v/>
      </c>
    </row>
    <row r="362" spans="2:21" ht="27">
      <c r="B362" s="282" t="s">
        <v>682</v>
      </c>
      <c r="C362" s="156" t="s">
        <v>683</v>
      </c>
      <c r="D362" s="157" t="s">
        <v>715</v>
      </c>
      <c r="E362" s="281" t="s">
        <v>716</v>
      </c>
      <c r="F362" s="151" t="s">
        <v>127</v>
      </c>
      <c r="G362" s="152">
        <v>0</v>
      </c>
      <c r="H362" s="153" t="s">
        <v>70</v>
      </c>
      <c r="I362" s="154">
        <v>2</v>
      </c>
      <c r="J362" s="154">
        <v>7</v>
      </c>
      <c r="K362" s="30" t="str">
        <f>IF(H362="","",IF($C$30="간이법","",FPR(H362,I362,J362)))</f>
        <v/>
      </c>
      <c r="L362" s="30">
        <f>IF(H362="","",IF($C$30="상세법",FPV(H362,K362),IF(H362="EI",4,IF(H362="EO",5.2,IF(H362="EQ",3.9,IF(H362="ILF",7.5,IF(H362="EIF",5.4)))))))</f>
        <v>3.9</v>
      </c>
      <c r="M362" s="30" t="str">
        <f t="shared" si="30"/>
        <v/>
      </c>
      <c r="N362" s="134"/>
      <c r="O362" s="29"/>
      <c r="P362" s="37" t="str">
        <f t="shared" si="31"/>
        <v/>
      </c>
      <c r="Q362" s="38" t="str">
        <f t="shared" si="32"/>
        <v/>
      </c>
      <c r="R362" s="37" t="str">
        <f t="shared" si="33"/>
        <v/>
      </c>
      <c r="S362" s="37" t="str">
        <f t="shared" si="34"/>
        <v/>
      </c>
      <c r="T362" s="38" t="str">
        <f t="shared" si="35"/>
        <v/>
      </c>
      <c r="U362" s="37" t="str">
        <f t="shared" si="36"/>
        <v/>
      </c>
    </row>
    <row r="363" spans="2:21" ht="27">
      <c r="B363" s="282" t="s">
        <v>682</v>
      </c>
      <c r="C363" s="156" t="s">
        <v>683</v>
      </c>
      <c r="D363" s="157" t="s">
        <v>717</v>
      </c>
      <c r="E363" s="281" t="s">
        <v>718</v>
      </c>
      <c r="F363" s="151" t="s">
        <v>127</v>
      </c>
      <c r="G363" s="152">
        <v>0</v>
      </c>
      <c r="H363" s="153" t="s">
        <v>70</v>
      </c>
      <c r="I363" s="154">
        <v>1</v>
      </c>
      <c r="J363" s="154">
        <v>5</v>
      </c>
      <c r="K363" s="30" t="str">
        <f>IF(H363="","",IF($C$30="간이법","",FPR(H363,I363,J363)))</f>
        <v/>
      </c>
      <c r="L363" s="30">
        <f>IF(H363="","",IF($C$30="상세법",FPV(H363,K363),IF(H363="EI",4,IF(H363="EO",5.2,IF(H363="EQ",3.9,IF(H363="ILF",7.5,IF(H363="EIF",5.4)))))))</f>
        <v>3.9</v>
      </c>
      <c r="M363" s="30" t="str">
        <f t="shared" si="30"/>
        <v/>
      </c>
      <c r="N363" s="134"/>
      <c r="O363" s="29"/>
      <c r="P363" s="37" t="str">
        <f t="shared" si="31"/>
        <v/>
      </c>
      <c r="Q363" s="38" t="str">
        <f t="shared" si="32"/>
        <v/>
      </c>
      <c r="R363" s="37" t="str">
        <f t="shared" si="33"/>
        <v/>
      </c>
      <c r="S363" s="37" t="str">
        <f t="shared" si="34"/>
        <v/>
      </c>
      <c r="T363" s="38" t="str">
        <f t="shared" si="35"/>
        <v/>
      </c>
      <c r="U363" s="37" t="str">
        <f t="shared" si="36"/>
        <v/>
      </c>
    </row>
    <row r="364" spans="2:21" ht="27">
      <c r="B364" s="282" t="s">
        <v>682</v>
      </c>
      <c r="C364" s="156" t="s">
        <v>683</v>
      </c>
      <c r="D364" s="157" t="s">
        <v>719</v>
      </c>
      <c r="E364" s="281" t="s">
        <v>720</v>
      </c>
      <c r="F364" s="151" t="s">
        <v>127</v>
      </c>
      <c r="G364" s="152">
        <v>0</v>
      </c>
      <c r="H364" s="153" t="s">
        <v>70</v>
      </c>
      <c r="I364" s="154">
        <v>1</v>
      </c>
      <c r="J364" s="154">
        <v>4</v>
      </c>
      <c r="K364" s="30" t="str">
        <f>IF(H364="","",IF($C$30="간이법","",FPR(H364,I364,J364)))</f>
        <v/>
      </c>
      <c r="L364" s="30">
        <f>IF(H364="","",IF($C$30="상세법",FPV(H364,K364),IF(H364="EI",4,IF(H364="EO",5.2,IF(H364="EQ",3.9,IF(H364="ILF",7.5,IF(H364="EIF",5.4)))))))</f>
        <v>3.9</v>
      </c>
      <c r="M364" s="30" t="str">
        <f t="shared" si="30"/>
        <v/>
      </c>
      <c r="N364" s="134"/>
      <c r="O364" s="29"/>
      <c r="P364" s="37" t="str">
        <f t="shared" si="31"/>
        <v/>
      </c>
      <c r="Q364" s="38" t="str">
        <f t="shared" si="32"/>
        <v/>
      </c>
      <c r="R364" s="37" t="str">
        <f t="shared" si="33"/>
        <v/>
      </c>
      <c r="S364" s="37" t="str">
        <f t="shared" si="34"/>
        <v/>
      </c>
      <c r="T364" s="38" t="str">
        <f t="shared" si="35"/>
        <v/>
      </c>
      <c r="U364" s="37" t="str">
        <f t="shared" si="36"/>
        <v/>
      </c>
    </row>
    <row r="365" spans="2:21" ht="27">
      <c r="B365" s="282" t="s">
        <v>682</v>
      </c>
      <c r="C365" s="156" t="s">
        <v>683</v>
      </c>
      <c r="D365" s="157" t="s">
        <v>721</v>
      </c>
      <c r="E365" s="281" t="s">
        <v>722</v>
      </c>
      <c r="F365" s="151" t="s">
        <v>127</v>
      </c>
      <c r="G365" s="152">
        <v>0</v>
      </c>
      <c r="H365" s="153" t="s">
        <v>70</v>
      </c>
      <c r="I365" s="154">
        <v>1</v>
      </c>
      <c r="J365" s="154">
        <v>11</v>
      </c>
      <c r="K365" s="30" t="str">
        <f>IF(H365="","",IF($C$30="간이법","",FPR(H365,I365,J365)))</f>
        <v/>
      </c>
      <c r="L365" s="30">
        <f>IF(H365="","",IF($C$30="상세법",FPV(H365,K365),IF(H365="EI",4,IF(H365="EO",5.2,IF(H365="EQ",3.9,IF(H365="ILF",7.5,IF(H365="EIF",5.4)))))))</f>
        <v>3.9</v>
      </c>
      <c r="M365" s="30" t="str">
        <f t="shared" si="30"/>
        <v/>
      </c>
      <c r="N365" s="134"/>
      <c r="O365" s="29"/>
      <c r="P365" s="37" t="str">
        <f t="shared" si="31"/>
        <v/>
      </c>
      <c r="Q365" s="38" t="str">
        <f t="shared" si="32"/>
        <v/>
      </c>
      <c r="R365" s="37" t="str">
        <f t="shared" si="33"/>
        <v/>
      </c>
      <c r="S365" s="37" t="str">
        <f t="shared" si="34"/>
        <v/>
      </c>
      <c r="T365" s="38" t="str">
        <f t="shared" si="35"/>
        <v/>
      </c>
      <c r="U365" s="37" t="str">
        <f t="shared" si="36"/>
        <v/>
      </c>
    </row>
    <row r="366" spans="2:21" ht="17.25">
      <c r="B366" s="282" t="s">
        <v>682</v>
      </c>
      <c r="C366" s="156" t="s">
        <v>683</v>
      </c>
      <c r="D366" s="157" t="s">
        <v>723</v>
      </c>
      <c r="E366" s="281" t="s">
        <v>724</v>
      </c>
      <c r="F366" s="151" t="s">
        <v>127</v>
      </c>
      <c r="G366" s="152">
        <v>0</v>
      </c>
      <c r="H366" s="153" t="s">
        <v>70</v>
      </c>
      <c r="I366" s="154">
        <v>1</v>
      </c>
      <c r="J366" s="154">
        <v>27</v>
      </c>
      <c r="K366" s="30" t="str">
        <f>IF(H366="","",IF($C$30="간이법","",FPR(H366,I366,J366)))</f>
        <v/>
      </c>
      <c r="L366" s="30">
        <f>IF(H366="","",IF($C$30="상세법",FPV(H366,K366),IF(H366="EI",4,IF(H366="EO",5.2,IF(H366="EQ",3.9,IF(H366="ILF",7.5,IF(H366="EIF",5.4)))))))</f>
        <v>3.9</v>
      </c>
      <c r="M366" s="30" t="str">
        <f t="shared" si="30"/>
        <v/>
      </c>
      <c r="N366" s="134"/>
      <c r="O366" s="29"/>
      <c r="P366" s="37" t="str">
        <f t="shared" si="31"/>
        <v/>
      </c>
      <c r="Q366" s="38" t="str">
        <f t="shared" si="32"/>
        <v/>
      </c>
      <c r="R366" s="37" t="str">
        <f t="shared" si="33"/>
        <v/>
      </c>
      <c r="S366" s="37" t="str">
        <f t="shared" si="34"/>
        <v/>
      </c>
      <c r="T366" s="38" t="str">
        <f t="shared" si="35"/>
        <v/>
      </c>
      <c r="U366" s="37" t="str">
        <f t="shared" si="36"/>
        <v/>
      </c>
    </row>
    <row r="367" spans="2:21" ht="17.25">
      <c r="B367" s="282" t="s">
        <v>682</v>
      </c>
      <c r="C367" s="156" t="s">
        <v>683</v>
      </c>
      <c r="D367" s="157" t="s">
        <v>725</v>
      </c>
      <c r="E367" s="281" t="s">
        <v>726</v>
      </c>
      <c r="F367" s="151" t="s">
        <v>127</v>
      </c>
      <c r="G367" s="152">
        <v>0</v>
      </c>
      <c r="H367" s="153" t="s">
        <v>70</v>
      </c>
      <c r="I367" s="154">
        <v>1</v>
      </c>
      <c r="J367" s="154">
        <v>5</v>
      </c>
      <c r="K367" s="30" t="str">
        <f>IF(H367="","",IF($C$30="간이법","",FPR(H367,I367,J367)))</f>
        <v/>
      </c>
      <c r="L367" s="30">
        <f>IF(H367="","",IF($C$30="상세법",FPV(H367,K367),IF(H367="EI",4,IF(H367="EO",5.2,IF(H367="EQ",3.9,IF(H367="ILF",7.5,IF(H367="EIF",5.4)))))))</f>
        <v>3.9</v>
      </c>
      <c r="M367" s="30" t="str">
        <f t="shared" si="30"/>
        <v/>
      </c>
      <c r="N367" s="134"/>
      <c r="O367" s="29"/>
      <c r="P367" s="37" t="str">
        <f t="shared" si="31"/>
        <v/>
      </c>
      <c r="Q367" s="38" t="str">
        <f t="shared" si="32"/>
        <v/>
      </c>
      <c r="R367" s="37" t="str">
        <f t="shared" si="33"/>
        <v/>
      </c>
      <c r="S367" s="37" t="str">
        <f t="shared" si="34"/>
        <v/>
      </c>
      <c r="T367" s="38" t="str">
        <f t="shared" si="35"/>
        <v/>
      </c>
      <c r="U367" s="37" t="str">
        <f t="shared" si="36"/>
        <v/>
      </c>
    </row>
    <row r="368" spans="2:21" ht="17.25">
      <c r="B368" s="282" t="s">
        <v>682</v>
      </c>
      <c r="C368" s="156" t="s">
        <v>683</v>
      </c>
      <c r="D368" s="157" t="s">
        <v>727</v>
      </c>
      <c r="E368" s="281" t="s">
        <v>728</v>
      </c>
      <c r="F368" s="151" t="s">
        <v>127</v>
      </c>
      <c r="G368" s="152">
        <v>0</v>
      </c>
      <c r="H368" s="153" t="s">
        <v>70</v>
      </c>
      <c r="I368" s="154">
        <v>1</v>
      </c>
      <c r="J368" s="154">
        <v>5</v>
      </c>
      <c r="K368" s="30" t="str">
        <f>IF(H368="","",IF($C$30="간이법","",FPR(H368,I368,J368)))</f>
        <v/>
      </c>
      <c r="L368" s="30">
        <f>IF(H368="","",IF($C$30="상세법",FPV(H368,K368),IF(H368="EI",4,IF(H368="EO",5.2,IF(H368="EQ",3.9,IF(H368="ILF",7.5,IF(H368="EIF",5.4)))))))</f>
        <v>3.9</v>
      </c>
      <c r="M368" s="30" t="str">
        <f t="shared" si="30"/>
        <v/>
      </c>
      <c r="N368" s="134"/>
      <c r="O368" s="29"/>
      <c r="P368" s="37" t="str">
        <f t="shared" si="31"/>
        <v/>
      </c>
      <c r="Q368" s="38" t="str">
        <f t="shared" si="32"/>
        <v/>
      </c>
      <c r="R368" s="37" t="str">
        <f t="shared" si="33"/>
        <v/>
      </c>
      <c r="S368" s="37" t="str">
        <f t="shared" si="34"/>
        <v/>
      </c>
      <c r="T368" s="38" t="str">
        <f t="shared" si="35"/>
        <v/>
      </c>
      <c r="U368" s="37" t="str">
        <f t="shared" si="36"/>
        <v/>
      </c>
    </row>
    <row r="369" spans="2:21" ht="17.25">
      <c r="B369" s="282" t="s">
        <v>682</v>
      </c>
      <c r="C369" s="156" t="s">
        <v>683</v>
      </c>
      <c r="D369" s="157" t="s">
        <v>729</v>
      </c>
      <c r="E369" s="281" t="s">
        <v>730</v>
      </c>
      <c r="F369" s="151" t="s">
        <v>127</v>
      </c>
      <c r="G369" s="152">
        <v>0</v>
      </c>
      <c r="H369" s="153" t="s">
        <v>8</v>
      </c>
      <c r="I369" s="154">
        <v>3</v>
      </c>
      <c r="J369" s="154">
        <v>28</v>
      </c>
      <c r="K369" s="30" t="str">
        <f>IF(H369="","",IF($C$30="간이법","",FPR(H369,I369,J369)))</f>
        <v/>
      </c>
      <c r="L369" s="30">
        <f>IF(H369="","",IF($C$30="상세법",FPV(H369,K369),IF(H369="EI",4,IF(H369="EO",5.2,IF(H369="EQ",3.9,IF(H369="ILF",7.5,IF(H369="EIF",5.4)))))))</f>
        <v>4</v>
      </c>
      <c r="M369" s="30" t="str">
        <f t="shared" si="30"/>
        <v/>
      </c>
      <c r="N369" s="134"/>
      <c r="O369" s="29"/>
      <c r="P369" s="37" t="str">
        <f t="shared" si="31"/>
        <v/>
      </c>
      <c r="Q369" s="38" t="str">
        <f t="shared" si="32"/>
        <v/>
      </c>
      <c r="R369" s="37" t="str">
        <f t="shared" si="33"/>
        <v/>
      </c>
      <c r="S369" s="37" t="str">
        <f t="shared" si="34"/>
        <v/>
      </c>
      <c r="T369" s="38" t="str">
        <f t="shared" si="35"/>
        <v/>
      </c>
      <c r="U369" s="37" t="str">
        <f t="shared" si="36"/>
        <v/>
      </c>
    </row>
    <row r="370" spans="2:21" ht="17.25">
      <c r="B370" s="282" t="s">
        <v>682</v>
      </c>
      <c r="C370" s="156" t="s">
        <v>683</v>
      </c>
      <c r="D370" s="157" t="s">
        <v>731</v>
      </c>
      <c r="E370" s="281" t="s">
        <v>732</v>
      </c>
      <c r="F370" s="151" t="s">
        <v>127</v>
      </c>
      <c r="G370" s="152">
        <v>0</v>
      </c>
      <c r="H370" s="153" t="s">
        <v>8</v>
      </c>
      <c r="I370" s="154">
        <v>4</v>
      </c>
      <c r="J370" s="154">
        <v>27</v>
      </c>
      <c r="K370" s="30" t="str">
        <f>IF(H370="","",IF($C$30="간이법","",FPR(H370,I370,J370)))</f>
        <v/>
      </c>
      <c r="L370" s="30">
        <f>IF(H370="","",IF($C$30="상세법",FPV(H370,K370),IF(H370="EI",4,IF(H370="EO",5.2,IF(H370="EQ",3.9,IF(H370="ILF",7.5,IF(H370="EIF",5.4)))))))</f>
        <v>4</v>
      </c>
      <c r="M370" s="30" t="str">
        <f t="shared" si="30"/>
        <v/>
      </c>
      <c r="N370" s="134"/>
      <c r="O370" s="29"/>
      <c r="P370" s="37" t="str">
        <f t="shared" si="31"/>
        <v/>
      </c>
      <c r="Q370" s="38" t="str">
        <f t="shared" si="32"/>
        <v/>
      </c>
      <c r="R370" s="37" t="str">
        <f t="shared" si="33"/>
        <v/>
      </c>
      <c r="S370" s="37" t="str">
        <f t="shared" si="34"/>
        <v/>
      </c>
      <c r="T370" s="38" t="str">
        <f t="shared" si="35"/>
        <v/>
      </c>
      <c r="U370" s="37" t="str">
        <f t="shared" si="36"/>
        <v/>
      </c>
    </row>
    <row r="371" spans="2:21" ht="27">
      <c r="B371" s="282" t="s">
        <v>682</v>
      </c>
      <c r="C371" s="156" t="s">
        <v>683</v>
      </c>
      <c r="D371" s="157" t="s">
        <v>733</v>
      </c>
      <c r="E371" s="281" t="s">
        <v>734</v>
      </c>
      <c r="F371" s="151" t="s">
        <v>127</v>
      </c>
      <c r="G371" s="152">
        <v>0</v>
      </c>
      <c r="H371" s="153" t="s">
        <v>8</v>
      </c>
      <c r="I371" s="154">
        <v>1</v>
      </c>
      <c r="J371" s="154">
        <v>7</v>
      </c>
      <c r="K371" s="30" t="str">
        <f>IF(H371="","",IF($C$30="간이법","",FPR(H371,I371,J371)))</f>
        <v/>
      </c>
      <c r="L371" s="30">
        <f>IF(H371="","",IF($C$30="상세법",FPV(H371,K371),IF(H371="EI",4,IF(H371="EO",5.2,IF(H371="EQ",3.9,IF(H371="ILF",7.5,IF(H371="EIF",5.4)))))))</f>
        <v>4</v>
      </c>
      <c r="M371" s="30" t="str">
        <f t="shared" si="30"/>
        <v/>
      </c>
      <c r="N371" s="134"/>
      <c r="O371" s="29"/>
      <c r="P371" s="37" t="str">
        <f t="shared" si="31"/>
        <v/>
      </c>
      <c r="Q371" s="38" t="str">
        <f t="shared" si="32"/>
        <v/>
      </c>
      <c r="R371" s="37" t="str">
        <f t="shared" si="33"/>
        <v/>
      </c>
      <c r="S371" s="37" t="str">
        <f t="shared" si="34"/>
        <v/>
      </c>
      <c r="T371" s="38" t="str">
        <f t="shared" si="35"/>
        <v/>
      </c>
      <c r="U371" s="37" t="str">
        <f t="shared" si="36"/>
        <v/>
      </c>
    </row>
    <row r="372" spans="2:21" ht="27">
      <c r="B372" s="282" t="s">
        <v>682</v>
      </c>
      <c r="C372" s="156" t="s">
        <v>683</v>
      </c>
      <c r="D372" s="157" t="s">
        <v>735</v>
      </c>
      <c r="E372" s="281" t="s">
        <v>736</v>
      </c>
      <c r="F372" s="151" t="s">
        <v>127</v>
      </c>
      <c r="G372" s="152">
        <v>0</v>
      </c>
      <c r="H372" s="153" t="s">
        <v>8</v>
      </c>
      <c r="I372" s="154">
        <v>1</v>
      </c>
      <c r="J372" s="154">
        <v>10</v>
      </c>
      <c r="K372" s="30" t="str">
        <f>IF(H372="","",IF($C$30="간이법","",FPR(H372,I372,J372)))</f>
        <v/>
      </c>
      <c r="L372" s="30">
        <f>IF(H372="","",IF($C$30="상세법",FPV(H372,K372),IF(H372="EI",4,IF(H372="EO",5.2,IF(H372="EQ",3.9,IF(H372="ILF",7.5,IF(H372="EIF",5.4)))))))</f>
        <v>4</v>
      </c>
      <c r="M372" s="30" t="str">
        <f t="shared" si="30"/>
        <v/>
      </c>
      <c r="N372" s="134"/>
      <c r="O372" s="29"/>
      <c r="P372" s="37" t="str">
        <f t="shared" si="31"/>
        <v/>
      </c>
      <c r="Q372" s="38" t="str">
        <f t="shared" si="32"/>
        <v/>
      </c>
      <c r="R372" s="37" t="str">
        <f t="shared" si="33"/>
        <v/>
      </c>
      <c r="S372" s="37" t="str">
        <f t="shared" si="34"/>
        <v/>
      </c>
      <c r="T372" s="38" t="str">
        <f t="shared" si="35"/>
        <v/>
      </c>
      <c r="U372" s="37" t="str">
        <f t="shared" si="36"/>
        <v/>
      </c>
    </row>
    <row r="373" spans="2:21" ht="27">
      <c r="B373" s="282" t="s">
        <v>682</v>
      </c>
      <c r="C373" s="156" t="s">
        <v>683</v>
      </c>
      <c r="D373" s="157" t="s">
        <v>737</v>
      </c>
      <c r="E373" s="281" t="s">
        <v>738</v>
      </c>
      <c r="F373" s="151" t="s">
        <v>46</v>
      </c>
      <c r="G373" s="152">
        <f>((0.25*5)+(0.45*5)+(0.3*0))/100</f>
        <v>3.5000000000000003E-2</v>
      </c>
      <c r="H373" s="153" t="s">
        <v>70</v>
      </c>
      <c r="I373" s="154">
        <v>2</v>
      </c>
      <c r="J373" s="154">
        <v>21</v>
      </c>
      <c r="K373" s="30" t="str">
        <f>IF(H373="","",IF($C$30="간이법","",FPR(H373,I373,J373)))</f>
        <v/>
      </c>
      <c r="L373" s="30">
        <f>IF(H373="","",IF($C$30="상세법",FPV(H373,K373),IF(H373="EI",4,IF(H373="EO",5.2,IF(H373="EQ",3.9,IF(H373="ILF",7.5,IF(H373="EIF",5.4)))))))</f>
        <v>3.9</v>
      </c>
      <c r="M373" s="30">
        <f t="shared" si="30"/>
        <v>0.33098893251533745</v>
      </c>
      <c r="N373" s="134"/>
      <c r="O373" s="29"/>
      <c r="P373" s="37" t="str">
        <f t="shared" si="31"/>
        <v/>
      </c>
      <c r="Q373" s="38" t="str">
        <f t="shared" si="32"/>
        <v/>
      </c>
      <c r="R373" s="37" t="str">
        <f t="shared" si="33"/>
        <v/>
      </c>
      <c r="S373" s="37">
        <f t="shared" si="34"/>
        <v>3.5000000000000003E-2</v>
      </c>
      <c r="T373" s="38">
        <f t="shared" si="35"/>
        <v>6.7590987868284227E-2</v>
      </c>
      <c r="U373" s="37">
        <f t="shared" si="36"/>
        <v>2.3656845753899482E-3</v>
      </c>
    </row>
    <row r="374" spans="2:21" ht="27">
      <c r="B374" s="282" t="s">
        <v>682</v>
      </c>
      <c r="C374" s="156" t="s">
        <v>683</v>
      </c>
      <c r="D374" s="157" t="s">
        <v>739</v>
      </c>
      <c r="E374" s="281" t="s">
        <v>740</v>
      </c>
      <c r="F374" s="151" t="s">
        <v>46</v>
      </c>
      <c r="G374" s="152">
        <f>((0.25*5)+(0.45*0)+(0.3*5))/100</f>
        <v>2.75E-2</v>
      </c>
      <c r="H374" s="153" t="s">
        <v>70</v>
      </c>
      <c r="I374" s="154">
        <v>1</v>
      </c>
      <c r="J374" s="154">
        <v>5</v>
      </c>
      <c r="K374" s="30" t="str">
        <f>IF(H374="","",IF($C$30="간이법","",FPR(H374,I374,J374)))</f>
        <v/>
      </c>
      <c r="L374" s="30">
        <f>IF(H374="","",IF($C$30="상세법",FPV(H374,K374),IF(H374="EI",4,IF(H374="EO",5.2,IF(H374="EQ",3.9,IF(H374="ILF",7.5,IF(H374="EIF",5.4)))))))</f>
        <v>3.9</v>
      </c>
      <c r="M374" s="30">
        <f t="shared" si="30"/>
        <v>0.33098893251533745</v>
      </c>
      <c r="N374" s="134"/>
      <c r="O374" s="29"/>
      <c r="P374" s="37" t="str">
        <f t="shared" si="31"/>
        <v/>
      </c>
      <c r="Q374" s="38" t="str">
        <f t="shared" si="32"/>
        <v/>
      </c>
      <c r="R374" s="37" t="str">
        <f t="shared" si="33"/>
        <v/>
      </c>
      <c r="S374" s="37">
        <f t="shared" si="34"/>
        <v>2.75E-2</v>
      </c>
      <c r="T374" s="38">
        <f t="shared" si="35"/>
        <v>6.7590987868284227E-2</v>
      </c>
      <c r="U374" s="37">
        <f t="shared" si="36"/>
        <v>1.8587521663778162E-3</v>
      </c>
    </row>
    <row r="375" spans="2:21" ht="27">
      <c r="B375" s="282" t="s">
        <v>682</v>
      </c>
      <c r="C375" s="156" t="s">
        <v>683</v>
      </c>
      <c r="D375" s="157" t="s">
        <v>741</v>
      </c>
      <c r="E375" s="281" t="s">
        <v>742</v>
      </c>
      <c r="F375" s="151" t="s">
        <v>46</v>
      </c>
      <c r="G375" s="152">
        <f>((0.25*5)+(0.45*5)+(0.3*0))/100</f>
        <v>3.5000000000000003E-2</v>
      </c>
      <c r="H375" s="153" t="s">
        <v>8</v>
      </c>
      <c r="I375" s="154">
        <v>3</v>
      </c>
      <c r="J375" s="154">
        <v>24</v>
      </c>
      <c r="K375" s="30" t="str">
        <f>IF(H375="","",IF($C$30="간이법","",FPR(H375,I375,J375)))</f>
        <v/>
      </c>
      <c r="L375" s="30">
        <f>IF(H375="","",IF($C$30="상세법",FPV(H375,K375),IF(H375="EI",4,IF(H375="EO",5.2,IF(H375="EQ",3.9,IF(H375="ILF",7.5,IF(H375="EIF",5.4)))))))</f>
        <v>4</v>
      </c>
      <c r="M375" s="30">
        <f t="shared" si="30"/>
        <v>0.33947582822085892</v>
      </c>
      <c r="N375" s="134"/>
      <c r="O375" s="29"/>
      <c r="P375" s="37" t="str">
        <f t="shared" si="31"/>
        <v/>
      </c>
      <c r="Q375" s="38" t="str">
        <f t="shared" si="32"/>
        <v/>
      </c>
      <c r="R375" s="37" t="str">
        <f t="shared" si="33"/>
        <v/>
      </c>
      <c r="S375" s="37">
        <f t="shared" si="34"/>
        <v>3.5000000000000003E-2</v>
      </c>
      <c r="T375" s="38">
        <f t="shared" si="35"/>
        <v>6.932409012131717E-2</v>
      </c>
      <c r="U375" s="37">
        <f t="shared" si="36"/>
        <v>2.4263431542461012E-3</v>
      </c>
    </row>
    <row r="376" spans="2:21" ht="27">
      <c r="B376" s="282" t="s">
        <v>682</v>
      </c>
      <c r="C376" s="156" t="s">
        <v>683</v>
      </c>
      <c r="D376" s="157" t="s">
        <v>743</v>
      </c>
      <c r="E376" s="281" t="s">
        <v>744</v>
      </c>
      <c r="F376" s="151" t="s">
        <v>127</v>
      </c>
      <c r="G376" s="152">
        <v>0</v>
      </c>
      <c r="H376" s="153" t="s">
        <v>8</v>
      </c>
      <c r="I376" s="154">
        <v>1</v>
      </c>
      <c r="J376" s="154">
        <v>20</v>
      </c>
      <c r="K376" s="30" t="str">
        <f>IF(H376="","",IF($C$30="간이법","",FPR(H376,I376,J376)))</f>
        <v/>
      </c>
      <c r="L376" s="30">
        <f>IF(H376="","",IF($C$30="상세법",FPV(H376,K376),IF(H376="EI",4,IF(H376="EO",5.2,IF(H376="EQ",3.9,IF(H376="ILF",7.5,IF(H376="EIF",5.4)))))))</f>
        <v>4</v>
      </c>
      <c r="M376" s="30" t="str">
        <f t="shared" si="30"/>
        <v/>
      </c>
      <c r="N376" s="134"/>
      <c r="O376" s="29"/>
      <c r="P376" s="37" t="str">
        <f t="shared" si="31"/>
        <v/>
      </c>
      <c r="Q376" s="38" t="str">
        <f t="shared" si="32"/>
        <v/>
      </c>
      <c r="R376" s="37" t="str">
        <f t="shared" si="33"/>
        <v/>
      </c>
      <c r="S376" s="37" t="str">
        <f t="shared" si="34"/>
        <v/>
      </c>
      <c r="T376" s="38" t="str">
        <f t="shared" si="35"/>
        <v/>
      </c>
      <c r="U376" s="37" t="str">
        <f t="shared" si="36"/>
        <v/>
      </c>
    </row>
    <row r="377" spans="2:21" ht="27">
      <c r="B377" s="282" t="s">
        <v>682</v>
      </c>
      <c r="C377" s="156" t="s">
        <v>683</v>
      </c>
      <c r="D377" s="157" t="s">
        <v>745</v>
      </c>
      <c r="E377" s="281" t="s">
        <v>746</v>
      </c>
      <c r="F377" s="151" t="s">
        <v>127</v>
      </c>
      <c r="G377" s="152">
        <v>0</v>
      </c>
      <c r="H377" s="153" t="s">
        <v>70</v>
      </c>
      <c r="I377" s="154">
        <v>1</v>
      </c>
      <c r="J377" s="154">
        <v>5</v>
      </c>
      <c r="K377" s="30" t="str">
        <f>IF(H377="","",IF($C$30="간이법","",FPR(H377,I377,J377)))</f>
        <v/>
      </c>
      <c r="L377" s="30">
        <f>IF(H377="","",IF($C$30="상세법",FPV(H377,K377),IF(H377="EI",4,IF(H377="EO",5.2,IF(H377="EQ",3.9,IF(H377="ILF",7.5,IF(H377="EIF",5.4)))))))</f>
        <v>3.9</v>
      </c>
      <c r="M377" s="30" t="str">
        <f t="shared" si="30"/>
        <v/>
      </c>
      <c r="N377" s="134"/>
      <c r="O377" s="29"/>
      <c r="P377" s="37" t="str">
        <f t="shared" si="31"/>
        <v/>
      </c>
      <c r="Q377" s="38" t="str">
        <f t="shared" si="32"/>
        <v/>
      </c>
      <c r="R377" s="37" t="str">
        <f t="shared" si="33"/>
        <v/>
      </c>
      <c r="S377" s="37" t="str">
        <f t="shared" si="34"/>
        <v/>
      </c>
      <c r="T377" s="38" t="str">
        <f t="shared" si="35"/>
        <v/>
      </c>
      <c r="U377" s="37" t="str">
        <f t="shared" si="36"/>
        <v/>
      </c>
    </row>
    <row r="378" spans="2:21" ht="27">
      <c r="B378" s="282" t="s">
        <v>682</v>
      </c>
      <c r="C378" s="156" t="s">
        <v>683</v>
      </c>
      <c r="D378" s="157" t="s">
        <v>747</v>
      </c>
      <c r="E378" s="281" t="s">
        <v>748</v>
      </c>
      <c r="F378" s="151" t="s">
        <v>127</v>
      </c>
      <c r="G378" s="152">
        <v>0</v>
      </c>
      <c r="H378" s="153" t="s">
        <v>8</v>
      </c>
      <c r="I378" s="154">
        <v>3</v>
      </c>
      <c r="J378" s="154">
        <v>20</v>
      </c>
      <c r="K378" s="30" t="str">
        <f>IF(H378="","",IF($C$30="간이법","",FPR(H378,I378,J378)))</f>
        <v/>
      </c>
      <c r="L378" s="30">
        <f>IF(H378="","",IF($C$30="상세법",FPV(H378,K378),IF(H378="EI",4,IF(H378="EO",5.2,IF(H378="EQ",3.9,IF(H378="ILF",7.5,IF(H378="EIF",5.4)))))))</f>
        <v>4</v>
      </c>
      <c r="M378" s="30" t="str">
        <f t="shared" si="30"/>
        <v/>
      </c>
      <c r="N378" s="134"/>
      <c r="O378" s="29"/>
      <c r="P378" s="37" t="str">
        <f t="shared" si="31"/>
        <v/>
      </c>
      <c r="Q378" s="38" t="str">
        <f t="shared" si="32"/>
        <v/>
      </c>
      <c r="R378" s="37" t="str">
        <f t="shared" si="33"/>
        <v/>
      </c>
      <c r="S378" s="37" t="str">
        <f t="shared" si="34"/>
        <v/>
      </c>
      <c r="T378" s="38" t="str">
        <f t="shared" si="35"/>
        <v/>
      </c>
      <c r="U378" s="37" t="str">
        <f t="shared" si="36"/>
        <v/>
      </c>
    </row>
    <row r="379" spans="2:21" ht="27">
      <c r="B379" s="282" t="s">
        <v>682</v>
      </c>
      <c r="C379" s="156" t="s">
        <v>683</v>
      </c>
      <c r="D379" s="157" t="s">
        <v>749</v>
      </c>
      <c r="E379" s="281" t="s">
        <v>749</v>
      </c>
      <c r="F379" s="151" t="s">
        <v>127</v>
      </c>
      <c r="G379" s="152">
        <v>0</v>
      </c>
      <c r="H379" s="153" t="s">
        <v>8</v>
      </c>
      <c r="I379" s="154">
        <v>1</v>
      </c>
      <c r="J379" s="154">
        <v>14</v>
      </c>
      <c r="K379" s="30" t="str">
        <f>IF(H379="","",IF($C$30="간이법","",FPR(H379,I379,J379)))</f>
        <v/>
      </c>
      <c r="L379" s="30">
        <f>IF(H379="","",IF($C$30="상세법",FPV(H379,K379),IF(H379="EI",4,IF(H379="EO",5.2,IF(H379="EQ",3.9,IF(H379="ILF",7.5,IF(H379="EIF",5.4)))))))</f>
        <v>4</v>
      </c>
      <c r="M379" s="30" t="str">
        <f t="shared" si="30"/>
        <v/>
      </c>
      <c r="N379" s="134"/>
      <c r="O379" s="29"/>
      <c r="P379" s="37" t="str">
        <f t="shared" si="31"/>
        <v/>
      </c>
      <c r="Q379" s="38" t="str">
        <f t="shared" si="32"/>
        <v/>
      </c>
      <c r="R379" s="37" t="str">
        <f t="shared" si="33"/>
        <v/>
      </c>
      <c r="S379" s="37" t="str">
        <f t="shared" si="34"/>
        <v/>
      </c>
      <c r="T379" s="38" t="str">
        <f t="shared" si="35"/>
        <v/>
      </c>
      <c r="U379" s="37" t="str">
        <f t="shared" si="36"/>
        <v/>
      </c>
    </row>
    <row r="380" spans="2:21" ht="27">
      <c r="B380" s="282" t="s">
        <v>682</v>
      </c>
      <c r="C380" s="156" t="s">
        <v>683</v>
      </c>
      <c r="D380" s="157" t="s">
        <v>750</v>
      </c>
      <c r="E380" s="281" t="s">
        <v>751</v>
      </c>
      <c r="F380" s="151" t="s">
        <v>127</v>
      </c>
      <c r="G380" s="152">
        <v>0</v>
      </c>
      <c r="H380" s="153" t="s">
        <v>70</v>
      </c>
      <c r="I380" s="154">
        <v>1</v>
      </c>
      <c r="J380" s="154">
        <v>27</v>
      </c>
      <c r="K380" s="30" t="str">
        <f>IF(H380="","",IF($C$30="간이법","",FPR(H380,I380,J380)))</f>
        <v/>
      </c>
      <c r="L380" s="30">
        <f>IF(H380="","",IF($C$30="상세법",FPV(H380,K380),IF(H380="EI",4,IF(H380="EO",5.2,IF(H380="EQ",3.9,IF(H380="ILF",7.5,IF(H380="EIF",5.4)))))))</f>
        <v>3.9</v>
      </c>
      <c r="M380" s="30" t="str">
        <f t="shared" ref="M380:M443" si="37">IF(OR(G380="",$E$36="(선택)",$E$40="(선택)",$E$41="(선택)",F380="신규 개발",F380="수정 없이 재사용"),"",(IF(F380="수정 후 재사용",IF($E$50&lt;=0.5,L380*($E$36+$E$50*100*(1+0.02*($E$40*$E$41)))/100,L380*($E$36+$E$50*100+($E$40*$E$41))/100))))</f>
        <v/>
      </c>
      <c r="N380" s="134"/>
      <c r="O380" s="29"/>
      <c r="P380" s="37" t="str">
        <f t="shared" ref="P380:P443" si="38">IF(F380="수정 후 재사용",IF(H380="ILF",G380,IF(H380="EIF",G380,"")),"")</f>
        <v/>
      </c>
      <c r="Q380" s="38" t="str">
        <f t="shared" ref="Q380:Q443" si="39">IF(P380&lt;&gt;"",IF(H380="ILF", L380/$E$46,IF(H380="EIF", L380/$E$46,"")),"")</f>
        <v/>
      </c>
      <c r="R380" s="37" t="str">
        <f t="shared" ref="R380:R443" si="40">IF(P380&lt;&gt;"",P380*Q380,"")</f>
        <v/>
      </c>
      <c r="S380" s="37" t="str">
        <f t="shared" ref="S380:S443" si="41">IF(F380="수정 후 재사용",IF(H380="EI",G380,IF(H380="EO",G380,IF(H380="EQ",G380,""))),"")</f>
        <v/>
      </c>
      <c r="T380" s="38" t="str">
        <f t="shared" ref="T380:T443" si="42">IF(S380&lt;&gt;"",IF(H380="EI",L380/$E$47,IF(H380="EO",L380/$E$47,IF(H380="EQ",L380/$E$47,""))),"")</f>
        <v/>
      </c>
      <c r="U380" s="37" t="str">
        <f t="shared" ref="U380:U443" si="43">IF(S380&lt;&gt;"",S380*T380,"")</f>
        <v/>
      </c>
    </row>
    <row r="381" spans="2:21" ht="27">
      <c r="B381" s="282" t="s">
        <v>682</v>
      </c>
      <c r="C381" s="156" t="s">
        <v>683</v>
      </c>
      <c r="D381" s="157" t="s">
        <v>752</v>
      </c>
      <c r="E381" s="281" t="s">
        <v>753</v>
      </c>
      <c r="F381" s="151" t="s">
        <v>127</v>
      </c>
      <c r="G381" s="152">
        <v>0</v>
      </c>
      <c r="H381" s="153" t="s">
        <v>70</v>
      </c>
      <c r="I381" s="154">
        <v>1</v>
      </c>
      <c r="J381" s="154">
        <v>5</v>
      </c>
      <c r="K381" s="30" t="str">
        <f>IF(H381="","",IF($C$30="간이법","",FPR(H381,I381,J381)))</f>
        <v/>
      </c>
      <c r="L381" s="30">
        <f>IF(H381="","",IF($C$30="상세법",FPV(H381,K381),IF(H381="EI",4,IF(H381="EO",5.2,IF(H381="EQ",3.9,IF(H381="ILF",7.5,IF(H381="EIF",5.4)))))))</f>
        <v>3.9</v>
      </c>
      <c r="M381" s="30" t="str">
        <f t="shared" si="37"/>
        <v/>
      </c>
      <c r="N381" s="134"/>
      <c r="O381" s="29"/>
      <c r="P381" s="37" t="str">
        <f t="shared" si="38"/>
        <v/>
      </c>
      <c r="Q381" s="38" t="str">
        <f t="shared" si="39"/>
        <v/>
      </c>
      <c r="R381" s="37" t="str">
        <f t="shared" si="40"/>
        <v/>
      </c>
      <c r="S381" s="37" t="str">
        <f t="shared" si="41"/>
        <v/>
      </c>
      <c r="T381" s="38" t="str">
        <f t="shared" si="42"/>
        <v/>
      </c>
      <c r="U381" s="37" t="str">
        <f t="shared" si="43"/>
        <v/>
      </c>
    </row>
    <row r="382" spans="2:21" ht="27">
      <c r="B382" s="282" t="s">
        <v>682</v>
      </c>
      <c r="C382" s="156" t="s">
        <v>683</v>
      </c>
      <c r="D382" s="157" t="s">
        <v>754</v>
      </c>
      <c r="E382" s="281" t="s">
        <v>755</v>
      </c>
      <c r="F382" s="151" t="s">
        <v>127</v>
      </c>
      <c r="G382" s="152">
        <v>0</v>
      </c>
      <c r="H382" s="153" t="s">
        <v>70</v>
      </c>
      <c r="I382" s="154">
        <v>1</v>
      </c>
      <c r="J382" s="154">
        <v>5</v>
      </c>
      <c r="K382" s="30" t="str">
        <f>IF(H382="","",IF($C$30="간이법","",FPR(H382,I382,J382)))</f>
        <v/>
      </c>
      <c r="L382" s="30">
        <f>IF(H382="","",IF($C$30="상세법",FPV(H382,K382),IF(H382="EI",4,IF(H382="EO",5.2,IF(H382="EQ",3.9,IF(H382="ILF",7.5,IF(H382="EIF",5.4)))))))</f>
        <v>3.9</v>
      </c>
      <c r="M382" s="30" t="str">
        <f t="shared" si="37"/>
        <v/>
      </c>
      <c r="N382" s="134"/>
      <c r="O382" s="29"/>
      <c r="P382" s="37" t="str">
        <f t="shared" si="38"/>
        <v/>
      </c>
      <c r="Q382" s="38" t="str">
        <f t="shared" si="39"/>
        <v/>
      </c>
      <c r="R382" s="37" t="str">
        <f t="shared" si="40"/>
        <v/>
      </c>
      <c r="S382" s="37" t="str">
        <f t="shared" si="41"/>
        <v/>
      </c>
      <c r="T382" s="38" t="str">
        <f t="shared" si="42"/>
        <v/>
      </c>
      <c r="U382" s="37" t="str">
        <f t="shared" si="43"/>
        <v/>
      </c>
    </row>
    <row r="383" spans="2:21" ht="27">
      <c r="B383" s="282" t="s">
        <v>682</v>
      </c>
      <c r="C383" s="156" t="s">
        <v>683</v>
      </c>
      <c r="D383" s="157" t="s">
        <v>756</v>
      </c>
      <c r="E383" s="281" t="s">
        <v>757</v>
      </c>
      <c r="F383" s="151" t="s">
        <v>127</v>
      </c>
      <c r="G383" s="152">
        <v>0</v>
      </c>
      <c r="H383" s="153" t="s">
        <v>8</v>
      </c>
      <c r="I383" s="154">
        <v>3</v>
      </c>
      <c r="J383" s="154">
        <v>28</v>
      </c>
      <c r="K383" s="30" t="str">
        <f>IF(H383="","",IF($C$30="간이법","",FPR(H383,I383,J383)))</f>
        <v/>
      </c>
      <c r="L383" s="30">
        <f>IF(H383="","",IF($C$30="상세법",FPV(H383,K383),IF(H383="EI",4,IF(H383="EO",5.2,IF(H383="EQ",3.9,IF(H383="ILF",7.5,IF(H383="EIF",5.4)))))))</f>
        <v>4</v>
      </c>
      <c r="M383" s="30" t="str">
        <f t="shared" si="37"/>
        <v/>
      </c>
      <c r="N383" s="134"/>
      <c r="O383" s="29"/>
      <c r="P383" s="37" t="str">
        <f t="shared" si="38"/>
        <v/>
      </c>
      <c r="Q383" s="38" t="str">
        <f t="shared" si="39"/>
        <v/>
      </c>
      <c r="R383" s="37" t="str">
        <f t="shared" si="40"/>
        <v/>
      </c>
      <c r="S383" s="37" t="str">
        <f t="shared" si="41"/>
        <v/>
      </c>
      <c r="T383" s="38" t="str">
        <f t="shared" si="42"/>
        <v/>
      </c>
      <c r="U383" s="37" t="str">
        <f t="shared" si="43"/>
        <v/>
      </c>
    </row>
    <row r="384" spans="2:21" ht="27">
      <c r="B384" s="282" t="s">
        <v>682</v>
      </c>
      <c r="C384" s="156" t="s">
        <v>683</v>
      </c>
      <c r="D384" s="157" t="s">
        <v>758</v>
      </c>
      <c r="E384" s="281" t="s">
        <v>759</v>
      </c>
      <c r="F384" s="151" t="s">
        <v>127</v>
      </c>
      <c r="G384" s="152">
        <v>0</v>
      </c>
      <c r="H384" s="153" t="s">
        <v>70</v>
      </c>
      <c r="I384" s="154">
        <v>1</v>
      </c>
      <c r="J384" s="154">
        <v>5</v>
      </c>
      <c r="K384" s="30" t="str">
        <f>IF(H384="","",IF($C$30="간이법","",FPR(H384,I384,J384)))</f>
        <v/>
      </c>
      <c r="L384" s="30">
        <f>IF(H384="","",IF($C$30="상세법",FPV(H384,K384),IF(H384="EI",4,IF(H384="EO",5.2,IF(H384="EQ",3.9,IF(H384="ILF",7.5,IF(H384="EIF",5.4)))))))</f>
        <v>3.9</v>
      </c>
      <c r="M384" s="30" t="str">
        <f t="shared" si="37"/>
        <v/>
      </c>
      <c r="N384" s="134"/>
      <c r="O384" s="29"/>
      <c r="P384" s="37" t="str">
        <f t="shared" si="38"/>
        <v/>
      </c>
      <c r="Q384" s="38" t="str">
        <f t="shared" si="39"/>
        <v/>
      </c>
      <c r="R384" s="37" t="str">
        <f t="shared" si="40"/>
        <v/>
      </c>
      <c r="S384" s="37" t="str">
        <f t="shared" si="41"/>
        <v/>
      </c>
      <c r="T384" s="38" t="str">
        <f t="shared" si="42"/>
        <v/>
      </c>
      <c r="U384" s="37" t="str">
        <f t="shared" si="43"/>
        <v/>
      </c>
    </row>
    <row r="385" spans="2:21" ht="27">
      <c r="B385" s="282" t="s">
        <v>682</v>
      </c>
      <c r="C385" s="156" t="s">
        <v>683</v>
      </c>
      <c r="D385" s="157" t="s">
        <v>760</v>
      </c>
      <c r="E385" s="281" t="s">
        <v>761</v>
      </c>
      <c r="F385" s="151" t="s">
        <v>127</v>
      </c>
      <c r="G385" s="152">
        <v>0</v>
      </c>
      <c r="H385" s="153" t="s">
        <v>70</v>
      </c>
      <c r="I385" s="154">
        <v>1</v>
      </c>
      <c r="J385" s="154">
        <v>5</v>
      </c>
      <c r="K385" s="30" t="str">
        <f>IF(H385="","",IF($C$30="간이법","",FPR(H385,I385,J385)))</f>
        <v/>
      </c>
      <c r="L385" s="30">
        <f>IF(H385="","",IF($C$30="상세법",FPV(H385,K385),IF(H385="EI",4,IF(H385="EO",5.2,IF(H385="EQ",3.9,IF(H385="ILF",7.5,IF(H385="EIF",5.4)))))))</f>
        <v>3.9</v>
      </c>
      <c r="M385" s="30" t="str">
        <f t="shared" si="37"/>
        <v/>
      </c>
      <c r="N385" s="134"/>
      <c r="O385" s="29"/>
      <c r="P385" s="37" t="str">
        <f t="shared" si="38"/>
        <v/>
      </c>
      <c r="Q385" s="38" t="str">
        <f t="shared" si="39"/>
        <v/>
      </c>
      <c r="R385" s="37" t="str">
        <f t="shared" si="40"/>
        <v/>
      </c>
      <c r="S385" s="37" t="str">
        <f t="shared" si="41"/>
        <v/>
      </c>
      <c r="T385" s="38" t="str">
        <f t="shared" si="42"/>
        <v/>
      </c>
      <c r="U385" s="37" t="str">
        <f t="shared" si="43"/>
        <v/>
      </c>
    </row>
    <row r="386" spans="2:21" ht="27">
      <c r="B386" s="282" t="s">
        <v>682</v>
      </c>
      <c r="C386" s="156" t="s">
        <v>683</v>
      </c>
      <c r="D386" s="157" t="s">
        <v>762</v>
      </c>
      <c r="E386" s="281" t="s">
        <v>763</v>
      </c>
      <c r="F386" s="151" t="s">
        <v>127</v>
      </c>
      <c r="G386" s="152">
        <v>0</v>
      </c>
      <c r="H386" s="153" t="s">
        <v>70</v>
      </c>
      <c r="I386" s="154">
        <v>1</v>
      </c>
      <c r="J386" s="154">
        <v>5</v>
      </c>
      <c r="K386" s="30" t="str">
        <f>IF(H386="","",IF($C$30="간이법","",FPR(H386,I386,J386)))</f>
        <v/>
      </c>
      <c r="L386" s="30">
        <f>IF(H386="","",IF($C$30="상세법",FPV(H386,K386),IF(H386="EI",4,IF(H386="EO",5.2,IF(H386="EQ",3.9,IF(H386="ILF",7.5,IF(H386="EIF",5.4)))))))</f>
        <v>3.9</v>
      </c>
      <c r="M386" s="30" t="str">
        <f t="shared" si="37"/>
        <v/>
      </c>
      <c r="N386" s="134"/>
      <c r="O386" s="29"/>
      <c r="P386" s="37" t="str">
        <f t="shared" si="38"/>
        <v/>
      </c>
      <c r="Q386" s="38" t="str">
        <f t="shared" si="39"/>
        <v/>
      </c>
      <c r="R386" s="37" t="str">
        <f t="shared" si="40"/>
        <v/>
      </c>
      <c r="S386" s="37" t="str">
        <f t="shared" si="41"/>
        <v/>
      </c>
      <c r="T386" s="38" t="str">
        <f t="shared" si="42"/>
        <v/>
      </c>
      <c r="U386" s="37" t="str">
        <f t="shared" si="43"/>
        <v/>
      </c>
    </row>
    <row r="387" spans="2:21" ht="17.25">
      <c r="B387" s="282" t="s">
        <v>682</v>
      </c>
      <c r="C387" s="156" t="s">
        <v>683</v>
      </c>
      <c r="D387" s="157" t="s">
        <v>764</v>
      </c>
      <c r="E387" s="281" t="s">
        <v>765</v>
      </c>
      <c r="F387" s="151" t="s">
        <v>127</v>
      </c>
      <c r="G387" s="152">
        <v>0</v>
      </c>
      <c r="H387" s="153" t="s">
        <v>70</v>
      </c>
      <c r="I387" s="154">
        <v>1</v>
      </c>
      <c r="J387" s="154">
        <v>5</v>
      </c>
      <c r="K387" s="30" t="str">
        <f>IF(H387="","",IF($C$30="간이법","",FPR(H387,I387,J387)))</f>
        <v/>
      </c>
      <c r="L387" s="30">
        <f>IF(H387="","",IF($C$30="상세법",FPV(H387,K387),IF(H387="EI",4,IF(H387="EO",5.2,IF(H387="EQ",3.9,IF(H387="ILF",7.5,IF(H387="EIF",5.4)))))))</f>
        <v>3.9</v>
      </c>
      <c r="M387" s="30" t="str">
        <f t="shared" si="37"/>
        <v/>
      </c>
      <c r="N387" s="134"/>
      <c r="O387" s="29"/>
      <c r="P387" s="37" t="str">
        <f t="shared" si="38"/>
        <v/>
      </c>
      <c r="Q387" s="38" t="str">
        <f t="shared" si="39"/>
        <v/>
      </c>
      <c r="R387" s="37" t="str">
        <f t="shared" si="40"/>
        <v/>
      </c>
      <c r="S387" s="37" t="str">
        <f t="shared" si="41"/>
        <v/>
      </c>
      <c r="T387" s="38" t="str">
        <f t="shared" si="42"/>
        <v/>
      </c>
      <c r="U387" s="37" t="str">
        <f t="shared" si="43"/>
        <v/>
      </c>
    </row>
    <row r="388" spans="2:21" ht="27">
      <c r="B388" s="282" t="s">
        <v>682</v>
      </c>
      <c r="C388" s="156" t="s">
        <v>683</v>
      </c>
      <c r="D388" s="157" t="s">
        <v>766</v>
      </c>
      <c r="E388" s="281" t="s">
        <v>767</v>
      </c>
      <c r="F388" s="151" t="s">
        <v>127</v>
      </c>
      <c r="G388" s="152">
        <v>0</v>
      </c>
      <c r="H388" s="153" t="s">
        <v>70</v>
      </c>
      <c r="I388" s="154">
        <v>1</v>
      </c>
      <c r="J388" s="154">
        <v>5</v>
      </c>
      <c r="K388" s="30" t="str">
        <f>IF(H388="","",IF($C$30="간이법","",FPR(H388,I388,J388)))</f>
        <v/>
      </c>
      <c r="L388" s="30">
        <f>IF(H388="","",IF($C$30="상세법",FPV(H388,K388),IF(H388="EI",4,IF(H388="EO",5.2,IF(H388="EQ",3.9,IF(H388="ILF",7.5,IF(H388="EIF",5.4)))))))</f>
        <v>3.9</v>
      </c>
      <c r="M388" s="30" t="str">
        <f t="shared" si="37"/>
        <v/>
      </c>
      <c r="N388" s="134"/>
      <c r="O388" s="29"/>
      <c r="P388" s="37" t="str">
        <f t="shared" si="38"/>
        <v/>
      </c>
      <c r="Q388" s="38" t="str">
        <f t="shared" si="39"/>
        <v/>
      </c>
      <c r="R388" s="37" t="str">
        <f t="shared" si="40"/>
        <v/>
      </c>
      <c r="S388" s="37" t="str">
        <f t="shared" si="41"/>
        <v/>
      </c>
      <c r="T388" s="38" t="str">
        <f t="shared" si="42"/>
        <v/>
      </c>
      <c r="U388" s="37" t="str">
        <f t="shared" si="43"/>
        <v/>
      </c>
    </row>
    <row r="389" spans="2:21" ht="17.25">
      <c r="B389" s="282" t="s">
        <v>682</v>
      </c>
      <c r="C389" s="156" t="s">
        <v>683</v>
      </c>
      <c r="D389" s="157" t="s">
        <v>768</v>
      </c>
      <c r="E389" s="281" t="s">
        <v>769</v>
      </c>
      <c r="F389" s="151" t="s">
        <v>127</v>
      </c>
      <c r="G389" s="152">
        <v>0</v>
      </c>
      <c r="H389" s="153" t="s">
        <v>70</v>
      </c>
      <c r="I389" s="154">
        <v>1</v>
      </c>
      <c r="J389" s="154">
        <v>5</v>
      </c>
      <c r="K389" s="30" t="str">
        <f>IF(H389="","",IF($C$30="간이법","",FPR(H389,I389,J389)))</f>
        <v/>
      </c>
      <c r="L389" s="30">
        <f>IF(H389="","",IF($C$30="상세법",FPV(H389,K389),IF(H389="EI",4,IF(H389="EO",5.2,IF(H389="EQ",3.9,IF(H389="ILF",7.5,IF(H389="EIF",5.4)))))))</f>
        <v>3.9</v>
      </c>
      <c r="M389" s="30" t="str">
        <f t="shared" si="37"/>
        <v/>
      </c>
      <c r="N389" s="134"/>
      <c r="O389" s="29"/>
      <c r="P389" s="37" t="str">
        <f t="shared" si="38"/>
        <v/>
      </c>
      <c r="Q389" s="38" t="str">
        <f t="shared" si="39"/>
        <v/>
      </c>
      <c r="R389" s="37" t="str">
        <f t="shared" si="40"/>
        <v/>
      </c>
      <c r="S389" s="37" t="str">
        <f t="shared" si="41"/>
        <v/>
      </c>
      <c r="T389" s="38" t="str">
        <f t="shared" si="42"/>
        <v/>
      </c>
      <c r="U389" s="37" t="str">
        <f t="shared" si="43"/>
        <v/>
      </c>
    </row>
    <row r="390" spans="2:21" ht="27">
      <c r="B390" s="282" t="s">
        <v>682</v>
      </c>
      <c r="C390" s="156" t="s">
        <v>683</v>
      </c>
      <c r="D390" s="157" t="s">
        <v>770</v>
      </c>
      <c r="E390" s="281" t="s">
        <v>771</v>
      </c>
      <c r="F390" s="151" t="s">
        <v>127</v>
      </c>
      <c r="G390" s="152">
        <v>0</v>
      </c>
      <c r="H390" s="153" t="s">
        <v>70</v>
      </c>
      <c r="I390" s="154">
        <v>1</v>
      </c>
      <c r="J390" s="154">
        <v>5</v>
      </c>
      <c r="K390" s="30" t="str">
        <f>IF(H390="","",IF($C$30="간이법","",FPR(H390,I390,J390)))</f>
        <v/>
      </c>
      <c r="L390" s="30">
        <f>IF(H390="","",IF($C$30="상세법",FPV(H390,K390),IF(H390="EI",4,IF(H390="EO",5.2,IF(H390="EQ",3.9,IF(H390="ILF",7.5,IF(H390="EIF",5.4)))))))</f>
        <v>3.9</v>
      </c>
      <c r="M390" s="30" t="str">
        <f t="shared" si="37"/>
        <v/>
      </c>
      <c r="N390" s="134"/>
      <c r="O390" s="29"/>
      <c r="P390" s="37" t="str">
        <f t="shared" si="38"/>
        <v/>
      </c>
      <c r="Q390" s="38" t="str">
        <f t="shared" si="39"/>
        <v/>
      </c>
      <c r="R390" s="37" t="str">
        <f t="shared" si="40"/>
        <v/>
      </c>
      <c r="S390" s="37" t="str">
        <f t="shared" si="41"/>
        <v/>
      </c>
      <c r="T390" s="38" t="str">
        <f t="shared" si="42"/>
        <v/>
      </c>
      <c r="U390" s="37" t="str">
        <f t="shared" si="43"/>
        <v/>
      </c>
    </row>
    <row r="391" spans="2:21" ht="27">
      <c r="B391" s="282" t="s">
        <v>682</v>
      </c>
      <c r="C391" s="156" t="s">
        <v>683</v>
      </c>
      <c r="D391" s="157" t="s">
        <v>772</v>
      </c>
      <c r="E391" s="281" t="s">
        <v>773</v>
      </c>
      <c r="F391" s="151" t="s">
        <v>127</v>
      </c>
      <c r="G391" s="152">
        <v>0</v>
      </c>
      <c r="H391" s="153" t="s">
        <v>70</v>
      </c>
      <c r="I391" s="154">
        <v>1</v>
      </c>
      <c r="J391" s="154">
        <v>5</v>
      </c>
      <c r="K391" s="30" t="str">
        <f>IF(H391="","",IF($C$30="간이법","",FPR(H391,I391,J391)))</f>
        <v/>
      </c>
      <c r="L391" s="30">
        <f>IF(H391="","",IF($C$30="상세법",FPV(H391,K391),IF(H391="EI",4,IF(H391="EO",5.2,IF(H391="EQ",3.9,IF(H391="ILF",7.5,IF(H391="EIF",5.4)))))))</f>
        <v>3.9</v>
      </c>
      <c r="M391" s="30" t="str">
        <f t="shared" si="37"/>
        <v/>
      </c>
      <c r="N391" s="134"/>
      <c r="O391" s="29"/>
      <c r="P391" s="37" t="str">
        <f t="shared" si="38"/>
        <v/>
      </c>
      <c r="Q391" s="38" t="str">
        <f t="shared" si="39"/>
        <v/>
      </c>
      <c r="R391" s="37" t="str">
        <f t="shared" si="40"/>
        <v/>
      </c>
      <c r="S391" s="37" t="str">
        <f t="shared" si="41"/>
        <v/>
      </c>
      <c r="T391" s="38" t="str">
        <f t="shared" si="42"/>
        <v/>
      </c>
      <c r="U391" s="37" t="str">
        <f t="shared" si="43"/>
        <v/>
      </c>
    </row>
    <row r="392" spans="2:21" ht="27">
      <c r="B392" s="282" t="s">
        <v>682</v>
      </c>
      <c r="C392" s="156" t="s">
        <v>683</v>
      </c>
      <c r="D392" s="157" t="s">
        <v>774</v>
      </c>
      <c r="E392" s="281" t="s">
        <v>775</v>
      </c>
      <c r="F392" s="151" t="s">
        <v>127</v>
      </c>
      <c r="G392" s="152">
        <v>0</v>
      </c>
      <c r="H392" s="153" t="s">
        <v>70</v>
      </c>
      <c r="I392" s="154">
        <v>1</v>
      </c>
      <c r="J392" s="154">
        <v>5</v>
      </c>
      <c r="K392" s="30" t="str">
        <f>IF(H392="","",IF($C$30="간이법","",FPR(H392,I392,J392)))</f>
        <v/>
      </c>
      <c r="L392" s="30">
        <f>IF(H392="","",IF($C$30="상세법",FPV(H392,K392),IF(H392="EI",4,IF(H392="EO",5.2,IF(H392="EQ",3.9,IF(H392="ILF",7.5,IF(H392="EIF",5.4)))))))</f>
        <v>3.9</v>
      </c>
      <c r="M392" s="30" t="str">
        <f t="shared" si="37"/>
        <v/>
      </c>
      <c r="N392" s="134"/>
      <c r="O392" s="29"/>
      <c r="P392" s="37" t="str">
        <f t="shared" si="38"/>
        <v/>
      </c>
      <c r="Q392" s="38" t="str">
        <f t="shared" si="39"/>
        <v/>
      </c>
      <c r="R392" s="37" t="str">
        <f t="shared" si="40"/>
        <v/>
      </c>
      <c r="S392" s="37" t="str">
        <f t="shared" si="41"/>
        <v/>
      </c>
      <c r="T392" s="38" t="str">
        <f t="shared" si="42"/>
        <v/>
      </c>
      <c r="U392" s="37" t="str">
        <f t="shared" si="43"/>
        <v/>
      </c>
    </row>
    <row r="393" spans="2:21" ht="27">
      <c r="B393" s="282" t="s">
        <v>682</v>
      </c>
      <c r="C393" s="156" t="s">
        <v>683</v>
      </c>
      <c r="D393" s="157" t="s">
        <v>776</v>
      </c>
      <c r="E393" s="281" t="s">
        <v>777</v>
      </c>
      <c r="F393" s="151" t="s">
        <v>127</v>
      </c>
      <c r="G393" s="152">
        <v>0</v>
      </c>
      <c r="H393" s="153" t="s">
        <v>70</v>
      </c>
      <c r="I393" s="154">
        <v>1</v>
      </c>
      <c r="J393" s="154">
        <v>5</v>
      </c>
      <c r="K393" s="30" t="str">
        <f>IF(H393="","",IF($C$30="간이법","",FPR(H393,I393,J393)))</f>
        <v/>
      </c>
      <c r="L393" s="30">
        <f>IF(H393="","",IF($C$30="상세법",FPV(H393,K393),IF(H393="EI",4,IF(H393="EO",5.2,IF(H393="EQ",3.9,IF(H393="ILF",7.5,IF(H393="EIF",5.4)))))))</f>
        <v>3.9</v>
      </c>
      <c r="M393" s="30" t="str">
        <f t="shared" si="37"/>
        <v/>
      </c>
      <c r="N393" s="134"/>
      <c r="O393" s="29"/>
      <c r="P393" s="37" t="str">
        <f t="shared" si="38"/>
        <v/>
      </c>
      <c r="Q393" s="38" t="str">
        <f t="shared" si="39"/>
        <v/>
      </c>
      <c r="R393" s="37" t="str">
        <f t="shared" si="40"/>
        <v/>
      </c>
      <c r="S393" s="37" t="str">
        <f t="shared" si="41"/>
        <v/>
      </c>
      <c r="T393" s="38" t="str">
        <f t="shared" si="42"/>
        <v/>
      </c>
      <c r="U393" s="37" t="str">
        <f t="shared" si="43"/>
        <v/>
      </c>
    </row>
    <row r="394" spans="2:21" ht="27">
      <c r="B394" s="282" t="s">
        <v>682</v>
      </c>
      <c r="C394" s="156" t="s">
        <v>683</v>
      </c>
      <c r="D394" s="157" t="s">
        <v>778</v>
      </c>
      <c r="E394" s="281" t="s">
        <v>779</v>
      </c>
      <c r="F394" s="151" t="s">
        <v>127</v>
      </c>
      <c r="G394" s="152">
        <v>0</v>
      </c>
      <c r="H394" s="153" t="s">
        <v>70</v>
      </c>
      <c r="I394" s="154">
        <v>1</v>
      </c>
      <c r="J394" s="154">
        <v>5</v>
      </c>
      <c r="K394" s="30" t="str">
        <f>IF(H394="","",IF($C$30="간이법","",FPR(H394,I394,J394)))</f>
        <v/>
      </c>
      <c r="L394" s="30">
        <f>IF(H394="","",IF($C$30="상세법",FPV(H394,K394),IF(H394="EI",4,IF(H394="EO",5.2,IF(H394="EQ",3.9,IF(H394="ILF",7.5,IF(H394="EIF",5.4)))))))</f>
        <v>3.9</v>
      </c>
      <c r="M394" s="30" t="str">
        <f t="shared" si="37"/>
        <v/>
      </c>
      <c r="N394" s="134"/>
      <c r="O394" s="29"/>
      <c r="P394" s="37" t="str">
        <f t="shared" si="38"/>
        <v/>
      </c>
      <c r="Q394" s="38" t="str">
        <f t="shared" si="39"/>
        <v/>
      </c>
      <c r="R394" s="37" t="str">
        <f t="shared" si="40"/>
        <v/>
      </c>
      <c r="S394" s="37" t="str">
        <f t="shared" si="41"/>
        <v/>
      </c>
      <c r="T394" s="38" t="str">
        <f t="shared" si="42"/>
        <v/>
      </c>
      <c r="U394" s="37" t="str">
        <f t="shared" si="43"/>
        <v/>
      </c>
    </row>
    <row r="395" spans="2:21" ht="27">
      <c r="B395" s="282" t="s">
        <v>682</v>
      </c>
      <c r="C395" s="156" t="s">
        <v>683</v>
      </c>
      <c r="D395" s="157" t="s">
        <v>780</v>
      </c>
      <c r="E395" s="281" t="s">
        <v>781</v>
      </c>
      <c r="F395" s="151" t="s">
        <v>127</v>
      </c>
      <c r="G395" s="152">
        <v>0</v>
      </c>
      <c r="H395" s="153" t="s">
        <v>70</v>
      </c>
      <c r="I395" s="154">
        <v>1</v>
      </c>
      <c r="J395" s="154">
        <v>5</v>
      </c>
      <c r="K395" s="30" t="str">
        <f>IF(H395="","",IF($C$30="간이법","",FPR(H395,I395,J395)))</f>
        <v/>
      </c>
      <c r="L395" s="30">
        <f>IF(H395="","",IF($C$30="상세법",FPV(H395,K395),IF(H395="EI",4,IF(H395="EO",5.2,IF(H395="EQ",3.9,IF(H395="ILF",7.5,IF(H395="EIF",5.4)))))))</f>
        <v>3.9</v>
      </c>
      <c r="M395" s="30" t="str">
        <f t="shared" si="37"/>
        <v/>
      </c>
      <c r="N395" s="134"/>
      <c r="O395" s="29"/>
      <c r="P395" s="37" t="str">
        <f t="shared" si="38"/>
        <v/>
      </c>
      <c r="Q395" s="38" t="str">
        <f t="shared" si="39"/>
        <v/>
      </c>
      <c r="R395" s="37" t="str">
        <f t="shared" si="40"/>
        <v/>
      </c>
      <c r="S395" s="37" t="str">
        <f t="shared" si="41"/>
        <v/>
      </c>
      <c r="T395" s="38" t="str">
        <f t="shared" si="42"/>
        <v/>
      </c>
      <c r="U395" s="37" t="str">
        <f t="shared" si="43"/>
        <v/>
      </c>
    </row>
    <row r="396" spans="2:21" ht="27">
      <c r="B396" s="282" t="s">
        <v>682</v>
      </c>
      <c r="C396" s="156" t="s">
        <v>683</v>
      </c>
      <c r="D396" s="157" t="s">
        <v>782</v>
      </c>
      <c r="E396" s="281" t="s">
        <v>783</v>
      </c>
      <c r="F396" s="151" t="s">
        <v>127</v>
      </c>
      <c r="G396" s="152">
        <v>0</v>
      </c>
      <c r="H396" s="153" t="s">
        <v>70</v>
      </c>
      <c r="I396" s="154">
        <v>1</v>
      </c>
      <c r="J396" s="154">
        <v>5</v>
      </c>
      <c r="K396" s="30" t="str">
        <f>IF(H396="","",IF($C$30="간이법","",FPR(H396,I396,J396)))</f>
        <v/>
      </c>
      <c r="L396" s="30">
        <f>IF(H396="","",IF($C$30="상세법",FPV(H396,K396),IF(H396="EI",4,IF(H396="EO",5.2,IF(H396="EQ",3.9,IF(H396="ILF",7.5,IF(H396="EIF",5.4)))))))</f>
        <v>3.9</v>
      </c>
      <c r="M396" s="30" t="str">
        <f t="shared" si="37"/>
        <v/>
      </c>
      <c r="N396" s="134"/>
      <c r="O396" s="29"/>
      <c r="P396" s="37" t="str">
        <f t="shared" si="38"/>
        <v/>
      </c>
      <c r="Q396" s="38" t="str">
        <f t="shared" si="39"/>
        <v/>
      </c>
      <c r="R396" s="37" t="str">
        <f t="shared" si="40"/>
        <v/>
      </c>
      <c r="S396" s="37" t="str">
        <f t="shared" si="41"/>
        <v/>
      </c>
      <c r="T396" s="38" t="str">
        <f t="shared" si="42"/>
        <v/>
      </c>
      <c r="U396" s="37" t="str">
        <f t="shared" si="43"/>
        <v/>
      </c>
    </row>
    <row r="397" spans="2:21" ht="27">
      <c r="B397" s="282" t="s">
        <v>682</v>
      </c>
      <c r="C397" s="156" t="s">
        <v>683</v>
      </c>
      <c r="D397" s="157" t="s">
        <v>784</v>
      </c>
      <c r="E397" s="281" t="s">
        <v>785</v>
      </c>
      <c r="F397" s="151" t="s">
        <v>127</v>
      </c>
      <c r="G397" s="152">
        <v>0</v>
      </c>
      <c r="H397" s="153" t="s">
        <v>70</v>
      </c>
      <c r="I397" s="154">
        <v>1</v>
      </c>
      <c r="J397" s="154">
        <v>5</v>
      </c>
      <c r="K397" s="30" t="str">
        <f>IF(H397="","",IF($C$30="간이법","",FPR(H397,I397,J397)))</f>
        <v/>
      </c>
      <c r="L397" s="30">
        <f>IF(H397="","",IF($C$30="상세법",FPV(H397,K397),IF(H397="EI",4,IF(H397="EO",5.2,IF(H397="EQ",3.9,IF(H397="ILF",7.5,IF(H397="EIF",5.4)))))))</f>
        <v>3.9</v>
      </c>
      <c r="M397" s="30" t="str">
        <f t="shared" si="37"/>
        <v/>
      </c>
      <c r="N397" s="134"/>
      <c r="O397" s="29"/>
      <c r="P397" s="37" t="str">
        <f t="shared" si="38"/>
        <v/>
      </c>
      <c r="Q397" s="38" t="str">
        <f t="shared" si="39"/>
        <v/>
      </c>
      <c r="R397" s="37" t="str">
        <f t="shared" si="40"/>
        <v/>
      </c>
      <c r="S397" s="37" t="str">
        <f t="shared" si="41"/>
        <v/>
      </c>
      <c r="T397" s="38" t="str">
        <f t="shared" si="42"/>
        <v/>
      </c>
      <c r="U397" s="37" t="str">
        <f t="shared" si="43"/>
        <v/>
      </c>
    </row>
    <row r="398" spans="2:21" ht="27">
      <c r="B398" s="282" t="s">
        <v>682</v>
      </c>
      <c r="C398" s="156" t="s">
        <v>683</v>
      </c>
      <c r="D398" s="157" t="s">
        <v>786</v>
      </c>
      <c r="E398" s="281" t="s">
        <v>787</v>
      </c>
      <c r="F398" s="151" t="s">
        <v>127</v>
      </c>
      <c r="G398" s="152">
        <v>0</v>
      </c>
      <c r="H398" s="153" t="s">
        <v>70</v>
      </c>
      <c r="I398" s="154">
        <v>1</v>
      </c>
      <c r="J398" s="154">
        <v>5</v>
      </c>
      <c r="K398" s="30" t="str">
        <f>IF(H398="","",IF($C$30="간이법","",FPR(H398,I398,J398)))</f>
        <v/>
      </c>
      <c r="L398" s="30">
        <f>IF(H398="","",IF($C$30="상세법",FPV(H398,K398),IF(H398="EI",4,IF(H398="EO",5.2,IF(H398="EQ",3.9,IF(H398="ILF",7.5,IF(H398="EIF",5.4)))))))</f>
        <v>3.9</v>
      </c>
      <c r="M398" s="30" t="str">
        <f t="shared" si="37"/>
        <v/>
      </c>
      <c r="N398" s="134"/>
      <c r="O398" s="29"/>
      <c r="P398" s="37" t="str">
        <f t="shared" si="38"/>
        <v/>
      </c>
      <c r="Q398" s="38" t="str">
        <f t="shared" si="39"/>
        <v/>
      </c>
      <c r="R398" s="37" t="str">
        <f t="shared" si="40"/>
        <v/>
      </c>
      <c r="S398" s="37" t="str">
        <f t="shared" si="41"/>
        <v/>
      </c>
      <c r="T398" s="38" t="str">
        <f t="shared" si="42"/>
        <v/>
      </c>
      <c r="U398" s="37" t="str">
        <f t="shared" si="43"/>
        <v/>
      </c>
    </row>
    <row r="399" spans="2:21" ht="27">
      <c r="B399" s="282" t="s">
        <v>682</v>
      </c>
      <c r="C399" s="156" t="s">
        <v>683</v>
      </c>
      <c r="D399" s="157" t="s">
        <v>788</v>
      </c>
      <c r="E399" s="281" t="s">
        <v>789</v>
      </c>
      <c r="F399" s="151" t="s">
        <v>127</v>
      </c>
      <c r="G399" s="152">
        <v>0</v>
      </c>
      <c r="H399" s="153" t="s">
        <v>70</v>
      </c>
      <c r="I399" s="154">
        <v>1</v>
      </c>
      <c r="J399" s="154">
        <v>5</v>
      </c>
      <c r="K399" s="30" t="str">
        <f>IF(H399="","",IF($C$30="간이법","",FPR(H399,I399,J399)))</f>
        <v/>
      </c>
      <c r="L399" s="30">
        <f>IF(H399="","",IF($C$30="상세법",FPV(H399,K399),IF(H399="EI",4,IF(H399="EO",5.2,IF(H399="EQ",3.9,IF(H399="ILF",7.5,IF(H399="EIF",5.4)))))))</f>
        <v>3.9</v>
      </c>
      <c r="M399" s="30" t="str">
        <f t="shared" si="37"/>
        <v/>
      </c>
      <c r="N399" s="134"/>
      <c r="O399" s="29"/>
      <c r="P399" s="37" t="str">
        <f t="shared" si="38"/>
        <v/>
      </c>
      <c r="Q399" s="38" t="str">
        <f t="shared" si="39"/>
        <v/>
      </c>
      <c r="R399" s="37" t="str">
        <f t="shared" si="40"/>
        <v/>
      </c>
      <c r="S399" s="37" t="str">
        <f t="shared" si="41"/>
        <v/>
      </c>
      <c r="T399" s="38" t="str">
        <f t="shared" si="42"/>
        <v/>
      </c>
      <c r="U399" s="37" t="str">
        <f t="shared" si="43"/>
        <v/>
      </c>
    </row>
    <row r="400" spans="2:21" ht="27">
      <c r="B400" s="282" t="s">
        <v>682</v>
      </c>
      <c r="C400" s="156" t="s">
        <v>683</v>
      </c>
      <c r="D400" s="157" t="s">
        <v>790</v>
      </c>
      <c r="E400" s="281" t="s">
        <v>791</v>
      </c>
      <c r="F400" s="151" t="s">
        <v>127</v>
      </c>
      <c r="G400" s="152">
        <v>0</v>
      </c>
      <c r="H400" s="153" t="s">
        <v>70</v>
      </c>
      <c r="I400" s="154">
        <v>1</v>
      </c>
      <c r="J400" s="154">
        <v>5</v>
      </c>
      <c r="K400" s="30" t="str">
        <f>IF(H400="","",IF($C$30="간이법","",FPR(H400,I400,J400)))</f>
        <v/>
      </c>
      <c r="L400" s="30">
        <f>IF(H400="","",IF($C$30="상세법",FPV(H400,K400),IF(H400="EI",4,IF(H400="EO",5.2,IF(H400="EQ",3.9,IF(H400="ILF",7.5,IF(H400="EIF",5.4)))))))</f>
        <v>3.9</v>
      </c>
      <c r="M400" s="30" t="str">
        <f t="shared" si="37"/>
        <v/>
      </c>
      <c r="N400" s="134"/>
      <c r="O400" s="29"/>
      <c r="P400" s="37" t="str">
        <f t="shared" si="38"/>
        <v/>
      </c>
      <c r="Q400" s="38" t="str">
        <f t="shared" si="39"/>
        <v/>
      </c>
      <c r="R400" s="37" t="str">
        <f t="shared" si="40"/>
        <v/>
      </c>
      <c r="S400" s="37" t="str">
        <f t="shared" si="41"/>
        <v/>
      </c>
      <c r="T400" s="38" t="str">
        <f t="shared" si="42"/>
        <v/>
      </c>
      <c r="U400" s="37" t="str">
        <f t="shared" si="43"/>
        <v/>
      </c>
    </row>
    <row r="401" spans="2:21" ht="27">
      <c r="B401" s="282" t="s">
        <v>682</v>
      </c>
      <c r="C401" s="156" t="s">
        <v>683</v>
      </c>
      <c r="D401" s="157" t="s">
        <v>792</v>
      </c>
      <c r="E401" s="281" t="s">
        <v>793</v>
      </c>
      <c r="F401" s="151" t="s">
        <v>127</v>
      </c>
      <c r="G401" s="152">
        <v>0</v>
      </c>
      <c r="H401" s="153" t="s">
        <v>70</v>
      </c>
      <c r="I401" s="154">
        <v>1</v>
      </c>
      <c r="J401" s="154">
        <v>5</v>
      </c>
      <c r="K401" s="30" t="str">
        <f>IF(H401="","",IF($C$30="간이법","",FPR(H401,I401,J401)))</f>
        <v/>
      </c>
      <c r="L401" s="30">
        <f>IF(H401="","",IF($C$30="상세법",FPV(H401,K401),IF(H401="EI",4,IF(H401="EO",5.2,IF(H401="EQ",3.9,IF(H401="ILF",7.5,IF(H401="EIF",5.4)))))))</f>
        <v>3.9</v>
      </c>
      <c r="M401" s="30" t="str">
        <f t="shared" si="37"/>
        <v/>
      </c>
      <c r="N401" s="134"/>
      <c r="O401" s="29"/>
      <c r="P401" s="37" t="str">
        <f t="shared" si="38"/>
        <v/>
      </c>
      <c r="Q401" s="38" t="str">
        <f t="shared" si="39"/>
        <v/>
      </c>
      <c r="R401" s="37" t="str">
        <f t="shared" si="40"/>
        <v/>
      </c>
      <c r="S401" s="37" t="str">
        <f t="shared" si="41"/>
        <v/>
      </c>
      <c r="T401" s="38" t="str">
        <f t="shared" si="42"/>
        <v/>
      </c>
      <c r="U401" s="37" t="str">
        <f t="shared" si="43"/>
        <v/>
      </c>
    </row>
    <row r="402" spans="2:21" ht="27">
      <c r="B402" s="282" t="s">
        <v>682</v>
      </c>
      <c r="C402" s="156" t="s">
        <v>683</v>
      </c>
      <c r="D402" s="157" t="s">
        <v>794</v>
      </c>
      <c r="E402" s="281" t="s">
        <v>795</v>
      </c>
      <c r="F402" s="151" t="s">
        <v>127</v>
      </c>
      <c r="G402" s="152">
        <v>0</v>
      </c>
      <c r="H402" s="153" t="s">
        <v>70</v>
      </c>
      <c r="I402" s="154">
        <v>1</v>
      </c>
      <c r="J402" s="154">
        <v>5</v>
      </c>
      <c r="K402" s="30" t="str">
        <f>IF(H402="","",IF($C$30="간이법","",FPR(H402,I402,J402)))</f>
        <v/>
      </c>
      <c r="L402" s="30">
        <f>IF(H402="","",IF($C$30="상세법",FPV(H402,K402),IF(H402="EI",4,IF(H402="EO",5.2,IF(H402="EQ",3.9,IF(H402="ILF",7.5,IF(H402="EIF",5.4)))))))</f>
        <v>3.9</v>
      </c>
      <c r="M402" s="30" t="str">
        <f t="shared" si="37"/>
        <v/>
      </c>
      <c r="N402" s="134"/>
      <c r="O402" s="29"/>
      <c r="P402" s="37" t="str">
        <f t="shared" si="38"/>
        <v/>
      </c>
      <c r="Q402" s="38" t="str">
        <f t="shared" si="39"/>
        <v/>
      </c>
      <c r="R402" s="37" t="str">
        <f t="shared" si="40"/>
        <v/>
      </c>
      <c r="S402" s="37" t="str">
        <f t="shared" si="41"/>
        <v/>
      </c>
      <c r="T402" s="38" t="str">
        <f t="shared" si="42"/>
        <v/>
      </c>
      <c r="U402" s="37" t="str">
        <f t="shared" si="43"/>
        <v/>
      </c>
    </row>
    <row r="403" spans="2:21" ht="27">
      <c r="B403" s="282" t="s">
        <v>682</v>
      </c>
      <c r="C403" s="156" t="s">
        <v>683</v>
      </c>
      <c r="D403" s="157" t="s">
        <v>796</v>
      </c>
      <c r="E403" s="281" t="s">
        <v>797</v>
      </c>
      <c r="F403" s="151" t="s">
        <v>127</v>
      </c>
      <c r="G403" s="152">
        <v>0</v>
      </c>
      <c r="H403" s="153" t="s">
        <v>70</v>
      </c>
      <c r="I403" s="154">
        <v>1</v>
      </c>
      <c r="J403" s="154">
        <v>5</v>
      </c>
      <c r="K403" s="30" t="str">
        <f>IF(H403="","",IF($C$30="간이법","",FPR(H403,I403,J403)))</f>
        <v/>
      </c>
      <c r="L403" s="30">
        <f>IF(H403="","",IF($C$30="상세법",FPV(H403,K403),IF(H403="EI",4,IF(H403="EO",5.2,IF(H403="EQ",3.9,IF(H403="ILF",7.5,IF(H403="EIF",5.4)))))))</f>
        <v>3.9</v>
      </c>
      <c r="M403" s="30" t="str">
        <f t="shared" si="37"/>
        <v/>
      </c>
      <c r="N403" s="134"/>
      <c r="O403" s="29"/>
      <c r="P403" s="37" t="str">
        <f t="shared" si="38"/>
        <v/>
      </c>
      <c r="Q403" s="38" t="str">
        <f t="shared" si="39"/>
        <v/>
      </c>
      <c r="R403" s="37" t="str">
        <f t="shared" si="40"/>
        <v/>
      </c>
      <c r="S403" s="37" t="str">
        <f t="shared" si="41"/>
        <v/>
      </c>
      <c r="T403" s="38" t="str">
        <f t="shared" si="42"/>
        <v/>
      </c>
      <c r="U403" s="37" t="str">
        <f t="shared" si="43"/>
        <v/>
      </c>
    </row>
    <row r="404" spans="2:21" ht="27">
      <c r="B404" s="282" t="s">
        <v>682</v>
      </c>
      <c r="C404" s="156" t="s">
        <v>683</v>
      </c>
      <c r="D404" s="157" t="s">
        <v>798</v>
      </c>
      <c r="E404" s="281" t="s">
        <v>799</v>
      </c>
      <c r="F404" s="151" t="s">
        <v>127</v>
      </c>
      <c r="G404" s="152">
        <v>0</v>
      </c>
      <c r="H404" s="153" t="s">
        <v>70</v>
      </c>
      <c r="I404" s="154">
        <v>1</v>
      </c>
      <c r="J404" s="154">
        <v>5</v>
      </c>
      <c r="K404" s="30" t="str">
        <f>IF(H404="","",IF($C$30="간이법","",FPR(H404,I404,J404)))</f>
        <v/>
      </c>
      <c r="L404" s="30">
        <f>IF(H404="","",IF($C$30="상세법",FPV(H404,K404),IF(H404="EI",4,IF(H404="EO",5.2,IF(H404="EQ",3.9,IF(H404="ILF",7.5,IF(H404="EIF",5.4)))))))</f>
        <v>3.9</v>
      </c>
      <c r="M404" s="30" t="str">
        <f t="shared" si="37"/>
        <v/>
      </c>
      <c r="N404" s="134"/>
      <c r="O404" s="29"/>
      <c r="P404" s="37" t="str">
        <f t="shared" si="38"/>
        <v/>
      </c>
      <c r="Q404" s="38" t="str">
        <f t="shared" si="39"/>
        <v/>
      </c>
      <c r="R404" s="37" t="str">
        <f t="shared" si="40"/>
        <v/>
      </c>
      <c r="S404" s="37" t="str">
        <f t="shared" si="41"/>
        <v/>
      </c>
      <c r="T404" s="38" t="str">
        <f t="shared" si="42"/>
        <v/>
      </c>
      <c r="U404" s="37" t="str">
        <f t="shared" si="43"/>
        <v/>
      </c>
    </row>
    <row r="405" spans="2:21" ht="27">
      <c r="B405" s="282" t="s">
        <v>682</v>
      </c>
      <c r="C405" s="156" t="s">
        <v>683</v>
      </c>
      <c r="D405" s="157" t="s">
        <v>800</v>
      </c>
      <c r="E405" s="281" t="s">
        <v>801</v>
      </c>
      <c r="F405" s="151" t="s">
        <v>127</v>
      </c>
      <c r="G405" s="152">
        <v>0</v>
      </c>
      <c r="H405" s="153" t="s">
        <v>70</v>
      </c>
      <c r="I405" s="154">
        <v>1</v>
      </c>
      <c r="J405" s="154">
        <v>5</v>
      </c>
      <c r="K405" s="30" t="str">
        <f>IF(H405="","",IF($C$30="간이법","",FPR(H405,I405,J405)))</f>
        <v/>
      </c>
      <c r="L405" s="30">
        <f>IF(H405="","",IF($C$30="상세법",FPV(H405,K405),IF(H405="EI",4,IF(H405="EO",5.2,IF(H405="EQ",3.9,IF(H405="ILF",7.5,IF(H405="EIF",5.4)))))))</f>
        <v>3.9</v>
      </c>
      <c r="M405" s="30" t="str">
        <f t="shared" si="37"/>
        <v/>
      </c>
      <c r="N405" s="134"/>
      <c r="O405" s="29"/>
      <c r="P405" s="37" t="str">
        <f t="shared" si="38"/>
        <v/>
      </c>
      <c r="Q405" s="38" t="str">
        <f t="shared" si="39"/>
        <v/>
      </c>
      <c r="R405" s="37" t="str">
        <f t="shared" si="40"/>
        <v/>
      </c>
      <c r="S405" s="37" t="str">
        <f t="shared" si="41"/>
        <v/>
      </c>
      <c r="T405" s="38" t="str">
        <f t="shared" si="42"/>
        <v/>
      </c>
      <c r="U405" s="37" t="str">
        <f t="shared" si="43"/>
        <v/>
      </c>
    </row>
    <row r="406" spans="2:21" ht="27">
      <c r="B406" s="282" t="s">
        <v>682</v>
      </c>
      <c r="C406" s="156" t="s">
        <v>683</v>
      </c>
      <c r="D406" s="157" t="s">
        <v>802</v>
      </c>
      <c r="E406" s="281" t="s">
        <v>803</v>
      </c>
      <c r="F406" s="151" t="s">
        <v>127</v>
      </c>
      <c r="G406" s="152">
        <v>0</v>
      </c>
      <c r="H406" s="153" t="s">
        <v>70</v>
      </c>
      <c r="I406" s="154">
        <v>1</v>
      </c>
      <c r="J406" s="154">
        <v>5</v>
      </c>
      <c r="K406" s="30" t="str">
        <f>IF(H406="","",IF($C$30="간이법","",FPR(H406,I406,J406)))</f>
        <v/>
      </c>
      <c r="L406" s="30">
        <f>IF(H406="","",IF($C$30="상세법",FPV(H406,K406),IF(H406="EI",4,IF(H406="EO",5.2,IF(H406="EQ",3.9,IF(H406="ILF",7.5,IF(H406="EIF",5.4)))))))</f>
        <v>3.9</v>
      </c>
      <c r="M406" s="30" t="str">
        <f t="shared" si="37"/>
        <v/>
      </c>
      <c r="N406" s="134"/>
      <c r="O406" s="29"/>
      <c r="P406" s="37" t="str">
        <f t="shared" si="38"/>
        <v/>
      </c>
      <c r="Q406" s="38" t="str">
        <f t="shared" si="39"/>
        <v/>
      </c>
      <c r="R406" s="37" t="str">
        <f t="shared" si="40"/>
        <v/>
      </c>
      <c r="S406" s="37" t="str">
        <f t="shared" si="41"/>
        <v/>
      </c>
      <c r="T406" s="38" t="str">
        <f t="shared" si="42"/>
        <v/>
      </c>
      <c r="U406" s="37" t="str">
        <f t="shared" si="43"/>
        <v/>
      </c>
    </row>
    <row r="407" spans="2:21" ht="27">
      <c r="B407" s="282" t="s">
        <v>682</v>
      </c>
      <c r="C407" s="156" t="s">
        <v>683</v>
      </c>
      <c r="D407" s="157" t="s">
        <v>804</v>
      </c>
      <c r="E407" s="281" t="s">
        <v>805</v>
      </c>
      <c r="F407" s="151" t="s">
        <v>127</v>
      </c>
      <c r="G407" s="152">
        <v>0</v>
      </c>
      <c r="H407" s="153" t="s">
        <v>70</v>
      </c>
      <c r="I407" s="154">
        <v>1</v>
      </c>
      <c r="J407" s="154">
        <v>5</v>
      </c>
      <c r="K407" s="30" t="str">
        <f>IF(H407="","",IF($C$30="간이법","",FPR(H407,I407,J407)))</f>
        <v/>
      </c>
      <c r="L407" s="30">
        <f>IF(H407="","",IF($C$30="상세법",FPV(H407,K407),IF(H407="EI",4,IF(H407="EO",5.2,IF(H407="EQ",3.9,IF(H407="ILF",7.5,IF(H407="EIF",5.4)))))))</f>
        <v>3.9</v>
      </c>
      <c r="M407" s="30" t="str">
        <f t="shared" si="37"/>
        <v/>
      </c>
      <c r="N407" s="134"/>
      <c r="O407" s="29"/>
      <c r="P407" s="37" t="str">
        <f t="shared" si="38"/>
        <v/>
      </c>
      <c r="Q407" s="38" t="str">
        <f t="shared" si="39"/>
        <v/>
      </c>
      <c r="R407" s="37" t="str">
        <f t="shared" si="40"/>
        <v/>
      </c>
      <c r="S407" s="37" t="str">
        <f t="shared" si="41"/>
        <v/>
      </c>
      <c r="T407" s="38" t="str">
        <f t="shared" si="42"/>
        <v/>
      </c>
      <c r="U407" s="37" t="str">
        <f t="shared" si="43"/>
        <v/>
      </c>
    </row>
    <row r="408" spans="2:21" ht="27">
      <c r="B408" s="282" t="s">
        <v>682</v>
      </c>
      <c r="C408" s="156" t="s">
        <v>683</v>
      </c>
      <c r="D408" s="157" t="s">
        <v>806</v>
      </c>
      <c r="E408" s="281" t="s">
        <v>807</v>
      </c>
      <c r="F408" s="151" t="s">
        <v>127</v>
      </c>
      <c r="G408" s="152">
        <v>0</v>
      </c>
      <c r="H408" s="153" t="s">
        <v>70</v>
      </c>
      <c r="I408" s="154">
        <v>1</v>
      </c>
      <c r="J408" s="154">
        <v>5</v>
      </c>
      <c r="K408" s="30" t="str">
        <f>IF(H408="","",IF($C$30="간이법","",FPR(H408,I408,J408)))</f>
        <v/>
      </c>
      <c r="L408" s="30">
        <f>IF(H408="","",IF($C$30="상세법",FPV(H408,K408),IF(H408="EI",4,IF(H408="EO",5.2,IF(H408="EQ",3.9,IF(H408="ILF",7.5,IF(H408="EIF",5.4)))))))</f>
        <v>3.9</v>
      </c>
      <c r="M408" s="30" t="str">
        <f t="shared" si="37"/>
        <v/>
      </c>
      <c r="N408" s="134"/>
      <c r="O408" s="29"/>
      <c r="P408" s="37" t="str">
        <f t="shared" si="38"/>
        <v/>
      </c>
      <c r="Q408" s="38" t="str">
        <f t="shared" si="39"/>
        <v/>
      </c>
      <c r="R408" s="37" t="str">
        <f t="shared" si="40"/>
        <v/>
      </c>
      <c r="S408" s="37" t="str">
        <f t="shared" si="41"/>
        <v/>
      </c>
      <c r="T408" s="38" t="str">
        <f t="shared" si="42"/>
        <v/>
      </c>
      <c r="U408" s="37" t="str">
        <f t="shared" si="43"/>
        <v/>
      </c>
    </row>
    <row r="409" spans="2:21" ht="27">
      <c r="B409" s="282" t="s">
        <v>682</v>
      </c>
      <c r="C409" s="156" t="s">
        <v>683</v>
      </c>
      <c r="D409" s="157" t="s">
        <v>808</v>
      </c>
      <c r="E409" s="281" t="s">
        <v>809</v>
      </c>
      <c r="F409" s="151" t="s">
        <v>127</v>
      </c>
      <c r="G409" s="152">
        <v>0</v>
      </c>
      <c r="H409" s="153" t="s">
        <v>70</v>
      </c>
      <c r="I409" s="154">
        <v>1</v>
      </c>
      <c r="J409" s="154">
        <v>5</v>
      </c>
      <c r="K409" s="30" t="str">
        <f>IF(H409="","",IF($C$30="간이법","",FPR(H409,I409,J409)))</f>
        <v/>
      </c>
      <c r="L409" s="30">
        <f>IF(H409="","",IF($C$30="상세법",FPV(H409,K409),IF(H409="EI",4,IF(H409="EO",5.2,IF(H409="EQ",3.9,IF(H409="ILF",7.5,IF(H409="EIF",5.4)))))))</f>
        <v>3.9</v>
      </c>
      <c r="M409" s="30" t="str">
        <f t="shared" si="37"/>
        <v/>
      </c>
      <c r="N409" s="134"/>
      <c r="O409" s="29"/>
      <c r="P409" s="37" t="str">
        <f t="shared" si="38"/>
        <v/>
      </c>
      <c r="Q409" s="38" t="str">
        <f t="shared" si="39"/>
        <v/>
      </c>
      <c r="R409" s="37" t="str">
        <f t="shared" si="40"/>
        <v/>
      </c>
      <c r="S409" s="37" t="str">
        <f t="shared" si="41"/>
        <v/>
      </c>
      <c r="T409" s="38" t="str">
        <f t="shared" si="42"/>
        <v/>
      </c>
      <c r="U409" s="37" t="str">
        <f t="shared" si="43"/>
        <v/>
      </c>
    </row>
    <row r="410" spans="2:21" ht="27">
      <c r="B410" s="282" t="s">
        <v>682</v>
      </c>
      <c r="C410" s="156" t="s">
        <v>683</v>
      </c>
      <c r="D410" s="157" t="s">
        <v>810</v>
      </c>
      <c r="E410" s="281" t="s">
        <v>811</v>
      </c>
      <c r="F410" s="151" t="s">
        <v>127</v>
      </c>
      <c r="G410" s="152">
        <v>0</v>
      </c>
      <c r="H410" s="153" t="s">
        <v>70</v>
      </c>
      <c r="I410" s="154">
        <v>1</v>
      </c>
      <c r="J410" s="154">
        <v>5</v>
      </c>
      <c r="K410" s="30" t="str">
        <f>IF(H410="","",IF($C$30="간이법","",FPR(H410,I410,J410)))</f>
        <v/>
      </c>
      <c r="L410" s="30">
        <f>IF(H410="","",IF($C$30="상세법",FPV(H410,K410),IF(H410="EI",4,IF(H410="EO",5.2,IF(H410="EQ",3.9,IF(H410="ILF",7.5,IF(H410="EIF",5.4)))))))</f>
        <v>3.9</v>
      </c>
      <c r="M410" s="30" t="str">
        <f t="shared" si="37"/>
        <v/>
      </c>
      <c r="N410" s="134"/>
      <c r="O410" s="29"/>
      <c r="P410" s="37" t="str">
        <f t="shared" si="38"/>
        <v/>
      </c>
      <c r="Q410" s="38" t="str">
        <f t="shared" si="39"/>
        <v/>
      </c>
      <c r="R410" s="37" t="str">
        <f t="shared" si="40"/>
        <v/>
      </c>
      <c r="S410" s="37" t="str">
        <f t="shared" si="41"/>
        <v/>
      </c>
      <c r="T410" s="38" t="str">
        <f t="shared" si="42"/>
        <v/>
      </c>
      <c r="U410" s="37" t="str">
        <f t="shared" si="43"/>
        <v/>
      </c>
    </row>
    <row r="411" spans="2:21" ht="27">
      <c r="B411" s="282" t="s">
        <v>682</v>
      </c>
      <c r="C411" s="156" t="s">
        <v>683</v>
      </c>
      <c r="D411" s="157" t="s">
        <v>812</v>
      </c>
      <c r="E411" s="281" t="s">
        <v>813</v>
      </c>
      <c r="F411" s="151" t="s">
        <v>127</v>
      </c>
      <c r="G411" s="152">
        <v>0</v>
      </c>
      <c r="H411" s="153" t="s">
        <v>70</v>
      </c>
      <c r="I411" s="154">
        <v>1</v>
      </c>
      <c r="J411" s="154">
        <v>5</v>
      </c>
      <c r="K411" s="30" t="str">
        <f>IF(H411="","",IF($C$30="간이법","",FPR(H411,I411,J411)))</f>
        <v/>
      </c>
      <c r="L411" s="30">
        <f>IF(H411="","",IF($C$30="상세법",FPV(H411,K411),IF(H411="EI",4,IF(H411="EO",5.2,IF(H411="EQ",3.9,IF(H411="ILF",7.5,IF(H411="EIF",5.4)))))))</f>
        <v>3.9</v>
      </c>
      <c r="M411" s="30" t="str">
        <f t="shared" si="37"/>
        <v/>
      </c>
      <c r="N411" s="134"/>
      <c r="O411" s="29"/>
      <c r="P411" s="37" t="str">
        <f t="shared" si="38"/>
        <v/>
      </c>
      <c r="Q411" s="38" t="str">
        <f t="shared" si="39"/>
        <v/>
      </c>
      <c r="R411" s="37" t="str">
        <f t="shared" si="40"/>
        <v/>
      </c>
      <c r="S411" s="37" t="str">
        <f t="shared" si="41"/>
        <v/>
      </c>
      <c r="T411" s="38" t="str">
        <f t="shared" si="42"/>
        <v/>
      </c>
      <c r="U411" s="37" t="str">
        <f t="shared" si="43"/>
        <v/>
      </c>
    </row>
    <row r="412" spans="2:21" ht="27">
      <c r="B412" s="282" t="s">
        <v>682</v>
      </c>
      <c r="C412" s="156" t="s">
        <v>683</v>
      </c>
      <c r="D412" s="157" t="s">
        <v>814</v>
      </c>
      <c r="E412" s="281" t="s">
        <v>815</v>
      </c>
      <c r="F412" s="151" t="s">
        <v>127</v>
      </c>
      <c r="G412" s="152">
        <v>0</v>
      </c>
      <c r="H412" s="153" t="s">
        <v>70</v>
      </c>
      <c r="I412" s="154">
        <v>1</v>
      </c>
      <c r="J412" s="154">
        <v>4</v>
      </c>
      <c r="K412" s="30" t="str">
        <f>IF(H412="","",IF($C$30="간이법","",FPR(H412,I412,J412)))</f>
        <v/>
      </c>
      <c r="L412" s="30">
        <f>IF(H412="","",IF($C$30="상세법",FPV(H412,K412),IF(H412="EI",4,IF(H412="EO",5.2,IF(H412="EQ",3.9,IF(H412="ILF",7.5,IF(H412="EIF",5.4)))))))</f>
        <v>3.9</v>
      </c>
      <c r="M412" s="30" t="str">
        <f t="shared" si="37"/>
        <v/>
      </c>
      <c r="N412" s="134"/>
      <c r="O412" s="29"/>
      <c r="P412" s="37" t="str">
        <f t="shared" si="38"/>
        <v/>
      </c>
      <c r="Q412" s="38" t="str">
        <f t="shared" si="39"/>
        <v/>
      </c>
      <c r="R412" s="37" t="str">
        <f t="shared" si="40"/>
        <v/>
      </c>
      <c r="S412" s="37" t="str">
        <f t="shared" si="41"/>
        <v/>
      </c>
      <c r="T412" s="38" t="str">
        <f t="shared" si="42"/>
        <v/>
      </c>
      <c r="U412" s="37" t="str">
        <f t="shared" si="43"/>
        <v/>
      </c>
    </row>
    <row r="413" spans="2:21" ht="27">
      <c r="B413" s="282" t="s">
        <v>682</v>
      </c>
      <c r="C413" s="156" t="s">
        <v>683</v>
      </c>
      <c r="D413" s="157" t="s">
        <v>816</v>
      </c>
      <c r="E413" s="281" t="s">
        <v>817</v>
      </c>
      <c r="F413" s="151" t="s">
        <v>127</v>
      </c>
      <c r="G413" s="152">
        <v>0</v>
      </c>
      <c r="H413" s="153" t="s">
        <v>70</v>
      </c>
      <c r="I413" s="154">
        <v>1</v>
      </c>
      <c r="J413" s="154">
        <v>5</v>
      </c>
      <c r="K413" s="30" t="str">
        <f>IF(H413="","",IF($C$30="간이법","",FPR(H413,I413,J413)))</f>
        <v/>
      </c>
      <c r="L413" s="30">
        <f>IF(H413="","",IF($C$30="상세법",FPV(H413,K413),IF(H413="EI",4,IF(H413="EO",5.2,IF(H413="EQ",3.9,IF(H413="ILF",7.5,IF(H413="EIF",5.4)))))))</f>
        <v>3.9</v>
      </c>
      <c r="M413" s="30" t="str">
        <f t="shared" si="37"/>
        <v/>
      </c>
      <c r="N413" s="134"/>
      <c r="O413" s="29"/>
      <c r="P413" s="37" t="str">
        <f t="shared" si="38"/>
        <v/>
      </c>
      <c r="Q413" s="38" t="str">
        <f t="shared" si="39"/>
        <v/>
      </c>
      <c r="R413" s="37" t="str">
        <f t="shared" si="40"/>
        <v/>
      </c>
      <c r="S413" s="37" t="str">
        <f t="shared" si="41"/>
        <v/>
      </c>
      <c r="T413" s="38" t="str">
        <f t="shared" si="42"/>
        <v/>
      </c>
      <c r="U413" s="37" t="str">
        <f t="shared" si="43"/>
        <v/>
      </c>
    </row>
    <row r="414" spans="2:21" ht="27">
      <c r="B414" s="282" t="s">
        <v>682</v>
      </c>
      <c r="C414" s="156" t="s">
        <v>683</v>
      </c>
      <c r="D414" s="157" t="s">
        <v>818</v>
      </c>
      <c r="E414" s="281" t="s">
        <v>819</v>
      </c>
      <c r="F414" s="151" t="s">
        <v>127</v>
      </c>
      <c r="G414" s="152">
        <v>0</v>
      </c>
      <c r="H414" s="153" t="s">
        <v>70</v>
      </c>
      <c r="I414" s="154">
        <v>1</v>
      </c>
      <c r="J414" s="154">
        <v>5</v>
      </c>
      <c r="K414" s="30" t="str">
        <f>IF(H414="","",IF($C$30="간이법","",FPR(H414,I414,J414)))</f>
        <v/>
      </c>
      <c r="L414" s="30">
        <f>IF(H414="","",IF($C$30="상세법",FPV(H414,K414),IF(H414="EI",4,IF(H414="EO",5.2,IF(H414="EQ",3.9,IF(H414="ILF",7.5,IF(H414="EIF",5.4)))))))</f>
        <v>3.9</v>
      </c>
      <c r="M414" s="30" t="str">
        <f t="shared" si="37"/>
        <v/>
      </c>
      <c r="N414" s="134"/>
      <c r="O414" s="29"/>
      <c r="P414" s="37" t="str">
        <f t="shared" si="38"/>
        <v/>
      </c>
      <c r="Q414" s="38" t="str">
        <f t="shared" si="39"/>
        <v/>
      </c>
      <c r="R414" s="37" t="str">
        <f t="shared" si="40"/>
        <v/>
      </c>
      <c r="S414" s="37" t="str">
        <f t="shared" si="41"/>
        <v/>
      </c>
      <c r="T414" s="38" t="str">
        <f t="shared" si="42"/>
        <v/>
      </c>
      <c r="U414" s="37" t="str">
        <f t="shared" si="43"/>
        <v/>
      </c>
    </row>
    <row r="415" spans="2:21" ht="27">
      <c r="B415" s="282" t="s">
        <v>682</v>
      </c>
      <c r="C415" s="156" t="s">
        <v>683</v>
      </c>
      <c r="D415" s="157" t="s">
        <v>820</v>
      </c>
      <c r="E415" s="281" t="s">
        <v>821</v>
      </c>
      <c r="F415" s="151" t="s">
        <v>127</v>
      </c>
      <c r="G415" s="152">
        <v>0</v>
      </c>
      <c r="H415" s="153" t="s">
        <v>70</v>
      </c>
      <c r="I415" s="154">
        <v>1</v>
      </c>
      <c r="J415" s="154">
        <v>5</v>
      </c>
      <c r="K415" s="30" t="str">
        <f>IF(H415="","",IF($C$30="간이법","",FPR(H415,I415,J415)))</f>
        <v/>
      </c>
      <c r="L415" s="30">
        <f>IF(H415="","",IF($C$30="상세법",FPV(H415,K415),IF(H415="EI",4,IF(H415="EO",5.2,IF(H415="EQ",3.9,IF(H415="ILF",7.5,IF(H415="EIF",5.4)))))))</f>
        <v>3.9</v>
      </c>
      <c r="M415" s="30" t="str">
        <f t="shared" si="37"/>
        <v/>
      </c>
      <c r="N415" s="134"/>
      <c r="O415" s="29"/>
      <c r="P415" s="37" t="str">
        <f t="shared" si="38"/>
        <v/>
      </c>
      <c r="Q415" s="38" t="str">
        <f t="shared" si="39"/>
        <v/>
      </c>
      <c r="R415" s="37" t="str">
        <f t="shared" si="40"/>
        <v/>
      </c>
      <c r="S415" s="37" t="str">
        <f t="shared" si="41"/>
        <v/>
      </c>
      <c r="T415" s="38" t="str">
        <f t="shared" si="42"/>
        <v/>
      </c>
      <c r="U415" s="37" t="str">
        <f t="shared" si="43"/>
        <v/>
      </c>
    </row>
    <row r="416" spans="2:21" ht="27">
      <c r="B416" s="282" t="s">
        <v>682</v>
      </c>
      <c r="C416" s="156" t="s">
        <v>683</v>
      </c>
      <c r="D416" s="157" t="s">
        <v>822</v>
      </c>
      <c r="E416" s="281" t="s">
        <v>823</v>
      </c>
      <c r="F416" s="151" t="s">
        <v>127</v>
      </c>
      <c r="G416" s="152">
        <v>0</v>
      </c>
      <c r="H416" s="153" t="s">
        <v>70</v>
      </c>
      <c r="I416" s="154">
        <v>1</v>
      </c>
      <c r="J416" s="154">
        <v>5</v>
      </c>
      <c r="K416" s="30" t="str">
        <f>IF(H416="","",IF($C$30="간이법","",FPR(H416,I416,J416)))</f>
        <v/>
      </c>
      <c r="L416" s="30">
        <f>IF(H416="","",IF($C$30="상세법",FPV(H416,K416),IF(H416="EI",4,IF(H416="EO",5.2,IF(H416="EQ",3.9,IF(H416="ILF",7.5,IF(H416="EIF",5.4)))))))</f>
        <v>3.9</v>
      </c>
      <c r="M416" s="30" t="str">
        <f t="shared" si="37"/>
        <v/>
      </c>
      <c r="N416" s="134"/>
      <c r="O416" s="29"/>
      <c r="P416" s="37" t="str">
        <f t="shared" si="38"/>
        <v/>
      </c>
      <c r="Q416" s="38" t="str">
        <f t="shared" si="39"/>
        <v/>
      </c>
      <c r="R416" s="37" t="str">
        <f t="shared" si="40"/>
        <v/>
      </c>
      <c r="S416" s="37" t="str">
        <f t="shared" si="41"/>
        <v/>
      </c>
      <c r="T416" s="38" t="str">
        <f t="shared" si="42"/>
        <v/>
      </c>
      <c r="U416" s="37" t="str">
        <f t="shared" si="43"/>
        <v/>
      </c>
    </row>
    <row r="417" spans="2:21" ht="27">
      <c r="B417" s="282" t="s">
        <v>682</v>
      </c>
      <c r="C417" s="156" t="s">
        <v>683</v>
      </c>
      <c r="D417" s="157" t="s">
        <v>824</v>
      </c>
      <c r="E417" s="281" t="s">
        <v>825</v>
      </c>
      <c r="F417" s="151" t="s">
        <v>127</v>
      </c>
      <c r="G417" s="152">
        <v>0</v>
      </c>
      <c r="H417" s="153" t="s">
        <v>70</v>
      </c>
      <c r="I417" s="154">
        <v>1</v>
      </c>
      <c r="J417" s="154">
        <v>5</v>
      </c>
      <c r="K417" s="30" t="str">
        <f>IF(H417="","",IF($C$30="간이법","",FPR(H417,I417,J417)))</f>
        <v/>
      </c>
      <c r="L417" s="30">
        <f>IF(H417="","",IF($C$30="상세법",FPV(H417,K417),IF(H417="EI",4,IF(H417="EO",5.2,IF(H417="EQ",3.9,IF(H417="ILF",7.5,IF(H417="EIF",5.4)))))))</f>
        <v>3.9</v>
      </c>
      <c r="M417" s="30" t="str">
        <f t="shared" si="37"/>
        <v/>
      </c>
      <c r="N417" s="134"/>
      <c r="O417" s="29"/>
      <c r="P417" s="37" t="str">
        <f t="shared" si="38"/>
        <v/>
      </c>
      <c r="Q417" s="38" t="str">
        <f t="shared" si="39"/>
        <v/>
      </c>
      <c r="R417" s="37" t="str">
        <f t="shared" si="40"/>
        <v/>
      </c>
      <c r="S417" s="37" t="str">
        <f t="shared" si="41"/>
        <v/>
      </c>
      <c r="T417" s="38" t="str">
        <f t="shared" si="42"/>
        <v/>
      </c>
      <c r="U417" s="37" t="str">
        <f t="shared" si="43"/>
        <v/>
      </c>
    </row>
    <row r="418" spans="2:21" ht="27">
      <c r="B418" s="282" t="s">
        <v>682</v>
      </c>
      <c r="C418" s="156" t="s">
        <v>683</v>
      </c>
      <c r="D418" s="157" t="s">
        <v>826</v>
      </c>
      <c r="E418" s="281" t="s">
        <v>827</v>
      </c>
      <c r="F418" s="151" t="s">
        <v>127</v>
      </c>
      <c r="G418" s="152">
        <v>0</v>
      </c>
      <c r="H418" s="153" t="s">
        <v>70</v>
      </c>
      <c r="I418" s="154">
        <v>1</v>
      </c>
      <c r="J418" s="154">
        <v>5</v>
      </c>
      <c r="K418" s="30" t="str">
        <f>IF(H418="","",IF($C$30="간이법","",FPR(H418,I418,J418)))</f>
        <v/>
      </c>
      <c r="L418" s="30">
        <f>IF(H418="","",IF($C$30="상세법",FPV(H418,K418),IF(H418="EI",4,IF(H418="EO",5.2,IF(H418="EQ",3.9,IF(H418="ILF",7.5,IF(H418="EIF",5.4)))))))</f>
        <v>3.9</v>
      </c>
      <c r="M418" s="30" t="str">
        <f t="shared" si="37"/>
        <v/>
      </c>
      <c r="N418" s="134"/>
      <c r="O418" s="29"/>
      <c r="P418" s="37" t="str">
        <f t="shared" si="38"/>
        <v/>
      </c>
      <c r="Q418" s="38" t="str">
        <f t="shared" si="39"/>
        <v/>
      </c>
      <c r="R418" s="37" t="str">
        <f t="shared" si="40"/>
        <v/>
      </c>
      <c r="S418" s="37" t="str">
        <f t="shared" si="41"/>
        <v/>
      </c>
      <c r="T418" s="38" t="str">
        <f t="shared" si="42"/>
        <v/>
      </c>
      <c r="U418" s="37" t="str">
        <f t="shared" si="43"/>
        <v/>
      </c>
    </row>
    <row r="419" spans="2:21" ht="27">
      <c r="B419" s="282" t="s">
        <v>682</v>
      </c>
      <c r="C419" s="156" t="s">
        <v>683</v>
      </c>
      <c r="D419" s="157" t="s">
        <v>828</v>
      </c>
      <c r="E419" s="281" t="s">
        <v>829</v>
      </c>
      <c r="F419" s="151" t="s">
        <v>127</v>
      </c>
      <c r="G419" s="152">
        <v>0</v>
      </c>
      <c r="H419" s="153" t="s">
        <v>70</v>
      </c>
      <c r="I419" s="154">
        <v>1</v>
      </c>
      <c r="J419" s="154">
        <v>5</v>
      </c>
      <c r="K419" s="30" t="str">
        <f>IF(H419="","",IF($C$30="간이법","",FPR(H419,I419,J419)))</f>
        <v/>
      </c>
      <c r="L419" s="30">
        <f>IF(H419="","",IF($C$30="상세법",FPV(H419,K419),IF(H419="EI",4,IF(H419="EO",5.2,IF(H419="EQ",3.9,IF(H419="ILF",7.5,IF(H419="EIF",5.4)))))))</f>
        <v>3.9</v>
      </c>
      <c r="M419" s="30" t="str">
        <f t="shared" si="37"/>
        <v/>
      </c>
      <c r="N419" s="134"/>
      <c r="O419" s="29"/>
      <c r="P419" s="37" t="str">
        <f t="shared" si="38"/>
        <v/>
      </c>
      <c r="Q419" s="38" t="str">
        <f t="shared" si="39"/>
        <v/>
      </c>
      <c r="R419" s="37" t="str">
        <f t="shared" si="40"/>
        <v/>
      </c>
      <c r="S419" s="37" t="str">
        <f t="shared" si="41"/>
        <v/>
      </c>
      <c r="T419" s="38" t="str">
        <f t="shared" si="42"/>
        <v/>
      </c>
      <c r="U419" s="37" t="str">
        <f t="shared" si="43"/>
        <v/>
      </c>
    </row>
    <row r="420" spans="2:21" ht="27">
      <c r="B420" s="282" t="s">
        <v>682</v>
      </c>
      <c r="C420" s="156" t="s">
        <v>683</v>
      </c>
      <c r="D420" s="157" t="s">
        <v>830</v>
      </c>
      <c r="E420" s="281" t="s">
        <v>830</v>
      </c>
      <c r="F420" s="151" t="s">
        <v>127</v>
      </c>
      <c r="G420" s="152">
        <v>0</v>
      </c>
      <c r="H420" s="153" t="s">
        <v>70</v>
      </c>
      <c r="I420" s="154">
        <v>1</v>
      </c>
      <c r="J420" s="154">
        <v>5</v>
      </c>
      <c r="K420" s="30" t="str">
        <f>IF(H420="","",IF($C$30="간이법","",FPR(H420,I420,J420)))</f>
        <v/>
      </c>
      <c r="L420" s="30">
        <f>IF(H420="","",IF($C$30="상세법",FPV(H420,K420),IF(H420="EI",4,IF(H420="EO",5.2,IF(H420="EQ",3.9,IF(H420="ILF",7.5,IF(H420="EIF",5.4)))))))</f>
        <v>3.9</v>
      </c>
      <c r="M420" s="30" t="str">
        <f t="shared" si="37"/>
        <v/>
      </c>
      <c r="N420" s="134"/>
      <c r="O420" s="29"/>
      <c r="P420" s="37" t="str">
        <f t="shared" si="38"/>
        <v/>
      </c>
      <c r="Q420" s="38" t="str">
        <f t="shared" si="39"/>
        <v/>
      </c>
      <c r="R420" s="37" t="str">
        <f t="shared" si="40"/>
        <v/>
      </c>
      <c r="S420" s="37" t="str">
        <f t="shared" si="41"/>
        <v/>
      </c>
      <c r="T420" s="38" t="str">
        <f t="shared" si="42"/>
        <v/>
      </c>
      <c r="U420" s="37" t="str">
        <f t="shared" si="43"/>
        <v/>
      </c>
    </row>
    <row r="421" spans="2:21" ht="17.25">
      <c r="B421" s="282" t="s">
        <v>682</v>
      </c>
      <c r="C421" s="156" t="s">
        <v>683</v>
      </c>
      <c r="D421" s="157" t="s">
        <v>831</v>
      </c>
      <c r="E421" s="281" t="s">
        <v>832</v>
      </c>
      <c r="F421" s="151" t="s">
        <v>127</v>
      </c>
      <c r="G421" s="152">
        <v>0</v>
      </c>
      <c r="H421" s="153" t="s">
        <v>70</v>
      </c>
      <c r="I421" s="154">
        <v>1</v>
      </c>
      <c r="J421" s="154">
        <v>6</v>
      </c>
      <c r="K421" s="30" t="str">
        <f>IF(H421="","",IF($C$30="간이법","",FPR(H421,I421,J421)))</f>
        <v/>
      </c>
      <c r="L421" s="30">
        <f>IF(H421="","",IF($C$30="상세법",FPV(H421,K421),IF(H421="EI",4,IF(H421="EO",5.2,IF(H421="EQ",3.9,IF(H421="ILF",7.5,IF(H421="EIF",5.4)))))))</f>
        <v>3.9</v>
      </c>
      <c r="M421" s="30" t="str">
        <f t="shared" si="37"/>
        <v/>
      </c>
      <c r="N421" s="134"/>
      <c r="O421" s="29"/>
      <c r="P421" s="37" t="str">
        <f t="shared" si="38"/>
        <v/>
      </c>
      <c r="Q421" s="38" t="str">
        <f t="shared" si="39"/>
        <v/>
      </c>
      <c r="R421" s="37" t="str">
        <f t="shared" si="40"/>
        <v/>
      </c>
      <c r="S421" s="37" t="str">
        <f t="shared" si="41"/>
        <v/>
      </c>
      <c r="T421" s="38" t="str">
        <f t="shared" si="42"/>
        <v/>
      </c>
      <c r="U421" s="37" t="str">
        <f t="shared" si="43"/>
        <v/>
      </c>
    </row>
    <row r="422" spans="2:21" ht="27">
      <c r="B422" s="282" t="s">
        <v>682</v>
      </c>
      <c r="C422" s="156" t="s">
        <v>683</v>
      </c>
      <c r="D422" s="157" t="s">
        <v>833</v>
      </c>
      <c r="E422" s="281" t="s">
        <v>834</v>
      </c>
      <c r="F422" s="151" t="s">
        <v>127</v>
      </c>
      <c r="G422" s="152">
        <v>0</v>
      </c>
      <c r="H422" s="153" t="s">
        <v>70</v>
      </c>
      <c r="I422" s="154">
        <v>1</v>
      </c>
      <c r="J422" s="154">
        <v>6</v>
      </c>
      <c r="K422" s="30" t="str">
        <f>IF(H422="","",IF($C$30="간이법","",FPR(H422,I422,J422)))</f>
        <v/>
      </c>
      <c r="L422" s="30">
        <f>IF(H422="","",IF($C$30="상세법",FPV(H422,K422),IF(H422="EI",4,IF(H422="EO",5.2,IF(H422="EQ",3.9,IF(H422="ILF",7.5,IF(H422="EIF",5.4)))))))</f>
        <v>3.9</v>
      </c>
      <c r="M422" s="30" t="str">
        <f t="shared" si="37"/>
        <v/>
      </c>
      <c r="N422" s="134"/>
      <c r="O422" s="29"/>
      <c r="P422" s="37" t="str">
        <f t="shared" si="38"/>
        <v/>
      </c>
      <c r="Q422" s="38" t="str">
        <f t="shared" si="39"/>
        <v/>
      </c>
      <c r="R422" s="37" t="str">
        <f t="shared" si="40"/>
        <v/>
      </c>
      <c r="S422" s="37" t="str">
        <f t="shared" si="41"/>
        <v/>
      </c>
      <c r="T422" s="38" t="str">
        <f t="shared" si="42"/>
        <v/>
      </c>
      <c r="U422" s="37" t="str">
        <f t="shared" si="43"/>
        <v/>
      </c>
    </row>
    <row r="423" spans="2:21" ht="27">
      <c r="B423" s="282" t="s">
        <v>682</v>
      </c>
      <c r="C423" s="156" t="s">
        <v>683</v>
      </c>
      <c r="D423" s="157" t="s">
        <v>835</v>
      </c>
      <c r="E423" s="281" t="s">
        <v>836</v>
      </c>
      <c r="F423" s="151" t="s">
        <v>127</v>
      </c>
      <c r="G423" s="152">
        <v>0</v>
      </c>
      <c r="H423" s="153" t="s">
        <v>70</v>
      </c>
      <c r="I423" s="154">
        <v>1</v>
      </c>
      <c r="J423" s="154">
        <v>6</v>
      </c>
      <c r="K423" s="30" t="str">
        <f>IF(H423="","",IF($C$30="간이법","",FPR(H423,I423,J423)))</f>
        <v/>
      </c>
      <c r="L423" s="30">
        <f>IF(H423="","",IF($C$30="상세법",FPV(H423,K423),IF(H423="EI",4,IF(H423="EO",5.2,IF(H423="EQ",3.9,IF(H423="ILF",7.5,IF(H423="EIF",5.4)))))))</f>
        <v>3.9</v>
      </c>
      <c r="M423" s="30" t="str">
        <f t="shared" si="37"/>
        <v/>
      </c>
      <c r="N423" s="134"/>
      <c r="O423" s="29"/>
      <c r="P423" s="37" t="str">
        <f t="shared" si="38"/>
        <v/>
      </c>
      <c r="Q423" s="38" t="str">
        <f t="shared" si="39"/>
        <v/>
      </c>
      <c r="R423" s="37" t="str">
        <f t="shared" si="40"/>
        <v/>
      </c>
      <c r="S423" s="37" t="str">
        <f t="shared" si="41"/>
        <v/>
      </c>
      <c r="T423" s="38" t="str">
        <f t="shared" si="42"/>
        <v/>
      </c>
      <c r="U423" s="37" t="str">
        <f t="shared" si="43"/>
        <v/>
      </c>
    </row>
    <row r="424" spans="2:21" ht="27">
      <c r="B424" s="282" t="s">
        <v>682</v>
      </c>
      <c r="C424" s="156" t="s">
        <v>683</v>
      </c>
      <c r="D424" s="157" t="s">
        <v>837</v>
      </c>
      <c r="E424" s="281" t="s">
        <v>838</v>
      </c>
      <c r="F424" s="151" t="s">
        <v>127</v>
      </c>
      <c r="G424" s="152">
        <v>0</v>
      </c>
      <c r="H424" s="153" t="s">
        <v>70</v>
      </c>
      <c r="I424" s="154">
        <v>1</v>
      </c>
      <c r="J424" s="154">
        <v>6</v>
      </c>
      <c r="K424" s="30" t="str">
        <f>IF(H424="","",IF($C$30="간이법","",FPR(H424,I424,J424)))</f>
        <v/>
      </c>
      <c r="L424" s="30">
        <f>IF(H424="","",IF($C$30="상세법",FPV(H424,K424),IF(H424="EI",4,IF(H424="EO",5.2,IF(H424="EQ",3.9,IF(H424="ILF",7.5,IF(H424="EIF",5.4)))))))</f>
        <v>3.9</v>
      </c>
      <c r="M424" s="30" t="str">
        <f t="shared" si="37"/>
        <v/>
      </c>
      <c r="N424" s="134"/>
      <c r="O424" s="29"/>
      <c r="P424" s="37" t="str">
        <f t="shared" si="38"/>
        <v/>
      </c>
      <c r="Q424" s="38" t="str">
        <f t="shared" si="39"/>
        <v/>
      </c>
      <c r="R424" s="37" t="str">
        <f t="shared" si="40"/>
        <v/>
      </c>
      <c r="S424" s="37" t="str">
        <f t="shared" si="41"/>
        <v/>
      </c>
      <c r="T424" s="38" t="str">
        <f t="shared" si="42"/>
        <v/>
      </c>
      <c r="U424" s="37" t="str">
        <f t="shared" si="43"/>
        <v/>
      </c>
    </row>
    <row r="425" spans="2:21" ht="27">
      <c r="B425" s="282" t="s">
        <v>682</v>
      </c>
      <c r="C425" s="156" t="s">
        <v>683</v>
      </c>
      <c r="D425" s="157" t="s">
        <v>839</v>
      </c>
      <c r="E425" s="281" t="s">
        <v>840</v>
      </c>
      <c r="F425" s="151" t="s">
        <v>127</v>
      </c>
      <c r="G425" s="152">
        <v>0</v>
      </c>
      <c r="H425" s="153" t="s">
        <v>70</v>
      </c>
      <c r="I425" s="154">
        <v>1</v>
      </c>
      <c r="J425" s="154">
        <v>6</v>
      </c>
      <c r="K425" s="30" t="str">
        <f>IF(H425="","",IF($C$30="간이법","",FPR(H425,I425,J425)))</f>
        <v/>
      </c>
      <c r="L425" s="30">
        <f>IF(H425="","",IF($C$30="상세법",FPV(H425,K425),IF(H425="EI",4,IF(H425="EO",5.2,IF(H425="EQ",3.9,IF(H425="ILF",7.5,IF(H425="EIF",5.4)))))))</f>
        <v>3.9</v>
      </c>
      <c r="M425" s="30" t="str">
        <f t="shared" si="37"/>
        <v/>
      </c>
      <c r="N425" s="134"/>
      <c r="O425" s="29"/>
      <c r="P425" s="37" t="str">
        <f t="shared" si="38"/>
        <v/>
      </c>
      <c r="Q425" s="38" t="str">
        <f t="shared" si="39"/>
        <v/>
      </c>
      <c r="R425" s="37" t="str">
        <f t="shared" si="40"/>
        <v/>
      </c>
      <c r="S425" s="37" t="str">
        <f t="shared" si="41"/>
        <v/>
      </c>
      <c r="T425" s="38" t="str">
        <f t="shared" si="42"/>
        <v/>
      </c>
      <c r="U425" s="37" t="str">
        <f t="shared" si="43"/>
        <v/>
      </c>
    </row>
    <row r="426" spans="2:21" ht="17.25">
      <c r="B426" s="282" t="s">
        <v>682</v>
      </c>
      <c r="C426" s="156" t="s">
        <v>683</v>
      </c>
      <c r="D426" s="157" t="s">
        <v>841</v>
      </c>
      <c r="E426" s="281" t="s">
        <v>842</v>
      </c>
      <c r="F426" s="151" t="s">
        <v>127</v>
      </c>
      <c r="G426" s="152">
        <v>0</v>
      </c>
      <c r="H426" s="153" t="s">
        <v>70</v>
      </c>
      <c r="I426" s="154">
        <v>1</v>
      </c>
      <c r="J426" s="154">
        <v>6</v>
      </c>
      <c r="K426" s="30" t="str">
        <f>IF(H426="","",IF($C$30="간이법","",FPR(H426,I426,J426)))</f>
        <v/>
      </c>
      <c r="L426" s="30">
        <f>IF(H426="","",IF($C$30="상세법",FPV(H426,K426),IF(H426="EI",4,IF(H426="EO",5.2,IF(H426="EQ",3.9,IF(H426="ILF",7.5,IF(H426="EIF",5.4)))))))</f>
        <v>3.9</v>
      </c>
      <c r="M426" s="30" t="str">
        <f t="shared" si="37"/>
        <v/>
      </c>
      <c r="N426" s="134"/>
      <c r="O426" s="29"/>
      <c r="P426" s="37" t="str">
        <f t="shared" si="38"/>
        <v/>
      </c>
      <c r="Q426" s="38" t="str">
        <f t="shared" si="39"/>
        <v/>
      </c>
      <c r="R426" s="37" t="str">
        <f t="shared" si="40"/>
        <v/>
      </c>
      <c r="S426" s="37" t="str">
        <f t="shared" si="41"/>
        <v/>
      </c>
      <c r="T426" s="38" t="str">
        <f t="shared" si="42"/>
        <v/>
      </c>
      <c r="U426" s="37" t="str">
        <f t="shared" si="43"/>
        <v/>
      </c>
    </row>
    <row r="427" spans="2:21" ht="27">
      <c r="B427" s="282" t="s">
        <v>682</v>
      </c>
      <c r="C427" s="156" t="s">
        <v>683</v>
      </c>
      <c r="D427" s="157" t="s">
        <v>843</v>
      </c>
      <c r="E427" s="281" t="s">
        <v>844</v>
      </c>
      <c r="F427" s="151" t="s">
        <v>127</v>
      </c>
      <c r="G427" s="152">
        <v>0</v>
      </c>
      <c r="H427" s="153" t="s">
        <v>70</v>
      </c>
      <c r="I427" s="154">
        <v>1</v>
      </c>
      <c r="J427" s="154">
        <v>6</v>
      </c>
      <c r="K427" s="30" t="str">
        <f>IF(H427="","",IF($C$30="간이법","",FPR(H427,I427,J427)))</f>
        <v/>
      </c>
      <c r="L427" s="30">
        <f>IF(H427="","",IF($C$30="상세법",FPV(H427,K427),IF(H427="EI",4,IF(H427="EO",5.2,IF(H427="EQ",3.9,IF(H427="ILF",7.5,IF(H427="EIF",5.4)))))))</f>
        <v>3.9</v>
      </c>
      <c r="M427" s="30" t="str">
        <f t="shared" si="37"/>
        <v/>
      </c>
      <c r="N427" s="134"/>
      <c r="O427" s="29"/>
      <c r="P427" s="37" t="str">
        <f t="shared" si="38"/>
        <v/>
      </c>
      <c r="Q427" s="38" t="str">
        <f t="shared" si="39"/>
        <v/>
      </c>
      <c r="R427" s="37" t="str">
        <f t="shared" si="40"/>
        <v/>
      </c>
      <c r="S427" s="37" t="str">
        <f t="shared" si="41"/>
        <v/>
      </c>
      <c r="T427" s="38" t="str">
        <f t="shared" si="42"/>
        <v/>
      </c>
      <c r="U427" s="37" t="str">
        <f t="shared" si="43"/>
        <v/>
      </c>
    </row>
    <row r="428" spans="2:21" ht="17.25">
      <c r="B428" s="282" t="s">
        <v>682</v>
      </c>
      <c r="C428" s="156" t="s">
        <v>683</v>
      </c>
      <c r="D428" s="157" t="s">
        <v>845</v>
      </c>
      <c r="E428" s="281" t="s">
        <v>845</v>
      </c>
      <c r="F428" s="151" t="s">
        <v>127</v>
      </c>
      <c r="G428" s="152">
        <v>0</v>
      </c>
      <c r="H428" s="153" t="s">
        <v>70</v>
      </c>
      <c r="I428" s="154">
        <v>1</v>
      </c>
      <c r="J428" s="154">
        <v>5</v>
      </c>
      <c r="K428" s="30" t="str">
        <f>IF(H428="","",IF($C$30="간이법","",FPR(H428,I428,J428)))</f>
        <v/>
      </c>
      <c r="L428" s="30">
        <f>IF(H428="","",IF($C$30="상세법",FPV(H428,K428),IF(H428="EI",4,IF(H428="EO",5.2,IF(H428="EQ",3.9,IF(H428="ILF",7.5,IF(H428="EIF",5.4)))))))</f>
        <v>3.9</v>
      </c>
      <c r="M428" s="30" t="str">
        <f t="shared" si="37"/>
        <v/>
      </c>
      <c r="N428" s="134"/>
      <c r="O428" s="29"/>
      <c r="P428" s="37" t="str">
        <f t="shared" si="38"/>
        <v/>
      </c>
      <c r="Q428" s="38" t="str">
        <f t="shared" si="39"/>
        <v/>
      </c>
      <c r="R428" s="37" t="str">
        <f t="shared" si="40"/>
        <v/>
      </c>
      <c r="S428" s="37" t="str">
        <f t="shared" si="41"/>
        <v/>
      </c>
      <c r="T428" s="38" t="str">
        <f t="shared" si="42"/>
        <v/>
      </c>
      <c r="U428" s="37" t="str">
        <f t="shared" si="43"/>
        <v/>
      </c>
    </row>
    <row r="429" spans="2:21" ht="27">
      <c r="B429" s="282" t="s">
        <v>846</v>
      </c>
      <c r="C429" s="156" t="s">
        <v>847</v>
      </c>
      <c r="D429" s="157" t="s">
        <v>848</v>
      </c>
      <c r="E429" s="281" t="s">
        <v>849</v>
      </c>
      <c r="F429" s="151" t="s">
        <v>127</v>
      </c>
      <c r="G429" s="152">
        <v>0</v>
      </c>
      <c r="H429" s="153" t="s">
        <v>70</v>
      </c>
      <c r="I429" s="154">
        <v>2</v>
      </c>
      <c r="J429" s="154">
        <v>11</v>
      </c>
      <c r="K429" s="30" t="str">
        <f>IF(H429="","",IF($C$30="간이법","",FPR(H429,I429,J429)))</f>
        <v/>
      </c>
      <c r="L429" s="30">
        <f>IF(H429="","",IF($C$30="상세법",FPV(H429,K429),IF(H429="EI",4,IF(H429="EO",5.2,IF(H429="EQ",3.9,IF(H429="ILF",7.5,IF(H429="EIF",5.4)))))))</f>
        <v>3.9</v>
      </c>
      <c r="M429" s="30" t="str">
        <f t="shared" si="37"/>
        <v/>
      </c>
      <c r="N429" s="134"/>
      <c r="O429" s="29"/>
      <c r="P429" s="37" t="str">
        <f t="shared" si="38"/>
        <v/>
      </c>
      <c r="Q429" s="38" t="str">
        <f t="shared" si="39"/>
        <v/>
      </c>
      <c r="R429" s="37" t="str">
        <f t="shared" si="40"/>
        <v/>
      </c>
      <c r="S429" s="37" t="str">
        <f t="shared" si="41"/>
        <v/>
      </c>
      <c r="T429" s="38" t="str">
        <f t="shared" si="42"/>
        <v/>
      </c>
      <c r="U429" s="37" t="str">
        <f t="shared" si="43"/>
        <v/>
      </c>
    </row>
    <row r="430" spans="2:21" ht="27">
      <c r="B430" s="282" t="s">
        <v>846</v>
      </c>
      <c r="C430" s="156" t="s">
        <v>847</v>
      </c>
      <c r="D430" s="157" t="s">
        <v>850</v>
      </c>
      <c r="E430" s="281" t="s">
        <v>850</v>
      </c>
      <c r="F430" s="151" t="s">
        <v>127</v>
      </c>
      <c r="G430" s="152">
        <v>0</v>
      </c>
      <c r="H430" s="153" t="s">
        <v>70</v>
      </c>
      <c r="I430" s="154">
        <v>4</v>
      </c>
      <c r="J430" s="154">
        <v>8</v>
      </c>
      <c r="K430" s="30" t="str">
        <f>IF(H430="","",IF($C$30="간이법","",FPR(H430,I430,J430)))</f>
        <v/>
      </c>
      <c r="L430" s="30">
        <f>IF(H430="","",IF($C$30="상세법",FPV(H430,K430),IF(H430="EI",4,IF(H430="EO",5.2,IF(H430="EQ",3.9,IF(H430="ILF",7.5,IF(H430="EIF",5.4)))))))</f>
        <v>3.9</v>
      </c>
      <c r="M430" s="30" t="str">
        <f t="shared" si="37"/>
        <v/>
      </c>
      <c r="N430" s="134"/>
      <c r="O430" s="29"/>
      <c r="P430" s="37" t="str">
        <f t="shared" si="38"/>
        <v/>
      </c>
      <c r="Q430" s="38" t="str">
        <f t="shared" si="39"/>
        <v/>
      </c>
      <c r="R430" s="37" t="str">
        <f t="shared" si="40"/>
        <v/>
      </c>
      <c r="S430" s="37" t="str">
        <f t="shared" si="41"/>
        <v/>
      </c>
      <c r="T430" s="38" t="str">
        <f t="shared" si="42"/>
        <v/>
      </c>
      <c r="U430" s="37" t="str">
        <f t="shared" si="43"/>
        <v/>
      </c>
    </row>
    <row r="431" spans="2:21" ht="27">
      <c r="B431" s="282" t="s">
        <v>846</v>
      </c>
      <c r="C431" s="156" t="s">
        <v>847</v>
      </c>
      <c r="D431" s="157" t="s">
        <v>851</v>
      </c>
      <c r="E431" s="281" t="s">
        <v>851</v>
      </c>
      <c r="F431" s="151" t="s">
        <v>127</v>
      </c>
      <c r="G431" s="152">
        <v>0</v>
      </c>
      <c r="H431" s="153" t="s">
        <v>70</v>
      </c>
      <c r="I431" s="154">
        <v>2</v>
      </c>
      <c r="J431" s="154">
        <v>10</v>
      </c>
      <c r="K431" s="30" t="str">
        <f>IF(H431="","",IF($C$30="간이법","",FPR(H431,I431,J431)))</f>
        <v/>
      </c>
      <c r="L431" s="30">
        <f>IF(H431="","",IF($C$30="상세법",FPV(H431,K431),IF(H431="EI",4,IF(H431="EO",5.2,IF(H431="EQ",3.9,IF(H431="ILF",7.5,IF(H431="EIF",5.4)))))))</f>
        <v>3.9</v>
      </c>
      <c r="M431" s="30" t="str">
        <f t="shared" si="37"/>
        <v/>
      </c>
      <c r="N431" s="134"/>
      <c r="O431" s="29"/>
      <c r="P431" s="37" t="str">
        <f t="shared" si="38"/>
        <v/>
      </c>
      <c r="Q431" s="38" t="str">
        <f t="shared" si="39"/>
        <v/>
      </c>
      <c r="R431" s="37" t="str">
        <f t="shared" si="40"/>
        <v/>
      </c>
      <c r="S431" s="37" t="str">
        <f t="shared" si="41"/>
        <v/>
      </c>
      <c r="T431" s="38" t="str">
        <f t="shared" si="42"/>
        <v/>
      </c>
      <c r="U431" s="37" t="str">
        <f t="shared" si="43"/>
        <v/>
      </c>
    </row>
    <row r="432" spans="2:21" ht="27">
      <c r="B432" s="282" t="s">
        <v>846</v>
      </c>
      <c r="C432" s="156" t="s">
        <v>847</v>
      </c>
      <c r="D432" s="157" t="s">
        <v>852</v>
      </c>
      <c r="E432" s="281" t="s">
        <v>852</v>
      </c>
      <c r="F432" s="151" t="s">
        <v>127</v>
      </c>
      <c r="G432" s="152">
        <v>0</v>
      </c>
      <c r="H432" s="153" t="s">
        <v>70</v>
      </c>
      <c r="I432" s="154">
        <v>4</v>
      </c>
      <c r="J432" s="154">
        <v>8</v>
      </c>
      <c r="K432" s="30" t="str">
        <f>IF(H432="","",IF($C$30="간이법","",FPR(H432,I432,J432)))</f>
        <v/>
      </c>
      <c r="L432" s="30">
        <f>IF(H432="","",IF($C$30="상세법",FPV(H432,K432),IF(H432="EI",4,IF(H432="EO",5.2,IF(H432="EQ",3.9,IF(H432="ILF",7.5,IF(H432="EIF",5.4)))))))</f>
        <v>3.9</v>
      </c>
      <c r="M432" s="30" t="str">
        <f t="shared" si="37"/>
        <v/>
      </c>
      <c r="N432" s="134"/>
      <c r="O432" s="29"/>
      <c r="P432" s="37" t="str">
        <f t="shared" si="38"/>
        <v/>
      </c>
      <c r="Q432" s="38" t="str">
        <f t="shared" si="39"/>
        <v/>
      </c>
      <c r="R432" s="37" t="str">
        <f t="shared" si="40"/>
        <v/>
      </c>
      <c r="S432" s="37" t="str">
        <f t="shared" si="41"/>
        <v/>
      </c>
      <c r="T432" s="38" t="str">
        <f t="shared" si="42"/>
        <v/>
      </c>
      <c r="U432" s="37" t="str">
        <f t="shared" si="43"/>
        <v/>
      </c>
    </row>
    <row r="433" spans="2:21" ht="27">
      <c r="B433" s="282" t="s">
        <v>846</v>
      </c>
      <c r="C433" s="156" t="s">
        <v>847</v>
      </c>
      <c r="D433" s="157" t="s">
        <v>853</v>
      </c>
      <c r="E433" s="281" t="s">
        <v>853</v>
      </c>
      <c r="F433" s="151" t="s">
        <v>127</v>
      </c>
      <c r="G433" s="152">
        <v>0</v>
      </c>
      <c r="H433" s="153" t="s">
        <v>70</v>
      </c>
      <c r="I433" s="154">
        <v>4</v>
      </c>
      <c r="J433" s="154">
        <v>9</v>
      </c>
      <c r="K433" s="30" t="str">
        <f>IF(H433="","",IF($C$30="간이법","",FPR(H433,I433,J433)))</f>
        <v/>
      </c>
      <c r="L433" s="30">
        <f>IF(H433="","",IF($C$30="상세법",FPV(H433,K433),IF(H433="EI",4,IF(H433="EO",5.2,IF(H433="EQ",3.9,IF(H433="ILF",7.5,IF(H433="EIF",5.4)))))))</f>
        <v>3.9</v>
      </c>
      <c r="M433" s="30" t="str">
        <f t="shared" si="37"/>
        <v/>
      </c>
      <c r="N433" s="134"/>
      <c r="O433" s="29"/>
      <c r="P433" s="37" t="str">
        <f t="shared" si="38"/>
        <v/>
      </c>
      <c r="Q433" s="38" t="str">
        <f t="shared" si="39"/>
        <v/>
      </c>
      <c r="R433" s="37" t="str">
        <f t="shared" si="40"/>
        <v/>
      </c>
      <c r="S433" s="37" t="str">
        <f t="shared" si="41"/>
        <v/>
      </c>
      <c r="T433" s="38" t="str">
        <f t="shared" si="42"/>
        <v/>
      </c>
      <c r="U433" s="37" t="str">
        <f t="shared" si="43"/>
        <v/>
      </c>
    </row>
    <row r="434" spans="2:21" ht="27">
      <c r="B434" s="282" t="s">
        <v>846</v>
      </c>
      <c r="C434" s="156" t="s">
        <v>847</v>
      </c>
      <c r="D434" s="157" t="s">
        <v>854</v>
      </c>
      <c r="E434" s="281" t="s">
        <v>854</v>
      </c>
      <c r="F434" s="151" t="s">
        <v>127</v>
      </c>
      <c r="G434" s="152">
        <v>0</v>
      </c>
      <c r="H434" s="153" t="s">
        <v>70</v>
      </c>
      <c r="I434" s="154">
        <v>5</v>
      </c>
      <c r="J434" s="154">
        <v>12</v>
      </c>
      <c r="K434" s="30" t="str">
        <f>IF(H434="","",IF($C$30="간이법","",FPR(H434,I434,J434)))</f>
        <v/>
      </c>
      <c r="L434" s="30">
        <f>IF(H434="","",IF($C$30="상세법",FPV(H434,K434),IF(H434="EI",4,IF(H434="EO",5.2,IF(H434="EQ",3.9,IF(H434="ILF",7.5,IF(H434="EIF",5.4)))))))</f>
        <v>3.9</v>
      </c>
      <c r="M434" s="30" t="str">
        <f t="shared" si="37"/>
        <v/>
      </c>
      <c r="N434" s="134"/>
      <c r="O434" s="29"/>
      <c r="P434" s="37" t="str">
        <f t="shared" si="38"/>
        <v/>
      </c>
      <c r="Q434" s="38" t="str">
        <f t="shared" si="39"/>
        <v/>
      </c>
      <c r="R434" s="37" t="str">
        <f t="shared" si="40"/>
        <v/>
      </c>
      <c r="S434" s="37" t="str">
        <f t="shared" si="41"/>
        <v/>
      </c>
      <c r="T434" s="38" t="str">
        <f t="shared" si="42"/>
        <v/>
      </c>
      <c r="U434" s="37" t="str">
        <f t="shared" si="43"/>
        <v/>
      </c>
    </row>
    <row r="435" spans="2:21" ht="27">
      <c r="B435" s="282" t="s">
        <v>846</v>
      </c>
      <c r="C435" s="156" t="s">
        <v>847</v>
      </c>
      <c r="D435" s="157" t="s">
        <v>855</v>
      </c>
      <c r="E435" s="281" t="s">
        <v>855</v>
      </c>
      <c r="F435" s="151" t="s">
        <v>127</v>
      </c>
      <c r="G435" s="152">
        <v>0</v>
      </c>
      <c r="H435" s="153" t="s">
        <v>70</v>
      </c>
      <c r="I435" s="154">
        <v>4</v>
      </c>
      <c r="J435" s="154">
        <v>8</v>
      </c>
      <c r="K435" s="30" t="str">
        <f>IF(H435="","",IF($C$30="간이법","",FPR(H435,I435,J435)))</f>
        <v/>
      </c>
      <c r="L435" s="30">
        <f>IF(H435="","",IF($C$30="상세법",FPV(H435,K435),IF(H435="EI",4,IF(H435="EO",5.2,IF(H435="EQ",3.9,IF(H435="ILF",7.5,IF(H435="EIF",5.4)))))))</f>
        <v>3.9</v>
      </c>
      <c r="M435" s="30" t="str">
        <f t="shared" si="37"/>
        <v/>
      </c>
      <c r="N435" s="134"/>
      <c r="O435" s="29"/>
      <c r="P435" s="37" t="str">
        <f t="shared" si="38"/>
        <v/>
      </c>
      <c r="Q435" s="38" t="str">
        <f t="shared" si="39"/>
        <v/>
      </c>
      <c r="R435" s="37" t="str">
        <f t="shared" si="40"/>
        <v/>
      </c>
      <c r="S435" s="37" t="str">
        <f t="shared" si="41"/>
        <v/>
      </c>
      <c r="T435" s="38" t="str">
        <f t="shared" si="42"/>
        <v/>
      </c>
      <c r="U435" s="37" t="str">
        <f t="shared" si="43"/>
        <v/>
      </c>
    </row>
    <row r="436" spans="2:21" ht="27">
      <c r="B436" s="282" t="s">
        <v>846</v>
      </c>
      <c r="C436" s="156" t="s">
        <v>847</v>
      </c>
      <c r="D436" s="157" t="s">
        <v>856</v>
      </c>
      <c r="E436" s="281" t="s">
        <v>856</v>
      </c>
      <c r="F436" s="151" t="s">
        <v>127</v>
      </c>
      <c r="G436" s="152">
        <v>0</v>
      </c>
      <c r="H436" s="153" t="s">
        <v>8</v>
      </c>
      <c r="I436" s="154">
        <v>4</v>
      </c>
      <c r="J436" s="154">
        <v>8</v>
      </c>
      <c r="K436" s="30" t="str">
        <f>IF(H436="","",IF($C$30="간이법","",FPR(H436,I436,J436)))</f>
        <v/>
      </c>
      <c r="L436" s="30">
        <f>IF(H436="","",IF($C$30="상세법",FPV(H436,K436),IF(H436="EI",4,IF(H436="EO",5.2,IF(H436="EQ",3.9,IF(H436="ILF",7.5,IF(H436="EIF",5.4)))))))</f>
        <v>4</v>
      </c>
      <c r="M436" s="30" t="str">
        <f t="shared" si="37"/>
        <v/>
      </c>
      <c r="N436" s="134"/>
      <c r="O436" s="29"/>
      <c r="P436" s="37" t="str">
        <f t="shared" si="38"/>
        <v/>
      </c>
      <c r="Q436" s="38" t="str">
        <f t="shared" si="39"/>
        <v/>
      </c>
      <c r="R436" s="37" t="str">
        <f t="shared" si="40"/>
        <v/>
      </c>
      <c r="S436" s="37" t="str">
        <f t="shared" si="41"/>
        <v/>
      </c>
      <c r="T436" s="38" t="str">
        <f t="shared" si="42"/>
        <v/>
      </c>
      <c r="U436" s="37" t="str">
        <f t="shared" si="43"/>
        <v/>
      </c>
    </row>
    <row r="437" spans="2:21" ht="27">
      <c r="B437" s="282" t="s">
        <v>846</v>
      </c>
      <c r="C437" s="156" t="s">
        <v>847</v>
      </c>
      <c r="D437" s="157" t="s">
        <v>857</v>
      </c>
      <c r="E437" s="281" t="s">
        <v>857</v>
      </c>
      <c r="F437" s="151" t="s">
        <v>127</v>
      </c>
      <c r="G437" s="152">
        <v>0</v>
      </c>
      <c r="H437" s="153" t="s">
        <v>70</v>
      </c>
      <c r="I437" s="154">
        <v>4</v>
      </c>
      <c r="J437" s="154">
        <v>8</v>
      </c>
      <c r="K437" s="30" t="str">
        <f>IF(H437="","",IF($C$30="간이법","",FPR(H437,I437,J437)))</f>
        <v/>
      </c>
      <c r="L437" s="30">
        <f>IF(H437="","",IF($C$30="상세법",FPV(H437,K437),IF(H437="EI",4,IF(H437="EO",5.2,IF(H437="EQ",3.9,IF(H437="ILF",7.5,IF(H437="EIF",5.4)))))))</f>
        <v>3.9</v>
      </c>
      <c r="M437" s="30" t="str">
        <f t="shared" si="37"/>
        <v/>
      </c>
      <c r="N437" s="134"/>
      <c r="O437" s="29"/>
      <c r="P437" s="37" t="str">
        <f t="shared" si="38"/>
        <v/>
      </c>
      <c r="Q437" s="38" t="str">
        <f t="shared" si="39"/>
        <v/>
      </c>
      <c r="R437" s="37" t="str">
        <f t="shared" si="40"/>
        <v/>
      </c>
      <c r="S437" s="37" t="str">
        <f t="shared" si="41"/>
        <v/>
      </c>
      <c r="T437" s="38" t="str">
        <f t="shared" si="42"/>
        <v/>
      </c>
      <c r="U437" s="37" t="str">
        <f t="shared" si="43"/>
        <v/>
      </c>
    </row>
    <row r="438" spans="2:21" ht="27">
      <c r="B438" s="282" t="s">
        <v>846</v>
      </c>
      <c r="C438" s="156" t="s">
        <v>847</v>
      </c>
      <c r="D438" s="157" t="s">
        <v>858</v>
      </c>
      <c r="E438" s="281" t="s">
        <v>858</v>
      </c>
      <c r="F438" s="151" t="s">
        <v>127</v>
      </c>
      <c r="G438" s="152">
        <v>0</v>
      </c>
      <c r="H438" s="153" t="s">
        <v>8</v>
      </c>
      <c r="I438" s="154">
        <v>1</v>
      </c>
      <c r="J438" s="154">
        <v>6</v>
      </c>
      <c r="K438" s="30" t="str">
        <f>IF(H438="","",IF($C$30="간이법","",FPR(H438,I438,J438)))</f>
        <v/>
      </c>
      <c r="L438" s="30">
        <f>IF(H438="","",IF($C$30="상세법",FPV(H438,K438),IF(H438="EI",4,IF(H438="EO",5.2,IF(H438="EQ",3.9,IF(H438="ILF",7.5,IF(H438="EIF",5.4)))))))</f>
        <v>4</v>
      </c>
      <c r="M438" s="30" t="str">
        <f t="shared" si="37"/>
        <v/>
      </c>
      <c r="N438" s="134"/>
      <c r="O438" s="29"/>
      <c r="P438" s="37" t="str">
        <f t="shared" si="38"/>
        <v/>
      </c>
      <c r="Q438" s="38" t="str">
        <f t="shared" si="39"/>
        <v/>
      </c>
      <c r="R438" s="37" t="str">
        <f t="shared" si="40"/>
        <v/>
      </c>
      <c r="S438" s="37" t="str">
        <f t="shared" si="41"/>
        <v/>
      </c>
      <c r="T438" s="38" t="str">
        <f t="shared" si="42"/>
        <v/>
      </c>
      <c r="U438" s="37" t="str">
        <f t="shared" si="43"/>
        <v/>
      </c>
    </row>
    <row r="439" spans="2:21" ht="27">
      <c r="B439" s="282" t="s">
        <v>846</v>
      </c>
      <c r="C439" s="156" t="s">
        <v>847</v>
      </c>
      <c r="D439" s="157" t="s">
        <v>859</v>
      </c>
      <c r="E439" s="281" t="s">
        <v>859</v>
      </c>
      <c r="F439" s="151" t="s">
        <v>127</v>
      </c>
      <c r="G439" s="152">
        <v>0</v>
      </c>
      <c r="H439" s="153" t="s">
        <v>8</v>
      </c>
      <c r="I439" s="154">
        <v>3</v>
      </c>
      <c r="J439" s="154">
        <v>12</v>
      </c>
      <c r="K439" s="30" t="str">
        <f>IF(H439="","",IF($C$30="간이법","",FPR(H439,I439,J439)))</f>
        <v/>
      </c>
      <c r="L439" s="30">
        <f>IF(H439="","",IF($C$30="상세법",FPV(H439,K439),IF(H439="EI",4,IF(H439="EO",5.2,IF(H439="EQ",3.9,IF(H439="ILF",7.5,IF(H439="EIF",5.4)))))))</f>
        <v>4</v>
      </c>
      <c r="M439" s="30" t="str">
        <f t="shared" si="37"/>
        <v/>
      </c>
      <c r="N439" s="134"/>
      <c r="O439" s="29"/>
      <c r="P439" s="37" t="str">
        <f t="shared" si="38"/>
        <v/>
      </c>
      <c r="Q439" s="38" t="str">
        <f t="shared" si="39"/>
        <v/>
      </c>
      <c r="R439" s="37" t="str">
        <f t="shared" si="40"/>
        <v/>
      </c>
      <c r="S439" s="37" t="str">
        <f t="shared" si="41"/>
        <v/>
      </c>
      <c r="T439" s="38" t="str">
        <f t="shared" si="42"/>
        <v/>
      </c>
      <c r="U439" s="37" t="str">
        <f t="shared" si="43"/>
        <v/>
      </c>
    </row>
    <row r="440" spans="2:21" ht="17.25">
      <c r="B440" s="282" t="s">
        <v>846</v>
      </c>
      <c r="C440" s="156" t="s">
        <v>846</v>
      </c>
      <c r="D440" s="157" t="s">
        <v>860</v>
      </c>
      <c r="E440" s="281" t="s">
        <v>861</v>
      </c>
      <c r="F440" s="151" t="s">
        <v>127</v>
      </c>
      <c r="G440" s="152">
        <v>0</v>
      </c>
      <c r="H440" s="153" t="s">
        <v>70</v>
      </c>
      <c r="I440" s="154">
        <v>1</v>
      </c>
      <c r="J440" s="154">
        <v>4</v>
      </c>
      <c r="K440" s="30" t="str">
        <f>IF(H440="","",IF($C$30="간이법","",FPR(H440,I440,J440)))</f>
        <v/>
      </c>
      <c r="L440" s="30">
        <f>IF(H440="","",IF($C$30="상세법",FPV(H440,K440),IF(H440="EI",4,IF(H440="EO",5.2,IF(H440="EQ",3.9,IF(H440="ILF",7.5,IF(H440="EIF",5.4)))))))</f>
        <v>3.9</v>
      </c>
      <c r="M440" s="30" t="str">
        <f t="shared" si="37"/>
        <v/>
      </c>
      <c r="N440" s="134"/>
      <c r="O440" s="29"/>
      <c r="P440" s="37" t="str">
        <f t="shared" si="38"/>
        <v/>
      </c>
      <c r="Q440" s="38" t="str">
        <f t="shared" si="39"/>
        <v/>
      </c>
      <c r="R440" s="37" t="str">
        <f t="shared" si="40"/>
        <v/>
      </c>
      <c r="S440" s="37" t="str">
        <f t="shared" si="41"/>
        <v/>
      </c>
      <c r="T440" s="38" t="str">
        <f t="shared" si="42"/>
        <v/>
      </c>
      <c r="U440" s="37" t="str">
        <f t="shared" si="43"/>
        <v/>
      </c>
    </row>
    <row r="441" spans="2:21" ht="17.25">
      <c r="B441" s="282" t="s">
        <v>846</v>
      </c>
      <c r="C441" s="156" t="s">
        <v>846</v>
      </c>
      <c r="D441" s="157" t="s">
        <v>862</v>
      </c>
      <c r="E441" s="281" t="s">
        <v>863</v>
      </c>
      <c r="F441" s="151" t="s">
        <v>46</v>
      </c>
      <c r="G441" s="152">
        <f>((0.25*0)+(0.45*10)+(0.3*0))/100</f>
        <v>4.4999999999999998E-2</v>
      </c>
      <c r="H441" s="153" t="s">
        <v>70</v>
      </c>
      <c r="I441" s="154">
        <v>1</v>
      </c>
      <c r="J441" s="154">
        <v>8</v>
      </c>
      <c r="K441" s="30" t="str">
        <f>IF(H441="","",IF($C$30="간이법","",FPR(H441,I441,J441)))</f>
        <v/>
      </c>
      <c r="L441" s="30">
        <f>IF(H441="","",IF($C$30="상세법",FPV(H441,K441),IF(H441="EI",4,IF(H441="EO",5.2,IF(H441="EQ",3.9,IF(H441="ILF",7.5,IF(H441="EIF",5.4)))))))</f>
        <v>3.9</v>
      </c>
      <c r="M441" s="30">
        <f t="shared" si="37"/>
        <v>0.33098893251533745</v>
      </c>
      <c r="N441" s="134"/>
      <c r="O441" s="29"/>
      <c r="P441" s="37" t="str">
        <f t="shared" si="38"/>
        <v/>
      </c>
      <c r="Q441" s="38" t="str">
        <f t="shared" si="39"/>
        <v/>
      </c>
      <c r="R441" s="37" t="str">
        <f t="shared" si="40"/>
        <v/>
      </c>
      <c r="S441" s="37">
        <f t="shared" si="41"/>
        <v>4.4999999999999998E-2</v>
      </c>
      <c r="T441" s="38">
        <f t="shared" si="42"/>
        <v>6.7590987868284227E-2</v>
      </c>
      <c r="U441" s="37">
        <f t="shared" si="43"/>
        <v>3.0415944540727901E-3</v>
      </c>
    </row>
    <row r="442" spans="2:21" ht="17.25">
      <c r="B442" s="282" t="s">
        <v>846</v>
      </c>
      <c r="C442" s="156" t="s">
        <v>846</v>
      </c>
      <c r="D442" s="157" t="s">
        <v>864</v>
      </c>
      <c r="E442" s="281" t="s">
        <v>865</v>
      </c>
      <c r="F442" s="151" t="s">
        <v>46</v>
      </c>
      <c r="G442" s="152">
        <f>((0.25*20)+(0.45*5)+(0.3*10))/100</f>
        <v>0.10249999999999999</v>
      </c>
      <c r="H442" s="153" t="s">
        <v>8</v>
      </c>
      <c r="I442" s="154">
        <v>1</v>
      </c>
      <c r="J442" s="154">
        <v>4</v>
      </c>
      <c r="K442" s="30" t="str">
        <f>IF(H442="","",IF($C$30="간이법","",FPR(H442,I442,J442)))</f>
        <v/>
      </c>
      <c r="L442" s="30">
        <f>IF(H442="","",IF($C$30="상세법",FPV(H442,K442),IF(H442="EI",4,IF(H442="EO",5.2,IF(H442="EQ",3.9,IF(H442="ILF",7.5,IF(H442="EIF",5.4)))))))</f>
        <v>4</v>
      </c>
      <c r="M442" s="30">
        <f t="shared" si="37"/>
        <v>0.33947582822085892</v>
      </c>
      <c r="N442" s="134"/>
      <c r="O442" s="29"/>
      <c r="P442" s="37" t="str">
        <f t="shared" si="38"/>
        <v/>
      </c>
      <c r="Q442" s="38" t="str">
        <f t="shared" si="39"/>
        <v/>
      </c>
      <c r="R442" s="37" t="str">
        <f t="shared" si="40"/>
        <v/>
      </c>
      <c r="S442" s="37">
        <f t="shared" si="41"/>
        <v>0.10249999999999999</v>
      </c>
      <c r="T442" s="38">
        <f t="shared" si="42"/>
        <v>6.932409012131717E-2</v>
      </c>
      <c r="U442" s="37">
        <f t="shared" si="43"/>
        <v>7.1057192374350091E-3</v>
      </c>
    </row>
    <row r="443" spans="2:21" ht="27">
      <c r="B443" s="282" t="s">
        <v>846</v>
      </c>
      <c r="C443" s="156" t="s">
        <v>846</v>
      </c>
      <c r="D443" s="157" t="s">
        <v>866</v>
      </c>
      <c r="E443" s="281" t="s">
        <v>867</v>
      </c>
      <c r="F443" s="151" t="s">
        <v>127</v>
      </c>
      <c r="G443" s="152">
        <v>0</v>
      </c>
      <c r="H443" s="153" t="s">
        <v>70</v>
      </c>
      <c r="I443" s="154">
        <v>1</v>
      </c>
      <c r="J443" s="154">
        <v>5</v>
      </c>
      <c r="K443" s="30" t="str">
        <f>IF(H443="","",IF($C$30="간이법","",FPR(H443,I443,J443)))</f>
        <v/>
      </c>
      <c r="L443" s="30">
        <f>IF(H443="","",IF($C$30="상세법",FPV(H443,K443),IF(H443="EI",4,IF(H443="EO",5.2,IF(H443="EQ",3.9,IF(H443="ILF",7.5,IF(H443="EIF",5.4)))))))</f>
        <v>3.9</v>
      </c>
      <c r="M443" s="30" t="str">
        <f t="shared" si="37"/>
        <v/>
      </c>
      <c r="N443" s="134"/>
      <c r="O443" s="29"/>
      <c r="P443" s="37" t="str">
        <f t="shared" si="38"/>
        <v/>
      </c>
      <c r="Q443" s="38" t="str">
        <f t="shared" si="39"/>
        <v/>
      </c>
      <c r="R443" s="37" t="str">
        <f t="shared" si="40"/>
        <v/>
      </c>
      <c r="S443" s="37" t="str">
        <f t="shared" si="41"/>
        <v/>
      </c>
      <c r="T443" s="38" t="str">
        <f t="shared" si="42"/>
        <v/>
      </c>
      <c r="U443" s="37" t="str">
        <f t="shared" si="43"/>
        <v/>
      </c>
    </row>
    <row r="444" spans="2:21" ht="27">
      <c r="B444" s="282" t="s">
        <v>846</v>
      </c>
      <c r="C444" s="156" t="s">
        <v>846</v>
      </c>
      <c r="D444" s="157" t="s">
        <v>868</v>
      </c>
      <c r="E444" s="281" t="s">
        <v>869</v>
      </c>
      <c r="F444" s="151" t="s">
        <v>127</v>
      </c>
      <c r="G444" s="152">
        <v>0</v>
      </c>
      <c r="H444" s="153" t="s">
        <v>70</v>
      </c>
      <c r="I444" s="154">
        <v>4</v>
      </c>
      <c r="J444" s="154">
        <v>8</v>
      </c>
      <c r="K444" s="30" t="str">
        <f>IF(H444="","",IF($C$30="간이법","",FPR(H444,I444,J444)))</f>
        <v/>
      </c>
      <c r="L444" s="30">
        <f>IF(H444="","",IF($C$30="상세법",FPV(H444,K444),IF(H444="EI",4,IF(H444="EO",5.2,IF(H444="EQ",3.9,IF(H444="ILF",7.5,IF(H444="EIF",5.4)))))))</f>
        <v>3.9</v>
      </c>
      <c r="M444" s="30" t="str">
        <f t="shared" ref="M444:M507" si="44">IF(OR(G444="",$E$36="(선택)",$E$40="(선택)",$E$41="(선택)",F444="신규 개발",F444="수정 없이 재사용"),"",(IF(F444="수정 후 재사용",IF($E$50&lt;=0.5,L444*($E$36+$E$50*100*(1+0.02*($E$40*$E$41)))/100,L444*($E$36+$E$50*100+($E$40*$E$41))/100))))</f>
        <v/>
      </c>
      <c r="N444" s="134"/>
      <c r="O444" s="29"/>
      <c r="P444" s="37" t="str">
        <f t="shared" ref="P444:P507" si="45">IF(F444="수정 후 재사용",IF(H444="ILF",G444,IF(H444="EIF",G444,"")),"")</f>
        <v/>
      </c>
      <c r="Q444" s="38" t="str">
        <f t="shared" ref="Q444:Q507" si="46">IF(P444&lt;&gt;"",IF(H444="ILF", L444/$E$46,IF(H444="EIF", L444/$E$46,"")),"")</f>
        <v/>
      </c>
      <c r="R444" s="37" t="str">
        <f t="shared" ref="R444:R507" si="47">IF(P444&lt;&gt;"",P444*Q444,"")</f>
        <v/>
      </c>
      <c r="S444" s="37" t="str">
        <f t="shared" ref="S444:S507" si="48">IF(F444="수정 후 재사용",IF(H444="EI",G444,IF(H444="EO",G444,IF(H444="EQ",G444,""))),"")</f>
        <v/>
      </c>
      <c r="T444" s="38" t="str">
        <f t="shared" ref="T444:T507" si="49">IF(S444&lt;&gt;"",IF(H444="EI",L444/$E$47,IF(H444="EO",L444/$E$47,IF(H444="EQ",L444/$E$47,""))),"")</f>
        <v/>
      </c>
      <c r="U444" s="37" t="str">
        <f t="shared" ref="U444:U507" si="50">IF(S444&lt;&gt;"",S444*T444,"")</f>
        <v/>
      </c>
    </row>
    <row r="445" spans="2:21" ht="27">
      <c r="B445" s="282" t="s">
        <v>846</v>
      </c>
      <c r="C445" s="156" t="s">
        <v>846</v>
      </c>
      <c r="D445" s="157" t="s">
        <v>870</v>
      </c>
      <c r="E445" s="281" t="s">
        <v>871</v>
      </c>
      <c r="F445" s="151" t="s">
        <v>127</v>
      </c>
      <c r="G445" s="152">
        <v>0</v>
      </c>
      <c r="H445" s="153" t="s">
        <v>70</v>
      </c>
      <c r="I445" s="154">
        <v>2</v>
      </c>
      <c r="J445" s="154">
        <v>10</v>
      </c>
      <c r="K445" s="30" t="str">
        <f>IF(H445="","",IF($C$30="간이법","",FPR(H445,I445,J445)))</f>
        <v/>
      </c>
      <c r="L445" s="30">
        <f>IF(H445="","",IF($C$30="상세법",FPV(H445,K445),IF(H445="EI",4,IF(H445="EO",5.2,IF(H445="EQ",3.9,IF(H445="ILF",7.5,IF(H445="EIF",5.4)))))))</f>
        <v>3.9</v>
      </c>
      <c r="M445" s="30" t="str">
        <f t="shared" si="44"/>
        <v/>
      </c>
      <c r="N445" s="134"/>
      <c r="O445" s="29"/>
      <c r="P445" s="37" t="str">
        <f t="shared" si="45"/>
        <v/>
      </c>
      <c r="Q445" s="38" t="str">
        <f t="shared" si="46"/>
        <v/>
      </c>
      <c r="R445" s="37" t="str">
        <f t="shared" si="47"/>
        <v/>
      </c>
      <c r="S445" s="37" t="str">
        <f t="shared" si="48"/>
        <v/>
      </c>
      <c r="T445" s="38" t="str">
        <f t="shared" si="49"/>
        <v/>
      </c>
      <c r="U445" s="37" t="str">
        <f t="shared" si="50"/>
        <v/>
      </c>
    </row>
    <row r="446" spans="2:21" ht="27">
      <c r="B446" s="282" t="s">
        <v>846</v>
      </c>
      <c r="C446" s="156" t="s">
        <v>846</v>
      </c>
      <c r="D446" s="157" t="s">
        <v>872</v>
      </c>
      <c r="E446" s="281" t="s">
        <v>873</v>
      </c>
      <c r="F446" s="151" t="s">
        <v>127</v>
      </c>
      <c r="G446" s="152">
        <v>0</v>
      </c>
      <c r="H446" s="153" t="s">
        <v>70</v>
      </c>
      <c r="I446" s="154">
        <v>4</v>
      </c>
      <c r="J446" s="154">
        <v>8</v>
      </c>
      <c r="K446" s="30" t="str">
        <f>IF(H446="","",IF($C$30="간이법","",FPR(H446,I446,J446)))</f>
        <v/>
      </c>
      <c r="L446" s="30">
        <f>IF(H446="","",IF($C$30="상세법",FPV(H446,K446),IF(H446="EI",4,IF(H446="EO",5.2,IF(H446="EQ",3.9,IF(H446="ILF",7.5,IF(H446="EIF",5.4)))))))</f>
        <v>3.9</v>
      </c>
      <c r="M446" s="30" t="str">
        <f t="shared" si="44"/>
        <v/>
      </c>
      <c r="N446" s="134"/>
      <c r="O446" s="29"/>
      <c r="P446" s="37" t="str">
        <f t="shared" si="45"/>
        <v/>
      </c>
      <c r="Q446" s="38" t="str">
        <f t="shared" si="46"/>
        <v/>
      </c>
      <c r="R446" s="37" t="str">
        <f t="shared" si="47"/>
        <v/>
      </c>
      <c r="S446" s="37" t="str">
        <f t="shared" si="48"/>
        <v/>
      </c>
      <c r="T446" s="38" t="str">
        <f t="shared" si="49"/>
        <v/>
      </c>
      <c r="U446" s="37" t="str">
        <f t="shared" si="50"/>
        <v/>
      </c>
    </row>
    <row r="447" spans="2:21" ht="17.25">
      <c r="B447" s="282" t="s">
        <v>846</v>
      </c>
      <c r="C447" s="156" t="s">
        <v>846</v>
      </c>
      <c r="D447" s="157" t="s">
        <v>874</v>
      </c>
      <c r="E447" s="281" t="s">
        <v>875</v>
      </c>
      <c r="F447" s="151" t="s">
        <v>127</v>
      </c>
      <c r="G447" s="152">
        <v>0</v>
      </c>
      <c r="H447" s="153" t="s">
        <v>70</v>
      </c>
      <c r="I447" s="154">
        <v>5</v>
      </c>
      <c r="J447" s="154">
        <v>12</v>
      </c>
      <c r="K447" s="30" t="str">
        <f>IF(H447="","",IF($C$30="간이법","",FPR(H447,I447,J447)))</f>
        <v/>
      </c>
      <c r="L447" s="30">
        <f>IF(H447="","",IF($C$30="상세법",FPV(H447,K447),IF(H447="EI",4,IF(H447="EO",5.2,IF(H447="EQ",3.9,IF(H447="ILF",7.5,IF(H447="EIF",5.4)))))))</f>
        <v>3.9</v>
      </c>
      <c r="M447" s="30" t="str">
        <f t="shared" si="44"/>
        <v/>
      </c>
      <c r="N447" s="134"/>
      <c r="O447" s="29"/>
      <c r="P447" s="37" t="str">
        <f t="shared" si="45"/>
        <v/>
      </c>
      <c r="Q447" s="38" t="str">
        <f t="shared" si="46"/>
        <v/>
      </c>
      <c r="R447" s="37" t="str">
        <f t="shared" si="47"/>
        <v/>
      </c>
      <c r="S447" s="37" t="str">
        <f t="shared" si="48"/>
        <v/>
      </c>
      <c r="T447" s="38" t="str">
        <f t="shared" si="49"/>
        <v/>
      </c>
      <c r="U447" s="37" t="str">
        <f t="shared" si="50"/>
        <v/>
      </c>
    </row>
    <row r="448" spans="2:21" ht="17.25">
      <c r="B448" s="282" t="s">
        <v>846</v>
      </c>
      <c r="C448" s="156" t="s">
        <v>846</v>
      </c>
      <c r="D448" s="157" t="s">
        <v>876</v>
      </c>
      <c r="E448" s="281" t="s">
        <v>877</v>
      </c>
      <c r="F448" s="151" t="s">
        <v>127</v>
      </c>
      <c r="G448" s="152">
        <v>0</v>
      </c>
      <c r="H448" s="153" t="s">
        <v>70</v>
      </c>
      <c r="I448" s="154">
        <v>4</v>
      </c>
      <c r="J448" s="154">
        <v>8</v>
      </c>
      <c r="K448" s="30" t="str">
        <f>IF(H448="","",IF($C$30="간이법","",FPR(H448,I448,J448)))</f>
        <v/>
      </c>
      <c r="L448" s="30">
        <f>IF(H448="","",IF($C$30="상세법",FPV(H448,K448),IF(H448="EI",4,IF(H448="EO",5.2,IF(H448="EQ",3.9,IF(H448="ILF",7.5,IF(H448="EIF",5.4)))))))</f>
        <v>3.9</v>
      </c>
      <c r="M448" s="30" t="str">
        <f t="shared" si="44"/>
        <v/>
      </c>
      <c r="N448" s="134"/>
      <c r="O448" s="29"/>
      <c r="P448" s="37" t="str">
        <f t="shared" si="45"/>
        <v/>
      </c>
      <c r="Q448" s="38" t="str">
        <f t="shared" si="46"/>
        <v/>
      </c>
      <c r="R448" s="37" t="str">
        <f t="shared" si="47"/>
        <v/>
      </c>
      <c r="S448" s="37" t="str">
        <f t="shared" si="48"/>
        <v/>
      </c>
      <c r="T448" s="38" t="str">
        <f t="shared" si="49"/>
        <v/>
      </c>
      <c r="U448" s="37" t="str">
        <f t="shared" si="50"/>
        <v/>
      </c>
    </row>
    <row r="449" spans="2:21" ht="17.25">
      <c r="B449" s="282" t="s">
        <v>846</v>
      </c>
      <c r="C449" s="156" t="s">
        <v>846</v>
      </c>
      <c r="D449" s="157" t="s">
        <v>878</v>
      </c>
      <c r="E449" s="281" t="s">
        <v>879</v>
      </c>
      <c r="F449" s="151" t="s">
        <v>127</v>
      </c>
      <c r="G449" s="152">
        <v>0</v>
      </c>
      <c r="H449" s="153" t="s">
        <v>70</v>
      </c>
      <c r="I449" s="154">
        <v>4</v>
      </c>
      <c r="J449" s="154">
        <v>8</v>
      </c>
      <c r="K449" s="30" t="str">
        <f>IF(H449="","",IF($C$30="간이법","",FPR(H449,I449,J449)))</f>
        <v/>
      </c>
      <c r="L449" s="30">
        <f>IF(H449="","",IF($C$30="상세법",FPV(H449,K449),IF(H449="EI",4,IF(H449="EO",5.2,IF(H449="EQ",3.9,IF(H449="ILF",7.5,IF(H449="EIF",5.4)))))))</f>
        <v>3.9</v>
      </c>
      <c r="M449" s="30" t="str">
        <f t="shared" si="44"/>
        <v/>
      </c>
      <c r="N449" s="134"/>
      <c r="O449" s="29"/>
      <c r="P449" s="37" t="str">
        <f t="shared" si="45"/>
        <v/>
      </c>
      <c r="Q449" s="38" t="str">
        <f t="shared" si="46"/>
        <v/>
      </c>
      <c r="R449" s="37" t="str">
        <f t="shared" si="47"/>
        <v/>
      </c>
      <c r="S449" s="37" t="str">
        <f t="shared" si="48"/>
        <v/>
      </c>
      <c r="T449" s="38" t="str">
        <f t="shared" si="49"/>
        <v/>
      </c>
      <c r="U449" s="37" t="str">
        <f t="shared" si="50"/>
        <v/>
      </c>
    </row>
    <row r="450" spans="2:21" ht="17.25">
      <c r="B450" s="282" t="s">
        <v>846</v>
      </c>
      <c r="C450" s="156" t="s">
        <v>846</v>
      </c>
      <c r="D450" s="157" t="s">
        <v>880</v>
      </c>
      <c r="E450" s="281" t="s">
        <v>881</v>
      </c>
      <c r="F450" s="151" t="s">
        <v>127</v>
      </c>
      <c r="G450" s="152">
        <v>0</v>
      </c>
      <c r="H450" s="153" t="s">
        <v>8</v>
      </c>
      <c r="I450" s="154">
        <v>1</v>
      </c>
      <c r="J450" s="154">
        <v>4</v>
      </c>
      <c r="K450" s="30" t="str">
        <f>IF(H450="","",IF($C$30="간이법","",FPR(H450,I450,J450)))</f>
        <v/>
      </c>
      <c r="L450" s="30">
        <f>IF(H450="","",IF($C$30="상세법",FPV(H450,K450),IF(H450="EI",4,IF(H450="EO",5.2,IF(H450="EQ",3.9,IF(H450="ILF",7.5,IF(H450="EIF",5.4)))))))</f>
        <v>4</v>
      </c>
      <c r="M450" s="30" t="str">
        <f t="shared" si="44"/>
        <v/>
      </c>
      <c r="N450" s="134"/>
      <c r="O450" s="29"/>
      <c r="P450" s="37" t="str">
        <f t="shared" si="45"/>
        <v/>
      </c>
      <c r="Q450" s="38" t="str">
        <f t="shared" si="46"/>
        <v/>
      </c>
      <c r="R450" s="37" t="str">
        <f t="shared" si="47"/>
        <v/>
      </c>
      <c r="S450" s="37" t="str">
        <f t="shared" si="48"/>
        <v/>
      </c>
      <c r="T450" s="38" t="str">
        <f t="shared" si="49"/>
        <v/>
      </c>
      <c r="U450" s="37" t="str">
        <f t="shared" si="50"/>
        <v/>
      </c>
    </row>
    <row r="451" spans="2:21" ht="17.25">
      <c r="B451" s="282" t="s">
        <v>846</v>
      </c>
      <c r="C451" s="156" t="s">
        <v>846</v>
      </c>
      <c r="D451" s="157" t="s">
        <v>882</v>
      </c>
      <c r="E451" s="281" t="s">
        <v>883</v>
      </c>
      <c r="F451" s="151" t="s">
        <v>127</v>
      </c>
      <c r="G451" s="152">
        <v>0</v>
      </c>
      <c r="H451" s="153" t="s">
        <v>8</v>
      </c>
      <c r="I451" s="154">
        <v>3</v>
      </c>
      <c r="J451" s="154">
        <v>12</v>
      </c>
      <c r="K451" s="30" t="str">
        <f>IF(H451="","",IF($C$30="간이법","",FPR(H451,I451,J451)))</f>
        <v/>
      </c>
      <c r="L451" s="30">
        <f>IF(H451="","",IF($C$30="상세법",FPV(H451,K451),IF(H451="EI",4,IF(H451="EO",5.2,IF(H451="EQ",3.9,IF(H451="ILF",7.5,IF(H451="EIF",5.4)))))))</f>
        <v>4</v>
      </c>
      <c r="M451" s="30" t="str">
        <f t="shared" si="44"/>
        <v/>
      </c>
      <c r="N451" s="134"/>
      <c r="O451" s="29"/>
      <c r="P451" s="37" t="str">
        <f t="shared" si="45"/>
        <v/>
      </c>
      <c r="Q451" s="38" t="str">
        <f t="shared" si="46"/>
        <v/>
      </c>
      <c r="R451" s="37" t="str">
        <f t="shared" si="47"/>
        <v/>
      </c>
      <c r="S451" s="37" t="str">
        <f t="shared" si="48"/>
        <v/>
      </c>
      <c r="T451" s="38" t="str">
        <f t="shared" si="49"/>
        <v/>
      </c>
      <c r="U451" s="37" t="str">
        <f t="shared" si="50"/>
        <v/>
      </c>
    </row>
    <row r="452" spans="2:21" ht="17.25">
      <c r="B452" s="282" t="s">
        <v>846</v>
      </c>
      <c r="C452" s="156" t="s">
        <v>884</v>
      </c>
      <c r="D452" s="157" t="s">
        <v>885</v>
      </c>
      <c r="E452" s="281" t="s">
        <v>886</v>
      </c>
      <c r="F452" s="151" t="s">
        <v>127</v>
      </c>
      <c r="G452" s="152">
        <v>0</v>
      </c>
      <c r="H452" s="153" t="s">
        <v>70</v>
      </c>
      <c r="I452" s="154">
        <v>1</v>
      </c>
      <c r="J452" s="154">
        <v>4</v>
      </c>
      <c r="K452" s="30" t="str">
        <f>IF(H452="","",IF($C$30="간이법","",FPR(H452,I452,J452)))</f>
        <v/>
      </c>
      <c r="L452" s="30">
        <f>IF(H452="","",IF($C$30="상세법",FPV(H452,K452),IF(H452="EI",4,IF(H452="EO",5.2,IF(H452="EQ",3.9,IF(H452="ILF",7.5,IF(H452="EIF",5.4)))))))</f>
        <v>3.9</v>
      </c>
      <c r="M452" s="30" t="str">
        <f t="shared" si="44"/>
        <v/>
      </c>
      <c r="N452" s="134"/>
      <c r="O452" s="29"/>
      <c r="P452" s="37" t="str">
        <f t="shared" si="45"/>
        <v/>
      </c>
      <c r="Q452" s="38" t="str">
        <f t="shared" si="46"/>
        <v/>
      </c>
      <c r="R452" s="37" t="str">
        <f t="shared" si="47"/>
        <v/>
      </c>
      <c r="S452" s="37" t="str">
        <f t="shared" si="48"/>
        <v/>
      </c>
      <c r="T452" s="38" t="str">
        <f t="shared" si="49"/>
        <v/>
      </c>
      <c r="U452" s="37" t="str">
        <f t="shared" si="50"/>
        <v/>
      </c>
    </row>
    <row r="453" spans="2:21" ht="17.25">
      <c r="B453" s="282" t="s">
        <v>846</v>
      </c>
      <c r="C453" s="156" t="s">
        <v>884</v>
      </c>
      <c r="D453" s="157" t="s">
        <v>887</v>
      </c>
      <c r="E453" s="281" t="s">
        <v>888</v>
      </c>
      <c r="F453" s="151" t="s">
        <v>127</v>
      </c>
      <c r="G453" s="152">
        <v>0</v>
      </c>
      <c r="H453" s="153" t="s">
        <v>70</v>
      </c>
      <c r="I453" s="154">
        <v>1</v>
      </c>
      <c r="J453" s="154">
        <v>6</v>
      </c>
      <c r="K453" s="30" t="str">
        <f>IF(H453="","",IF($C$30="간이법","",FPR(H453,I453,J453)))</f>
        <v/>
      </c>
      <c r="L453" s="30">
        <f>IF(H453="","",IF($C$30="상세법",FPV(H453,K453),IF(H453="EI",4,IF(H453="EO",5.2,IF(H453="EQ",3.9,IF(H453="ILF",7.5,IF(H453="EIF",5.4)))))))</f>
        <v>3.9</v>
      </c>
      <c r="M453" s="30" t="str">
        <f t="shared" si="44"/>
        <v/>
      </c>
      <c r="N453" s="134"/>
      <c r="O453" s="29"/>
      <c r="P453" s="37" t="str">
        <f t="shared" si="45"/>
        <v/>
      </c>
      <c r="Q453" s="38" t="str">
        <f t="shared" si="46"/>
        <v/>
      </c>
      <c r="R453" s="37" t="str">
        <f t="shared" si="47"/>
        <v/>
      </c>
      <c r="S453" s="37" t="str">
        <f t="shared" si="48"/>
        <v/>
      </c>
      <c r="T453" s="38" t="str">
        <f t="shared" si="49"/>
        <v/>
      </c>
      <c r="U453" s="37" t="str">
        <f t="shared" si="50"/>
        <v/>
      </c>
    </row>
    <row r="454" spans="2:21" ht="17.25">
      <c r="B454" s="282" t="s">
        <v>846</v>
      </c>
      <c r="C454" s="156" t="s">
        <v>884</v>
      </c>
      <c r="D454" s="157" t="s">
        <v>889</v>
      </c>
      <c r="E454" s="281" t="s">
        <v>890</v>
      </c>
      <c r="F454" s="151" t="s">
        <v>127</v>
      </c>
      <c r="G454" s="152">
        <v>0</v>
      </c>
      <c r="H454" s="153" t="s">
        <v>8</v>
      </c>
      <c r="I454" s="154">
        <v>1</v>
      </c>
      <c r="J454" s="154">
        <v>5</v>
      </c>
      <c r="K454" s="30" t="str">
        <f>IF(H454="","",IF($C$30="간이법","",FPR(H454,I454,J454)))</f>
        <v/>
      </c>
      <c r="L454" s="30">
        <f>IF(H454="","",IF($C$30="상세법",FPV(H454,K454),IF(H454="EI",4,IF(H454="EO",5.2,IF(H454="EQ",3.9,IF(H454="ILF",7.5,IF(H454="EIF",5.4)))))))</f>
        <v>4</v>
      </c>
      <c r="M454" s="30" t="str">
        <f t="shared" si="44"/>
        <v/>
      </c>
      <c r="N454" s="134"/>
      <c r="O454" s="29"/>
      <c r="P454" s="37" t="str">
        <f t="shared" si="45"/>
        <v/>
      </c>
      <c r="Q454" s="38" t="str">
        <f t="shared" si="46"/>
        <v/>
      </c>
      <c r="R454" s="37" t="str">
        <f t="shared" si="47"/>
        <v/>
      </c>
      <c r="S454" s="37" t="str">
        <f t="shared" si="48"/>
        <v/>
      </c>
      <c r="T454" s="38" t="str">
        <f t="shared" si="49"/>
        <v/>
      </c>
      <c r="U454" s="37" t="str">
        <f t="shared" si="50"/>
        <v/>
      </c>
    </row>
    <row r="455" spans="2:21" ht="17.25">
      <c r="B455" s="282" t="s">
        <v>846</v>
      </c>
      <c r="C455" s="156" t="s">
        <v>884</v>
      </c>
      <c r="D455" s="157" t="s">
        <v>891</v>
      </c>
      <c r="E455" s="281" t="s">
        <v>892</v>
      </c>
      <c r="F455" s="151" t="s">
        <v>127</v>
      </c>
      <c r="G455" s="152">
        <v>0</v>
      </c>
      <c r="H455" s="153" t="s">
        <v>70</v>
      </c>
      <c r="I455" s="154">
        <v>1</v>
      </c>
      <c r="J455" s="154">
        <v>5</v>
      </c>
      <c r="K455" s="30" t="str">
        <f>IF(H455="","",IF($C$30="간이법","",FPR(H455,I455,J455)))</f>
        <v/>
      </c>
      <c r="L455" s="30">
        <f>IF(H455="","",IF($C$30="상세법",FPV(H455,K455),IF(H455="EI",4,IF(H455="EO",5.2,IF(H455="EQ",3.9,IF(H455="ILF",7.5,IF(H455="EIF",5.4)))))))</f>
        <v>3.9</v>
      </c>
      <c r="M455" s="30" t="str">
        <f t="shared" si="44"/>
        <v/>
      </c>
      <c r="N455" s="134"/>
      <c r="O455" s="29"/>
      <c r="P455" s="37" t="str">
        <f t="shared" si="45"/>
        <v/>
      </c>
      <c r="Q455" s="38" t="str">
        <f t="shared" si="46"/>
        <v/>
      </c>
      <c r="R455" s="37" t="str">
        <f t="shared" si="47"/>
        <v/>
      </c>
      <c r="S455" s="37" t="str">
        <f t="shared" si="48"/>
        <v/>
      </c>
      <c r="T455" s="38" t="str">
        <f t="shared" si="49"/>
        <v/>
      </c>
      <c r="U455" s="37" t="str">
        <f t="shared" si="50"/>
        <v/>
      </c>
    </row>
    <row r="456" spans="2:21" ht="17.25">
      <c r="B456" s="282" t="s">
        <v>846</v>
      </c>
      <c r="C456" s="156" t="s">
        <v>884</v>
      </c>
      <c r="D456" s="157" t="s">
        <v>893</v>
      </c>
      <c r="E456" s="281" t="s">
        <v>894</v>
      </c>
      <c r="F456" s="151" t="s">
        <v>127</v>
      </c>
      <c r="G456" s="152">
        <v>0</v>
      </c>
      <c r="H456" s="153" t="s">
        <v>8</v>
      </c>
      <c r="I456" s="154">
        <v>3</v>
      </c>
      <c r="J456" s="154">
        <v>7</v>
      </c>
      <c r="K456" s="30" t="str">
        <f>IF(H456="","",IF($C$30="간이법","",FPR(H456,I456,J456)))</f>
        <v/>
      </c>
      <c r="L456" s="30">
        <f>IF(H456="","",IF($C$30="상세법",FPV(H456,K456),IF(H456="EI",4,IF(H456="EO",5.2,IF(H456="EQ",3.9,IF(H456="ILF",7.5,IF(H456="EIF",5.4)))))))</f>
        <v>4</v>
      </c>
      <c r="M456" s="30" t="str">
        <f t="shared" si="44"/>
        <v/>
      </c>
      <c r="N456" s="134"/>
      <c r="O456" s="29"/>
      <c r="P456" s="37" t="str">
        <f t="shared" si="45"/>
        <v/>
      </c>
      <c r="Q456" s="38" t="str">
        <f t="shared" si="46"/>
        <v/>
      </c>
      <c r="R456" s="37" t="str">
        <f t="shared" si="47"/>
        <v/>
      </c>
      <c r="S456" s="37" t="str">
        <f t="shared" si="48"/>
        <v/>
      </c>
      <c r="T456" s="38" t="str">
        <f t="shared" si="49"/>
        <v/>
      </c>
      <c r="U456" s="37" t="str">
        <f t="shared" si="50"/>
        <v/>
      </c>
    </row>
    <row r="457" spans="2:21" ht="17.25">
      <c r="B457" s="282" t="s">
        <v>846</v>
      </c>
      <c r="C457" s="156" t="s">
        <v>884</v>
      </c>
      <c r="D457" s="157" t="s">
        <v>895</v>
      </c>
      <c r="E457" s="281" t="s">
        <v>896</v>
      </c>
      <c r="F457" s="151" t="s">
        <v>127</v>
      </c>
      <c r="G457" s="152">
        <v>0</v>
      </c>
      <c r="H457" s="153" t="s">
        <v>8</v>
      </c>
      <c r="I457" s="154">
        <v>3</v>
      </c>
      <c r="J457" s="154">
        <v>8</v>
      </c>
      <c r="K457" s="30" t="str">
        <f>IF(H457="","",IF($C$30="간이법","",FPR(H457,I457,J457)))</f>
        <v/>
      </c>
      <c r="L457" s="30">
        <f>IF(H457="","",IF($C$30="상세법",FPV(H457,K457),IF(H457="EI",4,IF(H457="EO",5.2,IF(H457="EQ",3.9,IF(H457="ILF",7.5,IF(H457="EIF",5.4)))))))</f>
        <v>4</v>
      </c>
      <c r="M457" s="30" t="str">
        <f t="shared" si="44"/>
        <v/>
      </c>
      <c r="N457" s="134"/>
      <c r="O457" s="29"/>
      <c r="P457" s="37" t="str">
        <f t="shared" si="45"/>
        <v/>
      </c>
      <c r="Q457" s="38" t="str">
        <f t="shared" si="46"/>
        <v/>
      </c>
      <c r="R457" s="37" t="str">
        <f t="shared" si="47"/>
        <v/>
      </c>
      <c r="S457" s="37" t="str">
        <f t="shared" si="48"/>
        <v/>
      </c>
      <c r="T457" s="38" t="str">
        <f t="shared" si="49"/>
        <v/>
      </c>
      <c r="U457" s="37" t="str">
        <f t="shared" si="50"/>
        <v/>
      </c>
    </row>
    <row r="458" spans="2:21" ht="17.25">
      <c r="B458" s="282" t="s">
        <v>846</v>
      </c>
      <c r="C458" s="156" t="s">
        <v>884</v>
      </c>
      <c r="D458" s="157" t="s">
        <v>897</v>
      </c>
      <c r="E458" s="281" t="s">
        <v>898</v>
      </c>
      <c r="F458" s="151" t="s">
        <v>127</v>
      </c>
      <c r="G458" s="152">
        <v>0</v>
      </c>
      <c r="H458" s="153" t="s">
        <v>8</v>
      </c>
      <c r="I458" s="154">
        <v>3</v>
      </c>
      <c r="J458" s="154">
        <v>8</v>
      </c>
      <c r="K458" s="30" t="str">
        <f>IF(H458="","",IF($C$30="간이법","",FPR(H458,I458,J458)))</f>
        <v/>
      </c>
      <c r="L458" s="30">
        <f>IF(H458="","",IF($C$30="상세법",FPV(H458,K458),IF(H458="EI",4,IF(H458="EO",5.2,IF(H458="EQ",3.9,IF(H458="ILF",7.5,IF(H458="EIF",5.4)))))))</f>
        <v>4</v>
      </c>
      <c r="M458" s="30" t="str">
        <f t="shared" si="44"/>
        <v/>
      </c>
      <c r="N458" s="134"/>
      <c r="O458" s="29"/>
      <c r="P458" s="37" t="str">
        <f t="shared" si="45"/>
        <v/>
      </c>
      <c r="Q458" s="38" t="str">
        <f t="shared" si="46"/>
        <v/>
      </c>
      <c r="R458" s="37" t="str">
        <f t="shared" si="47"/>
        <v/>
      </c>
      <c r="S458" s="37" t="str">
        <f t="shared" si="48"/>
        <v/>
      </c>
      <c r="T458" s="38" t="str">
        <f t="shared" si="49"/>
        <v/>
      </c>
      <c r="U458" s="37" t="str">
        <f t="shared" si="50"/>
        <v/>
      </c>
    </row>
    <row r="459" spans="2:21" ht="17.25">
      <c r="B459" s="282" t="s">
        <v>846</v>
      </c>
      <c r="C459" s="156" t="s">
        <v>884</v>
      </c>
      <c r="D459" s="157" t="s">
        <v>899</v>
      </c>
      <c r="E459" s="281" t="s">
        <v>899</v>
      </c>
      <c r="F459" s="151" t="s">
        <v>127</v>
      </c>
      <c r="G459" s="152">
        <v>0</v>
      </c>
      <c r="H459" s="153" t="s">
        <v>8</v>
      </c>
      <c r="I459" s="154">
        <v>3</v>
      </c>
      <c r="J459" s="154">
        <v>9</v>
      </c>
      <c r="K459" s="30" t="str">
        <f>IF(H459="","",IF($C$30="간이법","",FPR(H459,I459,J459)))</f>
        <v/>
      </c>
      <c r="L459" s="30">
        <f>IF(H459="","",IF($C$30="상세법",FPV(H459,K459),IF(H459="EI",4,IF(H459="EO",5.2,IF(H459="EQ",3.9,IF(H459="ILF",7.5,IF(H459="EIF",5.4)))))))</f>
        <v>4</v>
      </c>
      <c r="M459" s="30" t="str">
        <f t="shared" si="44"/>
        <v/>
      </c>
      <c r="N459" s="134"/>
      <c r="O459" s="29"/>
      <c r="P459" s="37" t="str">
        <f t="shared" si="45"/>
        <v/>
      </c>
      <c r="Q459" s="38" t="str">
        <f t="shared" si="46"/>
        <v/>
      </c>
      <c r="R459" s="37" t="str">
        <f t="shared" si="47"/>
        <v/>
      </c>
      <c r="S459" s="37" t="str">
        <f t="shared" si="48"/>
        <v/>
      </c>
      <c r="T459" s="38" t="str">
        <f t="shared" si="49"/>
        <v/>
      </c>
      <c r="U459" s="37" t="str">
        <f t="shared" si="50"/>
        <v/>
      </c>
    </row>
    <row r="460" spans="2:21" ht="27">
      <c r="B460" s="282" t="s">
        <v>846</v>
      </c>
      <c r="C460" s="156" t="s">
        <v>884</v>
      </c>
      <c r="D460" s="157" t="s">
        <v>900</v>
      </c>
      <c r="E460" s="281" t="s">
        <v>900</v>
      </c>
      <c r="F460" s="151" t="s">
        <v>127</v>
      </c>
      <c r="G460" s="152">
        <v>0</v>
      </c>
      <c r="H460" s="153" t="s">
        <v>8</v>
      </c>
      <c r="I460" s="154">
        <v>1</v>
      </c>
      <c r="J460" s="154">
        <v>7</v>
      </c>
      <c r="K460" s="30" t="str">
        <f>IF(H460="","",IF($C$30="간이법","",FPR(H460,I460,J460)))</f>
        <v/>
      </c>
      <c r="L460" s="30">
        <f>IF(H460="","",IF($C$30="상세법",FPV(H460,K460),IF(H460="EI",4,IF(H460="EO",5.2,IF(H460="EQ",3.9,IF(H460="ILF",7.5,IF(H460="EIF",5.4)))))))</f>
        <v>4</v>
      </c>
      <c r="M460" s="30" t="str">
        <f t="shared" si="44"/>
        <v/>
      </c>
      <c r="N460" s="134"/>
      <c r="O460" s="29"/>
      <c r="P460" s="37" t="str">
        <f t="shared" si="45"/>
        <v/>
      </c>
      <c r="Q460" s="38" t="str">
        <f t="shared" si="46"/>
        <v/>
      </c>
      <c r="R460" s="37" t="str">
        <f t="shared" si="47"/>
        <v/>
      </c>
      <c r="S460" s="37" t="str">
        <f t="shared" si="48"/>
        <v/>
      </c>
      <c r="T460" s="38" t="str">
        <f t="shared" si="49"/>
        <v/>
      </c>
      <c r="U460" s="37" t="str">
        <f t="shared" si="50"/>
        <v/>
      </c>
    </row>
    <row r="461" spans="2:21" ht="17.25">
      <c r="B461" s="282" t="s">
        <v>846</v>
      </c>
      <c r="C461" s="156" t="s">
        <v>884</v>
      </c>
      <c r="D461" s="157" t="s">
        <v>901</v>
      </c>
      <c r="E461" s="281" t="s">
        <v>902</v>
      </c>
      <c r="F461" s="151" t="s">
        <v>127</v>
      </c>
      <c r="G461" s="152">
        <v>0</v>
      </c>
      <c r="H461" s="153" t="s">
        <v>8</v>
      </c>
      <c r="I461" s="154">
        <v>3</v>
      </c>
      <c r="J461" s="154">
        <v>9</v>
      </c>
      <c r="K461" s="30" t="str">
        <f>IF(H461="","",IF($C$30="간이법","",FPR(H461,I461,J461)))</f>
        <v/>
      </c>
      <c r="L461" s="30">
        <f>IF(H461="","",IF($C$30="상세법",FPV(H461,K461),IF(H461="EI",4,IF(H461="EO",5.2,IF(H461="EQ",3.9,IF(H461="ILF",7.5,IF(H461="EIF",5.4)))))))</f>
        <v>4</v>
      </c>
      <c r="M461" s="30" t="str">
        <f t="shared" si="44"/>
        <v/>
      </c>
      <c r="N461" s="134"/>
      <c r="O461" s="29"/>
      <c r="P461" s="37" t="str">
        <f t="shared" si="45"/>
        <v/>
      </c>
      <c r="Q461" s="38" t="str">
        <f t="shared" si="46"/>
        <v/>
      </c>
      <c r="R461" s="37" t="str">
        <f t="shared" si="47"/>
        <v/>
      </c>
      <c r="S461" s="37" t="str">
        <f t="shared" si="48"/>
        <v/>
      </c>
      <c r="T461" s="38" t="str">
        <f t="shared" si="49"/>
        <v/>
      </c>
      <c r="U461" s="37" t="str">
        <f t="shared" si="50"/>
        <v/>
      </c>
    </row>
    <row r="462" spans="2:21" ht="17.25">
      <c r="B462" s="282" t="s">
        <v>846</v>
      </c>
      <c r="C462" s="156" t="s">
        <v>884</v>
      </c>
      <c r="D462" s="157" t="s">
        <v>903</v>
      </c>
      <c r="E462" s="281" t="s">
        <v>904</v>
      </c>
      <c r="F462" s="151" t="s">
        <v>127</v>
      </c>
      <c r="G462" s="152">
        <v>0</v>
      </c>
      <c r="H462" s="153" t="s">
        <v>8</v>
      </c>
      <c r="I462" s="154">
        <v>1</v>
      </c>
      <c r="J462" s="154">
        <v>5</v>
      </c>
      <c r="K462" s="30" t="str">
        <f>IF(H462="","",IF($C$30="간이법","",FPR(H462,I462,J462)))</f>
        <v/>
      </c>
      <c r="L462" s="30">
        <f>IF(H462="","",IF($C$30="상세법",FPV(H462,K462),IF(H462="EI",4,IF(H462="EO",5.2,IF(H462="EQ",3.9,IF(H462="ILF",7.5,IF(H462="EIF",5.4)))))))</f>
        <v>4</v>
      </c>
      <c r="M462" s="30" t="str">
        <f t="shared" si="44"/>
        <v/>
      </c>
      <c r="N462" s="134"/>
      <c r="O462" s="29"/>
      <c r="P462" s="37" t="str">
        <f t="shared" si="45"/>
        <v/>
      </c>
      <c r="Q462" s="38" t="str">
        <f t="shared" si="46"/>
        <v/>
      </c>
      <c r="R462" s="37" t="str">
        <f t="shared" si="47"/>
        <v/>
      </c>
      <c r="S462" s="37" t="str">
        <f t="shared" si="48"/>
        <v/>
      </c>
      <c r="T462" s="38" t="str">
        <f t="shared" si="49"/>
        <v/>
      </c>
      <c r="U462" s="37" t="str">
        <f t="shared" si="50"/>
        <v/>
      </c>
    </row>
    <row r="463" spans="2:21" ht="17.25">
      <c r="B463" s="282" t="s">
        <v>846</v>
      </c>
      <c r="C463" s="156" t="s">
        <v>884</v>
      </c>
      <c r="D463" s="157" t="s">
        <v>905</v>
      </c>
      <c r="E463" s="281" t="s">
        <v>906</v>
      </c>
      <c r="F463" s="151" t="s">
        <v>127</v>
      </c>
      <c r="G463" s="152">
        <v>0</v>
      </c>
      <c r="H463" s="153" t="s">
        <v>8</v>
      </c>
      <c r="I463" s="154">
        <v>3</v>
      </c>
      <c r="J463" s="154">
        <v>12</v>
      </c>
      <c r="K463" s="30" t="str">
        <f>IF(H463="","",IF($C$30="간이법","",FPR(H463,I463,J463)))</f>
        <v/>
      </c>
      <c r="L463" s="30">
        <f>IF(H463="","",IF($C$30="상세법",FPV(H463,K463),IF(H463="EI",4,IF(H463="EO",5.2,IF(H463="EQ",3.9,IF(H463="ILF",7.5,IF(H463="EIF",5.4)))))))</f>
        <v>4</v>
      </c>
      <c r="M463" s="30" t="str">
        <f t="shared" si="44"/>
        <v/>
      </c>
      <c r="N463" s="134"/>
      <c r="O463" s="29"/>
      <c r="P463" s="37" t="str">
        <f t="shared" si="45"/>
        <v/>
      </c>
      <c r="Q463" s="38" t="str">
        <f t="shared" si="46"/>
        <v/>
      </c>
      <c r="R463" s="37" t="str">
        <f t="shared" si="47"/>
        <v/>
      </c>
      <c r="S463" s="37" t="str">
        <f t="shared" si="48"/>
        <v/>
      </c>
      <c r="T463" s="38" t="str">
        <f t="shared" si="49"/>
        <v/>
      </c>
      <c r="U463" s="37" t="str">
        <f t="shared" si="50"/>
        <v/>
      </c>
    </row>
    <row r="464" spans="2:21" ht="27">
      <c r="B464" s="282" t="s">
        <v>846</v>
      </c>
      <c r="C464" s="156" t="s">
        <v>884</v>
      </c>
      <c r="D464" s="157" t="s">
        <v>907</v>
      </c>
      <c r="E464" s="281" t="s">
        <v>907</v>
      </c>
      <c r="F464" s="151" t="s">
        <v>127</v>
      </c>
      <c r="G464" s="152">
        <v>0</v>
      </c>
      <c r="H464" s="153" t="s">
        <v>8</v>
      </c>
      <c r="I464" s="154">
        <v>2</v>
      </c>
      <c r="J464" s="154">
        <v>6</v>
      </c>
      <c r="K464" s="30" t="str">
        <f>IF(H464="","",IF($C$30="간이법","",FPR(H464,I464,J464)))</f>
        <v/>
      </c>
      <c r="L464" s="30">
        <f>IF(H464="","",IF($C$30="상세법",FPV(H464,K464),IF(H464="EI",4,IF(H464="EO",5.2,IF(H464="EQ",3.9,IF(H464="ILF",7.5,IF(H464="EIF",5.4)))))))</f>
        <v>4</v>
      </c>
      <c r="M464" s="30" t="str">
        <f t="shared" si="44"/>
        <v/>
      </c>
      <c r="N464" s="134"/>
      <c r="O464" s="29"/>
      <c r="P464" s="37" t="str">
        <f t="shared" si="45"/>
        <v/>
      </c>
      <c r="Q464" s="38" t="str">
        <f t="shared" si="46"/>
        <v/>
      </c>
      <c r="R464" s="37" t="str">
        <f t="shared" si="47"/>
        <v/>
      </c>
      <c r="S464" s="37" t="str">
        <f t="shared" si="48"/>
        <v/>
      </c>
      <c r="T464" s="38" t="str">
        <f t="shared" si="49"/>
        <v/>
      </c>
      <c r="U464" s="37" t="str">
        <f t="shared" si="50"/>
        <v/>
      </c>
    </row>
    <row r="465" spans="2:21" ht="17.25">
      <c r="B465" s="282" t="s">
        <v>846</v>
      </c>
      <c r="C465" s="156" t="s">
        <v>908</v>
      </c>
      <c r="D465" s="157" t="s">
        <v>909</v>
      </c>
      <c r="E465" s="281" t="s">
        <v>910</v>
      </c>
      <c r="F465" s="151" t="s">
        <v>127</v>
      </c>
      <c r="G465" s="152">
        <v>0</v>
      </c>
      <c r="H465" s="153" t="s">
        <v>70</v>
      </c>
      <c r="I465" s="154">
        <v>1</v>
      </c>
      <c r="J465" s="154">
        <v>4</v>
      </c>
      <c r="K465" s="30" t="str">
        <f>IF(H465="","",IF($C$30="간이법","",FPR(H465,I465,J465)))</f>
        <v/>
      </c>
      <c r="L465" s="30">
        <f>IF(H465="","",IF($C$30="상세법",FPV(H465,K465),IF(H465="EI",4,IF(H465="EO",5.2,IF(H465="EQ",3.9,IF(H465="ILF",7.5,IF(H465="EIF",5.4)))))))</f>
        <v>3.9</v>
      </c>
      <c r="M465" s="30" t="str">
        <f t="shared" si="44"/>
        <v/>
      </c>
      <c r="N465" s="134"/>
      <c r="O465" s="29"/>
      <c r="P465" s="37" t="str">
        <f t="shared" si="45"/>
        <v/>
      </c>
      <c r="Q465" s="38" t="str">
        <f t="shared" si="46"/>
        <v/>
      </c>
      <c r="R465" s="37" t="str">
        <f t="shared" si="47"/>
        <v/>
      </c>
      <c r="S465" s="37" t="str">
        <f t="shared" si="48"/>
        <v/>
      </c>
      <c r="T465" s="38" t="str">
        <f t="shared" si="49"/>
        <v/>
      </c>
      <c r="U465" s="37" t="str">
        <f t="shared" si="50"/>
        <v/>
      </c>
    </row>
    <row r="466" spans="2:21" ht="17.25">
      <c r="B466" s="282" t="s">
        <v>846</v>
      </c>
      <c r="C466" s="156" t="s">
        <v>908</v>
      </c>
      <c r="D466" s="157" t="s">
        <v>911</v>
      </c>
      <c r="E466" s="281" t="s">
        <v>912</v>
      </c>
      <c r="F466" s="151" t="s">
        <v>127</v>
      </c>
      <c r="G466" s="152">
        <v>0</v>
      </c>
      <c r="H466" s="153" t="s">
        <v>70</v>
      </c>
      <c r="I466" s="154">
        <v>1</v>
      </c>
      <c r="J466" s="154">
        <v>5</v>
      </c>
      <c r="K466" s="30" t="str">
        <f>IF(H466="","",IF($C$30="간이법","",FPR(H466,I466,J466)))</f>
        <v/>
      </c>
      <c r="L466" s="30">
        <f>IF(H466="","",IF($C$30="상세법",FPV(H466,K466),IF(H466="EI",4,IF(H466="EO",5.2,IF(H466="EQ",3.9,IF(H466="ILF",7.5,IF(H466="EIF",5.4)))))))</f>
        <v>3.9</v>
      </c>
      <c r="M466" s="30" t="str">
        <f t="shared" si="44"/>
        <v/>
      </c>
      <c r="N466" s="134"/>
      <c r="O466" s="29"/>
      <c r="P466" s="37" t="str">
        <f t="shared" si="45"/>
        <v/>
      </c>
      <c r="Q466" s="38" t="str">
        <f t="shared" si="46"/>
        <v/>
      </c>
      <c r="R466" s="37" t="str">
        <f t="shared" si="47"/>
        <v/>
      </c>
      <c r="S466" s="37" t="str">
        <f t="shared" si="48"/>
        <v/>
      </c>
      <c r="T466" s="38" t="str">
        <f t="shared" si="49"/>
        <v/>
      </c>
      <c r="U466" s="37" t="str">
        <f t="shared" si="50"/>
        <v/>
      </c>
    </row>
    <row r="467" spans="2:21" ht="17.25">
      <c r="B467" s="282" t="s">
        <v>846</v>
      </c>
      <c r="C467" s="156" t="s">
        <v>908</v>
      </c>
      <c r="D467" s="157" t="s">
        <v>913</v>
      </c>
      <c r="E467" s="281" t="s">
        <v>914</v>
      </c>
      <c r="F467" s="151" t="s">
        <v>127</v>
      </c>
      <c r="G467" s="152">
        <v>0</v>
      </c>
      <c r="H467" s="153" t="s">
        <v>70</v>
      </c>
      <c r="I467" s="154">
        <v>1</v>
      </c>
      <c r="J467" s="154">
        <v>8</v>
      </c>
      <c r="K467" s="30" t="str">
        <f>IF(H467="","",IF($C$30="간이법","",FPR(H467,I467,J467)))</f>
        <v/>
      </c>
      <c r="L467" s="30">
        <f>IF(H467="","",IF($C$30="상세법",FPV(H467,K467),IF(H467="EI",4,IF(H467="EO",5.2,IF(H467="EQ",3.9,IF(H467="ILF",7.5,IF(H467="EIF",5.4)))))))</f>
        <v>3.9</v>
      </c>
      <c r="M467" s="30" t="str">
        <f t="shared" si="44"/>
        <v/>
      </c>
      <c r="N467" s="134"/>
      <c r="O467" s="29"/>
      <c r="P467" s="37" t="str">
        <f t="shared" si="45"/>
        <v/>
      </c>
      <c r="Q467" s="38" t="str">
        <f t="shared" si="46"/>
        <v/>
      </c>
      <c r="R467" s="37" t="str">
        <f t="shared" si="47"/>
        <v/>
      </c>
      <c r="S467" s="37" t="str">
        <f t="shared" si="48"/>
        <v/>
      </c>
      <c r="T467" s="38" t="str">
        <f t="shared" si="49"/>
        <v/>
      </c>
      <c r="U467" s="37" t="str">
        <f t="shared" si="50"/>
        <v/>
      </c>
    </row>
    <row r="468" spans="2:21" ht="17.25">
      <c r="B468" s="282" t="s">
        <v>846</v>
      </c>
      <c r="C468" s="156" t="s">
        <v>908</v>
      </c>
      <c r="D468" s="157" t="s">
        <v>915</v>
      </c>
      <c r="E468" s="281" t="s">
        <v>916</v>
      </c>
      <c r="F468" s="151" t="s">
        <v>127</v>
      </c>
      <c r="G468" s="152">
        <v>0</v>
      </c>
      <c r="H468" s="153" t="s">
        <v>8</v>
      </c>
      <c r="I468" s="154">
        <v>2</v>
      </c>
      <c r="J468" s="154">
        <v>46</v>
      </c>
      <c r="K468" s="30" t="str">
        <f>IF(H468="","",IF($C$30="간이법","",FPR(H468,I468,J468)))</f>
        <v/>
      </c>
      <c r="L468" s="30">
        <f>IF(H468="","",IF($C$30="상세법",FPV(H468,K468),IF(H468="EI",4,IF(H468="EO",5.2,IF(H468="EQ",3.9,IF(H468="ILF",7.5,IF(H468="EIF",5.4)))))))</f>
        <v>4</v>
      </c>
      <c r="M468" s="30" t="str">
        <f t="shared" si="44"/>
        <v/>
      </c>
      <c r="N468" s="134"/>
      <c r="O468" s="29"/>
      <c r="P468" s="37" t="str">
        <f t="shared" si="45"/>
        <v/>
      </c>
      <c r="Q468" s="38" t="str">
        <f t="shared" si="46"/>
        <v/>
      </c>
      <c r="R468" s="37" t="str">
        <f t="shared" si="47"/>
        <v/>
      </c>
      <c r="S468" s="37" t="str">
        <f t="shared" si="48"/>
        <v/>
      </c>
      <c r="T468" s="38" t="str">
        <f t="shared" si="49"/>
        <v/>
      </c>
      <c r="U468" s="37" t="str">
        <f t="shared" si="50"/>
        <v/>
      </c>
    </row>
    <row r="469" spans="2:21" ht="17.25">
      <c r="B469" s="282" t="s">
        <v>846</v>
      </c>
      <c r="C469" s="156" t="s">
        <v>908</v>
      </c>
      <c r="D469" s="157" t="s">
        <v>917</v>
      </c>
      <c r="E469" s="281" t="s">
        <v>918</v>
      </c>
      <c r="F469" s="151" t="s">
        <v>127</v>
      </c>
      <c r="G469" s="152">
        <v>0</v>
      </c>
      <c r="H469" s="153" t="s">
        <v>8</v>
      </c>
      <c r="I469" s="154">
        <v>1</v>
      </c>
      <c r="J469" s="154">
        <v>4</v>
      </c>
      <c r="K469" s="30" t="str">
        <f>IF(H469="","",IF($C$30="간이법","",FPR(H469,I469,J469)))</f>
        <v/>
      </c>
      <c r="L469" s="30">
        <f>IF(H469="","",IF($C$30="상세법",FPV(H469,K469),IF(H469="EI",4,IF(H469="EO",5.2,IF(H469="EQ",3.9,IF(H469="ILF",7.5,IF(H469="EIF",5.4)))))))</f>
        <v>4</v>
      </c>
      <c r="M469" s="30" t="str">
        <f t="shared" si="44"/>
        <v/>
      </c>
      <c r="N469" s="134"/>
      <c r="O469" s="29"/>
      <c r="P469" s="37" t="str">
        <f t="shared" si="45"/>
        <v/>
      </c>
      <c r="Q469" s="38" t="str">
        <f t="shared" si="46"/>
        <v/>
      </c>
      <c r="R469" s="37" t="str">
        <f t="shared" si="47"/>
        <v/>
      </c>
      <c r="S469" s="37" t="str">
        <f t="shared" si="48"/>
        <v/>
      </c>
      <c r="T469" s="38" t="str">
        <f t="shared" si="49"/>
        <v/>
      </c>
      <c r="U469" s="37" t="str">
        <f t="shared" si="50"/>
        <v/>
      </c>
    </row>
    <row r="470" spans="2:21" ht="17.25">
      <c r="B470" s="282" t="s">
        <v>846</v>
      </c>
      <c r="C470" s="156" t="s">
        <v>908</v>
      </c>
      <c r="D470" s="157" t="s">
        <v>919</v>
      </c>
      <c r="E470" s="281" t="s">
        <v>920</v>
      </c>
      <c r="F470" s="151" t="s">
        <v>127</v>
      </c>
      <c r="G470" s="152">
        <v>0</v>
      </c>
      <c r="H470" s="153" t="s">
        <v>8</v>
      </c>
      <c r="I470" s="154">
        <v>2</v>
      </c>
      <c r="J470" s="154">
        <v>46</v>
      </c>
      <c r="K470" s="30" t="str">
        <f>IF(H470="","",IF($C$30="간이법","",FPR(H470,I470,J470)))</f>
        <v/>
      </c>
      <c r="L470" s="30">
        <f>IF(H470="","",IF($C$30="상세법",FPV(H470,K470),IF(H470="EI",4,IF(H470="EO",5.2,IF(H470="EQ",3.9,IF(H470="ILF",7.5,IF(H470="EIF",5.4)))))))</f>
        <v>4</v>
      </c>
      <c r="M470" s="30" t="str">
        <f t="shared" si="44"/>
        <v/>
      </c>
      <c r="N470" s="134"/>
      <c r="O470" s="29"/>
      <c r="P470" s="37" t="str">
        <f t="shared" si="45"/>
        <v/>
      </c>
      <c r="Q470" s="38" t="str">
        <f t="shared" si="46"/>
        <v/>
      </c>
      <c r="R470" s="37" t="str">
        <f t="shared" si="47"/>
        <v/>
      </c>
      <c r="S470" s="37" t="str">
        <f t="shared" si="48"/>
        <v/>
      </c>
      <c r="T470" s="38" t="str">
        <f t="shared" si="49"/>
        <v/>
      </c>
      <c r="U470" s="37" t="str">
        <f t="shared" si="50"/>
        <v/>
      </c>
    </row>
    <row r="471" spans="2:21" ht="27">
      <c r="B471" s="282" t="s">
        <v>846</v>
      </c>
      <c r="C471" s="156" t="s">
        <v>908</v>
      </c>
      <c r="D471" s="157" t="s">
        <v>921</v>
      </c>
      <c r="E471" s="281" t="s">
        <v>922</v>
      </c>
      <c r="F471" s="151" t="s">
        <v>127</v>
      </c>
      <c r="G471" s="152">
        <v>0</v>
      </c>
      <c r="H471" s="153" t="s">
        <v>8</v>
      </c>
      <c r="I471" s="154">
        <v>1</v>
      </c>
      <c r="J471" s="154">
        <v>4</v>
      </c>
      <c r="K471" s="30" t="str">
        <f>IF(H471="","",IF($C$30="간이법","",FPR(H471,I471,J471)))</f>
        <v/>
      </c>
      <c r="L471" s="30">
        <f>IF(H471="","",IF($C$30="상세법",FPV(H471,K471),IF(H471="EI",4,IF(H471="EO",5.2,IF(H471="EQ",3.9,IF(H471="ILF",7.5,IF(H471="EIF",5.4)))))))</f>
        <v>4</v>
      </c>
      <c r="M471" s="30" t="str">
        <f t="shared" si="44"/>
        <v/>
      </c>
      <c r="N471" s="134"/>
      <c r="O471" s="29"/>
      <c r="P471" s="37" t="str">
        <f t="shared" si="45"/>
        <v/>
      </c>
      <c r="Q471" s="38" t="str">
        <f t="shared" si="46"/>
        <v/>
      </c>
      <c r="R471" s="37" t="str">
        <f t="shared" si="47"/>
        <v/>
      </c>
      <c r="S471" s="37" t="str">
        <f t="shared" si="48"/>
        <v/>
      </c>
      <c r="T471" s="38" t="str">
        <f t="shared" si="49"/>
        <v/>
      </c>
      <c r="U471" s="37" t="str">
        <f t="shared" si="50"/>
        <v/>
      </c>
    </row>
    <row r="472" spans="2:21" ht="27">
      <c r="B472" s="282" t="s">
        <v>846</v>
      </c>
      <c r="C472" s="156" t="s">
        <v>908</v>
      </c>
      <c r="D472" s="157" t="s">
        <v>923</v>
      </c>
      <c r="E472" s="281" t="s">
        <v>924</v>
      </c>
      <c r="F472" s="151" t="s">
        <v>127</v>
      </c>
      <c r="G472" s="152">
        <v>0</v>
      </c>
      <c r="H472" s="153" t="s">
        <v>8</v>
      </c>
      <c r="I472" s="154">
        <v>2</v>
      </c>
      <c r="J472" s="154">
        <v>46</v>
      </c>
      <c r="K472" s="30" t="str">
        <f>IF(H472="","",IF($C$30="간이법","",FPR(H472,I472,J472)))</f>
        <v/>
      </c>
      <c r="L472" s="30">
        <f>IF(H472="","",IF($C$30="상세법",FPV(H472,K472),IF(H472="EI",4,IF(H472="EO",5.2,IF(H472="EQ",3.9,IF(H472="ILF",7.5,IF(H472="EIF",5.4)))))))</f>
        <v>4</v>
      </c>
      <c r="M472" s="30" t="str">
        <f t="shared" si="44"/>
        <v/>
      </c>
      <c r="N472" s="134"/>
      <c r="O472" s="29"/>
      <c r="P472" s="37" t="str">
        <f t="shared" si="45"/>
        <v/>
      </c>
      <c r="Q472" s="38" t="str">
        <f t="shared" si="46"/>
        <v/>
      </c>
      <c r="R472" s="37" t="str">
        <f t="shared" si="47"/>
        <v/>
      </c>
      <c r="S472" s="37" t="str">
        <f t="shared" si="48"/>
        <v/>
      </c>
      <c r="T472" s="38" t="str">
        <f t="shared" si="49"/>
        <v/>
      </c>
      <c r="U472" s="37" t="str">
        <f t="shared" si="50"/>
        <v/>
      </c>
    </row>
    <row r="473" spans="2:21" ht="27">
      <c r="B473" s="282" t="s">
        <v>846</v>
      </c>
      <c r="C473" s="156" t="s">
        <v>908</v>
      </c>
      <c r="D473" s="157" t="s">
        <v>925</v>
      </c>
      <c r="E473" s="281" t="s">
        <v>926</v>
      </c>
      <c r="F473" s="151" t="s">
        <v>127</v>
      </c>
      <c r="G473" s="152">
        <v>0</v>
      </c>
      <c r="H473" s="153" t="s">
        <v>8</v>
      </c>
      <c r="I473" s="154">
        <v>1</v>
      </c>
      <c r="J473" s="154">
        <v>4</v>
      </c>
      <c r="K473" s="30" t="str">
        <f>IF(H473="","",IF($C$30="간이법","",FPR(H473,I473,J473)))</f>
        <v/>
      </c>
      <c r="L473" s="30">
        <f>IF(H473="","",IF($C$30="상세법",FPV(H473,K473),IF(H473="EI",4,IF(H473="EO",5.2,IF(H473="EQ",3.9,IF(H473="ILF",7.5,IF(H473="EIF",5.4)))))))</f>
        <v>4</v>
      </c>
      <c r="M473" s="30" t="str">
        <f t="shared" si="44"/>
        <v/>
      </c>
      <c r="N473" s="134"/>
      <c r="O473" s="29"/>
      <c r="P473" s="37" t="str">
        <f t="shared" si="45"/>
        <v/>
      </c>
      <c r="Q473" s="38" t="str">
        <f t="shared" si="46"/>
        <v/>
      </c>
      <c r="R473" s="37" t="str">
        <f t="shared" si="47"/>
        <v/>
      </c>
      <c r="S473" s="37" t="str">
        <f t="shared" si="48"/>
        <v/>
      </c>
      <c r="T473" s="38" t="str">
        <f t="shared" si="49"/>
        <v/>
      </c>
      <c r="U473" s="37" t="str">
        <f t="shared" si="50"/>
        <v/>
      </c>
    </row>
    <row r="474" spans="2:21" ht="27">
      <c r="B474" s="282" t="s">
        <v>846</v>
      </c>
      <c r="C474" s="156" t="s">
        <v>927</v>
      </c>
      <c r="D474" s="157" t="s">
        <v>928</v>
      </c>
      <c r="E474" s="281" t="s">
        <v>929</v>
      </c>
      <c r="F474" s="151" t="s">
        <v>127</v>
      </c>
      <c r="G474" s="152">
        <v>0</v>
      </c>
      <c r="H474" s="153" t="s">
        <v>70</v>
      </c>
      <c r="I474" s="154">
        <v>1</v>
      </c>
      <c r="J474" s="154">
        <v>4</v>
      </c>
      <c r="K474" s="30" t="str">
        <f>IF(H474="","",IF($C$30="간이법","",FPR(H474,I474,J474)))</f>
        <v/>
      </c>
      <c r="L474" s="30">
        <f>IF(H474="","",IF($C$30="상세법",FPV(H474,K474),IF(H474="EI",4,IF(H474="EO",5.2,IF(H474="EQ",3.9,IF(H474="ILF",7.5,IF(H474="EIF",5.4)))))))</f>
        <v>3.9</v>
      </c>
      <c r="M474" s="30" t="str">
        <f t="shared" si="44"/>
        <v/>
      </c>
      <c r="N474" s="134"/>
      <c r="O474" s="29"/>
      <c r="P474" s="37" t="str">
        <f t="shared" si="45"/>
        <v/>
      </c>
      <c r="Q474" s="38" t="str">
        <f t="shared" si="46"/>
        <v/>
      </c>
      <c r="R474" s="37" t="str">
        <f t="shared" si="47"/>
        <v/>
      </c>
      <c r="S474" s="37" t="str">
        <f t="shared" si="48"/>
        <v/>
      </c>
      <c r="T474" s="38" t="str">
        <f t="shared" si="49"/>
        <v/>
      </c>
      <c r="U474" s="37" t="str">
        <f t="shared" si="50"/>
        <v/>
      </c>
    </row>
    <row r="475" spans="2:21" ht="27">
      <c r="B475" s="282" t="s">
        <v>846</v>
      </c>
      <c r="C475" s="156" t="s">
        <v>927</v>
      </c>
      <c r="D475" s="157" t="s">
        <v>930</v>
      </c>
      <c r="E475" s="281" t="s">
        <v>931</v>
      </c>
      <c r="F475" s="151" t="s">
        <v>127</v>
      </c>
      <c r="G475" s="152">
        <v>0</v>
      </c>
      <c r="H475" s="153" t="s">
        <v>70</v>
      </c>
      <c r="I475" s="154">
        <v>1</v>
      </c>
      <c r="J475" s="154">
        <v>5</v>
      </c>
      <c r="K475" s="30" t="str">
        <f>IF(H475="","",IF($C$30="간이법","",FPR(H475,I475,J475)))</f>
        <v/>
      </c>
      <c r="L475" s="30">
        <f>IF(H475="","",IF($C$30="상세법",FPV(H475,K475),IF(H475="EI",4,IF(H475="EO",5.2,IF(H475="EQ",3.9,IF(H475="ILF",7.5,IF(H475="EIF",5.4)))))))</f>
        <v>3.9</v>
      </c>
      <c r="M475" s="30" t="str">
        <f t="shared" si="44"/>
        <v/>
      </c>
      <c r="N475" s="134"/>
      <c r="O475" s="29"/>
      <c r="P475" s="37" t="str">
        <f t="shared" si="45"/>
        <v/>
      </c>
      <c r="Q475" s="38" t="str">
        <f t="shared" si="46"/>
        <v/>
      </c>
      <c r="R475" s="37" t="str">
        <f t="shared" si="47"/>
        <v/>
      </c>
      <c r="S475" s="37" t="str">
        <f t="shared" si="48"/>
        <v/>
      </c>
      <c r="T475" s="38" t="str">
        <f t="shared" si="49"/>
        <v/>
      </c>
      <c r="U475" s="37" t="str">
        <f t="shared" si="50"/>
        <v/>
      </c>
    </row>
    <row r="476" spans="2:21" ht="27">
      <c r="B476" s="282" t="s">
        <v>846</v>
      </c>
      <c r="C476" s="156" t="s">
        <v>927</v>
      </c>
      <c r="D476" s="157" t="s">
        <v>932</v>
      </c>
      <c r="E476" s="281" t="s">
        <v>933</v>
      </c>
      <c r="F476" s="151" t="s">
        <v>127</v>
      </c>
      <c r="G476" s="152">
        <v>0</v>
      </c>
      <c r="H476" s="153" t="s">
        <v>70</v>
      </c>
      <c r="I476" s="154">
        <v>1</v>
      </c>
      <c r="J476" s="154">
        <v>6</v>
      </c>
      <c r="K476" s="30" t="str">
        <f>IF(H476="","",IF($C$30="간이법","",FPR(H476,I476,J476)))</f>
        <v/>
      </c>
      <c r="L476" s="30">
        <f>IF(H476="","",IF($C$30="상세법",FPV(H476,K476),IF(H476="EI",4,IF(H476="EO",5.2,IF(H476="EQ",3.9,IF(H476="ILF",7.5,IF(H476="EIF",5.4)))))))</f>
        <v>3.9</v>
      </c>
      <c r="M476" s="30" t="str">
        <f t="shared" si="44"/>
        <v/>
      </c>
      <c r="N476" s="134"/>
      <c r="O476" s="29"/>
      <c r="P476" s="37" t="str">
        <f t="shared" si="45"/>
        <v/>
      </c>
      <c r="Q476" s="38" t="str">
        <f t="shared" si="46"/>
        <v/>
      </c>
      <c r="R476" s="37" t="str">
        <f t="shared" si="47"/>
        <v/>
      </c>
      <c r="S476" s="37" t="str">
        <f t="shared" si="48"/>
        <v/>
      </c>
      <c r="T476" s="38" t="str">
        <f t="shared" si="49"/>
        <v/>
      </c>
      <c r="U476" s="37" t="str">
        <f t="shared" si="50"/>
        <v/>
      </c>
    </row>
    <row r="477" spans="2:21" ht="27">
      <c r="B477" s="282" t="s">
        <v>846</v>
      </c>
      <c r="C477" s="156" t="s">
        <v>927</v>
      </c>
      <c r="D477" s="157" t="s">
        <v>934</v>
      </c>
      <c r="E477" s="281" t="s">
        <v>935</v>
      </c>
      <c r="F477" s="151" t="s">
        <v>127</v>
      </c>
      <c r="G477" s="152">
        <v>0</v>
      </c>
      <c r="H477" s="153" t="s">
        <v>70</v>
      </c>
      <c r="I477" s="154">
        <v>1</v>
      </c>
      <c r="J477" s="154">
        <v>5</v>
      </c>
      <c r="K477" s="30" t="str">
        <f>IF(H477="","",IF($C$30="간이법","",FPR(H477,I477,J477)))</f>
        <v/>
      </c>
      <c r="L477" s="30">
        <f>IF(H477="","",IF($C$30="상세법",FPV(H477,K477),IF(H477="EI",4,IF(H477="EO",5.2,IF(H477="EQ",3.9,IF(H477="ILF",7.5,IF(H477="EIF",5.4)))))))</f>
        <v>3.9</v>
      </c>
      <c r="M477" s="30" t="str">
        <f t="shared" si="44"/>
        <v/>
      </c>
      <c r="N477" s="134"/>
      <c r="O477" s="29"/>
      <c r="P477" s="37" t="str">
        <f t="shared" si="45"/>
        <v/>
      </c>
      <c r="Q477" s="38" t="str">
        <f t="shared" si="46"/>
        <v/>
      </c>
      <c r="R477" s="37" t="str">
        <f t="shared" si="47"/>
        <v/>
      </c>
      <c r="S477" s="37" t="str">
        <f t="shared" si="48"/>
        <v/>
      </c>
      <c r="T477" s="38" t="str">
        <f t="shared" si="49"/>
        <v/>
      </c>
      <c r="U477" s="37" t="str">
        <f t="shared" si="50"/>
        <v/>
      </c>
    </row>
    <row r="478" spans="2:21" ht="27">
      <c r="B478" s="282" t="s">
        <v>846</v>
      </c>
      <c r="C478" s="156" t="s">
        <v>927</v>
      </c>
      <c r="D478" s="157" t="s">
        <v>936</v>
      </c>
      <c r="E478" s="281" t="s">
        <v>937</v>
      </c>
      <c r="F478" s="151" t="s">
        <v>127</v>
      </c>
      <c r="G478" s="152">
        <v>0</v>
      </c>
      <c r="H478" s="153" t="s">
        <v>70</v>
      </c>
      <c r="I478" s="154">
        <v>1</v>
      </c>
      <c r="J478" s="154">
        <v>4</v>
      </c>
      <c r="K478" s="30" t="str">
        <f>IF(H478="","",IF($C$30="간이법","",FPR(H478,I478,J478)))</f>
        <v/>
      </c>
      <c r="L478" s="30">
        <f>IF(H478="","",IF($C$30="상세법",FPV(H478,K478),IF(H478="EI",4,IF(H478="EO",5.2,IF(H478="EQ",3.9,IF(H478="ILF",7.5,IF(H478="EIF",5.4)))))))</f>
        <v>3.9</v>
      </c>
      <c r="M478" s="30" t="str">
        <f t="shared" si="44"/>
        <v/>
      </c>
      <c r="N478" s="134"/>
      <c r="O478" s="29"/>
      <c r="P478" s="37" t="str">
        <f t="shared" si="45"/>
        <v/>
      </c>
      <c r="Q478" s="38" t="str">
        <f t="shared" si="46"/>
        <v/>
      </c>
      <c r="R478" s="37" t="str">
        <f t="shared" si="47"/>
        <v/>
      </c>
      <c r="S478" s="37" t="str">
        <f t="shared" si="48"/>
        <v/>
      </c>
      <c r="T478" s="38" t="str">
        <f t="shared" si="49"/>
        <v/>
      </c>
      <c r="U478" s="37" t="str">
        <f t="shared" si="50"/>
        <v/>
      </c>
    </row>
    <row r="479" spans="2:21" ht="27">
      <c r="B479" s="282" t="s">
        <v>846</v>
      </c>
      <c r="C479" s="156" t="s">
        <v>927</v>
      </c>
      <c r="D479" s="157" t="s">
        <v>938</v>
      </c>
      <c r="E479" s="281" t="s">
        <v>939</v>
      </c>
      <c r="F479" s="151" t="s">
        <v>127</v>
      </c>
      <c r="G479" s="152">
        <v>0</v>
      </c>
      <c r="H479" s="153" t="s">
        <v>70</v>
      </c>
      <c r="I479" s="154">
        <v>1</v>
      </c>
      <c r="J479" s="154">
        <v>5</v>
      </c>
      <c r="K479" s="30" t="str">
        <f>IF(H479="","",IF($C$30="간이법","",FPR(H479,I479,J479)))</f>
        <v/>
      </c>
      <c r="L479" s="30">
        <f>IF(H479="","",IF($C$30="상세법",FPV(H479,K479),IF(H479="EI",4,IF(H479="EO",5.2,IF(H479="EQ",3.9,IF(H479="ILF",7.5,IF(H479="EIF",5.4)))))))</f>
        <v>3.9</v>
      </c>
      <c r="M479" s="30" t="str">
        <f t="shared" si="44"/>
        <v/>
      </c>
      <c r="N479" s="134"/>
      <c r="O479" s="29"/>
      <c r="P479" s="37" t="str">
        <f t="shared" si="45"/>
        <v/>
      </c>
      <c r="Q479" s="38" t="str">
        <f t="shared" si="46"/>
        <v/>
      </c>
      <c r="R479" s="37" t="str">
        <f t="shared" si="47"/>
        <v/>
      </c>
      <c r="S479" s="37" t="str">
        <f t="shared" si="48"/>
        <v/>
      </c>
      <c r="T479" s="38" t="str">
        <f t="shared" si="49"/>
        <v/>
      </c>
      <c r="U479" s="37" t="str">
        <f t="shared" si="50"/>
        <v/>
      </c>
    </row>
    <row r="480" spans="2:21" ht="27">
      <c r="B480" s="282" t="s">
        <v>940</v>
      </c>
      <c r="C480" s="156" t="s">
        <v>941</v>
      </c>
      <c r="D480" s="157" t="s">
        <v>942</v>
      </c>
      <c r="E480" s="281" t="s">
        <v>943</v>
      </c>
      <c r="F480" s="151" t="s">
        <v>127</v>
      </c>
      <c r="G480" s="152">
        <v>0</v>
      </c>
      <c r="H480" s="153" t="s">
        <v>70</v>
      </c>
      <c r="I480" s="154">
        <v>1</v>
      </c>
      <c r="J480" s="154">
        <v>4</v>
      </c>
      <c r="K480" s="30" t="str">
        <f>IF(H480="","",IF($C$30="간이법","",FPR(H480,I480,J480)))</f>
        <v/>
      </c>
      <c r="L480" s="30">
        <f>IF(H480="","",IF($C$30="상세법",FPV(H480,K480),IF(H480="EI",4,IF(H480="EO",5.2,IF(H480="EQ",3.9,IF(H480="ILF",7.5,IF(H480="EIF",5.4)))))))</f>
        <v>3.9</v>
      </c>
      <c r="M480" s="30" t="str">
        <f t="shared" si="44"/>
        <v/>
      </c>
      <c r="N480" s="134"/>
      <c r="O480" s="29"/>
      <c r="P480" s="37" t="str">
        <f t="shared" si="45"/>
        <v/>
      </c>
      <c r="Q480" s="38" t="str">
        <f t="shared" si="46"/>
        <v/>
      </c>
      <c r="R480" s="37" t="str">
        <f t="shared" si="47"/>
        <v/>
      </c>
      <c r="S480" s="37" t="str">
        <f t="shared" si="48"/>
        <v/>
      </c>
      <c r="T480" s="38" t="str">
        <f t="shared" si="49"/>
        <v/>
      </c>
      <c r="U480" s="37" t="str">
        <f t="shared" si="50"/>
        <v/>
      </c>
    </row>
    <row r="481" spans="2:21" ht="27">
      <c r="B481" s="282" t="s">
        <v>940</v>
      </c>
      <c r="C481" s="156" t="s">
        <v>941</v>
      </c>
      <c r="D481" s="157" t="s">
        <v>944</v>
      </c>
      <c r="E481" s="281" t="s">
        <v>945</v>
      </c>
      <c r="F481" s="151" t="s">
        <v>127</v>
      </c>
      <c r="G481" s="152">
        <v>0</v>
      </c>
      <c r="H481" s="153" t="s">
        <v>70</v>
      </c>
      <c r="I481" s="154">
        <v>1</v>
      </c>
      <c r="J481" s="154">
        <v>5</v>
      </c>
      <c r="K481" s="30" t="str">
        <f>IF(H481="","",IF($C$30="간이법","",FPR(H481,I481,J481)))</f>
        <v/>
      </c>
      <c r="L481" s="30">
        <f>IF(H481="","",IF($C$30="상세법",FPV(H481,K481),IF(H481="EI",4,IF(H481="EO",5.2,IF(H481="EQ",3.9,IF(H481="ILF",7.5,IF(H481="EIF",5.4)))))))</f>
        <v>3.9</v>
      </c>
      <c r="M481" s="30" t="str">
        <f t="shared" si="44"/>
        <v/>
      </c>
      <c r="N481" s="134"/>
      <c r="O481" s="29"/>
      <c r="P481" s="37" t="str">
        <f t="shared" si="45"/>
        <v/>
      </c>
      <c r="Q481" s="38" t="str">
        <f t="shared" si="46"/>
        <v/>
      </c>
      <c r="R481" s="37" t="str">
        <f t="shared" si="47"/>
        <v/>
      </c>
      <c r="S481" s="37" t="str">
        <f t="shared" si="48"/>
        <v/>
      </c>
      <c r="T481" s="38" t="str">
        <f t="shared" si="49"/>
        <v/>
      </c>
      <c r="U481" s="37" t="str">
        <f t="shared" si="50"/>
        <v/>
      </c>
    </row>
    <row r="482" spans="2:21" ht="27">
      <c r="B482" s="282" t="s">
        <v>940</v>
      </c>
      <c r="C482" s="156" t="s">
        <v>941</v>
      </c>
      <c r="D482" s="157" t="s">
        <v>946</v>
      </c>
      <c r="E482" s="281" t="s">
        <v>947</v>
      </c>
      <c r="F482" s="151" t="s">
        <v>127</v>
      </c>
      <c r="G482" s="152">
        <v>0</v>
      </c>
      <c r="H482" s="153" t="s">
        <v>70</v>
      </c>
      <c r="I482" s="154">
        <v>1</v>
      </c>
      <c r="J482" s="154">
        <v>5</v>
      </c>
      <c r="K482" s="30" t="str">
        <f>IF(H482="","",IF($C$30="간이법","",FPR(H482,I482,J482)))</f>
        <v/>
      </c>
      <c r="L482" s="30">
        <f>IF(H482="","",IF($C$30="상세법",FPV(H482,K482),IF(H482="EI",4,IF(H482="EO",5.2,IF(H482="EQ",3.9,IF(H482="ILF",7.5,IF(H482="EIF",5.4)))))))</f>
        <v>3.9</v>
      </c>
      <c r="M482" s="30" t="str">
        <f t="shared" si="44"/>
        <v/>
      </c>
      <c r="N482" s="134"/>
      <c r="O482" s="29"/>
      <c r="P482" s="37" t="str">
        <f t="shared" si="45"/>
        <v/>
      </c>
      <c r="Q482" s="38" t="str">
        <f t="shared" si="46"/>
        <v/>
      </c>
      <c r="R482" s="37" t="str">
        <f t="shared" si="47"/>
        <v/>
      </c>
      <c r="S482" s="37" t="str">
        <f t="shared" si="48"/>
        <v/>
      </c>
      <c r="T482" s="38" t="str">
        <f t="shared" si="49"/>
        <v/>
      </c>
      <c r="U482" s="37" t="str">
        <f t="shared" si="50"/>
        <v/>
      </c>
    </row>
    <row r="483" spans="2:21" ht="27">
      <c r="B483" s="282" t="s">
        <v>940</v>
      </c>
      <c r="C483" s="156" t="s">
        <v>941</v>
      </c>
      <c r="D483" s="157" t="s">
        <v>948</v>
      </c>
      <c r="E483" s="281" t="s">
        <v>949</v>
      </c>
      <c r="F483" s="151" t="s">
        <v>127</v>
      </c>
      <c r="G483" s="152">
        <v>0</v>
      </c>
      <c r="H483" s="153" t="s">
        <v>70</v>
      </c>
      <c r="I483" s="154">
        <v>1</v>
      </c>
      <c r="J483" s="154">
        <v>5</v>
      </c>
      <c r="K483" s="30" t="str">
        <f>IF(H483="","",IF($C$30="간이법","",FPR(H483,I483,J483)))</f>
        <v/>
      </c>
      <c r="L483" s="30">
        <f>IF(H483="","",IF($C$30="상세법",FPV(H483,K483),IF(H483="EI",4,IF(H483="EO",5.2,IF(H483="EQ",3.9,IF(H483="ILF",7.5,IF(H483="EIF",5.4)))))))</f>
        <v>3.9</v>
      </c>
      <c r="M483" s="30" t="str">
        <f t="shared" si="44"/>
        <v/>
      </c>
      <c r="N483" s="134"/>
      <c r="O483" s="29"/>
      <c r="P483" s="37" t="str">
        <f t="shared" si="45"/>
        <v/>
      </c>
      <c r="Q483" s="38" t="str">
        <f t="shared" si="46"/>
        <v/>
      </c>
      <c r="R483" s="37" t="str">
        <f t="shared" si="47"/>
        <v/>
      </c>
      <c r="S483" s="37" t="str">
        <f t="shared" si="48"/>
        <v/>
      </c>
      <c r="T483" s="38" t="str">
        <f t="shared" si="49"/>
        <v/>
      </c>
      <c r="U483" s="37" t="str">
        <f t="shared" si="50"/>
        <v/>
      </c>
    </row>
    <row r="484" spans="2:21" ht="27">
      <c r="B484" s="282" t="s">
        <v>940</v>
      </c>
      <c r="C484" s="156" t="s">
        <v>941</v>
      </c>
      <c r="D484" s="157" t="s">
        <v>950</v>
      </c>
      <c r="E484" s="281" t="s">
        <v>951</v>
      </c>
      <c r="F484" s="151" t="s">
        <v>127</v>
      </c>
      <c r="G484" s="152">
        <v>0</v>
      </c>
      <c r="H484" s="153" t="s">
        <v>70</v>
      </c>
      <c r="I484" s="154">
        <v>1</v>
      </c>
      <c r="J484" s="154">
        <v>4</v>
      </c>
      <c r="K484" s="30" t="str">
        <f>IF(H484="","",IF($C$30="간이법","",FPR(H484,I484,J484)))</f>
        <v/>
      </c>
      <c r="L484" s="30">
        <f>IF(H484="","",IF($C$30="상세법",FPV(H484,K484),IF(H484="EI",4,IF(H484="EO",5.2,IF(H484="EQ",3.9,IF(H484="ILF",7.5,IF(H484="EIF",5.4)))))))</f>
        <v>3.9</v>
      </c>
      <c r="M484" s="30" t="str">
        <f t="shared" si="44"/>
        <v/>
      </c>
      <c r="N484" s="134"/>
      <c r="O484" s="29"/>
      <c r="P484" s="37" t="str">
        <f t="shared" si="45"/>
        <v/>
      </c>
      <c r="Q484" s="38" t="str">
        <f t="shared" si="46"/>
        <v/>
      </c>
      <c r="R484" s="37" t="str">
        <f t="shared" si="47"/>
        <v/>
      </c>
      <c r="S484" s="37" t="str">
        <f t="shared" si="48"/>
        <v/>
      </c>
      <c r="T484" s="38" t="str">
        <f t="shared" si="49"/>
        <v/>
      </c>
      <c r="U484" s="37" t="str">
        <f t="shared" si="50"/>
        <v/>
      </c>
    </row>
    <row r="485" spans="2:21" ht="27">
      <c r="B485" s="282" t="s">
        <v>952</v>
      </c>
      <c r="C485" s="156" t="s">
        <v>952</v>
      </c>
      <c r="D485" s="157" t="s">
        <v>953</v>
      </c>
      <c r="E485" s="281" t="s">
        <v>954</v>
      </c>
      <c r="F485" s="151" t="s">
        <v>127</v>
      </c>
      <c r="G485" s="152">
        <v>0</v>
      </c>
      <c r="H485" s="153" t="s">
        <v>70</v>
      </c>
      <c r="I485" s="154">
        <v>1</v>
      </c>
      <c r="J485" s="154">
        <v>4</v>
      </c>
      <c r="K485" s="30" t="str">
        <f>IF(H485="","",IF($C$30="간이법","",FPR(H485,I485,J485)))</f>
        <v/>
      </c>
      <c r="L485" s="30">
        <f>IF(H485="","",IF($C$30="상세법",FPV(H485,K485),IF(H485="EI",4,IF(H485="EO",5.2,IF(H485="EQ",3.9,IF(H485="ILF",7.5,IF(H485="EIF",5.4)))))))</f>
        <v>3.9</v>
      </c>
      <c r="M485" s="30" t="str">
        <f t="shared" si="44"/>
        <v/>
      </c>
      <c r="N485" s="134"/>
      <c r="O485" s="29"/>
      <c r="P485" s="37" t="str">
        <f t="shared" si="45"/>
        <v/>
      </c>
      <c r="Q485" s="38" t="str">
        <f t="shared" si="46"/>
        <v/>
      </c>
      <c r="R485" s="37" t="str">
        <f t="shared" si="47"/>
        <v/>
      </c>
      <c r="S485" s="37" t="str">
        <f t="shared" si="48"/>
        <v/>
      </c>
      <c r="T485" s="38" t="str">
        <f t="shared" si="49"/>
        <v/>
      </c>
      <c r="U485" s="37" t="str">
        <f t="shared" si="50"/>
        <v/>
      </c>
    </row>
    <row r="486" spans="2:21" ht="27">
      <c r="B486" s="282" t="s">
        <v>952</v>
      </c>
      <c r="C486" s="156" t="s">
        <v>952</v>
      </c>
      <c r="D486" s="157" t="s">
        <v>955</v>
      </c>
      <c r="E486" s="281" t="s">
        <v>956</v>
      </c>
      <c r="F486" s="151" t="s">
        <v>127</v>
      </c>
      <c r="G486" s="152">
        <v>0</v>
      </c>
      <c r="H486" s="153" t="s">
        <v>70</v>
      </c>
      <c r="I486" s="154">
        <v>1</v>
      </c>
      <c r="J486" s="154">
        <v>5</v>
      </c>
      <c r="K486" s="30" t="str">
        <f>IF(H486="","",IF($C$30="간이법","",FPR(H486,I486,J486)))</f>
        <v/>
      </c>
      <c r="L486" s="30">
        <f>IF(H486="","",IF($C$30="상세법",FPV(H486,K486),IF(H486="EI",4,IF(H486="EO",5.2,IF(H486="EQ",3.9,IF(H486="ILF",7.5,IF(H486="EIF",5.4)))))))</f>
        <v>3.9</v>
      </c>
      <c r="M486" s="30" t="str">
        <f t="shared" si="44"/>
        <v/>
      </c>
      <c r="N486" s="134"/>
      <c r="O486" s="29"/>
      <c r="P486" s="37" t="str">
        <f t="shared" si="45"/>
        <v/>
      </c>
      <c r="Q486" s="38" t="str">
        <f t="shared" si="46"/>
        <v/>
      </c>
      <c r="R486" s="37" t="str">
        <f t="shared" si="47"/>
        <v/>
      </c>
      <c r="S486" s="37" t="str">
        <f t="shared" si="48"/>
        <v/>
      </c>
      <c r="T486" s="38" t="str">
        <f t="shared" si="49"/>
        <v/>
      </c>
      <c r="U486" s="37" t="str">
        <f t="shared" si="50"/>
        <v/>
      </c>
    </row>
    <row r="487" spans="2:21" ht="17.25">
      <c r="B487" s="282" t="s">
        <v>957</v>
      </c>
      <c r="C487" s="156" t="s">
        <v>958</v>
      </c>
      <c r="D487" s="157" t="s">
        <v>958</v>
      </c>
      <c r="E487" s="281" t="s">
        <v>959</v>
      </c>
      <c r="F487" s="151" t="s">
        <v>127</v>
      </c>
      <c r="G487" s="152">
        <v>0</v>
      </c>
      <c r="H487" s="153" t="s">
        <v>6</v>
      </c>
      <c r="I487" s="154">
        <v>1</v>
      </c>
      <c r="J487" s="154">
        <v>14</v>
      </c>
      <c r="K487" s="30" t="str">
        <f>IF(H487="","",IF($C$30="간이법","",FPR(H487,I487,J487)))</f>
        <v/>
      </c>
      <c r="L487" s="30">
        <f>IF(H487="","",IF($C$30="상세법",FPV(H487,K487),IF(H487="EI",4,IF(H487="EO",5.2,IF(H487="EQ",3.9,IF(H487="ILF",7.5,IF(H487="EIF",5.4)))))))</f>
        <v>7.5</v>
      </c>
      <c r="M487" s="30" t="str">
        <f t="shared" si="44"/>
        <v/>
      </c>
      <c r="N487" s="134"/>
      <c r="O487" s="29"/>
      <c r="P487" s="37" t="str">
        <f t="shared" si="45"/>
        <v/>
      </c>
      <c r="Q487" s="38" t="str">
        <f t="shared" si="46"/>
        <v/>
      </c>
      <c r="R487" s="37" t="str">
        <f t="shared" si="47"/>
        <v/>
      </c>
      <c r="S487" s="37" t="str">
        <f t="shared" si="48"/>
        <v/>
      </c>
      <c r="T487" s="38" t="str">
        <f t="shared" si="49"/>
        <v/>
      </c>
      <c r="U487" s="37" t="str">
        <f t="shared" si="50"/>
        <v/>
      </c>
    </row>
    <row r="488" spans="2:21" ht="17.25">
      <c r="B488" s="282" t="s">
        <v>957</v>
      </c>
      <c r="C488" s="156" t="s">
        <v>960</v>
      </c>
      <c r="D488" s="157" t="s">
        <v>960</v>
      </c>
      <c r="E488" s="281" t="s">
        <v>961</v>
      </c>
      <c r="F488" s="151" t="s">
        <v>127</v>
      </c>
      <c r="G488" s="152">
        <v>0</v>
      </c>
      <c r="H488" s="153" t="s">
        <v>6</v>
      </c>
      <c r="I488" s="154">
        <v>1</v>
      </c>
      <c r="J488" s="154">
        <v>10</v>
      </c>
      <c r="K488" s="30" t="str">
        <f>IF(H488="","",IF($C$30="간이법","",FPR(H488,I488,J488)))</f>
        <v/>
      </c>
      <c r="L488" s="30">
        <f>IF(H488="","",IF($C$30="상세법",FPV(H488,K488),IF(H488="EI",4,IF(H488="EO",5.2,IF(H488="EQ",3.9,IF(H488="ILF",7.5,IF(H488="EIF",5.4)))))))</f>
        <v>7.5</v>
      </c>
      <c r="M488" s="30" t="str">
        <f t="shared" si="44"/>
        <v/>
      </c>
      <c r="N488" s="134"/>
      <c r="O488" s="29"/>
      <c r="P488" s="37" t="str">
        <f t="shared" si="45"/>
        <v/>
      </c>
      <c r="Q488" s="38" t="str">
        <f t="shared" si="46"/>
        <v/>
      </c>
      <c r="R488" s="37" t="str">
        <f t="shared" si="47"/>
        <v/>
      </c>
      <c r="S488" s="37" t="str">
        <f t="shared" si="48"/>
        <v/>
      </c>
      <c r="T488" s="38" t="str">
        <f t="shared" si="49"/>
        <v/>
      </c>
      <c r="U488" s="37" t="str">
        <f t="shared" si="50"/>
        <v/>
      </c>
    </row>
    <row r="489" spans="2:21" ht="17.25">
      <c r="B489" s="282" t="s">
        <v>957</v>
      </c>
      <c r="C489" s="156" t="s">
        <v>962</v>
      </c>
      <c r="D489" s="157" t="s">
        <v>962</v>
      </c>
      <c r="E489" s="281" t="s">
        <v>963</v>
      </c>
      <c r="F489" s="151" t="s">
        <v>127</v>
      </c>
      <c r="G489" s="152">
        <v>0</v>
      </c>
      <c r="H489" s="153" t="s">
        <v>6</v>
      </c>
      <c r="I489" s="154">
        <v>1</v>
      </c>
      <c r="J489" s="154">
        <v>21</v>
      </c>
      <c r="K489" s="30" t="str">
        <f>IF(H489="","",IF($C$30="간이법","",FPR(H489,I489,J489)))</f>
        <v/>
      </c>
      <c r="L489" s="30">
        <f>IF(H489="","",IF($C$30="상세법",FPV(H489,K489),IF(H489="EI",4,IF(H489="EO",5.2,IF(H489="EQ",3.9,IF(H489="ILF",7.5,IF(H489="EIF",5.4)))))))</f>
        <v>7.5</v>
      </c>
      <c r="M489" s="30" t="str">
        <f t="shared" si="44"/>
        <v/>
      </c>
      <c r="N489" s="134"/>
      <c r="O489" s="29"/>
      <c r="P489" s="37" t="str">
        <f t="shared" si="45"/>
        <v/>
      </c>
      <c r="Q489" s="38" t="str">
        <f t="shared" si="46"/>
        <v/>
      </c>
      <c r="R489" s="37" t="str">
        <f t="shared" si="47"/>
        <v/>
      </c>
      <c r="S489" s="37" t="str">
        <f t="shared" si="48"/>
        <v/>
      </c>
      <c r="T489" s="38" t="str">
        <f t="shared" si="49"/>
        <v/>
      </c>
      <c r="U489" s="37" t="str">
        <f t="shared" si="50"/>
        <v/>
      </c>
    </row>
    <row r="490" spans="2:21" ht="17.25">
      <c r="B490" s="282" t="s">
        <v>957</v>
      </c>
      <c r="C490" s="156" t="s">
        <v>964</v>
      </c>
      <c r="D490" s="157" t="s">
        <v>964</v>
      </c>
      <c r="E490" s="281" t="s">
        <v>965</v>
      </c>
      <c r="F490" s="151" t="s">
        <v>127</v>
      </c>
      <c r="G490" s="152">
        <v>0</v>
      </c>
      <c r="H490" s="153" t="s">
        <v>6</v>
      </c>
      <c r="I490" s="154">
        <v>1</v>
      </c>
      <c r="J490" s="154">
        <v>5</v>
      </c>
      <c r="K490" s="30" t="str">
        <f>IF(H490="","",IF($C$30="간이법","",FPR(H490,I490,J490)))</f>
        <v/>
      </c>
      <c r="L490" s="30">
        <f>IF(H490="","",IF($C$30="상세법",FPV(H490,K490),IF(H490="EI",4,IF(H490="EO",5.2,IF(H490="EQ",3.9,IF(H490="ILF",7.5,IF(H490="EIF",5.4)))))))</f>
        <v>7.5</v>
      </c>
      <c r="M490" s="30" t="str">
        <f t="shared" si="44"/>
        <v/>
      </c>
      <c r="N490" s="134"/>
      <c r="O490" s="29"/>
      <c r="P490" s="37" t="str">
        <f t="shared" si="45"/>
        <v/>
      </c>
      <c r="Q490" s="38" t="str">
        <f t="shared" si="46"/>
        <v/>
      </c>
      <c r="R490" s="37" t="str">
        <f t="shared" si="47"/>
        <v/>
      </c>
      <c r="S490" s="37" t="str">
        <f t="shared" si="48"/>
        <v/>
      </c>
      <c r="T490" s="38" t="str">
        <f t="shared" si="49"/>
        <v/>
      </c>
      <c r="U490" s="37" t="str">
        <f t="shared" si="50"/>
        <v/>
      </c>
    </row>
    <row r="491" spans="2:21" ht="17.25">
      <c r="B491" s="282" t="s">
        <v>957</v>
      </c>
      <c r="C491" s="156" t="s">
        <v>966</v>
      </c>
      <c r="D491" s="157" t="s">
        <v>966</v>
      </c>
      <c r="E491" s="281" t="s">
        <v>967</v>
      </c>
      <c r="F491" s="151" t="s">
        <v>127</v>
      </c>
      <c r="G491" s="152">
        <v>0</v>
      </c>
      <c r="H491" s="153" t="s">
        <v>6</v>
      </c>
      <c r="I491" s="154">
        <v>1</v>
      </c>
      <c r="J491" s="154">
        <v>11</v>
      </c>
      <c r="K491" s="30" t="str">
        <f>IF(H491="","",IF($C$30="간이법","",FPR(H491,I491,J491)))</f>
        <v/>
      </c>
      <c r="L491" s="30">
        <f>IF(H491="","",IF($C$30="상세법",FPV(H491,K491),IF(H491="EI",4,IF(H491="EO",5.2,IF(H491="EQ",3.9,IF(H491="ILF",7.5,IF(H491="EIF",5.4)))))))</f>
        <v>7.5</v>
      </c>
      <c r="M491" s="30" t="str">
        <f t="shared" si="44"/>
        <v/>
      </c>
      <c r="N491" s="134"/>
      <c r="O491" s="29"/>
      <c r="P491" s="37" t="str">
        <f t="shared" si="45"/>
        <v/>
      </c>
      <c r="Q491" s="38" t="str">
        <f t="shared" si="46"/>
        <v/>
      </c>
      <c r="R491" s="37" t="str">
        <f t="shared" si="47"/>
        <v/>
      </c>
      <c r="S491" s="37" t="str">
        <f t="shared" si="48"/>
        <v/>
      </c>
      <c r="T491" s="38" t="str">
        <f t="shared" si="49"/>
        <v/>
      </c>
      <c r="U491" s="37" t="str">
        <f t="shared" si="50"/>
        <v/>
      </c>
    </row>
    <row r="492" spans="2:21" ht="17.25">
      <c r="B492" s="282" t="s">
        <v>957</v>
      </c>
      <c r="C492" s="156" t="s">
        <v>968</v>
      </c>
      <c r="D492" s="157" t="s">
        <v>968</v>
      </c>
      <c r="E492" s="281" t="s">
        <v>969</v>
      </c>
      <c r="F492" s="151" t="s">
        <v>127</v>
      </c>
      <c r="G492" s="152">
        <v>0</v>
      </c>
      <c r="H492" s="153" t="s">
        <v>6</v>
      </c>
      <c r="I492" s="154">
        <v>1</v>
      </c>
      <c r="J492" s="154">
        <v>4</v>
      </c>
      <c r="K492" s="30" t="str">
        <f>IF(H492="","",IF($C$30="간이법","",FPR(H492,I492,J492)))</f>
        <v/>
      </c>
      <c r="L492" s="30">
        <f>IF(H492="","",IF($C$30="상세법",FPV(H492,K492),IF(H492="EI",4,IF(H492="EO",5.2,IF(H492="EQ",3.9,IF(H492="ILF",7.5,IF(H492="EIF",5.4)))))))</f>
        <v>7.5</v>
      </c>
      <c r="M492" s="30" t="str">
        <f t="shared" si="44"/>
        <v/>
      </c>
      <c r="N492" s="134"/>
      <c r="O492" s="29"/>
      <c r="P492" s="37" t="str">
        <f t="shared" si="45"/>
        <v/>
      </c>
      <c r="Q492" s="38" t="str">
        <f t="shared" si="46"/>
        <v/>
      </c>
      <c r="R492" s="37" t="str">
        <f t="shared" si="47"/>
        <v/>
      </c>
      <c r="S492" s="37" t="str">
        <f t="shared" si="48"/>
        <v/>
      </c>
      <c r="T492" s="38" t="str">
        <f t="shared" si="49"/>
        <v/>
      </c>
      <c r="U492" s="37" t="str">
        <f t="shared" si="50"/>
        <v/>
      </c>
    </row>
    <row r="493" spans="2:21" ht="17.25">
      <c r="B493" s="282" t="s">
        <v>957</v>
      </c>
      <c r="C493" s="156" t="s">
        <v>970</v>
      </c>
      <c r="D493" s="157" t="s">
        <v>970</v>
      </c>
      <c r="E493" s="281" t="s">
        <v>971</v>
      </c>
      <c r="F493" s="151" t="s">
        <v>127</v>
      </c>
      <c r="G493" s="152">
        <v>0</v>
      </c>
      <c r="H493" s="153" t="s">
        <v>6</v>
      </c>
      <c r="I493" s="154">
        <v>1</v>
      </c>
      <c r="J493" s="154">
        <v>20</v>
      </c>
      <c r="K493" s="30" t="str">
        <f>IF(H493="","",IF($C$30="간이법","",FPR(H493,I493,J493)))</f>
        <v/>
      </c>
      <c r="L493" s="30">
        <f>IF(H493="","",IF($C$30="상세법",FPV(H493,K493),IF(H493="EI",4,IF(H493="EO",5.2,IF(H493="EQ",3.9,IF(H493="ILF",7.5,IF(H493="EIF",5.4)))))))</f>
        <v>7.5</v>
      </c>
      <c r="M493" s="30" t="str">
        <f t="shared" si="44"/>
        <v/>
      </c>
      <c r="N493" s="134"/>
      <c r="O493" s="29"/>
      <c r="P493" s="37" t="str">
        <f t="shared" si="45"/>
        <v/>
      </c>
      <c r="Q493" s="38" t="str">
        <f t="shared" si="46"/>
        <v/>
      </c>
      <c r="R493" s="37" t="str">
        <f t="shared" si="47"/>
        <v/>
      </c>
      <c r="S493" s="37" t="str">
        <f t="shared" si="48"/>
        <v/>
      </c>
      <c r="T493" s="38" t="str">
        <f t="shared" si="49"/>
        <v/>
      </c>
      <c r="U493" s="37" t="str">
        <f t="shared" si="50"/>
        <v/>
      </c>
    </row>
    <row r="494" spans="2:21" ht="17.25">
      <c r="B494" s="282" t="s">
        <v>957</v>
      </c>
      <c r="C494" s="156" t="s">
        <v>972</v>
      </c>
      <c r="D494" s="157" t="s">
        <v>972</v>
      </c>
      <c r="E494" s="281" t="s">
        <v>973</v>
      </c>
      <c r="F494" s="151" t="s">
        <v>127</v>
      </c>
      <c r="G494" s="152">
        <v>0</v>
      </c>
      <c r="H494" s="153" t="s">
        <v>6</v>
      </c>
      <c r="I494" s="154">
        <v>1</v>
      </c>
      <c r="J494" s="154">
        <v>7</v>
      </c>
      <c r="K494" s="30" t="str">
        <f>IF(H494="","",IF($C$30="간이법","",FPR(H494,I494,J494)))</f>
        <v/>
      </c>
      <c r="L494" s="30">
        <f>IF(H494="","",IF($C$30="상세법",FPV(H494,K494),IF(H494="EI",4,IF(H494="EO",5.2,IF(H494="EQ",3.9,IF(H494="ILF",7.5,IF(H494="EIF",5.4)))))))</f>
        <v>7.5</v>
      </c>
      <c r="M494" s="30" t="str">
        <f t="shared" si="44"/>
        <v/>
      </c>
      <c r="N494" s="134"/>
      <c r="O494" s="29"/>
      <c r="P494" s="37" t="str">
        <f t="shared" si="45"/>
        <v/>
      </c>
      <c r="Q494" s="38" t="str">
        <f t="shared" si="46"/>
        <v/>
      </c>
      <c r="R494" s="37" t="str">
        <f t="shared" si="47"/>
        <v/>
      </c>
      <c r="S494" s="37" t="str">
        <f t="shared" si="48"/>
        <v/>
      </c>
      <c r="T494" s="38" t="str">
        <f t="shared" si="49"/>
        <v/>
      </c>
      <c r="U494" s="37" t="str">
        <f t="shared" si="50"/>
        <v/>
      </c>
    </row>
    <row r="495" spans="2:21" ht="17.25">
      <c r="B495" s="282" t="s">
        <v>957</v>
      </c>
      <c r="C495" s="156" t="s">
        <v>974</v>
      </c>
      <c r="D495" s="157" t="s">
        <v>974</v>
      </c>
      <c r="E495" s="281" t="s">
        <v>975</v>
      </c>
      <c r="F495" s="151" t="s">
        <v>127</v>
      </c>
      <c r="G495" s="152">
        <v>0</v>
      </c>
      <c r="H495" s="153" t="s">
        <v>6</v>
      </c>
      <c r="I495" s="154">
        <v>1</v>
      </c>
      <c r="J495" s="154">
        <v>4</v>
      </c>
      <c r="K495" s="30" t="str">
        <f>IF(H495="","",IF($C$30="간이법","",FPR(H495,I495,J495)))</f>
        <v/>
      </c>
      <c r="L495" s="30">
        <f>IF(H495="","",IF($C$30="상세법",FPV(H495,K495),IF(H495="EI",4,IF(H495="EO",5.2,IF(H495="EQ",3.9,IF(H495="ILF",7.5,IF(H495="EIF",5.4)))))))</f>
        <v>7.5</v>
      </c>
      <c r="M495" s="30" t="str">
        <f t="shared" si="44"/>
        <v/>
      </c>
      <c r="N495" s="134"/>
      <c r="O495" s="29"/>
      <c r="P495" s="37" t="str">
        <f t="shared" si="45"/>
        <v/>
      </c>
      <c r="Q495" s="38" t="str">
        <f t="shared" si="46"/>
        <v/>
      </c>
      <c r="R495" s="37" t="str">
        <f t="shared" si="47"/>
        <v/>
      </c>
      <c r="S495" s="37" t="str">
        <f t="shared" si="48"/>
        <v/>
      </c>
      <c r="T495" s="38" t="str">
        <f t="shared" si="49"/>
        <v/>
      </c>
      <c r="U495" s="37" t="str">
        <f t="shared" si="50"/>
        <v/>
      </c>
    </row>
    <row r="496" spans="2:21" ht="27">
      <c r="B496" s="282" t="s">
        <v>957</v>
      </c>
      <c r="C496" s="156" t="s">
        <v>976</v>
      </c>
      <c r="D496" s="157" t="s">
        <v>976</v>
      </c>
      <c r="E496" s="281" t="s">
        <v>977</v>
      </c>
      <c r="F496" s="151" t="s">
        <v>127</v>
      </c>
      <c r="G496" s="152">
        <v>0</v>
      </c>
      <c r="H496" s="153" t="s">
        <v>6</v>
      </c>
      <c r="I496" s="154">
        <v>1</v>
      </c>
      <c r="J496" s="154">
        <v>9</v>
      </c>
      <c r="K496" s="30" t="str">
        <f>IF(H496="","",IF($C$30="간이법","",FPR(H496,I496,J496)))</f>
        <v/>
      </c>
      <c r="L496" s="30">
        <f>IF(H496="","",IF($C$30="상세법",FPV(H496,K496),IF(H496="EI",4,IF(H496="EO",5.2,IF(H496="EQ",3.9,IF(H496="ILF",7.5,IF(H496="EIF",5.4)))))))</f>
        <v>7.5</v>
      </c>
      <c r="M496" s="30" t="str">
        <f t="shared" si="44"/>
        <v/>
      </c>
      <c r="N496" s="134"/>
      <c r="O496" s="29"/>
      <c r="P496" s="37" t="str">
        <f t="shared" si="45"/>
        <v/>
      </c>
      <c r="Q496" s="38" t="str">
        <f t="shared" si="46"/>
        <v/>
      </c>
      <c r="R496" s="37" t="str">
        <f t="shared" si="47"/>
        <v/>
      </c>
      <c r="S496" s="37" t="str">
        <f t="shared" si="48"/>
        <v/>
      </c>
      <c r="T496" s="38" t="str">
        <f t="shared" si="49"/>
        <v/>
      </c>
      <c r="U496" s="37" t="str">
        <f t="shared" si="50"/>
        <v/>
      </c>
    </row>
    <row r="497" spans="2:21" ht="17.25">
      <c r="B497" s="282" t="s">
        <v>957</v>
      </c>
      <c r="C497" s="156" t="s">
        <v>978</v>
      </c>
      <c r="D497" s="157" t="s">
        <v>978</v>
      </c>
      <c r="E497" s="281" t="s">
        <v>979</v>
      </c>
      <c r="F497" s="151" t="s">
        <v>127</v>
      </c>
      <c r="G497" s="152">
        <v>0</v>
      </c>
      <c r="H497" s="153" t="s">
        <v>6</v>
      </c>
      <c r="I497" s="154">
        <v>1</v>
      </c>
      <c r="J497" s="154">
        <v>7</v>
      </c>
      <c r="K497" s="30" t="str">
        <f>IF(H497="","",IF($C$30="간이법","",FPR(H497,I497,J497)))</f>
        <v/>
      </c>
      <c r="L497" s="30">
        <f>IF(H497="","",IF($C$30="상세법",FPV(H497,K497),IF(H497="EI",4,IF(H497="EO",5.2,IF(H497="EQ",3.9,IF(H497="ILF",7.5,IF(H497="EIF",5.4)))))))</f>
        <v>7.5</v>
      </c>
      <c r="M497" s="30" t="str">
        <f t="shared" si="44"/>
        <v/>
      </c>
      <c r="N497" s="134"/>
      <c r="O497" s="29"/>
      <c r="P497" s="37" t="str">
        <f t="shared" si="45"/>
        <v/>
      </c>
      <c r="Q497" s="38" t="str">
        <f t="shared" si="46"/>
        <v/>
      </c>
      <c r="R497" s="37" t="str">
        <f t="shared" si="47"/>
        <v/>
      </c>
      <c r="S497" s="37" t="str">
        <f t="shared" si="48"/>
        <v/>
      </c>
      <c r="T497" s="38" t="str">
        <f t="shared" si="49"/>
        <v/>
      </c>
      <c r="U497" s="37" t="str">
        <f t="shared" si="50"/>
        <v/>
      </c>
    </row>
    <row r="498" spans="2:21" ht="17.25">
      <c r="B498" s="282" t="s">
        <v>957</v>
      </c>
      <c r="C498" s="156" t="s">
        <v>980</v>
      </c>
      <c r="D498" s="157" t="s">
        <v>980</v>
      </c>
      <c r="E498" s="281" t="s">
        <v>981</v>
      </c>
      <c r="F498" s="151" t="s">
        <v>127</v>
      </c>
      <c r="G498" s="152">
        <v>0</v>
      </c>
      <c r="H498" s="153" t="s">
        <v>6</v>
      </c>
      <c r="I498" s="154">
        <v>1</v>
      </c>
      <c r="J498" s="154">
        <v>26</v>
      </c>
      <c r="K498" s="30" t="str">
        <f>IF(H498="","",IF($C$30="간이법","",FPR(H498,I498,J498)))</f>
        <v/>
      </c>
      <c r="L498" s="30">
        <f>IF(H498="","",IF($C$30="상세법",FPV(H498,K498),IF(H498="EI",4,IF(H498="EO",5.2,IF(H498="EQ",3.9,IF(H498="ILF",7.5,IF(H498="EIF",5.4)))))))</f>
        <v>7.5</v>
      </c>
      <c r="M498" s="30" t="str">
        <f t="shared" si="44"/>
        <v/>
      </c>
      <c r="N498" s="134"/>
      <c r="O498" s="29"/>
      <c r="P498" s="37" t="str">
        <f t="shared" si="45"/>
        <v/>
      </c>
      <c r="Q498" s="38" t="str">
        <f t="shared" si="46"/>
        <v/>
      </c>
      <c r="R498" s="37" t="str">
        <f t="shared" si="47"/>
        <v/>
      </c>
      <c r="S498" s="37" t="str">
        <f t="shared" si="48"/>
        <v/>
      </c>
      <c r="T498" s="38" t="str">
        <f t="shared" si="49"/>
        <v/>
      </c>
      <c r="U498" s="37" t="str">
        <f t="shared" si="50"/>
        <v/>
      </c>
    </row>
    <row r="499" spans="2:21" ht="17.25">
      <c r="B499" s="282" t="s">
        <v>957</v>
      </c>
      <c r="C499" s="156" t="s">
        <v>982</v>
      </c>
      <c r="D499" s="157" t="s">
        <v>982</v>
      </c>
      <c r="E499" s="281" t="s">
        <v>983</v>
      </c>
      <c r="F499" s="151" t="s">
        <v>127</v>
      </c>
      <c r="G499" s="152">
        <v>0</v>
      </c>
      <c r="H499" s="153" t="s">
        <v>6</v>
      </c>
      <c r="I499" s="154">
        <v>1</v>
      </c>
      <c r="J499" s="154">
        <v>6</v>
      </c>
      <c r="K499" s="30" t="str">
        <f>IF(H499="","",IF($C$30="간이법","",FPR(H499,I499,J499)))</f>
        <v/>
      </c>
      <c r="L499" s="30">
        <f>IF(H499="","",IF($C$30="상세법",FPV(H499,K499),IF(H499="EI",4,IF(H499="EO",5.2,IF(H499="EQ",3.9,IF(H499="ILF",7.5,IF(H499="EIF",5.4)))))))</f>
        <v>7.5</v>
      </c>
      <c r="M499" s="30" t="str">
        <f t="shared" si="44"/>
        <v/>
      </c>
      <c r="N499" s="134"/>
      <c r="O499" s="29"/>
      <c r="P499" s="37" t="str">
        <f t="shared" si="45"/>
        <v/>
      </c>
      <c r="Q499" s="38" t="str">
        <f t="shared" si="46"/>
        <v/>
      </c>
      <c r="R499" s="37" t="str">
        <f t="shared" si="47"/>
        <v/>
      </c>
      <c r="S499" s="37" t="str">
        <f t="shared" si="48"/>
        <v/>
      </c>
      <c r="T499" s="38" t="str">
        <f t="shared" si="49"/>
        <v/>
      </c>
      <c r="U499" s="37" t="str">
        <f t="shared" si="50"/>
        <v/>
      </c>
    </row>
    <row r="500" spans="2:21" ht="17.25">
      <c r="B500" s="282" t="s">
        <v>957</v>
      </c>
      <c r="C500" s="156" t="s">
        <v>984</v>
      </c>
      <c r="D500" s="157" t="s">
        <v>984</v>
      </c>
      <c r="E500" s="281" t="s">
        <v>985</v>
      </c>
      <c r="F500" s="151" t="s">
        <v>127</v>
      </c>
      <c r="G500" s="152">
        <v>0</v>
      </c>
      <c r="H500" s="153" t="s">
        <v>6</v>
      </c>
      <c r="I500" s="154">
        <v>1</v>
      </c>
      <c r="J500" s="154">
        <v>10</v>
      </c>
      <c r="K500" s="30" t="str">
        <f>IF(H500="","",IF($C$30="간이법","",FPR(H500,I500,J500)))</f>
        <v/>
      </c>
      <c r="L500" s="30">
        <f>IF(H500="","",IF($C$30="상세법",FPV(H500,K500),IF(H500="EI",4,IF(H500="EO",5.2,IF(H500="EQ",3.9,IF(H500="ILF",7.5,IF(H500="EIF",5.4)))))))</f>
        <v>7.5</v>
      </c>
      <c r="M500" s="30" t="str">
        <f t="shared" si="44"/>
        <v/>
      </c>
      <c r="N500" s="134"/>
      <c r="O500" s="29"/>
      <c r="P500" s="37" t="str">
        <f t="shared" si="45"/>
        <v/>
      </c>
      <c r="Q500" s="38" t="str">
        <f t="shared" si="46"/>
        <v/>
      </c>
      <c r="R500" s="37" t="str">
        <f t="shared" si="47"/>
        <v/>
      </c>
      <c r="S500" s="37" t="str">
        <f t="shared" si="48"/>
        <v/>
      </c>
      <c r="T500" s="38" t="str">
        <f t="shared" si="49"/>
        <v/>
      </c>
      <c r="U500" s="37" t="str">
        <f t="shared" si="50"/>
        <v/>
      </c>
    </row>
    <row r="501" spans="2:21" ht="17.25">
      <c r="B501" s="282" t="s">
        <v>957</v>
      </c>
      <c r="C501" s="156" t="s">
        <v>986</v>
      </c>
      <c r="D501" s="157" t="s">
        <v>986</v>
      </c>
      <c r="E501" s="281" t="s">
        <v>987</v>
      </c>
      <c r="F501" s="151" t="s">
        <v>127</v>
      </c>
      <c r="G501" s="152">
        <v>0</v>
      </c>
      <c r="H501" s="153" t="s">
        <v>6</v>
      </c>
      <c r="I501" s="154">
        <v>1</v>
      </c>
      <c r="J501" s="154">
        <v>4</v>
      </c>
      <c r="K501" s="30" t="str">
        <f>IF(H501="","",IF($C$30="간이법","",FPR(H501,I501,J501)))</f>
        <v/>
      </c>
      <c r="L501" s="30">
        <f>IF(H501="","",IF($C$30="상세법",FPV(H501,K501),IF(H501="EI",4,IF(H501="EO",5.2,IF(H501="EQ",3.9,IF(H501="ILF",7.5,IF(H501="EIF",5.4)))))))</f>
        <v>7.5</v>
      </c>
      <c r="M501" s="30" t="str">
        <f t="shared" si="44"/>
        <v/>
      </c>
      <c r="N501" s="134"/>
      <c r="O501" s="29"/>
      <c r="P501" s="37" t="str">
        <f t="shared" si="45"/>
        <v/>
      </c>
      <c r="Q501" s="38" t="str">
        <f t="shared" si="46"/>
        <v/>
      </c>
      <c r="R501" s="37" t="str">
        <f t="shared" si="47"/>
        <v/>
      </c>
      <c r="S501" s="37" t="str">
        <f t="shared" si="48"/>
        <v/>
      </c>
      <c r="T501" s="38" t="str">
        <f t="shared" si="49"/>
        <v/>
      </c>
      <c r="U501" s="37" t="str">
        <f t="shared" si="50"/>
        <v/>
      </c>
    </row>
    <row r="502" spans="2:21" ht="27">
      <c r="B502" s="282" t="s">
        <v>957</v>
      </c>
      <c r="C502" s="156" t="s">
        <v>988</v>
      </c>
      <c r="D502" s="157" t="s">
        <v>988</v>
      </c>
      <c r="E502" s="281" t="s">
        <v>989</v>
      </c>
      <c r="F502" s="151" t="s">
        <v>127</v>
      </c>
      <c r="G502" s="152">
        <v>0</v>
      </c>
      <c r="H502" s="153" t="s">
        <v>6</v>
      </c>
      <c r="I502" s="154">
        <v>1</v>
      </c>
      <c r="J502" s="154">
        <v>5</v>
      </c>
      <c r="K502" s="30" t="str">
        <f>IF(H502="","",IF($C$30="간이법","",FPR(H502,I502,J502)))</f>
        <v/>
      </c>
      <c r="L502" s="30">
        <f>IF(H502="","",IF($C$30="상세법",FPV(H502,K502),IF(H502="EI",4,IF(H502="EO",5.2,IF(H502="EQ",3.9,IF(H502="ILF",7.5,IF(H502="EIF",5.4)))))))</f>
        <v>7.5</v>
      </c>
      <c r="M502" s="30" t="str">
        <f t="shared" si="44"/>
        <v/>
      </c>
      <c r="N502" s="134"/>
      <c r="O502" s="29"/>
      <c r="P502" s="37" t="str">
        <f t="shared" si="45"/>
        <v/>
      </c>
      <c r="Q502" s="38" t="str">
        <f t="shared" si="46"/>
        <v/>
      </c>
      <c r="R502" s="37" t="str">
        <f t="shared" si="47"/>
        <v/>
      </c>
      <c r="S502" s="37" t="str">
        <f t="shared" si="48"/>
        <v/>
      </c>
      <c r="T502" s="38" t="str">
        <f t="shared" si="49"/>
        <v/>
      </c>
      <c r="U502" s="37" t="str">
        <f t="shared" si="50"/>
        <v/>
      </c>
    </row>
    <row r="503" spans="2:21" ht="27">
      <c r="B503" s="282" t="s">
        <v>957</v>
      </c>
      <c r="C503" s="156" t="s">
        <v>990</v>
      </c>
      <c r="D503" s="157" t="s">
        <v>990</v>
      </c>
      <c r="E503" s="281" t="s">
        <v>991</v>
      </c>
      <c r="F503" s="151" t="s">
        <v>127</v>
      </c>
      <c r="G503" s="152">
        <v>0</v>
      </c>
      <c r="H503" s="153" t="s">
        <v>6</v>
      </c>
      <c r="I503" s="154">
        <v>1</v>
      </c>
      <c r="J503" s="154">
        <v>18</v>
      </c>
      <c r="K503" s="30" t="str">
        <f>IF(H503="","",IF($C$30="간이법","",FPR(H503,I503,J503)))</f>
        <v/>
      </c>
      <c r="L503" s="30">
        <f>IF(H503="","",IF($C$30="상세법",FPV(H503,K503),IF(H503="EI",4,IF(H503="EO",5.2,IF(H503="EQ",3.9,IF(H503="ILF",7.5,IF(H503="EIF",5.4)))))))</f>
        <v>7.5</v>
      </c>
      <c r="M503" s="30" t="str">
        <f t="shared" si="44"/>
        <v/>
      </c>
      <c r="N503" s="134"/>
      <c r="O503" s="29"/>
      <c r="P503" s="37" t="str">
        <f t="shared" si="45"/>
        <v/>
      </c>
      <c r="Q503" s="38" t="str">
        <f t="shared" si="46"/>
        <v/>
      </c>
      <c r="R503" s="37" t="str">
        <f t="shared" si="47"/>
        <v/>
      </c>
      <c r="S503" s="37" t="str">
        <f t="shared" si="48"/>
        <v/>
      </c>
      <c r="T503" s="38" t="str">
        <f t="shared" si="49"/>
        <v/>
      </c>
      <c r="U503" s="37" t="str">
        <f t="shared" si="50"/>
        <v/>
      </c>
    </row>
    <row r="504" spans="2:21" ht="27">
      <c r="B504" s="282" t="s">
        <v>957</v>
      </c>
      <c r="C504" s="156" t="s">
        <v>992</v>
      </c>
      <c r="D504" s="157" t="s">
        <v>992</v>
      </c>
      <c r="E504" s="281" t="s">
        <v>993</v>
      </c>
      <c r="F504" s="151" t="s">
        <v>127</v>
      </c>
      <c r="G504" s="152">
        <v>0</v>
      </c>
      <c r="H504" s="153" t="s">
        <v>6</v>
      </c>
      <c r="I504" s="154">
        <v>1</v>
      </c>
      <c r="J504" s="154">
        <v>6</v>
      </c>
      <c r="K504" s="30" t="str">
        <f>IF(H504="","",IF($C$30="간이법","",FPR(H504,I504,J504)))</f>
        <v/>
      </c>
      <c r="L504" s="30">
        <f>IF(H504="","",IF($C$30="상세법",FPV(H504,K504),IF(H504="EI",4,IF(H504="EO",5.2,IF(H504="EQ",3.9,IF(H504="ILF",7.5,IF(H504="EIF",5.4)))))))</f>
        <v>7.5</v>
      </c>
      <c r="M504" s="30" t="str">
        <f t="shared" si="44"/>
        <v/>
      </c>
      <c r="N504" s="134"/>
      <c r="O504" s="29"/>
      <c r="P504" s="37" t="str">
        <f t="shared" si="45"/>
        <v/>
      </c>
      <c r="Q504" s="38" t="str">
        <f t="shared" si="46"/>
        <v/>
      </c>
      <c r="R504" s="37" t="str">
        <f t="shared" si="47"/>
        <v/>
      </c>
      <c r="S504" s="37" t="str">
        <f t="shared" si="48"/>
        <v/>
      </c>
      <c r="T504" s="38" t="str">
        <f t="shared" si="49"/>
        <v/>
      </c>
      <c r="U504" s="37" t="str">
        <f t="shared" si="50"/>
        <v/>
      </c>
    </row>
    <row r="505" spans="2:21" ht="17.25">
      <c r="B505" s="282" t="s">
        <v>957</v>
      </c>
      <c r="C505" s="156" t="s">
        <v>994</v>
      </c>
      <c r="D505" s="157" t="s">
        <v>994</v>
      </c>
      <c r="E505" s="281" t="s">
        <v>995</v>
      </c>
      <c r="F505" s="151" t="s">
        <v>127</v>
      </c>
      <c r="G505" s="152">
        <v>0</v>
      </c>
      <c r="H505" s="153" t="s">
        <v>6</v>
      </c>
      <c r="I505" s="154">
        <v>1</v>
      </c>
      <c r="J505" s="154">
        <v>31</v>
      </c>
      <c r="K505" s="30" t="str">
        <f>IF(H505="","",IF($C$30="간이법","",FPR(H505,I505,J505)))</f>
        <v/>
      </c>
      <c r="L505" s="30">
        <f>IF(H505="","",IF($C$30="상세법",FPV(H505,K505),IF(H505="EI",4,IF(H505="EO",5.2,IF(H505="EQ",3.9,IF(H505="ILF",7.5,IF(H505="EIF",5.4)))))))</f>
        <v>7.5</v>
      </c>
      <c r="M505" s="30" t="str">
        <f t="shared" si="44"/>
        <v/>
      </c>
      <c r="N505" s="134"/>
      <c r="O505" s="29"/>
      <c r="P505" s="37" t="str">
        <f t="shared" si="45"/>
        <v/>
      </c>
      <c r="Q505" s="38" t="str">
        <f t="shared" si="46"/>
        <v/>
      </c>
      <c r="R505" s="37" t="str">
        <f t="shared" si="47"/>
        <v/>
      </c>
      <c r="S505" s="37" t="str">
        <f t="shared" si="48"/>
        <v/>
      </c>
      <c r="T505" s="38" t="str">
        <f t="shared" si="49"/>
        <v/>
      </c>
      <c r="U505" s="37" t="str">
        <f t="shared" si="50"/>
        <v/>
      </c>
    </row>
    <row r="506" spans="2:21" ht="17.25">
      <c r="B506" s="282" t="s">
        <v>957</v>
      </c>
      <c r="C506" s="156" t="s">
        <v>996</v>
      </c>
      <c r="D506" s="157" t="s">
        <v>996</v>
      </c>
      <c r="E506" s="281" t="s">
        <v>997</v>
      </c>
      <c r="F506" s="151" t="s">
        <v>127</v>
      </c>
      <c r="G506" s="152">
        <v>0</v>
      </c>
      <c r="H506" s="153" t="s">
        <v>6</v>
      </c>
      <c r="I506" s="154">
        <v>1</v>
      </c>
      <c r="J506" s="154">
        <v>4</v>
      </c>
      <c r="K506" s="30" t="str">
        <f>IF(H506="","",IF($C$30="간이법","",FPR(H506,I506,J506)))</f>
        <v/>
      </c>
      <c r="L506" s="30">
        <f>IF(H506="","",IF($C$30="상세법",FPV(H506,K506),IF(H506="EI",4,IF(H506="EO",5.2,IF(H506="EQ",3.9,IF(H506="ILF",7.5,IF(H506="EIF",5.4)))))))</f>
        <v>7.5</v>
      </c>
      <c r="M506" s="30" t="str">
        <f t="shared" si="44"/>
        <v/>
      </c>
      <c r="N506" s="134"/>
      <c r="O506" s="29"/>
      <c r="P506" s="37" t="str">
        <f t="shared" si="45"/>
        <v/>
      </c>
      <c r="Q506" s="38" t="str">
        <f t="shared" si="46"/>
        <v/>
      </c>
      <c r="R506" s="37" t="str">
        <f t="shared" si="47"/>
        <v/>
      </c>
      <c r="S506" s="37" t="str">
        <f t="shared" si="48"/>
        <v/>
      </c>
      <c r="T506" s="38" t="str">
        <f t="shared" si="49"/>
        <v/>
      </c>
      <c r="U506" s="37" t="str">
        <f t="shared" si="50"/>
        <v/>
      </c>
    </row>
    <row r="507" spans="2:21" ht="17.25">
      <c r="B507" s="282" t="s">
        <v>957</v>
      </c>
      <c r="C507" s="156" t="s">
        <v>998</v>
      </c>
      <c r="D507" s="157" t="s">
        <v>998</v>
      </c>
      <c r="E507" s="281" t="s">
        <v>999</v>
      </c>
      <c r="F507" s="151" t="s">
        <v>127</v>
      </c>
      <c r="G507" s="152">
        <v>0</v>
      </c>
      <c r="H507" s="153" t="s">
        <v>6</v>
      </c>
      <c r="I507" s="154">
        <v>1</v>
      </c>
      <c r="J507" s="154">
        <v>11</v>
      </c>
      <c r="K507" s="30" t="str">
        <f>IF(H507="","",IF($C$30="간이법","",FPR(H507,I507,J507)))</f>
        <v/>
      </c>
      <c r="L507" s="30">
        <f>IF(H507="","",IF($C$30="상세법",FPV(H507,K507),IF(H507="EI",4,IF(H507="EO",5.2,IF(H507="EQ",3.9,IF(H507="ILF",7.5,IF(H507="EIF",5.4)))))))</f>
        <v>7.5</v>
      </c>
      <c r="M507" s="30" t="str">
        <f t="shared" si="44"/>
        <v/>
      </c>
      <c r="N507" s="134"/>
      <c r="O507" s="29"/>
      <c r="P507" s="37" t="str">
        <f t="shared" si="45"/>
        <v/>
      </c>
      <c r="Q507" s="38" t="str">
        <f t="shared" si="46"/>
        <v/>
      </c>
      <c r="R507" s="37" t="str">
        <f t="shared" si="47"/>
        <v/>
      </c>
      <c r="S507" s="37" t="str">
        <f t="shared" si="48"/>
        <v/>
      </c>
      <c r="T507" s="38" t="str">
        <f t="shared" si="49"/>
        <v/>
      </c>
      <c r="U507" s="37" t="str">
        <f t="shared" si="50"/>
        <v/>
      </c>
    </row>
    <row r="508" spans="2:21" ht="17.25">
      <c r="B508" s="282" t="s">
        <v>957</v>
      </c>
      <c r="C508" s="156" t="s">
        <v>1000</v>
      </c>
      <c r="D508" s="157" t="s">
        <v>1000</v>
      </c>
      <c r="E508" s="281" t="s">
        <v>1001</v>
      </c>
      <c r="F508" s="151" t="s">
        <v>127</v>
      </c>
      <c r="G508" s="152">
        <v>0</v>
      </c>
      <c r="H508" s="153" t="s">
        <v>6</v>
      </c>
      <c r="I508" s="154">
        <v>1</v>
      </c>
      <c r="J508" s="154">
        <v>19</v>
      </c>
      <c r="K508" s="30" t="str">
        <f>IF(H508="","",IF($C$30="간이법","",FPR(H508,I508,J508)))</f>
        <v/>
      </c>
      <c r="L508" s="30">
        <f>IF(H508="","",IF($C$30="상세법",FPV(H508,K508),IF(H508="EI",4,IF(H508="EO",5.2,IF(H508="EQ",3.9,IF(H508="ILF",7.5,IF(H508="EIF",5.4)))))))</f>
        <v>7.5</v>
      </c>
      <c r="M508" s="30" t="str">
        <f t="shared" ref="M508:M571" si="51">IF(OR(G508="",$E$36="(선택)",$E$40="(선택)",$E$41="(선택)",F508="신규 개발",F508="수정 없이 재사용"),"",(IF(F508="수정 후 재사용",IF($E$50&lt;=0.5,L508*($E$36+$E$50*100*(1+0.02*($E$40*$E$41)))/100,L508*($E$36+$E$50*100+($E$40*$E$41))/100))))</f>
        <v/>
      </c>
      <c r="N508" s="134"/>
      <c r="O508" s="29"/>
      <c r="P508" s="37" t="str">
        <f t="shared" ref="P508:P571" si="52">IF(F508="수정 후 재사용",IF(H508="ILF",G508,IF(H508="EIF",G508,"")),"")</f>
        <v/>
      </c>
      <c r="Q508" s="38" t="str">
        <f t="shared" ref="Q508:Q571" si="53">IF(P508&lt;&gt;"",IF(H508="ILF", L508/$E$46,IF(H508="EIF", L508/$E$46,"")),"")</f>
        <v/>
      </c>
      <c r="R508" s="37" t="str">
        <f t="shared" ref="R508:R571" si="54">IF(P508&lt;&gt;"",P508*Q508,"")</f>
        <v/>
      </c>
      <c r="S508" s="37" t="str">
        <f t="shared" ref="S508:S571" si="55">IF(F508="수정 후 재사용",IF(H508="EI",G508,IF(H508="EO",G508,IF(H508="EQ",G508,""))),"")</f>
        <v/>
      </c>
      <c r="T508" s="38" t="str">
        <f t="shared" ref="T508:T571" si="56">IF(S508&lt;&gt;"",IF(H508="EI",L508/$E$47,IF(H508="EO",L508/$E$47,IF(H508="EQ",L508/$E$47,""))),"")</f>
        <v/>
      </c>
      <c r="U508" s="37" t="str">
        <f t="shared" ref="U508:U571" si="57">IF(S508&lt;&gt;"",S508*T508,"")</f>
        <v/>
      </c>
    </row>
    <row r="509" spans="2:21" ht="27">
      <c r="B509" s="282" t="s">
        <v>957</v>
      </c>
      <c r="C509" s="156" t="s">
        <v>1002</v>
      </c>
      <c r="D509" s="157" t="s">
        <v>1002</v>
      </c>
      <c r="E509" s="281" t="s">
        <v>1003</v>
      </c>
      <c r="F509" s="151" t="s">
        <v>127</v>
      </c>
      <c r="G509" s="152">
        <v>0</v>
      </c>
      <c r="H509" s="153" t="s">
        <v>6</v>
      </c>
      <c r="I509" s="154">
        <v>1</v>
      </c>
      <c r="J509" s="154">
        <v>8</v>
      </c>
      <c r="K509" s="30" t="str">
        <f>IF(H509="","",IF($C$30="간이법","",FPR(H509,I509,J509)))</f>
        <v/>
      </c>
      <c r="L509" s="30">
        <f>IF(H509="","",IF($C$30="상세법",FPV(H509,K509),IF(H509="EI",4,IF(H509="EO",5.2,IF(H509="EQ",3.9,IF(H509="ILF",7.5,IF(H509="EIF",5.4)))))))</f>
        <v>7.5</v>
      </c>
      <c r="M509" s="30" t="str">
        <f t="shared" si="51"/>
        <v/>
      </c>
      <c r="N509" s="134"/>
      <c r="O509" s="29"/>
      <c r="P509" s="37" t="str">
        <f t="shared" si="52"/>
        <v/>
      </c>
      <c r="Q509" s="38" t="str">
        <f t="shared" si="53"/>
        <v/>
      </c>
      <c r="R509" s="37" t="str">
        <f t="shared" si="54"/>
        <v/>
      </c>
      <c r="S509" s="37" t="str">
        <f t="shared" si="55"/>
        <v/>
      </c>
      <c r="T509" s="38" t="str">
        <f t="shared" si="56"/>
        <v/>
      </c>
      <c r="U509" s="37" t="str">
        <f t="shared" si="57"/>
        <v/>
      </c>
    </row>
    <row r="510" spans="2:21" ht="17.25">
      <c r="B510" s="282" t="s">
        <v>957</v>
      </c>
      <c r="C510" s="156" t="s">
        <v>1004</v>
      </c>
      <c r="D510" s="157" t="s">
        <v>1004</v>
      </c>
      <c r="E510" s="281" t="s">
        <v>1005</v>
      </c>
      <c r="F510" s="151" t="s">
        <v>127</v>
      </c>
      <c r="G510" s="152">
        <v>0</v>
      </c>
      <c r="H510" s="153" t="s">
        <v>6</v>
      </c>
      <c r="I510" s="154">
        <v>1</v>
      </c>
      <c r="J510" s="154">
        <v>4</v>
      </c>
      <c r="K510" s="30" t="str">
        <f>IF(H510="","",IF($C$30="간이법","",FPR(H510,I510,J510)))</f>
        <v/>
      </c>
      <c r="L510" s="30">
        <f>IF(H510="","",IF($C$30="상세법",FPV(H510,K510),IF(H510="EI",4,IF(H510="EO",5.2,IF(H510="EQ",3.9,IF(H510="ILF",7.5,IF(H510="EIF",5.4)))))))</f>
        <v>7.5</v>
      </c>
      <c r="M510" s="30" t="str">
        <f t="shared" si="51"/>
        <v/>
      </c>
      <c r="N510" s="134"/>
      <c r="O510" s="29"/>
      <c r="P510" s="37" t="str">
        <f t="shared" si="52"/>
        <v/>
      </c>
      <c r="Q510" s="38" t="str">
        <f t="shared" si="53"/>
        <v/>
      </c>
      <c r="R510" s="37" t="str">
        <f t="shared" si="54"/>
        <v/>
      </c>
      <c r="S510" s="37" t="str">
        <f t="shared" si="55"/>
        <v/>
      </c>
      <c r="T510" s="38" t="str">
        <f t="shared" si="56"/>
        <v/>
      </c>
      <c r="U510" s="37" t="str">
        <f t="shared" si="57"/>
        <v/>
      </c>
    </row>
    <row r="511" spans="2:21" ht="27">
      <c r="B511" s="282" t="s">
        <v>957</v>
      </c>
      <c r="C511" s="156" t="s">
        <v>1006</v>
      </c>
      <c r="D511" s="157" t="s">
        <v>1007</v>
      </c>
      <c r="E511" s="281" t="s">
        <v>1008</v>
      </c>
      <c r="F511" s="151" t="s">
        <v>127</v>
      </c>
      <c r="G511" s="152">
        <v>0</v>
      </c>
      <c r="H511" s="153" t="s">
        <v>6</v>
      </c>
      <c r="I511" s="154">
        <v>1</v>
      </c>
      <c r="J511" s="154">
        <v>32</v>
      </c>
      <c r="K511" s="30" t="str">
        <f>IF(H511="","",IF($C$30="간이법","",FPR(H511,I511,J511)))</f>
        <v/>
      </c>
      <c r="L511" s="30">
        <f>IF(H511="","",IF($C$30="상세법",FPV(H511,K511),IF(H511="EI",4,IF(H511="EO",5.2,IF(H511="EQ",3.9,IF(H511="ILF",7.5,IF(H511="EIF",5.4)))))))</f>
        <v>7.5</v>
      </c>
      <c r="M511" s="30" t="str">
        <f t="shared" si="51"/>
        <v/>
      </c>
      <c r="N511" s="134"/>
      <c r="O511" s="29"/>
      <c r="P511" s="37" t="str">
        <f t="shared" si="52"/>
        <v/>
      </c>
      <c r="Q511" s="38" t="str">
        <f t="shared" si="53"/>
        <v/>
      </c>
      <c r="R511" s="37" t="str">
        <f t="shared" si="54"/>
        <v/>
      </c>
      <c r="S511" s="37" t="str">
        <f t="shared" si="55"/>
        <v/>
      </c>
      <c r="T511" s="38" t="str">
        <f t="shared" si="56"/>
        <v/>
      </c>
      <c r="U511" s="37" t="str">
        <f t="shared" si="57"/>
        <v/>
      </c>
    </row>
    <row r="512" spans="2:21" ht="27">
      <c r="B512" s="282" t="s">
        <v>957</v>
      </c>
      <c r="C512" s="156" t="s">
        <v>1009</v>
      </c>
      <c r="D512" s="157" t="s">
        <v>1009</v>
      </c>
      <c r="E512" s="281" t="s">
        <v>1010</v>
      </c>
      <c r="F512" s="151" t="s">
        <v>127</v>
      </c>
      <c r="G512" s="152">
        <v>0</v>
      </c>
      <c r="H512" s="153" t="s">
        <v>6</v>
      </c>
      <c r="I512" s="154">
        <v>1</v>
      </c>
      <c r="J512" s="154">
        <v>5</v>
      </c>
      <c r="K512" s="30" t="str">
        <f>IF(H512="","",IF($C$30="간이법","",FPR(H512,I512,J512)))</f>
        <v/>
      </c>
      <c r="L512" s="30">
        <f>IF(H512="","",IF($C$30="상세법",FPV(H512,K512),IF(H512="EI",4,IF(H512="EO",5.2,IF(H512="EQ",3.9,IF(H512="ILF",7.5,IF(H512="EIF",5.4)))))))</f>
        <v>7.5</v>
      </c>
      <c r="M512" s="30" t="str">
        <f t="shared" si="51"/>
        <v/>
      </c>
      <c r="N512" s="134"/>
      <c r="O512" s="29"/>
      <c r="P512" s="37" t="str">
        <f t="shared" si="52"/>
        <v/>
      </c>
      <c r="Q512" s="38" t="str">
        <f t="shared" si="53"/>
        <v/>
      </c>
      <c r="R512" s="37" t="str">
        <f t="shared" si="54"/>
        <v/>
      </c>
      <c r="S512" s="37" t="str">
        <f t="shared" si="55"/>
        <v/>
      </c>
      <c r="T512" s="38" t="str">
        <f t="shared" si="56"/>
        <v/>
      </c>
      <c r="U512" s="37" t="str">
        <f t="shared" si="57"/>
        <v/>
      </c>
    </row>
    <row r="513" spans="2:21" ht="27">
      <c r="B513" s="282" t="s">
        <v>957</v>
      </c>
      <c r="C513" s="156" t="s">
        <v>1011</v>
      </c>
      <c r="D513" s="157" t="s">
        <v>1011</v>
      </c>
      <c r="E513" s="281" t="s">
        <v>1012</v>
      </c>
      <c r="F513" s="151" t="s">
        <v>127</v>
      </c>
      <c r="G513" s="152">
        <v>0</v>
      </c>
      <c r="H513" s="153" t="s">
        <v>6</v>
      </c>
      <c r="I513" s="154">
        <v>1</v>
      </c>
      <c r="J513" s="154">
        <v>15</v>
      </c>
      <c r="K513" s="30" t="str">
        <f>IF(H513="","",IF($C$30="간이법","",FPR(H513,I513,J513)))</f>
        <v/>
      </c>
      <c r="L513" s="30">
        <f>IF(H513="","",IF($C$30="상세법",FPV(H513,K513),IF(H513="EI",4,IF(H513="EO",5.2,IF(H513="EQ",3.9,IF(H513="ILF",7.5,IF(H513="EIF",5.4)))))))</f>
        <v>7.5</v>
      </c>
      <c r="M513" s="30" t="str">
        <f t="shared" si="51"/>
        <v/>
      </c>
      <c r="N513" s="134"/>
      <c r="O513" s="29"/>
      <c r="P513" s="37" t="str">
        <f t="shared" si="52"/>
        <v/>
      </c>
      <c r="Q513" s="38" t="str">
        <f t="shared" si="53"/>
        <v/>
      </c>
      <c r="R513" s="37" t="str">
        <f t="shared" si="54"/>
        <v/>
      </c>
      <c r="S513" s="37" t="str">
        <f t="shared" si="55"/>
        <v/>
      </c>
      <c r="T513" s="38" t="str">
        <f t="shared" si="56"/>
        <v/>
      </c>
      <c r="U513" s="37" t="str">
        <f t="shared" si="57"/>
        <v/>
      </c>
    </row>
    <row r="514" spans="2:21" ht="27">
      <c r="B514" s="282" t="s">
        <v>957</v>
      </c>
      <c r="C514" s="156" t="s">
        <v>1013</v>
      </c>
      <c r="D514" s="157" t="s">
        <v>1013</v>
      </c>
      <c r="E514" s="281" t="s">
        <v>1014</v>
      </c>
      <c r="F514" s="151" t="s">
        <v>127</v>
      </c>
      <c r="G514" s="152">
        <v>0</v>
      </c>
      <c r="H514" s="153" t="s">
        <v>6</v>
      </c>
      <c r="I514" s="154">
        <v>1</v>
      </c>
      <c r="J514" s="154">
        <v>6</v>
      </c>
      <c r="K514" s="30" t="str">
        <f>IF(H514="","",IF($C$30="간이법","",FPR(H514,I514,J514)))</f>
        <v/>
      </c>
      <c r="L514" s="30">
        <f>IF(H514="","",IF($C$30="상세법",FPV(H514,K514),IF(H514="EI",4,IF(H514="EO",5.2,IF(H514="EQ",3.9,IF(H514="ILF",7.5,IF(H514="EIF",5.4)))))))</f>
        <v>7.5</v>
      </c>
      <c r="M514" s="30" t="str">
        <f t="shared" si="51"/>
        <v/>
      </c>
      <c r="N514" s="134"/>
      <c r="O514" s="29"/>
      <c r="P514" s="37" t="str">
        <f t="shared" si="52"/>
        <v/>
      </c>
      <c r="Q514" s="38" t="str">
        <f t="shared" si="53"/>
        <v/>
      </c>
      <c r="R514" s="37" t="str">
        <f t="shared" si="54"/>
        <v/>
      </c>
      <c r="S514" s="37" t="str">
        <f t="shared" si="55"/>
        <v/>
      </c>
      <c r="T514" s="38" t="str">
        <f t="shared" si="56"/>
        <v/>
      </c>
      <c r="U514" s="37" t="str">
        <f t="shared" si="57"/>
        <v/>
      </c>
    </row>
    <row r="515" spans="2:21" ht="27">
      <c r="B515" s="282" t="s">
        <v>957</v>
      </c>
      <c r="C515" s="156" t="s">
        <v>1015</v>
      </c>
      <c r="D515" s="157" t="s">
        <v>1015</v>
      </c>
      <c r="E515" s="281" t="s">
        <v>1016</v>
      </c>
      <c r="F515" s="151" t="s">
        <v>127</v>
      </c>
      <c r="G515" s="152">
        <v>0</v>
      </c>
      <c r="H515" s="153" t="s">
        <v>6</v>
      </c>
      <c r="I515" s="154">
        <v>1</v>
      </c>
      <c r="J515" s="154">
        <v>8</v>
      </c>
      <c r="K515" s="30" t="str">
        <f>IF(H515="","",IF($C$30="간이법","",FPR(H515,I515,J515)))</f>
        <v/>
      </c>
      <c r="L515" s="30">
        <f>IF(H515="","",IF($C$30="상세법",FPV(H515,K515),IF(H515="EI",4,IF(H515="EO",5.2,IF(H515="EQ",3.9,IF(H515="ILF",7.5,IF(H515="EIF",5.4)))))))</f>
        <v>7.5</v>
      </c>
      <c r="M515" s="30" t="str">
        <f t="shared" si="51"/>
        <v/>
      </c>
      <c r="N515" s="134"/>
      <c r="O515" s="29"/>
      <c r="P515" s="37" t="str">
        <f t="shared" si="52"/>
        <v/>
      </c>
      <c r="Q515" s="38" t="str">
        <f t="shared" si="53"/>
        <v/>
      </c>
      <c r="R515" s="37" t="str">
        <f t="shared" si="54"/>
        <v/>
      </c>
      <c r="S515" s="37" t="str">
        <f t="shared" si="55"/>
        <v/>
      </c>
      <c r="T515" s="38" t="str">
        <f t="shared" si="56"/>
        <v/>
      </c>
      <c r="U515" s="37" t="str">
        <f t="shared" si="57"/>
        <v/>
      </c>
    </row>
    <row r="516" spans="2:21" ht="27">
      <c r="B516" s="282" t="s">
        <v>957</v>
      </c>
      <c r="C516" s="156" t="s">
        <v>1017</v>
      </c>
      <c r="D516" s="157" t="s">
        <v>1017</v>
      </c>
      <c r="E516" s="281" t="s">
        <v>1018</v>
      </c>
      <c r="F516" s="151" t="s">
        <v>127</v>
      </c>
      <c r="G516" s="152">
        <v>0</v>
      </c>
      <c r="H516" s="153" t="s">
        <v>6</v>
      </c>
      <c r="I516" s="154">
        <v>1</v>
      </c>
      <c r="J516" s="154">
        <v>6</v>
      </c>
      <c r="K516" s="30" t="str">
        <f>IF(H516="","",IF($C$30="간이법","",FPR(H516,I516,J516)))</f>
        <v/>
      </c>
      <c r="L516" s="30">
        <f>IF(H516="","",IF($C$30="상세법",FPV(H516,K516),IF(H516="EI",4,IF(H516="EO",5.2,IF(H516="EQ",3.9,IF(H516="ILF",7.5,IF(H516="EIF",5.4)))))))</f>
        <v>7.5</v>
      </c>
      <c r="M516" s="30" t="str">
        <f t="shared" si="51"/>
        <v/>
      </c>
      <c r="N516" s="134"/>
      <c r="O516" s="29"/>
      <c r="P516" s="37" t="str">
        <f t="shared" si="52"/>
        <v/>
      </c>
      <c r="Q516" s="38" t="str">
        <f t="shared" si="53"/>
        <v/>
      </c>
      <c r="R516" s="37" t="str">
        <f t="shared" si="54"/>
        <v/>
      </c>
      <c r="S516" s="37" t="str">
        <f t="shared" si="55"/>
        <v/>
      </c>
      <c r="T516" s="38" t="str">
        <f t="shared" si="56"/>
        <v/>
      </c>
      <c r="U516" s="37" t="str">
        <f t="shared" si="57"/>
        <v/>
      </c>
    </row>
    <row r="517" spans="2:21" ht="27">
      <c r="B517" s="282" t="s">
        <v>957</v>
      </c>
      <c r="C517" s="156" t="s">
        <v>1019</v>
      </c>
      <c r="D517" s="157" t="s">
        <v>1019</v>
      </c>
      <c r="E517" s="281" t="s">
        <v>1019</v>
      </c>
      <c r="F517" s="151" t="s">
        <v>127</v>
      </c>
      <c r="G517" s="152">
        <v>0</v>
      </c>
      <c r="H517" s="153" t="s">
        <v>6</v>
      </c>
      <c r="I517" s="154">
        <v>1</v>
      </c>
      <c r="J517" s="154">
        <v>4</v>
      </c>
      <c r="K517" s="30" t="str">
        <f>IF(H517="","",IF($C$30="간이법","",FPR(H517,I517,J517)))</f>
        <v/>
      </c>
      <c r="L517" s="30">
        <f>IF(H517="","",IF($C$30="상세법",FPV(H517,K517),IF(H517="EI",4,IF(H517="EO",5.2,IF(H517="EQ",3.9,IF(H517="ILF",7.5,IF(H517="EIF",5.4)))))))</f>
        <v>7.5</v>
      </c>
      <c r="M517" s="30" t="str">
        <f t="shared" si="51"/>
        <v/>
      </c>
      <c r="N517" s="134"/>
      <c r="O517" s="29"/>
      <c r="P517" s="37" t="str">
        <f t="shared" si="52"/>
        <v/>
      </c>
      <c r="Q517" s="38" t="str">
        <f t="shared" si="53"/>
        <v/>
      </c>
      <c r="R517" s="37" t="str">
        <f t="shared" si="54"/>
        <v/>
      </c>
      <c r="S517" s="37" t="str">
        <f t="shared" si="55"/>
        <v/>
      </c>
      <c r="T517" s="38" t="str">
        <f t="shared" si="56"/>
        <v/>
      </c>
      <c r="U517" s="37" t="str">
        <f t="shared" si="57"/>
        <v/>
      </c>
    </row>
    <row r="518" spans="2:21" ht="27">
      <c r="B518" s="282" t="s">
        <v>957</v>
      </c>
      <c r="C518" s="156" t="s">
        <v>1020</v>
      </c>
      <c r="D518" s="157" t="s">
        <v>1020</v>
      </c>
      <c r="E518" s="281" t="s">
        <v>1021</v>
      </c>
      <c r="F518" s="151" t="s">
        <v>127</v>
      </c>
      <c r="G518" s="152">
        <v>0</v>
      </c>
      <c r="H518" s="153" t="s">
        <v>6</v>
      </c>
      <c r="I518" s="154">
        <v>1</v>
      </c>
      <c r="J518" s="154">
        <v>24</v>
      </c>
      <c r="K518" s="30" t="str">
        <f>IF(H518="","",IF($C$30="간이법","",FPR(H518,I518,J518)))</f>
        <v/>
      </c>
      <c r="L518" s="30">
        <f>IF(H518="","",IF($C$30="상세법",FPV(H518,K518),IF(H518="EI",4,IF(H518="EO",5.2,IF(H518="EQ",3.9,IF(H518="ILF",7.5,IF(H518="EIF",5.4)))))))</f>
        <v>7.5</v>
      </c>
      <c r="M518" s="30" t="str">
        <f t="shared" si="51"/>
        <v/>
      </c>
      <c r="N518" s="134"/>
      <c r="O518" s="29"/>
      <c r="P518" s="37" t="str">
        <f t="shared" si="52"/>
        <v/>
      </c>
      <c r="Q518" s="38" t="str">
        <f t="shared" si="53"/>
        <v/>
      </c>
      <c r="R518" s="37" t="str">
        <f t="shared" si="54"/>
        <v/>
      </c>
      <c r="S518" s="37" t="str">
        <f t="shared" si="55"/>
        <v/>
      </c>
      <c r="T518" s="38" t="str">
        <f t="shared" si="56"/>
        <v/>
      </c>
      <c r="U518" s="37" t="str">
        <f t="shared" si="57"/>
        <v/>
      </c>
    </row>
    <row r="519" spans="2:21" ht="27">
      <c r="B519" s="282" t="s">
        <v>957</v>
      </c>
      <c r="C519" s="156" t="s">
        <v>1022</v>
      </c>
      <c r="D519" s="157" t="s">
        <v>1022</v>
      </c>
      <c r="E519" s="281" t="s">
        <v>1023</v>
      </c>
      <c r="F519" s="151" t="s">
        <v>127</v>
      </c>
      <c r="G519" s="152">
        <v>0</v>
      </c>
      <c r="H519" s="153" t="s">
        <v>6</v>
      </c>
      <c r="I519" s="154">
        <v>1</v>
      </c>
      <c r="J519" s="154">
        <v>10</v>
      </c>
      <c r="K519" s="30" t="str">
        <f>IF(H519="","",IF($C$30="간이법","",FPR(H519,I519,J519)))</f>
        <v/>
      </c>
      <c r="L519" s="30">
        <f>IF(H519="","",IF($C$30="상세법",FPV(H519,K519),IF(H519="EI",4,IF(H519="EO",5.2,IF(H519="EQ",3.9,IF(H519="ILF",7.5,IF(H519="EIF",5.4)))))))</f>
        <v>7.5</v>
      </c>
      <c r="M519" s="30" t="str">
        <f t="shared" si="51"/>
        <v/>
      </c>
      <c r="N519" s="134"/>
      <c r="O519" s="29"/>
      <c r="P519" s="37" t="str">
        <f t="shared" si="52"/>
        <v/>
      </c>
      <c r="Q519" s="38" t="str">
        <f t="shared" si="53"/>
        <v/>
      </c>
      <c r="R519" s="37" t="str">
        <f t="shared" si="54"/>
        <v/>
      </c>
      <c r="S519" s="37" t="str">
        <f t="shared" si="55"/>
        <v/>
      </c>
      <c r="T519" s="38" t="str">
        <f t="shared" si="56"/>
        <v/>
      </c>
      <c r="U519" s="37" t="str">
        <f t="shared" si="57"/>
        <v/>
      </c>
    </row>
    <row r="520" spans="2:21" ht="17.25">
      <c r="B520" s="282" t="s">
        <v>957</v>
      </c>
      <c r="C520" s="156" t="s">
        <v>1024</v>
      </c>
      <c r="D520" s="157" t="s">
        <v>1024</v>
      </c>
      <c r="E520" s="281" t="s">
        <v>1025</v>
      </c>
      <c r="F520" s="151" t="s">
        <v>127</v>
      </c>
      <c r="G520" s="152">
        <v>0</v>
      </c>
      <c r="H520" s="153" t="s">
        <v>6</v>
      </c>
      <c r="I520" s="154">
        <v>1</v>
      </c>
      <c r="J520" s="154">
        <v>11</v>
      </c>
      <c r="K520" s="30" t="str">
        <f>IF(H520="","",IF($C$30="간이법","",FPR(H520,I520,J520)))</f>
        <v/>
      </c>
      <c r="L520" s="30">
        <f>IF(H520="","",IF($C$30="상세법",FPV(H520,K520),IF(H520="EI",4,IF(H520="EO",5.2,IF(H520="EQ",3.9,IF(H520="ILF",7.5,IF(H520="EIF",5.4)))))))</f>
        <v>7.5</v>
      </c>
      <c r="M520" s="30" t="str">
        <f t="shared" si="51"/>
        <v/>
      </c>
      <c r="N520" s="134"/>
      <c r="O520" s="29"/>
      <c r="P520" s="37" t="str">
        <f t="shared" si="52"/>
        <v/>
      </c>
      <c r="Q520" s="38" t="str">
        <f t="shared" si="53"/>
        <v/>
      </c>
      <c r="R520" s="37" t="str">
        <f t="shared" si="54"/>
        <v/>
      </c>
      <c r="S520" s="37" t="str">
        <f t="shared" si="55"/>
        <v/>
      </c>
      <c r="T520" s="38" t="str">
        <f t="shared" si="56"/>
        <v/>
      </c>
      <c r="U520" s="37" t="str">
        <f t="shared" si="57"/>
        <v/>
      </c>
    </row>
    <row r="521" spans="2:21" ht="27">
      <c r="B521" s="282" t="s">
        <v>957</v>
      </c>
      <c r="C521" s="156" t="s">
        <v>1026</v>
      </c>
      <c r="D521" s="157" t="s">
        <v>1026</v>
      </c>
      <c r="E521" s="281" t="s">
        <v>1027</v>
      </c>
      <c r="F521" s="151" t="s">
        <v>127</v>
      </c>
      <c r="G521" s="152">
        <v>0</v>
      </c>
      <c r="H521" s="153" t="s">
        <v>6</v>
      </c>
      <c r="I521" s="154">
        <v>1</v>
      </c>
      <c r="J521" s="154">
        <v>9</v>
      </c>
      <c r="K521" s="30" t="str">
        <f>IF(H521="","",IF($C$30="간이법","",FPR(H521,I521,J521)))</f>
        <v/>
      </c>
      <c r="L521" s="30">
        <f>IF(H521="","",IF($C$30="상세법",FPV(H521,K521),IF(H521="EI",4,IF(H521="EO",5.2,IF(H521="EQ",3.9,IF(H521="ILF",7.5,IF(H521="EIF",5.4)))))))</f>
        <v>7.5</v>
      </c>
      <c r="M521" s="30" t="str">
        <f t="shared" si="51"/>
        <v/>
      </c>
      <c r="N521" s="134"/>
      <c r="O521" s="29"/>
      <c r="P521" s="37" t="str">
        <f t="shared" si="52"/>
        <v/>
      </c>
      <c r="Q521" s="38" t="str">
        <f t="shared" si="53"/>
        <v/>
      </c>
      <c r="R521" s="37" t="str">
        <f t="shared" si="54"/>
        <v/>
      </c>
      <c r="S521" s="37" t="str">
        <f t="shared" si="55"/>
        <v/>
      </c>
      <c r="T521" s="38" t="str">
        <f t="shared" si="56"/>
        <v/>
      </c>
      <c r="U521" s="37" t="str">
        <f t="shared" si="57"/>
        <v/>
      </c>
    </row>
    <row r="522" spans="2:21" ht="27">
      <c r="B522" s="282" t="s">
        <v>957</v>
      </c>
      <c r="C522" s="156" t="s">
        <v>1028</v>
      </c>
      <c r="D522" s="157" t="s">
        <v>1028</v>
      </c>
      <c r="E522" s="281" t="s">
        <v>1029</v>
      </c>
      <c r="F522" s="151" t="s">
        <v>127</v>
      </c>
      <c r="G522" s="152">
        <v>0</v>
      </c>
      <c r="H522" s="153" t="s">
        <v>6</v>
      </c>
      <c r="I522" s="154">
        <v>1</v>
      </c>
      <c r="J522" s="154">
        <v>12</v>
      </c>
      <c r="K522" s="30" t="str">
        <f>IF(H522="","",IF($C$30="간이법","",FPR(H522,I522,J522)))</f>
        <v/>
      </c>
      <c r="L522" s="30">
        <f>IF(H522="","",IF($C$30="상세법",FPV(H522,K522),IF(H522="EI",4,IF(H522="EO",5.2,IF(H522="EQ",3.9,IF(H522="ILF",7.5,IF(H522="EIF",5.4)))))))</f>
        <v>7.5</v>
      </c>
      <c r="M522" s="30" t="str">
        <f t="shared" si="51"/>
        <v/>
      </c>
      <c r="N522" s="134"/>
      <c r="O522" s="29"/>
      <c r="P522" s="37" t="str">
        <f t="shared" si="52"/>
        <v/>
      </c>
      <c r="Q522" s="38" t="str">
        <f t="shared" si="53"/>
        <v/>
      </c>
      <c r="R522" s="37" t="str">
        <f t="shared" si="54"/>
        <v/>
      </c>
      <c r="S522" s="37" t="str">
        <f t="shared" si="55"/>
        <v/>
      </c>
      <c r="T522" s="38" t="str">
        <f t="shared" si="56"/>
        <v/>
      </c>
      <c r="U522" s="37" t="str">
        <f t="shared" si="57"/>
        <v/>
      </c>
    </row>
    <row r="523" spans="2:21" ht="27">
      <c r="B523" s="282" t="s">
        <v>957</v>
      </c>
      <c r="C523" s="156" t="s">
        <v>1030</v>
      </c>
      <c r="D523" s="157" t="s">
        <v>1030</v>
      </c>
      <c r="E523" s="281" t="s">
        <v>1031</v>
      </c>
      <c r="F523" s="151" t="s">
        <v>127</v>
      </c>
      <c r="G523" s="152">
        <v>0</v>
      </c>
      <c r="H523" s="153" t="s">
        <v>6</v>
      </c>
      <c r="I523" s="154">
        <v>1</v>
      </c>
      <c r="J523" s="154">
        <v>13</v>
      </c>
      <c r="K523" s="30" t="str">
        <f>IF(H523="","",IF($C$30="간이법","",FPR(H523,I523,J523)))</f>
        <v/>
      </c>
      <c r="L523" s="30">
        <f>IF(H523="","",IF($C$30="상세법",FPV(H523,K523),IF(H523="EI",4,IF(H523="EO",5.2,IF(H523="EQ",3.9,IF(H523="ILF",7.5,IF(H523="EIF",5.4)))))))</f>
        <v>7.5</v>
      </c>
      <c r="M523" s="30" t="str">
        <f t="shared" si="51"/>
        <v/>
      </c>
      <c r="N523" s="134"/>
      <c r="O523" s="29"/>
      <c r="P523" s="37" t="str">
        <f t="shared" si="52"/>
        <v/>
      </c>
      <c r="Q523" s="38" t="str">
        <f t="shared" si="53"/>
        <v/>
      </c>
      <c r="R523" s="37" t="str">
        <f t="shared" si="54"/>
        <v/>
      </c>
      <c r="S523" s="37" t="str">
        <f t="shared" si="55"/>
        <v/>
      </c>
      <c r="T523" s="38" t="str">
        <f t="shared" si="56"/>
        <v/>
      </c>
      <c r="U523" s="37" t="str">
        <f t="shared" si="57"/>
        <v/>
      </c>
    </row>
    <row r="524" spans="2:21" ht="27">
      <c r="B524" s="282" t="s">
        <v>957</v>
      </c>
      <c r="C524" s="156" t="s">
        <v>1032</v>
      </c>
      <c r="D524" s="157" t="s">
        <v>1033</v>
      </c>
      <c r="E524" s="281" t="s">
        <v>1034</v>
      </c>
      <c r="F524" s="151" t="s">
        <v>127</v>
      </c>
      <c r="G524" s="152">
        <v>0</v>
      </c>
      <c r="H524" s="153" t="s">
        <v>6</v>
      </c>
      <c r="I524" s="154">
        <v>1</v>
      </c>
      <c r="J524" s="154">
        <v>20</v>
      </c>
      <c r="K524" s="30" t="str">
        <f>IF(H524="","",IF($C$30="간이법","",FPR(H524,I524,J524)))</f>
        <v/>
      </c>
      <c r="L524" s="30">
        <f>IF(H524="","",IF($C$30="상세법",FPV(H524,K524),IF(H524="EI",4,IF(H524="EO",5.2,IF(H524="EQ",3.9,IF(H524="ILF",7.5,IF(H524="EIF",5.4)))))))</f>
        <v>7.5</v>
      </c>
      <c r="M524" s="30" t="str">
        <f t="shared" si="51"/>
        <v/>
      </c>
      <c r="N524" s="134"/>
      <c r="O524" s="29"/>
      <c r="P524" s="37" t="str">
        <f t="shared" si="52"/>
        <v/>
      </c>
      <c r="Q524" s="38" t="str">
        <f t="shared" si="53"/>
        <v/>
      </c>
      <c r="R524" s="37" t="str">
        <f t="shared" si="54"/>
        <v/>
      </c>
      <c r="S524" s="37" t="str">
        <f t="shared" si="55"/>
        <v/>
      </c>
      <c r="T524" s="38" t="str">
        <f t="shared" si="56"/>
        <v/>
      </c>
      <c r="U524" s="37" t="str">
        <f t="shared" si="57"/>
        <v/>
      </c>
    </row>
    <row r="525" spans="2:21" ht="17.25">
      <c r="B525" s="282" t="s">
        <v>957</v>
      </c>
      <c r="C525" s="156" t="s">
        <v>1035</v>
      </c>
      <c r="D525" s="157" t="s">
        <v>1035</v>
      </c>
      <c r="E525" s="281" t="s">
        <v>1036</v>
      </c>
      <c r="F525" s="151" t="s">
        <v>127</v>
      </c>
      <c r="G525" s="152">
        <v>0</v>
      </c>
      <c r="H525" s="153" t="s">
        <v>6</v>
      </c>
      <c r="I525" s="154">
        <v>1</v>
      </c>
      <c r="J525" s="154">
        <v>7</v>
      </c>
      <c r="K525" s="30" t="str">
        <f>IF(H525="","",IF($C$30="간이법","",FPR(H525,I525,J525)))</f>
        <v/>
      </c>
      <c r="L525" s="30">
        <f>IF(H525="","",IF($C$30="상세법",FPV(H525,K525),IF(H525="EI",4,IF(H525="EO",5.2,IF(H525="EQ",3.9,IF(H525="ILF",7.5,IF(H525="EIF",5.4)))))))</f>
        <v>7.5</v>
      </c>
      <c r="M525" s="30" t="str">
        <f t="shared" si="51"/>
        <v/>
      </c>
      <c r="N525" s="134"/>
      <c r="O525" s="29"/>
      <c r="P525" s="37" t="str">
        <f t="shared" si="52"/>
        <v/>
      </c>
      <c r="Q525" s="38" t="str">
        <f t="shared" si="53"/>
        <v/>
      </c>
      <c r="R525" s="37" t="str">
        <f t="shared" si="54"/>
        <v/>
      </c>
      <c r="S525" s="37" t="str">
        <f t="shared" si="55"/>
        <v/>
      </c>
      <c r="T525" s="38" t="str">
        <f t="shared" si="56"/>
        <v/>
      </c>
      <c r="U525" s="37" t="str">
        <f t="shared" si="57"/>
        <v/>
      </c>
    </row>
    <row r="526" spans="2:21" ht="27">
      <c r="B526" s="282" t="s">
        <v>957</v>
      </c>
      <c r="C526" s="156" t="s">
        <v>1037</v>
      </c>
      <c r="D526" s="157" t="s">
        <v>1037</v>
      </c>
      <c r="E526" s="281" t="s">
        <v>1038</v>
      </c>
      <c r="F526" s="151" t="s">
        <v>127</v>
      </c>
      <c r="G526" s="152">
        <v>0</v>
      </c>
      <c r="H526" s="153" t="s">
        <v>6</v>
      </c>
      <c r="I526" s="154">
        <v>1</v>
      </c>
      <c r="J526" s="154">
        <v>8</v>
      </c>
      <c r="K526" s="30" t="str">
        <f>IF(H526="","",IF($C$30="간이법","",FPR(H526,I526,J526)))</f>
        <v/>
      </c>
      <c r="L526" s="30">
        <f>IF(H526="","",IF($C$30="상세법",FPV(H526,K526),IF(H526="EI",4,IF(H526="EO",5.2,IF(H526="EQ",3.9,IF(H526="ILF",7.5,IF(H526="EIF",5.4)))))))</f>
        <v>7.5</v>
      </c>
      <c r="M526" s="30" t="str">
        <f t="shared" si="51"/>
        <v/>
      </c>
      <c r="N526" s="134"/>
      <c r="O526" s="29"/>
      <c r="P526" s="37" t="str">
        <f t="shared" si="52"/>
        <v/>
      </c>
      <c r="Q526" s="38" t="str">
        <f t="shared" si="53"/>
        <v/>
      </c>
      <c r="R526" s="37" t="str">
        <f t="shared" si="54"/>
        <v/>
      </c>
      <c r="S526" s="37" t="str">
        <f t="shared" si="55"/>
        <v/>
      </c>
      <c r="T526" s="38" t="str">
        <f t="shared" si="56"/>
        <v/>
      </c>
      <c r="U526" s="37" t="str">
        <f t="shared" si="57"/>
        <v/>
      </c>
    </row>
    <row r="527" spans="2:21" ht="27">
      <c r="B527" s="282" t="s">
        <v>957</v>
      </c>
      <c r="C527" s="156" t="s">
        <v>1039</v>
      </c>
      <c r="D527" s="157" t="s">
        <v>1040</v>
      </c>
      <c r="E527" s="281" t="s">
        <v>1041</v>
      </c>
      <c r="F527" s="151" t="s">
        <v>127</v>
      </c>
      <c r="G527" s="152">
        <v>0</v>
      </c>
      <c r="H527" s="153" t="s">
        <v>6</v>
      </c>
      <c r="I527" s="154">
        <v>1</v>
      </c>
      <c r="J527" s="154">
        <v>13</v>
      </c>
      <c r="K527" s="30" t="str">
        <f>IF(H527="","",IF($C$30="간이법","",FPR(H527,I527,J527)))</f>
        <v/>
      </c>
      <c r="L527" s="30">
        <f>IF(H527="","",IF($C$30="상세법",FPV(H527,K527),IF(H527="EI",4,IF(H527="EO",5.2,IF(H527="EQ",3.9,IF(H527="ILF",7.5,IF(H527="EIF",5.4)))))))</f>
        <v>7.5</v>
      </c>
      <c r="M527" s="30" t="str">
        <f t="shared" si="51"/>
        <v/>
      </c>
      <c r="N527" s="134"/>
      <c r="O527" s="29"/>
      <c r="P527" s="37" t="str">
        <f t="shared" si="52"/>
        <v/>
      </c>
      <c r="Q527" s="38" t="str">
        <f t="shared" si="53"/>
        <v/>
      </c>
      <c r="R527" s="37" t="str">
        <f t="shared" si="54"/>
        <v/>
      </c>
      <c r="S527" s="37" t="str">
        <f t="shared" si="55"/>
        <v/>
      </c>
      <c r="T527" s="38" t="str">
        <f t="shared" si="56"/>
        <v/>
      </c>
      <c r="U527" s="37" t="str">
        <f t="shared" si="57"/>
        <v/>
      </c>
    </row>
    <row r="528" spans="2:21" ht="27">
      <c r="B528" s="282" t="s">
        <v>957</v>
      </c>
      <c r="C528" s="156" t="s">
        <v>1042</v>
      </c>
      <c r="D528" s="157" t="s">
        <v>1042</v>
      </c>
      <c r="E528" s="281" t="s">
        <v>1043</v>
      </c>
      <c r="F528" s="151" t="s">
        <v>127</v>
      </c>
      <c r="G528" s="152">
        <v>0</v>
      </c>
      <c r="H528" s="153" t="s">
        <v>6</v>
      </c>
      <c r="I528" s="154">
        <v>1</v>
      </c>
      <c r="J528" s="154">
        <v>10</v>
      </c>
      <c r="K528" s="30" t="str">
        <f>IF(H528="","",IF($C$30="간이법","",FPR(H528,I528,J528)))</f>
        <v/>
      </c>
      <c r="L528" s="30">
        <f>IF(H528="","",IF($C$30="상세법",FPV(H528,K528),IF(H528="EI",4,IF(H528="EO",5.2,IF(H528="EQ",3.9,IF(H528="ILF",7.5,IF(H528="EIF",5.4)))))))</f>
        <v>7.5</v>
      </c>
      <c r="M528" s="30" t="str">
        <f t="shared" si="51"/>
        <v/>
      </c>
      <c r="N528" s="134"/>
      <c r="O528" s="29"/>
      <c r="P528" s="37" t="str">
        <f t="shared" si="52"/>
        <v/>
      </c>
      <c r="Q528" s="38" t="str">
        <f t="shared" si="53"/>
        <v/>
      </c>
      <c r="R528" s="37" t="str">
        <f t="shared" si="54"/>
        <v/>
      </c>
      <c r="S528" s="37" t="str">
        <f t="shared" si="55"/>
        <v/>
      </c>
      <c r="T528" s="38" t="str">
        <f t="shared" si="56"/>
        <v/>
      </c>
      <c r="U528" s="37" t="str">
        <f t="shared" si="57"/>
        <v/>
      </c>
    </row>
    <row r="529" spans="2:21" ht="17.25">
      <c r="B529" s="282" t="s">
        <v>957</v>
      </c>
      <c r="C529" s="156" t="s">
        <v>1044</v>
      </c>
      <c r="D529" s="157" t="s">
        <v>1044</v>
      </c>
      <c r="E529" s="281" t="s">
        <v>1045</v>
      </c>
      <c r="F529" s="151" t="s">
        <v>46</v>
      </c>
      <c r="G529" s="152">
        <f>((0.25*0)+(0.45*0)+(0.3*5))/100</f>
        <v>1.4999999999999999E-2</v>
      </c>
      <c r="H529" s="153" t="s">
        <v>6</v>
      </c>
      <c r="I529" s="154">
        <v>1</v>
      </c>
      <c r="J529" s="154">
        <v>46</v>
      </c>
      <c r="K529" s="30" t="str">
        <f>IF(H529="","",IF($C$30="간이법","",FPR(H529,I529,J529)))</f>
        <v/>
      </c>
      <c r="L529" s="30">
        <f>IF(H529="","",IF($C$30="상세법",FPV(H529,K529),IF(H529="EI",4,IF(H529="EO",5.2,IF(H529="EQ",3.9,IF(H529="ILF",7.5,IF(H529="EIF",5.4)))))))</f>
        <v>7.5</v>
      </c>
      <c r="M529" s="30">
        <f t="shared" si="51"/>
        <v>0.63651717791411044</v>
      </c>
      <c r="N529" s="134"/>
      <c r="O529" s="29"/>
      <c r="P529" s="37">
        <f t="shared" si="52"/>
        <v>1.4999999999999999E-2</v>
      </c>
      <c r="Q529" s="38">
        <f t="shared" si="53"/>
        <v>1</v>
      </c>
      <c r="R529" s="37">
        <f t="shared" si="54"/>
        <v>1.4999999999999999E-2</v>
      </c>
      <c r="S529" s="37" t="str">
        <f t="shared" si="55"/>
        <v/>
      </c>
      <c r="T529" s="38" t="str">
        <f t="shared" si="56"/>
        <v/>
      </c>
      <c r="U529" s="37" t="str">
        <f t="shared" si="57"/>
        <v/>
      </c>
    </row>
    <row r="530" spans="2:21" ht="27">
      <c r="B530" s="282" t="s">
        <v>957</v>
      </c>
      <c r="C530" s="156" t="s">
        <v>1046</v>
      </c>
      <c r="D530" s="157" t="s">
        <v>1046</v>
      </c>
      <c r="E530" s="281" t="s">
        <v>1047</v>
      </c>
      <c r="F530" s="151" t="s">
        <v>127</v>
      </c>
      <c r="G530" s="152">
        <v>0</v>
      </c>
      <c r="H530" s="153" t="s">
        <v>6</v>
      </c>
      <c r="I530" s="154">
        <v>1</v>
      </c>
      <c r="J530" s="154">
        <v>5</v>
      </c>
      <c r="K530" s="30" t="str">
        <f>IF(H530="","",IF($C$30="간이법","",FPR(H530,I530,J530)))</f>
        <v/>
      </c>
      <c r="L530" s="30">
        <f>IF(H530="","",IF($C$30="상세법",FPV(H530,K530),IF(H530="EI",4,IF(H530="EO",5.2,IF(H530="EQ",3.9,IF(H530="ILF",7.5,IF(H530="EIF",5.4)))))))</f>
        <v>7.5</v>
      </c>
      <c r="M530" s="30" t="str">
        <f t="shared" si="51"/>
        <v/>
      </c>
      <c r="N530" s="134"/>
      <c r="O530" s="29"/>
      <c r="P530" s="37" t="str">
        <f t="shared" si="52"/>
        <v/>
      </c>
      <c r="Q530" s="38" t="str">
        <f t="shared" si="53"/>
        <v/>
      </c>
      <c r="R530" s="37" t="str">
        <f t="shared" si="54"/>
        <v/>
      </c>
      <c r="S530" s="37" t="str">
        <f t="shared" si="55"/>
        <v/>
      </c>
      <c r="T530" s="38" t="str">
        <f t="shared" si="56"/>
        <v/>
      </c>
      <c r="U530" s="37" t="str">
        <f t="shared" si="57"/>
        <v/>
      </c>
    </row>
    <row r="531" spans="2:21" ht="27">
      <c r="B531" s="282" t="s">
        <v>957</v>
      </c>
      <c r="C531" s="156" t="s">
        <v>1048</v>
      </c>
      <c r="D531" s="157" t="s">
        <v>1048</v>
      </c>
      <c r="E531" s="281" t="s">
        <v>1049</v>
      </c>
      <c r="F531" s="151" t="s">
        <v>127</v>
      </c>
      <c r="G531" s="152">
        <v>0</v>
      </c>
      <c r="H531" s="153" t="s">
        <v>6</v>
      </c>
      <c r="I531" s="154">
        <v>1</v>
      </c>
      <c r="J531" s="154">
        <v>4</v>
      </c>
      <c r="K531" s="30" t="str">
        <f>IF(H531="","",IF($C$30="간이법","",FPR(H531,I531,J531)))</f>
        <v/>
      </c>
      <c r="L531" s="30">
        <f>IF(H531="","",IF($C$30="상세법",FPV(H531,K531),IF(H531="EI",4,IF(H531="EO",5.2,IF(H531="EQ",3.9,IF(H531="ILF",7.5,IF(H531="EIF",5.4)))))))</f>
        <v>7.5</v>
      </c>
      <c r="M531" s="30" t="str">
        <f t="shared" si="51"/>
        <v/>
      </c>
      <c r="N531" s="134"/>
      <c r="O531" s="29"/>
      <c r="P531" s="37" t="str">
        <f t="shared" si="52"/>
        <v/>
      </c>
      <c r="Q531" s="38" t="str">
        <f t="shared" si="53"/>
        <v/>
      </c>
      <c r="R531" s="37" t="str">
        <f t="shared" si="54"/>
        <v/>
      </c>
      <c r="S531" s="37" t="str">
        <f t="shared" si="55"/>
        <v/>
      </c>
      <c r="T531" s="38" t="str">
        <f t="shared" si="56"/>
        <v/>
      </c>
      <c r="U531" s="37" t="str">
        <f t="shared" si="57"/>
        <v/>
      </c>
    </row>
    <row r="532" spans="2:21" ht="17.25">
      <c r="B532" s="282" t="s">
        <v>957</v>
      </c>
      <c r="C532" s="156" t="s">
        <v>1050</v>
      </c>
      <c r="D532" s="157" t="s">
        <v>1050</v>
      </c>
      <c r="E532" s="281" t="s">
        <v>1051</v>
      </c>
      <c r="F532" s="151" t="s">
        <v>127</v>
      </c>
      <c r="G532" s="152">
        <v>0</v>
      </c>
      <c r="H532" s="153" t="s">
        <v>6</v>
      </c>
      <c r="I532" s="154">
        <v>1</v>
      </c>
      <c r="J532" s="154">
        <v>9</v>
      </c>
      <c r="K532" s="30" t="str">
        <f>IF(H532="","",IF($C$30="간이법","",FPR(H532,I532,J532)))</f>
        <v/>
      </c>
      <c r="L532" s="30">
        <f>IF(H532="","",IF($C$30="상세법",FPV(H532,K532),IF(H532="EI",4,IF(H532="EO",5.2,IF(H532="EQ",3.9,IF(H532="ILF",7.5,IF(H532="EIF",5.4)))))))</f>
        <v>7.5</v>
      </c>
      <c r="M532" s="30" t="str">
        <f t="shared" si="51"/>
        <v/>
      </c>
      <c r="N532" s="134"/>
      <c r="O532" s="29"/>
      <c r="P532" s="37" t="str">
        <f t="shared" si="52"/>
        <v/>
      </c>
      <c r="Q532" s="38" t="str">
        <f t="shared" si="53"/>
        <v/>
      </c>
      <c r="R532" s="37" t="str">
        <f t="shared" si="54"/>
        <v/>
      </c>
      <c r="S532" s="37" t="str">
        <f t="shared" si="55"/>
        <v/>
      </c>
      <c r="T532" s="38" t="str">
        <f t="shared" si="56"/>
        <v/>
      </c>
      <c r="U532" s="37" t="str">
        <f t="shared" si="57"/>
        <v/>
      </c>
    </row>
    <row r="533" spans="2:21" ht="27">
      <c r="B533" s="282" t="s">
        <v>957</v>
      </c>
      <c r="C533" s="156" t="s">
        <v>1052</v>
      </c>
      <c r="D533" s="157" t="s">
        <v>1052</v>
      </c>
      <c r="E533" s="281" t="s">
        <v>1053</v>
      </c>
      <c r="F533" s="151" t="s">
        <v>127</v>
      </c>
      <c r="G533" s="152">
        <v>0</v>
      </c>
      <c r="H533" s="153" t="s">
        <v>6</v>
      </c>
      <c r="I533" s="154">
        <v>1</v>
      </c>
      <c r="J533" s="154">
        <v>61</v>
      </c>
      <c r="K533" s="30" t="str">
        <f>IF(H533="","",IF($C$30="간이법","",FPR(H533,I533,J533)))</f>
        <v/>
      </c>
      <c r="L533" s="30">
        <f>IF(H533="","",IF($C$30="상세법",FPV(H533,K533),IF(H533="EI",4,IF(H533="EO",5.2,IF(H533="EQ",3.9,IF(H533="ILF",7.5,IF(H533="EIF",5.4)))))))</f>
        <v>7.5</v>
      </c>
      <c r="M533" s="30" t="str">
        <f t="shared" si="51"/>
        <v/>
      </c>
      <c r="N533" s="134"/>
      <c r="O533" s="29"/>
      <c r="P533" s="37" t="str">
        <f t="shared" si="52"/>
        <v/>
      </c>
      <c r="Q533" s="38" t="str">
        <f t="shared" si="53"/>
        <v/>
      </c>
      <c r="R533" s="37" t="str">
        <f t="shared" si="54"/>
        <v/>
      </c>
      <c r="S533" s="37" t="str">
        <f t="shared" si="55"/>
        <v/>
      </c>
      <c r="T533" s="38" t="str">
        <f t="shared" si="56"/>
        <v/>
      </c>
      <c r="U533" s="37" t="str">
        <f t="shared" si="57"/>
        <v/>
      </c>
    </row>
    <row r="534" spans="2:21" ht="27">
      <c r="B534" s="282" t="s">
        <v>957</v>
      </c>
      <c r="C534" s="156" t="s">
        <v>1054</v>
      </c>
      <c r="D534" s="157" t="s">
        <v>1054</v>
      </c>
      <c r="E534" s="281" t="s">
        <v>1055</v>
      </c>
      <c r="F534" s="151" t="s">
        <v>127</v>
      </c>
      <c r="G534" s="152">
        <v>0</v>
      </c>
      <c r="H534" s="153" t="s">
        <v>6</v>
      </c>
      <c r="I534" s="154">
        <v>1</v>
      </c>
      <c r="J534" s="154">
        <v>5</v>
      </c>
      <c r="K534" s="30" t="str">
        <f>IF(H534="","",IF($C$30="간이법","",FPR(H534,I534,J534)))</f>
        <v/>
      </c>
      <c r="L534" s="30">
        <f>IF(H534="","",IF($C$30="상세법",FPV(H534,K534),IF(H534="EI",4,IF(H534="EO",5.2,IF(H534="EQ",3.9,IF(H534="ILF",7.5,IF(H534="EIF",5.4)))))))</f>
        <v>7.5</v>
      </c>
      <c r="M534" s="30" t="str">
        <f t="shared" si="51"/>
        <v/>
      </c>
      <c r="N534" s="134"/>
      <c r="O534" s="29"/>
      <c r="P534" s="37" t="str">
        <f t="shared" si="52"/>
        <v/>
      </c>
      <c r="Q534" s="38" t="str">
        <f t="shared" si="53"/>
        <v/>
      </c>
      <c r="R534" s="37" t="str">
        <f t="shared" si="54"/>
        <v/>
      </c>
      <c r="S534" s="37" t="str">
        <f t="shared" si="55"/>
        <v/>
      </c>
      <c r="T534" s="38" t="str">
        <f t="shared" si="56"/>
        <v/>
      </c>
      <c r="U534" s="37" t="str">
        <f t="shared" si="57"/>
        <v/>
      </c>
    </row>
    <row r="535" spans="2:21" ht="27">
      <c r="B535" s="282" t="s">
        <v>957</v>
      </c>
      <c r="C535" s="156" t="s">
        <v>1056</v>
      </c>
      <c r="D535" s="157" t="s">
        <v>1056</v>
      </c>
      <c r="E535" s="281" t="s">
        <v>1057</v>
      </c>
      <c r="F535" s="151" t="s">
        <v>127</v>
      </c>
      <c r="G535" s="152">
        <v>0</v>
      </c>
      <c r="H535" s="153" t="s">
        <v>6</v>
      </c>
      <c r="I535" s="154">
        <v>1</v>
      </c>
      <c r="J535" s="154">
        <v>5</v>
      </c>
      <c r="K535" s="30" t="str">
        <f>IF(H535="","",IF($C$30="간이법","",FPR(H535,I535,J535)))</f>
        <v/>
      </c>
      <c r="L535" s="30">
        <f>IF(H535="","",IF($C$30="상세법",FPV(H535,K535),IF(H535="EI",4,IF(H535="EO",5.2,IF(H535="EQ",3.9,IF(H535="ILF",7.5,IF(H535="EIF",5.4)))))))</f>
        <v>7.5</v>
      </c>
      <c r="M535" s="30" t="str">
        <f t="shared" si="51"/>
        <v/>
      </c>
      <c r="N535" s="134"/>
      <c r="O535" s="29"/>
      <c r="P535" s="37" t="str">
        <f t="shared" si="52"/>
        <v/>
      </c>
      <c r="Q535" s="38" t="str">
        <f t="shared" si="53"/>
        <v/>
      </c>
      <c r="R535" s="37" t="str">
        <f t="shared" si="54"/>
        <v/>
      </c>
      <c r="S535" s="37" t="str">
        <f t="shared" si="55"/>
        <v/>
      </c>
      <c r="T535" s="38" t="str">
        <f t="shared" si="56"/>
        <v/>
      </c>
      <c r="U535" s="37" t="str">
        <f t="shared" si="57"/>
        <v/>
      </c>
    </row>
    <row r="536" spans="2:21" ht="27">
      <c r="B536" s="282" t="s">
        <v>957</v>
      </c>
      <c r="C536" s="156" t="s">
        <v>1058</v>
      </c>
      <c r="D536" s="157" t="s">
        <v>1058</v>
      </c>
      <c r="E536" s="281" t="s">
        <v>1059</v>
      </c>
      <c r="F536" s="151" t="s">
        <v>127</v>
      </c>
      <c r="G536" s="152">
        <v>0</v>
      </c>
      <c r="H536" s="153" t="s">
        <v>6</v>
      </c>
      <c r="I536" s="154">
        <v>1</v>
      </c>
      <c r="J536" s="154">
        <v>6</v>
      </c>
      <c r="K536" s="30" t="str">
        <f>IF(H536="","",IF($C$30="간이법","",FPR(H536,I536,J536)))</f>
        <v/>
      </c>
      <c r="L536" s="30">
        <f>IF(H536="","",IF($C$30="상세법",FPV(H536,K536),IF(H536="EI",4,IF(H536="EO",5.2,IF(H536="EQ",3.9,IF(H536="ILF",7.5,IF(H536="EIF",5.4)))))))</f>
        <v>7.5</v>
      </c>
      <c r="M536" s="30" t="str">
        <f t="shared" si="51"/>
        <v/>
      </c>
      <c r="N536" s="134"/>
      <c r="O536" s="29"/>
      <c r="P536" s="37" t="str">
        <f t="shared" si="52"/>
        <v/>
      </c>
      <c r="Q536" s="38" t="str">
        <f t="shared" si="53"/>
        <v/>
      </c>
      <c r="R536" s="37" t="str">
        <f t="shared" si="54"/>
        <v/>
      </c>
      <c r="S536" s="37" t="str">
        <f t="shared" si="55"/>
        <v/>
      </c>
      <c r="T536" s="38" t="str">
        <f t="shared" si="56"/>
        <v/>
      </c>
      <c r="U536" s="37" t="str">
        <f t="shared" si="57"/>
        <v/>
      </c>
    </row>
    <row r="537" spans="2:21" ht="27">
      <c r="B537" s="282" t="s">
        <v>957</v>
      </c>
      <c r="C537" s="156" t="s">
        <v>1060</v>
      </c>
      <c r="D537" s="157" t="s">
        <v>1060</v>
      </c>
      <c r="E537" s="281" t="s">
        <v>1061</v>
      </c>
      <c r="F537" s="151" t="s">
        <v>127</v>
      </c>
      <c r="G537" s="152">
        <v>0</v>
      </c>
      <c r="H537" s="153" t="s">
        <v>6</v>
      </c>
      <c r="I537" s="154">
        <v>1</v>
      </c>
      <c r="J537" s="154">
        <v>6</v>
      </c>
      <c r="K537" s="30" t="str">
        <f>IF(H537="","",IF($C$30="간이법","",FPR(H537,I537,J537)))</f>
        <v/>
      </c>
      <c r="L537" s="30">
        <f>IF(H537="","",IF($C$30="상세법",FPV(H537,K537),IF(H537="EI",4,IF(H537="EO",5.2,IF(H537="EQ",3.9,IF(H537="ILF",7.5,IF(H537="EIF",5.4)))))))</f>
        <v>7.5</v>
      </c>
      <c r="M537" s="30" t="str">
        <f t="shared" si="51"/>
        <v/>
      </c>
      <c r="N537" s="134"/>
      <c r="O537" s="29"/>
      <c r="P537" s="37" t="str">
        <f t="shared" si="52"/>
        <v/>
      </c>
      <c r="Q537" s="38" t="str">
        <f t="shared" si="53"/>
        <v/>
      </c>
      <c r="R537" s="37" t="str">
        <f t="shared" si="54"/>
        <v/>
      </c>
      <c r="S537" s="37" t="str">
        <f t="shared" si="55"/>
        <v/>
      </c>
      <c r="T537" s="38" t="str">
        <f t="shared" si="56"/>
        <v/>
      </c>
      <c r="U537" s="37" t="str">
        <f t="shared" si="57"/>
        <v/>
      </c>
    </row>
    <row r="538" spans="2:21" ht="27">
      <c r="B538" s="282" t="s">
        <v>957</v>
      </c>
      <c r="C538" s="156" t="s">
        <v>1062</v>
      </c>
      <c r="D538" s="157" t="s">
        <v>1062</v>
      </c>
      <c r="E538" s="281" t="s">
        <v>1063</v>
      </c>
      <c r="F538" s="151" t="s">
        <v>127</v>
      </c>
      <c r="G538" s="152">
        <v>0</v>
      </c>
      <c r="H538" s="153" t="s">
        <v>6</v>
      </c>
      <c r="I538" s="154">
        <v>1</v>
      </c>
      <c r="J538" s="154">
        <v>6</v>
      </c>
      <c r="K538" s="30" t="str">
        <f>IF(H538="","",IF($C$30="간이법","",FPR(H538,I538,J538)))</f>
        <v/>
      </c>
      <c r="L538" s="30">
        <f>IF(H538="","",IF($C$30="상세법",FPV(H538,K538),IF(H538="EI",4,IF(H538="EO",5.2,IF(H538="EQ",3.9,IF(H538="ILF",7.5,IF(H538="EIF",5.4)))))))</f>
        <v>7.5</v>
      </c>
      <c r="M538" s="30" t="str">
        <f t="shared" si="51"/>
        <v/>
      </c>
      <c r="N538" s="134"/>
      <c r="O538" s="29"/>
      <c r="P538" s="37" t="str">
        <f t="shared" si="52"/>
        <v/>
      </c>
      <c r="Q538" s="38" t="str">
        <f t="shared" si="53"/>
        <v/>
      </c>
      <c r="R538" s="37" t="str">
        <f t="shared" si="54"/>
        <v/>
      </c>
      <c r="S538" s="37" t="str">
        <f t="shared" si="55"/>
        <v/>
      </c>
      <c r="T538" s="38" t="str">
        <f t="shared" si="56"/>
        <v/>
      </c>
      <c r="U538" s="37" t="str">
        <f t="shared" si="57"/>
        <v/>
      </c>
    </row>
    <row r="539" spans="2:21" ht="17.25">
      <c r="B539" s="282" t="s">
        <v>957</v>
      </c>
      <c r="C539" s="156" t="s">
        <v>1064</v>
      </c>
      <c r="D539" s="157" t="s">
        <v>1064</v>
      </c>
      <c r="E539" s="281" t="s">
        <v>1065</v>
      </c>
      <c r="F539" s="151" t="s">
        <v>127</v>
      </c>
      <c r="G539" s="152">
        <v>0</v>
      </c>
      <c r="H539" s="153" t="s">
        <v>6</v>
      </c>
      <c r="I539" s="154">
        <v>1</v>
      </c>
      <c r="J539" s="154">
        <v>25</v>
      </c>
      <c r="K539" s="30" t="str">
        <f>IF(H539="","",IF($C$30="간이법","",FPR(H539,I539,J539)))</f>
        <v/>
      </c>
      <c r="L539" s="30">
        <f>IF(H539="","",IF($C$30="상세법",FPV(H539,K539),IF(H539="EI",4,IF(H539="EO",5.2,IF(H539="EQ",3.9,IF(H539="ILF",7.5,IF(H539="EIF",5.4)))))))</f>
        <v>7.5</v>
      </c>
      <c r="M539" s="30" t="str">
        <f t="shared" si="51"/>
        <v/>
      </c>
      <c r="N539" s="134"/>
      <c r="O539" s="29"/>
      <c r="P539" s="37" t="str">
        <f t="shared" si="52"/>
        <v/>
      </c>
      <c r="Q539" s="38" t="str">
        <f t="shared" si="53"/>
        <v/>
      </c>
      <c r="R539" s="37" t="str">
        <f t="shared" si="54"/>
        <v/>
      </c>
      <c r="S539" s="37" t="str">
        <f t="shared" si="55"/>
        <v/>
      </c>
      <c r="T539" s="38" t="str">
        <f t="shared" si="56"/>
        <v/>
      </c>
      <c r="U539" s="37" t="str">
        <f t="shared" si="57"/>
        <v/>
      </c>
    </row>
    <row r="540" spans="2:21" ht="27">
      <c r="B540" s="282" t="s">
        <v>957</v>
      </c>
      <c r="C540" s="156" t="s">
        <v>1066</v>
      </c>
      <c r="D540" s="157" t="s">
        <v>1066</v>
      </c>
      <c r="E540" s="281" t="s">
        <v>1067</v>
      </c>
      <c r="F540" s="151" t="s">
        <v>127</v>
      </c>
      <c r="G540" s="152">
        <v>0</v>
      </c>
      <c r="H540" s="153" t="s">
        <v>6</v>
      </c>
      <c r="I540" s="154">
        <v>1</v>
      </c>
      <c r="J540" s="154">
        <v>13</v>
      </c>
      <c r="K540" s="30" t="str">
        <f>IF(H540="","",IF($C$30="간이법","",FPR(H540,I540,J540)))</f>
        <v/>
      </c>
      <c r="L540" s="30">
        <f>IF(H540="","",IF($C$30="상세법",FPV(H540,K540),IF(H540="EI",4,IF(H540="EO",5.2,IF(H540="EQ",3.9,IF(H540="ILF",7.5,IF(H540="EIF",5.4)))))))</f>
        <v>7.5</v>
      </c>
      <c r="M540" s="30" t="str">
        <f t="shared" si="51"/>
        <v/>
      </c>
      <c r="N540" s="134"/>
      <c r="O540" s="29"/>
      <c r="P540" s="37" t="str">
        <f t="shared" si="52"/>
        <v/>
      </c>
      <c r="Q540" s="38" t="str">
        <f t="shared" si="53"/>
        <v/>
      </c>
      <c r="R540" s="37" t="str">
        <f t="shared" si="54"/>
        <v/>
      </c>
      <c r="S540" s="37" t="str">
        <f t="shared" si="55"/>
        <v/>
      </c>
      <c r="T540" s="38" t="str">
        <f t="shared" si="56"/>
        <v/>
      </c>
      <c r="U540" s="37" t="str">
        <f t="shared" si="57"/>
        <v/>
      </c>
    </row>
    <row r="541" spans="2:21" ht="27">
      <c r="B541" s="282" t="s">
        <v>957</v>
      </c>
      <c r="C541" s="156" t="s">
        <v>1068</v>
      </c>
      <c r="D541" s="157" t="s">
        <v>1069</v>
      </c>
      <c r="E541" s="281" t="s">
        <v>1070</v>
      </c>
      <c r="F541" s="151" t="s">
        <v>127</v>
      </c>
      <c r="G541" s="152">
        <v>0</v>
      </c>
      <c r="H541" s="153" t="s">
        <v>6</v>
      </c>
      <c r="I541" s="154">
        <v>1</v>
      </c>
      <c r="J541" s="154">
        <v>37</v>
      </c>
      <c r="K541" s="30" t="str">
        <f>IF(H541="","",IF($C$30="간이법","",FPR(H541,I541,J541)))</f>
        <v/>
      </c>
      <c r="L541" s="30">
        <f>IF(H541="","",IF($C$30="상세법",FPV(H541,K541),IF(H541="EI",4,IF(H541="EO",5.2,IF(H541="EQ",3.9,IF(H541="ILF",7.5,IF(H541="EIF",5.4)))))))</f>
        <v>7.5</v>
      </c>
      <c r="M541" s="30" t="str">
        <f t="shared" si="51"/>
        <v/>
      </c>
      <c r="N541" s="134"/>
      <c r="O541" s="29"/>
      <c r="P541" s="37" t="str">
        <f t="shared" si="52"/>
        <v/>
      </c>
      <c r="Q541" s="38" t="str">
        <f t="shared" si="53"/>
        <v/>
      </c>
      <c r="R541" s="37" t="str">
        <f t="shared" si="54"/>
        <v/>
      </c>
      <c r="S541" s="37" t="str">
        <f t="shared" si="55"/>
        <v/>
      </c>
      <c r="T541" s="38" t="str">
        <f t="shared" si="56"/>
        <v/>
      </c>
      <c r="U541" s="37" t="str">
        <f t="shared" si="57"/>
        <v/>
      </c>
    </row>
    <row r="542" spans="2:21" ht="27">
      <c r="B542" s="282" t="s">
        <v>957</v>
      </c>
      <c r="C542" s="156" t="s">
        <v>1071</v>
      </c>
      <c r="D542" s="157" t="s">
        <v>1071</v>
      </c>
      <c r="E542" s="281" t="s">
        <v>1072</v>
      </c>
      <c r="F542" s="151" t="s">
        <v>127</v>
      </c>
      <c r="G542" s="152">
        <v>0</v>
      </c>
      <c r="H542" s="153" t="s">
        <v>6</v>
      </c>
      <c r="I542" s="154">
        <v>1</v>
      </c>
      <c r="J542" s="154">
        <v>5</v>
      </c>
      <c r="K542" s="30" t="str">
        <f>IF(H542="","",IF($C$30="간이법","",FPR(H542,I542,J542)))</f>
        <v/>
      </c>
      <c r="L542" s="30">
        <f>IF(H542="","",IF($C$30="상세법",FPV(H542,K542),IF(H542="EI",4,IF(H542="EO",5.2,IF(H542="EQ",3.9,IF(H542="ILF",7.5,IF(H542="EIF",5.4)))))))</f>
        <v>7.5</v>
      </c>
      <c r="M542" s="30" t="str">
        <f t="shared" si="51"/>
        <v/>
      </c>
      <c r="N542" s="134"/>
      <c r="O542" s="29"/>
      <c r="P542" s="37" t="str">
        <f t="shared" si="52"/>
        <v/>
      </c>
      <c r="Q542" s="38" t="str">
        <f t="shared" si="53"/>
        <v/>
      </c>
      <c r="R542" s="37" t="str">
        <f t="shared" si="54"/>
        <v/>
      </c>
      <c r="S542" s="37" t="str">
        <f t="shared" si="55"/>
        <v/>
      </c>
      <c r="T542" s="38" t="str">
        <f t="shared" si="56"/>
        <v/>
      </c>
      <c r="U542" s="37" t="str">
        <f t="shared" si="57"/>
        <v/>
      </c>
    </row>
    <row r="543" spans="2:21" ht="17.25">
      <c r="B543" s="282" t="s">
        <v>957</v>
      </c>
      <c r="C543" s="156" t="s">
        <v>1073</v>
      </c>
      <c r="D543" s="157" t="s">
        <v>1073</v>
      </c>
      <c r="E543" s="281" t="s">
        <v>1074</v>
      </c>
      <c r="F543" s="151" t="s">
        <v>127</v>
      </c>
      <c r="G543" s="152">
        <v>0</v>
      </c>
      <c r="H543" s="153" t="s">
        <v>6</v>
      </c>
      <c r="I543" s="154">
        <v>1</v>
      </c>
      <c r="J543" s="154">
        <v>9</v>
      </c>
      <c r="K543" s="30" t="str">
        <f>IF(H543="","",IF($C$30="간이법","",FPR(H543,I543,J543)))</f>
        <v/>
      </c>
      <c r="L543" s="30">
        <f>IF(H543="","",IF($C$30="상세법",FPV(H543,K543),IF(H543="EI",4,IF(H543="EO",5.2,IF(H543="EQ",3.9,IF(H543="ILF",7.5,IF(H543="EIF",5.4)))))))</f>
        <v>7.5</v>
      </c>
      <c r="M543" s="30" t="str">
        <f t="shared" si="51"/>
        <v/>
      </c>
      <c r="N543" s="134"/>
      <c r="O543" s="29"/>
      <c r="P543" s="37" t="str">
        <f t="shared" si="52"/>
        <v/>
      </c>
      <c r="Q543" s="38" t="str">
        <f t="shared" si="53"/>
        <v/>
      </c>
      <c r="R543" s="37" t="str">
        <f t="shared" si="54"/>
        <v/>
      </c>
      <c r="S543" s="37" t="str">
        <f t="shared" si="55"/>
        <v/>
      </c>
      <c r="T543" s="38" t="str">
        <f t="shared" si="56"/>
        <v/>
      </c>
      <c r="U543" s="37" t="str">
        <f t="shared" si="57"/>
        <v/>
      </c>
    </row>
    <row r="544" spans="2:21" ht="17.25">
      <c r="B544" s="282" t="s">
        <v>957</v>
      </c>
      <c r="C544" s="156" t="s">
        <v>1075</v>
      </c>
      <c r="D544" s="157" t="s">
        <v>1075</v>
      </c>
      <c r="E544" s="281" t="s">
        <v>1076</v>
      </c>
      <c r="F544" s="151" t="s">
        <v>127</v>
      </c>
      <c r="G544" s="152">
        <v>0</v>
      </c>
      <c r="H544" s="153" t="s">
        <v>6</v>
      </c>
      <c r="I544" s="154">
        <v>1</v>
      </c>
      <c r="J544" s="154">
        <v>4</v>
      </c>
      <c r="K544" s="30" t="str">
        <f>IF(H544="","",IF($C$30="간이법","",FPR(H544,I544,J544)))</f>
        <v/>
      </c>
      <c r="L544" s="30">
        <f>IF(H544="","",IF($C$30="상세법",FPV(H544,K544),IF(H544="EI",4,IF(H544="EO",5.2,IF(H544="EQ",3.9,IF(H544="ILF",7.5,IF(H544="EIF",5.4)))))))</f>
        <v>7.5</v>
      </c>
      <c r="M544" s="30" t="str">
        <f t="shared" si="51"/>
        <v/>
      </c>
      <c r="N544" s="134"/>
      <c r="O544" s="29"/>
      <c r="P544" s="37" t="str">
        <f t="shared" si="52"/>
        <v/>
      </c>
      <c r="Q544" s="38" t="str">
        <f t="shared" si="53"/>
        <v/>
      </c>
      <c r="R544" s="37" t="str">
        <f t="shared" si="54"/>
        <v/>
      </c>
      <c r="S544" s="37" t="str">
        <f t="shared" si="55"/>
        <v/>
      </c>
      <c r="T544" s="38" t="str">
        <f t="shared" si="56"/>
        <v/>
      </c>
      <c r="U544" s="37" t="str">
        <f t="shared" si="57"/>
        <v/>
      </c>
    </row>
    <row r="545" spans="2:21" ht="17.25">
      <c r="B545" s="282" t="s">
        <v>957</v>
      </c>
      <c r="C545" s="156" t="s">
        <v>1077</v>
      </c>
      <c r="D545" s="157" t="s">
        <v>1077</v>
      </c>
      <c r="E545" s="281" t="s">
        <v>1078</v>
      </c>
      <c r="F545" s="151" t="s">
        <v>127</v>
      </c>
      <c r="G545" s="152">
        <v>0</v>
      </c>
      <c r="H545" s="153" t="s">
        <v>6</v>
      </c>
      <c r="I545" s="154">
        <v>1</v>
      </c>
      <c r="J545" s="154">
        <v>6</v>
      </c>
      <c r="K545" s="30" t="str">
        <f>IF(H545="","",IF($C$30="간이법","",FPR(H545,I545,J545)))</f>
        <v/>
      </c>
      <c r="L545" s="30">
        <f>IF(H545="","",IF($C$30="상세법",FPV(H545,K545),IF(H545="EI",4,IF(H545="EO",5.2,IF(H545="EQ",3.9,IF(H545="ILF",7.5,IF(H545="EIF",5.4)))))))</f>
        <v>7.5</v>
      </c>
      <c r="M545" s="30" t="str">
        <f t="shared" si="51"/>
        <v/>
      </c>
      <c r="N545" s="134"/>
      <c r="O545" s="29"/>
      <c r="P545" s="37" t="str">
        <f t="shared" si="52"/>
        <v/>
      </c>
      <c r="Q545" s="38" t="str">
        <f t="shared" si="53"/>
        <v/>
      </c>
      <c r="R545" s="37" t="str">
        <f t="shared" si="54"/>
        <v/>
      </c>
      <c r="S545" s="37" t="str">
        <f t="shared" si="55"/>
        <v/>
      </c>
      <c r="T545" s="38" t="str">
        <f t="shared" si="56"/>
        <v/>
      </c>
      <c r="U545" s="37" t="str">
        <f t="shared" si="57"/>
        <v/>
      </c>
    </row>
    <row r="546" spans="2:21" ht="17.25">
      <c r="B546" s="282" t="s">
        <v>957</v>
      </c>
      <c r="C546" s="156" t="s">
        <v>1079</v>
      </c>
      <c r="D546" s="157" t="s">
        <v>1079</v>
      </c>
      <c r="E546" s="281" t="s">
        <v>1080</v>
      </c>
      <c r="F546" s="151" t="s">
        <v>127</v>
      </c>
      <c r="G546" s="152">
        <v>0</v>
      </c>
      <c r="H546" s="153" t="s">
        <v>6</v>
      </c>
      <c r="I546" s="154">
        <v>1</v>
      </c>
      <c r="J546" s="154">
        <v>7</v>
      </c>
      <c r="K546" s="30" t="str">
        <f>IF(H546="","",IF($C$30="간이법","",FPR(H546,I546,J546)))</f>
        <v/>
      </c>
      <c r="L546" s="30">
        <f>IF(H546="","",IF($C$30="상세법",FPV(H546,K546),IF(H546="EI",4,IF(H546="EO",5.2,IF(H546="EQ",3.9,IF(H546="ILF",7.5,IF(H546="EIF",5.4)))))))</f>
        <v>7.5</v>
      </c>
      <c r="M546" s="30" t="str">
        <f t="shared" si="51"/>
        <v/>
      </c>
      <c r="N546" s="134"/>
      <c r="O546" s="29"/>
      <c r="P546" s="37" t="str">
        <f t="shared" si="52"/>
        <v/>
      </c>
      <c r="Q546" s="38" t="str">
        <f t="shared" si="53"/>
        <v/>
      </c>
      <c r="R546" s="37" t="str">
        <f t="shared" si="54"/>
        <v/>
      </c>
      <c r="S546" s="37" t="str">
        <f t="shared" si="55"/>
        <v/>
      </c>
      <c r="T546" s="38" t="str">
        <f t="shared" si="56"/>
        <v/>
      </c>
      <c r="U546" s="37" t="str">
        <f t="shared" si="57"/>
        <v/>
      </c>
    </row>
    <row r="547" spans="2:21" ht="17.25">
      <c r="B547" s="282" t="s">
        <v>957</v>
      </c>
      <c r="C547" s="156" t="s">
        <v>1081</v>
      </c>
      <c r="D547" s="157" t="s">
        <v>1081</v>
      </c>
      <c r="E547" s="281" t="s">
        <v>1082</v>
      </c>
      <c r="F547" s="151" t="s">
        <v>127</v>
      </c>
      <c r="G547" s="152">
        <v>0</v>
      </c>
      <c r="H547" s="153" t="s">
        <v>6</v>
      </c>
      <c r="I547" s="154">
        <v>1</v>
      </c>
      <c r="J547" s="154">
        <v>12</v>
      </c>
      <c r="K547" s="30" t="str">
        <f>IF(H547="","",IF($C$30="간이법","",FPR(H547,I547,J547)))</f>
        <v/>
      </c>
      <c r="L547" s="30">
        <f>IF(H547="","",IF($C$30="상세법",FPV(H547,K547),IF(H547="EI",4,IF(H547="EO",5.2,IF(H547="EQ",3.9,IF(H547="ILF",7.5,IF(H547="EIF",5.4)))))))</f>
        <v>7.5</v>
      </c>
      <c r="M547" s="30" t="str">
        <f t="shared" si="51"/>
        <v/>
      </c>
      <c r="N547" s="134"/>
      <c r="O547" s="29"/>
      <c r="P547" s="37" t="str">
        <f t="shared" si="52"/>
        <v/>
      </c>
      <c r="Q547" s="38" t="str">
        <f t="shared" si="53"/>
        <v/>
      </c>
      <c r="R547" s="37" t="str">
        <f t="shared" si="54"/>
        <v/>
      </c>
      <c r="S547" s="37" t="str">
        <f t="shared" si="55"/>
        <v/>
      </c>
      <c r="T547" s="38" t="str">
        <f t="shared" si="56"/>
        <v/>
      </c>
      <c r="U547" s="37" t="str">
        <f t="shared" si="57"/>
        <v/>
      </c>
    </row>
    <row r="548" spans="2:21" ht="17.25">
      <c r="B548" s="282" t="s">
        <v>957</v>
      </c>
      <c r="C548" s="156" t="s">
        <v>1083</v>
      </c>
      <c r="D548" s="157" t="s">
        <v>1083</v>
      </c>
      <c r="E548" s="281" t="s">
        <v>1084</v>
      </c>
      <c r="F548" s="151" t="s">
        <v>127</v>
      </c>
      <c r="G548" s="152">
        <v>0</v>
      </c>
      <c r="H548" s="153" t="s">
        <v>6</v>
      </c>
      <c r="I548" s="154">
        <v>1</v>
      </c>
      <c r="J548" s="154">
        <v>8</v>
      </c>
      <c r="K548" s="30" t="str">
        <f>IF(H548="","",IF($C$30="간이법","",FPR(H548,I548,J548)))</f>
        <v/>
      </c>
      <c r="L548" s="30">
        <f>IF(H548="","",IF($C$30="상세법",FPV(H548,K548),IF(H548="EI",4,IF(H548="EO",5.2,IF(H548="EQ",3.9,IF(H548="ILF",7.5,IF(H548="EIF",5.4)))))))</f>
        <v>7.5</v>
      </c>
      <c r="M548" s="30" t="str">
        <f t="shared" si="51"/>
        <v/>
      </c>
      <c r="N548" s="134"/>
      <c r="O548" s="29"/>
      <c r="P548" s="37" t="str">
        <f t="shared" si="52"/>
        <v/>
      </c>
      <c r="Q548" s="38" t="str">
        <f t="shared" si="53"/>
        <v/>
      </c>
      <c r="R548" s="37" t="str">
        <f t="shared" si="54"/>
        <v/>
      </c>
      <c r="S548" s="37" t="str">
        <f t="shared" si="55"/>
        <v/>
      </c>
      <c r="T548" s="38" t="str">
        <f t="shared" si="56"/>
        <v/>
      </c>
      <c r="U548" s="37" t="str">
        <f t="shared" si="57"/>
        <v/>
      </c>
    </row>
    <row r="549" spans="2:21" ht="17.25">
      <c r="B549" s="282" t="s">
        <v>957</v>
      </c>
      <c r="C549" s="156" t="s">
        <v>1085</v>
      </c>
      <c r="D549" s="157" t="s">
        <v>1085</v>
      </c>
      <c r="E549" s="281" t="s">
        <v>1086</v>
      </c>
      <c r="F549" s="151" t="s">
        <v>127</v>
      </c>
      <c r="G549" s="152">
        <v>0</v>
      </c>
      <c r="H549" s="153" t="s">
        <v>6</v>
      </c>
      <c r="I549" s="154">
        <v>1</v>
      </c>
      <c r="J549" s="154">
        <v>5</v>
      </c>
      <c r="K549" s="30" t="str">
        <f>IF(H549="","",IF($C$30="간이법","",FPR(H549,I549,J549)))</f>
        <v/>
      </c>
      <c r="L549" s="30">
        <f>IF(H549="","",IF($C$30="상세법",FPV(H549,K549),IF(H549="EI",4,IF(H549="EO",5.2,IF(H549="EQ",3.9,IF(H549="ILF",7.5,IF(H549="EIF",5.4)))))))</f>
        <v>7.5</v>
      </c>
      <c r="M549" s="30" t="str">
        <f t="shared" si="51"/>
        <v/>
      </c>
      <c r="N549" s="134"/>
      <c r="O549" s="29"/>
      <c r="P549" s="37" t="str">
        <f t="shared" si="52"/>
        <v/>
      </c>
      <c r="Q549" s="38" t="str">
        <f t="shared" si="53"/>
        <v/>
      </c>
      <c r="R549" s="37" t="str">
        <f t="shared" si="54"/>
        <v/>
      </c>
      <c r="S549" s="37" t="str">
        <f t="shared" si="55"/>
        <v/>
      </c>
      <c r="T549" s="38" t="str">
        <f t="shared" si="56"/>
        <v/>
      </c>
      <c r="U549" s="37" t="str">
        <f t="shared" si="57"/>
        <v/>
      </c>
    </row>
    <row r="550" spans="2:21" ht="27">
      <c r="B550" s="282" t="s">
        <v>957</v>
      </c>
      <c r="C550" s="156" t="s">
        <v>1087</v>
      </c>
      <c r="D550" s="157" t="s">
        <v>1087</v>
      </c>
      <c r="E550" s="281" t="s">
        <v>1088</v>
      </c>
      <c r="F550" s="151" t="s">
        <v>127</v>
      </c>
      <c r="G550" s="152">
        <v>0</v>
      </c>
      <c r="H550" s="153" t="s">
        <v>6</v>
      </c>
      <c r="I550" s="154">
        <v>1</v>
      </c>
      <c r="J550" s="154">
        <v>15</v>
      </c>
      <c r="K550" s="30" t="str">
        <f>IF(H550="","",IF($C$30="간이법","",FPR(H550,I550,J550)))</f>
        <v/>
      </c>
      <c r="L550" s="30">
        <f>IF(H550="","",IF($C$30="상세법",FPV(H550,K550),IF(H550="EI",4,IF(H550="EO",5.2,IF(H550="EQ",3.9,IF(H550="ILF",7.5,IF(H550="EIF",5.4)))))))</f>
        <v>7.5</v>
      </c>
      <c r="M550" s="30" t="str">
        <f t="shared" si="51"/>
        <v/>
      </c>
      <c r="N550" s="134"/>
      <c r="O550" s="29"/>
      <c r="P550" s="37" t="str">
        <f t="shared" si="52"/>
        <v/>
      </c>
      <c r="Q550" s="38" t="str">
        <f t="shared" si="53"/>
        <v/>
      </c>
      <c r="R550" s="37" t="str">
        <f t="shared" si="54"/>
        <v/>
      </c>
      <c r="S550" s="37" t="str">
        <f t="shared" si="55"/>
        <v/>
      </c>
      <c r="T550" s="38" t="str">
        <f t="shared" si="56"/>
        <v/>
      </c>
      <c r="U550" s="37" t="str">
        <f t="shared" si="57"/>
        <v/>
      </c>
    </row>
    <row r="551" spans="2:21" ht="17.25">
      <c r="B551" s="282" t="s">
        <v>957</v>
      </c>
      <c r="C551" s="156" t="s">
        <v>1089</v>
      </c>
      <c r="D551" s="157" t="s">
        <v>1089</v>
      </c>
      <c r="E551" s="281" t="s">
        <v>1090</v>
      </c>
      <c r="F551" s="151" t="s">
        <v>127</v>
      </c>
      <c r="G551" s="152">
        <v>0</v>
      </c>
      <c r="H551" s="153" t="s">
        <v>6</v>
      </c>
      <c r="I551" s="154">
        <v>1</v>
      </c>
      <c r="J551" s="154">
        <v>11</v>
      </c>
      <c r="K551" s="30" t="str">
        <f>IF(H551="","",IF($C$30="간이법","",FPR(H551,I551,J551)))</f>
        <v/>
      </c>
      <c r="L551" s="30">
        <f>IF(H551="","",IF($C$30="상세법",FPV(H551,K551),IF(H551="EI",4,IF(H551="EO",5.2,IF(H551="EQ",3.9,IF(H551="ILF",7.5,IF(H551="EIF",5.4)))))))</f>
        <v>7.5</v>
      </c>
      <c r="M551" s="30" t="str">
        <f t="shared" si="51"/>
        <v/>
      </c>
      <c r="N551" s="134"/>
      <c r="O551" s="29"/>
      <c r="P551" s="37" t="str">
        <f t="shared" si="52"/>
        <v/>
      </c>
      <c r="Q551" s="38" t="str">
        <f t="shared" si="53"/>
        <v/>
      </c>
      <c r="R551" s="37" t="str">
        <f t="shared" si="54"/>
        <v/>
      </c>
      <c r="S551" s="37" t="str">
        <f t="shared" si="55"/>
        <v/>
      </c>
      <c r="T551" s="38" t="str">
        <f t="shared" si="56"/>
        <v/>
      </c>
      <c r="U551" s="37" t="str">
        <f t="shared" si="57"/>
        <v/>
      </c>
    </row>
    <row r="552" spans="2:21" ht="27">
      <c r="B552" s="282" t="s">
        <v>957</v>
      </c>
      <c r="C552" s="156" t="s">
        <v>1091</v>
      </c>
      <c r="D552" s="157" t="s">
        <v>1091</v>
      </c>
      <c r="E552" s="281" t="s">
        <v>1092</v>
      </c>
      <c r="F552" s="151" t="s">
        <v>127</v>
      </c>
      <c r="G552" s="152">
        <v>0</v>
      </c>
      <c r="H552" s="153" t="s">
        <v>6</v>
      </c>
      <c r="I552" s="154">
        <v>1</v>
      </c>
      <c r="J552" s="154">
        <v>21</v>
      </c>
      <c r="K552" s="30" t="str">
        <f>IF(H552="","",IF($C$30="간이법","",FPR(H552,I552,J552)))</f>
        <v/>
      </c>
      <c r="L552" s="30">
        <f>IF(H552="","",IF($C$30="상세법",FPV(H552,K552),IF(H552="EI",4,IF(H552="EO",5.2,IF(H552="EQ",3.9,IF(H552="ILF",7.5,IF(H552="EIF",5.4)))))))</f>
        <v>7.5</v>
      </c>
      <c r="M552" s="30" t="str">
        <f t="shared" si="51"/>
        <v/>
      </c>
      <c r="N552" s="134"/>
      <c r="O552" s="29"/>
      <c r="P552" s="37" t="str">
        <f t="shared" si="52"/>
        <v/>
      </c>
      <c r="Q552" s="38" t="str">
        <f t="shared" si="53"/>
        <v/>
      </c>
      <c r="R552" s="37" t="str">
        <f t="shared" si="54"/>
        <v/>
      </c>
      <c r="S552" s="37" t="str">
        <f t="shared" si="55"/>
        <v/>
      </c>
      <c r="T552" s="38" t="str">
        <f t="shared" si="56"/>
        <v/>
      </c>
      <c r="U552" s="37" t="str">
        <f t="shared" si="57"/>
        <v/>
      </c>
    </row>
    <row r="553" spans="2:21" ht="17.25">
      <c r="B553" s="282" t="s">
        <v>957</v>
      </c>
      <c r="C553" s="156" t="s">
        <v>1093</v>
      </c>
      <c r="D553" s="157" t="s">
        <v>1093</v>
      </c>
      <c r="E553" s="281" t="s">
        <v>1094</v>
      </c>
      <c r="F553" s="151" t="s">
        <v>127</v>
      </c>
      <c r="G553" s="152">
        <v>0</v>
      </c>
      <c r="H553" s="153" t="s">
        <v>6</v>
      </c>
      <c r="I553" s="154">
        <v>1</v>
      </c>
      <c r="J553" s="154">
        <v>18</v>
      </c>
      <c r="K553" s="30" t="str">
        <f>IF(H553="","",IF($C$30="간이법","",FPR(H553,I553,J553)))</f>
        <v/>
      </c>
      <c r="L553" s="30">
        <f>IF(H553="","",IF($C$30="상세법",FPV(H553,K553),IF(H553="EI",4,IF(H553="EO",5.2,IF(H553="EQ",3.9,IF(H553="ILF",7.5,IF(H553="EIF",5.4)))))))</f>
        <v>7.5</v>
      </c>
      <c r="M553" s="30" t="str">
        <f t="shared" si="51"/>
        <v/>
      </c>
      <c r="N553" s="134"/>
      <c r="O553" s="29"/>
      <c r="P553" s="37" t="str">
        <f t="shared" si="52"/>
        <v/>
      </c>
      <c r="Q553" s="38" t="str">
        <f t="shared" si="53"/>
        <v/>
      </c>
      <c r="R553" s="37" t="str">
        <f t="shared" si="54"/>
        <v/>
      </c>
      <c r="S553" s="37" t="str">
        <f t="shared" si="55"/>
        <v/>
      </c>
      <c r="T553" s="38" t="str">
        <f t="shared" si="56"/>
        <v/>
      </c>
      <c r="U553" s="37" t="str">
        <f t="shared" si="57"/>
        <v/>
      </c>
    </row>
    <row r="554" spans="2:21" ht="27">
      <c r="B554" s="282" t="s">
        <v>957</v>
      </c>
      <c r="C554" s="156" t="s">
        <v>1095</v>
      </c>
      <c r="D554" s="157" t="s">
        <v>1095</v>
      </c>
      <c r="E554" s="281" t="s">
        <v>1096</v>
      </c>
      <c r="F554" s="151" t="s">
        <v>127</v>
      </c>
      <c r="G554" s="152">
        <v>0</v>
      </c>
      <c r="H554" s="153" t="s">
        <v>6</v>
      </c>
      <c r="I554" s="154">
        <v>1</v>
      </c>
      <c r="J554" s="154">
        <v>14</v>
      </c>
      <c r="K554" s="30" t="str">
        <f>IF(H554="","",IF($C$30="간이법","",FPR(H554,I554,J554)))</f>
        <v/>
      </c>
      <c r="L554" s="30">
        <f>IF(H554="","",IF($C$30="상세법",FPV(H554,K554),IF(H554="EI",4,IF(H554="EO",5.2,IF(H554="EQ",3.9,IF(H554="ILF",7.5,IF(H554="EIF",5.4)))))))</f>
        <v>7.5</v>
      </c>
      <c r="M554" s="30" t="str">
        <f t="shared" si="51"/>
        <v/>
      </c>
      <c r="N554" s="134"/>
      <c r="O554" s="29"/>
      <c r="P554" s="37" t="str">
        <f t="shared" si="52"/>
        <v/>
      </c>
      <c r="Q554" s="38" t="str">
        <f t="shared" si="53"/>
        <v/>
      </c>
      <c r="R554" s="37" t="str">
        <f t="shared" si="54"/>
        <v/>
      </c>
      <c r="S554" s="37" t="str">
        <f t="shared" si="55"/>
        <v/>
      </c>
      <c r="T554" s="38" t="str">
        <f t="shared" si="56"/>
        <v/>
      </c>
      <c r="U554" s="37" t="str">
        <f t="shared" si="57"/>
        <v/>
      </c>
    </row>
    <row r="555" spans="2:21" ht="17.25">
      <c r="B555" s="282" t="s">
        <v>957</v>
      </c>
      <c r="C555" s="156" t="s">
        <v>1097</v>
      </c>
      <c r="D555" s="157" t="s">
        <v>1097</v>
      </c>
      <c r="E555" s="281" t="s">
        <v>1098</v>
      </c>
      <c r="F555" s="151" t="s">
        <v>127</v>
      </c>
      <c r="G555" s="152">
        <v>0</v>
      </c>
      <c r="H555" s="153" t="s">
        <v>6</v>
      </c>
      <c r="I555" s="154">
        <v>1</v>
      </c>
      <c r="J555" s="154">
        <v>15</v>
      </c>
      <c r="K555" s="30" t="str">
        <f>IF(H555="","",IF($C$30="간이법","",FPR(H555,I555,J555)))</f>
        <v/>
      </c>
      <c r="L555" s="30">
        <f>IF(H555="","",IF($C$30="상세법",FPV(H555,K555),IF(H555="EI",4,IF(H555="EO",5.2,IF(H555="EQ",3.9,IF(H555="ILF",7.5,IF(H555="EIF",5.4)))))))</f>
        <v>7.5</v>
      </c>
      <c r="M555" s="30" t="str">
        <f t="shared" si="51"/>
        <v/>
      </c>
      <c r="N555" s="134"/>
      <c r="O555" s="29"/>
      <c r="P555" s="37" t="str">
        <f t="shared" si="52"/>
        <v/>
      </c>
      <c r="Q555" s="38" t="str">
        <f t="shared" si="53"/>
        <v/>
      </c>
      <c r="R555" s="37" t="str">
        <f t="shared" si="54"/>
        <v/>
      </c>
      <c r="S555" s="37" t="str">
        <f t="shared" si="55"/>
        <v/>
      </c>
      <c r="T555" s="38" t="str">
        <f t="shared" si="56"/>
        <v/>
      </c>
      <c r="U555" s="37" t="str">
        <f t="shared" si="57"/>
        <v/>
      </c>
    </row>
    <row r="556" spans="2:21" ht="17.25">
      <c r="B556" s="282" t="s">
        <v>957</v>
      </c>
      <c r="C556" s="156" t="s">
        <v>1099</v>
      </c>
      <c r="D556" s="157" t="s">
        <v>1099</v>
      </c>
      <c r="E556" s="281" t="s">
        <v>1100</v>
      </c>
      <c r="F556" s="151" t="s">
        <v>127</v>
      </c>
      <c r="G556" s="152">
        <v>0</v>
      </c>
      <c r="H556" s="153" t="s">
        <v>6</v>
      </c>
      <c r="I556" s="154">
        <v>1</v>
      </c>
      <c r="J556" s="154">
        <v>15</v>
      </c>
      <c r="K556" s="30" t="str">
        <f>IF(H556="","",IF($C$30="간이법","",FPR(H556,I556,J556)))</f>
        <v/>
      </c>
      <c r="L556" s="30">
        <f>IF(H556="","",IF($C$30="상세법",FPV(H556,K556),IF(H556="EI",4,IF(H556="EO",5.2,IF(H556="EQ",3.9,IF(H556="ILF",7.5,IF(H556="EIF",5.4)))))))</f>
        <v>7.5</v>
      </c>
      <c r="M556" s="30" t="str">
        <f t="shared" si="51"/>
        <v/>
      </c>
      <c r="N556" s="134"/>
      <c r="O556" s="29"/>
      <c r="P556" s="37" t="str">
        <f t="shared" si="52"/>
        <v/>
      </c>
      <c r="Q556" s="38" t="str">
        <f t="shared" si="53"/>
        <v/>
      </c>
      <c r="R556" s="37" t="str">
        <f t="shared" si="54"/>
        <v/>
      </c>
      <c r="S556" s="37" t="str">
        <f t="shared" si="55"/>
        <v/>
      </c>
      <c r="T556" s="38" t="str">
        <f t="shared" si="56"/>
        <v/>
      </c>
      <c r="U556" s="37" t="str">
        <f t="shared" si="57"/>
        <v/>
      </c>
    </row>
    <row r="557" spans="2:21" ht="27">
      <c r="B557" s="282" t="s">
        <v>957</v>
      </c>
      <c r="C557" s="156" t="s">
        <v>1101</v>
      </c>
      <c r="D557" s="157" t="s">
        <v>1101</v>
      </c>
      <c r="E557" s="281" t="s">
        <v>1102</v>
      </c>
      <c r="F557" s="151" t="s">
        <v>127</v>
      </c>
      <c r="G557" s="152">
        <v>0</v>
      </c>
      <c r="H557" s="153" t="s">
        <v>6</v>
      </c>
      <c r="I557" s="154">
        <v>1</v>
      </c>
      <c r="J557" s="154">
        <v>14</v>
      </c>
      <c r="K557" s="30" t="str">
        <f>IF(H557="","",IF($C$30="간이법","",FPR(H557,I557,J557)))</f>
        <v/>
      </c>
      <c r="L557" s="30">
        <f>IF(H557="","",IF($C$30="상세법",FPV(H557,K557),IF(H557="EI",4,IF(H557="EO",5.2,IF(H557="EQ",3.9,IF(H557="ILF",7.5,IF(H557="EIF",5.4)))))))</f>
        <v>7.5</v>
      </c>
      <c r="M557" s="30" t="str">
        <f t="shared" si="51"/>
        <v/>
      </c>
      <c r="N557" s="134"/>
      <c r="O557" s="29"/>
      <c r="P557" s="37" t="str">
        <f t="shared" si="52"/>
        <v/>
      </c>
      <c r="Q557" s="38" t="str">
        <f t="shared" si="53"/>
        <v/>
      </c>
      <c r="R557" s="37" t="str">
        <f t="shared" si="54"/>
        <v/>
      </c>
      <c r="S557" s="37" t="str">
        <f t="shared" si="55"/>
        <v/>
      </c>
      <c r="T557" s="38" t="str">
        <f t="shared" si="56"/>
        <v/>
      </c>
      <c r="U557" s="37" t="str">
        <f t="shared" si="57"/>
        <v/>
      </c>
    </row>
    <row r="558" spans="2:21" ht="27">
      <c r="B558" s="282" t="s">
        <v>957</v>
      </c>
      <c r="C558" s="156" t="s">
        <v>1103</v>
      </c>
      <c r="D558" s="157" t="s">
        <v>1103</v>
      </c>
      <c r="E558" s="281" t="s">
        <v>1104</v>
      </c>
      <c r="F558" s="151" t="s">
        <v>127</v>
      </c>
      <c r="G558" s="152">
        <v>0</v>
      </c>
      <c r="H558" s="153" t="s">
        <v>6</v>
      </c>
      <c r="I558" s="154">
        <v>1</v>
      </c>
      <c r="J558" s="154">
        <v>9</v>
      </c>
      <c r="K558" s="30" t="str">
        <f>IF(H558="","",IF($C$30="간이법","",FPR(H558,I558,J558)))</f>
        <v/>
      </c>
      <c r="L558" s="30">
        <f>IF(H558="","",IF($C$30="상세법",FPV(H558,K558),IF(H558="EI",4,IF(H558="EO",5.2,IF(H558="EQ",3.9,IF(H558="ILF",7.5,IF(H558="EIF",5.4)))))))</f>
        <v>7.5</v>
      </c>
      <c r="M558" s="30" t="str">
        <f t="shared" si="51"/>
        <v/>
      </c>
      <c r="N558" s="134"/>
      <c r="O558" s="29"/>
      <c r="P558" s="37" t="str">
        <f t="shared" si="52"/>
        <v/>
      </c>
      <c r="Q558" s="38" t="str">
        <f t="shared" si="53"/>
        <v/>
      </c>
      <c r="R558" s="37" t="str">
        <f t="shared" si="54"/>
        <v/>
      </c>
      <c r="S558" s="37" t="str">
        <f t="shared" si="55"/>
        <v/>
      </c>
      <c r="T558" s="38" t="str">
        <f t="shared" si="56"/>
        <v/>
      </c>
      <c r="U558" s="37" t="str">
        <f t="shared" si="57"/>
        <v/>
      </c>
    </row>
    <row r="559" spans="2:21" ht="27">
      <c r="B559" s="282" t="s">
        <v>957</v>
      </c>
      <c r="C559" s="156" t="s">
        <v>1105</v>
      </c>
      <c r="D559" s="157" t="s">
        <v>1105</v>
      </c>
      <c r="E559" s="281" t="s">
        <v>1106</v>
      </c>
      <c r="F559" s="151" t="s">
        <v>127</v>
      </c>
      <c r="G559" s="152">
        <v>0</v>
      </c>
      <c r="H559" s="153" t="s">
        <v>6</v>
      </c>
      <c r="I559" s="154">
        <v>1</v>
      </c>
      <c r="J559" s="154">
        <v>5</v>
      </c>
      <c r="K559" s="30" t="str">
        <f>IF(H559="","",IF($C$30="간이법","",FPR(H559,I559,J559)))</f>
        <v/>
      </c>
      <c r="L559" s="30">
        <f>IF(H559="","",IF($C$30="상세법",FPV(H559,K559),IF(H559="EI",4,IF(H559="EO",5.2,IF(H559="EQ",3.9,IF(H559="ILF",7.5,IF(H559="EIF",5.4)))))))</f>
        <v>7.5</v>
      </c>
      <c r="M559" s="30" t="str">
        <f t="shared" si="51"/>
        <v/>
      </c>
      <c r="N559" s="134"/>
      <c r="O559" s="29"/>
      <c r="P559" s="37" t="str">
        <f t="shared" si="52"/>
        <v/>
      </c>
      <c r="Q559" s="38" t="str">
        <f t="shared" si="53"/>
        <v/>
      </c>
      <c r="R559" s="37" t="str">
        <f t="shared" si="54"/>
        <v/>
      </c>
      <c r="S559" s="37" t="str">
        <f t="shared" si="55"/>
        <v/>
      </c>
      <c r="T559" s="38" t="str">
        <f t="shared" si="56"/>
        <v/>
      </c>
      <c r="U559" s="37" t="str">
        <f t="shared" si="57"/>
        <v/>
      </c>
    </row>
    <row r="560" spans="2:21" ht="27">
      <c r="B560" s="282" t="s">
        <v>957</v>
      </c>
      <c r="C560" s="156" t="s">
        <v>1107</v>
      </c>
      <c r="D560" s="157" t="s">
        <v>1107</v>
      </c>
      <c r="E560" s="281" t="s">
        <v>1108</v>
      </c>
      <c r="F560" s="151" t="s">
        <v>127</v>
      </c>
      <c r="G560" s="152">
        <v>0</v>
      </c>
      <c r="H560" s="153" t="s">
        <v>6</v>
      </c>
      <c r="I560" s="154">
        <v>1</v>
      </c>
      <c r="J560" s="154">
        <v>5</v>
      </c>
      <c r="K560" s="30" t="str">
        <f>IF(H560="","",IF($C$30="간이법","",FPR(H560,I560,J560)))</f>
        <v/>
      </c>
      <c r="L560" s="30">
        <f>IF(H560="","",IF($C$30="상세법",FPV(H560,K560),IF(H560="EI",4,IF(H560="EO",5.2,IF(H560="EQ",3.9,IF(H560="ILF",7.5,IF(H560="EIF",5.4)))))))</f>
        <v>7.5</v>
      </c>
      <c r="M560" s="30" t="str">
        <f t="shared" si="51"/>
        <v/>
      </c>
      <c r="N560" s="134"/>
      <c r="O560" s="29"/>
      <c r="P560" s="37" t="str">
        <f t="shared" si="52"/>
        <v/>
      </c>
      <c r="Q560" s="38" t="str">
        <f t="shared" si="53"/>
        <v/>
      </c>
      <c r="R560" s="37" t="str">
        <f t="shared" si="54"/>
        <v/>
      </c>
      <c r="S560" s="37" t="str">
        <f t="shared" si="55"/>
        <v/>
      </c>
      <c r="T560" s="38" t="str">
        <f t="shared" si="56"/>
        <v/>
      </c>
      <c r="U560" s="37" t="str">
        <f t="shared" si="57"/>
        <v/>
      </c>
    </row>
    <row r="561" spans="2:21" ht="27">
      <c r="B561" s="282" t="s">
        <v>957</v>
      </c>
      <c r="C561" s="156" t="s">
        <v>1109</v>
      </c>
      <c r="D561" s="157" t="s">
        <v>1109</v>
      </c>
      <c r="E561" s="281" t="s">
        <v>1110</v>
      </c>
      <c r="F561" s="151" t="s">
        <v>127</v>
      </c>
      <c r="G561" s="152">
        <v>0</v>
      </c>
      <c r="H561" s="153" t="s">
        <v>6</v>
      </c>
      <c r="I561" s="154">
        <v>1</v>
      </c>
      <c r="J561" s="154">
        <v>10</v>
      </c>
      <c r="K561" s="30" t="str">
        <f>IF(H561="","",IF($C$30="간이법","",FPR(H561,I561,J561)))</f>
        <v/>
      </c>
      <c r="L561" s="30">
        <f>IF(H561="","",IF($C$30="상세법",FPV(H561,K561),IF(H561="EI",4,IF(H561="EO",5.2,IF(H561="EQ",3.9,IF(H561="ILF",7.5,IF(H561="EIF",5.4)))))))</f>
        <v>7.5</v>
      </c>
      <c r="M561" s="30" t="str">
        <f t="shared" si="51"/>
        <v/>
      </c>
      <c r="N561" s="134"/>
      <c r="O561" s="29"/>
      <c r="P561" s="37" t="str">
        <f t="shared" si="52"/>
        <v/>
      </c>
      <c r="Q561" s="38" t="str">
        <f t="shared" si="53"/>
        <v/>
      </c>
      <c r="R561" s="37" t="str">
        <f t="shared" si="54"/>
        <v/>
      </c>
      <c r="S561" s="37" t="str">
        <f t="shared" si="55"/>
        <v/>
      </c>
      <c r="T561" s="38" t="str">
        <f t="shared" si="56"/>
        <v/>
      </c>
      <c r="U561" s="37" t="str">
        <f t="shared" si="57"/>
        <v/>
      </c>
    </row>
    <row r="562" spans="2:21" ht="27">
      <c r="B562" s="282" t="s">
        <v>957</v>
      </c>
      <c r="C562" s="156" t="s">
        <v>1111</v>
      </c>
      <c r="D562" s="157" t="s">
        <v>1111</v>
      </c>
      <c r="E562" s="281" t="s">
        <v>1112</v>
      </c>
      <c r="F562" s="151" t="s">
        <v>127</v>
      </c>
      <c r="G562" s="152">
        <v>0</v>
      </c>
      <c r="H562" s="153" t="s">
        <v>6</v>
      </c>
      <c r="I562" s="154">
        <v>1</v>
      </c>
      <c r="J562" s="154">
        <v>7</v>
      </c>
      <c r="K562" s="30" t="str">
        <f>IF(H562="","",IF($C$30="간이법","",FPR(H562,I562,J562)))</f>
        <v/>
      </c>
      <c r="L562" s="30">
        <f>IF(H562="","",IF($C$30="상세법",FPV(H562,K562),IF(H562="EI",4,IF(H562="EO",5.2,IF(H562="EQ",3.9,IF(H562="ILF",7.5,IF(H562="EIF",5.4)))))))</f>
        <v>7.5</v>
      </c>
      <c r="M562" s="30" t="str">
        <f t="shared" si="51"/>
        <v/>
      </c>
      <c r="N562" s="134"/>
      <c r="O562" s="29"/>
      <c r="P562" s="37" t="str">
        <f t="shared" si="52"/>
        <v/>
      </c>
      <c r="Q562" s="38" t="str">
        <f t="shared" si="53"/>
        <v/>
      </c>
      <c r="R562" s="37" t="str">
        <f t="shared" si="54"/>
        <v/>
      </c>
      <c r="S562" s="37" t="str">
        <f t="shared" si="55"/>
        <v/>
      </c>
      <c r="T562" s="38" t="str">
        <f t="shared" si="56"/>
        <v/>
      </c>
      <c r="U562" s="37" t="str">
        <f t="shared" si="57"/>
        <v/>
      </c>
    </row>
    <row r="563" spans="2:21" ht="27">
      <c r="B563" s="282" t="s">
        <v>957</v>
      </c>
      <c r="C563" s="156" t="s">
        <v>1113</v>
      </c>
      <c r="D563" s="157" t="s">
        <v>1113</v>
      </c>
      <c r="E563" s="281" t="s">
        <v>1114</v>
      </c>
      <c r="F563" s="151" t="s">
        <v>127</v>
      </c>
      <c r="G563" s="152">
        <v>0</v>
      </c>
      <c r="H563" s="153" t="s">
        <v>6</v>
      </c>
      <c r="I563" s="154">
        <v>1</v>
      </c>
      <c r="J563" s="154">
        <v>13</v>
      </c>
      <c r="K563" s="30" t="str">
        <f>IF(H563="","",IF($C$30="간이법","",FPR(H563,I563,J563)))</f>
        <v/>
      </c>
      <c r="L563" s="30">
        <f>IF(H563="","",IF($C$30="상세법",FPV(H563,K563),IF(H563="EI",4,IF(H563="EO",5.2,IF(H563="EQ",3.9,IF(H563="ILF",7.5,IF(H563="EIF",5.4)))))))</f>
        <v>7.5</v>
      </c>
      <c r="M563" s="30" t="str">
        <f t="shared" si="51"/>
        <v/>
      </c>
      <c r="N563" s="134"/>
      <c r="O563" s="29"/>
      <c r="P563" s="37" t="str">
        <f t="shared" si="52"/>
        <v/>
      </c>
      <c r="Q563" s="38" t="str">
        <f t="shared" si="53"/>
        <v/>
      </c>
      <c r="R563" s="37" t="str">
        <f t="shared" si="54"/>
        <v/>
      </c>
      <c r="S563" s="37" t="str">
        <f t="shared" si="55"/>
        <v/>
      </c>
      <c r="T563" s="38" t="str">
        <f t="shared" si="56"/>
        <v/>
      </c>
      <c r="U563" s="37" t="str">
        <f t="shared" si="57"/>
        <v/>
      </c>
    </row>
    <row r="564" spans="2:21" ht="27">
      <c r="B564" s="282" t="s">
        <v>957</v>
      </c>
      <c r="C564" s="156" t="s">
        <v>1115</v>
      </c>
      <c r="D564" s="157" t="s">
        <v>1115</v>
      </c>
      <c r="E564" s="281" t="s">
        <v>1116</v>
      </c>
      <c r="F564" s="151" t="s">
        <v>127</v>
      </c>
      <c r="G564" s="152">
        <v>0</v>
      </c>
      <c r="H564" s="153" t="s">
        <v>6</v>
      </c>
      <c r="I564" s="154">
        <v>1</v>
      </c>
      <c r="J564" s="154">
        <v>9</v>
      </c>
      <c r="K564" s="30" t="str">
        <f>IF(H564="","",IF($C$30="간이법","",FPR(H564,I564,J564)))</f>
        <v/>
      </c>
      <c r="L564" s="30">
        <f>IF(H564="","",IF($C$30="상세법",FPV(H564,K564),IF(H564="EI",4,IF(H564="EO",5.2,IF(H564="EQ",3.9,IF(H564="ILF",7.5,IF(H564="EIF",5.4)))))))</f>
        <v>7.5</v>
      </c>
      <c r="M564" s="30" t="str">
        <f t="shared" si="51"/>
        <v/>
      </c>
      <c r="N564" s="134"/>
      <c r="O564" s="29"/>
      <c r="P564" s="37" t="str">
        <f t="shared" si="52"/>
        <v/>
      </c>
      <c r="Q564" s="38" t="str">
        <f t="shared" si="53"/>
        <v/>
      </c>
      <c r="R564" s="37" t="str">
        <f t="shared" si="54"/>
        <v/>
      </c>
      <c r="S564" s="37" t="str">
        <f t="shared" si="55"/>
        <v/>
      </c>
      <c r="T564" s="38" t="str">
        <f t="shared" si="56"/>
        <v/>
      </c>
      <c r="U564" s="37" t="str">
        <f t="shared" si="57"/>
        <v/>
      </c>
    </row>
    <row r="565" spans="2:21" ht="27">
      <c r="B565" s="282" t="s">
        <v>957</v>
      </c>
      <c r="C565" s="156" t="s">
        <v>1117</v>
      </c>
      <c r="D565" s="157" t="s">
        <v>1117</v>
      </c>
      <c r="E565" s="281" t="s">
        <v>1118</v>
      </c>
      <c r="F565" s="151" t="s">
        <v>127</v>
      </c>
      <c r="G565" s="152">
        <v>0</v>
      </c>
      <c r="H565" s="153" t="s">
        <v>6</v>
      </c>
      <c r="I565" s="154">
        <v>1</v>
      </c>
      <c r="J565" s="154">
        <v>7</v>
      </c>
      <c r="K565" s="30" t="str">
        <f>IF(H565="","",IF($C$30="간이법","",FPR(H565,I565,J565)))</f>
        <v/>
      </c>
      <c r="L565" s="30">
        <f>IF(H565="","",IF($C$30="상세법",FPV(H565,K565),IF(H565="EI",4,IF(H565="EO",5.2,IF(H565="EQ",3.9,IF(H565="ILF",7.5,IF(H565="EIF",5.4)))))))</f>
        <v>7.5</v>
      </c>
      <c r="M565" s="30" t="str">
        <f t="shared" si="51"/>
        <v/>
      </c>
      <c r="N565" s="134"/>
      <c r="O565" s="29"/>
      <c r="P565" s="37" t="str">
        <f t="shared" si="52"/>
        <v/>
      </c>
      <c r="Q565" s="38" t="str">
        <f t="shared" si="53"/>
        <v/>
      </c>
      <c r="R565" s="37" t="str">
        <f t="shared" si="54"/>
        <v/>
      </c>
      <c r="S565" s="37" t="str">
        <f t="shared" si="55"/>
        <v/>
      </c>
      <c r="T565" s="38" t="str">
        <f t="shared" si="56"/>
        <v/>
      </c>
      <c r="U565" s="37" t="str">
        <f t="shared" si="57"/>
        <v/>
      </c>
    </row>
    <row r="566" spans="2:21" ht="27">
      <c r="B566" s="282" t="s">
        <v>957</v>
      </c>
      <c r="C566" s="156" t="s">
        <v>1119</v>
      </c>
      <c r="D566" s="157" t="s">
        <v>1119</v>
      </c>
      <c r="E566" s="281" t="s">
        <v>1120</v>
      </c>
      <c r="F566" s="151" t="s">
        <v>127</v>
      </c>
      <c r="G566" s="152">
        <v>0</v>
      </c>
      <c r="H566" s="153" t="s">
        <v>6</v>
      </c>
      <c r="I566" s="154">
        <v>1</v>
      </c>
      <c r="J566" s="154">
        <v>6</v>
      </c>
      <c r="K566" s="30" t="str">
        <f>IF(H566="","",IF($C$30="간이법","",FPR(H566,I566,J566)))</f>
        <v/>
      </c>
      <c r="L566" s="30">
        <f>IF(H566="","",IF($C$30="상세법",FPV(H566,K566),IF(H566="EI",4,IF(H566="EO",5.2,IF(H566="EQ",3.9,IF(H566="ILF",7.5,IF(H566="EIF",5.4)))))))</f>
        <v>7.5</v>
      </c>
      <c r="M566" s="30" t="str">
        <f t="shared" si="51"/>
        <v/>
      </c>
      <c r="N566" s="134"/>
      <c r="O566" s="29"/>
      <c r="P566" s="37" t="str">
        <f t="shared" si="52"/>
        <v/>
      </c>
      <c r="Q566" s="38" t="str">
        <f t="shared" si="53"/>
        <v/>
      </c>
      <c r="R566" s="37" t="str">
        <f t="shared" si="54"/>
        <v/>
      </c>
      <c r="S566" s="37" t="str">
        <f t="shared" si="55"/>
        <v/>
      </c>
      <c r="T566" s="38" t="str">
        <f t="shared" si="56"/>
        <v/>
      </c>
      <c r="U566" s="37" t="str">
        <f t="shared" si="57"/>
        <v/>
      </c>
    </row>
    <row r="567" spans="2:21" ht="27">
      <c r="B567" s="282" t="s">
        <v>957</v>
      </c>
      <c r="C567" s="156" t="s">
        <v>1121</v>
      </c>
      <c r="D567" s="157" t="s">
        <v>1121</v>
      </c>
      <c r="E567" s="281" t="s">
        <v>1122</v>
      </c>
      <c r="F567" s="151" t="s">
        <v>127</v>
      </c>
      <c r="G567" s="152">
        <v>0</v>
      </c>
      <c r="H567" s="153" t="s">
        <v>6</v>
      </c>
      <c r="I567" s="154">
        <v>1</v>
      </c>
      <c r="J567" s="154">
        <v>5</v>
      </c>
      <c r="K567" s="30" t="str">
        <f>IF(H567="","",IF($C$30="간이법","",FPR(H567,I567,J567)))</f>
        <v/>
      </c>
      <c r="L567" s="30">
        <f>IF(H567="","",IF($C$30="상세법",FPV(H567,K567),IF(H567="EI",4,IF(H567="EO",5.2,IF(H567="EQ",3.9,IF(H567="ILF",7.5,IF(H567="EIF",5.4)))))))</f>
        <v>7.5</v>
      </c>
      <c r="M567" s="30" t="str">
        <f t="shared" si="51"/>
        <v/>
      </c>
      <c r="N567" s="134"/>
      <c r="O567" s="29"/>
      <c r="P567" s="37" t="str">
        <f t="shared" si="52"/>
        <v/>
      </c>
      <c r="Q567" s="38" t="str">
        <f t="shared" si="53"/>
        <v/>
      </c>
      <c r="R567" s="37" t="str">
        <f t="shared" si="54"/>
        <v/>
      </c>
      <c r="S567" s="37" t="str">
        <f t="shared" si="55"/>
        <v/>
      </c>
      <c r="T567" s="38" t="str">
        <f t="shared" si="56"/>
        <v/>
      </c>
      <c r="U567" s="37" t="str">
        <f t="shared" si="57"/>
        <v/>
      </c>
    </row>
    <row r="568" spans="2:21" ht="27">
      <c r="B568" s="282" t="s">
        <v>957</v>
      </c>
      <c r="C568" s="156" t="s">
        <v>1123</v>
      </c>
      <c r="D568" s="157" t="s">
        <v>1123</v>
      </c>
      <c r="E568" s="281" t="s">
        <v>1124</v>
      </c>
      <c r="F568" s="151" t="s">
        <v>127</v>
      </c>
      <c r="G568" s="152">
        <v>0</v>
      </c>
      <c r="H568" s="153" t="s">
        <v>6</v>
      </c>
      <c r="I568" s="154">
        <v>1</v>
      </c>
      <c r="J568" s="154">
        <v>5</v>
      </c>
      <c r="K568" s="30" t="str">
        <f>IF(H568="","",IF($C$30="간이법","",FPR(H568,I568,J568)))</f>
        <v/>
      </c>
      <c r="L568" s="30">
        <f>IF(H568="","",IF($C$30="상세법",FPV(H568,K568),IF(H568="EI",4,IF(H568="EO",5.2,IF(H568="EQ",3.9,IF(H568="ILF",7.5,IF(H568="EIF",5.4)))))))</f>
        <v>7.5</v>
      </c>
      <c r="M568" s="30" t="str">
        <f t="shared" si="51"/>
        <v/>
      </c>
      <c r="N568" s="134"/>
      <c r="O568" s="29"/>
      <c r="P568" s="37" t="str">
        <f t="shared" si="52"/>
        <v/>
      </c>
      <c r="Q568" s="38" t="str">
        <f t="shared" si="53"/>
        <v/>
      </c>
      <c r="R568" s="37" t="str">
        <f t="shared" si="54"/>
        <v/>
      </c>
      <c r="S568" s="37" t="str">
        <f t="shared" si="55"/>
        <v/>
      </c>
      <c r="T568" s="38" t="str">
        <f t="shared" si="56"/>
        <v/>
      </c>
      <c r="U568" s="37" t="str">
        <f t="shared" si="57"/>
        <v/>
      </c>
    </row>
    <row r="569" spans="2:21" ht="27">
      <c r="B569" s="282" t="s">
        <v>957</v>
      </c>
      <c r="C569" s="156" t="s">
        <v>1125</v>
      </c>
      <c r="D569" s="157" t="s">
        <v>1125</v>
      </c>
      <c r="E569" s="281" t="s">
        <v>1126</v>
      </c>
      <c r="F569" s="151" t="s">
        <v>127</v>
      </c>
      <c r="G569" s="152">
        <v>0</v>
      </c>
      <c r="H569" s="153" t="s">
        <v>6</v>
      </c>
      <c r="I569" s="154">
        <v>1</v>
      </c>
      <c r="J569" s="154">
        <v>13</v>
      </c>
      <c r="K569" s="30" t="str">
        <f>IF(H569="","",IF($C$30="간이법","",FPR(H569,I569,J569)))</f>
        <v/>
      </c>
      <c r="L569" s="30">
        <f>IF(H569="","",IF($C$30="상세법",FPV(H569,K569),IF(H569="EI",4,IF(H569="EO",5.2,IF(H569="EQ",3.9,IF(H569="ILF",7.5,IF(H569="EIF",5.4)))))))</f>
        <v>7.5</v>
      </c>
      <c r="M569" s="30" t="str">
        <f t="shared" si="51"/>
        <v/>
      </c>
      <c r="N569" s="134"/>
      <c r="O569" s="29"/>
      <c r="P569" s="37" t="str">
        <f t="shared" si="52"/>
        <v/>
      </c>
      <c r="Q569" s="38" t="str">
        <f t="shared" si="53"/>
        <v/>
      </c>
      <c r="R569" s="37" t="str">
        <f t="shared" si="54"/>
        <v/>
      </c>
      <c r="S569" s="37" t="str">
        <f t="shared" si="55"/>
        <v/>
      </c>
      <c r="T569" s="38" t="str">
        <f t="shared" si="56"/>
        <v/>
      </c>
      <c r="U569" s="37" t="str">
        <f t="shared" si="57"/>
        <v/>
      </c>
    </row>
    <row r="570" spans="2:21" ht="17.25">
      <c r="B570" s="282" t="s">
        <v>957</v>
      </c>
      <c r="C570" s="156" t="s">
        <v>1127</v>
      </c>
      <c r="D570" s="157" t="s">
        <v>1127</v>
      </c>
      <c r="E570" s="281" t="s">
        <v>1128</v>
      </c>
      <c r="F570" s="151" t="s">
        <v>127</v>
      </c>
      <c r="G570" s="152">
        <v>0</v>
      </c>
      <c r="H570" s="153" t="s">
        <v>6</v>
      </c>
      <c r="I570" s="154">
        <v>1</v>
      </c>
      <c r="J570" s="154">
        <v>6</v>
      </c>
      <c r="K570" s="30" t="str">
        <f>IF(H570="","",IF($C$30="간이법","",FPR(H570,I570,J570)))</f>
        <v/>
      </c>
      <c r="L570" s="30">
        <f>IF(H570="","",IF($C$30="상세법",FPV(H570,K570),IF(H570="EI",4,IF(H570="EO",5.2,IF(H570="EQ",3.9,IF(H570="ILF",7.5,IF(H570="EIF",5.4)))))))</f>
        <v>7.5</v>
      </c>
      <c r="M570" s="30" t="str">
        <f t="shared" si="51"/>
        <v/>
      </c>
      <c r="N570" s="134"/>
      <c r="O570" s="29"/>
      <c r="P570" s="37" t="str">
        <f t="shared" si="52"/>
        <v/>
      </c>
      <c r="Q570" s="38" t="str">
        <f t="shared" si="53"/>
        <v/>
      </c>
      <c r="R570" s="37" t="str">
        <f t="shared" si="54"/>
        <v/>
      </c>
      <c r="S570" s="37" t="str">
        <f t="shared" si="55"/>
        <v/>
      </c>
      <c r="T570" s="38" t="str">
        <f t="shared" si="56"/>
        <v/>
      </c>
      <c r="U570" s="37" t="str">
        <f t="shared" si="57"/>
        <v/>
      </c>
    </row>
    <row r="571" spans="2:21" ht="27">
      <c r="B571" s="282" t="s">
        <v>957</v>
      </c>
      <c r="C571" s="156" t="s">
        <v>1129</v>
      </c>
      <c r="D571" s="157" t="s">
        <v>1129</v>
      </c>
      <c r="E571" s="281" t="s">
        <v>1130</v>
      </c>
      <c r="F571" s="151" t="s">
        <v>127</v>
      </c>
      <c r="G571" s="152">
        <v>0</v>
      </c>
      <c r="H571" s="153" t="s">
        <v>6</v>
      </c>
      <c r="I571" s="154">
        <v>1</v>
      </c>
      <c r="J571" s="154">
        <v>5</v>
      </c>
      <c r="K571" s="30" t="str">
        <f>IF(H571="","",IF($C$30="간이법","",FPR(H571,I571,J571)))</f>
        <v/>
      </c>
      <c r="L571" s="30">
        <f>IF(H571="","",IF($C$30="상세법",FPV(H571,K571),IF(H571="EI",4,IF(H571="EO",5.2,IF(H571="EQ",3.9,IF(H571="ILF",7.5,IF(H571="EIF",5.4)))))))</f>
        <v>7.5</v>
      </c>
      <c r="M571" s="30" t="str">
        <f t="shared" si="51"/>
        <v/>
      </c>
      <c r="N571" s="134"/>
      <c r="O571" s="29"/>
      <c r="P571" s="37" t="str">
        <f t="shared" si="52"/>
        <v/>
      </c>
      <c r="Q571" s="38" t="str">
        <f t="shared" si="53"/>
        <v/>
      </c>
      <c r="R571" s="37" t="str">
        <f t="shared" si="54"/>
        <v/>
      </c>
      <c r="S571" s="37" t="str">
        <f t="shared" si="55"/>
        <v/>
      </c>
      <c r="T571" s="38" t="str">
        <f t="shared" si="56"/>
        <v/>
      </c>
      <c r="U571" s="37" t="str">
        <f t="shared" si="57"/>
        <v/>
      </c>
    </row>
    <row r="572" spans="2:21" ht="27">
      <c r="B572" s="282" t="s">
        <v>957</v>
      </c>
      <c r="C572" s="156" t="s">
        <v>1131</v>
      </c>
      <c r="D572" s="157" t="s">
        <v>1131</v>
      </c>
      <c r="E572" s="281" t="s">
        <v>1132</v>
      </c>
      <c r="F572" s="151" t="s">
        <v>127</v>
      </c>
      <c r="G572" s="152">
        <v>0</v>
      </c>
      <c r="H572" s="153" t="s">
        <v>6</v>
      </c>
      <c r="I572" s="154">
        <v>1</v>
      </c>
      <c r="J572" s="154">
        <v>10</v>
      </c>
      <c r="K572" s="30" t="str">
        <f>IF(H572="","",IF($C$30="간이법","",FPR(H572,I572,J572)))</f>
        <v/>
      </c>
      <c r="L572" s="30">
        <f>IF(H572="","",IF($C$30="상세법",FPV(H572,K572),IF(H572="EI",4,IF(H572="EO",5.2,IF(H572="EQ",3.9,IF(H572="ILF",7.5,IF(H572="EIF",5.4)))))))</f>
        <v>7.5</v>
      </c>
      <c r="M572" s="30" t="str">
        <f t="shared" ref="M572:M635" si="58">IF(OR(G572="",$E$36="(선택)",$E$40="(선택)",$E$41="(선택)",F572="신규 개발",F572="수정 없이 재사용"),"",(IF(F572="수정 후 재사용",IF($E$50&lt;=0.5,L572*($E$36+$E$50*100*(1+0.02*($E$40*$E$41)))/100,L572*($E$36+$E$50*100+($E$40*$E$41))/100))))</f>
        <v/>
      </c>
      <c r="N572" s="134"/>
      <c r="O572" s="29"/>
      <c r="P572" s="37" t="str">
        <f t="shared" ref="P572:P635" si="59">IF(F572="수정 후 재사용",IF(H572="ILF",G572,IF(H572="EIF",G572,"")),"")</f>
        <v/>
      </c>
      <c r="Q572" s="38" t="str">
        <f t="shared" ref="Q572:Q635" si="60">IF(P572&lt;&gt;"",IF(H572="ILF", L572/$E$46,IF(H572="EIF", L572/$E$46,"")),"")</f>
        <v/>
      </c>
      <c r="R572" s="37" t="str">
        <f t="shared" ref="R572:R635" si="61">IF(P572&lt;&gt;"",P572*Q572,"")</f>
        <v/>
      </c>
      <c r="S572" s="37" t="str">
        <f t="shared" ref="S572:S635" si="62">IF(F572="수정 후 재사용",IF(H572="EI",G572,IF(H572="EO",G572,IF(H572="EQ",G572,""))),"")</f>
        <v/>
      </c>
      <c r="T572" s="38" t="str">
        <f t="shared" ref="T572:T635" si="63">IF(S572&lt;&gt;"",IF(H572="EI",L572/$E$47,IF(H572="EO",L572/$E$47,IF(H572="EQ",L572/$E$47,""))),"")</f>
        <v/>
      </c>
      <c r="U572" s="37" t="str">
        <f t="shared" ref="U572:U635" si="64">IF(S572&lt;&gt;"",S572*T572,"")</f>
        <v/>
      </c>
    </row>
    <row r="573" spans="2:21" ht="27">
      <c r="B573" s="282" t="s">
        <v>957</v>
      </c>
      <c r="C573" s="156" t="s">
        <v>1133</v>
      </c>
      <c r="D573" s="157" t="s">
        <v>1133</v>
      </c>
      <c r="E573" s="281" t="s">
        <v>1134</v>
      </c>
      <c r="F573" s="151" t="s">
        <v>127</v>
      </c>
      <c r="G573" s="152">
        <v>0</v>
      </c>
      <c r="H573" s="153" t="s">
        <v>6</v>
      </c>
      <c r="I573" s="154">
        <v>1</v>
      </c>
      <c r="J573" s="154">
        <v>12</v>
      </c>
      <c r="K573" s="30" t="str">
        <f>IF(H573="","",IF($C$30="간이법","",FPR(H573,I573,J573)))</f>
        <v/>
      </c>
      <c r="L573" s="30">
        <f>IF(H573="","",IF($C$30="상세법",FPV(H573,K573),IF(H573="EI",4,IF(H573="EO",5.2,IF(H573="EQ",3.9,IF(H573="ILF",7.5,IF(H573="EIF",5.4)))))))</f>
        <v>7.5</v>
      </c>
      <c r="M573" s="30" t="str">
        <f t="shared" si="58"/>
        <v/>
      </c>
      <c r="N573" s="134"/>
      <c r="O573" s="29"/>
      <c r="P573" s="37" t="str">
        <f t="shared" si="59"/>
        <v/>
      </c>
      <c r="Q573" s="38" t="str">
        <f t="shared" si="60"/>
        <v/>
      </c>
      <c r="R573" s="37" t="str">
        <f t="shared" si="61"/>
        <v/>
      </c>
      <c r="S573" s="37" t="str">
        <f t="shared" si="62"/>
        <v/>
      </c>
      <c r="T573" s="38" t="str">
        <f t="shared" si="63"/>
        <v/>
      </c>
      <c r="U573" s="37" t="str">
        <f t="shared" si="64"/>
        <v/>
      </c>
    </row>
    <row r="574" spans="2:21" ht="17.25">
      <c r="B574" s="282" t="s">
        <v>957</v>
      </c>
      <c r="C574" s="156" t="s">
        <v>1135</v>
      </c>
      <c r="D574" s="157" t="s">
        <v>1135</v>
      </c>
      <c r="E574" s="281" t="s">
        <v>1136</v>
      </c>
      <c r="F574" s="151" t="s">
        <v>127</v>
      </c>
      <c r="G574" s="152">
        <v>0</v>
      </c>
      <c r="H574" s="153" t="s">
        <v>6</v>
      </c>
      <c r="I574" s="154">
        <v>1</v>
      </c>
      <c r="J574" s="154">
        <v>38</v>
      </c>
      <c r="K574" s="30" t="str">
        <f>IF(H574="","",IF($C$30="간이법","",FPR(H574,I574,J574)))</f>
        <v/>
      </c>
      <c r="L574" s="30">
        <f>IF(H574="","",IF($C$30="상세법",FPV(H574,K574),IF(H574="EI",4,IF(H574="EO",5.2,IF(H574="EQ",3.9,IF(H574="ILF",7.5,IF(H574="EIF",5.4)))))))</f>
        <v>7.5</v>
      </c>
      <c r="M574" s="30" t="str">
        <f t="shared" si="58"/>
        <v/>
      </c>
      <c r="N574" s="134"/>
      <c r="O574" s="29"/>
      <c r="P574" s="37" t="str">
        <f t="shared" si="59"/>
        <v/>
      </c>
      <c r="Q574" s="38" t="str">
        <f t="shared" si="60"/>
        <v/>
      </c>
      <c r="R574" s="37" t="str">
        <f t="shared" si="61"/>
        <v/>
      </c>
      <c r="S574" s="37" t="str">
        <f t="shared" si="62"/>
        <v/>
      </c>
      <c r="T574" s="38" t="str">
        <f t="shared" si="63"/>
        <v/>
      </c>
      <c r="U574" s="37" t="str">
        <f t="shared" si="64"/>
        <v/>
      </c>
    </row>
    <row r="575" spans="2:21" ht="17.25">
      <c r="B575" s="282" t="s">
        <v>957</v>
      </c>
      <c r="C575" s="156" t="s">
        <v>1137</v>
      </c>
      <c r="D575" s="157" t="s">
        <v>1137</v>
      </c>
      <c r="E575" s="281" t="s">
        <v>1138</v>
      </c>
      <c r="F575" s="151" t="s">
        <v>127</v>
      </c>
      <c r="G575" s="152">
        <v>0</v>
      </c>
      <c r="H575" s="153" t="s">
        <v>6</v>
      </c>
      <c r="I575" s="154">
        <v>1</v>
      </c>
      <c r="J575" s="154">
        <v>8</v>
      </c>
      <c r="K575" s="30" t="str">
        <f>IF(H575="","",IF($C$30="간이법","",FPR(H575,I575,J575)))</f>
        <v/>
      </c>
      <c r="L575" s="30">
        <f>IF(H575="","",IF($C$30="상세법",FPV(H575,K575),IF(H575="EI",4,IF(H575="EO",5.2,IF(H575="EQ",3.9,IF(H575="ILF",7.5,IF(H575="EIF",5.4)))))))</f>
        <v>7.5</v>
      </c>
      <c r="M575" s="30" t="str">
        <f t="shared" si="58"/>
        <v/>
      </c>
      <c r="N575" s="134"/>
      <c r="O575" s="29"/>
      <c r="P575" s="37" t="str">
        <f t="shared" si="59"/>
        <v/>
      </c>
      <c r="Q575" s="38" t="str">
        <f t="shared" si="60"/>
        <v/>
      </c>
      <c r="R575" s="37" t="str">
        <f t="shared" si="61"/>
        <v/>
      </c>
      <c r="S575" s="37" t="str">
        <f t="shared" si="62"/>
        <v/>
      </c>
      <c r="T575" s="38" t="str">
        <f t="shared" si="63"/>
        <v/>
      </c>
      <c r="U575" s="37" t="str">
        <f t="shared" si="64"/>
        <v/>
      </c>
    </row>
    <row r="576" spans="2:21" ht="17.25">
      <c r="B576" s="282" t="s">
        <v>957</v>
      </c>
      <c r="C576" s="156" t="s">
        <v>1139</v>
      </c>
      <c r="D576" s="157" t="s">
        <v>1139</v>
      </c>
      <c r="E576" s="281" t="s">
        <v>1140</v>
      </c>
      <c r="F576" s="151" t="s">
        <v>127</v>
      </c>
      <c r="G576" s="152">
        <v>0</v>
      </c>
      <c r="H576" s="153" t="s">
        <v>6</v>
      </c>
      <c r="I576" s="154">
        <v>1</v>
      </c>
      <c r="J576" s="154">
        <v>8</v>
      </c>
      <c r="K576" s="30" t="str">
        <f>IF(H576="","",IF($C$30="간이법","",FPR(H576,I576,J576)))</f>
        <v/>
      </c>
      <c r="L576" s="30">
        <f>IF(H576="","",IF($C$30="상세법",FPV(H576,K576),IF(H576="EI",4,IF(H576="EO",5.2,IF(H576="EQ",3.9,IF(H576="ILF",7.5,IF(H576="EIF",5.4)))))))</f>
        <v>7.5</v>
      </c>
      <c r="M576" s="30" t="str">
        <f t="shared" si="58"/>
        <v/>
      </c>
      <c r="N576" s="134"/>
      <c r="O576" s="29"/>
      <c r="P576" s="37" t="str">
        <f t="shared" si="59"/>
        <v/>
      </c>
      <c r="Q576" s="38" t="str">
        <f t="shared" si="60"/>
        <v/>
      </c>
      <c r="R576" s="37" t="str">
        <f t="shared" si="61"/>
        <v/>
      </c>
      <c r="S576" s="37" t="str">
        <f t="shared" si="62"/>
        <v/>
      </c>
      <c r="T576" s="38" t="str">
        <f t="shared" si="63"/>
        <v/>
      </c>
      <c r="U576" s="37" t="str">
        <f t="shared" si="64"/>
        <v/>
      </c>
    </row>
    <row r="577" spans="2:21" ht="17.25">
      <c r="B577" s="282" t="s">
        <v>957</v>
      </c>
      <c r="C577" s="156" t="s">
        <v>1141</v>
      </c>
      <c r="D577" s="157" t="s">
        <v>1141</v>
      </c>
      <c r="E577" s="281" t="s">
        <v>1142</v>
      </c>
      <c r="F577" s="151" t="s">
        <v>127</v>
      </c>
      <c r="G577" s="152">
        <v>0</v>
      </c>
      <c r="H577" s="153" t="s">
        <v>6</v>
      </c>
      <c r="I577" s="154">
        <v>1</v>
      </c>
      <c r="J577" s="154">
        <v>14</v>
      </c>
      <c r="K577" s="30" t="str">
        <f>IF(H577="","",IF($C$30="간이법","",FPR(H577,I577,J577)))</f>
        <v/>
      </c>
      <c r="L577" s="30">
        <f>IF(H577="","",IF($C$30="상세법",FPV(H577,K577),IF(H577="EI",4,IF(H577="EO",5.2,IF(H577="EQ",3.9,IF(H577="ILF",7.5,IF(H577="EIF",5.4)))))))</f>
        <v>7.5</v>
      </c>
      <c r="M577" s="30" t="str">
        <f t="shared" si="58"/>
        <v/>
      </c>
      <c r="N577" s="134"/>
      <c r="O577" s="29"/>
      <c r="P577" s="37" t="str">
        <f t="shared" si="59"/>
        <v/>
      </c>
      <c r="Q577" s="38" t="str">
        <f t="shared" si="60"/>
        <v/>
      </c>
      <c r="R577" s="37" t="str">
        <f t="shared" si="61"/>
        <v/>
      </c>
      <c r="S577" s="37" t="str">
        <f t="shared" si="62"/>
        <v/>
      </c>
      <c r="T577" s="38" t="str">
        <f t="shared" si="63"/>
        <v/>
      </c>
      <c r="U577" s="37" t="str">
        <f t="shared" si="64"/>
        <v/>
      </c>
    </row>
    <row r="578" spans="2:21" ht="17.25">
      <c r="B578" s="282" t="s">
        <v>957</v>
      </c>
      <c r="C578" s="156" t="s">
        <v>1143</v>
      </c>
      <c r="D578" s="157" t="s">
        <v>1143</v>
      </c>
      <c r="E578" s="281" t="s">
        <v>1144</v>
      </c>
      <c r="F578" s="151" t="s">
        <v>127</v>
      </c>
      <c r="G578" s="152">
        <v>0</v>
      </c>
      <c r="H578" s="153" t="s">
        <v>6</v>
      </c>
      <c r="I578" s="154">
        <v>1</v>
      </c>
      <c r="J578" s="154">
        <v>9</v>
      </c>
      <c r="K578" s="30" t="str">
        <f>IF(H578="","",IF($C$30="간이법","",FPR(H578,I578,J578)))</f>
        <v/>
      </c>
      <c r="L578" s="30">
        <f>IF(H578="","",IF($C$30="상세법",FPV(H578,K578),IF(H578="EI",4,IF(H578="EO",5.2,IF(H578="EQ",3.9,IF(H578="ILF",7.5,IF(H578="EIF",5.4)))))))</f>
        <v>7.5</v>
      </c>
      <c r="M578" s="30" t="str">
        <f t="shared" si="58"/>
        <v/>
      </c>
      <c r="N578" s="134"/>
      <c r="O578" s="29"/>
      <c r="P578" s="37" t="str">
        <f t="shared" si="59"/>
        <v/>
      </c>
      <c r="Q578" s="38" t="str">
        <f t="shared" si="60"/>
        <v/>
      </c>
      <c r="R578" s="37" t="str">
        <f t="shared" si="61"/>
        <v/>
      </c>
      <c r="S578" s="37" t="str">
        <f t="shared" si="62"/>
        <v/>
      </c>
      <c r="T578" s="38" t="str">
        <f t="shared" si="63"/>
        <v/>
      </c>
      <c r="U578" s="37" t="str">
        <f t="shared" si="64"/>
        <v/>
      </c>
    </row>
    <row r="579" spans="2:21" ht="27">
      <c r="B579" s="282" t="s">
        <v>957</v>
      </c>
      <c r="C579" s="156" t="s">
        <v>1145</v>
      </c>
      <c r="D579" s="157" t="s">
        <v>1145</v>
      </c>
      <c r="E579" s="281" t="s">
        <v>1146</v>
      </c>
      <c r="F579" s="151" t="s">
        <v>127</v>
      </c>
      <c r="G579" s="152">
        <v>0</v>
      </c>
      <c r="H579" s="153" t="s">
        <v>6</v>
      </c>
      <c r="I579" s="154">
        <v>1</v>
      </c>
      <c r="J579" s="154">
        <v>11</v>
      </c>
      <c r="K579" s="30" t="str">
        <f>IF(H579="","",IF($C$30="간이법","",FPR(H579,I579,J579)))</f>
        <v/>
      </c>
      <c r="L579" s="30">
        <f>IF(H579="","",IF($C$30="상세법",FPV(H579,K579),IF(H579="EI",4,IF(H579="EO",5.2,IF(H579="EQ",3.9,IF(H579="ILF",7.5,IF(H579="EIF",5.4)))))))</f>
        <v>7.5</v>
      </c>
      <c r="M579" s="30" t="str">
        <f t="shared" si="58"/>
        <v/>
      </c>
      <c r="N579" s="134"/>
      <c r="O579" s="29"/>
      <c r="P579" s="37" t="str">
        <f t="shared" si="59"/>
        <v/>
      </c>
      <c r="Q579" s="38" t="str">
        <f t="shared" si="60"/>
        <v/>
      </c>
      <c r="R579" s="37" t="str">
        <f t="shared" si="61"/>
        <v/>
      </c>
      <c r="S579" s="37" t="str">
        <f t="shared" si="62"/>
        <v/>
      </c>
      <c r="T579" s="38" t="str">
        <f t="shared" si="63"/>
        <v/>
      </c>
      <c r="U579" s="37" t="str">
        <f t="shared" si="64"/>
        <v/>
      </c>
    </row>
    <row r="580" spans="2:21" ht="17.25">
      <c r="B580" s="282" t="s">
        <v>957</v>
      </c>
      <c r="C580" s="156" t="s">
        <v>1147</v>
      </c>
      <c r="D580" s="157" t="s">
        <v>1147</v>
      </c>
      <c r="E580" s="281" t="s">
        <v>1148</v>
      </c>
      <c r="F580" s="151" t="s">
        <v>127</v>
      </c>
      <c r="G580" s="152">
        <v>0</v>
      </c>
      <c r="H580" s="153" t="s">
        <v>6</v>
      </c>
      <c r="I580" s="154">
        <v>1</v>
      </c>
      <c r="J580" s="154">
        <v>19</v>
      </c>
      <c r="K580" s="30" t="str">
        <f>IF(H580="","",IF($C$30="간이법","",FPR(H580,I580,J580)))</f>
        <v/>
      </c>
      <c r="L580" s="30">
        <f>IF(H580="","",IF($C$30="상세법",FPV(H580,K580),IF(H580="EI",4,IF(H580="EO",5.2,IF(H580="EQ",3.9,IF(H580="ILF",7.5,IF(H580="EIF",5.4)))))))</f>
        <v>7.5</v>
      </c>
      <c r="M580" s="30" t="str">
        <f t="shared" si="58"/>
        <v/>
      </c>
      <c r="N580" s="134"/>
      <c r="O580" s="29"/>
      <c r="P580" s="37" t="str">
        <f t="shared" si="59"/>
        <v/>
      </c>
      <c r="Q580" s="38" t="str">
        <f t="shared" si="60"/>
        <v/>
      </c>
      <c r="R580" s="37" t="str">
        <f t="shared" si="61"/>
        <v/>
      </c>
      <c r="S580" s="37" t="str">
        <f t="shared" si="62"/>
        <v/>
      </c>
      <c r="T580" s="38" t="str">
        <f t="shared" si="63"/>
        <v/>
      </c>
      <c r="U580" s="37" t="str">
        <f t="shared" si="64"/>
        <v/>
      </c>
    </row>
    <row r="581" spans="2:21" ht="17.25">
      <c r="B581" s="282" t="s">
        <v>957</v>
      </c>
      <c r="C581" s="156" t="s">
        <v>1149</v>
      </c>
      <c r="D581" s="157" t="s">
        <v>1150</v>
      </c>
      <c r="E581" s="281" t="s">
        <v>1151</v>
      </c>
      <c r="F581" s="151" t="s">
        <v>127</v>
      </c>
      <c r="G581" s="152">
        <v>0</v>
      </c>
      <c r="H581" s="153" t="s">
        <v>6</v>
      </c>
      <c r="I581" s="154">
        <v>1</v>
      </c>
      <c r="J581" s="154">
        <v>5</v>
      </c>
      <c r="K581" s="30" t="str">
        <f>IF(H581="","",IF($C$30="간이법","",FPR(H581,I581,J581)))</f>
        <v/>
      </c>
      <c r="L581" s="30">
        <f>IF(H581="","",IF($C$30="상세법",FPV(H581,K581),IF(H581="EI",4,IF(H581="EO",5.2,IF(H581="EQ",3.9,IF(H581="ILF",7.5,IF(H581="EIF",5.4)))))))</f>
        <v>7.5</v>
      </c>
      <c r="M581" s="30" t="str">
        <f t="shared" si="58"/>
        <v/>
      </c>
      <c r="N581" s="134"/>
      <c r="O581" s="29"/>
      <c r="P581" s="37" t="str">
        <f t="shared" si="59"/>
        <v/>
      </c>
      <c r="Q581" s="38" t="str">
        <f t="shared" si="60"/>
        <v/>
      </c>
      <c r="R581" s="37" t="str">
        <f t="shared" si="61"/>
        <v/>
      </c>
      <c r="S581" s="37" t="str">
        <f t="shared" si="62"/>
        <v/>
      </c>
      <c r="T581" s="38" t="str">
        <f t="shared" si="63"/>
        <v/>
      </c>
      <c r="U581" s="37" t="str">
        <f t="shared" si="64"/>
        <v/>
      </c>
    </row>
    <row r="582" spans="2:21" ht="17.25">
      <c r="B582" s="282" t="s">
        <v>957</v>
      </c>
      <c r="C582" s="156" t="s">
        <v>627</v>
      </c>
      <c r="D582" s="157" t="s">
        <v>1152</v>
      </c>
      <c r="E582" s="281" t="s">
        <v>1153</v>
      </c>
      <c r="F582" s="151" t="s">
        <v>127</v>
      </c>
      <c r="G582" s="152">
        <v>0</v>
      </c>
      <c r="H582" s="153" t="s">
        <v>6</v>
      </c>
      <c r="I582" s="154">
        <v>1</v>
      </c>
      <c r="J582" s="154">
        <v>22</v>
      </c>
      <c r="K582" s="30" t="str">
        <f>IF(H582="","",IF($C$30="간이법","",FPR(H582,I582,J582)))</f>
        <v/>
      </c>
      <c r="L582" s="30">
        <f>IF(H582="","",IF($C$30="상세법",FPV(H582,K582),IF(H582="EI",4,IF(H582="EO",5.2,IF(H582="EQ",3.9,IF(H582="ILF",7.5,IF(H582="EIF",5.4)))))))</f>
        <v>7.5</v>
      </c>
      <c r="M582" s="30" t="str">
        <f t="shared" si="58"/>
        <v/>
      </c>
      <c r="N582" s="134"/>
      <c r="O582" s="29"/>
      <c r="P582" s="37" t="str">
        <f t="shared" si="59"/>
        <v/>
      </c>
      <c r="Q582" s="38" t="str">
        <f t="shared" si="60"/>
        <v/>
      </c>
      <c r="R582" s="37" t="str">
        <f t="shared" si="61"/>
        <v/>
      </c>
      <c r="S582" s="37" t="str">
        <f t="shared" si="62"/>
        <v/>
      </c>
      <c r="T582" s="38" t="str">
        <f t="shared" si="63"/>
        <v/>
      </c>
      <c r="U582" s="37" t="str">
        <f t="shared" si="64"/>
        <v/>
      </c>
    </row>
    <row r="583" spans="2:21" ht="17.25">
      <c r="B583" s="282" t="s">
        <v>957</v>
      </c>
      <c r="C583" s="156" t="s">
        <v>1154</v>
      </c>
      <c r="D583" s="157" t="s">
        <v>1155</v>
      </c>
      <c r="E583" s="281" t="s">
        <v>1156</v>
      </c>
      <c r="F583" s="151" t="s">
        <v>127</v>
      </c>
      <c r="G583" s="152">
        <v>0</v>
      </c>
      <c r="H583" s="153" t="s">
        <v>6</v>
      </c>
      <c r="I583" s="154">
        <v>1</v>
      </c>
      <c r="J583" s="154">
        <v>11</v>
      </c>
      <c r="K583" s="30" t="str">
        <f>IF(H583="","",IF($C$30="간이법","",FPR(H583,I583,J583)))</f>
        <v/>
      </c>
      <c r="L583" s="30">
        <f>IF(H583="","",IF($C$30="상세법",FPV(H583,K583),IF(H583="EI",4,IF(H583="EO",5.2,IF(H583="EQ",3.9,IF(H583="ILF",7.5,IF(H583="EIF",5.4)))))))</f>
        <v>7.5</v>
      </c>
      <c r="M583" s="30" t="str">
        <f t="shared" si="58"/>
        <v/>
      </c>
      <c r="N583" s="134"/>
      <c r="O583" s="29"/>
      <c r="P583" s="37" t="str">
        <f t="shared" si="59"/>
        <v/>
      </c>
      <c r="Q583" s="38" t="str">
        <f t="shared" si="60"/>
        <v/>
      </c>
      <c r="R583" s="37" t="str">
        <f t="shared" si="61"/>
        <v/>
      </c>
      <c r="S583" s="37" t="str">
        <f t="shared" si="62"/>
        <v/>
      </c>
      <c r="T583" s="38" t="str">
        <f t="shared" si="63"/>
        <v/>
      </c>
      <c r="U583" s="37" t="str">
        <f t="shared" si="64"/>
        <v/>
      </c>
    </row>
    <row r="584" spans="2:21" ht="17.25">
      <c r="B584" s="156"/>
      <c r="C584" s="156"/>
      <c r="D584" s="157"/>
      <c r="E584" s="155"/>
      <c r="F584" s="151"/>
      <c r="G584" s="152"/>
      <c r="H584" s="153"/>
      <c r="I584" s="154"/>
      <c r="J584" s="154"/>
      <c r="K584" s="30" t="str">
        <f>IF(H584="","",IF($C$30="간이법","",FPR(H584,I584,J584)))</f>
        <v/>
      </c>
      <c r="L584" s="30" t="str">
        <f>IF(H584="","",IF($C$30="상세법",FPV(H584,K584),IF(H584="EI",4,IF(H584="EO",5.2,IF(H584="EQ",3.9,IF(H584="ILF",7.5,IF(H584="EIF",5.4)))))))</f>
        <v/>
      </c>
      <c r="M584" s="30" t="str">
        <f t="shared" si="58"/>
        <v/>
      </c>
      <c r="N584" s="134"/>
      <c r="O584" s="29"/>
      <c r="P584" s="37" t="str">
        <f t="shared" si="59"/>
        <v/>
      </c>
      <c r="Q584" s="38" t="str">
        <f t="shared" si="60"/>
        <v/>
      </c>
      <c r="R584" s="37" t="str">
        <f t="shared" si="61"/>
        <v/>
      </c>
      <c r="S584" s="37" t="str">
        <f t="shared" si="62"/>
        <v/>
      </c>
      <c r="T584" s="38" t="str">
        <f t="shared" si="63"/>
        <v/>
      </c>
      <c r="U584" s="37" t="str">
        <f t="shared" si="64"/>
        <v/>
      </c>
    </row>
    <row r="585" spans="2:21" ht="17.25">
      <c r="B585" s="156"/>
      <c r="C585" s="156"/>
      <c r="D585" s="157"/>
      <c r="E585" s="155"/>
      <c r="F585" s="151"/>
      <c r="G585" s="152"/>
      <c r="H585" s="153"/>
      <c r="I585" s="154"/>
      <c r="J585" s="154"/>
      <c r="K585" s="30" t="str">
        <f>IF(H585="","",IF($C$30="간이법","",FPR(H585,I585,J585)))</f>
        <v/>
      </c>
      <c r="L585" s="30" t="str">
        <f>IF(H585="","",IF($C$30="상세법",FPV(H585,K585),IF(H585="EI",4,IF(H585="EO",5.2,IF(H585="EQ",3.9,IF(H585="ILF",7.5,IF(H585="EIF",5.4)))))))</f>
        <v/>
      </c>
      <c r="M585" s="30" t="str">
        <f t="shared" si="58"/>
        <v/>
      </c>
      <c r="N585" s="134"/>
      <c r="O585" s="29"/>
      <c r="P585" s="37" t="str">
        <f t="shared" si="59"/>
        <v/>
      </c>
      <c r="Q585" s="38" t="str">
        <f t="shared" si="60"/>
        <v/>
      </c>
      <c r="R585" s="37" t="str">
        <f t="shared" si="61"/>
        <v/>
      </c>
      <c r="S585" s="37" t="str">
        <f t="shared" si="62"/>
        <v/>
      </c>
      <c r="T585" s="38" t="str">
        <f t="shared" si="63"/>
        <v/>
      </c>
      <c r="U585" s="37" t="str">
        <f t="shared" si="64"/>
        <v/>
      </c>
    </row>
    <row r="586" spans="2:21" ht="17.25">
      <c r="B586" s="156"/>
      <c r="C586" s="156"/>
      <c r="D586" s="157"/>
      <c r="E586" s="155"/>
      <c r="F586" s="151"/>
      <c r="G586" s="152"/>
      <c r="H586" s="153"/>
      <c r="I586" s="154"/>
      <c r="J586" s="154"/>
      <c r="K586" s="30" t="str">
        <f>IF(H586="","",IF($C$30="간이법","",FPR(H586,I586,J586)))</f>
        <v/>
      </c>
      <c r="L586" s="30" t="str">
        <f>IF(H586="","",IF($C$30="상세법",FPV(H586,K586),IF(H586="EI",4,IF(H586="EO",5.2,IF(H586="EQ",3.9,IF(H586="ILF",7.5,IF(H586="EIF",5.4)))))))</f>
        <v/>
      </c>
      <c r="M586" s="30" t="str">
        <f t="shared" si="58"/>
        <v/>
      </c>
      <c r="N586" s="134"/>
      <c r="O586" s="29"/>
      <c r="P586" s="37" t="str">
        <f t="shared" si="59"/>
        <v/>
      </c>
      <c r="Q586" s="38" t="str">
        <f t="shared" si="60"/>
        <v/>
      </c>
      <c r="R586" s="37" t="str">
        <f t="shared" si="61"/>
        <v/>
      </c>
      <c r="S586" s="37" t="str">
        <f t="shared" si="62"/>
        <v/>
      </c>
      <c r="T586" s="38" t="str">
        <f t="shared" si="63"/>
        <v/>
      </c>
      <c r="U586" s="37" t="str">
        <f t="shared" si="64"/>
        <v/>
      </c>
    </row>
    <row r="587" spans="2:21" ht="17.25">
      <c r="B587" s="156"/>
      <c r="C587" s="156"/>
      <c r="D587" s="157"/>
      <c r="E587" s="155"/>
      <c r="F587" s="151"/>
      <c r="G587" s="152"/>
      <c r="H587" s="153"/>
      <c r="I587" s="154"/>
      <c r="J587" s="154"/>
      <c r="K587" s="30" t="str">
        <f>IF(H587="","",IF($C$30="간이법","",FPR(H587,I587,J587)))</f>
        <v/>
      </c>
      <c r="L587" s="30" t="str">
        <f>IF(H587="","",IF($C$30="상세법",FPV(H587,K587),IF(H587="EI",4,IF(H587="EO",5.2,IF(H587="EQ",3.9,IF(H587="ILF",7.5,IF(H587="EIF",5.4)))))))</f>
        <v/>
      </c>
      <c r="M587" s="30" t="str">
        <f t="shared" si="58"/>
        <v/>
      </c>
      <c r="N587" s="134"/>
      <c r="O587" s="29"/>
      <c r="P587" s="37" t="str">
        <f t="shared" si="59"/>
        <v/>
      </c>
      <c r="Q587" s="38" t="str">
        <f t="shared" si="60"/>
        <v/>
      </c>
      <c r="R587" s="37" t="str">
        <f t="shared" si="61"/>
        <v/>
      </c>
      <c r="S587" s="37" t="str">
        <f t="shared" si="62"/>
        <v/>
      </c>
      <c r="T587" s="38" t="str">
        <f t="shared" si="63"/>
        <v/>
      </c>
      <c r="U587" s="37" t="str">
        <f t="shared" si="64"/>
        <v/>
      </c>
    </row>
    <row r="588" spans="2:21" ht="17.25">
      <c r="B588" s="156"/>
      <c r="C588" s="156"/>
      <c r="D588" s="157"/>
      <c r="E588" s="155"/>
      <c r="F588" s="151"/>
      <c r="G588" s="152"/>
      <c r="H588" s="153"/>
      <c r="I588" s="154"/>
      <c r="J588" s="154"/>
      <c r="K588" s="30" t="str">
        <f>IF(H588="","",IF($C$30="간이법","",FPR(H588,I588,J588)))</f>
        <v/>
      </c>
      <c r="L588" s="30" t="str">
        <f>IF(H588="","",IF($C$30="상세법",FPV(H588,K588),IF(H588="EI",4,IF(H588="EO",5.2,IF(H588="EQ",3.9,IF(H588="ILF",7.5,IF(H588="EIF",5.4)))))))</f>
        <v/>
      </c>
      <c r="M588" s="30" t="str">
        <f t="shared" si="58"/>
        <v/>
      </c>
      <c r="N588" s="134"/>
      <c r="O588" s="29"/>
      <c r="P588" s="37" t="str">
        <f t="shared" si="59"/>
        <v/>
      </c>
      <c r="Q588" s="38" t="str">
        <f t="shared" si="60"/>
        <v/>
      </c>
      <c r="R588" s="37" t="str">
        <f t="shared" si="61"/>
        <v/>
      </c>
      <c r="S588" s="37" t="str">
        <f t="shared" si="62"/>
        <v/>
      </c>
      <c r="T588" s="38" t="str">
        <f t="shared" si="63"/>
        <v/>
      </c>
      <c r="U588" s="37" t="str">
        <f t="shared" si="64"/>
        <v/>
      </c>
    </row>
    <row r="589" spans="2:21" ht="17.25">
      <c r="B589" s="156"/>
      <c r="C589" s="156"/>
      <c r="D589" s="157"/>
      <c r="E589" s="155"/>
      <c r="F589" s="151"/>
      <c r="G589" s="152"/>
      <c r="H589" s="153"/>
      <c r="I589" s="154"/>
      <c r="J589" s="154"/>
      <c r="K589" s="30" t="str">
        <f>IF(H589="","",IF($C$30="간이법","",FPR(H589,I589,J589)))</f>
        <v/>
      </c>
      <c r="L589" s="30" t="str">
        <f>IF(H589="","",IF($C$30="상세법",FPV(H589,K589),IF(H589="EI",4,IF(H589="EO",5.2,IF(H589="EQ",3.9,IF(H589="ILF",7.5,IF(H589="EIF",5.4)))))))</f>
        <v/>
      </c>
      <c r="M589" s="30" t="str">
        <f t="shared" si="58"/>
        <v/>
      </c>
      <c r="N589" s="134"/>
      <c r="O589" s="29"/>
      <c r="P589" s="37" t="str">
        <f t="shared" si="59"/>
        <v/>
      </c>
      <c r="Q589" s="38" t="str">
        <f t="shared" si="60"/>
        <v/>
      </c>
      <c r="R589" s="37" t="str">
        <f t="shared" si="61"/>
        <v/>
      </c>
      <c r="S589" s="37" t="str">
        <f t="shared" si="62"/>
        <v/>
      </c>
      <c r="T589" s="38" t="str">
        <f t="shared" si="63"/>
        <v/>
      </c>
      <c r="U589" s="37" t="str">
        <f t="shared" si="64"/>
        <v/>
      </c>
    </row>
    <row r="590" spans="2:21" ht="17.25">
      <c r="B590" s="156"/>
      <c r="C590" s="156"/>
      <c r="D590" s="157"/>
      <c r="E590" s="155"/>
      <c r="F590" s="151"/>
      <c r="G590" s="152"/>
      <c r="H590" s="153"/>
      <c r="I590" s="154"/>
      <c r="J590" s="154"/>
      <c r="K590" s="30" t="str">
        <f>IF(H590="","",IF($C$30="간이법","",FPR(H590,I590,J590)))</f>
        <v/>
      </c>
      <c r="L590" s="30" t="str">
        <f>IF(H590="","",IF($C$30="상세법",FPV(H590,K590),IF(H590="EI",4,IF(H590="EO",5.2,IF(H590="EQ",3.9,IF(H590="ILF",7.5,IF(H590="EIF",5.4)))))))</f>
        <v/>
      </c>
      <c r="M590" s="30" t="str">
        <f t="shared" si="58"/>
        <v/>
      </c>
      <c r="N590" s="134"/>
      <c r="O590" s="29"/>
      <c r="P590" s="37" t="str">
        <f t="shared" si="59"/>
        <v/>
      </c>
      <c r="Q590" s="38" t="str">
        <f t="shared" si="60"/>
        <v/>
      </c>
      <c r="R590" s="37" t="str">
        <f t="shared" si="61"/>
        <v/>
      </c>
      <c r="S590" s="37" t="str">
        <f t="shared" si="62"/>
        <v/>
      </c>
      <c r="T590" s="38" t="str">
        <f t="shared" si="63"/>
        <v/>
      </c>
      <c r="U590" s="37" t="str">
        <f t="shared" si="64"/>
        <v/>
      </c>
    </row>
    <row r="591" spans="2:21" ht="17.25">
      <c r="B591" s="156"/>
      <c r="C591" s="156"/>
      <c r="D591" s="157"/>
      <c r="E591" s="155"/>
      <c r="F591" s="151"/>
      <c r="G591" s="152"/>
      <c r="H591" s="153"/>
      <c r="I591" s="154"/>
      <c r="J591" s="154"/>
      <c r="K591" s="30" t="str">
        <f>IF(H591="","",IF($C$30="간이법","",FPR(H591,I591,J591)))</f>
        <v/>
      </c>
      <c r="L591" s="30" t="str">
        <f>IF(H591="","",IF($C$30="상세법",FPV(H591,K591),IF(H591="EI",4,IF(H591="EO",5.2,IF(H591="EQ",3.9,IF(H591="ILF",7.5,IF(H591="EIF",5.4)))))))</f>
        <v/>
      </c>
      <c r="M591" s="30" t="str">
        <f t="shared" si="58"/>
        <v/>
      </c>
      <c r="N591" s="134"/>
      <c r="O591" s="29"/>
      <c r="P591" s="37" t="str">
        <f t="shared" si="59"/>
        <v/>
      </c>
      <c r="Q591" s="38" t="str">
        <f t="shared" si="60"/>
        <v/>
      </c>
      <c r="R591" s="37" t="str">
        <f t="shared" si="61"/>
        <v/>
      </c>
      <c r="S591" s="37" t="str">
        <f t="shared" si="62"/>
        <v/>
      </c>
      <c r="T591" s="38" t="str">
        <f t="shared" si="63"/>
        <v/>
      </c>
      <c r="U591" s="37" t="str">
        <f t="shared" si="64"/>
        <v/>
      </c>
    </row>
    <row r="592" spans="2:21" ht="17.25">
      <c r="B592" s="156"/>
      <c r="C592" s="156"/>
      <c r="D592" s="157"/>
      <c r="E592" s="155"/>
      <c r="F592" s="151"/>
      <c r="G592" s="152"/>
      <c r="H592" s="153"/>
      <c r="I592" s="154"/>
      <c r="J592" s="154"/>
      <c r="K592" s="30" t="str">
        <f>IF(H592="","",IF($C$30="간이법","",FPR(H592,I592,J592)))</f>
        <v/>
      </c>
      <c r="L592" s="30" t="str">
        <f>IF(H592="","",IF($C$30="상세법",FPV(H592,K592),IF(H592="EI",4,IF(H592="EO",5.2,IF(H592="EQ",3.9,IF(H592="ILF",7.5,IF(H592="EIF",5.4)))))))</f>
        <v/>
      </c>
      <c r="M592" s="30" t="str">
        <f t="shared" si="58"/>
        <v/>
      </c>
      <c r="N592" s="134"/>
      <c r="O592" s="29"/>
      <c r="P592" s="37" t="str">
        <f t="shared" si="59"/>
        <v/>
      </c>
      <c r="Q592" s="38" t="str">
        <f t="shared" si="60"/>
        <v/>
      </c>
      <c r="R592" s="37" t="str">
        <f t="shared" si="61"/>
        <v/>
      </c>
      <c r="S592" s="37" t="str">
        <f t="shared" si="62"/>
        <v/>
      </c>
      <c r="T592" s="38" t="str">
        <f t="shared" si="63"/>
        <v/>
      </c>
      <c r="U592" s="37" t="str">
        <f t="shared" si="64"/>
        <v/>
      </c>
    </row>
    <row r="593" spans="2:21" ht="17.25">
      <c r="B593" s="156"/>
      <c r="C593" s="156"/>
      <c r="D593" s="157"/>
      <c r="E593" s="155"/>
      <c r="F593" s="151"/>
      <c r="G593" s="152"/>
      <c r="H593" s="153"/>
      <c r="I593" s="154"/>
      <c r="J593" s="154"/>
      <c r="K593" s="30" t="str">
        <f>IF(H593="","",IF($C$30="간이법","",FPR(H593,I593,J593)))</f>
        <v/>
      </c>
      <c r="L593" s="30" t="str">
        <f>IF(H593="","",IF($C$30="상세법",FPV(H593,K593),IF(H593="EI",4,IF(H593="EO",5.2,IF(H593="EQ",3.9,IF(H593="ILF",7.5,IF(H593="EIF",5.4)))))))</f>
        <v/>
      </c>
      <c r="M593" s="30" t="str">
        <f t="shared" si="58"/>
        <v/>
      </c>
      <c r="N593" s="134"/>
      <c r="O593" s="29"/>
      <c r="P593" s="37" t="str">
        <f t="shared" si="59"/>
        <v/>
      </c>
      <c r="Q593" s="38" t="str">
        <f t="shared" si="60"/>
        <v/>
      </c>
      <c r="R593" s="37" t="str">
        <f t="shared" si="61"/>
        <v/>
      </c>
      <c r="S593" s="37" t="str">
        <f t="shared" si="62"/>
        <v/>
      </c>
      <c r="T593" s="38" t="str">
        <f t="shared" si="63"/>
        <v/>
      </c>
      <c r="U593" s="37" t="str">
        <f t="shared" si="64"/>
        <v/>
      </c>
    </row>
    <row r="594" spans="2:21" ht="17.25">
      <c r="B594" s="156"/>
      <c r="C594" s="156"/>
      <c r="D594" s="157"/>
      <c r="E594" s="155"/>
      <c r="F594" s="151"/>
      <c r="G594" s="152"/>
      <c r="H594" s="153"/>
      <c r="I594" s="154"/>
      <c r="J594" s="154"/>
      <c r="K594" s="30" t="str">
        <f>IF(H594="","",IF($C$30="간이법","",FPR(H594,I594,J594)))</f>
        <v/>
      </c>
      <c r="L594" s="30" t="str">
        <f>IF(H594="","",IF($C$30="상세법",FPV(H594,K594),IF(H594="EI",4,IF(H594="EO",5.2,IF(H594="EQ",3.9,IF(H594="ILF",7.5,IF(H594="EIF",5.4)))))))</f>
        <v/>
      </c>
      <c r="M594" s="30" t="str">
        <f t="shared" si="58"/>
        <v/>
      </c>
      <c r="N594" s="134"/>
      <c r="O594" s="29"/>
      <c r="P594" s="37" t="str">
        <f t="shared" si="59"/>
        <v/>
      </c>
      <c r="Q594" s="38" t="str">
        <f t="shared" si="60"/>
        <v/>
      </c>
      <c r="R594" s="37" t="str">
        <f t="shared" si="61"/>
        <v/>
      </c>
      <c r="S594" s="37" t="str">
        <f t="shared" si="62"/>
        <v/>
      </c>
      <c r="T594" s="38" t="str">
        <f t="shared" si="63"/>
        <v/>
      </c>
      <c r="U594" s="37" t="str">
        <f t="shared" si="64"/>
        <v/>
      </c>
    </row>
    <row r="595" spans="2:21" ht="17.25">
      <c r="B595" s="156"/>
      <c r="C595" s="156"/>
      <c r="D595" s="157"/>
      <c r="E595" s="155"/>
      <c r="F595" s="151"/>
      <c r="G595" s="152"/>
      <c r="H595" s="153"/>
      <c r="I595" s="154"/>
      <c r="J595" s="154"/>
      <c r="K595" s="30" t="str">
        <f>IF(H595="","",IF($C$30="간이법","",FPR(H595,I595,J595)))</f>
        <v/>
      </c>
      <c r="L595" s="30" t="str">
        <f>IF(H595="","",IF($C$30="상세법",FPV(H595,K595),IF(H595="EI",4,IF(H595="EO",5.2,IF(H595="EQ",3.9,IF(H595="ILF",7.5,IF(H595="EIF",5.4)))))))</f>
        <v/>
      </c>
      <c r="M595" s="30" t="str">
        <f t="shared" si="58"/>
        <v/>
      </c>
      <c r="N595" s="134"/>
      <c r="O595" s="29"/>
      <c r="P595" s="37" t="str">
        <f t="shared" si="59"/>
        <v/>
      </c>
      <c r="Q595" s="38" t="str">
        <f t="shared" si="60"/>
        <v/>
      </c>
      <c r="R595" s="37" t="str">
        <f t="shared" si="61"/>
        <v/>
      </c>
      <c r="S595" s="37" t="str">
        <f t="shared" si="62"/>
        <v/>
      </c>
      <c r="T595" s="38" t="str">
        <f t="shared" si="63"/>
        <v/>
      </c>
      <c r="U595" s="37" t="str">
        <f t="shared" si="64"/>
        <v/>
      </c>
    </row>
    <row r="596" spans="2:21" ht="17.25">
      <c r="B596" s="156"/>
      <c r="C596" s="156"/>
      <c r="D596" s="157"/>
      <c r="E596" s="155"/>
      <c r="F596" s="151"/>
      <c r="G596" s="152"/>
      <c r="H596" s="153"/>
      <c r="I596" s="154"/>
      <c r="J596" s="154"/>
      <c r="K596" s="30" t="str">
        <f>IF(H596="","",IF($C$30="간이법","",FPR(H596,I596,J596)))</f>
        <v/>
      </c>
      <c r="L596" s="30" t="str">
        <f>IF(H596="","",IF($C$30="상세법",FPV(H596,K596),IF(H596="EI",4,IF(H596="EO",5.2,IF(H596="EQ",3.9,IF(H596="ILF",7.5,IF(H596="EIF",5.4)))))))</f>
        <v/>
      </c>
      <c r="M596" s="30" t="str">
        <f t="shared" si="58"/>
        <v/>
      </c>
      <c r="N596" s="134"/>
      <c r="O596" s="29"/>
      <c r="P596" s="37" t="str">
        <f t="shared" si="59"/>
        <v/>
      </c>
      <c r="Q596" s="38" t="str">
        <f t="shared" si="60"/>
        <v/>
      </c>
      <c r="R596" s="37" t="str">
        <f t="shared" si="61"/>
        <v/>
      </c>
      <c r="S596" s="37" t="str">
        <f t="shared" si="62"/>
        <v/>
      </c>
      <c r="T596" s="38" t="str">
        <f t="shared" si="63"/>
        <v/>
      </c>
      <c r="U596" s="37" t="str">
        <f t="shared" si="64"/>
        <v/>
      </c>
    </row>
    <row r="597" spans="2:21" ht="17.25">
      <c r="B597" s="156"/>
      <c r="C597" s="156"/>
      <c r="D597" s="157"/>
      <c r="E597" s="155"/>
      <c r="F597" s="151"/>
      <c r="G597" s="152"/>
      <c r="H597" s="153"/>
      <c r="I597" s="154"/>
      <c r="J597" s="154"/>
      <c r="K597" s="30" t="str">
        <f>IF(H597="","",IF($C$30="간이법","",FPR(H597,I597,J597)))</f>
        <v/>
      </c>
      <c r="L597" s="30" t="str">
        <f>IF(H597="","",IF($C$30="상세법",FPV(H597,K597),IF(H597="EI",4,IF(H597="EO",5.2,IF(H597="EQ",3.9,IF(H597="ILF",7.5,IF(H597="EIF",5.4)))))))</f>
        <v/>
      </c>
      <c r="M597" s="30" t="str">
        <f t="shared" si="58"/>
        <v/>
      </c>
      <c r="N597" s="134"/>
      <c r="O597" s="29"/>
      <c r="P597" s="37" t="str">
        <f t="shared" si="59"/>
        <v/>
      </c>
      <c r="Q597" s="38" t="str">
        <f t="shared" si="60"/>
        <v/>
      </c>
      <c r="R597" s="37" t="str">
        <f t="shared" si="61"/>
        <v/>
      </c>
      <c r="S597" s="37" t="str">
        <f t="shared" si="62"/>
        <v/>
      </c>
      <c r="T597" s="38" t="str">
        <f t="shared" si="63"/>
        <v/>
      </c>
      <c r="U597" s="37" t="str">
        <f t="shared" si="64"/>
        <v/>
      </c>
    </row>
    <row r="598" spans="2:21" ht="17.25">
      <c r="B598" s="156"/>
      <c r="C598" s="156"/>
      <c r="D598" s="157"/>
      <c r="E598" s="155"/>
      <c r="F598" s="151"/>
      <c r="G598" s="152"/>
      <c r="H598" s="153"/>
      <c r="I598" s="154"/>
      <c r="J598" s="154"/>
      <c r="K598" s="30" t="str">
        <f>IF(H598="","",IF($C$30="간이법","",FPR(H598,I598,J598)))</f>
        <v/>
      </c>
      <c r="L598" s="30" t="str">
        <f>IF(H598="","",IF($C$30="상세법",FPV(H598,K598),IF(H598="EI",4,IF(H598="EO",5.2,IF(H598="EQ",3.9,IF(H598="ILF",7.5,IF(H598="EIF",5.4)))))))</f>
        <v/>
      </c>
      <c r="M598" s="30" t="str">
        <f t="shared" si="58"/>
        <v/>
      </c>
      <c r="N598" s="134"/>
      <c r="O598" s="29"/>
      <c r="P598" s="37" t="str">
        <f t="shared" si="59"/>
        <v/>
      </c>
      <c r="Q598" s="38" t="str">
        <f t="shared" si="60"/>
        <v/>
      </c>
      <c r="R598" s="37" t="str">
        <f t="shared" si="61"/>
        <v/>
      </c>
      <c r="S598" s="37" t="str">
        <f t="shared" si="62"/>
        <v/>
      </c>
      <c r="T598" s="38" t="str">
        <f t="shared" si="63"/>
        <v/>
      </c>
      <c r="U598" s="37" t="str">
        <f t="shared" si="64"/>
        <v/>
      </c>
    </row>
    <row r="599" spans="2:21" ht="17.25">
      <c r="B599" s="156"/>
      <c r="C599" s="156"/>
      <c r="D599" s="157"/>
      <c r="E599" s="155"/>
      <c r="F599" s="151"/>
      <c r="G599" s="152"/>
      <c r="H599" s="153"/>
      <c r="I599" s="154"/>
      <c r="J599" s="154"/>
      <c r="K599" s="30" t="str">
        <f>IF(H599="","",IF($C$30="간이법","",FPR(H599,I599,J599)))</f>
        <v/>
      </c>
      <c r="L599" s="30" t="str">
        <f>IF(H599="","",IF($C$30="상세법",FPV(H599,K599),IF(H599="EI",4,IF(H599="EO",5.2,IF(H599="EQ",3.9,IF(H599="ILF",7.5,IF(H599="EIF",5.4)))))))</f>
        <v/>
      </c>
      <c r="M599" s="30" t="str">
        <f t="shared" si="58"/>
        <v/>
      </c>
      <c r="N599" s="134"/>
      <c r="O599" s="29"/>
      <c r="P599" s="37" t="str">
        <f t="shared" si="59"/>
        <v/>
      </c>
      <c r="Q599" s="38" t="str">
        <f t="shared" si="60"/>
        <v/>
      </c>
      <c r="R599" s="37" t="str">
        <f t="shared" si="61"/>
        <v/>
      </c>
      <c r="S599" s="37" t="str">
        <f t="shared" si="62"/>
        <v/>
      </c>
      <c r="T599" s="38" t="str">
        <f t="shared" si="63"/>
        <v/>
      </c>
      <c r="U599" s="37" t="str">
        <f t="shared" si="64"/>
        <v/>
      </c>
    </row>
    <row r="600" spans="2:21" ht="17.25">
      <c r="B600" s="156"/>
      <c r="C600" s="156"/>
      <c r="D600" s="157"/>
      <c r="E600" s="155"/>
      <c r="F600" s="151"/>
      <c r="G600" s="152"/>
      <c r="H600" s="153"/>
      <c r="I600" s="154"/>
      <c r="J600" s="154"/>
      <c r="K600" s="30" t="str">
        <f>IF(H600="","",IF($C$30="간이법","",FPR(H600,I600,J600)))</f>
        <v/>
      </c>
      <c r="L600" s="30" t="str">
        <f>IF(H600="","",IF($C$30="상세법",FPV(H600,K600),IF(H600="EI",4,IF(H600="EO",5.2,IF(H600="EQ",3.9,IF(H600="ILF",7.5,IF(H600="EIF",5.4)))))))</f>
        <v/>
      </c>
      <c r="M600" s="30" t="str">
        <f t="shared" si="58"/>
        <v/>
      </c>
      <c r="N600" s="134"/>
      <c r="O600" s="29"/>
      <c r="P600" s="37" t="str">
        <f t="shared" si="59"/>
        <v/>
      </c>
      <c r="Q600" s="38" t="str">
        <f t="shared" si="60"/>
        <v/>
      </c>
      <c r="R600" s="37" t="str">
        <f t="shared" si="61"/>
        <v/>
      </c>
      <c r="S600" s="37" t="str">
        <f t="shared" si="62"/>
        <v/>
      </c>
      <c r="T600" s="38" t="str">
        <f t="shared" si="63"/>
        <v/>
      </c>
      <c r="U600" s="37" t="str">
        <f t="shared" si="64"/>
        <v/>
      </c>
    </row>
    <row r="601" spans="2:21" ht="17.25">
      <c r="B601" s="156"/>
      <c r="C601" s="156"/>
      <c r="D601" s="157"/>
      <c r="E601" s="155"/>
      <c r="F601" s="151"/>
      <c r="G601" s="152"/>
      <c r="H601" s="153"/>
      <c r="I601" s="154"/>
      <c r="J601" s="154"/>
      <c r="K601" s="30" t="str">
        <f>IF(H601="","",IF($C$30="간이법","",FPR(H601,I601,J601)))</f>
        <v/>
      </c>
      <c r="L601" s="30" t="str">
        <f>IF(H601="","",IF($C$30="상세법",FPV(H601,K601),IF(H601="EI",4,IF(H601="EO",5.2,IF(H601="EQ",3.9,IF(H601="ILF",7.5,IF(H601="EIF",5.4)))))))</f>
        <v/>
      </c>
      <c r="M601" s="30" t="str">
        <f t="shared" si="58"/>
        <v/>
      </c>
      <c r="N601" s="134"/>
      <c r="O601" s="29"/>
      <c r="P601" s="37" t="str">
        <f t="shared" si="59"/>
        <v/>
      </c>
      <c r="Q601" s="38" t="str">
        <f t="shared" si="60"/>
        <v/>
      </c>
      <c r="R601" s="37" t="str">
        <f t="shared" si="61"/>
        <v/>
      </c>
      <c r="S601" s="37" t="str">
        <f t="shared" si="62"/>
        <v/>
      </c>
      <c r="T601" s="38" t="str">
        <f t="shared" si="63"/>
        <v/>
      </c>
      <c r="U601" s="37" t="str">
        <f t="shared" si="64"/>
        <v/>
      </c>
    </row>
    <row r="602" spans="2:21" ht="17.25">
      <c r="B602" s="156"/>
      <c r="C602" s="156"/>
      <c r="D602" s="157"/>
      <c r="E602" s="155"/>
      <c r="F602" s="151"/>
      <c r="G602" s="152"/>
      <c r="H602" s="153"/>
      <c r="I602" s="154"/>
      <c r="J602" s="154"/>
      <c r="K602" s="30" t="str">
        <f>IF(H602="","",IF($C$30="간이법","",FPR(H602,I602,J602)))</f>
        <v/>
      </c>
      <c r="L602" s="30" t="str">
        <f>IF(H602="","",IF($C$30="상세법",FPV(H602,K602),IF(H602="EI",4,IF(H602="EO",5.2,IF(H602="EQ",3.9,IF(H602="ILF",7.5,IF(H602="EIF",5.4)))))))</f>
        <v/>
      </c>
      <c r="M602" s="30" t="str">
        <f t="shared" si="58"/>
        <v/>
      </c>
      <c r="N602" s="134"/>
      <c r="O602" s="29"/>
      <c r="P602" s="37" t="str">
        <f t="shared" si="59"/>
        <v/>
      </c>
      <c r="Q602" s="38" t="str">
        <f t="shared" si="60"/>
        <v/>
      </c>
      <c r="R602" s="37" t="str">
        <f t="shared" si="61"/>
        <v/>
      </c>
      <c r="S602" s="37" t="str">
        <f t="shared" si="62"/>
        <v/>
      </c>
      <c r="T602" s="38" t="str">
        <f t="shared" si="63"/>
        <v/>
      </c>
      <c r="U602" s="37" t="str">
        <f t="shared" si="64"/>
        <v/>
      </c>
    </row>
    <row r="603" spans="2:21" ht="17.25">
      <c r="B603" s="156"/>
      <c r="C603" s="156"/>
      <c r="D603" s="157"/>
      <c r="E603" s="155"/>
      <c r="F603" s="151"/>
      <c r="G603" s="152"/>
      <c r="H603" s="153"/>
      <c r="I603" s="154"/>
      <c r="J603" s="154"/>
      <c r="K603" s="30" t="str">
        <f>IF(H603="","",IF($C$30="간이법","",FPR(H603,I603,J603)))</f>
        <v/>
      </c>
      <c r="L603" s="30" t="str">
        <f>IF(H603="","",IF($C$30="상세법",FPV(H603,K603),IF(H603="EI",4,IF(H603="EO",5.2,IF(H603="EQ",3.9,IF(H603="ILF",7.5,IF(H603="EIF",5.4)))))))</f>
        <v/>
      </c>
      <c r="M603" s="30" t="str">
        <f t="shared" si="58"/>
        <v/>
      </c>
      <c r="N603" s="134"/>
      <c r="O603" s="29"/>
      <c r="P603" s="37" t="str">
        <f t="shared" si="59"/>
        <v/>
      </c>
      <c r="Q603" s="38" t="str">
        <f t="shared" si="60"/>
        <v/>
      </c>
      <c r="R603" s="37" t="str">
        <f t="shared" si="61"/>
        <v/>
      </c>
      <c r="S603" s="37" t="str">
        <f t="shared" si="62"/>
        <v/>
      </c>
      <c r="T603" s="38" t="str">
        <f t="shared" si="63"/>
        <v/>
      </c>
      <c r="U603" s="37" t="str">
        <f t="shared" si="64"/>
        <v/>
      </c>
    </row>
    <row r="604" spans="2:21" ht="17.25">
      <c r="B604" s="156"/>
      <c r="C604" s="156"/>
      <c r="D604" s="157"/>
      <c r="E604" s="155"/>
      <c r="F604" s="151"/>
      <c r="G604" s="152"/>
      <c r="H604" s="153"/>
      <c r="I604" s="154"/>
      <c r="J604" s="154"/>
      <c r="K604" s="30" t="str">
        <f>IF(H604="","",IF($C$30="간이법","",FPR(H604,I604,J604)))</f>
        <v/>
      </c>
      <c r="L604" s="30" t="str">
        <f>IF(H604="","",IF($C$30="상세법",FPV(H604,K604),IF(H604="EI",4,IF(H604="EO",5.2,IF(H604="EQ",3.9,IF(H604="ILF",7.5,IF(H604="EIF",5.4)))))))</f>
        <v/>
      </c>
      <c r="M604" s="30" t="str">
        <f t="shared" si="58"/>
        <v/>
      </c>
      <c r="N604" s="134"/>
      <c r="O604" s="29"/>
      <c r="P604" s="37" t="str">
        <f t="shared" si="59"/>
        <v/>
      </c>
      <c r="Q604" s="38" t="str">
        <f t="shared" si="60"/>
        <v/>
      </c>
      <c r="R604" s="37" t="str">
        <f t="shared" si="61"/>
        <v/>
      </c>
      <c r="S604" s="37" t="str">
        <f t="shared" si="62"/>
        <v/>
      </c>
      <c r="T604" s="38" t="str">
        <f t="shared" si="63"/>
        <v/>
      </c>
      <c r="U604" s="37" t="str">
        <f t="shared" si="64"/>
        <v/>
      </c>
    </row>
    <row r="605" spans="2:21" ht="17.25">
      <c r="B605" s="156"/>
      <c r="C605" s="156"/>
      <c r="D605" s="157"/>
      <c r="E605" s="155"/>
      <c r="F605" s="151"/>
      <c r="G605" s="152"/>
      <c r="H605" s="153"/>
      <c r="I605" s="154"/>
      <c r="J605" s="154"/>
      <c r="K605" s="30" t="str">
        <f>IF(H605="","",IF($C$30="간이법","",FPR(H605,I605,J605)))</f>
        <v/>
      </c>
      <c r="L605" s="30" t="str">
        <f>IF(H605="","",IF($C$30="상세법",FPV(H605,K605),IF(H605="EI",4,IF(H605="EO",5.2,IF(H605="EQ",3.9,IF(H605="ILF",7.5,IF(H605="EIF",5.4)))))))</f>
        <v/>
      </c>
      <c r="M605" s="30" t="str">
        <f t="shared" si="58"/>
        <v/>
      </c>
      <c r="N605" s="134"/>
      <c r="O605" s="29"/>
      <c r="P605" s="37" t="str">
        <f t="shared" si="59"/>
        <v/>
      </c>
      <c r="Q605" s="38" t="str">
        <f t="shared" si="60"/>
        <v/>
      </c>
      <c r="R605" s="37" t="str">
        <f t="shared" si="61"/>
        <v/>
      </c>
      <c r="S605" s="37" t="str">
        <f t="shared" si="62"/>
        <v/>
      </c>
      <c r="T605" s="38" t="str">
        <f t="shared" si="63"/>
        <v/>
      </c>
      <c r="U605" s="37" t="str">
        <f t="shared" si="64"/>
        <v/>
      </c>
    </row>
    <row r="606" spans="2:21" ht="17.25">
      <c r="B606" s="156"/>
      <c r="C606" s="156"/>
      <c r="D606" s="157"/>
      <c r="E606" s="155"/>
      <c r="F606" s="151"/>
      <c r="G606" s="152"/>
      <c r="H606" s="153"/>
      <c r="I606" s="154"/>
      <c r="J606" s="154"/>
      <c r="K606" s="30" t="str">
        <f>IF(H606="","",IF($C$30="간이법","",FPR(H606,I606,J606)))</f>
        <v/>
      </c>
      <c r="L606" s="30" t="str">
        <f>IF(H606="","",IF($C$30="상세법",FPV(H606,K606),IF(H606="EI",4,IF(H606="EO",5.2,IF(H606="EQ",3.9,IF(H606="ILF",7.5,IF(H606="EIF",5.4)))))))</f>
        <v/>
      </c>
      <c r="M606" s="30" t="str">
        <f t="shared" si="58"/>
        <v/>
      </c>
      <c r="N606" s="134"/>
      <c r="O606" s="29"/>
      <c r="P606" s="37" t="str">
        <f t="shared" si="59"/>
        <v/>
      </c>
      <c r="Q606" s="38" t="str">
        <f t="shared" si="60"/>
        <v/>
      </c>
      <c r="R606" s="37" t="str">
        <f t="shared" si="61"/>
        <v/>
      </c>
      <c r="S606" s="37" t="str">
        <f t="shared" si="62"/>
        <v/>
      </c>
      <c r="T606" s="38" t="str">
        <f t="shared" si="63"/>
        <v/>
      </c>
      <c r="U606" s="37" t="str">
        <f t="shared" si="64"/>
        <v/>
      </c>
    </row>
    <row r="607" spans="2:21" ht="17.25">
      <c r="B607" s="156"/>
      <c r="C607" s="156"/>
      <c r="D607" s="157"/>
      <c r="E607" s="155"/>
      <c r="F607" s="151"/>
      <c r="G607" s="152"/>
      <c r="H607" s="153"/>
      <c r="I607" s="154"/>
      <c r="J607" s="154"/>
      <c r="K607" s="30" t="str">
        <f>IF(H607="","",IF($C$30="간이법","",FPR(H607,I607,J607)))</f>
        <v/>
      </c>
      <c r="L607" s="30" t="str">
        <f>IF(H607="","",IF($C$30="상세법",FPV(H607,K607),IF(H607="EI",4,IF(H607="EO",5.2,IF(H607="EQ",3.9,IF(H607="ILF",7.5,IF(H607="EIF",5.4)))))))</f>
        <v/>
      </c>
      <c r="M607" s="30" t="str">
        <f t="shared" si="58"/>
        <v/>
      </c>
      <c r="N607" s="134"/>
      <c r="O607" s="29"/>
      <c r="P607" s="37" t="str">
        <f t="shared" si="59"/>
        <v/>
      </c>
      <c r="Q607" s="38" t="str">
        <f t="shared" si="60"/>
        <v/>
      </c>
      <c r="R607" s="37" t="str">
        <f t="shared" si="61"/>
        <v/>
      </c>
      <c r="S607" s="37" t="str">
        <f t="shared" si="62"/>
        <v/>
      </c>
      <c r="T607" s="38" t="str">
        <f t="shared" si="63"/>
        <v/>
      </c>
      <c r="U607" s="37" t="str">
        <f t="shared" si="64"/>
        <v/>
      </c>
    </row>
    <row r="608" spans="2:21" ht="17.25">
      <c r="B608" s="156"/>
      <c r="C608" s="156"/>
      <c r="D608" s="157"/>
      <c r="E608" s="155"/>
      <c r="F608" s="151"/>
      <c r="G608" s="152"/>
      <c r="H608" s="153"/>
      <c r="I608" s="154"/>
      <c r="J608" s="154"/>
      <c r="K608" s="30" t="str">
        <f>IF(H608="","",IF($C$30="간이법","",FPR(H608,I608,J608)))</f>
        <v/>
      </c>
      <c r="L608" s="30" t="str">
        <f>IF(H608="","",IF($C$30="상세법",FPV(H608,K608),IF(H608="EI",4,IF(H608="EO",5.2,IF(H608="EQ",3.9,IF(H608="ILF",7.5,IF(H608="EIF",5.4)))))))</f>
        <v/>
      </c>
      <c r="M608" s="30" t="str">
        <f t="shared" si="58"/>
        <v/>
      </c>
      <c r="N608" s="134"/>
      <c r="O608" s="29"/>
      <c r="P608" s="37" t="str">
        <f t="shared" si="59"/>
        <v/>
      </c>
      <c r="Q608" s="38" t="str">
        <f t="shared" si="60"/>
        <v/>
      </c>
      <c r="R608" s="37" t="str">
        <f t="shared" si="61"/>
        <v/>
      </c>
      <c r="S608" s="37" t="str">
        <f t="shared" si="62"/>
        <v/>
      </c>
      <c r="T608" s="38" t="str">
        <f t="shared" si="63"/>
        <v/>
      </c>
      <c r="U608" s="37" t="str">
        <f t="shared" si="64"/>
        <v/>
      </c>
    </row>
    <row r="609" spans="2:21" ht="17.25">
      <c r="B609" s="156"/>
      <c r="C609" s="156"/>
      <c r="D609" s="157"/>
      <c r="E609" s="155"/>
      <c r="F609" s="151"/>
      <c r="G609" s="152"/>
      <c r="H609" s="153"/>
      <c r="I609" s="154"/>
      <c r="J609" s="154"/>
      <c r="K609" s="30" t="str">
        <f>IF(H609="","",IF($C$30="간이법","",FPR(H609,I609,J609)))</f>
        <v/>
      </c>
      <c r="L609" s="30" t="str">
        <f>IF(H609="","",IF($C$30="상세법",FPV(H609,K609),IF(H609="EI",4,IF(H609="EO",5.2,IF(H609="EQ",3.9,IF(H609="ILF",7.5,IF(H609="EIF",5.4)))))))</f>
        <v/>
      </c>
      <c r="M609" s="30" t="str">
        <f t="shared" si="58"/>
        <v/>
      </c>
      <c r="N609" s="134"/>
      <c r="O609" s="29"/>
      <c r="P609" s="37" t="str">
        <f t="shared" si="59"/>
        <v/>
      </c>
      <c r="Q609" s="38" t="str">
        <f t="shared" si="60"/>
        <v/>
      </c>
      <c r="R609" s="37" t="str">
        <f t="shared" si="61"/>
        <v/>
      </c>
      <c r="S609" s="37" t="str">
        <f t="shared" si="62"/>
        <v/>
      </c>
      <c r="T609" s="38" t="str">
        <f t="shared" si="63"/>
        <v/>
      </c>
      <c r="U609" s="37" t="str">
        <f t="shared" si="64"/>
        <v/>
      </c>
    </row>
    <row r="610" spans="2:21" ht="17.25">
      <c r="B610" s="156"/>
      <c r="C610" s="156"/>
      <c r="D610" s="157"/>
      <c r="E610" s="155"/>
      <c r="F610" s="151"/>
      <c r="G610" s="152"/>
      <c r="H610" s="153"/>
      <c r="I610" s="154"/>
      <c r="J610" s="154"/>
      <c r="K610" s="30" t="str">
        <f>IF(H610="","",IF($C$30="간이법","",FPR(H610,I610,J610)))</f>
        <v/>
      </c>
      <c r="L610" s="30" t="str">
        <f>IF(H610="","",IF($C$30="상세법",FPV(H610,K610),IF(H610="EI",4,IF(H610="EO",5.2,IF(H610="EQ",3.9,IF(H610="ILF",7.5,IF(H610="EIF",5.4)))))))</f>
        <v/>
      </c>
      <c r="M610" s="30" t="str">
        <f t="shared" si="58"/>
        <v/>
      </c>
      <c r="N610" s="134"/>
      <c r="O610" s="29"/>
      <c r="P610" s="37" t="str">
        <f t="shared" si="59"/>
        <v/>
      </c>
      <c r="Q610" s="38" t="str">
        <f t="shared" si="60"/>
        <v/>
      </c>
      <c r="R610" s="37" t="str">
        <f t="shared" si="61"/>
        <v/>
      </c>
      <c r="S610" s="37" t="str">
        <f t="shared" si="62"/>
        <v/>
      </c>
      <c r="T610" s="38" t="str">
        <f t="shared" si="63"/>
        <v/>
      </c>
      <c r="U610" s="37" t="str">
        <f t="shared" si="64"/>
        <v/>
      </c>
    </row>
    <row r="611" spans="2:21" ht="17.25">
      <c r="B611" s="156"/>
      <c r="C611" s="156"/>
      <c r="D611" s="157"/>
      <c r="E611" s="155"/>
      <c r="F611" s="151"/>
      <c r="G611" s="152"/>
      <c r="H611" s="153"/>
      <c r="I611" s="154"/>
      <c r="J611" s="154"/>
      <c r="K611" s="30" t="str">
        <f>IF(H611="","",IF($C$30="간이법","",FPR(H611,I611,J611)))</f>
        <v/>
      </c>
      <c r="L611" s="30" t="str">
        <f>IF(H611="","",IF($C$30="상세법",FPV(H611,K611),IF(H611="EI",4,IF(H611="EO",5.2,IF(H611="EQ",3.9,IF(H611="ILF",7.5,IF(H611="EIF",5.4)))))))</f>
        <v/>
      </c>
      <c r="M611" s="30" t="str">
        <f t="shared" si="58"/>
        <v/>
      </c>
      <c r="N611" s="134"/>
      <c r="O611" s="29"/>
      <c r="P611" s="37" t="str">
        <f t="shared" si="59"/>
        <v/>
      </c>
      <c r="Q611" s="38" t="str">
        <f t="shared" si="60"/>
        <v/>
      </c>
      <c r="R611" s="37" t="str">
        <f t="shared" si="61"/>
        <v/>
      </c>
      <c r="S611" s="37" t="str">
        <f t="shared" si="62"/>
        <v/>
      </c>
      <c r="T611" s="38" t="str">
        <f t="shared" si="63"/>
        <v/>
      </c>
      <c r="U611" s="37" t="str">
        <f t="shared" si="64"/>
        <v/>
      </c>
    </row>
    <row r="612" spans="2:21" ht="17.25">
      <c r="B612" s="156"/>
      <c r="C612" s="156"/>
      <c r="D612" s="157"/>
      <c r="E612" s="155"/>
      <c r="F612" s="151"/>
      <c r="G612" s="152"/>
      <c r="H612" s="153"/>
      <c r="I612" s="154"/>
      <c r="J612" s="154"/>
      <c r="K612" s="30" t="str">
        <f>IF(H612="","",IF($C$30="간이법","",FPR(H612,I612,J612)))</f>
        <v/>
      </c>
      <c r="L612" s="30" t="str">
        <f>IF(H612="","",IF($C$30="상세법",FPV(H612,K612),IF(H612="EI",4,IF(H612="EO",5.2,IF(H612="EQ",3.9,IF(H612="ILF",7.5,IF(H612="EIF",5.4)))))))</f>
        <v/>
      </c>
      <c r="M612" s="30" t="str">
        <f t="shared" si="58"/>
        <v/>
      </c>
      <c r="N612" s="134"/>
      <c r="O612" s="29"/>
      <c r="P612" s="37" t="str">
        <f t="shared" si="59"/>
        <v/>
      </c>
      <c r="Q612" s="38" t="str">
        <f t="shared" si="60"/>
        <v/>
      </c>
      <c r="R612" s="37" t="str">
        <f t="shared" si="61"/>
        <v/>
      </c>
      <c r="S612" s="37" t="str">
        <f t="shared" si="62"/>
        <v/>
      </c>
      <c r="T612" s="38" t="str">
        <f t="shared" si="63"/>
        <v/>
      </c>
      <c r="U612" s="37" t="str">
        <f t="shared" si="64"/>
        <v/>
      </c>
    </row>
    <row r="613" spans="2:21" ht="17.25">
      <c r="B613" s="156"/>
      <c r="C613" s="156"/>
      <c r="D613" s="157"/>
      <c r="E613" s="155"/>
      <c r="F613" s="151"/>
      <c r="G613" s="152"/>
      <c r="H613" s="153"/>
      <c r="I613" s="154"/>
      <c r="J613" s="154"/>
      <c r="K613" s="30" t="str">
        <f>IF(H613="","",IF($C$30="간이법","",FPR(H613,I613,J613)))</f>
        <v/>
      </c>
      <c r="L613" s="30" t="str">
        <f>IF(H613="","",IF($C$30="상세법",FPV(H613,K613),IF(H613="EI",4,IF(H613="EO",5.2,IF(H613="EQ",3.9,IF(H613="ILF",7.5,IF(H613="EIF",5.4)))))))</f>
        <v/>
      </c>
      <c r="M613" s="30" t="str">
        <f t="shared" si="58"/>
        <v/>
      </c>
      <c r="N613" s="134"/>
      <c r="O613" s="29"/>
      <c r="P613" s="37" t="str">
        <f t="shared" si="59"/>
        <v/>
      </c>
      <c r="Q613" s="38" t="str">
        <f t="shared" si="60"/>
        <v/>
      </c>
      <c r="R613" s="37" t="str">
        <f t="shared" si="61"/>
        <v/>
      </c>
      <c r="S613" s="37" t="str">
        <f t="shared" si="62"/>
        <v/>
      </c>
      <c r="T613" s="38" t="str">
        <f t="shared" si="63"/>
        <v/>
      </c>
      <c r="U613" s="37" t="str">
        <f t="shared" si="64"/>
        <v/>
      </c>
    </row>
    <row r="614" spans="2:21" ht="17.25">
      <c r="B614" s="156"/>
      <c r="C614" s="156"/>
      <c r="D614" s="157"/>
      <c r="E614" s="155"/>
      <c r="F614" s="151"/>
      <c r="G614" s="152"/>
      <c r="H614" s="153"/>
      <c r="I614" s="154"/>
      <c r="J614" s="154"/>
      <c r="K614" s="30" t="str">
        <f>IF(H614="","",IF($C$30="간이법","",FPR(H614,I614,J614)))</f>
        <v/>
      </c>
      <c r="L614" s="30" t="str">
        <f>IF(H614="","",IF($C$30="상세법",FPV(H614,K614),IF(H614="EI",4,IF(H614="EO",5.2,IF(H614="EQ",3.9,IF(H614="ILF",7.5,IF(H614="EIF",5.4)))))))</f>
        <v/>
      </c>
      <c r="M614" s="30" t="str">
        <f t="shared" si="58"/>
        <v/>
      </c>
      <c r="N614" s="134"/>
      <c r="O614" s="29"/>
      <c r="P614" s="37" t="str">
        <f t="shared" si="59"/>
        <v/>
      </c>
      <c r="Q614" s="38" t="str">
        <f t="shared" si="60"/>
        <v/>
      </c>
      <c r="R614" s="37" t="str">
        <f t="shared" si="61"/>
        <v/>
      </c>
      <c r="S614" s="37" t="str">
        <f t="shared" si="62"/>
        <v/>
      </c>
      <c r="T614" s="38" t="str">
        <f t="shared" si="63"/>
        <v/>
      </c>
      <c r="U614" s="37" t="str">
        <f t="shared" si="64"/>
        <v/>
      </c>
    </row>
    <row r="615" spans="2:21" ht="17.25">
      <c r="B615" s="156"/>
      <c r="C615" s="156"/>
      <c r="D615" s="157"/>
      <c r="E615" s="155"/>
      <c r="F615" s="151"/>
      <c r="G615" s="152"/>
      <c r="H615" s="153"/>
      <c r="I615" s="154"/>
      <c r="J615" s="154"/>
      <c r="K615" s="30" t="str">
        <f>IF(H615="","",IF($C$30="간이법","",FPR(H615,I615,J615)))</f>
        <v/>
      </c>
      <c r="L615" s="30" t="str">
        <f>IF(H615="","",IF($C$30="상세법",FPV(H615,K615),IF(H615="EI",4,IF(H615="EO",5.2,IF(H615="EQ",3.9,IF(H615="ILF",7.5,IF(H615="EIF",5.4)))))))</f>
        <v/>
      </c>
      <c r="M615" s="30" t="str">
        <f t="shared" si="58"/>
        <v/>
      </c>
      <c r="N615" s="134"/>
      <c r="O615" s="29"/>
      <c r="P615" s="37" t="str">
        <f t="shared" si="59"/>
        <v/>
      </c>
      <c r="Q615" s="38" t="str">
        <f t="shared" si="60"/>
        <v/>
      </c>
      <c r="R615" s="37" t="str">
        <f t="shared" si="61"/>
        <v/>
      </c>
      <c r="S615" s="37" t="str">
        <f t="shared" si="62"/>
        <v/>
      </c>
      <c r="T615" s="38" t="str">
        <f t="shared" si="63"/>
        <v/>
      </c>
      <c r="U615" s="37" t="str">
        <f t="shared" si="64"/>
        <v/>
      </c>
    </row>
    <row r="616" spans="2:21" ht="17.25">
      <c r="B616" s="156"/>
      <c r="C616" s="156"/>
      <c r="D616" s="157"/>
      <c r="E616" s="155"/>
      <c r="F616" s="151"/>
      <c r="G616" s="152"/>
      <c r="H616" s="153"/>
      <c r="I616" s="154"/>
      <c r="J616" s="154"/>
      <c r="K616" s="30" t="str">
        <f>IF(H616="","",IF($C$30="간이법","",FPR(H616,I616,J616)))</f>
        <v/>
      </c>
      <c r="L616" s="30" t="str">
        <f>IF(H616="","",IF($C$30="상세법",FPV(H616,K616),IF(H616="EI",4,IF(H616="EO",5.2,IF(H616="EQ",3.9,IF(H616="ILF",7.5,IF(H616="EIF",5.4)))))))</f>
        <v/>
      </c>
      <c r="M616" s="30" t="str">
        <f t="shared" si="58"/>
        <v/>
      </c>
      <c r="N616" s="134"/>
      <c r="O616" s="29"/>
      <c r="P616" s="37" t="str">
        <f t="shared" si="59"/>
        <v/>
      </c>
      <c r="Q616" s="38" t="str">
        <f t="shared" si="60"/>
        <v/>
      </c>
      <c r="R616" s="37" t="str">
        <f t="shared" si="61"/>
        <v/>
      </c>
      <c r="S616" s="37" t="str">
        <f t="shared" si="62"/>
        <v/>
      </c>
      <c r="T616" s="38" t="str">
        <f t="shared" si="63"/>
        <v/>
      </c>
      <c r="U616" s="37" t="str">
        <f t="shared" si="64"/>
        <v/>
      </c>
    </row>
    <row r="617" spans="2:21" ht="17.25">
      <c r="B617" s="156"/>
      <c r="C617" s="156"/>
      <c r="D617" s="157"/>
      <c r="E617" s="155"/>
      <c r="F617" s="151"/>
      <c r="G617" s="152"/>
      <c r="H617" s="153"/>
      <c r="I617" s="154"/>
      <c r="J617" s="154"/>
      <c r="K617" s="30" t="str">
        <f>IF(H617="","",IF($C$30="간이법","",FPR(H617,I617,J617)))</f>
        <v/>
      </c>
      <c r="L617" s="30" t="str">
        <f>IF(H617="","",IF($C$30="상세법",FPV(H617,K617),IF(H617="EI",4,IF(H617="EO",5.2,IF(H617="EQ",3.9,IF(H617="ILF",7.5,IF(H617="EIF",5.4)))))))</f>
        <v/>
      </c>
      <c r="M617" s="30" t="str">
        <f t="shared" si="58"/>
        <v/>
      </c>
      <c r="N617" s="134"/>
      <c r="O617" s="29"/>
      <c r="P617" s="37" t="str">
        <f t="shared" si="59"/>
        <v/>
      </c>
      <c r="Q617" s="38" t="str">
        <f t="shared" si="60"/>
        <v/>
      </c>
      <c r="R617" s="37" t="str">
        <f t="shared" si="61"/>
        <v/>
      </c>
      <c r="S617" s="37" t="str">
        <f t="shared" si="62"/>
        <v/>
      </c>
      <c r="T617" s="38" t="str">
        <f t="shared" si="63"/>
        <v/>
      </c>
      <c r="U617" s="37" t="str">
        <f t="shared" si="64"/>
        <v/>
      </c>
    </row>
    <row r="618" spans="2:21" ht="17.25">
      <c r="B618" s="156"/>
      <c r="C618" s="156"/>
      <c r="D618" s="157"/>
      <c r="E618" s="155"/>
      <c r="F618" s="151"/>
      <c r="G618" s="152"/>
      <c r="H618" s="153"/>
      <c r="I618" s="154"/>
      <c r="J618" s="154"/>
      <c r="K618" s="30" t="str">
        <f>IF(H618="","",IF($C$30="간이법","",FPR(H618,I618,J618)))</f>
        <v/>
      </c>
      <c r="L618" s="30" t="str">
        <f>IF(H618="","",IF($C$30="상세법",FPV(H618,K618),IF(H618="EI",4,IF(H618="EO",5.2,IF(H618="EQ",3.9,IF(H618="ILF",7.5,IF(H618="EIF",5.4)))))))</f>
        <v/>
      </c>
      <c r="M618" s="30" t="str">
        <f t="shared" si="58"/>
        <v/>
      </c>
      <c r="N618" s="134"/>
      <c r="O618" s="29"/>
      <c r="P618" s="37" t="str">
        <f t="shared" si="59"/>
        <v/>
      </c>
      <c r="Q618" s="38" t="str">
        <f t="shared" si="60"/>
        <v/>
      </c>
      <c r="R618" s="37" t="str">
        <f t="shared" si="61"/>
        <v/>
      </c>
      <c r="S618" s="37" t="str">
        <f t="shared" si="62"/>
        <v/>
      </c>
      <c r="T618" s="38" t="str">
        <f t="shared" si="63"/>
        <v/>
      </c>
      <c r="U618" s="37" t="str">
        <f t="shared" si="64"/>
        <v/>
      </c>
    </row>
    <row r="619" spans="2:21" ht="17.25">
      <c r="B619" s="156"/>
      <c r="C619" s="156"/>
      <c r="D619" s="157"/>
      <c r="E619" s="155"/>
      <c r="F619" s="151"/>
      <c r="G619" s="152"/>
      <c r="H619" s="153"/>
      <c r="I619" s="154"/>
      <c r="J619" s="154"/>
      <c r="K619" s="30" t="str">
        <f>IF(H619="","",IF($C$30="간이법","",FPR(H619,I619,J619)))</f>
        <v/>
      </c>
      <c r="L619" s="30" t="str">
        <f>IF(H619="","",IF($C$30="상세법",FPV(H619,K619),IF(H619="EI",4,IF(H619="EO",5.2,IF(H619="EQ",3.9,IF(H619="ILF",7.5,IF(H619="EIF",5.4)))))))</f>
        <v/>
      </c>
      <c r="M619" s="30" t="str">
        <f t="shared" si="58"/>
        <v/>
      </c>
      <c r="N619" s="134"/>
      <c r="O619" s="29"/>
      <c r="P619" s="37" t="str">
        <f t="shared" si="59"/>
        <v/>
      </c>
      <c r="Q619" s="38" t="str">
        <f t="shared" si="60"/>
        <v/>
      </c>
      <c r="R619" s="37" t="str">
        <f t="shared" si="61"/>
        <v/>
      </c>
      <c r="S619" s="37" t="str">
        <f t="shared" si="62"/>
        <v/>
      </c>
      <c r="T619" s="38" t="str">
        <f t="shared" si="63"/>
        <v/>
      </c>
      <c r="U619" s="37" t="str">
        <f t="shared" si="64"/>
        <v/>
      </c>
    </row>
    <row r="620" spans="2:21" ht="17.25">
      <c r="B620" s="156"/>
      <c r="C620" s="156"/>
      <c r="D620" s="157"/>
      <c r="E620" s="155"/>
      <c r="F620" s="151"/>
      <c r="G620" s="152"/>
      <c r="H620" s="153"/>
      <c r="I620" s="154"/>
      <c r="J620" s="154"/>
      <c r="K620" s="30" t="str">
        <f>IF(H620="","",IF($C$30="간이법","",FPR(H620,I620,J620)))</f>
        <v/>
      </c>
      <c r="L620" s="30" t="str">
        <f>IF(H620="","",IF($C$30="상세법",FPV(H620,K620),IF(H620="EI",4,IF(H620="EO",5.2,IF(H620="EQ",3.9,IF(H620="ILF",7.5,IF(H620="EIF",5.4)))))))</f>
        <v/>
      </c>
      <c r="M620" s="30" t="str">
        <f t="shared" si="58"/>
        <v/>
      </c>
      <c r="N620" s="134"/>
      <c r="O620" s="29"/>
      <c r="P620" s="37" t="str">
        <f t="shared" si="59"/>
        <v/>
      </c>
      <c r="Q620" s="38" t="str">
        <f t="shared" si="60"/>
        <v/>
      </c>
      <c r="R620" s="37" t="str">
        <f t="shared" si="61"/>
        <v/>
      </c>
      <c r="S620" s="37" t="str">
        <f t="shared" si="62"/>
        <v/>
      </c>
      <c r="T620" s="38" t="str">
        <f t="shared" si="63"/>
        <v/>
      </c>
      <c r="U620" s="37" t="str">
        <f t="shared" si="64"/>
        <v/>
      </c>
    </row>
    <row r="621" spans="2:21" ht="17.25">
      <c r="B621" s="156"/>
      <c r="C621" s="156"/>
      <c r="D621" s="157"/>
      <c r="E621" s="155"/>
      <c r="F621" s="151"/>
      <c r="G621" s="152"/>
      <c r="H621" s="153"/>
      <c r="I621" s="154"/>
      <c r="J621" s="154"/>
      <c r="K621" s="30" t="str">
        <f>IF(H621="","",IF($C$30="간이법","",FPR(H621,I621,J621)))</f>
        <v/>
      </c>
      <c r="L621" s="30" t="str">
        <f>IF(H621="","",IF($C$30="상세법",FPV(H621,K621),IF(H621="EI",4,IF(H621="EO",5.2,IF(H621="EQ",3.9,IF(H621="ILF",7.5,IF(H621="EIF",5.4)))))))</f>
        <v/>
      </c>
      <c r="M621" s="30" t="str">
        <f t="shared" si="58"/>
        <v/>
      </c>
      <c r="N621" s="134"/>
      <c r="O621" s="29"/>
      <c r="P621" s="37" t="str">
        <f t="shared" si="59"/>
        <v/>
      </c>
      <c r="Q621" s="38" t="str">
        <f t="shared" si="60"/>
        <v/>
      </c>
      <c r="R621" s="37" t="str">
        <f t="shared" si="61"/>
        <v/>
      </c>
      <c r="S621" s="37" t="str">
        <f t="shared" si="62"/>
        <v/>
      </c>
      <c r="T621" s="38" t="str">
        <f t="shared" si="63"/>
        <v/>
      </c>
      <c r="U621" s="37" t="str">
        <f t="shared" si="64"/>
        <v/>
      </c>
    </row>
    <row r="622" spans="2:21" ht="17.25">
      <c r="B622" s="156"/>
      <c r="C622" s="156"/>
      <c r="D622" s="157"/>
      <c r="E622" s="155"/>
      <c r="F622" s="151"/>
      <c r="G622" s="152"/>
      <c r="H622" s="153"/>
      <c r="I622" s="154"/>
      <c r="J622" s="154"/>
      <c r="K622" s="30" t="str">
        <f>IF(H622="","",IF($C$30="간이법","",FPR(H622,I622,J622)))</f>
        <v/>
      </c>
      <c r="L622" s="30" t="str">
        <f>IF(H622="","",IF($C$30="상세법",FPV(H622,K622),IF(H622="EI",4,IF(H622="EO",5.2,IF(H622="EQ",3.9,IF(H622="ILF",7.5,IF(H622="EIF",5.4)))))))</f>
        <v/>
      </c>
      <c r="M622" s="30" t="str">
        <f t="shared" si="58"/>
        <v/>
      </c>
      <c r="N622" s="134"/>
      <c r="O622" s="29"/>
      <c r="P622" s="37" t="str">
        <f t="shared" si="59"/>
        <v/>
      </c>
      <c r="Q622" s="38" t="str">
        <f t="shared" si="60"/>
        <v/>
      </c>
      <c r="R622" s="37" t="str">
        <f t="shared" si="61"/>
        <v/>
      </c>
      <c r="S622" s="37" t="str">
        <f t="shared" si="62"/>
        <v/>
      </c>
      <c r="T622" s="38" t="str">
        <f t="shared" si="63"/>
        <v/>
      </c>
      <c r="U622" s="37" t="str">
        <f t="shared" si="64"/>
        <v/>
      </c>
    </row>
    <row r="623" spans="2:21" ht="17.25">
      <c r="B623" s="156"/>
      <c r="C623" s="156"/>
      <c r="D623" s="157"/>
      <c r="E623" s="155"/>
      <c r="F623" s="151"/>
      <c r="G623" s="152"/>
      <c r="H623" s="153"/>
      <c r="I623" s="154"/>
      <c r="J623" s="154"/>
      <c r="K623" s="30" t="str">
        <f>IF(H623="","",IF($C$30="간이법","",FPR(H623,I623,J623)))</f>
        <v/>
      </c>
      <c r="L623" s="30" t="str">
        <f>IF(H623="","",IF($C$30="상세법",FPV(H623,K623),IF(H623="EI",4,IF(H623="EO",5.2,IF(H623="EQ",3.9,IF(H623="ILF",7.5,IF(H623="EIF",5.4)))))))</f>
        <v/>
      </c>
      <c r="M623" s="30" t="str">
        <f t="shared" si="58"/>
        <v/>
      </c>
      <c r="N623" s="134"/>
      <c r="O623" s="29"/>
      <c r="P623" s="37" t="str">
        <f t="shared" si="59"/>
        <v/>
      </c>
      <c r="Q623" s="38" t="str">
        <f t="shared" si="60"/>
        <v/>
      </c>
      <c r="R623" s="37" t="str">
        <f t="shared" si="61"/>
        <v/>
      </c>
      <c r="S623" s="37" t="str">
        <f t="shared" si="62"/>
        <v/>
      </c>
      <c r="T623" s="38" t="str">
        <f t="shared" si="63"/>
        <v/>
      </c>
      <c r="U623" s="37" t="str">
        <f t="shared" si="64"/>
        <v/>
      </c>
    </row>
    <row r="624" spans="2:21" ht="17.25">
      <c r="B624" s="156"/>
      <c r="C624" s="156"/>
      <c r="D624" s="157"/>
      <c r="E624" s="155"/>
      <c r="F624" s="151"/>
      <c r="G624" s="152"/>
      <c r="H624" s="153"/>
      <c r="I624" s="154"/>
      <c r="J624" s="154"/>
      <c r="K624" s="30" t="str">
        <f>IF(H624="","",IF($C$30="간이법","",FPR(H624,I624,J624)))</f>
        <v/>
      </c>
      <c r="L624" s="30" t="str">
        <f>IF(H624="","",IF($C$30="상세법",FPV(H624,K624),IF(H624="EI",4,IF(H624="EO",5.2,IF(H624="EQ",3.9,IF(H624="ILF",7.5,IF(H624="EIF",5.4)))))))</f>
        <v/>
      </c>
      <c r="M624" s="30" t="str">
        <f t="shared" si="58"/>
        <v/>
      </c>
      <c r="N624" s="134"/>
      <c r="O624" s="29"/>
      <c r="P624" s="37" t="str">
        <f t="shared" si="59"/>
        <v/>
      </c>
      <c r="Q624" s="38" t="str">
        <f t="shared" si="60"/>
        <v/>
      </c>
      <c r="R624" s="37" t="str">
        <f t="shared" si="61"/>
        <v/>
      </c>
      <c r="S624" s="37" t="str">
        <f t="shared" si="62"/>
        <v/>
      </c>
      <c r="T624" s="38" t="str">
        <f t="shared" si="63"/>
        <v/>
      </c>
      <c r="U624" s="37" t="str">
        <f t="shared" si="64"/>
        <v/>
      </c>
    </row>
    <row r="625" spans="2:21" ht="17.25">
      <c r="B625" s="156"/>
      <c r="C625" s="156"/>
      <c r="D625" s="157"/>
      <c r="E625" s="155"/>
      <c r="F625" s="151"/>
      <c r="G625" s="152"/>
      <c r="H625" s="153"/>
      <c r="I625" s="154"/>
      <c r="J625" s="154"/>
      <c r="K625" s="30" t="str">
        <f>IF(H625="","",IF($C$30="간이법","",FPR(H625,I625,J625)))</f>
        <v/>
      </c>
      <c r="L625" s="30" t="str">
        <f>IF(H625="","",IF($C$30="상세법",FPV(H625,K625),IF(H625="EI",4,IF(H625="EO",5.2,IF(H625="EQ",3.9,IF(H625="ILF",7.5,IF(H625="EIF",5.4)))))))</f>
        <v/>
      </c>
      <c r="M625" s="30" t="str">
        <f t="shared" si="58"/>
        <v/>
      </c>
      <c r="N625" s="134"/>
      <c r="O625" s="29"/>
      <c r="P625" s="37" t="str">
        <f t="shared" si="59"/>
        <v/>
      </c>
      <c r="Q625" s="38" t="str">
        <f t="shared" si="60"/>
        <v/>
      </c>
      <c r="R625" s="37" t="str">
        <f t="shared" si="61"/>
        <v/>
      </c>
      <c r="S625" s="37" t="str">
        <f t="shared" si="62"/>
        <v/>
      </c>
      <c r="T625" s="38" t="str">
        <f t="shared" si="63"/>
        <v/>
      </c>
      <c r="U625" s="37" t="str">
        <f t="shared" si="64"/>
        <v/>
      </c>
    </row>
    <row r="626" spans="2:21" ht="17.25">
      <c r="B626" s="156"/>
      <c r="C626" s="156"/>
      <c r="D626" s="157"/>
      <c r="E626" s="155"/>
      <c r="F626" s="151"/>
      <c r="G626" s="152"/>
      <c r="H626" s="153"/>
      <c r="I626" s="154"/>
      <c r="J626" s="154"/>
      <c r="K626" s="30" t="str">
        <f>IF(H626="","",IF($C$30="간이법","",FPR(H626,I626,J626)))</f>
        <v/>
      </c>
      <c r="L626" s="30" t="str">
        <f>IF(H626="","",IF($C$30="상세법",FPV(H626,K626),IF(H626="EI",4,IF(H626="EO",5.2,IF(H626="EQ",3.9,IF(H626="ILF",7.5,IF(H626="EIF",5.4)))))))</f>
        <v/>
      </c>
      <c r="M626" s="30" t="str">
        <f t="shared" si="58"/>
        <v/>
      </c>
      <c r="N626" s="134"/>
      <c r="O626" s="29"/>
      <c r="P626" s="37" t="str">
        <f t="shared" si="59"/>
        <v/>
      </c>
      <c r="Q626" s="38" t="str">
        <f t="shared" si="60"/>
        <v/>
      </c>
      <c r="R626" s="37" t="str">
        <f t="shared" si="61"/>
        <v/>
      </c>
      <c r="S626" s="37" t="str">
        <f t="shared" si="62"/>
        <v/>
      </c>
      <c r="T626" s="38" t="str">
        <f t="shared" si="63"/>
        <v/>
      </c>
      <c r="U626" s="37" t="str">
        <f t="shared" si="64"/>
        <v/>
      </c>
    </row>
    <row r="627" spans="2:21" ht="17.25">
      <c r="B627" s="156"/>
      <c r="C627" s="156"/>
      <c r="D627" s="157"/>
      <c r="E627" s="155"/>
      <c r="F627" s="151"/>
      <c r="G627" s="152"/>
      <c r="H627" s="153"/>
      <c r="I627" s="154"/>
      <c r="J627" s="154"/>
      <c r="K627" s="30" t="str">
        <f>IF(H627="","",IF($C$30="간이법","",FPR(H627,I627,J627)))</f>
        <v/>
      </c>
      <c r="L627" s="30" t="str">
        <f>IF(H627="","",IF($C$30="상세법",FPV(H627,K627),IF(H627="EI",4,IF(H627="EO",5.2,IF(H627="EQ",3.9,IF(H627="ILF",7.5,IF(H627="EIF",5.4)))))))</f>
        <v/>
      </c>
      <c r="M627" s="30" t="str">
        <f t="shared" si="58"/>
        <v/>
      </c>
      <c r="N627" s="134"/>
      <c r="O627" s="29"/>
      <c r="P627" s="37" t="str">
        <f t="shared" si="59"/>
        <v/>
      </c>
      <c r="Q627" s="38" t="str">
        <f t="shared" si="60"/>
        <v/>
      </c>
      <c r="R627" s="37" t="str">
        <f t="shared" si="61"/>
        <v/>
      </c>
      <c r="S627" s="37" t="str">
        <f t="shared" si="62"/>
        <v/>
      </c>
      <c r="T627" s="38" t="str">
        <f t="shared" si="63"/>
        <v/>
      </c>
      <c r="U627" s="37" t="str">
        <f t="shared" si="64"/>
        <v/>
      </c>
    </row>
    <row r="628" spans="2:21" ht="17.25">
      <c r="B628" s="156"/>
      <c r="C628" s="156"/>
      <c r="D628" s="157"/>
      <c r="E628" s="155"/>
      <c r="F628" s="151"/>
      <c r="G628" s="152"/>
      <c r="H628" s="153"/>
      <c r="I628" s="154"/>
      <c r="J628" s="154"/>
      <c r="K628" s="30" t="str">
        <f>IF(H628="","",IF($C$30="간이법","",FPR(H628,I628,J628)))</f>
        <v/>
      </c>
      <c r="L628" s="30" t="str">
        <f>IF(H628="","",IF($C$30="상세법",FPV(H628,K628),IF(H628="EI",4,IF(H628="EO",5.2,IF(H628="EQ",3.9,IF(H628="ILF",7.5,IF(H628="EIF",5.4)))))))</f>
        <v/>
      </c>
      <c r="M628" s="30" t="str">
        <f t="shared" si="58"/>
        <v/>
      </c>
      <c r="N628" s="134"/>
      <c r="O628" s="29"/>
      <c r="P628" s="37" t="str">
        <f t="shared" si="59"/>
        <v/>
      </c>
      <c r="Q628" s="38" t="str">
        <f t="shared" si="60"/>
        <v/>
      </c>
      <c r="R628" s="37" t="str">
        <f t="shared" si="61"/>
        <v/>
      </c>
      <c r="S628" s="37" t="str">
        <f t="shared" si="62"/>
        <v/>
      </c>
      <c r="T628" s="38" t="str">
        <f t="shared" si="63"/>
        <v/>
      </c>
      <c r="U628" s="37" t="str">
        <f t="shared" si="64"/>
        <v/>
      </c>
    </row>
    <row r="629" spans="2:21" ht="17.25">
      <c r="B629" s="156"/>
      <c r="C629" s="156"/>
      <c r="D629" s="157"/>
      <c r="E629" s="155"/>
      <c r="F629" s="151"/>
      <c r="G629" s="152"/>
      <c r="H629" s="153"/>
      <c r="I629" s="154"/>
      <c r="J629" s="154"/>
      <c r="K629" s="30" t="str">
        <f>IF(H629="","",IF($C$30="간이법","",FPR(H629,I629,J629)))</f>
        <v/>
      </c>
      <c r="L629" s="30" t="str">
        <f>IF(H629="","",IF($C$30="상세법",FPV(H629,K629),IF(H629="EI",4,IF(H629="EO",5.2,IF(H629="EQ",3.9,IF(H629="ILF",7.5,IF(H629="EIF",5.4)))))))</f>
        <v/>
      </c>
      <c r="M629" s="30" t="str">
        <f t="shared" si="58"/>
        <v/>
      </c>
      <c r="N629" s="134"/>
      <c r="O629" s="29"/>
      <c r="P629" s="37" t="str">
        <f t="shared" si="59"/>
        <v/>
      </c>
      <c r="Q629" s="38" t="str">
        <f t="shared" si="60"/>
        <v/>
      </c>
      <c r="R629" s="37" t="str">
        <f t="shared" si="61"/>
        <v/>
      </c>
      <c r="S629" s="37" t="str">
        <f t="shared" si="62"/>
        <v/>
      </c>
      <c r="T629" s="38" t="str">
        <f t="shared" si="63"/>
        <v/>
      </c>
      <c r="U629" s="37" t="str">
        <f t="shared" si="64"/>
        <v/>
      </c>
    </row>
    <row r="630" spans="2:21" ht="17.25">
      <c r="B630" s="156"/>
      <c r="C630" s="156"/>
      <c r="D630" s="157"/>
      <c r="E630" s="155"/>
      <c r="F630" s="151"/>
      <c r="G630" s="152"/>
      <c r="H630" s="153"/>
      <c r="I630" s="154"/>
      <c r="J630" s="154"/>
      <c r="K630" s="30" t="str">
        <f>IF(H630="","",IF($C$30="간이법","",FPR(H630,I630,J630)))</f>
        <v/>
      </c>
      <c r="L630" s="30" t="str">
        <f>IF(H630="","",IF($C$30="상세법",FPV(H630,K630),IF(H630="EI",4,IF(H630="EO",5.2,IF(H630="EQ",3.9,IF(H630="ILF",7.5,IF(H630="EIF",5.4)))))))</f>
        <v/>
      </c>
      <c r="M630" s="30" t="str">
        <f t="shared" si="58"/>
        <v/>
      </c>
      <c r="N630" s="134"/>
      <c r="O630" s="29"/>
      <c r="P630" s="37" t="str">
        <f t="shared" si="59"/>
        <v/>
      </c>
      <c r="Q630" s="38" t="str">
        <f t="shared" si="60"/>
        <v/>
      </c>
      <c r="R630" s="37" t="str">
        <f t="shared" si="61"/>
        <v/>
      </c>
      <c r="S630" s="37" t="str">
        <f t="shared" si="62"/>
        <v/>
      </c>
      <c r="T630" s="38" t="str">
        <f t="shared" si="63"/>
        <v/>
      </c>
      <c r="U630" s="37" t="str">
        <f t="shared" si="64"/>
        <v/>
      </c>
    </row>
    <row r="631" spans="2:21" ht="17.25">
      <c r="B631" s="156"/>
      <c r="C631" s="156"/>
      <c r="D631" s="157"/>
      <c r="E631" s="155"/>
      <c r="F631" s="151"/>
      <c r="G631" s="152"/>
      <c r="H631" s="153"/>
      <c r="I631" s="154"/>
      <c r="J631" s="154"/>
      <c r="K631" s="30" t="str">
        <f>IF(H631="","",IF($C$30="간이법","",FPR(H631,I631,J631)))</f>
        <v/>
      </c>
      <c r="L631" s="30" t="str">
        <f>IF(H631="","",IF($C$30="상세법",FPV(H631,K631),IF(H631="EI",4,IF(H631="EO",5.2,IF(H631="EQ",3.9,IF(H631="ILF",7.5,IF(H631="EIF",5.4)))))))</f>
        <v/>
      </c>
      <c r="M631" s="30" t="str">
        <f t="shared" si="58"/>
        <v/>
      </c>
      <c r="N631" s="134"/>
      <c r="O631" s="29"/>
      <c r="P631" s="37" t="str">
        <f t="shared" si="59"/>
        <v/>
      </c>
      <c r="Q631" s="38" t="str">
        <f t="shared" si="60"/>
        <v/>
      </c>
      <c r="R631" s="37" t="str">
        <f t="shared" si="61"/>
        <v/>
      </c>
      <c r="S631" s="37" t="str">
        <f t="shared" si="62"/>
        <v/>
      </c>
      <c r="T631" s="38" t="str">
        <f t="shared" si="63"/>
        <v/>
      </c>
      <c r="U631" s="37" t="str">
        <f t="shared" si="64"/>
        <v/>
      </c>
    </row>
    <row r="632" spans="2:21" ht="17.25">
      <c r="B632" s="156"/>
      <c r="C632" s="156"/>
      <c r="D632" s="157"/>
      <c r="E632" s="155"/>
      <c r="F632" s="151"/>
      <c r="G632" s="152"/>
      <c r="H632" s="153"/>
      <c r="I632" s="154"/>
      <c r="J632" s="154"/>
      <c r="K632" s="30" t="str">
        <f>IF(H632="","",IF($C$30="간이법","",FPR(H632,I632,J632)))</f>
        <v/>
      </c>
      <c r="L632" s="30" t="str">
        <f>IF(H632="","",IF($C$30="상세법",FPV(H632,K632),IF(H632="EI",4,IF(H632="EO",5.2,IF(H632="EQ",3.9,IF(H632="ILF",7.5,IF(H632="EIF",5.4)))))))</f>
        <v/>
      </c>
      <c r="M632" s="30" t="str">
        <f t="shared" si="58"/>
        <v/>
      </c>
      <c r="N632" s="134"/>
      <c r="O632" s="29"/>
      <c r="P632" s="37" t="str">
        <f t="shared" si="59"/>
        <v/>
      </c>
      <c r="Q632" s="38" t="str">
        <f t="shared" si="60"/>
        <v/>
      </c>
      <c r="R632" s="37" t="str">
        <f t="shared" si="61"/>
        <v/>
      </c>
      <c r="S632" s="37" t="str">
        <f t="shared" si="62"/>
        <v/>
      </c>
      <c r="T632" s="38" t="str">
        <f t="shared" si="63"/>
        <v/>
      </c>
      <c r="U632" s="37" t="str">
        <f t="shared" si="64"/>
        <v/>
      </c>
    </row>
    <row r="633" spans="2:21" ht="17.25">
      <c r="B633" s="156"/>
      <c r="C633" s="156"/>
      <c r="D633" s="157"/>
      <c r="E633" s="155"/>
      <c r="F633" s="151"/>
      <c r="G633" s="152"/>
      <c r="H633" s="153"/>
      <c r="I633" s="154"/>
      <c r="J633" s="154"/>
      <c r="K633" s="30" t="str">
        <f>IF(H633="","",IF($C$30="간이법","",FPR(H633,I633,J633)))</f>
        <v/>
      </c>
      <c r="L633" s="30" t="str">
        <f>IF(H633="","",IF($C$30="상세법",FPV(H633,K633),IF(H633="EI",4,IF(H633="EO",5.2,IF(H633="EQ",3.9,IF(H633="ILF",7.5,IF(H633="EIF",5.4)))))))</f>
        <v/>
      </c>
      <c r="M633" s="30" t="str">
        <f t="shared" si="58"/>
        <v/>
      </c>
      <c r="N633" s="134"/>
      <c r="O633" s="29"/>
      <c r="P633" s="37" t="str">
        <f t="shared" si="59"/>
        <v/>
      </c>
      <c r="Q633" s="38" t="str">
        <f t="shared" si="60"/>
        <v/>
      </c>
      <c r="R633" s="37" t="str">
        <f t="shared" si="61"/>
        <v/>
      </c>
      <c r="S633" s="37" t="str">
        <f t="shared" si="62"/>
        <v/>
      </c>
      <c r="T633" s="38" t="str">
        <f t="shared" si="63"/>
        <v/>
      </c>
      <c r="U633" s="37" t="str">
        <f t="shared" si="64"/>
        <v/>
      </c>
    </row>
    <row r="634" spans="2:21" ht="17.25">
      <c r="B634" s="156"/>
      <c r="C634" s="156"/>
      <c r="D634" s="157"/>
      <c r="E634" s="155"/>
      <c r="F634" s="151"/>
      <c r="G634" s="152"/>
      <c r="H634" s="153"/>
      <c r="I634" s="154"/>
      <c r="J634" s="154"/>
      <c r="K634" s="30" t="str">
        <f>IF(H634="","",IF($C$30="간이법","",FPR(H634,I634,J634)))</f>
        <v/>
      </c>
      <c r="L634" s="30" t="str">
        <f>IF(H634="","",IF($C$30="상세법",FPV(H634,K634),IF(H634="EI",4,IF(H634="EO",5.2,IF(H634="EQ",3.9,IF(H634="ILF",7.5,IF(H634="EIF",5.4)))))))</f>
        <v/>
      </c>
      <c r="M634" s="30" t="str">
        <f t="shared" si="58"/>
        <v/>
      </c>
      <c r="N634" s="134"/>
      <c r="O634" s="29"/>
      <c r="P634" s="37" t="str">
        <f t="shared" si="59"/>
        <v/>
      </c>
      <c r="Q634" s="38" t="str">
        <f t="shared" si="60"/>
        <v/>
      </c>
      <c r="R634" s="37" t="str">
        <f t="shared" si="61"/>
        <v/>
      </c>
      <c r="S634" s="37" t="str">
        <f t="shared" si="62"/>
        <v/>
      </c>
      <c r="T634" s="38" t="str">
        <f t="shared" si="63"/>
        <v/>
      </c>
      <c r="U634" s="37" t="str">
        <f t="shared" si="64"/>
        <v/>
      </c>
    </row>
    <row r="635" spans="2:21" ht="17.25">
      <c r="B635" s="156"/>
      <c r="C635" s="156"/>
      <c r="D635" s="157"/>
      <c r="E635" s="155"/>
      <c r="F635" s="151"/>
      <c r="G635" s="152"/>
      <c r="H635" s="153"/>
      <c r="I635" s="154"/>
      <c r="J635" s="154"/>
      <c r="K635" s="30" t="str">
        <f>IF(H635="","",IF($C$30="간이법","",FPR(H635,I635,J635)))</f>
        <v/>
      </c>
      <c r="L635" s="30" t="str">
        <f>IF(H635="","",IF($C$30="상세법",FPV(H635,K635),IF(H635="EI",4,IF(H635="EO",5.2,IF(H635="EQ",3.9,IF(H635="ILF",7.5,IF(H635="EIF",5.4)))))))</f>
        <v/>
      </c>
      <c r="M635" s="30" t="str">
        <f t="shared" si="58"/>
        <v/>
      </c>
      <c r="N635" s="134"/>
      <c r="O635" s="29"/>
      <c r="P635" s="37" t="str">
        <f t="shared" si="59"/>
        <v/>
      </c>
      <c r="Q635" s="38" t="str">
        <f t="shared" si="60"/>
        <v/>
      </c>
      <c r="R635" s="37" t="str">
        <f t="shared" si="61"/>
        <v/>
      </c>
      <c r="S635" s="37" t="str">
        <f t="shared" si="62"/>
        <v/>
      </c>
      <c r="T635" s="38" t="str">
        <f t="shared" si="63"/>
        <v/>
      </c>
      <c r="U635" s="37" t="str">
        <f t="shared" si="64"/>
        <v/>
      </c>
    </row>
    <row r="636" spans="2:21" ht="17.25">
      <c r="B636" s="156"/>
      <c r="C636" s="156"/>
      <c r="D636" s="157"/>
      <c r="E636" s="155"/>
      <c r="F636" s="151"/>
      <c r="G636" s="152"/>
      <c r="H636" s="153"/>
      <c r="I636" s="154"/>
      <c r="J636" s="154"/>
      <c r="K636" s="30" t="str">
        <f>IF(H636="","",IF($C$30="간이법","",FPR(H636,I636,J636)))</f>
        <v/>
      </c>
      <c r="L636" s="30" t="str">
        <f>IF(H636="","",IF($C$30="상세법",FPV(H636,K636),IF(H636="EI",4,IF(H636="EO",5.2,IF(H636="EQ",3.9,IF(H636="ILF",7.5,IF(H636="EIF",5.4)))))))</f>
        <v/>
      </c>
      <c r="M636" s="30" t="str">
        <f t="shared" ref="M636:M699" si="65">IF(OR(G636="",$E$36="(선택)",$E$40="(선택)",$E$41="(선택)",F636="신규 개발",F636="수정 없이 재사용"),"",(IF(F636="수정 후 재사용",IF($E$50&lt;=0.5,L636*($E$36+$E$50*100*(1+0.02*($E$40*$E$41)))/100,L636*($E$36+$E$50*100+($E$40*$E$41))/100))))</f>
        <v/>
      </c>
      <c r="N636" s="134"/>
      <c r="O636" s="29"/>
      <c r="P636" s="37" t="str">
        <f t="shared" ref="P636:P699" si="66">IF(F636="수정 후 재사용",IF(H636="ILF",G636,IF(H636="EIF",G636,"")),"")</f>
        <v/>
      </c>
      <c r="Q636" s="38" t="str">
        <f t="shared" ref="Q636:Q699" si="67">IF(P636&lt;&gt;"",IF(H636="ILF", L636/$E$46,IF(H636="EIF", L636/$E$46,"")),"")</f>
        <v/>
      </c>
      <c r="R636" s="37" t="str">
        <f t="shared" ref="R636:R699" si="68">IF(P636&lt;&gt;"",P636*Q636,"")</f>
        <v/>
      </c>
      <c r="S636" s="37" t="str">
        <f t="shared" ref="S636:S699" si="69">IF(F636="수정 후 재사용",IF(H636="EI",G636,IF(H636="EO",G636,IF(H636="EQ",G636,""))),"")</f>
        <v/>
      </c>
      <c r="T636" s="38" t="str">
        <f t="shared" ref="T636:T699" si="70">IF(S636&lt;&gt;"",IF(H636="EI",L636/$E$47,IF(H636="EO",L636/$E$47,IF(H636="EQ",L636/$E$47,""))),"")</f>
        <v/>
      </c>
      <c r="U636" s="37" t="str">
        <f t="shared" ref="U636:U699" si="71">IF(S636&lt;&gt;"",S636*T636,"")</f>
        <v/>
      </c>
    </row>
    <row r="637" spans="2:21" ht="17.25">
      <c r="B637" s="156"/>
      <c r="C637" s="156"/>
      <c r="D637" s="157"/>
      <c r="E637" s="155"/>
      <c r="F637" s="151"/>
      <c r="G637" s="152"/>
      <c r="H637" s="153"/>
      <c r="I637" s="154"/>
      <c r="J637" s="154"/>
      <c r="K637" s="30" t="str">
        <f>IF(H637="","",IF($C$30="간이법","",FPR(H637,I637,J637)))</f>
        <v/>
      </c>
      <c r="L637" s="30" t="str">
        <f>IF(H637="","",IF($C$30="상세법",FPV(H637,K637),IF(H637="EI",4,IF(H637="EO",5.2,IF(H637="EQ",3.9,IF(H637="ILF",7.5,IF(H637="EIF",5.4)))))))</f>
        <v/>
      </c>
      <c r="M637" s="30" t="str">
        <f t="shared" si="65"/>
        <v/>
      </c>
      <c r="N637" s="134"/>
      <c r="O637" s="29"/>
      <c r="P637" s="37" t="str">
        <f t="shared" si="66"/>
        <v/>
      </c>
      <c r="Q637" s="38" t="str">
        <f t="shared" si="67"/>
        <v/>
      </c>
      <c r="R637" s="37" t="str">
        <f t="shared" si="68"/>
        <v/>
      </c>
      <c r="S637" s="37" t="str">
        <f t="shared" si="69"/>
        <v/>
      </c>
      <c r="T637" s="38" t="str">
        <f t="shared" si="70"/>
        <v/>
      </c>
      <c r="U637" s="37" t="str">
        <f t="shared" si="71"/>
        <v/>
      </c>
    </row>
    <row r="638" spans="2:21" ht="17.25">
      <c r="B638" s="156"/>
      <c r="C638" s="156"/>
      <c r="D638" s="157"/>
      <c r="E638" s="155"/>
      <c r="F638" s="151"/>
      <c r="G638" s="152"/>
      <c r="H638" s="153"/>
      <c r="I638" s="154"/>
      <c r="J638" s="154"/>
      <c r="K638" s="30" t="str">
        <f>IF(H638="","",IF($C$30="간이법","",FPR(H638,I638,J638)))</f>
        <v/>
      </c>
      <c r="L638" s="30" t="str">
        <f>IF(H638="","",IF($C$30="상세법",FPV(H638,K638),IF(H638="EI",4,IF(H638="EO",5.2,IF(H638="EQ",3.9,IF(H638="ILF",7.5,IF(H638="EIF",5.4)))))))</f>
        <v/>
      </c>
      <c r="M638" s="30" t="str">
        <f t="shared" si="65"/>
        <v/>
      </c>
      <c r="N638" s="134"/>
      <c r="O638" s="29"/>
      <c r="P638" s="37" t="str">
        <f t="shared" si="66"/>
        <v/>
      </c>
      <c r="Q638" s="38" t="str">
        <f t="shared" si="67"/>
        <v/>
      </c>
      <c r="R638" s="37" t="str">
        <f t="shared" si="68"/>
        <v/>
      </c>
      <c r="S638" s="37" t="str">
        <f t="shared" si="69"/>
        <v/>
      </c>
      <c r="T638" s="38" t="str">
        <f t="shared" si="70"/>
        <v/>
      </c>
      <c r="U638" s="37" t="str">
        <f t="shared" si="71"/>
        <v/>
      </c>
    </row>
    <row r="639" spans="2:21" ht="17.25">
      <c r="B639" s="156"/>
      <c r="C639" s="156"/>
      <c r="D639" s="157"/>
      <c r="E639" s="155"/>
      <c r="F639" s="151"/>
      <c r="G639" s="152"/>
      <c r="H639" s="153"/>
      <c r="I639" s="154"/>
      <c r="J639" s="154"/>
      <c r="K639" s="30" t="str">
        <f>IF(H639="","",IF($C$30="간이법","",FPR(H639,I639,J639)))</f>
        <v/>
      </c>
      <c r="L639" s="30" t="str">
        <f>IF(H639="","",IF($C$30="상세법",FPV(H639,K639),IF(H639="EI",4,IF(H639="EO",5.2,IF(H639="EQ",3.9,IF(H639="ILF",7.5,IF(H639="EIF",5.4)))))))</f>
        <v/>
      </c>
      <c r="M639" s="30" t="str">
        <f t="shared" si="65"/>
        <v/>
      </c>
      <c r="N639" s="134"/>
      <c r="O639" s="29"/>
      <c r="P639" s="37" t="str">
        <f t="shared" si="66"/>
        <v/>
      </c>
      <c r="Q639" s="38" t="str">
        <f t="shared" si="67"/>
        <v/>
      </c>
      <c r="R639" s="37" t="str">
        <f t="shared" si="68"/>
        <v/>
      </c>
      <c r="S639" s="37" t="str">
        <f t="shared" si="69"/>
        <v/>
      </c>
      <c r="T639" s="38" t="str">
        <f t="shared" si="70"/>
        <v/>
      </c>
      <c r="U639" s="37" t="str">
        <f t="shared" si="71"/>
        <v/>
      </c>
    </row>
    <row r="640" spans="2:21" ht="17.25">
      <c r="B640" s="156"/>
      <c r="C640" s="156"/>
      <c r="D640" s="157"/>
      <c r="E640" s="155"/>
      <c r="F640" s="151"/>
      <c r="G640" s="152"/>
      <c r="H640" s="153"/>
      <c r="I640" s="154"/>
      <c r="J640" s="154"/>
      <c r="K640" s="30" t="str">
        <f>IF(H640="","",IF($C$30="간이법","",FPR(H640,I640,J640)))</f>
        <v/>
      </c>
      <c r="L640" s="30" t="str">
        <f>IF(H640="","",IF($C$30="상세법",FPV(H640,K640),IF(H640="EI",4,IF(H640="EO",5.2,IF(H640="EQ",3.9,IF(H640="ILF",7.5,IF(H640="EIF",5.4)))))))</f>
        <v/>
      </c>
      <c r="M640" s="30" t="str">
        <f t="shared" si="65"/>
        <v/>
      </c>
      <c r="N640" s="134"/>
      <c r="O640" s="29"/>
      <c r="P640" s="37" t="str">
        <f t="shared" si="66"/>
        <v/>
      </c>
      <c r="Q640" s="38" t="str">
        <f t="shared" si="67"/>
        <v/>
      </c>
      <c r="R640" s="37" t="str">
        <f t="shared" si="68"/>
        <v/>
      </c>
      <c r="S640" s="37" t="str">
        <f t="shared" si="69"/>
        <v/>
      </c>
      <c r="T640" s="38" t="str">
        <f t="shared" si="70"/>
        <v/>
      </c>
      <c r="U640" s="37" t="str">
        <f t="shared" si="71"/>
        <v/>
      </c>
    </row>
    <row r="641" spans="2:21" ht="17.25">
      <c r="B641" s="156"/>
      <c r="C641" s="156"/>
      <c r="D641" s="157"/>
      <c r="E641" s="155"/>
      <c r="F641" s="151"/>
      <c r="G641" s="152"/>
      <c r="H641" s="153"/>
      <c r="I641" s="154"/>
      <c r="J641" s="154"/>
      <c r="K641" s="30" t="str">
        <f>IF(H641="","",IF($C$30="간이법","",FPR(H641,I641,J641)))</f>
        <v/>
      </c>
      <c r="L641" s="30" t="str">
        <f>IF(H641="","",IF($C$30="상세법",FPV(H641,K641),IF(H641="EI",4,IF(H641="EO",5.2,IF(H641="EQ",3.9,IF(H641="ILF",7.5,IF(H641="EIF",5.4)))))))</f>
        <v/>
      </c>
      <c r="M641" s="30" t="str">
        <f t="shared" si="65"/>
        <v/>
      </c>
      <c r="N641" s="134"/>
      <c r="O641" s="29"/>
      <c r="P641" s="37" t="str">
        <f t="shared" si="66"/>
        <v/>
      </c>
      <c r="Q641" s="38" t="str">
        <f t="shared" si="67"/>
        <v/>
      </c>
      <c r="R641" s="37" t="str">
        <f t="shared" si="68"/>
        <v/>
      </c>
      <c r="S641" s="37" t="str">
        <f t="shared" si="69"/>
        <v/>
      </c>
      <c r="T641" s="38" t="str">
        <f t="shared" si="70"/>
        <v/>
      </c>
      <c r="U641" s="37" t="str">
        <f t="shared" si="71"/>
        <v/>
      </c>
    </row>
    <row r="642" spans="2:21" ht="17.25">
      <c r="B642" s="156"/>
      <c r="C642" s="156"/>
      <c r="D642" s="157"/>
      <c r="E642" s="155"/>
      <c r="F642" s="151"/>
      <c r="G642" s="152"/>
      <c r="H642" s="153"/>
      <c r="I642" s="154"/>
      <c r="J642" s="154"/>
      <c r="K642" s="30" t="str">
        <f>IF(H642="","",IF($C$30="간이법","",FPR(H642,I642,J642)))</f>
        <v/>
      </c>
      <c r="L642" s="30" t="str">
        <f>IF(H642="","",IF($C$30="상세법",FPV(H642,K642),IF(H642="EI",4,IF(H642="EO",5.2,IF(H642="EQ",3.9,IF(H642="ILF",7.5,IF(H642="EIF",5.4)))))))</f>
        <v/>
      </c>
      <c r="M642" s="30" t="str">
        <f t="shared" si="65"/>
        <v/>
      </c>
      <c r="N642" s="134"/>
      <c r="O642" s="29"/>
      <c r="P642" s="37" t="str">
        <f t="shared" si="66"/>
        <v/>
      </c>
      <c r="Q642" s="38" t="str">
        <f t="shared" si="67"/>
        <v/>
      </c>
      <c r="R642" s="37" t="str">
        <f t="shared" si="68"/>
        <v/>
      </c>
      <c r="S642" s="37" t="str">
        <f t="shared" si="69"/>
        <v/>
      </c>
      <c r="T642" s="38" t="str">
        <f t="shared" si="70"/>
        <v/>
      </c>
      <c r="U642" s="37" t="str">
        <f t="shared" si="71"/>
        <v/>
      </c>
    </row>
    <row r="643" spans="2:21" ht="17.25">
      <c r="B643" s="156"/>
      <c r="C643" s="156"/>
      <c r="D643" s="157"/>
      <c r="E643" s="155"/>
      <c r="F643" s="151"/>
      <c r="G643" s="152"/>
      <c r="H643" s="153"/>
      <c r="I643" s="154"/>
      <c r="J643" s="154"/>
      <c r="K643" s="30" t="str">
        <f>IF(H643="","",IF($C$30="간이법","",FPR(H643,I643,J643)))</f>
        <v/>
      </c>
      <c r="L643" s="30" t="str">
        <f>IF(H643="","",IF($C$30="상세법",FPV(H643,K643),IF(H643="EI",4,IF(H643="EO",5.2,IF(H643="EQ",3.9,IF(H643="ILF",7.5,IF(H643="EIF",5.4)))))))</f>
        <v/>
      </c>
      <c r="M643" s="30" t="str">
        <f t="shared" si="65"/>
        <v/>
      </c>
      <c r="N643" s="134"/>
      <c r="O643" s="29"/>
      <c r="P643" s="37" t="str">
        <f t="shared" si="66"/>
        <v/>
      </c>
      <c r="Q643" s="38" t="str">
        <f t="shared" si="67"/>
        <v/>
      </c>
      <c r="R643" s="37" t="str">
        <f t="shared" si="68"/>
        <v/>
      </c>
      <c r="S643" s="37" t="str">
        <f t="shared" si="69"/>
        <v/>
      </c>
      <c r="T643" s="38" t="str">
        <f t="shared" si="70"/>
        <v/>
      </c>
      <c r="U643" s="37" t="str">
        <f t="shared" si="71"/>
        <v/>
      </c>
    </row>
    <row r="644" spans="2:21" ht="17.25">
      <c r="B644" s="156"/>
      <c r="C644" s="156"/>
      <c r="D644" s="157"/>
      <c r="E644" s="155"/>
      <c r="F644" s="151"/>
      <c r="G644" s="152"/>
      <c r="H644" s="153"/>
      <c r="I644" s="154"/>
      <c r="J644" s="154"/>
      <c r="K644" s="30" t="str">
        <f>IF(H644="","",IF($C$30="간이법","",FPR(H644,I644,J644)))</f>
        <v/>
      </c>
      <c r="L644" s="30" t="str">
        <f>IF(H644="","",IF($C$30="상세법",FPV(H644,K644),IF(H644="EI",4,IF(H644="EO",5.2,IF(H644="EQ",3.9,IF(H644="ILF",7.5,IF(H644="EIF",5.4)))))))</f>
        <v/>
      </c>
      <c r="M644" s="30" t="str">
        <f t="shared" si="65"/>
        <v/>
      </c>
      <c r="N644" s="134"/>
      <c r="O644" s="29"/>
      <c r="P644" s="37" t="str">
        <f t="shared" si="66"/>
        <v/>
      </c>
      <c r="Q644" s="38" t="str">
        <f t="shared" si="67"/>
        <v/>
      </c>
      <c r="R644" s="37" t="str">
        <f t="shared" si="68"/>
        <v/>
      </c>
      <c r="S644" s="37" t="str">
        <f t="shared" si="69"/>
        <v/>
      </c>
      <c r="T644" s="38" t="str">
        <f t="shared" si="70"/>
        <v/>
      </c>
      <c r="U644" s="37" t="str">
        <f t="shared" si="71"/>
        <v/>
      </c>
    </row>
    <row r="645" spans="2:21" ht="17.25">
      <c r="B645" s="156"/>
      <c r="C645" s="156"/>
      <c r="D645" s="157"/>
      <c r="E645" s="155"/>
      <c r="F645" s="151"/>
      <c r="G645" s="152"/>
      <c r="H645" s="153"/>
      <c r="I645" s="154"/>
      <c r="J645" s="154"/>
      <c r="K645" s="30" t="str">
        <f>IF(H645="","",IF($C$30="간이법","",FPR(H645,I645,J645)))</f>
        <v/>
      </c>
      <c r="L645" s="30" t="str">
        <f>IF(H645="","",IF($C$30="상세법",FPV(H645,K645),IF(H645="EI",4,IF(H645="EO",5.2,IF(H645="EQ",3.9,IF(H645="ILF",7.5,IF(H645="EIF",5.4)))))))</f>
        <v/>
      </c>
      <c r="M645" s="30" t="str">
        <f t="shared" si="65"/>
        <v/>
      </c>
      <c r="N645" s="134"/>
      <c r="O645" s="29"/>
      <c r="P645" s="37" t="str">
        <f t="shared" si="66"/>
        <v/>
      </c>
      <c r="Q645" s="38" t="str">
        <f t="shared" si="67"/>
        <v/>
      </c>
      <c r="R645" s="37" t="str">
        <f t="shared" si="68"/>
        <v/>
      </c>
      <c r="S645" s="37" t="str">
        <f t="shared" si="69"/>
        <v/>
      </c>
      <c r="T645" s="38" t="str">
        <f t="shared" si="70"/>
        <v/>
      </c>
      <c r="U645" s="37" t="str">
        <f t="shared" si="71"/>
        <v/>
      </c>
    </row>
    <row r="646" spans="2:21" ht="17.25">
      <c r="B646" s="156"/>
      <c r="C646" s="156"/>
      <c r="D646" s="157"/>
      <c r="E646" s="155"/>
      <c r="F646" s="151"/>
      <c r="G646" s="152"/>
      <c r="H646" s="153"/>
      <c r="I646" s="154"/>
      <c r="J646" s="154"/>
      <c r="K646" s="30" t="str">
        <f>IF(H646="","",IF($C$30="간이법","",FPR(H646,I646,J646)))</f>
        <v/>
      </c>
      <c r="L646" s="30" t="str">
        <f>IF(H646="","",IF($C$30="상세법",FPV(H646,K646),IF(H646="EI",4,IF(H646="EO",5.2,IF(H646="EQ",3.9,IF(H646="ILF",7.5,IF(H646="EIF",5.4)))))))</f>
        <v/>
      </c>
      <c r="M646" s="30" t="str">
        <f t="shared" si="65"/>
        <v/>
      </c>
      <c r="N646" s="134"/>
      <c r="O646" s="29"/>
      <c r="P646" s="37" t="str">
        <f t="shared" si="66"/>
        <v/>
      </c>
      <c r="Q646" s="38" t="str">
        <f t="shared" si="67"/>
        <v/>
      </c>
      <c r="R646" s="37" t="str">
        <f t="shared" si="68"/>
        <v/>
      </c>
      <c r="S646" s="37" t="str">
        <f t="shared" si="69"/>
        <v/>
      </c>
      <c r="T646" s="38" t="str">
        <f t="shared" si="70"/>
        <v/>
      </c>
      <c r="U646" s="37" t="str">
        <f t="shared" si="71"/>
        <v/>
      </c>
    </row>
    <row r="647" spans="2:21" ht="17.25">
      <c r="B647" s="156"/>
      <c r="C647" s="156"/>
      <c r="D647" s="157"/>
      <c r="E647" s="155"/>
      <c r="F647" s="151"/>
      <c r="G647" s="152"/>
      <c r="H647" s="153"/>
      <c r="I647" s="154"/>
      <c r="J647" s="154"/>
      <c r="K647" s="30" t="str">
        <f>IF(H647="","",IF($C$30="간이법","",FPR(H647,I647,J647)))</f>
        <v/>
      </c>
      <c r="L647" s="30" t="str">
        <f>IF(H647="","",IF($C$30="상세법",FPV(H647,K647),IF(H647="EI",4,IF(H647="EO",5.2,IF(H647="EQ",3.9,IF(H647="ILF",7.5,IF(H647="EIF",5.4)))))))</f>
        <v/>
      </c>
      <c r="M647" s="30" t="str">
        <f t="shared" si="65"/>
        <v/>
      </c>
      <c r="N647" s="134"/>
      <c r="O647" s="29"/>
      <c r="P647" s="37" t="str">
        <f t="shared" si="66"/>
        <v/>
      </c>
      <c r="Q647" s="38" t="str">
        <f t="shared" si="67"/>
        <v/>
      </c>
      <c r="R647" s="37" t="str">
        <f t="shared" si="68"/>
        <v/>
      </c>
      <c r="S647" s="37" t="str">
        <f t="shared" si="69"/>
        <v/>
      </c>
      <c r="T647" s="38" t="str">
        <f t="shared" si="70"/>
        <v/>
      </c>
      <c r="U647" s="37" t="str">
        <f t="shared" si="71"/>
        <v/>
      </c>
    </row>
    <row r="648" spans="2:21" ht="17.25">
      <c r="B648" s="156"/>
      <c r="C648" s="156"/>
      <c r="D648" s="157"/>
      <c r="E648" s="155"/>
      <c r="F648" s="151"/>
      <c r="G648" s="152"/>
      <c r="H648" s="153"/>
      <c r="I648" s="154"/>
      <c r="J648" s="154"/>
      <c r="K648" s="30" t="str">
        <f>IF(H648="","",IF($C$30="간이법","",FPR(H648,I648,J648)))</f>
        <v/>
      </c>
      <c r="L648" s="30" t="str">
        <f>IF(H648="","",IF($C$30="상세법",FPV(H648,K648),IF(H648="EI",4,IF(H648="EO",5.2,IF(H648="EQ",3.9,IF(H648="ILF",7.5,IF(H648="EIF",5.4)))))))</f>
        <v/>
      </c>
      <c r="M648" s="30" t="str">
        <f t="shared" si="65"/>
        <v/>
      </c>
      <c r="N648" s="134"/>
      <c r="O648" s="29"/>
      <c r="P648" s="37" t="str">
        <f t="shared" si="66"/>
        <v/>
      </c>
      <c r="Q648" s="38" t="str">
        <f t="shared" si="67"/>
        <v/>
      </c>
      <c r="R648" s="37" t="str">
        <f t="shared" si="68"/>
        <v/>
      </c>
      <c r="S648" s="37" t="str">
        <f t="shared" si="69"/>
        <v/>
      </c>
      <c r="T648" s="38" t="str">
        <f t="shared" si="70"/>
        <v/>
      </c>
      <c r="U648" s="37" t="str">
        <f t="shared" si="71"/>
        <v/>
      </c>
    </row>
    <row r="649" spans="2:21" ht="17.25">
      <c r="B649" s="156"/>
      <c r="C649" s="156"/>
      <c r="D649" s="157"/>
      <c r="E649" s="155"/>
      <c r="F649" s="151"/>
      <c r="G649" s="152"/>
      <c r="H649" s="153"/>
      <c r="I649" s="154"/>
      <c r="J649" s="154"/>
      <c r="K649" s="30" t="str">
        <f>IF(H649="","",IF($C$30="간이법","",FPR(H649,I649,J649)))</f>
        <v/>
      </c>
      <c r="L649" s="30" t="str">
        <f>IF(H649="","",IF($C$30="상세법",FPV(H649,K649),IF(H649="EI",4,IF(H649="EO",5.2,IF(H649="EQ",3.9,IF(H649="ILF",7.5,IF(H649="EIF",5.4)))))))</f>
        <v/>
      </c>
      <c r="M649" s="30" t="str">
        <f t="shared" si="65"/>
        <v/>
      </c>
      <c r="N649" s="134"/>
      <c r="O649" s="29"/>
      <c r="P649" s="37" t="str">
        <f t="shared" si="66"/>
        <v/>
      </c>
      <c r="Q649" s="38" t="str">
        <f t="shared" si="67"/>
        <v/>
      </c>
      <c r="R649" s="37" t="str">
        <f t="shared" si="68"/>
        <v/>
      </c>
      <c r="S649" s="37" t="str">
        <f t="shared" si="69"/>
        <v/>
      </c>
      <c r="T649" s="38" t="str">
        <f t="shared" si="70"/>
        <v/>
      </c>
      <c r="U649" s="37" t="str">
        <f t="shared" si="71"/>
        <v/>
      </c>
    </row>
    <row r="650" spans="2:21" ht="17.25">
      <c r="B650" s="156"/>
      <c r="C650" s="156"/>
      <c r="D650" s="157"/>
      <c r="E650" s="155"/>
      <c r="F650" s="151"/>
      <c r="G650" s="152"/>
      <c r="H650" s="153"/>
      <c r="I650" s="154"/>
      <c r="J650" s="154"/>
      <c r="K650" s="30" t="str">
        <f>IF(H650="","",IF($C$30="간이법","",FPR(H650,I650,J650)))</f>
        <v/>
      </c>
      <c r="L650" s="30" t="str">
        <f>IF(H650="","",IF($C$30="상세법",FPV(H650,K650),IF(H650="EI",4,IF(H650="EO",5.2,IF(H650="EQ",3.9,IF(H650="ILF",7.5,IF(H650="EIF",5.4)))))))</f>
        <v/>
      </c>
      <c r="M650" s="30" t="str">
        <f t="shared" si="65"/>
        <v/>
      </c>
      <c r="N650" s="134"/>
      <c r="O650" s="29"/>
      <c r="P650" s="37" t="str">
        <f t="shared" si="66"/>
        <v/>
      </c>
      <c r="Q650" s="38" t="str">
        <f t="shared" si="67"/>
        <v/>
      </c>
      <c r="R650" s="37" t="str">
        <f t="shared" si="68"/>
        <v/>
      </c>
      <c r="S650" s="37" t="str">
        <f t="shared" si="69"/>
        <v/>
      </c>
      <c r="T650" s="38" t="str">
        <f t="shared" si="70"/>
        <v/>
      </c>
      <c r="U650" s="37" t="str">
        <f t="shared" si="71"/>
        <v/>
      </c>
    </row>
    <row r="651" spans="2:21" ht="17.25">
      <c r="B651" s="156"/>
      <c r="C651" s="156"/>
      <c r="D651" s="157"/>
      <c r="E651" s="155"/>
      <c r="F651" s="151"/>
      <c r="G651" s="152"/>
      <c r="H651" s="153"/>
      <c r="I651" s="154"/>
      <c r="J651" s="154"/>
      <c r="K651" s="30" t="str">
        <f>IF(H651="","",IF($C$30="간이법","",FPR(H651,I651,J651)))</f>
        <v/>
      </c>
      <c r="L651" s="30" t="str">
        <f>IF(H651="","",IF($C$30="상세법",FPV(H651,K651),IF(H651="EI",4,IF(H651="EO",5.2,IF(H651="EQ",3.9,IF(H651="ILF",7.5,IF(H651="EIF",5.4)))))))</f>
        <v/>
      </c>
      <c r="M651" s="30" t="str">
        <f t="shared" si="65"/>
        <v/>
      </c>
      <c r="N651" s="134"/>
      <c r="O651" s="29"/>
      <c r="P651" s="37" t="str">
        <f t="shared" si="66"/>
        <v/>
      </c>
      <c r="Q651" s="38" t="str">
        <f t="shared" si="67"/>
        <v/>
      </c>
      <c r="R651" s="37" t="str">
        <f t="shared" si="68"/>
        <v/>
      </c>
      <c r="S651" s="37" t="str">
        <f t="shared" si="69"/>
        <v/>
      </c>
      <c r="T651" s="38" t="str">
        <f t="shared" si="70"/>
        <v/>
      </c>
      <c r="U651" s="37" t="str">
        <f t="shared" si="71"/>
        <v/>
      </c>
    </row>
    <row r="652" spans="2:21" ht="17.25">
      <c r="B652" s="156"/>
      <c r="C652" s="156"/>
      <c r="D652" s="157"/>
      <c r="E652" s="155"/>
      <c r="F652" s="151"/>
      <c r="G652" s="152"/>
      <c r="H652" s="153"/>
      <c r="I652" s="154"/>
      <c r="J652" s="154"/>
      <c r="K652" s="30" t="str">
        <f>IF(H652="","",IF($C$30="간이법","",FPR(H652,I652,J652)))</f>
        <v/>
      </c>
      <c r="L652" s="30" t="str">
        <f>IF(H652="","",IF($C$30="상세법",FPV(H652,K652),IF(H652="EI",4,IF(H652="EO",5.2,IF(H652="EQ",3.9,IF(H652="ILF",7.5,IF(H652="EIF",5.4)))))))</f>
        <v/>
      </c>
      <c r="M652" s="30" t="str">
        <f t="shared" si="65"/>
        <v/>
      </c>
      <c r="N652" s="134"/>
      <c r="O652" s="29"/>
      <c r="P652" s="37" t="str">
        <f t="shared" si="66"/>
        <v/>
      </c>
      <c r="Q652" s="38" t="str">
        <f t="shared" si="67"/>
        <v/>
      </c>
      <c r="R652" s="37" t="str">
        <f t="shared" si="68"/>
        <v/>
      </c>
      <c r="S652" s="37" t="str">
        <f t="shared" si="69"/>
        <v/>
      </c>
      <c r="T652" s="38" t="str">
        <f t="shared" si="70"/>
        <v/>
      </c>
      <c r="U652" s="37" t="str">
        <f t="shared" si="71"/>
        <v/>
      </c>
    </row>
    <row r="653" spans="2:21" ht="17.25">
      <c r="B653" s="156"/>
      <c r="C653" s="156"/>
      <c r="D653" s="157"/>
      <c r="E653" s="155"/>
      <c r="F653" s="151"/>
      <c r="G653" s="152"/>
      <c r="H653" s="153"/>
      <c r="I653" s="154"/>
      <c r="J653" s="154"/>
      <c r="K653" s="30" t="str">
        <f>IF(H653="","",IF($C$30="간이법","",FPR(H653,I653,J653)))</f>
        <v/>
      </c>
      <c r="L653" s="30" t="str">
        <f>IF(H653="","",IF($C$30="상세법",FPV(H653,K653),IF(H653="EI",4,IF(H653="EO",5.2,IF(H653="EQ",3.9,IF(H653="ILF",7.5,IF(H653="EIF",5.4)))))))</f>
        <v/>
      </c>
      <c r="M653" s="30" t="str">
        <f t="shared" si="65"/>
        <v/>
      </c>
      <c r="N653" s="134"/>
      <c r="O653" s="29"/>
      <c r="P653" s="37" t="str">
        <f t="shared" si="66"/>
        <v/>
      </c>
      <c r="Q653" s="38" t="str">
        <f t="shared" si="67"/>
        <v/>
      </c>
      <c r="R653" s="37" t="str">
        <f t="shared" si="68"/>
        <v/>
      </c>
      <c r="S653" s="37" t="str">
        <f t="shared" si="69"/>
        <v/>
      </c>
      <c r="T653" s="38" t="str">
        <f t="shared" si="70"/>
        <v/>
      </c>
      <c r="U653" s="37" t="str">
        <f t="shared" si="71"/>
        <v/>
      </c>
    </row>
    <row r="654" spans="2:21" ht="17.25">
      <c r="B654" s="156"/>
      <c r="C654" s="156"/>
      <c r="D654" s="157"/>
      <c r="E654" s="155"/>
      <c r="F654" s="151"/>
      <c r="G654" s="152"/>
      <c r="H654" s="153"/>
      <c r="I654" s="154"/>
      <c r="J654" s="154"/>
      <c r="K654" s="30" t="str">
        <f>IF(H654="","",IF($C$30="간이법","",FPR(H654,I654,J654)))</f>
        <v/>
      </c>
      <c r="L654" s="30" t="str">
        <f>IF(H654="","",IF($C$30="상세법",FPV(H654,K654),IF(H654="EI",4,IF(H654="EO",5.2,IF(H654="EQ",3.9,IF(H654="ILF",7.5,IF(H654="EIF",5.4)))))))</f>
        <v/>
      </c>
      <c r="M654" s="30" t="str">
        <f t="shared" si="65"/>
        <v/>
      </c>
      <c r="N654" s="134"/>
      <c r="O654" s="29"/>
      <c r="P654" s="37" t="str">
        <f t="shared" si="66"/>
        <v/>
      </c>
      <c r="Q654" s="38" t="str">
        <f t="shared" si="67"/>
        <v/>
      </c>
      <c r="R654" s="37" t="str">
        <f t="shared" si="68"/>
        <v/>
      </c>
      <c r="S654" s="37" t="str">
        <f t="shared" si="69"/>
        <v/>
      </c>
      <c r="T654" s="38" t="str">
        <f t="shared" si="70"/>
        <v/>
      </c>
      <c r="U654" s="37" t="str">
        <f t="shared" si="71"/>
        <v/>
      </c>
    </row>
    <row r="655" spans="2:21" ht="17.25">
      <c r="B655" s="156"/>
      <c r="C655" s="156"/>
      <c r="D655" s="157"/>
      <c r="E655" s="155"/>
      <c r="F655" s="151"/>
      <c r="G655" s="152"/>
      <c r="H655" s="153"/>
      <c r="I655" s="154"/>
      <c r="J655" s="154"/>
      <c r="K655" s="30" t="str">
        <f>IF(H655="","",IF($C$30="간이법","",FPR(H655,I655,J655)))</f>
        <v/>
      </c>
      <c r="L655" s="30" t="str">
        <f>IF(H655="","",IF($C$30="상세법",FPV(H655,K655),IF(H655="EI",4,IF(H655="EO",5.2,IF(H655="EQ",3.9,IF(H655="ILF",7.5,IF(H655="EIF",5.4)))))))</f>
        <v/>
      </c>
      <c r="M655" s="30" t="str">
        <f t="shared" si="65"/>
        <v/>
      </c>
      <c r="N655" s="134"/>
      <c r="O655" s="29"/>
      <c r="P655" s="37" t="str">
        <f t="shared" si="66"/>
        <v/>
      </c>
      <c r="Q655" s="38" t="str">
        <f t="shared" si="67"/>
        <v/>
      </c>
      <c r="R655" s="37" t="str">
        <f t="shared" si="68"/>
        <v/>
      </c>
      <c r="S655" s="37" t="str">
        <f t="shared" si="69"/>
        <v/>
      </c>
      <c r="T655" s="38" t="str">
        <f t="shared" si="70"/>
        <v/>
      </c>
      <c r="U655" s="37" t="str">
        <f t="shared" si="71"/>
        <v/>
      </c>
    </row>
    <row r="656" spans="2:21" ht="17.25">
      <c r="B656" s="156"/>
      <c r="C656" s="156"/>
      <c r="D656" s="157"/>
      <c r="E656" s="155"/>
      <c r="F656" s="151"/>
      <c r="G656" s="152"/>
      <c r="H656" s="153"/>
      <c r="I656" s="154"/>
      <c r="J656" s="154"/>
      <c r="K656" s="30" t="str">
        <f>IF(H656="","",IF($C$30="간이법","",FPR(H656,I656,J656)))</f>
        <v/>
      </c>
      <c r="L656" s="30" t="str">
        <f>IF(H656="","",IF($C$30="상세법",FPV(H656,K656),IF(H656="EI",4,IF(H656="EO",5.2,IF(H656="EQ",3.9,IF(H656="ILF",7.5,IF(H656="EIF",5.4)))))))</f>
        <v/>
      </c>
      <c r="M656" s="30" t="str">
        <f t="shared" si="65"/>
        <v/>
      </c>
      <c r="N656" s="134"/>
      <c r="O656" s="29"/>
      <c r="P656" s="37" t="str">
        <f t="shared" si="66"/>
        <v/>
      </c>
      <c r="Q656" s="38" t="str">
        <f t="shared" si="67"/>
        <v/>
      </c>
      <c r="R656" s="37" t="str">
        <f t="shared" si="68"/>
        <v/>
      </c>
      <c r="S656" s="37" t="str">
        <f t="shared" si="69"/>
        <v/>
      </c>
      <c r="T656" s="38" t="str">
        <f t="shared" si="70"/>
        <v/>
      </c>
      <c r="U656" s="37" t="str">
        <f t="shared" si="71"/>
        <v/>
      </c>
    </row>
    <row r="657" spans="2:21" ht="17.25">
      <c r="B657" s="156"/>
      <c r="C657" s="156"/>
      <c r="D657" s="157"/>
      <c r="E657" s="155"/>
      <c r="F657" s="151"/>
      <c r="G657" s="152"/>
      <c r="H657" s="153"/>
      <c r="I657" s="154"/>
      <c r="J657" s="154"/>
      <c r="K657" s="30" t="str">
        <f>IF(H657="","",IF($C$30="간이법","",FPR(H657,I657,J657)))</f>
        <v/>
      </c>
      <c r="L657" s="30" t="str">
        <f>IF(H657="","",IF($C$30="상세법",FPV(H657,K657),IF(H657="EI",4,IF(H657="EO",5.2,IF(H657="EQ",3.9,IF(H657="ILF",7.5,IF(H657="EIF",5.4)))))))</f>
        <v/>
      </c>
      <c r="M657" s="30" t="str">
        <f t="shared" si="65"/>
        <v/>
      </c>
      <c r="N657" s="134"/>
      <c r="O657" s="29"/>
      <c r="P657" s="37" t="str">
        <f t="shared" si="66"/>
        <v/>
      </c>
      <c r="Q657" s="38" t="str">
        <f t="shared" si="67"/>
        <v/>
      </c>
      <c r="R657" s="37" t="str">
        <f t="shared" si="68"/>
        <v/>
      </c>
      <c r="S657" s="37" t="str">
        <f t="shared" si="69"/>
        <v/>
      </c>
      <c r="T657" s="38" t="str">
        <f t="shared" si="70"/>
        <v/>
      </c>
      <c r="U657" s="37" t="str">
        <f t="shared" si="71"/>
        <v/>
      </c>
    </row>
    <row r="658" spans="2:21" ht="17.25">
      <c r="B658" s="156"/>
      <c r="C658" s="156"/>
      <c r="D658" s="157"/>
      <c r="E658" s="155"/>
      <c r="F658" s="151"/>
      <c r="G658" s="152"/>
      <c r="H658" s="153"/>
      <c r="I658" s="154"/>
      <c r="J658" s="154"/>
      <c r="K658" s="30" t="str">
        <f>IF(H658="","",IF($C$30="간이법","",FPR(H658,I658,J658)))</f>
        <v/>
      </c>
      <c r="L658" s="30" t="str">
        <f>IF(H658="","",IF($C$30="상세법",FPV(H658,K658),IF(H658="EI",4,IF(H658="EO",5.2,IF(H658="EQ",3.9,IF(H658="ILF",7.5,IF(H658="EIF",5.4)))))))</f>
        <v/>
      </c>
      <c r="M658" s="30" t="str">
        <f t="shared" si="65"/>
        <v/>
      </c>
      <c r="N658" s="134"/>
      <c r="O658" s="29"/>
      <c r="P658" s="37" t="str">
        <f t="shared" si="66"/>
        <v/>
      </c>
      <c r="Q658" s="38" t="str">
        <f t="shared" si="67"/>
        <v/>
      </c>
      <c r="R658" s="37" t="str">
        <f t="shared" si="68"/>
        <v/>
      </c>
      <c r="S658" s="37" t="str">
        <f t="shared" si="69"/>
        <v/>
      </c>
      <c r="T658" s="38" t="str">
        <f t="shared" si="70"/>
        <v/>
      </c>
      <c r="U658" s="37" t="str">
        <f t="shared" si="71"/>
        <v/>
      </c>
    </row>
    <row r="659" spans="2:21" ht="17.25">
      <c r="B659" s="156"/>
      <c r="C659" s="156"/>
      <c r="D659" s="157"/>
      <c r="E659" s="155"/>
      <c r="F659" s="151"/>
      <c r="G659" s="152"/>
      <c r="H659" s="153"/>
      <c r="I659" s="154"/>
      <c r="J659" s="154"/>
      <c r="K659" s="30" t="str">
        <f>IF(H659="","",IF($C$30="간이법","",FPR(H659,I659,J659)))</f>
        <v/>
      </c>
      <c r="L659" s="30" t="str">
        <f>IF(H659="","",IF($C$30="상세법",FPV(H659,K659),IF(H659="EI",4,IF(H659="EO",5.2,IF(H659="EQ",3.9,IF(H659="ILF",7.5,IF(H659="EIF",5.4)))))))</f>
        <v/>
      </c>
      <c r="M659" s="30" t="str">
        <f t="shared" si="65"/>
        <v/>
      </c>
      <c r="N659" s="134"/>
      <c r="O659" s="29"/>
      <c r="P659" s="37" t="str">
        <f t="shared" si="66"/>
        <v/>
      </c>
      <c r="Q659" s="38" t="str">
        <f t="shared" si="67"/>
        <v/>
      </c>
      <c r="R659" s="37" t="str">
        <f t="shared" si="68"/>
        <v/>
      </c>
      <c r="S659" s="37" t="str">
        <f t="shared" si="69"/>
        <v/>
      </c>
      <c r="T659" s="38" t="str">
        <f t="shared" si="70"/>
        <v/>
      </c>
      <c r="U659" s="37" t="str">
        <f t="shared" si="71"/>
        <v/>
      </c>
    </row>
    <row r="660" spans="2:21" ht="17.25">
      <c r="B660" s="156"/>
      <c r="C660" s="156"/>
      <c r="D660" s="157"/>
      <c r="E660" s="155"/>
      <c r="F660" s="151"/>
      <c r="G660" s="152"/>
      <c r="H660" s="153"/>
      <c r="I660" s="154"/>
      <c r="J660" s="154"/>
      <c r="K660" s="30" t="str">
        <f>IF(H660="","",IF($C$30="간이법","",FPR(H660,I660,J660)))</f>
        <v/>
      </c>
      <c r="L660" s="30" t="str">
        <f>IF(H660="","",IF($C$30="상세법",FPV(H660,K660),IF(H660="EI",4,IF(H660="EO",5.2,IF(H660="EQ",3.9,IF(H660="ILF",7.5,IF(H660="EIF",5.4)))))))</f>
        <v/>
      </c>
      <c r="M660" s="30" t="str">
        <f t="shared" si="65"/>
        <v/>
      </c>
      <c r="N660" s="134"/>
      <c r="O660" s="29"/>
      <c r="P660" s="37" t="str">
        <f t="shared" si="66"/>
        <v/>
      </c>
      <c r="Q660" s="38" t="str">
        <f t="shared" si="67"/>
        <v/>
      </c>
      <c r="R660" s="37" t="str">
        <f t="shared" si="68"/>
        <v/>
      </c>
      <c r="S660" s="37" t="str">
        <f t="shared" si="69"/>
        <v/>
      </c>
      <c r="T660" s="38" t="str">
        <f t="shared" si="70"/>
        <v/>
      </c>
      <c r="U660" s="37" t="str">
        <f t="shared" si="71"/>
        <v/>
      </c>
    </row>
    <row r="661" spans="2:21" ht="17.25">
      <c r="B661" s="156"/>
      <c r="C661" s="156"/>
      <c r="D661" s="157"/>
      <c r="E661" s="155"/>
      <c r="F661" s="151"/>
      <c r="G661" s="152"/>
      <c r="H661" s="153"/>
      <c r="I661" s="154"/>
      <c r="J661" s="154"/>
      <c r="K661" s="30" t="str">
        <f>IF(H661="","",IF($C$30="간이법","",FPR(H661,I661,J661)))</f>
        <v/>
      </c>
      <c r="L661" s="30" t="str">
        <f>IF(H661="","",IF($C$30="상세법",FPV(H661,K661),IF(H661="EI",4,IF(H661="EO",5.2,IF(H661="EQ",3.9,IF(H661="ILF",7.5,IF(H661="EIF",5.4)))))))</f>
        <v/>
      </c>
      <c r="M661" s="30" t="str">
        <f t="shared" si="65"/>
        <v/>
      </c>
      <c r="N661" s="134"/>
      <c r="O661" s="29"/>
      <c r="P661" s="37" t="str">
        <f t="shared" si="66"/>
        <v/>
      </c>
      <c r="Q661" s="38" t="str">
        <f t="shared" si="67"/>
        <v/>
      </c>
      <c r="R661" s="37" t="str">
        <f t="shared" si="68"/>
        <v/>
      </c>
      <c r="S661" s="37" t="str">
        <f t="shared" si="69"/>
        <v/>
      </c>
      <c r="T661" s="38" t="str">
        <f t="shared" si="70"/>
        <v/>
      </c>
      <c r="U661" s="37" t="str">
        <f t="shared" si="71"/>
        <v/>
      </c>
    </row>
    <row r="662" spans="2:21" ht="17.25">
      <c r="B662" s="156"/>
      <c r="C662" s="156"/>
      <c r="D662" s="157"/>
      <c r="E662" s="155"/>
      <c r="F662" s="151"/>
      <c r="G662" s="152"/>
      <c r="H662" s="153"/>
      <c r="I662" s="154"/>
      <c r="J662" s="154"/>
      <c r="K662" s="30" t="str">
        <f>IF(H662="","",IF($C$30="간이법","",FPR(H662,I662,J662)))</f>
        <v/>
      </c>
      <c r="L662" s="30" t="str">
        <f>IF(H662="","",IF($C$30="상세법",FPV(H662,K662),IF(H662="EI",4,IF(H662="EO",5.2,IF(H662="EQ",3.9,IF(H662="ILF",7.5,IF(H662="EIF",5.4)))))))</f>
        <v/>
      </c>
      <c r="M662" s="30" t="str">
        <f t="shared" si="65"/>
        <v/>
      </c>
      <c r="N662" s="134"/>
      <c r="O662" s="29"/>
      <c r="P662" s="37" t="str">
        <f t="shared" si="66"/>
        <v/>
      </c>
      <c r="Q662" s="38" t="str">
        <f t="shared" si="67"/>
        <v/>
      </c>
      <c r="R662" s="37" t="str">
        <f t="shared" si="68"/>
        <v/>
      </c>
      <c r="S662" s="37" t="str">
        <f t="shared" si="69"/>
        <v/>
      </c>
      <c r="T662" s="38" t="str">
        <f t="shared" si="70"/>
        <v/>
      </c>
      <c r="U662" s="37" t="str">
        <f t="shared" si="71"/>
        <v/>
      </c>
    </row>
    <row r="663" spans="2:21" ht="17.25">
      <c r="B663" s="156"/>
      <c r="C663" s="156"/>
      <c r="D663" s="157"/>
      <c r="E663" s="155"/>
      <c r="F663" s="151"/>
      <c r="G663" s="152"/>
      <c r="H663" s="153"/>
      <c r="I663" s="154"/>
      <c r="J663" s="154"/>
      <c r="K663" s="30" t="str">
        <f>IF(H663="","",IF($C$30="간이법","",FPR(H663,I663,J663)))</f>
        <v/>
      </c>
      <c r="L663" s="30" t="str">
        <f>IF(H663="","",IF($C$30="상세법",FPV(H663,K663),IF(H663="EI",4,IF(H663="EO",5.2,IF(H663="EQ",3.9,IF(H663="ILF",7.5,IF(H663="EIF",5.4)))))))</f>
        <v/>
      </c>
      <c r="M663" s="30" t="str">
        <f t="shared" si="65"/>
        <v/>
      </c>
      <c r="N663" s="134"/>
      <c r="O663" s="29"/>
      <c r="P663" s="37" t="str">
        <f t="shared" si="66"/>
        <v/>
      </c>
      <c r="Q663" s="38" t="str">
        <f t="shared" si="67"/>
        <v/>
      </c>
      <c r="R663" s="37" t="str">
        <f t="shared" si="68"/>
        <v/>
      </c>
      <c r="S663" s="37" t="str">
        <f t="shared" si="69"/>
        <v/>
      </c>
      <c r="T663" s="38" t="str">
        <f t="shared" si="70"/>
        <v/>
      </c>
      <c r="U663" s="37" t="str">
        <f t="shared" si="71"/>
        <v/>
      </c>
    </row>
    <row r="664" spans="2:21" ht="17.25">
      <c r="B664" s="156"/>
      <c r="C664" s="156"/>
      <c r="D664" s="157"/>
      <c r="E664" s="155"/>
      <c r="F664" s="151"/>
      <c r="G664" s="152"/>
      <c r="H664" s="153"/>
      <c r="I664" s="154"/>
      <c r="J664" s="154"/>
      <c r="K664" s="30" t="str">
        <f>IF(H664="","",IF($C$30="간이법","",FPR(H664,I664,J664)))</f>
        <v/>
      </c>
      <c r="L664" s="30" t="str">
        <f>IF(H664="","",IF($C$30="상세법",FPV(H664,K664),IF(H664="EI",4,IF(H664="EO",5.2,IF(H664="EQ",3.9,IF(H664="ILF",7.5,IF(H664="EIF",5.4)))))))</f>
        <v/>
      </c>
      <c r="M664" s="30" t="str">
        <f t="shared" si="65"/>
        <v/>
      </c>
      <c r="N664" s="134"/>
      <c r="O664" s="29"/>
      <c r="P664" s="37" t="str">
        <f t="shared" si="66"/>
        <v/>
      </c>
      <c r="Q664" s="38" t="str">
        <f t="shared" si="67"/>
        <v/>
      </c>
      <c r="R664" s="37" t="str">
        <f t="shared" si="68"/>
        <v/>
      </c>
      <c r="S664" s="37" t="str">
        <f t="shared" si="69"/>
        <v/>
      </c>
      <c r="T664" s="38" t="str">
        <f t="shared" si="70"/>
        <v/>
      </c>
      <c r="U664" s="37" t="str">
        <f t="shared" si="71"/>
        <v/>
      </c>
    </row>
    <row r="665" spans="2:21" ht="17.25">
      <c r="B665" s="156"/>
      <c r="C665" s="156"/>
      <c r="D665" s="157"/>
      <c r="E665" s="155"/>
      <c r="F665" s="151"/>
      <c r="G665" s="152"/>
      <c r="H665" s="153"/>
      <c r="I665" s="154"/>
      <c r="J665" s="154"/>
      <c r="K665" s="30" t="str">
        <f>IF(H665="","",IF($C$30="간이법","",FPR(H665,I665,J665)))</f>
        <v/>
      </c>
      <c r="L665" s="30" t="str">
        <f>IF(H665="","",IF($C$30="상세법",FPV(H665,K665),IF(H665="EI",4,IF(H665="EO",5.2,IF(H665="EQ",3.9,IF(H665="ILF",7.5,IF(H665="EIF",5.4)))))))</f>
        <v/>
      </c>
      <c r="M665" s="30" t="str">
        <f t="shared" si="65"/>
        <v/>
      </c>
      <c r="N665" s="134"/>
      <c r="O665" s="29"/>
      <c r="P665" s="37" t="str">
        <f t="shared" si="66"/>
        <v/>
      </c>
      <c r="Q665" s="38" t="str">
        <f t="shared" si="67"/>
        <v/>
      </c>
      <c r="R665" s="37" t="str">
        <f t="shared" si="68"/>
        <v/>
      </c>
      <c r="S665" s="37" t="str">
        <f t="shared" si="69"/>
        <v/>
      </c>
      <c r="T665" s="38" t="str">
        <f t="shared" si="70"/>
        <v/>
      </c>
      <c r="U665" s="37" t="str">
        <f t="shared" si="71"/>
        <v/>
      </c>
    </row>
    <row r="666" spans="2:21" ht="17.25">
      <c r="B666" s="156"/>
      <c r="C666" s="156"/>
      <c r="D666" s="157"/>
      <c r="E666" s="155"/>
      <c r="F666" s="151"/>
      <c r="G666" s="152"/>
      <c r="H666" s="153"/>
      <c r="I666" s="154"/>
      <c r="J666" s="154"/>
      <c r="K666" s="30" t="str">
        <f>IF(H666="","",IF($C$30="간이법","",FPR(H666,I666,J666)))</f>
        <v/>
      </c>
      <c r="L666" s="30" t="str">
        <f>IF(H666="","",IF($C$30="상세법",FPV(H666,K666),IF(H666="EI",4,IF(H666="EO",5.2,IF(H666="EQ",3.9,IF(H666="ILF",7.5,IF(H666="EIF",5.4)))))))</f>
        <v/>
      </c>
      <c r="M666" s="30" t="str">
        <f t="shared" si="65"/>
        <v/>
      </c>
      <c r="N666" s="134"/>
      <c r="O666" s="29"/>
      <c r="P666" s="37" t="str">
        <f t="shared" si="66"/>
        <v/>
      </c>
      <c r="Q666" s="38" t="str">
        <f t="shared" si="67"/>
        <v/>
      </c>
      <c r="R666" s="37" t="str">
        <f t="shared" si="68"/>
        <v/>
      </c>
      <c r="S666" s="37" t="str">
        <f t="shared" si="69"/>
        <v/>
      </c>
      <c r="T666" s="38" t="str">
        <f t="shared" si="70"/>
        <v/>
      </c>
      <c r="U666" s="37" t="str">
        <f t="shared" si="71"/>
        <v/>
      </c>
    </row>
    <row r="667" spans="2:21" ht="17.25">
      <c r="B667" s="156"/>
      <c r="C667" s="156"/>
      <c r="D667" s="157"/>
      <c r="E667" s="155"/>
      <c r="F667" s="151"/>
      <c r="G667" s="152"/>
      <c r="H667" s="153"/>
      <c r="I667" s="154"/>
      <c r="J667" s="154"/>
      <c r="K667" s="30" t="str">
        <f>IF(H667="","",IF($C$30="간이법","",FPR(H667,I667,J667)))</f>
        <v/>
      </c>
      <c r="L667" s="30" t="str">
        <f>IF(H667="","",IF($C$30="상세법",FPV(H667,K667),IF(H667="EI",4,IF(H667="EO",5.2,IF(H667="EQ",3.9,IF(H667="ILF",7.5,IF(H667="EIF",5.4)))))))</f>
        <v/>
      </c>
      <c r="M667" s="30" t="str">
        <f t="shared" si="65"/>
        <v/>
      </c>
      <c r="N667" s="134"/>
      <c r="O667" s="29"/>
      <c r="P667" s="37" t="str">
        <f t="shared" si="66"/>
        <v/>
      </c>
      <c r="Q667" s="38" t="str">
        <f t="shared" si="67"/>
        <v/>
      </c>
      <c r="R667" s="37" t="str">
        <f t="shared" si="68"/>
        <v/>
      </c>
      <c r="S667" s="37" t="str">
        <f t="shared" si="69"/>
        <v/>
      </c>
      <c r="T667" s="38" t="str">
        <f t="shared" si="70"/>
        <v/>
      </c>
      <c r="U667" s="37" t="str">
        <f t="shared" si="71"/>
        <v/>
      </c>
    </row>
    <row r="668" spans="2:21" ht="17.25">
      <c r="B668" s="156"/>
      <c r="C668" s="156"/>
      <c r="D668" s="157"/>
      <c r="E668" s="155"/>
      <c r="F668" s="151"/>
      <c r="G668" s="152"/>
      <c r="H668" s="153"/>
      <c r="I668" s="154"/>
      <c r="J668" s="154"/>
      <c r="K668" s="30" t="str">
        <f>IF(H668="","",IF($C$30="간이법","",FPR(H668,I668,J668)))</f>
        <v/>
      </c>
      <c r="L668" s="30" t="str">
        <f>IF(H668="","",IF($C$30="상세법",FPV(H668,K668),IF(H668="EI",4,IF(H668="EO",5.2,IF(H668="EQ",3.9,IF(H668="ILF",7.5,IF(H668="EIF",5.4)))))))</f>
        <v/>
      </c>
      <c r="M668" s="30" t="str">
        <f t="shared" si="65"/>
        <v/>
      </c>
      <c r="N668" s="134"/>
      <c r="O668" s="29"/>
      <c r="P668" s="37" t="str">
        <f t="shared" si="66"/>
        <v/>
      </c>
      <c r="Q668" s="38" t="str">
        <f t="shared" si="67"/>
        <v/>
      </c>
      <c r="R668" s="37" t="str">
        <f t="shared" si="68"/>
        <v/>
      </c>
      <c r="S668" s="37" t="str">
        <f t="shared" si="69"/>
        <v/>
      </c>
      <c r="T668" s="38" t="str">
        <f t="shared" si="70"/>
        <v/>
      </c>
      <c r="U668" s="37" t="str">
        <f t="shared" si="71"/>
        <v/>
      </c>
    </row>
    <row r="669" spans="2:21" ht="17.25">
      <c r="B669" s="156"/>
      <c r="C669" s="156"/>
      <c r="D669" s="157"/>
      <c r="E669" s="155"/>
      <c r="F669" s="151"/>
      <c r="G669" s="152"/>
      <c r="H669" s="153"/>
      <c r="I669" s="154"/>
      <c r="J669" s="154"/>
      <c r="K669" s="30" t="str">
        <f>IF(H669="","",IF($C$30="간이법","",FPR(H669,I669,J669)))</f>
        <v/>
      </c>
      <c r="L669" s="30" t="str">
        <f>IF(H669="","",IF($C$30="상세법",FPV(H669,K669),IF(H669="EI",4,IF(H669="EO",5.2,IF(H669="EQ",3.9,IF(H669="ILF",7.5,IF(H669="EIF",5.4)))))))</f>
        <v/>
      </c>
      <c r="M669" s="30" t="str">
        <f t="shared" si="65"/>
        <v/>
      </c>
      <c r="N669" s="134"/>
      <c r="O669" s="29"/>
      <c r="P669" s="37" t="str">
        <f t="shared" si="66"/>
        <v/>
      </c>
      <c r="Q669" s="38" t="str">
        <f t="shared" si="67"/>
        <v/>
      </c>
      <c r="R669" s="37" t="str">
        <f t="shared" si="68"/>
        <v/>
      </c>
      <c r="S669" s="37" t="str">
        <f t="shared" si="69"/>
        <v/>
      </c>
      <c r="T669" s="38" t="str">
        <f t="shared" si="70"/>
        <v/>
      </c>
      <c r="U669" s="37" t="str">
        <f t="shared" si="71"/>
        <v/>
      </c>
    </row>
    <row r="670" spans="2:21" ht="17.25">
      <c r="B670" s="156"/>
      <c r="C670" s="156"/>
      <c r="D670" s="157"/>
      <c r="E670" s="155"/>
      <c r="F670" s="151"/>
      <c r="G670" s="152"/>
      <c r="H670" s="153"/>
      <c r="I670" s="154"/>
      <c r="J670" s="154"/>
      <c r="K670" s="30" t="str">
        <f>IF(H670="","",IF($C$30="간이법","",FPR(H670,I670,J670)))</f>
        <v/>
      </c>
      <c r="L670" s="30" t="str">
        <f>IF(H670="","",IF($C$30="상세법",FPV(H670,K670),IF(H670="EI",4,IF(H670="EO",5.2,IF(H670="EQ",3.9,IF(H670="ILF",7.5,IF(H670="EIF",5.4)))))))</f>
        <v/>
      </c>
      <c r="M670" s="30" t="str">
        <f t="shared" si="65"/>
        <v/>
      </c>
      <c r="N670" s="134"/>
      <c r="O670" s="29"/>
      <c r="P670" s="37" t="str">
        <f t="shared" si="66"/>
        <v/>
      </c>
      <c r="Q670" s="38" t="str">
        <f t="shared" si="67"/>
        <v/>
      </c>
      <c r="R670" s="37" t="str">
        <f t="shared" si="68"/>
        <v/>
      </c>
      <c r="S670" s="37" t="str">
        <f t="shared" si="69"/>
        <v/>
      </c>
      <c r="T670" s="38" t="str">
        <f t="shared" si="70"/>
        <v/>
      </c>
      <c r="U670" s="37" t="str">
        <f t="shared" si="71"/>
        <v/>
      </c>
    </row>
    <row r="671" spans="2:21" ht="17.25">
      <c r="B671" s="156"/>
      <c r="C671" s="156"/>
      <c r="D671" s="157"/>
      <c r="E671" s="155"/>
      <c r="F671" s="151"/>
      <c r="G671" s="152"/>
      <c r="H671" s="153"/>
      <c r="I671" s="154"/>
      <c r="J671" s="154"/>
      <c r="K671" s="30" t="str">
        <f>IF(H671="","",IF($C$30="간이법","",FPR(H671,I671,J671)))</f>
        <v/>
      </c>
      <c r="L671" s="30" t="str">
        <f>IF(H671="","",IF($C$30="상세법",FPV(H671,K671),IF(H671="EI",4,IF(H671="EO",5.2,IF(H671="EQ",3.9,IF(H671="ILF",7.5,IF(H671="EIF",5.4)))))))</f>
        <v/>
      </c>
      <c r="M671" s="30" t="str">
        <f t="shared" si="65"/>
        <v/>
      </c>
      <c r="N671" s="134"/>
      <c r="O671" s="29"/>
      <c r="P671" s="37" t="str">
        <f t="shared" si="66"/>
        <v/>
      </c>
      <c r="Q671" s="38" t="str">
        <f t="shared" si="67"/>
        <v/>
      </c>
      <c r="R671" s="37" t="str">
        <f t="shared" si="68"/>
        <v/>
      </c>
      <c r="S671" s="37" t="str">
        <f t="shared" si="69"/>
        <v/>
      </c>
      <c r="T671" s="38" t="str">
        <f t="shared" si="70"/>
        <v/>
      </c>
      <c r="U671" s="37" t="str">
        <f t="shared" si="71"/>
        <v/>
      </c>
    </row>
    <row r="672" spans="2:21" ht="17.25">
      <c r="B672" s="156"/>
      <c r="C672" s="156"/>
      <c r="D672" s="157"/>
      <c r="E672" s="155"/>
      <c r="F672" s="151"/>
      <c r="G672" s="152"/>
      <c r="H672" s="153"/>
      <c r="I672" s="154"/>
      <c r="J672" s="154"/>
      <c r="K672" s="30" t="str">
        <f>IF(H672="","",IF($C$30="간이법","",FPR(H672,I672,J672)))</f>
        <v/>
      </c>
      <c r="L672" s="30" t="str">
        <f>IF(H672="","",IF($C$30="상세법",FPV(H672,K672),IF(H672="EI",4,IF(H672="EO",5.2,IF(H672="EQ",3.9,IF(H672="ILF",7.5,IF(H672="EIF",5.4)))))))</f>
        <v/>
      </c>
      <c r="M672" s="30" t="str">
        <f t="shared" si="65"/>
        <v/>
      </c>
      <c r="N672" s="134"/>
      <c r="O672" s="29"/>
      <c r="P672" s="37" t="str">
        <f t="shared" si="66"/>
        <v/>
      </c>
      <c r="Q672" s="38" t="str">
        <f t="shared" si="67"/>
        <v/>
      </c>
      <c r="R672" s="37" t="str">
        <f t="shared" si="68"/>
        <v/>
      </c>
      <c r="S672" s="37" t="str">
        <f t="shared" si="69"/>
        <v/>
      </c>
      <c r="T672" s="38" t="str">
        <f t="shared" si="70"/>
        <v/>
      </c>
      <c r="U672" s="37" t="str">
        <f t="shared" si="71"/>
        <v/>
      </c>
    </row>
    <row r="673" spans="2:21" ht="17.25">
      <c r="B673" s="156"/>
      <c r="C673" s="156"/>
      <c r="D673" s="157"/>
      <c r="E673" s="155"/>
      <c r="F673" s="151"/>
      <c r="G673" s="152"/>
      <c r="H673" s="153"/>
      <c r="I673" s="154"/>
      <c r="J673" s="154"/>
      <c r="K673" s="30" t="str">
        <f>IF(H673="","",IF($C$30="간이법","",FPR(H673,I673,J673)))</f>
        <v/>
      </c>
      <c r="L673" s="30" t="str">
        <f>IF(H673="","",IF($C$30="상세법",FPV(H673,K673),IF(H673="EI",4,IF(H673="EO",5.2,IF(H673="EQ",3.9,IF(H673="ILF",7.5,IF(H673="EIF",5.4)))))))</f>
        <v/>
      </c>
      <c r="M673" s="30" t="str">
        <f t="shared" si="65"/>
        <v/>
      </c>
      <c r="N673" s="134"/>
      <c r="O673" s="29"/>
      <c r="P673" s="37" t="str">
        <f t="shared" si="66"/>
        <v/>
      </c>
      <c r="Q673" s="38" t="str">
        <f t="shared" si="67"/>
        <v/>
      </c>
      <c r="R673" s="37" t="str">
        <f t="shared" si="68"/>
        <v/>
      </c>
      <c r="S673" s="37" t="str">
        <f t="shared" si="69"/>
        <v/>
      </c>
      <c r="T673" s="38" t="str">
        <f t="shared" si="70"/>
        <v/>
      </c>
      <c r="U673" s="37" t="str">
        <f t="shared" si="71"/>
        <v/>
      </c>
    </row>
    <row r="674" spans="2:21" ht="17.25">
      <c r="B674" s="156"/>
      <c r="C674" s="156"/>
      <c r="D674" s="157"/>
      <c r="E674" s="155"/>
      <c r="F674" s="151"/>
      <c r="G674" s="152"/>
      <c r="H674" s="153"/>
      <c r="I674" s="154"/>
      <c r="J674" s="154"/>
      <c r="K674" s="30" t="str">
        <f>IF(H674="","",IF($C$30="간이법","",FPR(H674,I674,J674)))</f>
        <v/>
      </c>
      <c r="L674" s="30" t="str">
        <f>IF(H674="","",IF($C$30="상세법",FPV(H674,K674),IF(H674="EI",4,IF(H674="EO",5.2,IF(H674="EQ",3.9,IF(H674="ILF",7.5,IF(H674="EIF",5.4)))))))</f>
        <v/>
      </c>
      <c r="M674" s="30" t="str">
        <f t="shared" si="65"/>
        <v/>
      </c>
      <c r="N674" s="134"/>
      <c r="O674" s="29"/>
      <c r="P674" s="37" t="str">
        <f t="shared" si="66"/>
        <v/>
      </c>
      <c r="Q674" s="38" t="str">
        <f t="shared" si="67"/>
        <v/>
      </c>
      <c r="R674" s="37" t="str">
        <f t="shared" si="68"/>
        <v/>
      </c>
      <c r="S674" s="37" t="str">
        <f t="shared" si="69"/>
        <v/>
      </c>
      <c r="T674" s="38" t="str">
        <f t="shared" si="70"/>
        <v/>
      </c>
      <c r="U674" s="37" t="str">
        <f t="shared" si="71"/>
        <v/>
      </c>
    </row>
    <row r="675" spans="2:21" ht="17.25">
      <c r="B675" s="156"/>
      <c r="C675" s="156"/>
      <c r="D675" s="157"/>
      <c r="E675" s="155"/>
      <c r="F675" s="151"/>
      <c r="G675" s="152"/>
      <c r="H675" s="153"/>
      <c r="I675" s="154"/>
      <c r="J675" s="154"/>
      <c r="K675" s="30" t="str">
        <f>IF(H675="","",IF($C$30="간이법","",FPR(H675,I675,J675)))</f>
        <v/>
      </c>
      <c r="L675" s="30" t="str">
        <f>IF(H675="","",IF($C$30="상세법",FPV(H675,K675),IF(H675="EI",4,IF(H675="EO",5.2,IF(H675="EQ",3.9,IF(H675="ILF",7.5,IF(H675="EIF",5.4)))))))</f>
        <v/>
      </c>
      <c r="M675" s="30" t="str">
        <f t="shared" si="65"/>
        <v/>
      </c>
      <c r="N675" s="134"/>
      <c r="O675" s="29"/>
      <c r="P675" s="37" t="str">
        <f t="shared" si="66"/>
        <v/>
      </c>
      <c r="Q675" s="38" t="str">
        <f t="shared" si="67"/>
        <v/>
      </c>
      <c r="R675" s="37" t="str">
        <f t="shared" si="68"/>
        <v/>
      </c>
      <c r="S675" s="37" t="str">
        <f t="shared" si="69"/>
        <v/>
      </c>
      <c r="T675" s="38" t="str">
        <f t="shared" si="70"/>
        <v/>
      </c>
      <c r="U675" s="37" t="str">
        <f t="shared" si="71"/>
        <v/>
      </c>
    </row>
    <row r="676" spans="2:21" ht="17.25">
      <c r="B676" s="156"/>
      <c r="C676" s="156"/>
      <c r="D676" s="157"/>
      <c r="E676" s="155"/>
      <c r="F676" s="151"/>
      <c r="G676" s="152"/>
      <c r="H676" s="153"/>
      <c r="I676" s="154"/>
      <c r="J676" s="154"/>
      <c r="K676" s="30" t="str">
        <f>IF(H676="","",IF($C$30="간이법","",FPR(H676,I676,J676)))</f>
        <v/>
      </c>
      <c r="L676" s="30" t="str">
        <f>IF(H676="","",IF($C$30="상세법",FPV(H676,K676),IF(H676="EI",4,IF(H676="EO",5.2,IF(H676="EQ",3.9,IF(H676="ILF",7.5,IF(H676="EIF",5.4)))))))</f>
        <v/>
      </c>
      <c r="M676" s="30" t="str">
        <f t="shared" si="65"/>
        <v/>
      </c>
      <c r="N676" s="134"/>
      <c r="O676" s="29"/>
      <c r="P676" s="37" t="str">
        <f t="shared" si="66"/>
        <v/>
      </c>
      <c r="Q676" s="38" t="str">
        <f t="shared" si="67"/>
        <v/>
      </c>
      <c r="R676" s="37" t="str">
        <f t="shared" si="68"/>
        <v/>
      </c>
      <c r="S676" s="37" t="str">
        <f t="shared" si="69"/>
        <v/>
      </c>
      <c r="T676" s="38" t="str">
        <f t="shared" si="70"/>
        <v/>
      </c>
      <c r="U676" s="37" t="str">
        <f t="shared" si="71"/>
        <v/>
      </c>
    </row>
    <row r="677" spans="2:21" ht="17.25">
      <c r="B677" s="156"/>
      <c r="C677" s="156"/>
      <c r="D677" s="157"/>
      <c r="E677" s="155"/>
      <c r="F677" s="151"/>
      <c r="G677" s="152"/>
      <c r="H677" s="153"/>
      <c r="I677" s="154"/>
      <c r="J677" s="154"/>
      <c r="K677" s="30" t="str">
        <f>IF(H677="","",IF($C$30="간이법","",FPR(H677,I677,J677)))</f>
        <v/>
      </c>
      <c r="L677" s="30" t="str">
        <f>IF(H677="","",IF($C$30="상세법",FPV(H677,K677),IF(H677="EI",4,IF(H677="EO",5.2,IF(H677="EQ",3.9,IF(H677="ILF",7.5,IF(H677="EIF",5.4)))))))</f>
        <v/>
      </c>
      <c r="M677" s="30" t="str">
        <f t="shared" si="65"/>
        <v/>
      </c>
      <c r="N677" s="134"/>
      <c r="O677" s="29"/>
      <c r="P677" s="37" t="str">
        <f t="shared" si="66"/>
        <v/>
      </c>
      <c r="Q677" s="38" t="str">
        <f t="shared" si="67"/>
        <v/>
      </c>
      <c r="R677" s="37" t="str">
        <f t="shared" si="68"/>
        <v/>
      </c>
      <c r="S677" s="37" t="str">
        <f t="shared" si="69"/>
        <v/>
      </c>
      <c r="T677" s="38" t="str">
        <f t="shared" si="70"/>
        <v/>
      </c>
      <c r="U677" s="37" t="str">
        <f t="shared" si="71"/>
        <v/>
      </c>
    </row>
    <row r="678" spans="2:21" ht="17.25">
      <c r="B678" s="156"/>
      <c r="C678" s="156"/>
      <c r="D678" s="157"/>
      <c r="E678" s="155"/>
      <c r="F678" s="151"/>
      <c r="G678" s="152"/>
      <c r="H678" s="153"/>
      <c r="I678" s="154"/>
      <c r="J678" s="154"/>
      <c r="K678" s="30" t="str">
        <f>IF(H678="","",IF($C$30="간이법","",FPR(H678,I678,J678)))</f>
        <v/>
      </c>
      <c r="L678" s="30" t="str">
        <f>IF(H678="","",IF($C$30="상세법",FPV(H678,K678),IF(H678="EI",4,IF(H678="EO",5.2,IF(H678="EQ",3.9,IF(H678="ILF",7.5,IF(H678="EIF",5.4)))))))</f>
        <v/>
      </c>
      <c r="M678" s="30" t="str">
        <f t="shared" si="65"/>
        <v/>
      </c>
      <c r="N678" s="134"/>
      <c r="O678" s="29"/>
      <c r="P678" s="37" t="str">
        <f t="shared" si="66"/>
        <v/>
      </c>
      <c r="Q678" s="38" t="str">
        <f t="shared" si="67"/>
        <v/>
      </c>
      <c r="R678" s="37" t="str">
        <f t="shared" si="68"/>
        <v/>
      </c>
      <c r="S678" s="37" t="str">
        <f t="shared" si="69"/>
        <v/>
      </c>
      <c r="T678" s="38" t="str">
        <f t="shared" si="70"/>
        <v/>
      </c>
      <c r="U678" s="37" t="str">
        <f t="shared" si="71"/>
        <v/>
      </c>
    </row>
    <row r="679" spans="2:21" ht="17.25">
      <c r="B679" s="156"/>
      <c r="C679" s="156"/>
      <c r="D679" s="157"/>
      <c r="E679" s="155"/>
      <c r="F679" s="151"/>
      <c r="G679" s="152"/>
      <c r="H679" s="153"/>
      <c r="I679" s="154"/>
      <c r="J679" s="154"/>
      <c r="K679" s="30" t="str">
        <f>IF(H679="","",IF($C$30="간이법","",FPR(H679,I679,J679)))</f>
        <v/>
      </c>
      <c r="L679" s="30" t="str">
        <f>IF(H679="","",IF($C$30="상세법",FPV(H679,K679),IF(H679="EI",4,IF(H679="EO",5.2,IF(H679="EQ",3.9,IF(H679="ILF",7.5,IF(H679="EIF",5.4)))))))</f>
        <v/>
      </c>
      <c r="M679" s="30" t="str">
        <f t="shared" si="65"/>
        <v/>
      </c>
      <c r="N679" s="134"/>
      <c r="O679" s="29"/>
      <c r="P679" s="37" t="str">
        <f t="shared" si="66"/>
        <v/>
      </c>
      <c r="Q679" s="38" t="str">
        <f t="shared" si="67"/>
        <v/>
      </c>
      <c r="R679" s="37" t="str">
        <f t="shared" si="68"/>
        <v/>
      </c>
      <c r="S679" s="37" t="str">
        <f t="shared" si="69"/>
        <v/>
      </c>
      <c r="T679" s="38" t="str">
        <f t="shared" si="70"/>
        <v/>
      </c>
      <c r="U679" s="37" t="str">
        <f t="shared" si="71"/>
        <v/>
      </c>
    </row>
    <row r="680" spans="2:21" ht="17.25">
      <c r="B680" s="156"/>
      <c r="C680" s="156"/>
      <c r="D680" s="157"/>
      <c r="E680" s="155"/>
      <c r="F680" s="151"/>
      <c r="G680" s="152"/>
      <c r="H680" s="153"/>
      <c r="I680" s="154"/>
      <c r="J680" s="154"/>
      <c r="K680" s="30" t="str">
        <f>IF(H680="","",IF($C$30="간이법","",FPR(H680,I680,J680)))</f>
        <v/>
      </c>
      <c r="L680" s="30" t="str">
        <f>IF(H680="","",IF($C$30="상세법",FPV(H680,K680),IF(H680="EI",4,IF(H680="EO",5.2,IF(H680="EQ",3.9,IF(H680="ILF",7.5,IF(H680="EIF",5.4)))))))</f>
        <v/>
      </c>
      <c r="M680" s="30" t="str">
        <f t="shared" si="65"/>
        <v/>
      </c>
      <c r="N680" s="134"/>
      <c r="O680" s="29"/>
      <c r="P680" s="37" t="str">
        <f t="shared" si="66"/>
        <v/>
      </c>
      <c r="Q680" s="38" t="str">
        <f t="shared" si="67"/>
        <v/>
      </c>
      <c r="R680" s="37" t="str">
        <f t="shared" si="68"/>
        <v/>
      </c>
      <c r="S680" s="37" t="str">
        <f t="shared" si="69"/>
        <v/>
      </c>
      <c r="T680" s="38" t="str">
        <f t="shared" si="70"/>
        <v/>
      </c>
      <c r="U680" s="37" t="str">
        <f t="shared" si="71"/>
        <v/>
      </c>
    </row>
    <row r="681" spans="2:21" ht="17.25">
      <c r="B681" s="156"/>
      <c r="C681" s="156"/>
      <c r="D681" s="157"/>
      <c r="E681" s="155"/>
      <c r="F681" s="151"/>
      <c r="G681" s="152"/>
      <c r="H681" s="153"/>
      <c r="I681" s="154"/>
      <c r="J681" s="154"/>
      <c r="K681" s="30" t="str">
        <f>IF(H681="","",IF($C$30="간이법","",FPR(H681,I681,J681)))</f>
        <v/>
      </c>
      <c r="L681" s="30" t="str">
        <f>IF(H681="","",IF($C$30="상세법",FPV(H681,K681),IF(H681="EI",4,IF(H681="EO",5.2,IF(H681="EQ",3.9,IF(H681="ILF",7.5,IF(H681="EIF",5.4)))))))</f>
        <v/>
      </c>
      <c r="M681" s="30" t="str">
        <f t="shared" si="65"/>
        <v/>
      </c>
      <c r="N681" s="134"/>
      <c r="O681" s="29"/>
      <c r="P681" s="37" t="str">
        <f t="shared" si="66"/>
        <v/>
      </c>
      <c r="Q681" s="38" t="str">
        <f t="shared" si="67"/>
        <v/>
      </c>
      <c r="R681" s="37" t="str">
        <f t="shared" si="68"/>
        <v/>
      </c>
      <c r="S681" s="37" t="str">
        <f t="shared" si="69"/>
        <v/>
      </c>
      <c r="T681" s="38" t="str">
        <f t="shared" si="70"/>
        <v/>
      </c>
      <c r="U681" s="37" t="str">
        <f t="shared" si="71"/>
        <v/>
      </c>
    </row>
    <row r="682" spans="2:21" ht="17.25">
      <c r="B682" s="156"/>
      <c r="C682" s="156"/>
      <c r="D682" s="157"/>
      <c r="E682" s="155"/>
      <c r="F682" s="151"/>
      <c r="G682" s="152"/>
      <c r="H682" s="153"/>
      <c r="I682" s="154"/>
      <c r="J682" s="154"/>
      <c r="K682" s="30" t="str">
        <f>IF(H682="","",IF($C$30="간이법","",FPR(H682,I682,J682)))</f>
        <v/>
      </c>
      <c r="L682" s="30" t="str">
        <f>IF(H682="","",IF($C$30="상세법",FPV(H682,K682),IF(H682="EI",4,IF(H682="EO",5.2,IF(H682="EQ",3.9,IF(H682="ILF",7.5,IF(H682="EIF",5.4)))))))</f>
        <v/>
      </c>
      <c r="M682" s="30" t="str">
        <f t="shared" si="65"/>
        <v/>
      </c>
      <c r="N682" s="134"/>
      <c r="O682" s="29"/>
      <c r="P682" s="37" t="str">
        <f t="shared" si="66"/>
        <v/>
      </c>
      <c r="Q682" s="38" t="str">
        <f t="shared" si="67"/>
        <v/>
      </c>
      <c r="R682" s="37" t="str">
        <f t="shared" si="68"/>
        <v/>
      </c>
      <c r="S682" s="37" t="str">
        <f t="shared" si="69"/>
        <v/>
      </c>
      <c r="T682" s="38" t="str">
        <f t="shared" si="70"/>
        <v/>
      </c>
      <c r="U682" s="37" t="str">
        <f t="shared" si="71"/>
        <v/>
      </c>
    </row>
    <row r="683" spans="2:21" ht="17.25">
      <c r="B683" s="156"/>
      <c r="C683" s="156"/>
      <c r="D683" s="157"/>
      <c r="E683" s="155"/>
      <c r="F683" s="151"/>
      <c r="G683" s="152"/>
      <c r="H683" s="153"/>
      <c r="I683" s="154"/>
      <c r="J683" s="154"/>
      <c r="K683" s="30" t="str">
        <f>IF(H683="","",IF($C$30="간이법","",FPR(H683,I683,J683)))</f>
        <v/>
      </c>
      <c r="L683" s="30" t="str">
        <f>IF(H683="","",IF($C$30="상세법",FPV(H683,K683),IF(H683="EI",4,IF(H683="EO",5.2,IF(H683="EQ",3.9,IF(H683="ILF",7.5,IF(H683="EIF",5.4)))))))</f>
        <v/>
      </c>
      <c r="M683" s="30" t="str">
        <f t="shared" si="65"/>
        <v/>
      </c>
      <c r="N683" s="134"/>
      <c r="O683" s="29"/>
      <c r="P683" s="37" t="str">
        <f t="shared" si="66"/>
        <v/>
      </c>
      <c r="Q683" s="38" t="str">
        <f t="shared" si="67"/>
        <v/>
      </c>
      <c r="R683" s="37" t="str">
        <f t="shared" si="68"/>
        <v/>
      </c>
      <c r="S683" s="37" t="str">
        <f t="shared" si="69"/>
        <v/>
      </c>
      <c r="T683" s="38" t="str">
        <f t="shared" si="70"/>
        <v/>
      </c>
      <c r="U683" s="37" t="str">
        <f t="shared" si="71"/>
        <v/>
      </c>
    </row>
    <row r="684" spans="2:21" ht="17.25">
      <c r="B684" s="156"/>
      <c r="C684" s="156"/>
      <c r="D684" s="157"/>
      <c r="E684" s="155"/>
      <c r="F684" s="151"/>
      <c r="G684" s="152"/>
      <c r="H684" s="153"/>
      <c r="I684" s="154"/>
      <c r="J684" s="154"/>
      <c r="K684" s="30" t="str">
        <f>IF(H684="","",IF($C$30="간이법","",FPR(H684,I684,J684)))</f>
        <v/>
      </c>
      <c r="L684" s="30" t="str">
        <f>IF(H684="","",IF($C$30="상세법",FPV(H684,K684),IF(H684="EI",4,IF(H684="EO",5.2,IF(H684="EQ",3.9,IF(H684="ILF",7.5,IF(H684="EIF",5.4)))))))</f>
        <v/>
      </c>
      <c r="M684" s="30" t="str">
        <f t="shared" si="65"/>
        <v/>
      </c>
      <c r="N684" s="134"/>
      <c r="O684" s="29"/>
      <c r="P684" s="37" t="str">
        <f t="shared" si="66"/>
        <v/>
      </c>
      <c r="Q684" s="38" t="str">
        <f t="shared" si="67"/>
        <v/>
      </c>
      <c r="R684" s="37" t="str">
        <f t="shared" si="68"/>
        <v/>
      </c>
      <c r="S684" s="37" t="str">
        <f t="shared" si="69"/>
        <v/>
      </c>
      <c r="T684" s="38" t="str">
        <f t="shared" si="70"/>
        <v/>
      </c>
      <c r="U684" s="37" t="str">
        <f t="shared" si="71"/>
        <v/>
      </c>
    </row>
    <row r="685" spans="2:21" ht="17.25">
      <c r="B685" s="156"/>
      <c r="C685" s="156"/>
      <c r="D685" s="157"/>
      <c r="E685" s="155"/>
      <c r="F685" s="151"/>
      <c r="G685" s="152"/>
      <c r="H685" s="153"/>
      <c r="I685" s="154"/>
      <c r="J685" s="154"/>
      <c r="K685" s="30" t="str">
        <f>IF(H685="","",IF($C$30="간이법","",FPR(H685,I685,J685)))</f>
        <v/>
      </c>
      <c r="L685" s="30" t="str">
        <f>IF(H685="","",IF($C$30="상세법",FPV(H685,K685),IF(H685="EI",4,IF(H685="EO",5.2,IF(H685="EQ",3.9,IF(H685="ILF",7.5,IF(H685="EIF",5.4)))))))</f>
        <v/>
      </c>
      <c r="M685" s="30" t="str">
        <f t="shared" si="65"/>
        <v/>
      </c>
      <c r="N685" s="134"/>
      <c r="O685" s="29"/>
      <c r="P685" s="37" t="str">
        <f t="shared" si="66"/>
        <v/>
      </c>
      <c r="Q685" s="38" t="str">
        <f t="shared" si="67"/>
        <v/>
      </c>
      <c r="R685" s="37" t="str">
        <f t="shared" si="68"/>
        <v/>
      </c>
      <c r="S685" s="37" t="str">
        <f t="shared" si="69"/>
        <v/>
      </c>
      <c r="T685" s="38" t="str">
        <f t="shared" si="70"/>
        <v/>
      </c>
      <c r="U685" s="37" t="str">
        <f t="shared" si="71"/>
        <v/>
      </c>
    </row>
    <row r="686" spans="2:21" ht="17.25">
      <c r="B686" s="156"/>
      <c r="C686" s="156"/>
      <c r="D686" s="157"/>
      <c r="E686" s="155"/>
      <c r="F686" s="151"/>
      <c r="G686" s="152"/>
      <c r="H686" s="153"/>
      <c r="I686" s="154"/>
      <c r="J686" s="154"/>
      <c r="K686" s="30" t="str">
        <f>IF(H686="","",IF($C$30="간이법","",FPR(H686,I686,J686)))</f>
        <v/>
      </c>
      <c r="L686" s="30" t="str">
        <f>IF(H686="","",IF($C$30="상세법",FPV(H686,K686),IF(H686="EI",4,IF(H686="EO",5.2,IF(H686="EQ",3.9,IF(H686="ILF",7.5,IF(H686="EIF",5.4)))))))</f>
        <v/>
      </c>
      <c r="M686" s="30" t="str">
        <f t="shared" si="65"/>
        <v/>
      </c>
      <c r="N686" s="134"/>
      <c r="O686" s="29"/>
      <c r="P686" s="37" t="str">
        <f t="shared" si="66"/>
        <v/>
      </c>
      <c r="Q686" s="38" t="str">
        <f t="shared" si="67"/>
        <v/>
      </c>
      <c r="R686" s="37" t="str">
        <f t="shared" si="68"/>
        <v/>
      </c>
      <c r="S686" s="37" t="str">
        <f t="shared" si="69"/>
        <v/>
      </c>
      <c r="T686" s="38" t="str">
        <f t="shared" si="70"/>
        <v/>
      </c>
      <c r="U686" s="37" t="str">
        <f t="shared" si="71"/>
        <v/>
      </c>
    </row>
    <row r="687" spans="2:21" ht="17.25">
      <c r="B687" s="156"/>
      <c r="C687" s="156"/>
      <c r="D687" s="157"/>
      <c r="E687" s="155"/>
      <c r="F687" s="151"/>
      <c r="G687" s="152"/>
      <c r="H687" s="153"/>
      <c r="I687" s="154"/>
      <c r="J687" s="154"/>
      <c r="K687" s="30" t="str">
        <f>IF(H687="","",IF($C$30="간이법","",FPR(H687,I687,J687)))</f>
        <v/>
      </c>
      <c r="L687" s="30" t="str">
        <f>IF(H687="","",IF($C$30="상세법",FPV(H687,K687),IF(H687="EI",4,IF(H687="EO",5.2,IF(H687="EQ",3.9,IF(H687="ILF",7.5,IF(H687="EIF",5.4)))))))</f>
        <v/>
      </c>
      <c r="M687" s="30" t="str">
        <f t="shared" si="65"/>
        <v/>
      </c>
      <c r="N687" s="134"/>
      <c r="O687" s="29"/>
      <c r="P687" s="37" t="str">
        <f t="shared" si="66"/>
        <v/>
      </c>
      <c r="Q687" s="38" t="str">
        <f t="shared" si="67"/>
        <v/>
      </c>
      <c r="R687" s="37" t="str">
        <f t="shared" si="68"/>
        <v/>
      </c>
      <c r="S687" s="37" t="str">
        <f t="shared" si="69"/>
        <v/>
      </c>
      <c r="T687" s="38" t="str">
        <f t="shared" si="70"/>
        <v/>
      </c>
      <c r="U687" s="37" t="str">
        <f t="shared" si="71"/>
        <v/>
      </c>
    </row>
    <row r="688" spans="2:21" ht="17.25">
      <c r="B688" s="156"/>
      <c r="C688" s="156"/>
      <c r="D688" s="157"/>
      <c r="E688" s="155"/>
      <c r="F688" s="151"/>
      <c r="G688" s="152"/>
      <c r="H688" s="153"/>
      <c r="I688" s="154"/>
      <c r="J688" s="154"/>
      <c r="K688" s="30" t="str">
        <f>IF(H688="","",IF($C$30="간이법","",FPR(H688,I688,J688)))</f>
        <v/>
      </c>
      <c r="L688" s="30" t="str">
        <f>IF(H688="","",IF($C$30="상세법",FPV(H688,K688),IF(H688="EI",4,IF(H688="EO",5.2,IF(H688="EQ",3.9,IF(H688="ILF",7.5,IF(H688="EIF",5.4)))))))</f>
        <v/>
      </c>
      <c r="M688" s="30" t="str">
        <f t="shared" si="65"/>
        <v/>
      </c>
      <c r="N688" s="134"/>
      <c r="O688" s="29"/>
      <c r="P688" s="37" t="str">
        <f t="shared" si="66"/>
        <v/>
      </c>
      <c r="Q688" s="38" t="str">
        <f t="shared" si="67"/>
        <v/>
      </c>
      <c r="R688" s="37" t="str">
        <f t="shared" si="68"/>
        <v/>
      </c>
      <c r="S688" s="37" t="str">
        <f t="shared" si="69"/>
        <v/>
      </c>
      <c r="T688" s="38" t="str">
        <f t="shared" si="70"/>
        <v/>
      </c>
      <c r="U688" s="37" t="str">
        <f t="shared" si="71"/>
        <v/>
      </c>
    </row>
    <row r="689" spans="2:21" ht="17.25">
      <c r="B689" s="156"/>
      <c r="C689" s="156"/>
      <c r="D689" s="157"/>
      <c r="E689" s="155"/>
      <c r="F689" s="151"/>
      <c r="G689" s="152"/>
      <c r="H689" s="153"/>
      <c r="I689" s="154"/>
      <c r="J689" s="154"/>
      <c r="K689" s="30" t="str">
        <f>IF(H689="","",IF($C$30="간이법","",FPR(H689,I689,J689)))</f>
        <v/>
      </c>
      <c r="L689" s="30" t="str">
        <f>IF(H689="","",IF($C$30="상세법",FPV(H689,K689),IF(H689="EI",4,IF(H689="EO",5.2,IF(H689="EQ",3.9,IF(H689="ILF",7.5,IF(H689="EIF",5.4)))))))</f>
        <v/>
      </c>
      <c r="M689" s="30" t="str">
        <f t="shared" si="65"/>
        <v/>
      </c>
      <c r="N689" s="134"/>
      <c r="O689" s="29"/>
      <c r="P689" s="37" t="str">
        <f t="shared" si="66"/>
        <v/>
      </c>
      <c r="Q689" s="38" t="str">
        <f t="shared" si="67"/>
        <v/>
      </c>
      <c r="R689" s="37" t="str">
        <f t="shared" si="68"/>
        <v/>
      </c>
      <c r="S689" s="37" t="str">
        <f t="shared" si="69"/>
        <v/>
      </c>
      <c r="T689" s="38" t="str">
        <f t="shared" si="70"/>
        <v/>
      </c>
      <c r="U689" s="37" t="str">
        <f t="shared" si="71"/>
        <v/>
      </c>
    </row>
    <row r="690" spans="2:21" ht="17.25">
      <c r="B690" s="156"/>
      <c r="C690" s="156"/>
      <c r="D690" s="157"/>
      <c r="E690" s="155"/>
      <c r="F690" s="151"/>
      <c r="G690" s="152"/>
      <c r="H690" s="153"/>
      <c r="I690" s="154"/>
      <c r="J690" s="154"/>
      <c r="K690" s="30" t="str">
        <f>IF(H690="","",IF($C$30="간이법","",FPR(H690,I690,J690)))</f>
        <v/>
      </c>
      <c r="L690" s="30" t="str">
        <f>IF(H690="","",IF($C$30="상세법",FPV(H690,K690),IF(H690="EI",4,IF(H690="EO",5.2,IF(H690="EQ",3.9,IF(H690="ILF",7.5,IF(H690="EIF",5.4)))))))</f>
        <v/>
      </c>
      <c r="M690" s="30" t="str">
        <f t="shared" si="65"/>
        <v/>
      </c>
      <c r="N690" s="134"/>
      <c r="O690" s="29"/>
      <c r="P690" s="37" t="str">
        <f t="shared" si="66"/>
        <v/>
      </c>
      <c r="Q690" s="38" t="str">
        <f t="shared" si="67"/>
        <v/>
      </c>
      <c r="R690" s="37" t="str">
        <f t="shared" si="68"/>
        <v/>
      </c>
      <c r="S690" s="37" t="str">
        <f t="shared" si="69"/>
        <v/>
      </c>
      <c r="T690" s="38" t="str">
        <f t="shared" si="70"/>
        <v/>
      </c>
      <c r="U690" s="37" t="str">
        <f t="shared" si="71"/>
        <v/>
      </c>
    </row>
    <row r="691" spans="2:21" ht="17.25">
      <c r="B691" s="156"/>
      <c r="C691" s="156"/>
      <c r="D691" s="157"/>
      <c r="E691" s="155"/>
      <c r="F691" s="151"/>
      <c r="G691" s="152"/>
      <c r="H691" s="153"/>
      <c r="I691" s="154"/>
      <c r="J691" s="154"/>
      <c r="K691" s="30" t="str">
        <f>IF(H691="","",IF($C$30="간이법","",FPR(H691,I691,J691)))</f>
        <v/>
      </c>
      <c r="L691" s="30" t="str">
        <f>IF(H691="","",IF($C$30="상세법",FPV(H691,K691),IF(H691="EI",4,IF(H691="EO",5.2,IF(H691="EQ",3.9,IF(H691="ILF",7.5,IF(H691="EIF",5.4)))))))</f>
        <v/>
      </c>
      <c r="M691" s="30" t="str">
        <f t="shared" si="65"/>
        <v/>
      </c>
      <c r="N691" s="134"/>
      <c r="O691" s="29"/>
      <c r="P691" s="37" t="str">
        <f t="shared" si="66"/>
        <v/>
      </c>
      <c r="Q691" s="38" t="str">
        <f t="shared" si="67"/>
        <v/>
      </c>
      <c r="R691" s="37" t="str">
        <f t="shared" si="68"/>
        <v/>
      </c>
      <c r="S691" s="37" t="str">
        <f t="shared" si="69"/>
        <v/>
      </c>
      <c r="T691" s="38" t="str">
        <f t="shared" si="70"/>
        <v/>
      </c>
      <c r="U691" s="37" t="str">
        <f t="shared" si="71"/>
        <v/>
      </c>
    </row>
    <row r="692" spans="2:21" ht="17.25">
      <c r="B692" s="156"/>
      <c r="C692" s="156"/>
      <c r="D692" s="157"/>
      <c r="E692" s="155"/>
      <c r="F692" s="151"/>
      <c r="G692" s="152"/>
      <c r="H692" s="153"/>
      <c r="I692" s="154"/>
      <c r="J692" s="154"/>
      <c r="K692" s="30" t="str">
        <f>IF(H692="","",IF($C$30="간이법","",FPR(H692,I692,J692)))</f>
        <v/>
      </c>
      <c r="L692" s="30" t="str">
        <f>IF(H692="","",IF($C$30="상세법",FPV(H692,K692),IF(H692="EI",4,IF(H692="EO",5.2,IF(H692="EQ",3.9,IF(H692="ILF",7.5,IF(H692="EIF",5.4)))))))</f>
        <v/>
      </c>
      <c r="M692" s="30" t="str">
        <f t="shared" si="65"/>
        <v/>
      </c>
      <c r="N692" s="134"/>
      <c r="O692" s="29"/>
      <c r="P692" s="37" t="str">
        <f t="shared" si="66"/>
        <v/>
      </c>
      <c r="Q692" s="38" t="str">
        <f t="shared" si="67"/>
        <v/>
      </c>
      <c r="R692" s="37" t="str">
        <f t="shared" si="68"/>
        <v/>
      </c>
      <c r="S692" s="37" t="str">
        <f t="shared" si="69"/>
        <v/>
      </c>
      <c r="T692" s="38" t="str">
        <f t="shared" si="70"/>
        <v/>
      </c>
      <c r="U692" s="37" t="str">
        <f t="shared" si="71"/>
        <v/>
      </c>
    </row>
    <row r="693" spans="2:21" ht="17.25">
      <c r="B693" s="156"/>
      <c r="C693" s="156"/>
      <c r="D693" s="157"/>
      <c r="E693" s="155"/>
      <c r="F693" s="151"/>
      <c r="G693" s="152"/>
      <c r="H693" s="153"/>
      <c r="I693" s="154"/>
      <c r="J693" s="154"/>
      <c r="K693" s="30" t="str">
        <f>IF(H693="","",IF($C$30="간이법","",FPR(H693,I693,J693)))</f>
        <v/>
      </c>
      <c r="L693" s="30" t="str">
        <f>IF(H693="","",IF($C$30="상세법",FPV(H693,K693),IF(H693="EI",4,IF(H693="EO",5.2,IF(H693="EQ",3.9,IF(H693="ILF",7.5,IF(H693="EIF",5.4)))))))</f>
        <v/>
      </c>
      <c r="M693" s="30" t="str">
        <f t="shared" si="65"/>
        <v/>
      </c>
      <c r="N693" s="134"/>
      <c r="O693" s="29"/>
      <c r="P693" s="37" t="str">
        <f t="shared" si="66"/>
        <v/>
      </c>
      <c r="Q693" s="38" t="str">
        <f t="shared" si="67"/>
        <v/>
      </c>
      <c r="R693" s="37" t="str">
        <f t="shared" si="68"/>
        <v/>
      </c>
      <c r="S693" s="37" t="str">
        <f t="shared" si="69"/>
        <v/>
      </c>
      <c r="T693" s="38" t="str">
        <f t="shared" si="70"/>
        <v/>
      </c>
      <c r="U693" s="37" t="str">
        <f t="shared" si="71"/>
        <v/>
      </c>
    </row>
    <row r="694" spans="2:21" ht="17.25">
      <c r="B694" s="156"/>
      <c r="C694" s="156"/>
      <c r="D694" s="157"/>
      <c r="E694" s="155"/>
      <c r="F694" s="151"/>
      <c r="G694" s="152"/>
      <c r="H694" s="153"/>
      <c r="I694" s="154"/>
      <c r="J694" s="154"/>
      <c r="K694" s="30" t="str">
        <f>IF(H694="","",IF($C$30="간이법","",FPR(H694,I694,J694)))</f>
        <v/>
      </c>
      <c r="L694" s="30" t="str">
        <f>IF(H694="","",IF($C$30="상세법",FPV(H694,K694),IF(H694="EI",4,IF(H694="EO",5.2,IF(H694="EQ",3.9,IF(H694="ILF",7.5,IF(H694="EIF",5.4)))))))</f>
        <v/>
      </c>
      <c r="M694" s="30" t="str">
        <f t="shared" si="65"/>
        <v/>
      </c>
      <c r="N694" s="134"/>
      <c r="O694" s="29"/>
      <c r="P694" s="37" t="str">
        <f t="shared" si="66"/>
        <v/>
      </c>
      <c r="Q694" s="38" t="str">
        <f t="shared" si="67"/>
        <v/>
      </c>
      <c r="R694" s="37" t="str">
        <f t="shared" si="68"/>
        <v/>
      </c>
      <c r="S694" s="37" t="str">
        <f t="shared" si="69"/>
        <v/>
      </c>
      <c r="T694" s="38" t="str">
        <f t="shared" si="70"/>
        <v/>
      </c>
      <c r="U694" s="37" t="str">
        <f t="shared" si="71"/>
        <v/>
      </c>
    </row>
    <row r="695" spans="2:21" ht="17.25">
      <c r="B695" s="156"/>
      <c r="C695" s="156"/>
      <c r="D695" s="157"/>
      <c r="E695" s="155"/>
      <c r="F695" s="151"/>
      <c r="G695" s="152"/>
      <c r="H695" s="153"/>
      <c r="I695" s="154"/>
      <c r="J695" s="154"/>
      <c r="K695" s="30" t="str">
        <f>IF(H695="","",IF($C$30="간이법","",FPR(H695,I695,J695)))</f>
        <v/>
      </c>
      <c r="L695" s="30" t="str">
        <f>IF(H695="","",IF($C$30="상세법",FPV(H695,K695),IF(H695="EI",4,IF(H695="EO",5.2,IF(H695="EQ",3.9,IF(H695="ILF",7.5,IF(H695="EIF",5.4)))))))</f>
        <v/>
      </c>
      <c r="M695" s="30" t="str">
        <f t="shared" si="65"/>
        <v/>
      </c>
      <c r="N695" s="134"/>
      <c r="O695" s="29"/>
      <c r="P695" s="37" t="str">
        <f t="shared" si="66"/>
        <v/>
      </c>
      <c r="Q695" s="38" t="str">
        <f t="shared" si="67"/>
        <v/>
      </c>
      <c r="R695" s="37" t="str">
        <f t="shared" si="68"/>
        <v/>
      </c>
      <c r="S695" s="37" t="str">
        <f t="shared" si="69"/>
        <v/>
      </c>
      <c r="T695" s="38" t="str">
        <f t="shared" si="70"/>
        <v/>
      </c>
      <c r="U695" s="37" t="str">
        <f t="shared" si="71"/>
        <v/>
      </c>
    </row>
    <row r="696" spans="2:21" ht="17.25">
      <c r="B696" s="156"/>
      <c r="C696" s="156"/>
      <c r="D696" s="157"/>
      <c r="E696" s="155"/>
      <c r="F696" s="151"/>
      <c r="G696" s="152"/>
      <c r="H696" s="153"/>
      <c r="I696" s="154"/>
      <c r="J696" s="154"/>
      <c r="K696" s="30" t="str">
        <f>IF(H696="","",IF($C$30="간이법","",FPR(H696,I696,J696)))</f>
        <v/>
      </c>
      <c r="L696" s="30" t="str">
        <f>IF(H696="","",IF($C$30="상세법",FPV(H696,K696),IF(H696="EI",4,IF(H696="EO",5.2,IF(H696="EQ",3.9,IF(H696="ILF",7.5,IF(H696="EIF",5.4)))))))</f>
        <v/>
      </c>
      <c r="M696" s="30" t="str">
        <f t="shared" si="65"/>
        <v/>
      </c>
      <c r="N696" s="134"/>
      <c r="O696" s="29"/>
      <c r="P696" s="37" t="str">
        <f t="shared" si="66"/>
        <v/>
      </c>
      <c r="Q696" s="38" t="str">
        <f t="shared" si="67"/>
        <v/>
      </c>
      <c r="R696" s="37" t="str">
        <f t="shared" si="68"/>
        <v/>
      </c>
      <c r="S696" s="37" t="str">
        <f t="shared" si="69"/>
        <v/>
      </c>
      <c r="T696" s="38" t="str">
        <f t="shared" si="70"/>
        <v/>
      </c>
      <c r="U696" s="37" t="str">
        <f t="shared" si="71"/>
        <v/>
      </c>
    </row>
    <row r="697" spans="2:21" ht="17.25">
      <c r="B697" s="156"/>
      <c r="C697" s="156"/>
      <c r="D697" s="157"/>
      <c r="E697" s="155"/>
      <c r="F697" s="151"/>
      <c r="G697" s="152"/>
      <c r="H697" s="153"/>
      <c r="I697" s="154"/>
      <c r="J697" s="154"/>
      <c r="K697" s="30" t="str">
        <f>IF(H697="","",IF($C$30="간이법","",FPR(H697,I697,J697)))</f>
        <v/>
      </c>
      <c r="L697" s="30" t="str">
        <f>IF(H697="","",IF($C$30="상세법",FPV(H697,K697),IF(H697="EI",4,IF(H697="EO",5.2,IF(H697="EQ",3.9,IF(H697="ILF",7.5,IF(H697="EIF",5.4)))))))</f>
        <v/>
      </c>
      <c r="M697" s="30" t="str">
        <f t="shared" si="65"/>
        <v/>
      </c>
      <c r="N697" s="134"/>
      <c r="O697" s="29"/>
      <c r="P697" s="37" t="str">
        <f t="shared" si="66"/>
        <v/>
      </c>
      <c r="Q697" s="38" t="str">
        <f t="shared" si="67"/>
        <v/>
      </c>
      <c r="R697" s="37" t="str">
        <f t="shared" si="68"/>
        <v/>
      </c>
      <c r="S697" s="37" t="str">
        <f t="shared" si="69"/>
        <v/>
      </c>
      <c r="T697" s="38" t="str">
        <f t="shared" si="70"/>
        <v/>
      </c>
      <c r="U697" s="37" t="str">
        <f t="shared" si="71"/>
        <v/>
      </c>
    </row>
    <row r="698" spans="2:21" ht="17.25">
      <c r="B698" s="156"/>
      <c r="C698" s="156"/>
      <c r="D698" s="157"/>
      <c r="E698" s="155"/>
      <c r="F698" s="151"/>
      <c r="G698" s="152"/>
      <c r="H698" s="153"/>
      <c r="I698" s="154"/>
      <c r="J698" s="154"/>
      <c r="K698" s="30" t="str">
        <f>IF(H698="","",IF($C$30="간이법","",FPR(H698,I698,J698)))</f>
        <v/>
      </c>
      <c r="L698" s="30" t="str">
        <f>IF(H698="","",IF($C$30="상세법",FPV(H698,K698),IF(H698="EI",4,IF(H698="EO",5.2,IF(H698="EQ",3.9,IF(H698="ILF",7.5,IF(H698="EIF",5.4)))))))</f>
        <v/>
      </c>
      <c r="M698" s="30" t="str">
        <f t="shared" si="65"/>
        <v/>
      </c>
      <c r="N698" s="134"/>
      <c r="O698" s="29"/>
      <c r="P698" s="37" t="str">
        <f t="shared" si="66"/>
        <v/>
      </c>
      <c r="Q698" s="38" t="str">
        <f t="shared" si="67"/>
        <v/>
      </c>
      <c r="R698" s="37" t="str">
        <f t="shared" si="68"/>
        <v/>
      </c>
      <c r="S698" s="37" t="str">
        <f t="shared" si="69"/>
        <v/>
      </c>
      <c r="T698" s="38" t="str">
        <f t="shared" si="70"/>
        <v/>
      </c>
      <c r="U698" s="37" t="str">
        <f t="shared" si="71"/>
        <v/>
      </c>
    </row>
    <row r="699" spans="2:21" ht="17.25">
      <c r="B699" s="156"/>
      <c r="C699" s="156"/>
      <c r="D699" s="157"/>
      <c r="E699" s="155"/>
      <c r="F699" s="151"/>
      <c r="G699" s="152"/>
      <c r="H699" s="153"/>
      <c r="I699" s="154"/>
      <c r="J699" s="154"/>
      <c r="K699" s="30" t="str">
        <f>IF(H699="","",IF($C$30="간이법","",FPR(H699,I699,J699)))</f>
        <v/>
      </c>
      <c r="L699" s="30" t="str">
        <f>IF(H699="","",IF($C$30="상세법",FPV(H699,K699),IF(H699="EI",4,IF(H699="EO",5.2,IF(H699="EQ",3.9,IF(H699="ILF",7.5,IF(H699="EIF",5.4)))))))</f>
        <v/>
      </c>
      <c r="M699" s="30" t="str">
        <f t="shared" si="65"/>
        <v/>
      </c>
      <c r="N699" s="134"/>
      <c r="O699" s="29"/>
      <c r="P699" s="37" t="str">
        <f t="shared" si="66"/>
        <v/>
      </c>
      <c r="Q699" s="38" t="str">
        <f t="shared" si="67"/>
        <v/>
      </c>
      <c r="R699" s="37" t="str">
        <f t="shared" si="68"/>
        <v/>
      </c>
      <c r="S699" s="37" t="str">
        <f t="shared" si="69"/>
        <v/>
      </c>
      <c r="T699" s="38" t="str">
        <f t="shared" si="70"/>
        <v/>
      </c>
      <c r="U699" s="37" t="str">
        <f t="shared" si="71"/>
        <v/>
      </c>
    </row>
    <row r="700" spans="2:21" ht="17.25">
      <c r="B700" s="156"/>
      <c r="C700" s="156"/>
      <c r="D700" s="157"/>
      <c r="E700" s="155"/>
      <c r="F700" s="151"/>
      <c r="G700" s="152"/>
      <c r="H700" s="153"/>
      <c r="I700" s="154"/>
      <c r="J700" s="154"/>
      <c r="K700" s="30" t="str">
        <f>IF(H700="","",IF($C$30="간이법","",FPR(H700,I700,J700)))</f>
        <v/>
      </c>
      <c r="L700" s="30" t="str">
        <f>IF(H700="","",IF($C$30="상세법",FPV(H700,K700),IF(H700="EI",4,IF(H700="EO",5.2,IF(H700="EQ",3.9,IF(H700="ILF",7.5,IF(H700="EIF",5.4)))))))</f>
        <v/>
      </c>
      <c r="M700" s="30" t="str">
        <f t="shared" ref="M700:M763" si="72">IF(OR(G700="",$E$36="(선택)",$E$40="(선택)",$E$41="(선택)",F700="신규 개발",F700="수정 없이 재사용"),"",(IF(F700="수정 후 재사용",IF($E$50&lt;=0.5,L700*($E$36+$E$50*100*(1+0.02*($E$40*$E$41)))/100,L700*($E$36+$E$50*100+($E$40*$E$41))/100))))</f>
        <v/>
      </c>
      <c r="N700" s="134"/>
      <c r="O700" s="29"/>
      <c r="P700" s="37" t="str">
        <f t="shared" ref="P700:P763" si="73">IF(F700="수정 후 재사용",IF(H700="ILF",G700,IF(H700="EIF",G700,"")),"")</f>
        <v/>
      </c>
      <c r="Q700" s="38" t="str">
        <f t="shared" ref="Q700:Q763" si="74">IF(P700&lt;&gt;"",IF(H700="ILF", L700/$E$46,IF(H700="EIF", L700/$E$46,"")),"")</f>
        <v/>
      </c>
      <c r="R700" s="37" t="str">
        <f t="shared" ref="R700:R763" si="75">IF(P700&lt;&gt;"",P700*Q700,"")</f>
        <v/>
      </c>
      <c r="S700" s="37" t="str">
        <f t="shared" ref="S700:S763" si="76">IF(F700="수정 후 재사용",IF(H700="EI",G700,IF(H700="EO",G700,IF(H700="EQ",G700,""))),"")</f>
        <v/>
      </c>
      <c r="T700" s="38" t="str">
        <f t="shared" ref="T700:T763" si="77">IF(S700&lt;&gt;"",IF(H700="EI",L700/$E$47,IF(H700="EO",L700/$E$47,IF(H700="EQ",L700/$E$47,""))),"")</f>
        <v/>
      </c>
      <c r="U700" s="37" t="str">
        <f t="shared" ref="U700:U763" si="78">IF(S700&lt;&gt;"",S700*T700,"")</f>
        <v/>
      </c>
    </row>
    <row r="701" spans="2:21" ht="17.25">
      <c r="B701" s="156"/>
      <c r="C701" s="156"/>
      <c r="D701" s="157"/>
      <c r="E701" s="155"/>
      <c r="F701" s="151"/>
      <c r="G701" s="152"/>
      <c r="H701" s="153"/>
      <c r="I701" s="154"/>
      <c r="J701" s="154"/>
      <c r="K701" s="30" t="str">
        <f>IF(H701="","",IF($C$30="간이법","",FPR(H701,I701,J701)))</f>
        <v/>
      </c>
      <c r="L701" s="30" t="str">
        <f>IF(H701="","",IF($C$30="상세법",FPV(H701,K701),IF(H701="EI",4,IF(H701="EO",5.2,IF(H701="EQ",3.9,IF(H701="ILF",7.5,IF(H701="EIF",5.4)))))))</f>
        <v/>
      </c>
      <c r="M701" s="30" t="str">
        <f t="shared" si="72"/>
        <v/>
      </c>
      <c r="N701" s="134"/>
      <c r="O701" s="29"/>
      <c r="P701" s="37" t="str">
        <f t="shared" si="73"/>
        <v/>
      </c>
      <c r="Q701" s="38" t="str">
        <f t="shared" si="74"/>
        <v/>
      </c>
      <c r="R701" s="37" t="str">
        <f t="shared" si="75"/>
        <v/>
      </c>
      <c r="S701" s="37" t="str">
        <f t="shared" si="76"/>
        <v/>
      </c>
      <c r="T701" s="38" t="str">
        <f t="shared" si="77"/>
        <v/>
      </c>
      <c r="U701" s="37" t="str">
        <f t="shared" si="78"/>
        <v/>
      </c>
    </row>
    <row r="702" spans="2:21" ht="17.25">
      <c r="B702" s="156"/>
      <c r="C702" s="156"/>
      <c r="D702" s="157"/>
      <c r="E702" s="155"/>
      <c r="F702" s="151"/>
      <c r="G702" s="152"/>
      <c r="H702" s="153"/>
      <c r="I702" s="154"/>
      <c r="J702" s="154"/>
      <c r="K702" s="30" t="str">
        <f>IF(H702="","",IF($C$30="간이법","",FPR(H702,I702,J702)))</f>
        <v/>
      </c>
      <c r="L702" s="30" t="str">
        <f>IF(H702="","",IF($C$30="상세법",FPV(H702,K702),IF(H702="EI",4,IF(H702="EO",5.2,IF(H702="EQ",3.9,IF(H702="ILF",7.5,IF(H702="EIF",5.4)))))))</f>
        <v/>
      </c>
      <c r="M702" s="30" t="str">
        <f t="shared" si="72"/>
        <v/>
      </c>
      <c r="N702" s="134"/>
      <c r="O702" s="29"/>
      <c r="P702" s="37" t="str">
        <f t="shared" si="73"/>
        <v/>
      </c>
      <c r="Q702" s="38" t="str">
        <f t="shared" si="74"/>
        <v/>
      </c>
      <c r="R702" s="37" t="str">
        <f t="shared" si="75"/>
        <v/>
      </c>
      <c r="S702" s="37" t="str">
        <f t="shared" si="76"/>
        <v/>
      </c>
      <c r="T702" s="38" t="str">
        <f t="shared" si="77"/>
        <v/>
      </c>
      <c r="U702" s="37" t="str">
        <f t="shared" si="78"/>
        <v/>
      </c>
    </row>
    <row r="703" spans="2:21" ht="17.25">
      <c r="B703" s="156"/>
      <c r="C703" s="156"/>
      <c r="D703" s="157"/>
      <c r="E703" s="155"/>
      <c r="F703" s="151"/>
      <c r="G703" s="152"/>
      <c r="H703" s="153"/>
      <c r="I703" s="154"/>
      <c r="J703" s="154"/>
      <c r="K703" s="30" t="str">
        <f>IF(H703="","",IF($C$30="간이법","",FPR(H703,I703,J703)))</f>
        <v/>
      </c>
      <c r="L703" s="30" t="str">
        <f>IF(H703="","",IF($C$30="상세법",FPV(H703,K703),IF(H703="EI",4,IF(H703="EO",5.2,IF(H703="EQ",3.9,IF(H703="ILF",7.5,IF(H703="EIF",5.4)))))))</f>
        <v/>
      </c>
      <c r="M703" s="30" t="str">
        <f t="shared" si="72"/>
        <v/>
      </c>
      <c r="N703" s="134"/>
      <c r="O703" s="29"/>
      <c r="P703" s="37" t="str">
        <f t="shared" si="73"/>
        <v/>
      </c>
      <c r="Q703" s="38" t="str">
        <f t="shared" si="74"/>
        <v/>
      </c>
      <c r="R703" s="37" t="str">
        <f t="shared" si="75"/>
        <v/>
      </c>
      <c r="S703" s="37" t="str">
        <f t="shared" si="76"/>
        <v/>
      </c>
      <c r="T703" s="38" t="str">
        <f t="shared" si="77"/>
        <v/>
      </c>
      <c r="U703" s="37" t="str">
        <f t="shared" si="78"/>
        <v/>
      </c>
    </row>
    <row r="704" spans="2:21" ht="17.25">
      <c r="B704" s="156"/>
      <c r="C704" s="156"/>
      <c r="D704" s="157"/>
      <c r="E704" s="155"/>
      <c r="F704" s="151"/>
      <c r="G704" s="152"/>
      <c r="H704" s="153"/>
      <c r="I704" s="154"/>
      <c r="J704" s="154"/>
      <c r="K704" s="30" t="str">
        <f>IF(H704="","",IF($C$30="간이법","",FPR(H704,I704,J704)))</f>
        <v/>
      </c>
      <c r="L704" s="30" t="str">
        <f>IF(H704="","",IF($C$30="상세법",FPV(H704,K704),IF(H704="EI",4,IF(H704="EO",5.2,IF(H704="EQ",3.9,IF(H704="ILF",7.5,IF(H704="EIF",5.4)))))))</f>
        <v/>
      </c>
      <c r="M704" s="30" t="str">
        <f t="shared" si="72"/>
        <v/>
      </c>
      <c r="N704" s="134"/>
      <c r="O704" s="29"/>
      <c r="P704" s="37" t="str">
        <f t="shared" si="73"/>
        <v/>
      </c>
      <c r="Q704" s="38" t="str">
        <f t="shared" si="74"/>
        <v/>
      </c>
      <c r="R704" s="37" t="str">
        <f t="shared" si="75"/>
        <v/>
      </c>
      <c r="S704" s="37" t="str">
        <f t="shared" si="76"/>
        <v/>
      </c>
      <c r="T704" s="38" t="str">
        <f t="shared" si="77"/>
        <v/>
      </c>
      <c r="U704" s="37" t="str">
        <f t="shared" si="78"/>
        <v/>
      </c>
    </row>
    <row r="705" spans="2:21" ht="17.25">
      <c r="B705" s="156"/>
      <c r="C705" s="156"/>
      <c r="D705" s="157"/>
      <c r="E705" s="155"/>
      <c r="F705" s="151"/>
      <c r="G705" s="152"/>
      <c r="H705" s="153"/>
      <c r="I705" s="154"/>
      <c r="J705" s="154"/>
      <c r="K705" s="30" t="str">
        <f>IF(H705="","",IF($C$30="간이법","",FPR(H705,I705,J705)))</f>
        <v/>
      </c>
      <c r="L705" s="30" t="str">
        <f>IF(H705="","",IF($C$30="상세법",FPV(H705,K705),IF(H705="EI",4,IF(H705="EO",5.2,IF(H705="EQ",3.9,IF(H705="ILF",7.5,IF(H705="EIF",5.4)))))))</f>
        <v/>
      </c>
      <c r="M705" s="30" t="str">
        <f t="shared" si="72"/>
        <v/>
      </c>
      <c r="N705" s="134"/>
      <c r="O705" s="29"/>
      <c r="P705" s="37" t="str">
        <f t="shared" si="73"/>
        <v/>
      </c>
      <c r="Q705" s="38" t="str">
        <f t="shared" si="74"/>
        <v/>
      </c>
      <c r="R705" s="37" t="str">
        <f t="shared" si="75"/>
        <v/>
      </c>
      <c r="S705" s="37" t="str">
        <f t="shared" si="76"/>
        <v/>
      </c>
      <c r="T705" s="38" t="str">
        <f t="shared" si="77"/>
        <v/>
      </c>
      <c r="U705" s="37" t="str">
        <f t="shared" si="78"/>
        <v/>
      </c>
    </row>
    <row r="706" spans="2:21" ht="17.25">
      <c r="B706" s="156"/>
      <c r="C706" s="156"/>
      <c r="D706" s="157"/>
      <c r="E706" s="155"/>
      <c r="F706" s="151"/>
      <c r="G706" s="152"/>
      <c r="H706" s="153"/>
      <c r="I706" s="154"/>
      <c r="J706" s="154"/>
      <c r="K706" s="30" t="str">
        <f>IF(H706="","",IF($C$30="간이법","",FPR(H706,I706,J706)))</f>
        <v/>
      </c>
      <c r="L706" s="30" t="str">
        <f>IF(H706="","",IF($C$30="상세법",FPV(H706,K706),IF(H706="EI",4,IF(H706="EO",5.2,IF(H706="EQ",3.9,IF(H706="ILF",7.5,IF(H706="EIF",5.4)))))))</f>
        <v/>
      </c>
      <c r="M706" s="30" t="str">
        <f t="shared" si="72"/>
        <v/>
      </c>
      <c r="N706" s="134"/>
      <c r="O706" s="29"/>
      <c r="P706" s="37" t="str">
        <f t="shared" si="73"/>
        <v/>
      </c>
      <c r="Q706" s="38" t="str">
        <f t="shared" si="74"/>
        <v/>
      </c>
      <c r="R706" s="37" t="str">
        <f t="shared" si="75"/>
        <v/>
      </c>
      <c r="S706" s="37" t="str">
        <f t="shared" si="76"/>
        <v/>
      </c>
      <c r="T706" s="38" t="str">
        <f t="shared" si="77"/>
        <v/>
      </c>
      <c r="U706" s="37" t="str">
        <f t="shared" si="78"/>
        <v/>
      </c>
    </row>
    <row r="707" spans="2:21" ht="17.25">
      <c r="B707" s="156"/>
      <c r="C707" s="156"/>
      <c r="D707" s="157"/>
      <c r="E707" s="155"/>
      <c r="F707" s="151"/>
      <c r="G707" s="152"/>
      <c r="H707" s="153"/>
      <c r="I707" s="154"/>
      <c r="J707" s="154"/>
      <c r="K707" s="30" t="str">
        <f>IF(H707="","",IF($C$30="간이법","",FPR(H707,I707,J707)))</f>
        <v/>
      </c>
      <c r="L707" s="30" t="str">
        <f>IF(H707="","",IF($C$30="상세법",FPV(H707,K707),IF(H707="EI",4,IF(H707="EO",5.2,IF(H707="EQ",3.9,IF(H707="ILF",7.5,IF(H707="EIF",5.4)))))))</f>
        <v/>
      </c>
      <c r="M707" s="30" t="str">
        <f t="shared" si="72"/>
        <v/>
      </c>
      <c r="N707" s="134"/>
      <c r="O707" s="29"/>
      <c r="P707" s="37" t="str">
        <f t="shared" si="73"/>
        <v/>
      </c>
      <c r="Q707" s="38" t="str">
        <f t="shared" si="74"/>
        <v/>
      </c>
      <c r="R707" s="37" t="str">
        <f t="shared" si="75"/>
        <v/>
      </c>
      <c r="S707" s="37" t="str">
        <f t="shared" si="76"/>
        <v/>
      </c>
      <c r="T707" s="38" t="str">
        <f t="shared" si="77"/>
        <v/>
      </c>
      <c r="U707" s="37" t="str">
        <f t="shared" si="78"/>
        <v/>
      </c>
    </row>
    <row r="708" spans="2:21" ht="17.25">
      <c r="B708" s="156"/>
      <c r="C708" s="156"/>
      <c r="D708" s="157"/>
      <c r="E708" s="155"/>
      <c r="F708" s="151"/>
      <c r="G708" s="152"/>
      <c r="H708" s="153"/>
      <c r="I708" s="154"/>
      <c r="J708" s="154"/>
      <c r="K708" s="30" t="str">
        <f>IF(H708="","",IF($C$30="간이법","",FPR(H708,I708,J708)))</f>
        <v/>
      </c>
      <c r="L708" s="30" t="str">
        <f>IF(H708="","",IF($C$30="상세법",FPV(H708,K708),IF(H708="EI",4,IF(H708="EO",5.2,IF(H708="EQ",3.9,IF(H708="ILF",7.5,IF(H708="EIF",5.4)))))))</f>
        <v/>
      </c>
      <c r="M708" s="30" t="str">
        <f t="shared" si="72"/>
        <v/>
      </c>
      <c r="N708" s="134"/>
      <c r="O708" s="29"/>
      <c r="P708" s="37" t="str">
        <f t="shared" si="73"/>
        <v/>
      </c>
      <c r="Q708" s="38" t="str">
        <f t="shared" si="74"/>
        <v/>
      </c>
      <c r="R708" s="37" t="str">
        <f t="shared" si="75"/>
        <v/>
      </c>
      <c r="S708" s="37" t="str">
        <f t="shared" si="76"/>
        <v/>
      </c>
      <c r="T708" s="38" t="str">
        <f t="shared" si="77"/>
        <v/>
      </c>
      <c r="U708" s="37" t="str">
        <f t="shared" si="78"/>
        <v/>
      </c>
    </row>
    <row r="709" spans="2:21" ht="17.25">
      <c r="B709" s="156"/>
      <c r="C709" s="156"/>
      <c r="D709" s="157"/>
      <c r="E709" s="155"/>
      <c r="F709" s="151"/>
      <c r="G709" s="152"/>
      <c r="H709" s="153"/>
      <c r="I709" s="154"/>
      <c r="J709" s="154"/>
      <c r="K709" s="30" t="str">
        <f>IF(H709="","",IF($C$30="간이법","",FPR(H709,I709,J709)))</f>
        <v/>
      </c>
      <c r="L709" s="30" t="str">
        <f>IF(H709="","",IF($C$30="상세법",FPV(H709,K709),IF(H709="EI",4,IF(H709="EO",5.2,IF(H709="EQ",3.9,IF(H709="ILF",7.5,IF(H709="EIF",5.4)))))))</f>
        <v/>
      </c>
      <c r="M709" s="30" t="str">
        <f t="shared" si="72"/>
        <v/>
      </c>
      <c r="N709" s="134"/>
      <c r="O709" s="29"/>
      <c r="P709" s="37" t="str">
        <f t="shared" si="73"/>
        <v/>
      </c>
      <c r="Q709" s="38" t="str">
        <f t="shared" si="74"/>
        <v/>
      </c>
      <c r="R709" s="37" t="str">
        <f t="shared" si="75"/>
        <v/>
      </c>
      <c r="S709" s="37" t="str">
        <f t="shared" si="76"/>
        <v/>
      </c>
      <c r="T709" s="38" t="str">
        <f t="shared" si="77"/>
        <v/>
      </c>
      <c r="U709" s="37" t="str">
        <f t="shared" si="78"/>
        <v/>
      </c>
    </row>
    <row r="710" spans="2:21" ht="17.25">
      <c r="B710" s="156"/>
      <c r="C710" s="156"/>
      <c r="D710" s="157"/>
      <c r="E710" s="155"/>
      <c r="F710" s="151"/>
      <c r="G710" s="152"/>
      <c r="H710" s="153"/>
      <c r="I710" s="154"/>
      <c r="J710" s="154"/>
      <c r="K710" s="30" t="str">
        <f>IF(H710="","",IF($C$30="간이법","",FPR(H710,I710,J710)))</f>
        <v/>
      </c>
      <c r="L710" s="30" t="str">
        <f>IF(H710="","",IF($C$30="상세법",FPV(H710,K710),IF(H710="EI",4,IF(H710="EO",5.2,IF(H710="EQ",3.9,IF(H710="ILF",7.5,IF(H710="EIF",5.4)))))))</f>
        <v/>
      </c>
      <c r="M710" s="30" t="str">
        <f t="shared" si="72"/>
        <v/>
      </c>
      <c r="N710" s="134"/>
      <c r="O710" s="29"/>
      <c r="P710" s="37" t="str">
        <f t="shared" si="73"/>
        <v/>
      </c>
      <c r="Q710" s="38" t="str">
        <f t="shared" si="74"/>
        <v/>
      </c>
      <c r="R710" s="37" t="str">
        <f t="shared" si="75"/>
        <v/>
      </c>
      <c r="S710" s="37" t="str">
        <f t="shared" si="76"/>
        <v/>
      </c>
      <c r="T710" s="38" t="str">
        <f t="shared" si="77"/>
        <v/>
      </c>
      <c r="U710" s="37" t="str">
        <f t="shared" si="78"/>
        <v/>
      </c>
    </row>
    <row r="711" spans="2:21" ht="17.25">
      <c r="B711" s="156"/>
      <c r="C711" s="156"/>
      <c r="D711" s="157"/>
      <c r="E711" s="155"/>
      <c r="F711" s="151"/>
      <c r="G711" s="152"/>
      <c r="H711" s="153"/>
      <c r="I711" s="154"/>
      <c r="J711" s="154"/>
      <c r="K711" s="30" t="str">
        <f>IF(H711="","",IF($C$30="간이법","",FPR(H711,I711,J711)))</f>
        <v/>
      </c>
      <c r="L711" s="30" t="str">
        <f>IF(H711="","",IF($C$30="상세법",FPV(H711,K711),IF(H711="EI",4,IF(H711="EO",5.2,IF(H711="EQ",3.9,IF(H711="ILF",7.5,IF(H711="EIF",5.4)))))))</f>
        <v/>
      </c>
      <c r="M711" s="30" t="str">
        <f t="shared" si="72"/>
        <v/>
      </c>
      <c r="N711" s="134"/>
      <c r="O711" s="29"/>
      <c r="P711" s="37" t="str">
        <f t="shared" si="73"/>
        <v/>
      </c>
      <c r="Q711" s="38" t="str">
        <f t="shared" si="74"/>
        <v/>
      </c>
      <c r="R711" s="37" t="str">
        <f t="shared" si="75"/>
        <v/>
      </c>
      <c r="S711" s="37" t="str">
        <f t="shared" si="76"/>
        <v/>
      </c>
      <c r="T711" s="38" t="str">
        <f t="shared" si="77"/>
        <v/>
      </c>
      <c r="U711" s="37" t="str">
        <f t="shared" si="78"/>
        <v/>
      </c>
    </row>
    <row r="712" spans="2:21" ht="17.25">
      <c r="B712" s="156"/>
      <c r="C712" s="156"/>
      <c r="D712" s="157"/>
      <c r="E712" s="155"/>
      <c r="F712" s="151"/>
      <c r="G712" s="152"/>
      <c r="H712" s="153"/>
      <c r="I712" s="154"/>
      <c r="J712" s="154"/>
      <c r="K712" s="30" t="str">
        <f>IF(H712="","",IF($C$30="간이법","",FPR(H712,I712,J712)))</f>
        <v/>
      </c>
      <c r="L712" s="30" t="str">
        <f>IF(H712="","",IF($C$30="상세법",FPV(H712,K712),IF(H712="EI",4,IF(H712="EO",5.2,IF(H712="EQ",3.9,IF(H712="ILF",7.5,IF(H712="EIF",5.4)))))))</f>
        <v/>
      </c>
      <c r="M712" s="30" t="str">
        <f t="shared" si="72"/>
        <v/>
      </c>
      <c r="N712" s="134"/>
      <c r="O712" s="29"/>
      <c r="P712" s="37" t="str">
        <f t="shared" si="73"/>
        <v/>
      </c>
      <c r="Q712" s="38" t="str">
        <f t="shared" si="74"/>
        <v/>
      </c>
      <c r="R712" s="37" t="str">
        <f t="shared" si="75"/>
        <v/>
      </c>
      <c r="S712" s="37" t="str">
        <f t="shared" si="76"/>
        <v/>
      </c>
      <c r="T712" s="38" t="str">
        <f t="shared" si="77"/>
        <v/>
      </c>
      <c r="U712" s="37" t="str">
        <f t="shared" si="78"/>
        <v/>
      </c>
    </row>
    <row r="713" spans="2:21" ht="17.25">
      <c r="B713" s="156"/>
      <c r="C713" s="156"/>
      <c r="D713" s="157"/>
      <c r="E713" s="155"/>
      <c r="F713" s="151"/>
      <c r="G713" s="152"/>
      <c r="H713" s="153"/>
      <c r="I713" s="154"/>
      <c r="J713" s="154"/>
      <c r="K713" s="30" t="str">
        <f>IF(H713="","",IF($C$30="간이법","",FPR(H713,I713,J713)))</f>
        <v/>
      </c>
      <c r="L713" s="30" t="str">
        <f>IF(H713="","",IF($C$30="상세법",FPV(H713,K713),IF(H713="EI",4,IF(H713="EO",5.2,IF(H713="EQ",3.9,IF(H713="ILF",7.5,IF(H713="EIF",5.4)))))))</f>
        <v/>
      </c>
      <c r="M713" s="30" t="str">
        <f t="shared" si="72"/>
        <v/>
      </c>
      <c r="N713" s="134"/>
      <c r="O713" s="29"/>
      <c r="P713" s="37" t="str">
        <f t="shared" si="73"/>
        <v/>
      </c>
      <c r="Q713" s="38" t="str">
        <f t="shared" si="74"/>
        <v/>
      </c>
      <c r="R713" s="37" t="str">
        <f t="shared" si="75"/>
        <v/>
      </c>
      <c r="S713" s="37" t="str">
        <f t="shared" si="76"/>
        <v/>
      </c>
      <c r="T713" s="38" t="str">
        <f t="shared" si="77"/>
        <v/>
      </c>
      <c r="U713" s="37" t="str">
        <f t="shared" si="78"/>
        <v/>
      </c>
    </row>
    <row r="714" spans="2:21" ht="17.25">
      <c r="B714" s="156"/>
      <c r="C714" s="156"/>
      <c r="D714" s="157"/>
      <c r="E714" s="155"/>
      <c r="F714" s="151"/>
      <c r="G714" s="152"/>
      <c r="H714" s="153"/>
      <c r="I714" s="154"/>
      <c r="J714" s="154"/>
      <c r="K714" s="30" t="str">
        <f>IF(H714="","",IF($C$30="간이법","",FPR(H714,I714,J714)))</f>
        <v/>
      </c>
      <c r="L714" s="30" t="str">
        <f>IF(H714="","",IF($C$30="상세법",FPV(H714,K714),IF(H714="EI",4,IF(H714="EO",5.2,IF(H714="EQ",3.9,IF(H714="ILF",7.5,IF(H714="EIF",5.4)))))))</f>
        <v/>
      </c>
      <c r="M714" s="30" t="str">
        <f t="shared" si="72"/>
        <v/>
      </c>
      <c r="N714" s="134"/>
      <c r="O714" s="29"/>
      <c r="P714" s="37" t="str">
        <f t="shared" si="73"/>
        <v/>
      </c>
      <c r="Q714" s="38" t="str">
        <f t="shared" si="74"/>
        <v/>
      </c>
      <c r="R714" s="37" t="str">
        <f t="shared" si="75"/>
        <v/>
      </c>
      <c r="S714" s="37" t="str">
        <f t="shared" si="76"/>
        <v/>
      </c>
      <c r="T714" s="38" t="str">
        <f t="shared" si="77"/>
        <v/>
      </c>
      <c r="U714" s="37" t="str">
        <f t="shared" si="78"/>
        <v/>
      </c>
    </row>
    <row r="715" spans="2:21" ht="17.25">
      <c r="B715" s="156"/>
      <c r="C715" s="156"/>
      <c r="D715" s="157"/>
      <c r="E715" s="155"/>
      <c r="F715" s="151"/>
      <c r="G715" s="152"/>
      <c r="H715" s="153"/>
      <c r="I715" s="154"/>
      <c r="J715" s="154"/>
      <c r="K715" s="30" t="str">
        <f>IF(H715="","",IF($C$30="간이법","",FPR(H715,I715,J715)))</f>
        <v/>
      </c>
      <c r="L715" s="30" t="str">
        <f>IF(H715="","",IF($C$30="상세법",FPV(H715,K715),IF(H715="EI",4,IF(H715="EO",5.2,IF(H715="EQ",3.9,IF(H715="ILF",7.5,IF(H715="EIF",5.4)))))))</f>
        <v/>
      </c>
      <c r="M715" s="30" t="str">
        <f t="shared" si="72"/>
        <v/>
      </c>
      <c r="N715" s="134"/>
      <c r="O715" s="29"/>
      <c r="P715" s="37" t="str">
        <f t="shared" si="73"/>
        <v/>
      </c>
      <c r="Q715" s="38" t="str">
        <f t="shared" si="74"/>
        <v/>
      </c>
      <c r="R715" s="37" t="str">
        <f t="shared" si="75"/>
        <v/>
      </c>
      <c r="S715" s="37" t="str">
        <f t="shared" si="76"/>
        <v/>
      </c>
      <c r="T715" s="38" t="str">
        <f t="shared" si="77"/>
        <v/>
      </c>
      <c r="U715" s="37" t="str">
        <f t="shared" si="78"/>
        <v/>
      </c>
    </row>
    <row r="716" spans="2:21" ht="17.25">
      <c r="B716" s="156"/>
      <c r="C716" s="156"/>
      <c r="D716" s="157"/>
      <c r="E716" s="155"/>
      <c r="F716" s="151"/>
      <c r="G716" s="152"/>
      <c r="H716" s="153"/>
      <c r="I716" s="154"/>
      <c r="J716" s="154"/>
      <c r="K716" s="30" t="str">
        <f>IF(H716="","",IF($C$30="간이법","",FPR(H716,I716,J716)))</f>
        <v/>
      </c>
      <c r="L716" s="30" t="str">
        <f>IF(H716="","",IF($C$30="상세법",FPV(H716,K716),IF(H716="EI",4,IF(H716="EO",5.2,IF(H716="EQ",3.9,IF(H716="ILF",7.5,IF(H716="EIF",5.4)))))))</f>
        <v/>
      </c>
      <c r="M716" s="30" t="str">
        <f t="shared" si="72"/>
        <v/>
      </c>
      <c r="N716" s="134"/>
      <c r="O716" s="29"/>
      <c r="P716" s="37" t="str">
        <f t="shared" si="73"/>
        <v/>
      </c>
      <c r="Q716" s="38" t="str">
        <f t="shared" si="74"/>
        <v/>
      </c>
      <c r="R716" s="37" t="str">
        <f t="shared" si="75"/>
        <v/>
      </c>
      <c r="S716" s="37" t="str">
        <f t="shared" si="76"/>
        <v/>
      </c>
      <c r="T716" s="38" t="str">
        <f t="shared" si="77"/>
        <v/>
      </c>
      <c r="U716" s="37" t="str">
        <f t="shared" si="78"/>
        <v/>
      </c>
    </row>
    <row r="717" spans="2:21" ht="17.25">
      <c r="B717" s="156"/>
      <c r="C717" s="156"/>
      <c r="D717" s="157"/>
      <c r="E717" s="155"/>
      <c r="F717" s="151"/>
      <c r="G717" s="152"/>
      <c r="H717" s="153"/>
      <c r="I717" s="154"/>
      <c r="J717" s="154"/>
      <c r="K717" s="30" t="str">
        <f>IF(H717="","",IF($C$30="간이법","",FPR(H717,I717,J717)))</f>
        <v/>
      </c>
      <c r="L717" s="30" t="str">
        <f>IF(H717="","",IF($C$30="상세법",FPV(H717,K717),IF(H717="EI",4,IF(H717="EO",5.2,IF(H717="EQ",3.9,IF(H717="ILF",7.5,IF(H717="EIF",5.4)))))))</f>
        <v/>
      </c>
      <c r="M717" s="30" t="str">
        <f t="shared" si="72"/>
        <v/>
      </c>
      <c r="N717" s="134"/>
      <c r="O717" s="29"/>
      <c r="P717" s="37" t="str">
        <f t="shared" si="73"/>
        <v/>
      </c>
      <c r="Q717" s="38" t="str">
        <f t="shared" si="74"/>
        <v/>
      </c>
      <c r="R717" s="37" t="str">
        <f t="shared" si="75"/>
        <v/>
      </c>
      <c r="S717" s="37" t="str">
        <f t="shared" si="76"/>
        <v/>
      </c>
      <c r="T717" s="38" t="str">
        <f t="shared" si="77"/>
        <v/>
      </c>
      <c r="U717" s="37" t="str">
        <f t="shared" si="78"/>
        <v/>
      </c>
    </row>
    <row r="718" spans="2:21" ht="17.25">
      <c r="B718" s="156"/>
      <c r="C718" s="156"/>
      <c r="D718" s="157"/>
      <c r="E718" s="155"/>
      <c r="F718" s="151"/>
      <c r="G718" s="152"/>
      <c r="H718" s="153"/>
      <c r="I718" s="154"/>
      <c r="J718" s="154"/>
      <c r="K718" s="30" t="str">
        <f>IF(H718="","",IF($C$30="간이법","",FPR(H718,I718,J718)))</f>
        <v/>
      </c>
      <c r="L718" s="30" t="str">
        <f>IF(H718="","",IF($C$30="상세법",FPV(H718,K718),IF(H718="EI",4,IF(H718="EO",5.2,IF(H718="EQ",3.9,IF(H718="ILF",7.5,IF(H718="EIF",5.4)))))))</f>
        <v/>
      </c>
      <c r="M718" s="30" t="str">
        <f t="shared" si="72"/>
        <v/>
      </c>
      <c r="N718" s="134"/>
      <c r="O718" s="29"/>
      <c r="P718" s="37" t="str">
        <f t="shared" si="73"/>
        <v/>
      </c>
      <c r="Q718" s="38" t="str">
        <f t="shared" si="74"/>
        <v/>
      </c>
      <c r="R718" s="37" t="str">
        <f t="shared" si="75"/>
        <v/>
      </c>
      <c r="S718" s="37" t="str">
        <f t="shared" si="76"/>
        <v/>
      </c>
      <c r="T718" s="38" t="str">
        <f t="shared" si="77"/>
        <v/>
      </c>
      <c r="U718" s="37" t="str">
        <f t="shared" si="78"/>
        <v/>
      </c>
    </row>
    <row r="719" spans="2:21" ht="17.25">
      <c r="B719" s="156"/>
      <c r="C719" s="156"/>
      <c r="D719" s="157"/>
      <c r="E719" s="155"/>
      <c r="F719" s="151"/>
      <c r="G719" s="152"/>
      <c r="H719" s="153"/>
      <c r="I719" s="154"/>
      <c r="J719" s="154"/>
      <c r="K719" s="30" t="str">
        <f>IF(H719="","",IF($C$30="간이법","",FPR(H719,I719,J719)))</f>
        <v/>
      </c>
      <c r="L719" s="30" t="str">
        <f>IF(H719="","",IF($C$30="상세법",FPV(H719,K719),IF(H719="EI",4,IF(H719="EO",5.2,IF(H719="EQ",3.9,IF(H719="ILF",7.5,IF(H719="EIF",5.4)))))))</f>
        <v/>
      </c>
      <c r="M719" s="30" t="str">
        <f t="shared" si="72"/>
        <v/>
      </c>
      <c r="N719" s="134"/>
      <c r="O719" s="29"/>
      <c r="P719" s="37" t="str">
        <f t="shared" si="73"/>
        <v/>
      </c>
      <c r="Q719" s="38" t="str">
        <f t="shared" si="74"/>
        <v/>
      </c>
      <c r="R719" s="37" t="str">
        <f t="shared" si="75"/>
        <v/>
      </c>
      <c r="S719" s="37" t="str">
        <f t="shared" si="76"/>
        <v/>
      </c>
      <c r="T719" s="38" t="str">
        <f t="shared" si="77"/>
        <v/>
      </c>
      <c r="U719" s="37" t="str">
        <f t="shared" si="78"/>
        <v/>
      </c>
    </row>
    <row r="720" spans="2:21" ht="17.25">
      <c r="B720" s="156"/>
      <c r="C720" s="156"/>
      <c r="D720" s="157"/>
      <c r="E720" s="155"/>
      <c r="F720" s="151"/>
      <c r="G720" s="152"/>
      <c r="H720" s="153"/>
      <c r="I720" s="154"/>
      <c r="J720" s="154"/>
      <c r="K720" s="30" t="str">
        <f>IF(H720="","",IF($C$30="간이법","",FPR(H720,I720,J720)))</f>
        <v/>
      </c>
      <c r="L720" s="30" t="str">
        <f>IF(H720="","",IF($C$30="상세법",FPV(H720,K720),IF(H720="EI",4,IF(H720="EO",5.2,IF(H720="EQ",3.9,IF(H720="ILF",7.5,IF(H720="EIF",5.4)))))))</f>
        <v/>
      </c>
      <c r="M720" s="30" t="str">
        <f t="shared" si="72"/>
        <v/>
      </c>
      <c r="N720" s="134"/>
      <c r="O720" s="29"/>
      <c r="P720" s="37" t="str">
        <f t="shared" si="73"/>
        <v/>
      </c>
      <c r="Q720" s="38" t="str">
        <f t="shared" si="74"/>
        <v/>
      </c>
      <c r="R720" s="37" t="str">
        <f t="shared" si="75"/>
        <v/>
      </c>
      <c r="S720" s="37" t="str">
        <f t="shared" si="76"/>
        <v/>
      </c>
      <c r="T720" s="38" t="str">
        <f t="shared" si="77"/>
        <v/>
      </c>
      <c r="U720" s="37" t="str">
        <f t="shared" si="78"/>
        <v/>
      </c>
    </row>
    <row r="721" spans="2:21" ht="17.25">
      <c r="B721" s="156"/>
      <c r="C721" s="156"/>
      <c r="D721" s="157"/>
      <c r="E721" s="155"/>
      <c r="F721" s="151"/>
      <c r="G721" s="152"/>
      <c r="H721" s="153"/>
      <c r="I721" s="154"/>
      <c r="J721" s="154"/>
      <c r="K721" s="30" t="str">
        <f>IF(H721="","",IF($C$30="간이법","",FPR(H721,I721,J721)))</f>
        <v/>
      </c>
      <c r="L721" s="30" t="str">
        <f>IF(H721="","",IF($C$30="상세법",FPV(H721,K721),IF(H721="EI",4,IF(H721="EO",5.2,IF(H721="EQ",3.9,IF(H721="ILF",7.5,IF(H721="EIF",5.4)))))))</f>
        <v/>
      </c>
      <c r="M721" s="30" t="str">
        <f t="shared" si="72"/>
        <v/>
      </c>
      <c r="N721" s="134"/>
      <c r="O721" s="29"/>
      <c r="P721" s="37" t="str">
        <f t="shared" si="73"/>
        <v/>
      </c>
      <c r="Q721" s="38" t="str">
        <f t="shared" si="74"/>
        <v/>
      </c>
      <c r="R721" s="37" t="str">
        <f t="shared" si="75"/>
        <v/>
      </c>
      <c r="S721" s="37" t="str">
        <f t="shared" si="76"/>
        <v/>
      </c>
      <c r="T721" s="38" t="str">
        <f t="shared" si="77"/>
        <v/>
      </c>
      <c r="U721" s="37" t="str">
        <f t="shared" si="78"/>
        <v/>
      </c>
    </row>
    <row r="722" spans="2:21" ht="17.25">
      <c r="B722" s="156"/>
      <c r="C722" s="156"/>
      <c r="D722" s="157"/>
      <c r="E722" s="155"/>
      <c r="F722" s="151"/>
      <c r="G722" s="152"/>
      <c r="H722" s="153"/>
      <c r="I722" s="154"/>
      <c r="J722" s="154"/>
      <c r="K722" s="30" t="str">
        <f>IF(H722="","",IF($C$30="간이법","",FPR(H722,I722,J722)))</f>
        <v/>
      </c>
      <c r="L722" s="30" t="str">
        <f>IF(H722="","",IF($C$30="상세법",FPV(H722,K722),IF(H722="EI",4,IF(H722="EO",5.2,IF(H722="EQ",3.9,IF(H722="ILF",7.5,IF(H722="EIF",5.4)))))))</f>
        <v/>
      </c>
      <c r="M722" s="30" t="str">
        <f t="shared" si="72"/>
        <v/>
      </c>
      <c r="N722" s="134"/>
      <c r="O722" s="29"/>
      <c r="P722" s="37" t="str">
        <f t="shared" si="73"/>
        <v/>
      </c>
      <c r="Q722" s="38" t="str">
        <f t="shared" si="74"/>
        <v/>
      </c>
      <c r="R722" s="37" t="str">
        <f t="shared" si="75"/>
        <v/>
      </c>
      <c r="S722" s="37" t="str">
        <f t="shared" si="76"/>
        <v/>
      </c>
      <c r="T722" s="38" t="str">
        <f t="shared" si="77"/>
        <v/>
      </c>
      <c r="U722" s="37" t="str">
        <f t="shared" si="78"/>
        <v/>
      </c>
    </row>
    <row r="723" spans="2:21" ht="17.25">
      <c r="B723" s="156"/>
      <c r="C723" s="156"/>
      <c r="D723" s="157"/>
      <c r="E723" s="155"/>
      <c r="F723" s="151"/>
      <c r="G723" s="152"/>
      <c r="H723" s="153"/>
      <c r="I723" s="154"/>
      <c r="J723" s="154"/>
      <c r="K723" s="30" t="str">
        <f>IF(H723="","",IF($C$30="간이법","",FPR(H723,I723,J723)))</f>
        <v/>
      </c>
      <c r="L723" s="30" t="str">
        <f>IF(H723="","",IF($C$30="상세법",FPV(H723,K723),IF(H723="EI",4,IF(H723="EO",5.2,IF(H723="EQ",3.9,IF(H723="ILF",7.5,IF(H723="EIF",5.4)))))))</f>
        <v/>
      </c>
      <c r="M723" s="30" t="str">
        <f t="shared" si="72"/>
        <v/>
      </c>
      <c r="N723" s="134"/>
      <c r="O723" s="29"/>
      <c r="P723" s="37" t="str">
        <f t="shared" si="73"/>
        <v/>
      </c>
      <c r="Q723" s="38" t="str">
        <f t="shared" si="74"/>
        <v/>
      </c>
      <c r="R723" s="37" t="str">
        <f t="shared" si="75"/>
        <v/>
      </c>
      <c r="S723" s="37" t="str">
        <f t="shared" si="76"/>
        <v/>
      </c>
      <c r="T723" s="38" t="str">
        <f t="shared" si="77"/>
        <v/>
      </c>
      <c r="U723" s="37" t="str">
        <f t="shared" si="78"/>
        <v/>
      </c>
    </row>
    <row r="724" spans="2:21" ht="17.25">
      <c r="B724" s="156"/>
      <c r="C724" s="156"/>
      <c r="D724" s="157"/>
      <c r="E724" s="155"/>
      <c r="F724" s="151"/>
      <c r="G724" s="152"/>
      <c r="H724" s="153"/>
      <c r="I724" s="154"/>
      <c r="J724" s="154"/>
      <c r="K724" s="30" t="str">
        <f>IF(H724="","",IF($C$30="간이법","",FPR(H724,I724,J724)))</f>
        <v/>
      </c>
      <c r="L724" s="30" t="str">
        <f>IF(H724="","",IF($C$30="상세법",FPV(H724,K724),IF(H724="EI",4,IF(H724="EO",5.2,IF(H724="EQ",3.9,IF(H724="ILF",7.5,IF(H724="EIF",5.4)))))))</f>
        <v/>
      </c>
      <c r="M724" s="30" t="str">
        <f t="shared" si="72"/>
        <v/>
      </c>
      <c r="N724" s="134"/>
      <c r="O724" s="29"/>
      <c r="P724" s="37" t="str">
        <f t="shared" si="73"/>
        <v/>
      </c>
      <c r="Q724" s="38" t="str">
        <f t="shared" si="74"/>
        <v/>
      </c>
      <c r="R724" s="37" t="str">
        <f t="shared" si="75"/>
        <v/>
      </c>
      <c r="S724" s="37" t="str">
        <f t="shared" si="76"/>
        <v/>
      </c>
      <c r="T724" s="38" t="str">
        <f t="shared" si="77"/>
        <v/>
      </c>
      <c r="U724" s="37" t="str">
        <f t="shared" si="78"/>
        <v/>
      </c>
    </row>
    <row r="725" spans="2:21" ht="17.25">
      <c r="B725" s="156"/>
      <c r="C725" s="156"/>
      <c r="D725" s="157"/>
      <c r="E725" s="155"/>
      <c r="F725" s="151"/>
      <c r="G725" s="152"/>
      <c r="H725" s="153"/>
      <c r="I725" s="154"/>
      <c r="J725" s="154"/>
      <c r="K725" s="30" t="str">
        <f>IF(H725="","",IF($C$30="간이법","",FPR(H725,I725,J725)))</f>
        <v/>
      </c>
      <c r="L725" s="30" t="str">
        <f>IF(H725="","",IF($C$30="상세법",FPV(H725,K725),IF(H725="EI",4,IF(H725="EO",5.2,IF(H725="EQ",3.9,IF(H725="ILF",7.5,IF(H725="EIF",5.4)))))))</f>
        <v/>
      </c>
      <c r="M725" s="30" t="str">
        <f t="shared" si="72"/>
        <v/>
      </c>
      <c r="N725" s="134"/>
      <c r="O725" s="29"/>
      <c r="P725" s="37" t="str">
        <f t="shared" si="73"/>
        <v/>
      </c>
      <c r="Q725" s="38" t="str">
        <f t="shared" si="74"/>
        <v/>
      </c>
      <c r="R725" s="37" t="str">
        <f t="shared" si="75"/>
        <v/>
      </c>
      <c r="S725" s="37" t="str">
        <f t="shared" si="76"/>
        <v/>
      </c>
      <c r="T725" s="38" t="str">
        <f t="shared" si="77"/>
        <v/>
      </c>
      <c r="U725" s="37" t="str">
        <f t="shared" si="78"/>
        <v/>
      </c>
    </row>
    <row r="726" spans="2:21" ht="17.25">
      <c r="B726" s="156"/>
      <c r="C726" s="156"/>
      <c r="D726" s="157"/>
      <c r="E726" s="155"/>
      <c r="F726" s="151"/>
      <c r="G726" s="152"/>
      <c r="H726" s="153"/>
      <c r="I726" s="154"/>
      <c r="J726" s="154"/>
      <c r="K726" s="30" t="str">
        <f>IF(H726="","",IF($C$30="간이법","",FPR(H726,I726,J726)))</f>
        <v/>
      </c>
      <c r="L726" s="30" t="str">
        <f>IF(H726="","",IF($C$30="상세법",FPV(H726,K726),IF(H726="EI",4,IF(H726="EO",5.2,IF(H726="EQ",3.9,IF(H726="ILF",7.5,IF(H726="EIF",5.4)))))))</f>
        <v/>
      </c>
      <c r="M726" s="30" t="str">
        <f t="shared" si="72"/>
        <v/>
      </c>
      <c r="N726" s="134"/>
      <c r="O726" s="29"/>
      <c r="P726" s="37" t="str">
        <f t="shared" si="73"/>
        <v/>
      </c>
      <c r="Q726" s="38" t="str">
        <f t="shared" si="74"/>
        <v/>
      </c>
      <c r="R726" s="37" t="str">
        <f t="shared" si="75"/>
        <v/>
      </c>
      <c r="S726" s="37" t="str">
        <f t="shared" si="76"/>
        <v/>
      </c>
      <c r="T726" s="38" t="str">
        <f t="shared" si="77"/>
        <v/>
      </c>
      <c r="U726" s="37" t="str">
        <f t="shared" si="78"/>
        <v/>
      </c>
    </row>
    <row r="727" spans="2:21" ht="17.25">
      <c r="B727" s="156"/>
      <c r="C727" s="156"/>
      <c r="D727" s="157"/>
      <c r="E727" s="155"/>
      <c r="F727" s="151"/>
      <c r="G727" s="152"/>
      <c r="H727" s="153"/>
      <c r="I727" s="154"/>
      <c r="J727" s="154"/>
      <c r="K727" s="30" t="str">
        <f>IF(H727="","",IF($C$30="간이법","",FPR(H727,I727,J727)))</f>
        <v/>
      </c>
      <c r="L727" s="30" t="str">
        <f>IF(H727="","",IF($C$30="상세법",FPV(H727,K727),IF(H727="EI",4,IF(H727="EO",5.2,IF(H727="EQ",3.9,IF(H727="ILF",7.5,IF(H727="EIF",5.4)))))))</f>
        <v/>
      </c>
      <c r="M727" s="30" t="str">
        <f t="shared" si="72"/>
        <v/>
      </c>
      <c r="N727" s="134"/>
      <c r="O727" s="29"/>
      <c r="P727" s="37" t="str">
        <f t="shared" si="73"/>
        <v/>
      </c>
      <c r="Q727" s="38" t="str">
        <f t="shared" si="74"/>
        <v/>
      </c>
      <c r="R727" s="37" t="str">
        <f t="shared" si="75"/>
        <v/>
      </c>
      <c r="S727" s="37" t="str">
        <f t="shared" si="76"/>
        <v/>
      </c>
      <c r="T727" s="38" t="str">
        <f t="shared" si="77"/>
        <v/>
      </c>
      <c r="U727" s="37" t="str">
        <f t="shared" si="78"/>
        <v/>
      </c>
    </row>
    <row r="728" spans="2:21" ht="17.25">
      <c r="B728" s="156"/>
      <c r="C728" s="156"/>
      <c r="D728" s="157"/>
      <c r="E728" s="155"/>
      <c r="F728" s="151"/>
      <c r="G728" s="152"/>
      <c r="H728" s="153"/>
      <c r="I728" s="154"/>
      <c r="J728" s="154"/>
      <c r="K728" s="30" t="str">
        <f>IF(H728="","",IF($C$30="간이법","",FPR(H728,I728,J728)))</f>
        <v/>
      </c>
      <c r="L728" s="30" t="str">
        <f>IF(H728="","",IF($C$30="상세법",FPV(H728,K728),IF(H728="EI",4,IF(H728="EO",5.2,IF(H728="EQ",3.9,IF(H728="ILF",7.5,IF(H728="EIF",5.4)))))))</f>
        <v/>
      </c>
      <c r="M728" s="30" t="str">
        <f t="shared" si="72"/>
        <v/>
      </c>
      <c r="N728" s="134"/>
      <c r="O728" s="29"/>
      <c r="P728" s="37" t="str">
        <f t="shared" si="73"/>
        <v/>
      </c>
      <c r="Q728" s="38" t="str">
        <f t="shared" si="74"/>
        <v/>
      </c>
      <c r="R728" s="37" t="str">
        <f t="shared" si="75"/>
        <v/>
      </c>
      <c r="S728" s="37" t="str">
        <f t="shared" si="76"/>
        <v/>
      </c>
      <c r="T728" s="38" t="str">
        <f t="shared" si="77"/>
        <v/>
      </c>
      <c r="U728" s="37" t="str">
        <f t="shared" si="78"/>
        <v/>
      </c>
    </row>
    <row r="729" spans="2:21" ht="17.25">
      <c r="B729" s="156"/>
      <c r="C729" s="156"/>
      <c r="D729" s="157"/>
      <c r="E729" s="155"/>
      <c r="F729" s="151"/>
      <c r="G729" s="152"/>
      <c r="H729" s="153"/>
      <c r="I729" s="154"/>
      <c r="J729" s="154"/>
      <c r="K729" s="30" t="str">
        <f>IF(H729="","",IF($C$30="간이법","",FPR(H729,I729,J729)))</f>
        <v/>
      </c>
      <c r="L729" s="30" t="str">
        <f>IF(H729="","",IF($C$30="상세법",FPV(H729,K729),IF(H729="EI",4,IF(H729="EO",5.2,IF(H729="EQ",3.9,IF(H729="ILF",7.5,IF(H729="EIF",5.4)))))))</f>
        <v/>
      </c>
      <c r="M729" s="30" t="str">
        <f t="shared" si="72"/>
        <v/>
      </c>
      <c r="N729" s="134"/>
      <c r="O729" s="29"/>
      <c r="P729" s="37" t="str">
        <f t="shared" si="73"/>
        <v/>
      </c>
      <c r="Q729" s="38" t="str">
        <f t="shared" si="74"/>
        <v/>
      </c>
      <c r="R729" s="37" t="str">
        <f t="shared" si="75"/>
        <v/>
      </c>
      <c r="S729" s="37" t="str">
        <f t="shared" si="76"/>
        <v/>
      </c>
      <c r="T729" s="38" t="str">
        <f t="shared" si="77"/>
        <v/>
      </c>
      <c r="U729" s="37" t="str">
        <f t="shared" si="78"/>
        <v/>
      </c>
    </row>
    <row r="730" spans="2:21" ht="17.25">
      <c r="B730" s="156"/>
      <c r="C730" s="156"/>
      <c r="D730" s="157"/>
      <c r="E730" s="155"/>
      <c r="F730" s="151"/>
      <c r="G730" s="152"/>
      <c r="H730" s="153"/>
      <c r="I730" s="154"/>
      <c r="J730" s="154"/>
      <c r="K730" s="30" t="str">
        <f>IF(H730="","",IF($C$30="간이법","",FPR(H730,I730,J730)))</f>
        <v/>
      </c>
      <c r="L730" s="30" t="str">
        <f>IF(H730="","",IF($C$30="상세법",FPV(H730,K730),IF(H730="EI",4,IF(H730="EO",5.2,IF(H730="EQ",3.9,IF(H730="ILF",7.5,IF(H730="EIF",5.4)))))))</f>
        <v/>
      </c>
      <c r="M730" s="30" t="str">
        <f t="shared" si="72"/>
        <v/>
      </c>
      <c r="N730" s="134"/>
      <c r="O730" s="29"/>
      <c r="P730" s="37" t="str">
        <f t="shared" si="73"/>
        <v/>
      </c>
      <c r="Q730" s="38" t="str">
        <f t="shared" si="74"/>
        <v/>
      </c>
      <c r="R730" s="37" t="str">
        <f t="shared" si="75"/>
        <v/>
      </c>
      <c r="S730" s="37" t="str">
        <f t="shared" si="76"/>
        <v/>
      </c>
      <c r="T730" s="38" t="str">
        <f t="shared" si="77"/>
        <v/>
      </c>
      <c r="U730" s="37" t="str">
        <f t="shared" si="78"/>
        <v/>
      </c>
    </row>
    <row r="731" spans="2:21" ht="17.25">
      <c r="B731" s="156"/>
      <c r="C731" s="156"/>
      <c r="D731" s="157"/>
      <c r="E731" s="155"/>
      <c r="F731" s="151"/>
      <c r="G731" s="152"/>
      <c r="H731" s="153"/>
      <c r="I731" s="154"/>
      <c r="J731" s="154"/>
      <c r="K731" s="30" t="str">
        <f>IF(H731="","",IF($C$30="간이법","",FPR(H731,I731,J731)))</f>
        <v/>
      </c>
      <c r="L731" s="30" t="str">
        <f>IF(H731="","",IF($C$30="상세법",FPV(H731,K731),IF(H731="EI",4,IF(H731="EO",5.2,IF(H731="EQ",3.9,IF(H731="ILF",7.5,IF(H731="EIF",5.4)))))))</f>
        <v/>
      </c>
      <c r="M731" s="30" t="str">
        <f t="shared" si="72"/>
        <v/>
      </c>
      <c r="N731" s="134"/>
      <c r="O731" s="29"/>
      <c r="P731" s="37" t="str">
        <f t="shared" si="73"/>
        <v/>
      </c>
      <c r="Q731" s="38" t="str">
        <f t="shared" si="74"/>
        <v/>
      </c>
      <c r="R731" s="37" t="str">
        <f t="shared" si="75"/>
        <v/>
      </c>
      <c r="S731" s="37" t="str">
        <f t="shared" si="76"/>
        <v/>
      </c>
      <c r="T731" s="38" t="str">
        <f t="shared" si="77"/>
        <v/>
      </c>
      <c r="U731" s="37" t="str">
        <f t="shared" si="78"/>
        <v/>
      </c>
    </row>
    <row r="732" spans="2:21" ht="17.25">
      <c r="B732" s="156"/>
      <c r="C732" s="156"/>
      <c r="D732" s="157"/>
      <c r="E732" s="155"/>
      <c r="F732" s="151"/>
      <c r="G732" s="152"/>
      <c r="H732" s="153"/>
      <c r="I732" s="154"/>
      <c r="J732" s="154"/>
      <c r="K732" s="30" t="str">
        <f>IF(H732="","",IF($C$30="간이법","",FPR(H732,I732,J732)))</f>
        <v/>
      </c>
      <c r="L732" s="30" t="str">
        <f>IF(H732="","",IF($C$30="상세법",FPV(H732,K732),IF(H732="EI",4,IF(H732="EO",5.2,IF(H732="EQ",3.9,IF(H732="ILF",7.5,IF(H732="EIF",5.4)))))))</f>
        <v/>
      </c>
      <c r="M732" s="30" t="str">
        <f t="shared" si="72"/>
        <v/>
      </c>
      <c r="N732" s="134"/>
      <c r="O732" s="29"/>
      <c r="P732" s="37" t="str">
        <f t="shared" si="73"/>
        <v/>
      </c>
      <c r="Q732" s="38" t="str">
        <f t="shared" si="74"/>
        <v/>
      </c>
      <c r="R732" s="37" t="str">
        <f t="shared" si="75"/>
        <v/>
      </c>
      <c r="S732" s="37" t="str">
        <f t="shared" si="76"/>
        <v/>
      </c>
      <c r="T732" s="38" t="str">
        <f t="shared" si="77"/>
        <v/>
      </c>
      <c r="U732" s="37" t="str">
        <f t="shared" si="78"/>
        <v/>
      </c>
    </row>
    <row r="733" spans="2:21" ht="17.25">
      <c r="B733" s="156"/>
      <c r="C733" s="156"/>
      <c r="D733" s="157"/>
      <c r="E733" s="155"/>
      <c r="F733" s="151"/>
      <c r="G733" s="152"/>
      <c r="H733" s="153"/>
      <c r="I733" s="154"/>
      <c r="J733" s="154"/>
      <c r="K733" s="30" t="str">
        <f>IF(H733="","",IF($C$30="간이법","",FPR(H733,I733,J733)))</f>
        <v/>
      </c>
      <c r="L733" s="30" t="str">
        <f>IF(H733="","",IF($C$30="상세법",FPV(H733,K733),IF(H733="EI",4,IF(H733="EO",5.2,IF(H733="EQ",3.9,IF(H733="ILF",7.5,IF(H733="EIF",5.4)))))))</f>
        <v/>
      </c>
      <c r="M733" s="30" t="str">
        <f t="shared" si="72"/>
        <v/>
      </c>
      <c r="N733" s="134"/>
      <c r="O733" s="29"/>
      <c r="P733" s="37" t="str">
        <f t="shared" si="73"/>
        <v/>
      </c>
      <c r="Q733" s="38" t="str">
        <f t="shared" si="74"/>
        <v/>
      </c>
      <c r="R733" s="37" t="str">
        <f t="shared" si="75"/>
        <v/>
      </c>
      <c r="S733" s="37" t="str">
        <f t="shared" si="76"/>
        <v/>
      </c>
      <c r="T733" s="38" t="str">
        <f t="shared" si="77"/>
        <v/>
      </c>
      <c r="U733" s="37" t="str">
        <f t="shared" si="78"/>
        <v/>
      </c>
    </row>
    <row r="734" spans="2:21" ht="17.25">
      <c r="B734" s="156"/>
      <c r="C734" s="156"/>
      <c r="D734" s="157"/>
      <c r="E734" s="155"/>
      <c r="F734" s="151"/>
      <c r="G734" s="152"/>
      <c r="H734" s="153"/>
      <c r="I734" s="154"/>
      <c r="J734" s="154"/>
      <c r="K734" s="30" t="str">
        <f>IF(H734="","",IF($C$30="간이법","",FPR(H734,I734,J734)))</f>
        <v/>
      </c>
      <c r="L734" s="30" t="str">
        <f>IF(H734="","",IF($C$30="상세법",FPV(H734,K734),IF(H734="EI",4,IF(H734="EO",5.2,IF(H734="EQ",3.9,IF(H734="ILF",7.5,IF(H734="EIF",5.4)))))))</f>
        <v/>
      </c>
      <c r="M734" s="30" t="str">
        <f t="shared" si="72"/>
        <v/>
      </c>
      <c r="N734" s="134"/>
      <c r="O734" s="29"/>
      <c r="P734" s="37" t="str">
        <f t="shared" si="73"/>
        <v/>
      </c>
      <c r="Q734" s="38" t="str">
        <f t="shared" si="74"/>
        <v/>
      </c>
      <c r="R734" s="37" t="str">
        <f t="shared" si="75"/>
        <v/>
      </c>
      <c r="S734" s="37" t="str">
        <f t="shared" si="76"/>
        <v/>
      </c>
      <c r="T734" s="38" t="str">
        <f t="shared" si="77"/>
        <v/>
      </c>
      <c r="U734" s="37" t="str">
        <f t="shared" si="78"/>
        <v/>
      </c>
    </row>
    <row r="735" spans="2:21" ht="17.25">
      <c r="B735" s="156"/>
      <c r="C735" s="156"/>
      <c r="D735" s="157"/>
      <c r="E735" s="155"/>
      <c r="F735" s="151"/>
      <c r="G735" s="152"/>
      <c r="H735" s="153"/>
      <c r="I735" s="154"/>
      <c r="J735" s="154"/>
      <c r="K735" s="30" t="str">
        <f>IF(H735="","",IF($C$30="간이법","",FPR(H735,I735,J735)))</f>
        <v/>
      </c>
      <c r="L735" s="30" t="str">
        <f>IF(H735="","",IF($C$30="상세법",FPV(H735,K735),IF(H735="EI",4,IF(H735="EO",5.2,IF(H735="EQ",3.9,IF(H735="ILF",7.5,IF(H735="EIF",5.4)))))))</f>
        <v/>
      </c>
      <c r="M735" s="30" t="str">
        <f t="shared" si="72"/>
        <v/>
      </c>
      <c r="N735" s="134"/>
      <c r="O735" s="29"/>
      <c r="P735" s="37" t="str">
        <f t="shared" si="73"/>
        <v/>
      </c>
      <c r="Q735" s="38" t="str">
        <f t="shared" si="74"/>
        <v/>
      </c>
      <c r="R735" s="37" t="str">
        <f t="shared" si="75"/>
        <v/>
      </c>
      <c r="S735" s="37" t="str">
        <f t="shared" si="76"/>
        <v/>
      </c>
      <c r="T735" s="38" t="str">
        <f t="shared" si="77"/>
        <v/>
      </c>
      <c r="U735" s="37" t="str">
        <f t="shared" si="78"/>
        <v/>
      </c>
    </row>
    <row r="736" spans="2:21" ht="17.25">
      <c r="B736" s="156"/>
      <c r="C736" s="156"/>
      <c r="D736" s="157"/>
      <c r="E736" s="155"/>
      <c r="F736" s="151"/>
      <c r="G736" s="152"/>
      <c r="H736" s="153"/>
      <c r="I736" s="154"/>
      <c r="J736" s="154"/>
      <c r="K736" s="30" t="str">
        <f>IF(H736="","",IF($C$30="간이법","",FPR(H736,I736,J736)))</f>
        <v/>
      </c>
      <c r="L736" s="30" t="str">
        <f>IF(H736="","",IF($C$30="상세법",FPV(H736,K736),IF(H736="EI",4,IF(H736="EO",5.2,IF(H736="EQ",3.9,IF(H736="ILF",7.5,IF(H736="EIF",5.4)))))))</f>
        <v/>
      </c>
      <c r="M736" s="30" t="str">
        <f t="shared" si="72"/>
        <v/>
      </c>
      <c r="N736" s="134"/>
      <c r="O736" s="29"/>
      <c r="P736" s="37" t="str">
        <f t="shared" si="73"/>
        <v/>
      </c>
      <c r="Q736" s="38" t="str">
        <f t="shared" si="74"/>
        <v/>
      </c>
      <c r="R736" s="37" t="str">
        <f t="shared" si="75"/>
        <v/>
      </c>
      <c r="S736" s="37" t="str">
        <f t="shared" si="76"/>
        <v/>
      </c>
      <c r="T736" s="38" t="str">
        <f t="shared" si="77"/>
        <v/>
      </c>
      <c r="U736" s="37" t="str">
        <f t="shared" si="78"/>
        <v/>
      </c>
    </row>
    <row r="737" spans="2:21" ht="17.25">
      <c r="B737" s="156"/>
      <c r="C737" s="156"/>
      <c r="D737" s="157"/>
      <c r="E737" s="155"/>
      <c r="F737" s="151"/>
      <c r="G737" s="152"/>
      <c r="H737" s="153"/>
      <c r="I737" s="154"/>
      <c r="J737" s="154"/>
      <c r="K737" s="30" t="str">
        <f>IF(H737="","",IF($C$30="간이법","",FPR(H737,I737,J737)))</f>
        <v/>
      </c>
      <c r="L737" s="30" t="str">
        <f>IF(H737="","",IF($C$30="상세법",FPV(H737,K737),IF(H737="EI",4,IF(H737="EO",5.2,IF(H737="EQ",3.9,IF(H737="ILF",7.5,IF(H737="EIF",5.4)))))))</f>
        <v/>
      </c>
      <c r="M737" s="30" t="str">
        <f t="shared" si="72"/>
        <v/>
      </c>
      <c r="N737" s="134"/>
      <c r="O737" s="29"/>
      <c r="P737" s="37" t="str">
        <f t="shared" si="73"/>
        <v/>
      </c>
      <c r="Q737" s="38" t="str">
        <f t="shared" si="74"/>
        <v/>
      </c>
      <c r="R737" s="37" t="str">
        <f t="shared" si="75"/>
        <v/>
      </c>
      <c r="S737" s="37" t="str">
        <f t="shared" si="76"/>
        <v/>
      </c>
      <c r="T737" s="38" t="str">
        <f t="shared" si="77"/>
        <v/>
      </c>
      <c r="U737" s="37" t="str">
        <f t="shared" si="78"/>
        <v/>
      </c>
    </row>
    <row r="738" spans="2:21" ht="17.25">
      <c r="B738" s="156"/>
      <c r="C738" s="156"/>
      <c r="D738" s="157"/>
      <c r="E738" s="155"/>
      <c r="F738" s="151"/>
      <c r="G738" s="152"/>
      <c r="H738" s="153"/>
      <c r="I738" s="154"/>
      <c r="J738" s="154"/>
      <c r="K738" s="30" t="str">
        <f>IF(H738="","",IF($C$30="간이법","",FPR(H738,I738,J738)))</f>
        <v/>
      </c>
      <c r="L738" s="30" t="str">
        <f>IF(H738="","",IF($C$30="상세법",FPV(H738,K738),IF(H738="EI",4,IF(H738="EO",5.2,IF(H738="EQ",3.9,IF(H738="ILF",7.5,IF(H738="EIF",5.4)))))))</f>
        <v/>
      </c>
      <c r="M738" s="30" t="str">
        <f t="shared" si="72"/>
        <v/>
      </c>
      <c r="N738" s="134"/>
      <c r="O738" s="29"/>
      <c r="P738" s="37" t="str">
        <f t="shared" si="73"/>
        <v/>
      </c>
      <c r="Q738" s="38" t="str">
        <f t="shared" si="74"/>
        <v/>
      </c>
      <c r="R738" s="37" t="str">
        <f t="shared" si="75"/>
        <v/>
      </c>
      <c r="S738" s="37" t="str">
        <f t="shared" si="76"/>
        <v/>
      </c>
      <c r="T738" s="38" t="str">
        <f t="shared" si="77"/>
        <v/>
      </c>
      <c r="U738" s="37" t="str">
        <f t="shared" si="78"/>
        <v/>
      </c>
    </row>
    <row r="739" spans="2:21" ht="17.25">
      <c r="B739" s="156"/>
      <c r="C739" s="156"/>
      <c r="D739" s="157"/>
      <c r="E739" s="155"/>
      <c r="F739" s="151"/>
      <c r="G739" s="152"/>
      <c r="H739" s="153"/>
      <c r="I739" s="154"/>
      <c r="J739" s="154"/>
      <c r="K739" s="30" t="str">
        <f>IF(H739="","",IF($C$30="간이법","",FPR(H739,I739,J739)))</f>
        <v/>
      </c>
      <c r="L739" s="30" t="str">
        <f>IF(H739="","",IF($C$30="상세법",FPV(H739,K739),IF(H739="EI",4,IF(H739="EO",5.2,IF(H739="EQ",3.9,IF(H739="ILF",7.5,IF(H739="EIF",5.4)))))))</f>
        <v/>
      </c>
      <c r="M739" s="30" t="str">
        <f t="shared" si="72"/>
        <v/>
      </c>
      <c r="N739" s="134"/>
      <c r="O739" s="29"/>
      <c r="P739" s="37" t="str">
        <f t="shared" si="73"/>
        <v/>
      </c>
      <c r="Q739" s="38" t="str">
        <f t="shared" si="74"/>
        <v/>
      </c>
      <c r="R739" s="37" t="str">
        <f t="shared" si="75"/>
        <v/>
      </c>
      <c r="S739" s="37" t="str">
        <f t="shared" si="76"/>
        <v/>
      </c>
      <c r="T739" s="38" t="str">
        <f t="shared" si="77"/>
        <v/>
      </c>
      <c r="U739" s="37" t="str">
        <f t="shared" si="78"/>
        <v/>
      </c>
    </row>
    <row r="740" spans="2:21" ht="17.25">
      <c r="B740" s="156"/>
      <c r="C740" s="156"/>
      <c r="D740" s="157"/>
      <c r="E740" s="155"/>
      <c r="F740" s="151"/>
      <c r="G740" s="152"/>
      <c r="H740" s="153"/>
      <c r="I740" s="154"/>
      <c r="J740" s="154"/>
      <c r="K740" s="30" t="str">
        <f>IF(H740="","",IF($C$30="간이법","",FPR(H740,I740,J740)))</f>
        <v/>
      </c>
      <c r="L740" s="30" t="str">
        <f>IF(H740="","",IF($C$30="상세법",FPV(H740,K740),IF(H740="EI",4,IF(H740="EO",5.2,IF(H740="EQ",3.9,IF(H740="ILF",7.5,IF(H740="EIF",5.4)))))))</f>
        <v/>
      </c>
      <c r="M740" s="30" t="str">
        <f t="shared" si="72"/>
        <v/>
      </c>
      <c r="N740" s="134"/>
      <c r="O740" s="29"/>
      <c r="P740" s="37" t="str">
        <f t="shared" si="73"/>
        <v/>
      </c>
      <c r="Q740" s="38" t="str">
        <f t="shared" si="74"/>
        <v/>
      </c>
      <c r="R740" s="37" t="str">
        <f t="shared" si="75"/>
        <v/>
      </c>
      <c r="S740" s="37" t="str">
        <f t="shared" si="76"/>
        <v/>
      </c>
      <c r="T740" s="38" t="str">
        <f t="shared" si="77"/>
        <v/>
      </c>
      <c r="U740" s="37" t="str">
        <f t="shared" si="78"/>
        <v/>
      </c>
    </row>
    <row r="741" spans="2:21" ht="17.25">
      <c r="B741" s="156"/>
      <c r="C741" s="156"/>
      <c r="D741" s="157"/>
      <c r="E741" s="155"/>
      <c r="F741" s="151"/>
      <c r="G741" s="152"/>
      <c r="H741" s="153"/>
      <c r="I741" s="154"/>
      <c r="J741" s="154"/>
      <c r="K741" s="30" t="str">
        <f>IF(H741="","",IF($C$30="간이법","",FPR(H741,I741,J741)))</f>
        <v/>
      </c>
      <c r="L741" s="30" t="str">
        <f>IF(H741="","",IF($C$30="상세법",FPV(H741,K741),IF(H741="EI",4,IF(H741="EO",5.2,IF(H741="EQ",3.9,IF(H741="ILF",7.5,IF(H741="EIF",5.4)))))))</f>
        <v/>
      </c>
      <c r="M741" s="30" t="str">
        <f t="shared" si="72"/>
        <v/>
      </c>
      <c r="N741" s="134"/>
      <c r="O741" s="29"/>
      <c r="P741" s="37" t="str">
        <f t="shared" si="73"/>
        <v/>
      </c>
      <c r="Q741" s="38" t="str">
        <f t="shared" si="74"/>
        <v/>
      </c>
      <c r="R741" s="37" t="str">
        <f t="shared" si="75"/>
        <v/>
      </c>
      <c r="S741" s="37" t="str">
        <f t="shared" si="76"/>
        <v/>
      </c>
      <c r="T741" s="38" t="str">
        <f t="shared" si="77"/>
        <v/>
      </c>
      <c r="U741" s="37" t="str">
        <f t="shared" si="78"/>
        <v/>
      </c>
    </row>
    <row r="742" spans="2:21" ht="17.25">
      <c r="B742" s="156"/>
      <c r="C742" s="156"/>
      <c r="D742" s="157"/>
      <c r="E742" s="155"/>
      <c r="F742" s="151"/>
      <c r="G742" s="152"/>
      <c r="H742" s="153"/>
      <c r="I742" s="154"/>
      <c r="J742" s="154"/>
      <c r="K742" s="30" t="str">
        <f>IF(H742="","",IF($C$30="간이법","",FPR(H742,I742,J742)))</f>
        <v/>
      </c>
      <c r="L742" s="30" t="str">
        <f>IF(H742="","",IF($C$30="상세법",FPV(H742,K742),IF(H742="EI",4,IF(H742="EO",5.2,IF(H742="EQ",3.9,IF(H742="ILF",7.5,IF(H742="EIF",5.4)))))))</f>
        <v/>
      </c>
      <c r="M742" s="30" t="str">
        <f t="shared" si="72"/>
        <v/>
      </c>
      <c r="N742" s="134"/>
      <c r="O742" s="29"/>
      <c r="P742" s="37" t="str">
        <f t="shared" si="73"/>
        <v/>
      </c>
      <c r="Q742" s="38" t="str">
        <f t="shared" si="74"/>
        <v/>
      </c>
      <c r="R742" s="37" t="str">
        <f t="shared" si="75"/>
        <v/>
      </c>
      <c r="S742" s="37" t="str">
        <f t="shared" si="76"/>
        <v/>
      </c>
      <c r="T742" s="38" t="str">
        <f t="shared" si="77"/>
        <v/>
      </c>
      <c r="U742" s="37" t="str">
        <f t="shared" si="78"/>
        <v/>
      </c>
    </row>
    <row r="743" spans="2:21" ht="17.25">
      <c r="B743" s="156"/>
      <c r="C743" s="156"/>
      <c r="D743" s="157"/>
      <c r="E743" s="155"/>
      <c r="F743" s="151"/>
      <c r="G743" s="152"/>
      <c r="H743" s="153"/>
      <c r="I743" s="154"/>
      <c r="J743" s="154"/>
      <c r="K743" s="30" t="str">
        <f>IF(H743="","",IF($C$30="간이법","",FPR(H743,I743,J743)))</f>
        <v/>
      </c>
      <c r="L743" s="30" t="str">
        <f>IF(H743="","",IF($C$30="상세법",FPV(H743,K743),IF(H743="EI",4,IF(H743="EO",5.2,IF(H743="EQ",3.9,IF(H743="ILF",7.5,IF(H743="EIF",5.4)))))))</f>
        <v/>
      </c>
      <c r="M743" s="30" t="str">
        <f t="shared" si="72"/>
        <v/>
      </c>
      <c r="N743" s="134"/>
      <c r="O743" s="29"/>
      <c r="P743" s="37" t="str">
        <f t="shared" si="73"/>
        <v/>
      </c>
      <c r="Q743" s="38" t="str">
        <f t="shared" si="74"/>
        <v/>
      </c>
      <c r="R743" s="37" t="str">
        <f t="shared" si="75"/>
        <v/>
      </c>
      <c r="S743" s="37" t="str">
        <f t="shared" si="76"/>
        <v/>
      </c>
      <c r="T743" s="38" t="str">
        <f t="shared" si="77"/>
        <v/>
      </c>
      <c r="U743" s="37" t="str">
        <f t="shared" si="78"/>
        <v/>
      </c>
    </row>
    <row r="744" spans="2:21" ht="17.25">
      <c r="B744" s="156"/>
      <c r="C744" s="156"/>
      <c r="D744" s="157"/>
      <c r="E744" s="155"/>
      <c r="F744" s="151"/>
      <c r="G744" s="152"/>
      <c r="H744" s="153"/>
      <c r="I744" s="154"/>
      <c r="J744" s="154"/>
      <c r="K744" s="30" t="str">
        <f>IF(H744="","",IF($C$30="간이법","",FPR(H744,I744,J744)))</f>
        <v/>
      </c>
      <c r="L744" s="30" t="str">
        <f>IF(H744="","",IF($C$30="상세법",FPV(H744,K744),IF(H744="EI",4,IF(H744="EO",5.2,IF(H744="EQ",3.9,IF(H744="ILF",7.5,IF(H744="EIF",5.4)))))))</f>
        <v/>
      </c>
      <c r="M744" s="30" t="str">
        <f t="shared" si="72"/>
        <v/>
      </c>
      <c r="N744" s="134"/>
      <c r="O744" s="29"/>
      <c r="P744" s="37" t="str">
        <f t="shared" si="73"/>
        <v/>
      </c>
      <c r="Q744" s="38" t="str">
        <f t="shared" si="74"/>
        <v/>
      </c>
      <c r="R744" s="37" t="str">
        <f t="shared" si="75"/>
        <v/>
      </c>
      <c r="S744" s="37" t="str">
        <f t="shared" si="76"/>
        <v/>
      </c>
      <c r="T744" s="38" t="str">
        <f t="shared" si="77"/>
        <v/>
      </c>
      <c r="U744" s="37" t="str">
        <f t="shared" si="78"/>
        <v/>
      </c>
    </row>
    <row r="745" spans="2:21" ht="17.25">
      <c r="B745" s="156"/>
      <c r="C745" s="156"/>
      <c r="D745" s="157"/>
      <c r="E745" s="155"/>
      <c r="F745" s="151"/>
      <c r="G745" s="152"/>
      <c r="H745" s="153"/>
      <c r="I745" s="154"/>
      <c r="J745" s="154"/>
      <c r="K745" s="30" t="str">
        <f>IF(H745="","",IF($C$30="간이법","",FPR(H745,I745,J745)))</f>
        <v/>
      </c>
      <c r="L745" s="30" t="str">
        <f>IF(H745="","",IF($C$30="상세법",FPV(H745,K745),IF(H745="EI",4,IF(H745="EO",5.2,IF(H745="EQ",3.9,IF(H745="ILF",7.5,IF(H745="EIF",5.4)))))))</f>
        <v/>
      </c>
      <c r="M745" s="30" t="str">
        <f t="shared" si="72"/>
        <v/>
      </c>
      <c r="N745" s="134"/>
      <c r="O745" s="29"/>
      <c r="P745" s="37" t="str">
        <f t="shared" si="73"/>
        <v/>
      </c>
      <c r="Q745" s="38" t="str">
        <f t="shared" si="74"/>
        <v/>
      </c>
      <c r="R745" s="37" t="str">
        <f t="shared" si="75"/>
        <v/>
      </c>
      <c r="S745" s="37" t="str">
        <f t="shared" si="76"/>
        <v/>
      </c>
      <c r="T745" s="38" t="str">
        <f t="shared" si="77"/>
        <v/>
      </c>
      <c r="U745" s="37" t="str">
        <f t="shared" si="78"/>
        <v/>
      </c>
    </row>
    <row r="746" spans="2:21" ht="17.25">
      <c r="B746" s="156"/>
      <c r="C746" s="156"/>
      <c r="D746" s="157"/>
      <c r="E746" s="155"/>
      <c r="F746" s="151"/>
      <c r="G746" s="152"/>
      <c r="H746" s="153"/>
      <c r="I746" s="154"/>
      <c r="J746" s="154"/>
      <c r="K746" s="30" t="str">
        <f>IF(H746="","",IF($C$30="간이법","",FPR(H746,I746,J746)))</f>
        <v/>
      </c>
      <c r="L746" s="30" t="str">
        <f>IF(H746="","",IF($C$30="상세법",FPV(H746,K746),IF(H746="EI",4,IF(H746="EO",5.2,IF(H746="EQ",3.9,IF(H746="ILF",7.5,IF(H746="EIF",5.4)))))))</f>
        <v/>
      </c>
      <c r="M746" s="30" t="str">
        <f t="shared" si="72"/>
        <v/>
      </c>
      <c r="N746" s="134"/>
      <c r="O746" s="29"/>
      <c r="P746" s="37" t="str">
        <f t="shared" si="73"/>
        <v/>
      </c>
      <c r="Q746" s="38" t="str">
        <f t="shared" si="74"/>
        <v/>
      </c>
      <c r="R746" s="37" t="str">
        <f t="shared" si="75"/>
        <v/>
      </c>
      <c r="S746" s="37" t="str">
        <f t="shared" si="76"/>
        <v/>
      </c>
      <c r="T746" s="38" t="str">
        <f t="shared" si="77"/>
        <v/>
      </c>
      <c r="U746" s="37" t="str">
        <f t="shared" si="78"/>
        <v/>
      </c>
    </row>
    <row r="747" spans="2:21" ht="17.25">
      <c r="B747" s="156"/>
      <c r="C747" s="156"/>
      <c r="D747" s="157"/>
      <c r="E747" s="155"/>
      <c r="F747" s="151"/>
      <c r="G747" s="152"/>
      <c r="H747" s="153"/>
      <c r="I747" s="154"/>
      <c r="J747" s="154"/>
      <c r="K747" s="30" t="str">
        <f>IF(H747="","",IF($C$30="간이법","",FPR(H747,I747,J747)))</f>
        <v/>
      </c>
      <c r="L747" s="30" t="str">
        <f>IF(H747="","",IF($C$30="상세법",FPV(H747,K747),IF(H747="EI",4,IF(H747="EO",5.2,IF(H747="EQ",3.9,IF(H747="ILF",7.5,IF(H747="EIF",5.4)))))))</f>
        <v/>
      </c>
      <c r="M747" s="30" t="str">
        <f t="shared" si="72"/>
        <v/>
      </c>
      <c r="N747" s="134"/>
      <c r="O747" s="29"/>
      <c r="P747" s="37" t="str">
        <f t="shared" si="73"/>
        <v/>
      </c>
      <c r="Q747" s="38" t="str">
        <f t="shared" si="74"/>
        <v/>
      </c>
      <c r="R747" s="37" t="str">
        <f t="shared" si="75"/>
        <v/>
      </c>
      <c r="S747" s="37" t="str">
        <f t="shared" si="76"/>
        <v/>
      </c>
      <c r="T747" s="38" t="str">
        <f t="shared" si="77"/>
        <v/>
      </c>
      <c r="U747" s="37" t="str">
        <f t="shared" si="78"/>
        <v/>
      </c>
    </row>
    <row r="748" spans="2:21" ht="17.25">
      <c r="B748" s="156"/>
      <c r="C748" s="156"/>
      <c r="D748" s="157"/>
      <c r="E748" s="155"/>
      <c r="F748" s="151"/>
      <c r="G748" s="152"/>
      <c r="H748" s="153"/>
      <c r="I748" s="154"/>
      <c r="J748" s="154"/>
      <c r="K748" s="30" t="str">
        <f>IF(H748="","",IF($C$30="간이법","",FPR(H748,I748,J748)))</f>
        <v/>
      </c>
      <c r="L748" s="30" t="str">
        <f>IF(H748="","",IF($C$30="상세법",FPV(H748,K748),IF(H748="EI",4,IF(H748="EO",5.2,IF(H748="EQ",3.9,IF(H748="ILF",7.5,IF(H748="EIF",5.4)))))))</f>
        <v/>
      </c>
      <c r="M748" s="30" t="str">
        <f t="shared" si="72"/>
        <v/>
      </c>
      <c r="N748" s="134"/>
      <c r="O748" s="29"/>
      <c r="P748" s="37" t="str">
        <f t="shared" si="73"/>
        <v/>
      </c>
      <c r="Q748" s="38" t="str">
        <f t="shared" si="74"/>
        <v/>
      </c>
      <c r="R748" s="37" t="str">
        <f t="shared" si="75"/>
        <v/>
      </c>
      <c r="S748" s="37" t="str">
        <f t="shared" si="76"/>
        <v/>
      </c>
      <c r="T748" s="38" t="str">
        <f t="shared" si="77"/>
        <v/>
      </c>
      <c r="U748" s="37" t="str">
        <f t="shared" si="78"/>
        <v/>
      </c>
    </row>
    <row r="749" spans="2:21" ht="17.25">
      <c r="B749" s="156"/>
      <c r="C749" s="156"/>
      <c r="D749" s="157"/>
      <c r="E749" s="155"/>
      <c r="F749" s="151"/>
      <c r="G749" s="152"/>
      <c r="H749" s="153"/>
      <c r="I749" s="154"/>
      <c r="J749" s="154"/>
      <c r="K749" s="30" t="str">
        <f>IF(H749="","",IF($C$30="간이법","",FPR(H749,I749,J749)))</f>
        <v/>
      </c>
      <c r="L749" s="30" t="str">
        <f>IF(H749="","",IF($C$30="상세법",FPV(H749,K749),IF(H749="EI",4,IF(H749="EO",5.2,IF(H749="EQ",3.9,IF(H749="ILF",7.5,IF(H749="EIF",5.4)))))))</f>
        <v/>
      </c>
      <c r="M749" s="30" t="str">
        <f t="shared" si="72"/>
        <v/>
      </c>
      <c r="N749" s="134"/>
      <c r="O749" s="29"/>
      <c r="P749" s="37" t="str">
        <f t="shared" si="73"/>
        <v/>
      </c>
      <c r="Q749" s="38" t="str">
        <f t="shared" si="74"/>
        <v/>
      </c>
      <c r="R749" s="37" t="str">
        <f t="shared" si="75"/>
        <v/>
      </c>
      <c r="S749" s="37" t="str">
        <f t="shared" si="76"/>
        <v/>
      </c>
      <c r="T749" s="38" t="str">
        <f t="shared" si="77"/>
        <v/>
      </c>
      <c r="U749" s="37" t="str">
        <f t="shared" si="78"/>
        <v/>
      </c>
    </row>
    <row r="750" spans="2:21" ht="17.25">
      <c r="B750" s="156"/>
      <c r="C750" s="156"/>
      <c r="D750" s="157"/>
      <c r="E750" s="155"/>
      <c r="F750" s="151"/>
      <c r="G750" s="152"/>
      <c r="H750" s="153"/>
      <c r="I750" s="154"/>
      <c r="J750" s="154"/>
      <c r="K750" s="30" t="str">
        <f>IF(H750="","",IF($C$30="간이법","",FPR(H750,I750,J750)))</f>
        <v/>
      </c>
      <c r="L750" s="30" t="str">
        <f>IF(H750="","",IF($C$30="상세법",FPV(H750,K750),IF(H750="EI",4,IF(H750="EO",5.2,IF(H750="EQ",3.9,IF(H750="ILF",7.5,IF(H750="EIF",5.4)))))))</f>
        <v/>
      </c>
      <c r="M750" s="30" t="str">
        <f t="shared" si="72"/>
        <v/>
      </c>
      <c r="N750" s="134"/>
      <c r="O750" s="29"/>
      <c r="P750" s="37" t="str">
        <f t="shared" si="73"/>
        <v/>
      </c>
      <c r="Q750" s="38" t="str">
        <f t="shared" si="74"/>
        <v/>
      </c>
      <c r="R750" s="37" t="str">
        <f t="shared" si="75"/>
        <v/>
      </c>
      <c r="S750" s="37" t="str">
        <f t="shared" si="76"/>
        <v/>
      </c>
      <c r="T750" s="38" t="str">
        <f t="shared" si="77"/>
        <v/>
      </c>
      <c r="U750" s="37" t="str">
        <f t="shared" si="78"/>
        <v/>
      </c>
    </row>
    <row r="751" spans="2:21" ht="17.25">
      <c r="B751" s="156"/>
      <c r="C751" s="156"/>
      <c r="D751" s="157"/>
      <c r="E751" s="155"/>
      <c r="F751" s="151"/>
      <c r="G751" s="152"/>
      <c r="H751" s="153"/>
      <c r="I751" s="154"/>
      <c r="J751" s="154"/>
      <c r="K751" s="30" t="str">
        <f>IF(H751="","",IF($C$30="간이법","",FPR(H751,I751,J751)))</f>
        <v/>
      </c>
      <c r="L751" s="30" t="str">
        <f>IF(H751="","",IF($C$30="상세법",FPV(H751,K751),IF(H751="EI",4,IF(H751="EO",5.2,IF(H751="EQ",3.9,IF(H751="ILF",7.5,IF(H751="EIF",5.4)))))))</f>
        <v/>
      </c>
      <c r="M751" s="30" t="str">
        <f t="shared" si="72"/>
        <v/>
      </c>
      <c r="N751" s="134"/>
      <c r="O751" s="29"/>
      <c r="P751" s="37" t="str">
        <f t="shared" si="73"/>
        <v/>
      </c>
      <c r="Q751" s="38" t="str">
        <f t="shared" si="74"/>
        <v/>
      </c>
      <c r="R751" s="37" t="str">
        <f t="shared" si="75"/>
        <v/>
      </c>
      <c r="S751" s="37" t="str">
        <f t="shared" si="76"/>
        <v/>
      </c>
      <c r="T751" s="38" t="str">
        <f t="shared" si="77"/>
        <v/>
      </c>
      <c r="U751" s="37" t="str">
        <f t="shared" si="78"/>
        <v/>
      </c>
    </row>
    <row r="752" spans="2:21" ht="17.25">
      <c r="B752" s="156"/>
      <c r="C752" s="156"/>
      <c r="D752" s="157"/>
      <c r="E752" s="155"/>
      <c r="F752" s="151"/>
      <c r="G752" s="152"/>
      <c r="H752" s="153"/>
      <c r="I752" s="154"/>
      <c r="J752" s="154"/>
      <c r="K752" s="30" t="str">
        <f>IF(H752="","",IF($C$30="간이법","",FPR(H752,I752,J752)))</f>
        <v/>
      </c>
      <c r="L752" s="30" t="str">
        <f>IF(H752="","",IF($C$30="상세법",FPV(H752,K752),IF(H752="EI",4,IF(H752="EO",5.2,IF(H752="EQ",3.9,IF(H752="ILF",7.5,IF(H752="EIF",5.4)))))))</f>
        <v/>
      </c>
      <c r="M752" s="30" t="str">
        <f t="shared" si="72"/>
        <v/>
      </c>
      <c r="N752" s="134"/>
      <c r="O752" s="29"/>
      <c r="P752" s="37" t="str">
        <f t="shared" si="73"/>
        <v/>
      </c>
      <c r="Q752" s="38" t="str">
        <f t="shared" si="74"/>
        <v/>
      </c>
      <c r="R752" s="37" t="str">
        <f t="shared" si="75"/>
        <v/>
      </c>
      <c r="S752" s="37" t="str">
        <f t="shared" si="76"/>
        <v/>
      </c>
      <c r="T752" s="38" t="str">
        <f t="shared" si="77"/>
        <v/>
      </c>
      <c r="U752" s="37" t="str">
        <f t="shared" si="78"/>
        <v/>
      </c>
    </row>
    <row r="753" spans="2:21" ht="17.25">
      <c r="B753" s="156"/>
      <c r="C753" s="156"/>
      <c r="D753" s="157"/>
      <c r="E753" s="155"/>
      <c r="F753" s="151"/>
      <c r="G753" s="152"/>
      <c r="H753" s="153"/>
      <c r="I753" s="154"/>
      <c r="J753" s="154"/>
      <c r="K753" s="30" t="str">
        <f>IF(H753="","",IF($C$30="간이법","",FPR(H753,I753,J753)))</f>
        <v/>
      </c>
      <c r="L753" s="30" t="str">
        <f>IF(H753="","",IF($C$30="상세법",FPV(H753,K753),IF(H753="EI",4,IF(H753="EO",5.2,IF(H753="EQ",3.9,IF(H753="ILF",7.5,IF(H753="EIF",5.4)))))))</f>
        <v/>
      </c>
      <c r="M753" s="30" t="str">
        <f t="shared" si="72"/>
        <v/>
      </c>
      <c r="N753" s="134"/>
      <c r="O753" s="29"/>
      <c r="P753" s="37" t="str">
        <f t="shared" si="73"/>
        <v/>
      </c>
      <c r="Q753" s="38" t="str">
        <f t="shared" si="74"/>
        <v/>
      </c>
      <c r="R753" s="37" t="str">
        <f t="shared" si="75"/>
        <v/>
      </c>
      <c r="S753" s="37" t="str">
        <f t="shared" si="76"/>
        <v/>
      </c>
      <c r="T753" s="38" t="str">
        <f t="shared" si="77"/>
        <v/>
      </c>
      <c r="U753" s="37" t="str">
        <f t="shared" si="78"/>
        <v/>
      </c>
    </row>
    <row r="754" spans="2:21" ht="17.25">
      <c r="B754" s="156"/>
      <c r="C754" s="156"/>
      <c r="D754" s="157"/>
      <c r="E754" s="155"/>
      <c r="F754" s="151"/>
      <c r="G754" s="152"/>
      <c r="H754" s="153"/>
      <c r="I754" s="154"/>
      <c r="J754" s="154"/>
      <c r="K754" s="30" t="str">
        <f>IF(H754="","",IF($C$30="간이법","",FPR(H754,I754,J754)))</f>
        <v/>
      </c>
      <c r="L754" s="30" t="str">
        <f>IF(H754="","",IF($C$30="상세법",FPV(H754,K754),IF(H754="EI",4,IF(H754="EO",5.2,IF(H754="EQ",3.9,IF(H754="ILF",7.5,IF(H754="EIF",5.4)))))))</f>
        <v/>
      </c>
      <c r="M754" s="30" t="str">
        <f t="shared" si="72"/>
        <v/>
      </c>
      <c r="N754" s="134"/>
      <c r="O754" s="29"/>
      <c r="P754" s="37" t="str">
        <f t="shared" si="73"/>
        <v/>
      </c>
      <c r="Q754" s="38" t="str">
        <f t="shared" si="74"/>
        <v/>
      </c>
      <c r="R754" s="37" t="str">
        <f t="shared" si="75"/>
        <v/>
      </c>
      <c r="S754" s="37" t="str">
        <f t="shared" si="76"/>
        <v/>
      </c>
      <c r="T754" s="38" t="str">
        <f t="shared" si="77"/>
        <v/>
      </c>
      <c r="U754" s="37" t="str">
        <f t="shared" si="78"/>
        <v/>
      </c>
    </row>
    <row r="755" spans="2:21" ht="17.25">
      <c r="B755" s="156"/>
      <c r="C755" s="156"/>
      <c r="D755" s="157"/>
      <c r="E755" s="155"/>
      <c r="F755" s="151"/>
      <c r="G755" s="152"/>
      <c r="H755" s="153"/>
      <c r="I755" s="154"/>
      <c r="J755" s="154"/>
      <c r="K755" s="30" t="str">
        <f>IF(H755="","",IF($C$30="간이법","",FPR(H755,I755,J755)))</f>
        <v/>
      </c>
      <c r="L755" s="30" t="str">
        <f>IF(H755="","",IF($C$30="상세법",FPV(H755,K755),IF(H755="EI",4,IF(H755="EO",5.2,IF(H755="EQ",3.9,IF(H755="ILF",7.5,IF(H755="EIF",5.4)))))))</f>
        <v/>
      </c>
      <c r="M755" s="30" t="str">
        <f t="shared" si="72"/>
        <v/>
      </c>
      <c r="N755" s="134"/>
      <c r="O755" s="29"/>
      <c r="P755" s="37" t="str">
        <f t="shared" si="73"/>
        <v/>
      </c>
      <c r="Q755" s="38" t="str">
        <f t="shared" si="74"/>
        <v/>
      </c>
      <c r="R755" s="37" t="str">
        <f t="shared" si="75"/>
        <v/>
      </c>
      <c r="S755" s="37" t="str">
        <f t="shared" si="76"/>
        <v/>
      </c>
      <c r="T755" s="38" t="str">
        <f t="shared" si="77"/>
        <v/>
      </c>
      <c r="U755" s="37" t="str">
        <f t="shared" si="78"/>
        <v/>
      </c>
    </row>
    <row r="756" spans="2:21" ht="17.25">
      <c r="B756" s="156"/>
      <c r="C756" s="156"/>
      <c r="D756" s="157"/>
      <c r="E756" s="155"/>
      <c r="F756" s="151"/>
      <c r="G756" s="152"/>
      <c r="H756" s="153"/>
      <c r="I756" s="154"/>
      <c r="J756" s="154"/>
      <c r="K756" s="30" t="str">
        <f>IF(H756="","",IF($C$30="간이법","",FPR(H756,I756,J756)))</f>
        <v/>
      </c>
      <c r="L756" s="30" t="str">
        <f>IF(H756="","",IF($C$30="상세법",FPV(H756,K756),IF(H756="EI",4,IF(H756="EO",5.2,IF(H756="EQ",3.9,IF(H756="ILF",7.5,IF(H756="EIF",5.4)))))))</f>
        <v/>
      </c>
      <c r="M756" s="30" t="str">
        <f t="shared" si="72"/>
        <v/>
      </c>
      <c r="N756" s="134"/>
      <c r="O756" s="29"/>
      <c r="P756" s="37" t="str">
        <f t="shared" si="73"/>
        <v/>
      </c>
      <c r="Q756" s="38" t="str">
        <f t="shared" si="74"/>
        <v/>
      </c>
      <c r="R756" s="37" t="str">
        <f t="shared" si="75"/>
        <v/>
      </c>
      <c r="S756" s="37" t="str">
        <f t="shared" si="76"/>
        <v/>
      </c>
      <c r="T756" s="38" t="str">
        <f t="shared" si="77"/>
        <v/>
      </c>
      <c r="U756" s="37" t="str">
        <f t="shared" si="78"/>
        <v/>
      </c>
    </row>
    <row r="757" spans="2:21" ht="17.25">
      <c r="B757" s="156"/>
      <c r="C757" s="156"/>
      <c r="D757" s="157"/>
      <c r="E757" s="155"/>
      <c r="F757" s="151"/>
      <c r="G757" s="152"/>
      <c r="H757" s="153"/>
      <c r="I757" s="154"/>
      <c r="J757" s="154"/>
      <c r="K757" s="30" t="str">
        <f>IF(H757="","",IF($C$30="간이법","",FPR(H757,I757,J757)))</f>
        <v/>
      </c>
      <c r="L757" s="30" t="str">
        <f>IF(H757="","",IF($C$30="상세법",FPV(H757,K757),IF(H757="EI",4,IF(H757="EO",5.2,IF(H757="EQ",3.9,IF(H757="ILF",7.5,IF(H757="EIF",5.4)))))))</f>
        <v/>
      </c>
      <c r="M757" s="30" t="str">
        <f t="shared" si="72"/>
        <v/>
      </c>
      <c r="N757" s="134"/>
      <c r="O757" s="29"/>
      <c r="P757" s="37" t="str">
        <f t="shared" si="73"/>
        <v/>
      </c>
      <c r="Q757" s="38" t="str">
        <f t="shared" si="74"/>
        <v/>
      </c>
      <c r="R757" s="37" t="str">
        <f t="shared" si="75"/>
        <v/>
      </c>
      <c r="S757" s="37" t="str">
        <f t="shared" si="76"/>
        <v/>
      </c>
      <c r="T757" s="38" t="str">
        <f t="shared" si="77"/>
        <v/>
      </c>
      <c r="U757" s="37" t="str">
        <f t="shared" si="78"/>
        <v/>
      </c>
    </row>
    <row r="758" spans="2:21" ht="17.25">
      <c r="B758" s="156"/>
      <c r="C758" s="156"/>
      <c r="D758" s="157"/>
      <c r="E758" s="155"/>
      <c r="F758" s="151"/>
      <c r="G758" s="152"/>
      <c r="H758" s="153"/>
      <c r="I758" s="154"/>
      <c r="J758" s="154"/>
      <c r="K758" s="30" t="str">
        <f>IF(H758="","",IF($C$30="간이법","",FPR(H758,I758,J758)))</f>
        <v/>
      </c>
      <c r="L758" s="30" t="str">
        <f>IF(H758="","",IF($C$30="상세법",FPV(H758,K758),IF(H758="EI",4,IF(H758="EO",5.2,IF(H758="EQ",3.9,IF(H758="ILF",7.5,IF(H758="EIF",5.4)))))))</f>
        <v/>
      </c>
      <c r="M758" s="30" t="str">
        <f t="shared" si="72"/>
        <v/>
      </c>
      <c r="N758" s="134"/>
      <c r="O758" s="29"/>
      <c r="P758" s="37" t="str">
        <f t="shared" si="73"/>
        <v/>
      </c>
      <c r="Q758" s="38" t="str">
        <f t="shared" si="74"/>
        <v/>
      </c>
      <c r="R758" s="37" t="str">
        <f t="shared" si="75"/>
        <v/>
      </c>
      <c r="S758" s="37" t="str">
        <f t="shared" si="76"/>
        <v/>
      </c>
      <c r="T758" s="38" t="str">
        <f t="shared" si="77"/>
        <v/>
      </c>
      <c r="U758" s="37" t="str">
        <f t="shared" si="78"/>
        <v/>
      </c>
    </row>
    <row r="759" spans="2:21" ht="17.25">
      <c r="B759" s="156"/>
      <c r="C759" s="156"/>
      <c r="D759" s="157"/>
      <c r="E759" s="155"/>
      <c r="F759" s="151"/>
      <c r="G759" s="152"/>
      <c r="H759" s="153"/>
      <c r="I759" s="154"/>
      <c r="J759" s="154"/>
      <c r="K759" s="30" t="str">
        <f>IF(H759="","",IF($C$30="간이법","",FPR(H759,I759,J759)))</f>
        <v/>
      </c>
      <c r="L759" s="30" t="str">
        <f>IF(H759="","",IF($C$30="상세법",FPV(H759,K759),IF(H759="EI",4,IF(H759="EO",5.2,IF(H759="EQ",3.9,IF(H759="ILF",7.5,IF(H759="EIF",5.4)))))))</f>
        <v/>
      </c>
      <c r="M759" s="30" t="str">
        <f t="shared" si="72"/>
        <v/>
      </c>
      <c r="N759" s="134"/>
      <c r="O759" s="29"/>
      <c r="P759" s="37" t="str">
        <f t="shared" si="73"/>
        <v/>
      </c>
      <c r="Q759" s="38" t="str">
        <f t="shared" si="74"/>
        <v/>
      </c>
      <c r="R759" s="37" t="str">
        <f t="shared" si="75"/>
        <v/>
      </c>
      <c r="S759" s="37" t="str">
        <f t="shared" si="76"/>
        <v/>
      </c>
      <c r="T759" s="38" t="str">
        <f t="shared" si="77"/>
        <v/>
      </c>
      <c r="U759" s="37" t="str">
        <f t="shared" si="78"/>
        <v/>
      </c>
    </row>
    <row r="760" spans="2:21" ht="17.25">
      <c r="B760" s="156"/>
      <c r="C760" s="156"/>
      <c r="D760" s="157"/>
      <c r="E760" s="155"/>
      <c r="F760" s="151"/>
      <c r="G760" s="152"/>
      <c r="H760" s="153"/>
      <c r="I760" s="154"/>
      <c r="J760" s="154"/>
      <c r="K760" s="30" t="str">
        <f>IF(H760="","",IF($C$30="간이법","",FPR(H760,I760,J760)))</f>
        <v/>
      </c>
      <c r="L760" s="30" t="str">
        <f>IF(H760="","",IF($C$30="상세법",FPV(H760,K760),IF(H760="EI",4,IF(H760="EO",5.2,IF(H760="EQ",3.9,IF(H760="ILF",7.5,IF(H760="EIF",5.4)))))))</f>
        <v/>
      </c>
      <c r="M760" s="30" t="str">
        <f t="shared" si="72"/>
        <v/>
      </c>
      <c r="N760" s="134"/>
      <c r="O760" s="29"/>
      <c r="P760" s="37" t="str">
        <f t="shared" si="73"/>
        <v/>
      </c>
      <c r="Q760" s="38" t="str">
        <f t="shared" si="74"/>
        <v/>
      </c>
      <c r="R760" s="37" t="str">
        <f t="shared" si="75"/>
        <v/>
      </c>
      <c r="S760" s="37" t="str">
        <f t="shared" si="76"/>
        <v/>
      </c>
      <c r="T760" s="38" t="str">
        <f t="shared" si="77"/>
        <v/>
      </c>
      <c r="U760" s="37" t="str">
        <f t="shared" si="78"/>
        <v/>
      </c>
    </row>
    <row r="761" spans="2:21" ht="17.25">
      <c r="B761" s="156"/>
      <c r="C761" s="156"/>
      <c r="D761" s="157"/>
      <c r="E761" s="155"/>
      <c r="F761" s="151"/>
      <c r="G761" s="152"/>
      <c r="H761" s="153"/>
      <c r="I761" s="154"/>
      <c r="J761" s="154"/>
      <c r="K761" s="30" t="str">
        <f>IF(H761="","",IF($C$30="간이법","",FPR(H761,I761,J761)))</f>
        <v/>
      </c>
      <c r="L761" s="30" t="str">
        <f>IF(H761="","",IF($C$30="상세법",FPV(H761,K761),IF(H761="EI",4,IF(H761="EO",5.2,IF(H761="EQ",3.9,IF(H761="ILF",7.5,IF(H761="EIF",5.4)))))))</f>
        <v/>
      </c>
      <c r="M761" s="30" t="str">
        <f t="shared" si="72"/>
        <v/>
      </c>
      <c r="N761" s="134"/>
      <c r="O761" s="29"/>
      <c r="P761" s="37" t="str">
        <f t="shared" si="73"/>
        <v/>
      </c>
      <c r="Q761" s="38" t="str">
        <f t="shared" si="74"/>
        <v/>
      </c>
      <c r="R761" s="37" t="str">
        <f t="shared" si="75"/>
        <v/>
      </c>
      <c r="S761" s="37" t="str">
        <f t="shared" si="76"/>
        <v/>
      </c>
      <c r="T761" s="38" t="str">
        <f t="shared" si="77"/>
        <v/>
      </c>
      <c r="U761" s="37" t="str">
        <f t="shared" si="78"/>
        <v/>
      </c>
    </row>
    <row r="762" spans="2:21" ht="17.25">
      <c r="B762" s="156"/>
      <c r="C762" s="156"/>
      <c r="D762" s="157"/>
      <c r="E762" s="155"/>
      <c r="F762" s="151"/>
      <c r="G762" s="152"/>
      <c r="H762" s="153"/>
      <c r="I762" s="154"/>
      <c r="J762" s="154"/>
      <c r="K762" s="30" t="str">
        <f>IF(H762="","",IF($C$30="간이법","",FPR(H762,I762,J762)))</f>
        <v/>
      </c>
      <c r="L762" s="30" t="str">
        <f>IF(H762="","",IF($C$30="상세법",FPV(H762,K762),IF(H762="EI",4,IF(H762="EO",5.2,IF(H762="EQ",3.9,IF(H762="ILF",7.5,IF(H762="EIF",5.4)))))))</f>
        <v/>
      </c>
      <c r="M762" s="30" t="str">
        <f t="shared" si="72"/>
        <v/>
      </c>
      <c r="N762" s="134"/>
      <c r="O762" s="29"/>
      <c r="P762" s="37" t="str">
        <f t="shared" si="73"/>
        <v/>
      </c>
      <c r="Q762" s="38" t="str">
        <f t="shared" si="74"/>
        <v/>
      </c>
      <c r="R762" s="37" t="str">
        <f t="shared" si="75"/>
        <v/>
      </c>
      <c r="S762" s="37" t="str">
        <f t="shared" si="76"/>
        <v/>
      </c>
      <c r="T762" s="38" t="str">
        <f t="shared" si="77"/>
        <v/>
      </c>
      <c r="U762" s="37" t="str">
        <f t="shared" si="78"/>
        <v/>
      </c>
    </row>
    <row r="763" spans="2:21" ht="17.25">
      <c r="B763" s="156"/>
      <c r="C763" s="156"/>
      <c r="D763" s="157"/>
      <c r="E763" s="155"/>
      <c r="F763" s="151"/>
      <c r="G763" s="152"/>
      <c r="H763" s="153"/>
      <c r="I763" s="154"/>
      <c r="J763" s="154"/>
      <c r="K763" s="30" t="str">
        <f>IF(H763="","",IF($C$30="간이법","",FPR(H763,I763,J763)))</f>
        <v/>
      </c>
      <c r="L763" s="30" t="str">
        <f>IF(H763="","",IF($C$30="상세법",FPV(H763,K763),IF(H763="EI",4,IF(H763="EO",5.2,IF(H763="EQ",3.9,IF(H763="ILF",7.5,IF(H763="EIF",5.4)))))))</f>
        <v/>
      </c>
      <c r="M763" s="30" t="str">
        <f t="shared" si="72"/>
        <v/>
      </c>
      <c r="N763" s="134"/>
      <c r="O763" s="29"/>
      <c r="P763" s="37" t="str">
        <f t="shared" si="73"/>
        <v/>
      </c>
      <c r="Q763" s="38" t="str">
        <f t="shared" si="74"/>
        <v/>
      </c>
      <c r="R763" s="37" t="str">
        <f t="shared" si="75"/>
        <v/>
      </c>
      <c r="S763" s="37" t="str">
        <f t="shared" si="76"/>
        <v/>
      </c>
      <c r="T763" s="38" t="str">
        <f t="shared" si="77"/>
        <v/>
      </c>
      <c r="U763" s="37" t="str">
        <f t="shared" si="78"/>
        <v/>
      </c>
    </row>
    <row r="764" spans="2:21" ht="17.25">
      <c r="B764" s="156"/>
      <c r="C764" s="156"/>
      <c r="D764" s="157"/>
      <c r="E764" s="155"/>
      <c r="F764" s="151"/>
      <c r="G764" s="152"/>
      <c r="H764" s="153"/>
      <c r="I764" s="154"/>
      <c r="J764" s="154"/>
      <c r="K764" s="30" t="str">
        <f>IF(H764="","",IF($C$30="간이법","",FPR(H764,I764,J764)))</f>
        <v/>
      </c>
      <c r="L764" s="30" t="str">
        <f>IF(H764="","",IF($C$30="상세법",FPV(H764,K764),IF(H764="EI",4,IF(H764="EO",5.2,IF(H764="EQ",3.9,IF(H764="ILF",7.5,IF(H764="EIF",5.4)))))))</f>
        <v/>
      </c>
      <c r="M764" s="30" t="str">
        <f t="shared" ref="M764:M827" si="79">IF(OR(G764="",$E$36="(선택)",$E$40="(선택)",$E$41="(선택)",F764="신규 개발",F764="수정 없이 재사용"),"",(IF(F764="수정 후 재사용",IF($E$50&lt;=0.5,L764*($E$36+$E$50*100*(1+0.02*($E$40*$E$41)))/100,L764*($E$36+$E$50*100+($E$40*$E$41))/100))))</f>
        <v/>
      </c>
      <c r="N764" s="134"/>
      <c r="O764" s="29"/>
      <c r="P764" s="37" t="str">
        <f t="shared" ref="P764:P827" si="80">IF(F764="수정 후 재사용",IF(H764="ILF",G764,IF(H764="EIF",G764,"")),"")</f>
        <v/>
      </c>
      <c r="Q764" s="38" t="str">
        <f t="shared" ref="Q764:Q827" si="81">IF(P764&lt;&gt;"",IF(H764="ILF", L764/$E$46,IF(H764="EIF", L764/$E$46,"")),"")</f>
        <v/>
      </c>
      <c r="R764" s="37" t="str">
        <f t="shared" ref="R764:R827" si="82">IF(P764&lt;&gt;"",P764*Q764,"")</f>
        <v/>
      </c>
      <c r="S764" s="37" t="str">
        <f t="shared" ref="S764:S827" si="83">IF(F764="수정 후 재사용",IF(H764="EI",G764,IF(H764="EO",G764,IF(H764="EQ",G764,""))),"")</f>
        <v/>
      </c>
      <c r="T764" s="38" t="str">
        <f t="shared" ref="T764:T827" si="84">IF(S764&lt;&gt;"",IF(H764="EI",L764/$E$47,IF(H764="EO",L764/$E$47,IF(H764="EQ",L764/$E$47,""))),"")</f>
        <v/>
      </c>
      <c r="U764" s="37" t="str">
        <f t="shared" ref="U764:U827" si="85">IF(S764&lt;&gt;"",S764*T764,"")</f>
        <v/>
      </c>
    </row>
    <row r="765" spans="2:21" ht="17.25">
      <c r="B765" s="156"/>
      <c r="C765" s="156"/>
      <c r="D765" s="157"/>
      <c r="E765" s="155"/>
      <c r="F765" s="151"/>
      <c r="G765" s="152"/>
      <c r="H765" s="153"/>
      <c r="I765" s="154"/>
      <c r="J765" s="154"/>
      <c r="K765" s="30" t="str">
        <f>IF(H765="","",IF($C$30="간이법","",FPR(H765,I765,J765)))</f>
        <v/>
      </c>
      <c r="L765" s="30" t="str">
        <f>IF(H765="","",IF($C$30="상세법",FPV(H765,K765),IF(H765="EI",4,IF(H765="EO",5.2,IF(H765="EQ",3.9,IF(H765="ILF",7.5,IF(H765="EIF",5.4)))))))</f>
        <v/>
      </c>
      <c r="M765" s="30" t="str">
        <f t="shared" si="79"/>
        <v/>
      </c>
      <c r="N765" s="134"/>
      <c r="O765" s="29"/>
      <c r="P765" s="37" t="str">
        <f t="shared" si="80"/>
        <v/>
      </c>
      <c r="Q765" s="38" t="str">
        <f t="shared" si="81"/>
        <v/>
      </c>
      <c r="R765" s="37" t="str">
        <f t="shared" si="82"/>
        <v/>
      </c>
      <c r="S765" s="37" t="str">
        <f t="shared" si="83"/>
        <v/>
      </c>
      <c r="T765" s="38" t="str">
        <f t="shared" si="84"/>
        <v/>
      </c>
      <c r="U765" s="37" t="str">
        <f t="shared" si="85"/>
        <v/>
      </c>
    </row>
    <row r="766" spans="2:21" ht="17.25">
      <c r="B766" s="156"/>
      <c r="C766" s="156"/>
      <c r="D766" s="157"/>
      <c r="E766" s="155"/>
      <c r="F766" s="151"/>
      <c r="G766" s="152"/>
      <c r="H766" s="153"/>
      <c r="I766" s="154"/>
      <c r="J766" s="154"/>
      <c r="K766" s="30" t="str">
        <f>IF(H766="","",IF($C$30="간이법","",FPR(H766,I766,J766)))</f>
        <v/>
      </c>
      <c r="L766" s="30" t="str">
        <f>IF(H766="","",IF($C$30="상세법",FPV(H766,K766),IF(H766="EI",4,IF(H766="EO",5.2,IF(H766="EQ",3.9,IF(H766="ILF",7.5,IF(H766="EIF",5.4)))))))</f>
        <v/>
      </c>
      <c r="M766" s="30" t="str">
        <f t="shared" si="79"/>
        <v/>
      </c>
      <c r="N766" s="134"/>
      <c r="O766" s="29"/>
      <c r="P766" s="37" t="str">
        <f t="shared" si="80"/>
        <v/>
      </c>
      <c r="Q766" s="38" t="str">
        <f t="shared" si="81"/>
        <v/>
      </c>
      <c r="R766" s="37" t="str">
        <f t="shared" si="82"/>
        <v/>
      </c>
      <c r="S766" s="37" t="str">
        <f t="shared" si="83"/>
        <v/>
      </c>
      <c r="T766" s="38" t="str">
        <f t="shared" si="84"/>
        <v/>
      </c>
      <c r="U766" s="37" t="str">
        <f t="shared" si="85"/>
        <v/>
      </c>
    </row>
    <row r="767" spans="2:21" ht="17.25">
      <c r="B767" s="156"/>
      <c r="C767" s="156"/>
      <c r="D767" s="157"/>
      <c r="E767" s="155"/>
      <c r="F767" s="151"/>
      <c r="G767" s="152"/>
      <c r="H767" s="153"/>
      <c r="I767" s="154"/>
      <c r="J767" s="154"/>
      <c r="K767" s="30" t="str">
        <f>IF(H767="","",IF($C$30="간이법","",FPR(H767,I767,J767)))</f>
        <v/>
      </c>
      <c r="L767" s="30" t="str">
        <f>IF(H767="","",IF($C$30="상세법",FPV(H767,K767),IF(H767="EI",4,IF(H767="EO",5.2,IF(H767="EQ",3.9,IF(H767="ILF",7.5,IF(H767="EIF",5.4)))))))</f>
        <v/>
      </c>
      <c r="M767" s="30" t="str">
        <f t="shared" si="79"/>
        <v/>
      </c>
      <c r="N767" s="134"/>
      <c r="O767" s="29"/>
      <c r="P767" s="37" t="str">
        <f t="shared" si="80"/>
        <v/>
      </c>
      <c r="Q767" s="38" t="str">
        <f t="shared" si="81"/>
        <v/>
      </c>
      <c r="R767" s="37" t="str">
        <f t="shared" si="82"/>
        <v/>
      </c>
      <c r="S767" s="37" t="str">
        <f t="shared" si="83"/>
        <v/>
      </c>
      <c r="T767" s="38" t="str">
        <f t="shared" si="84"/>
        <v/>
      </c>
      <c r="U767" s="37" t="str">
        <f t="shared" si="85"/>
        <v/>
      </c>
    </row>
    <row r="768" spans="2:21" ht="17.25">
      <c r="B768" s="156"/>
      <c r="C768" s="156"/>
      <c r="D768" s="157"/>
      <c r="E768" s="155"/>
      <c r="F768" s="151"/>
      <c r="G768" s="152"/>
      <c r="H768" s="153"/>
      <c r="I768" s="154"/>
      <c r="J768" s="154"/>
      <c r="K768" s="30" t="str">
        <f>IF(H768="","",IF($C$30="간이법","",FPR(H768,I768,J768)))</f>
        <v/>
      </c>
      <c r="L768" s="30" t="str">
        <f>IF(H768="","",IF($C$30="상세법",FPV(H768,K768),IF(H768="EI",4,IF(H768="EO",5.2,IF(H768="EQ",3.9,IF(H768="ILF",7.5,IF(H768="EIF",5.4)))))))</f>
        <v/>
      </c>
      <c r="M768" s="30" t="str">
        <f t="shared" si="79"/>
        <v/>
      </c>
      <c r="N768" s="134"/>
      <c r="O768" s="29"/>
      <c r="P768" s="37" t="str">
        <f t="shared" si="80"/>
        <v/>
      </c>
      <c r="Q768" s="38" t="str">
        <f t="shared" si="81"/>
        <v/>
      </c>
      <c r="R768" s="37" t="str">
        <f t="shared" si="82"/>
        <v/>
      </c>
      <c r="S768" s="37" t="str">
        <f t="shared" si="83"/>
        <v/>
      </c>
      <c r="T768" s="38" t="str">
        <f t="shared" si="84"/>
        <v/>
      </c>
      <c r="U768" s="37" t="str">
        <f t="shared" si="85"/>
        <v/>
      </c>
    </row>
    <row r="769" spans="2:21" ht="17.25">
      <c r="B769" s="156"/>
      <c r="C769" s="156"/>
      <c r="D769" s="157"/>
      <c r="E769" s="155"/>
      <c r="F769" s="151"/>
      <c r="G769" s="152"/>
      <c r="H769" s="153"/>
      <c r="I769" s="154"/>
      <c r="J769" s="154"/>
      <c r="K769" s="30" t="str">
        <f>IF(H769="","",IF($C$30="간이법","",FPR(H769,I769,J769)))</f>
        <v/>
      </c>
      <c r="L769" s="30" t="str">
        <f>IF(H769="","",IF($C$30="상세법",FPV(H769,K769),IF(H769="EI",4,IF(H769="EO",5.2,IF(H769="EQ",3.9,IF(H769="ILF",7.5,IF(H769="EIF",5.4)))))))</f>
        <v/>
      </c>
      <c r="M769" s="30" t="str">
        <f t="shared" si="79"/>
        <v/>
      </c>
      <c r="N769" s="134"/>
      <c r="O769" s="29"/>
      <c r="P769" s="37" t="str">
        <f t="shared" si="80"/>
        <v/>
      </c>
      <c r="Q769" s="38" t="str">
        <f t="shared" si="81"/>
        <v/>
      </c>
      <c r="R769" s="37" t="str">
        <f t="shared" si="82"/>
        <v/>
      </c>
      <c r="S769" s="37" t="str">
        <f t="shared" si="83"/>
        <v/>
      </c>
      <c r="T769" s="38" t="str">
        <f t="shared" si="84"/>
        <v/>
      </c>
      <c r="U769" s="37" t="str">
        <f t="shared" si="85"/>
        <v/>
      </c>
    </row>
    <row r="770" spans="2:21" ht="17.25">
      <c r="B770" s="156"/>
      <c r="C770" s="156"/>
      <c r="D770" s="157"/>
      <c r="E770" s="155"/>
      <c r="F770" s="151"/>
      <c r="G770" s="152"/>
      <c r="H770" s="153"/>
      <c r="I770" s="154"/>
      <c r="J770" s="154"/>
      <c r="K770" s="30" t="str">
        <f>IF(H770="","",IF($C$30="간이법","",FPR(H770,I770,J770)))</f>
        <v/>
      </c>
      <c r="L770" s="30" t="str">
        <f>IF(H770="","",IF($C$30="상세법",FPV(H770,K770),IF(H770="EI",4,IF(H770="EO",5.2,IF(H770="EQ",3.9,IF(H770="ILF",7.5,IF(H770="EIF",5.4)))))))</f>
        <v/>
      </c>
      <c r="M770" s="30" t="str">
        <f t="shared" si="79"/>
        <v/>
      </c>
      <c r="N770" s="134"/>
      <c r="O770" s="29"/>
      <c r="P770" s="37" t="str">
        <f t="shared" si="80"/>
        <v/>
      </c>
      <c r="Q770" s="38" t="str">
        <f t="shared" si="81"/>
        <v/>
      </c>
      <c r="R770" s="37" t="str">
        <f t="shared" si="82"/>
        <v/>
      </c>
      <c r="S770" s="37" t="str">
        <f t="shared" si="83"/>
        <v/>
      </c>
      <c r="T770" s="38" t="str">
        <f t="shared" si="84"/>
        <v/>
      </c>
      <c r="U770" s="37" t="str">
        <f t="shared" si="85"/>
        <v/>
      </c>
    </row>
    <row r="771" spans="2:21" ht="17.25">
      <c r="B771" s="156"/>
      <c r="C771" s="156"/>
      <c r="D771" s="157"/>
      <c r="E771" s="155"/>
      <c r="F771" s="151"/>
      <c r="G771" s="152"/>
      <c r="H771" s="153"/>
      <c r="I771" s="154"/>
      <c r="J771" s="154"/>
      <c r="K771" s="30" t="str">
        <f>IF(H771="","",IF($C$30="간이법","",FPR(H771,I771,J771)))</f>
        <v/>
      </c>
      <c r="L771" s="30" t="str">
        <f>IF(H771="","",IF($C$30="상세법",FPV(H771,K771),IF(H771="EI",4,IF(H771="EO",5.2,IF(H771="EQ",3.9,IF(H771="ILF",7.5,IF(H771="EIF",5.4)))))))</f>
        <v/>
      </c>
      <c r="M771" s="30" t="str">
        <f t="shared" si="79"/>
        <v/>
      </c>
      <c r="N771" s="134"/>
      <c r="O771" s="29"/>
      <c r="P771" s="37" t="str">
        <f t="shared" si="80"/>
        <v/>
      </c>
      <c r="Q771" s="38" t="str">
        <f t="shared" si="81"/>
        <v/>
      </c>
      <c r="R771" s="37" t="str">
        <f t="shared" si="82"/>
        <v/>
      </c>
      <c r="S771" s="37" t="str">
        <f t="shared" si="83"/>
        <v/>
      </c>
      <c r="T771" s="38" t="str">
        <f t="shared" si="84"/>
        <v/>
      </c>
      <c r="U771" s="37" t="str">
        <f t="shared" si="85"/>
        <v/>
      </c>
    </row>
    <row r="772" spans="2:21" ht="17.25">
      <c r="B772" s="156"/>
      <c r="C772" s="156"/>
      <c r="D772" s="157"/>
      <c r="E772" s="155"/>
      <c r="F772" s="151"/>
      <c r="G772" s="152"/>
      <c r="H772" s="153"/>
      <c r="I772" s="154"/>
      <c r="J772" s="154"/>
      <c r="K772" s="30" t="str">
        <f>IF(H772="","",IF($C$30="간이법","",FPR(H772,I772,J772)))</f>
        <v/>
      </c>
      <c r="L772" s="30" t="str">
        <f>IF(H772="","",IF($C$30="상세법",FPV(H772,K772),IF(H772="EI",4,IF(H772="EO",5.2,IF(H772="EQ",3.9,IF(H772="ILF",7.5,IF(H772="EIF",5.4)))))))</f>
        <v/>
      </c>
      <c r="M772" s="30" t="str">
        <f t="shared" si="79"/>
        <v/>
      </c>
      <c r="N772" s="134"/>
      <c r="O772" s="29"/>
      <c r="P772" s="37" t="str">
        <f t="shared" si="80"/>
        <v/>
      </c>
      <c r="Q772" s="38" t="str">
        <f t="shared" si="81"/>
        <v/>
      </c>
      <c r="R772" s="37" t="str">
        <f t="shared" si="82"/>
        <v/>
      </c>
      <c r="S772" s="37" t="str">
        <f t="shared" si="83"/>
        <v/>
      </c>
      <c r="T772" s="38" t="str">
        <f t="shared" si="84"/>
        <v/>
      </c>
      <c r="U772" s="37" t="str">
        <f t="shared" si="85"/>
        <v/>
      </c>
    </row>
    <row r="773" spans="2:21" ht="17.25">
      <c r="B773" s="156"/>
      <c r="C773" s="156"/>
      <c r="D773" s="157"/>
      <c r="E773" s="155"/>
      <c r="F773" s="151"/>
      <c r="G773" s="152"/>
      <c r="H773" s="153"/>
      <c r="I773" s="154"/>
      <c r="J773" s="154"/>
      <c r="K773" s="30" t="str">
        <f>IF(H773="","",IF($C$30="간이법","",FPR(H773,I773,J773)))</f>
        <v/>
      </c>
      <c r="L773" s="30" t="str">
        <f>IF(H773="","",IF($C$30="상세법",FPV(H773,K773),IF(H773="EI",4,IF(H773="EO",5.2,IF(H773="EQ",3.9,IF(H773="ILF",7.5,IF(H773="EIF",5.4)))))))</f>
        <v/>
      </c>
      <c r="M773" s="30" t="str">
        <f t="shared" si="79"/>
        <v/>
      </c>
      <c r="N773" s="134"/>
      <c r="O773" s="29"/>
      <c r="P773" s="37" t="str">
        <f t="shared" si="80"/>
        <v/>
      </c>
      <c r="Q773" s="38" t="str">
        <f t="shared" si="81"/>
        <v/>
      </c>
      <c r="R773" s="37" t="str">
        <f t="shared" si="82"/>
        <v/>
      </c>
      <c r="S773" s="37" t="str">
        <f t="shared" si="83"/>
        <v/>
      </c>
      <c r="T773" s="38" t="str">
        <f t="shared" si="84"/>
        <v/>
      </c>
      <c r="U773" s="37" t="str">
        <f t="shared" si="85"/>
        <v/>
      </c>
    </row>
    <row r="774" spans="2:21" ht="17.25">
      <c r="B774" s="156"/>
      <c r="C774" s="156"/>
      <c r="D774" s="157"/>
      <c r="E774" s="155"/>
      <c r="F774" s="151"/>
      <c r="G774" s="152"/>
      <c r="H774" s="153"/>
      <c r="I774" s="154"/>
      <c r="J774" s="154"/>
      <c r="K774" s="30" t="str">
        <f>IF(H774="","",IF($C$30="간이법","",FPR(H774,I774,J774)))</f>
        <v/>
      </c>
      <c r="L774" s="30" t="str">
        <f>IF(H774="","",IF($C$30="상세법",FPV(H774,K774),IF(H774="EI",4,IF(H774="EO",5.2,IF(H774="EQ",3.9,IF(H774="ILF",7.5,IF(H774="EIF",5.4)))))))</f>
        <v/>
      </c>
      <c r="M774" s="30" t="str">
        <f t="shared" si="79"/>
        <v/>
      </c>
      <c r="N774" s="134"/>
      <c r="O774" s="29"/>
      <c r="P774" s="37" t="str">
        <f t="shared" si="80"/>
        <v/>
      </c>
      <c r="Q774" s="38" t="str">
        <f t="shared" si="81"/>
        <v/>
      </c>
      <c r="R774" s="37" t="str">
        <f t="shared" si="82"/>
        <v/>
      </c>
      <c r="S774" s="37" t="str">
        <f t="shared" si="83"/>
        <v/>
      </c>
      <c r="T774" s="38" t="str">
        <f t="shared" si="84"/>
        <v/>
      </c>
      <c r="U774" s="37" t="str">
        <f t="shared" si="85"/>
        <v/>
      </c>
    </row>
    <row r="775" spans="2:21" ht="17.25">
      <c r="B775" s="156"/>
      <c r="C775" s="156"/>
      <c r="D775" s="157"/>
      <c r="E775" s="155"/>
      <c r="F775" s="151"/>
      <c r="G775" s="152"/>
      <c r="H775" s="153"/>
      <c r="I775" s="154"/>
      <c r="J775" s="154"/>
      <c r="K775" s="30" t="str">
        <f>IF(H775="","",IF($C$30="간이법","",FPR(H775,I775,J775)))</f>
        <v/>
      </c>
      <c r="L775" s="30" t="str">
        <f>IF(H775="","",IF($C$30="상세법",FPV(H775,K775),IF(H775="EI",4,IF(H775="EO",5.2,IF(H775="EQ",3.9,IF(H775="ILF",7.5,IF(H775="EIF",5.4)))))))</f>
        <v/>
      </c>
      <c r="M775" s="30" t="str">
        <f t="shared" si="79"/>
        <v/>
      </c>
      <c r="N775" s="134"/>
      <c r="O775" s="29"/>
      <c r="P775" s="37" t="str">
        <f t="shared" si="80"/>
        <v/>
      </c>
      <c r="Q775" s="38" t="str">
        <f t="shared" si="81"/>
        <v/>
      </c>
      <c r="R775" s="37" t="str">
        <f t="shared" si="82"/>
        <v/>
      </c>
      <c r="S775" s="37" t="str">
        <f t="shared" si="83"/>
        <v/>
      </c>
      <c r="T775" s="38" t="str">
        <f t="shared" si="84"/>
        <v/>
      </c>
      <c r="U775" s="37" t="str">
        <f t="shared" si="85"/>
        <v/>
      </c>
    </row>
    <row r="776" spans="2:21" ht="17.25">
      <c r="B776" s="156"/>
      <c r="C776" s="156"/>
      <c r="D776" s="157"/>
      <c r="E776" s="155"/>
      <c r="F776" s="151"/>
      <c r="G776" s="152"/>
      <c r="H776" s="153"/>
      <c r="I776" s="154"/>
      <c r="J776" s="154"/>
      <c r="K776" s="30" t="str">
        <f>IF(H776="","",IF($C$30="간이법","",FPR(H776,I776,J776)))</f>
        <v/>
      </c>
      <c r="L776" s="30" t="str">
        <f>IF(H776="","",IF($C$30="상세법",FPV(H776,K776),IF(H776="EI",4,IF(H776="EO",5.2,IF(H776="EQ",3.9,IF(H776="ILF",7.5,IF(H776="EIF",5.4)))))))</f>
        <v/>
      </c>
      <c r="M776" s="30" t="str">
        <f t="shared" si="79"/>
        <v/>
      </c>
      <c r="N776" s="134"/>
      <c r="O776" s="29"/>
      <c r="P776" s="37" t="str">
        <f t="shared" si="80"/>
        <v/>
      </c>
      <c r="Q776" s="38" t="str">
        <f t="shared" si="81"/>
        <v/>
      </c>
      <c r="R776" s="37" t="str">
        <f t="shared" si="82"/>
        <v/>
      </c>
      <c r="S776" s="37" t="str">
        <f t="shared" si="83"/>
        <v/>
      </c>
      <c r="T776" s="38" t="str">
        <f t="shared" si="84"/>
        <v/>
      </c>
      <c r="U776" s="37" t="str">
        <f t="shared" si="85"/>
        <v/>
      </c>
    </row>
    <row r="777" spans="2:21" ht="17.25">
      <c r="B777" s="156"/>
      <c r="C777" s="156"/>
      <c r="D777" s="157"/>
      <c r="E777" s="155"/>
      <c r="F777" s="151"/>
      <c r="G777" s="152"/>
      <c r="H777" s="153"/>
      <c r="I777" s="154"/>
      <c r="J777" s="154"/>
      <c r="K777" s="30" t="str">
        <f>IF(H777="","",IF($C$30="간이법","",FPR(H777,I777,J777)))</f>
        <v/>
      </c>
      <c r="L777" s="30" t="str">
        <f>IF(H777="","",IF($C$30="상세법",FPV(H777,K777),IF(H777="EI",4,IF(H777="EO",5.2,IF(H777="EQ",3.9,IF(H777="ILF",7.5,IF(H777="EIF",5.4)))))))</f>
        <v/>
      </c>
      <c r="M777" s="30" t="str">
        <f t="shared" si="79"/>
        <v/>
      </c>
      <c r="N777" s="134"/>
      <c r="O777" s="29"/>
      <c r="P777" s="37" t="str">
        <f t="shared" si="80"/>
        <v/>
      </c>
      <c r="Q777" s="38" t="str">
        <f t="shared" si="81"/>
        <v/>
      </c>
      <c r="R777" s="37" t="str">
        <f t="shared" si="82"/>
        <v/>
      </c>
      <c r="S777" s="37" t="str">
        <f t="shared" si="83"/>
        <v/>
      </c>
      <c r="T777" s="38" t="str">
        <f t="shared" si="84"/>
        <v/>
      </c>
      <c r="U777" s="37" t="str">
        <f t="shared" si="85"/>
        <v/>
      </c>
    </row>
    <row r="778" spans="2:21" ht="17.25">
      <c r="B778" s="156"/>
      <c r="C778" s="156"/>
      <c r="D778" s="157"/>
      <c r="E778" s="155"/>
      <c r="F778" s="151"/>
      <c r="G778" s="152"/>
      <c r="H778" s="153"/>
      <c r="I778" s="154"/>
      <c r="J778" s="154"/>
      <c r="K778" s="30" t="str">
        <f>IF(H778="","",IF($C$30="간이법","",FPR(H778,I778,J778)))</f>
        <v/>
      </c>
      <c r="L778" s="30" t="str">
        <f>IF(H778="","",IF($C$30="상세법",FPV(H778,K778),IF(H778="EI",4,IF(H778="EO",5.2,IF(H778="EQ",3.9,IF(H778="ILF",7.5,IF(H778="EIF",5.4)))))))</f>
        <v/>
      </c>
      <c r="M778" s="30" t="str">
        <f t="shared" si="79"/>
        <v/>
      </c>
      <c r="N778" s="134"/>
      <c r="O778" s="29"/>
      <c r="P778" s="37" t="str">
        <f t="shared" si="80"/>
        <v/>
      </c>
      <c r="Q778" s="38" t="str">
        <f t="shared" si="81"/>
        <v/>
      </c>
      <c r="R778" s="37" t="str">
        <f t="shared" si="82"/>
        <v/>
      </c>
      <c r="S778" s="37" t="str">
        <f t="shared" si="83"/>
        <v/>
      </c>
      <c r="T778" s="38" t="str">
        <f t="shared" si="84"/>
        <v/>
      </c>
      <c r="U778" s="37" t="str">
        <f t="shared" si="85"/>
        <v/>
      </c>
    </row>
    <row r="779" spans="2:21" ht="17.25">
      <c r="B779" s="156"/>
      <c r="C779" s="156"/>
      <c r="D779" s="157"/>
      <c r="E779" s="155"/>
      <c r="F779" s="151"/>
      <c r="G779" s="152"/>
      <c r="H779" s="153"/>
      <c r="I779" s="154"/>
      <c r="J779" s="154"/>
      <c r="K779" s="30" t="str">
        <f>IF(H779="","",IF($C$30="간이법","",FPR(H779,I779,J779)))</f>
        <v/>
      </c>
      <c r="L779" s="30" t="str">
        <f>IF(H779="","",IF($C$30="상세법",FPV(H779,K779),IF(H779="EI",4,IF(H779="EO",5.2,IF(H779="EQ",3.9,IF(H779="ILF",7.5,IF(H779="EIF",5.4)))))))</f>
        <v/>
      </c>
      <c r="M779" s="30" t="str">
        <f t="shared" si="79"/>
        <v/>
      </c>
      <c r="N779" s="134"/>
      <c r="O779" s="29"/>
      <c r="P779" s="37" t="str">
        <f t="shared" si="80"/>
        <v/>
      </c>
      <c r="Q779" s="38" t="str">
        <f t="shared" si="81"/>
        <v/>
      </c>
      <c r="R779" s="37" t="str">
        <f t="shared" si="82"/>
        <v/>
      </c>
      <c r="S779" s="37" t="str">
        <f t="shared" si="83"/>
        <v/>
      </c>
      <c r="T779" s="38" t="str">
        <f t="shared" si="84"/>
        <v/>
      </c>
      <c r="U779" s="37" t="str">
        <f t="shared" si="85"/>
        <v/>
      </c>
    </row>
    <row r="780" spans="2:21" ht="17.25">
      <c r="B780" s="156"/>
      <c r="C780" s="156"/>
      <c r="D780" s="157"/>
      <c r="E780" s="155"/>
      <c r="F780" s="151"/>
      <c r="G780" s="152"/>
      <c r="H780" s="153"/>
      <c r="I780" s="154"/>
      <c r="J780" s="154"/>
      <c r="K780" s="30" t="str">
        <f>IF(H780="","",IF($C$30="간이법","",FPR(H780,I780,J780)))</f>
        <v/>
      </c>
      <c r="L780" s="30" t="str">
        <f>IF(H780="","",IF($C$30="상세법",FPV(H780,K780),IF(H780="EI",4,IF(H780="EO",5.2,IF(H780="EQ",3.9,IF(H780="ILF",7.5,IF(H780="EIF",5.4)))))))</f>
        <v/>
      </c>
      <c r="M780" s="30" t="str">
        <f t="shared" si="79"/>
        <v/>
      </c>
      <c r="N780" s="134"/>
      <c r="O780" s="29"/>
      <c r="P780" s="37" t="str">
        <f t="shared" si="80"/>
        <v/>
      </c>
      <c r="Q780" s="38" t="str">
        <f t="shared" si="81"/>
        <v/>
      </c>
      <c r="R780" s="37" t="str">
        <f t="shared" si="82"/>
        <v/>
      </c>
      <c r="S780" s="37" t="str">
        <f t="shared" si="83"/>
        <v/>
      </c>
      <c r="T780" s="38" t="str">
        <f t="shared" si="84"/>
        <v/>
      </c>
      <c r="U780" s="37" t="str">
        <f t="shared" si="85"/>
        <v/>
      </c>
    </row>
    <row r="781" spans="2:21" ht="17.25">
      <c r="B781" s="156"/>
      <c r="C781" s="156"/>
      <c r="D781" s="157"/>
      <c r="E781" s="155"/>
      <c r="F781" s="151"/>
      <c r="G781" s="152"/>
      <c r="H781" s="153"/>
      <c r="I781" s="154"/>
      <c r="J781" s="154"/>
      <c r="K781" s="30" t="str">
        <f>IF(H781="","",IF($C$30="간이법","",FPR(H781,I781,J781)))</f>
        <v/>
      </c>
      <c r="L781" s="30" t="str">
        <f>IF(H781="","",IF($C$30="상세법",FPV(H781,K781),IF(H781="EI",4,IF(H781="EO",5.2,IF(H781="EQ",3.9,IF(H781="ILF",7.5,IF(H781="EIF",5.4)))))))</f>
        <v/>
      </c>
      <c r="M781" s="30" t="str">
        <f t="shared" si="79"/>
        <v/>
      </c>
      <c r="N781" s="134"/>
      <c r="O781" s="29"/>
      <c r="P781" s="37" t="str">
        <f t="shared" si="80"/>
        <v/>
      </c>
      <c r="Q781" s="38" t="str">
        <f t="shared" si="81"/>
        <v/>
      </c>
      <c r="R781" s="37" t="str">
        <f t="shared" si="82"/>
        <v/>
      </c>
      <c r="S781" s="37" t="str">
        <f t="shared" si="83"/>
        <v/>
      </c>
      <c r="T781" s="38" t="str">
        <f t="shared" si="84"/>
        <v/>
      </c>
      <c r="U781" s="37" t="str">
        <f t="shared" si="85"/>
        <v/>
      </c>
    </row>
    <row r="782" spans="2:21" ht="17.25">
      <c r="B782" s="156"/>
      <c r="C782" s="156"/>
      <c r="D782" s="157"/>
      <c r="E782" s="155"/>
      <c r="F782" s="151"/>
      <c r="G782" s="152"/>
      <c r="H782" s="153"/>
      <c r="I782" s="154"/>
      <c r="J782" s="154"/>
      <c r="K782" s="30" t="str">
        <f>IF(H782="","",IF($C$30="간이법","",FPR(H782,I782,J782)))</f>
        <v/>
      </c>
      <c r="L782" s="30" t="str">
        <f>IF(H782="","",IF($C$30="상세법",FPV(H782,K782),IF(H782="EI",4,IF(H782="EO",5.2,IF(H782="EQ",3.9,IF(H782="ILF",7.5,IF(H782="EIF",5.4)))))))</f>
        <v/>
      </c>
      <c r="M782" s="30" t="str">
        <f t="shared" si="79"/>
        <v/>
      </c>
      <c r="N782" s="134"/>
      <c r="O782" s="29"/>
      <c r="P782" s="37" t="str">
        <f t="shared" si="80"/>
        <v/>
      </c>
      <c r="Q782" s="38" t="str">
        <f t="shared" si="81"/>
        <v/>
      </c>
      <c r="R782" s="37" t="str">
        <f t="shared" si="82"/>
        <v/>
      </c>
      <c r="S782" s="37" t="str">
        <f t="shared" si="83"/>
        <v/>
      </c>
      <c r="T782" s="38" t="str">
        <f t="shared" si="84"/>
        <v/>
      </c>
      <c r="U782" s="37" t="str">
        <f t="shared" si="85"/>
        <v/>
      </c>
    </row>
    <row r="783" spans="2:21" ht="17.25">
      <c r="B783" s="156"/>
      <c r="C783" s="156"/>
      <c r="D783" s="157"/>
      <c r="E783" s="155"/>
      <c r="F783" s="151"/>
      <c r="G783" s="152"/>
      <c r="H783" s="153"/>
      <c r="I783" s="154"/>
      <c r="J783" s="154"/>
      <c r="K783" s="30" t="str">
        <f>IF(H783="","",IF($C$30="간이법","",FPR(H783,I783,J783)))</f>
        <v/>
      </c>
      <c r="L783" s="30" t="str">
        <f>IF(H783="","",IF($C$30="상세법",FPV(H783,K783),IF(H783="EI",4,IF(H783="EO",5.2,IF(H783="EQ",3.9,IF(H783="ILF",7.5,IF(H783="EIF",5.4)))))))</f>
        <v/>
      </c>
      <c r="M783" s="30" t="str">
        <f t="shared" si="79"/>
        <v/>
      </c>
      <c r="N783" s="134"/>
      <c r="O783" s="29"/>
      <c r="P783" s="37" t="str">
        <f t="shared" si="80"/>
        <v/>
      </c>
      <c r="Q783" s="38" t="str">
        <f t="shared" si="81"/>
        <v/>
      </c>
      <c r="R783" s="37" t="str">
        <f t="shared" si="82"/>
        <v/>
      </c>
      <c r="S783" s="37" t="str">
        <f t="shared" si="83"/>
        <v/>
      </c>
      <c r="T783" s="38" t="str">
        <f t="shared" si="84"/>
        <v/>
      </c>
      <c r="U783" s="37" t="str">
        <f t="shared" si="85"/>
        <v/>
      </c>
    </row>
    <row r="784" spans="2:21" ht="17.25">
      <c r="B784" s="156"/>
      <c r="C784" s="156"/>
      <c r="D784" s="157"/>
      <c r="E784" s="155"/>
      <c r="F784" s="151"/>
      <c r="G784" s="152"/>
      <c r="H784" s="153"/>
      <c r="I784" s="154"/>
      <c r="J784" s="154"/>
      <c r="K784" s="30" t="str">
        <f>IF(H784="","",IF($C$30="간이법","",FPR(H784,I784,J784)))</f>
        <v/>
      </c>
      <c r="L784" s="30" t="str">
        <f>IF(H784="","",IF($C$30="상세법",FPV(H784,K784),IF(H784="EI",4,IF(H784="EO",5.2,IF(H784="EQ",3.9,IF(H784="ILF",7.5,IF(H784="EIF",5.4)))))))</f>
        <v/>
      </c>
      <c r="M784" s="30" t="str">
        <f t="shared" si="79"/>
        <v/>
      </c>
      <c r="N784" s="134"/>
      <c r="O784" s="29"/>
      <c r="P784" s="37" t="str">
        <f t="shared" si="80"/>
        <v/>
      </c>
      <c r="Q784" s="38" t="str">
        <f t="shared" si="81"/>
        <v/>
      </c>
      <c r="R784" s="37" t="str">
        <f t="shared" si="82"/>
        <v/>
      </c>
      <c r="S784" s="37" t="str">
        <f t="shared" si="83"/>
        <v/>
      </c>
      <c r="T784" s="38" t="str">
        <f t="shared" si="84"/>
        <v/>
      </c>
      <c r="U784" s="37" t="str">
        <f t="shared" si="85"/>
        <v/>
      </c>
    </row>
    <row r="785" spans="2:21" ht="17.25">
      <c r="B785" s="156"/>
      <c r="C785" s="156"/>
      <c r="D785" s="157"/>
      <c r="E785" s="155"/>
      <c r="F785" s="151"/>
      <c r="G785" s="152"/>
      <c r="H785" s="153"/>
      <c r="I785" s="154"/>
      <c r="J785" s="154"/>
      <c r="K785" s="30" t="str">
        <f>IF(H785="","",IF($C$30="간이법","",FPR(H785,I785,J785)))</f>
        <v/>
      </c>
      <c r="L785" s="30" t="str">
        <f>IF(H785="","",IF($C$30="상세법",FPV(H785,K785),IF(H785="EI",4,IF(H785="EO",5.2,IF(H785="EQ",3.9,IF(H785="ILF",7.5,IF(H785="EIF",5.4)))))))</f>
        <v/>
      </c>
      <c r="M785" s="30" t="str">
        <f t="shared" si="79"/>
        <v/>
      </c>
      <c r="N785" s="134"/>
      <c r="O785" s="29"/>
      <c r="P785" s="37" t="str">
        <f t="shared" si="80"/>
        <v/>
      </c>
      <c r="Q785" s="38" t="str">
        <f t="shared" si="81"/>
        <v/>
      </c>
      <c r="R785" s="37" t="str">
        <f t="shared" si="82"/>
        <v/>
      </c>
      <c r="S785" s="37" t="str">
        <f t="shared" si="83"/>
        <v/>
      </c>
      <c r="T785" s="38" t="str">
        <f t="shared" si="84"/>
        <v/>
      </c>
      <c r="U785" s="37" t="str">
        <f t="shared" si="85"/>
        <v/>
      </c>
    </row>
    <row r="786" spans="2:21" ht="17.25">
      <c r="B786" s="156"/>
      <c r="C786" s="156"/>
      <c r="D786" s="157"/>
      <c r="E786" s="155"/>
      <c r="F786" s="151"/>
      <c r="G786" s="152"/>
      <c r="H786" s="153"/>
      <c r="I786" s="154"/>
      <c r="J786" s="154"/>
      <c r="K786" s="30" t="str">
        <f>IF(H786="","",IF($C$30="간이법","",FPR(H786,I786,J786)))</f>
        <v/>
      </c>
      <c r="L786" s="30" t="str">
        <f>IF(H786="","",IF($C$30="상세법",FPV(H786,K786),IF(H786="EI",4,IF(H786="EO",5.2,IF(H786="EQ",3.9,IF(H786="ILF",7.5,IF(H786="EIF",5.4)))))))</f>
        <v/>
      </c>
      <c r="M786" s="30" t="str">
        <f t="shared" si="79"/>
        <v/>
      </c>
      <c r="N786" s="134"/>
      <c r="O786" s="29"/>
      <c r="P786" s="37" t="str">
        <f t="shared" si="80"/>
        <v/>
      </c>
      <c r="Q786" s="38" t="str">
        <f t="shared" si="81"/>
        <v/>
      </c>
      <c r="R786" s="37" t="str">
        <f t="shared" si="82"/>
        <v/>
      </c>
      <c r="S786" s="37" t="str">
        <f t="shared" si="83"/>
        <v/>
      </c>
      <c r="T786" s="38" t="str">
        <f t="shared" si="84"/>
        <v/>
      </c>
      <c r="U786" s="37" t="str">
        <f t="shared" si="85"/>
        <v/>
      </c>
    </row>
    <row r="787" spans="2:21" ht="17.25">
      <c r="B787" s="156"/>
      <c r="C787" s="156"/>
      <c r="D787" s="157"/>
      <c r="E787" s="155"/>
      <c r="F787" s="151"/>
      <c r="G787" s="152"/>
      <c r="H787" s="153"/>
      <c r="I787" s="154"/>
      <c r="J787" s="154"/>
      <c r="K787" s="30" t="str">
        <f>IF(H787="","",IF($C$30="간이법","",FPR(H787,I787,J787)))</f>
        <v/>
      </c>
      <c r="L787" s="30" t="str">
        <f>IF(H787="","",IF($C$30="상세법",FPV(H787,K787),IF(H787="EI",4,IF(H787="EO",5.2,IF(H787="EQ",3.9,IF(H787="ILF",7.5,IF(H787="EIF",5.4)))))))</f>
        <v/>
      </c>
      <c r="M787" s="30" t="str">
        <f t="shared" si="79"/>
        <v/>
      </c>
      <c r="N787" s="134"/>
      <c r="O787" s="29"/>
      <c r="P787" s="37" t="str">
        <f t="shared" si="80"/>
        <v/>
      </c>
      <c r="Q787" s="38" t="str">
        <f t="shared" si="81"/>
        <v/>
      </c>
      <c r="R787" s="37" t="str">
        <f t="shared" si="82"/>
        <v/>
      </c>
      <c r="S787" s="37" t="str">
        <f t="shared" si="83"/>
        <v/>
      </c>
      <c r="T787" s="38" t="str">
        <f t="shared" si="84"/>
        <v/>
      </c>
      <c r="U787" s="37" t="str">
        <f t="shared" si="85"/>
        <v/>
      </c>
    </row>
    <row r="788" spans="2:21" ht="17.25">
      <c r="B788" s="156"/>
      <c r="C788" s="156"/>
      <c r="D788" s="157"/>
      <c r="E788" s="155"/>
      <c r="F788" s="151"/>
      <c r="G788" s="152"/>
      <c r="H788" s="153"/>
      <c r="I788" s="154"/>
      <c r="J788" s="154"/>
      <c r="K788" s="30" t="str">
        <f>IF(H788="","",IF($C$30="간이법","",FPR(H788,I788,J788)))</f>
        <v/>
      </c>
      <c r="L788" s="30" t="str">
        <f>IF(H788="","",IF($C$30="상세법",FPV(H788,K788),IF(H788="EI",4,IF(H788="EO",5.2,IF(H788="EQ",3.9,IF(H788="ILF",7.5,IF(H788="EIF",5.4)))))))</f>
        <v/>
      </c>
      <c r="M788" s="30" t="str">
        <f t="shared" si="79"/>
        <v/>
      </c>
      <c r="N788" s="134"/>
      <c r="O788" s="29"/>
      <c r="P788" s="37" t="str">
        <f t="shared" si="80"/>
        <v/>
      </c>
      <c r="Q788" s="38" t="str">
        <f t="shared" si="81"/>
        <v/>
      </c>
      <c r="R788" s="37" t="str">
        <f t="shared" si="82"/>
        <v/>
      </c>
      <c r="S788" s="37" t="str">
        <f t="shared" si="83"/>
        <v/>
      </c>
      <c r="T788" s="38" t="str">
        <f t="shared" si="84"/>
        <v/>
      </c>
      <c r="U788" s="37" t="str">
        <f t="shared" si="85"/>
        <v/>
      </c>
    </row>
    <row r="789" spans="2:21" ht="17.25">
      <c r="B789" s="156"/>
      <c r="C789" s="156"/>
      <c r="D789" s="157"/>
      <c r="E789" s="155"/>
      <c r="F789" s="151"/>
      <c r="G789" s="152"/>
      <c r="H789" s="153"/>
      <c r="I789" s="154"/>
      <c r="J789" s="154"/>
      <c r="K789" s="30" t="str">
        <f>IF(H789="","",IF($C$30="간이법","",FPR(H789,I789,J789)))</f>
        <v/>
      </c>
      <c r="L789" s="30" t="str">
        <f>IF(H789="","",IF($C$30="상세법",FPV(H789,K789),IF(H789="EI",4,IF(H789="EO",5.2,IF(H789="EQ",3.9,IF(H789="ILF",7.5,IF(H789="EIF",5.4)))))))</f>
        <v/>
      </c>
      <c r="M789" s="30" t="str">
        <f t="shared" si="79"/>
        <v/>
      </c>
      <c r="N789" s="134"/>
      <c r="O789" s="29"/>
      <c r="P789" s="37" t="str">
        <f t="shared" si="80"/>
        <v/>
      </c>
      <c r="Q789" s="38" t="str">
        <f t="shared" si="81"/>
        <v/>
      </c>
      <c r="R789" s="37" t="str">
        <f t="shared" si="82"/>
        <v/>
      </c>
      <c r="S789" s="37" t="str">
        <f t="shared" si="83"/>
        <v/>
      </c>
      <c r="T789" s="38" t="str">
        <f t="shared" si="84"/>
        <v/>
      </c>
      <c r="U789" s="37" t="str">
        <f t="shared" si="85"/>
        <v/>
      </c>
    </row>
    <row r="790" spans="2:21" ht="17.25">
      <c r="B790" s="156"/>
      <c r="C790" s="156"/>
      <c r="D790" s="157"/>
      <c r="E790" s="155"/>
      <c r="F790" s="151"/>
      <c r="G790" s="152"/>
      <c r="H790" s="153"/>
      <c r="I790" s="154"/>
      <c r="J790" s="154"/>
      <c r="K790" s="30" t="str">
        <f>IF(H790="","",IF($C$30="간이법","",FPR(H790,I790,J790)))</f>
        <v/>
      </c>
      <c r="L790" s="30" t="str">
        <f>IF(H790="","",IF($C$30="상세법",FPV(H790,K790),IF(H790="EI",4,IF(H790="EO",5.2,IF(H790="EQ",3.9,IF(H790="ILF",7.5,IF(H790="EIF",5.4)))))))</f>
        <v/>
      </c>
      <c r="M790" s="30" t="str">
        <f t="shared" si="79"/>
        <v/>
      </c>
      <c r="N790" s="134"/>
      <c r="O790" s="29"/>
      <c r="P790" s="37" t="str">
        <f t="shared" si="80"/>
        <v/>
      </c>
      <c r="Q790" s="38" t="str">
        <f t="shared" si="81"/>
        <v/>
      </c>
      <c r="R790" s="37" t="str">
        <f t="shared" si="82"/>
        <v/>
      </c>
      <c r="S790" s="37" t="str">
        <f t="shared" si="83"/>
        <v/>
      </c>
      <c r="T790" s="38" t="str">
        <f t="shared" si="84"/>
        <v/>
      </c>
      <c r="U790" s="37" t="str">
        <f t="shared" si="85"/>
        <v/>
      </c>
    </row>
    <row r="791" spans="2:21" ht="17.25">
      <c r="B791" s="156"/>
      <c r="C791" s="156"/>
      <c r="D791" s="157"/>
      <c r="E791" s="155"/>
      <c r="F791" s="151"/>
      <c r="G791" s="152"/>
      <c r="H791" s="153"/>
      <c r="I791" s="154"/>
      <c r="J791" s="154"/>
      <c r="K791" s="30" t="str">
        <f>IF(H791="","",IF($C$30="간이법","",FPR(H791,I791,J791)))</f>
        <v/>
      </c>
      <c r="L791" s="30" t="str">
        <f>IF(H791="","",IF($C$30="상세법",FPV(H791,K791),IF(H791="EI",4,IF(H791="EO",5.2,IF(H791="EQ",3.9,IF(H791="ILF",7.5,IF(H791="EIF",5.4)))))))</f>
        <v/>
      </c>
      <c r="M791" s="30" t="str">
        <f t="shared" si="79"/>
        <v/>
      </c>
      <c r="N791" s="134"/>
      <c r="O791" s="29"/>
      <c r="P791" s="37" t="str">
        <f t="shared" si="80"/>
        <v/>
      </c>
      <c r="Q791" s="38" t="str">
        <f t="shared" si="81"/>
        <v/>
      </c>
      <c r="R791" s="37" t="str">
        <f t="shared" si="82"/>
        <v/>
      </c>
      <c r="S791" s="37" t="str">
        <f t="shared" si="83"/>
        <v/>
      </c>
      <c r="T791" s="38" t="str">
        <f t="shared" si="84"/>
        <v/>
      </c>
      <c r="U791" s="37" t="str">
        <f t="shared" si="85"/>
        <v/>
      </c>
    </row>
    <row r="792" spans="2:21" ht="17.25">
      <c r="B792" s="156"/>
      <c r="C792" s="156"/>
      <c r="D792" s="157"/>
      <c r="E792" s="155"/>
      <c r="F792" s="151"/>
      <c r="G792" s="152"/>
      <c r="H792" s="153"/>
      <c r="I792" s="154"/>
      <c r="J792" s="154"/>
      <c r="K792" s="30" t="str">
        <f>IF(H792="","",IF($C$30="간이법","",FPR(H792,I792,J792)))</f>
        <v/>
      </c>
      <c r="L792" s="30" t="str">
        <f>IF(H792="","",IF($C$30="상세법",FPV(H792,K792),IF(H792="EI",4,IF(H792="EO",5.2,IF(H792="EQ",3.9,IF(H792="ILF",7.5,IF(H792="EIF",5.4)))))))</f>
        <v/>
      </c>
      <c r="M792" s="30" t="str">
        <f t="shared" si="79"/>
        <v/>
      </c>
      <c r="N792" s="134"/>
      <c r="O792" s="29"/>
      <c r="P792" s="37" t="str">
        <f t="shared" si="80"/>
        <v/>
      </c>
      <c r="Q792" s="38" t="str">
        <f t="shared" si="81"/>
        <v/>
      </c>
      <c r="R792" s="37" t="str">
        <f t="shared" si="82"/>
        <v/>
      </c>
      <c r="S792" s="37" t="str">
        <f t="shared" si="83"/>
        <v/>
      </c>
      <c r="T792" s="38" t="str">
        <f t="shared" si="84"/>
        <v/>
      </c>
      <c r="U792" s="37" t="str">
        <f t="shared" si="85"/>
        <v/>
      </c>
    </row>
    <row r="793" spans="2:21" ht="17.25">
      <c r="B793" s="156"/>
      <c r="C793" s="156"/>
      <c r="D793" s="157"/>
      <c r="E793" s="155"/>
      <c r="F793" s="151"/>
      <c r="G793" s="152"/>
      <c r="H793" s="153"/>
      <c r="I793" s="154"/>
      <c r="J793" s="154"/>
      <c r="K793" s="30" t="str">
        <f>IF(H793="","",IF($C$30="간이법","",FPR(H793,I793,J793)))</f>
        <v/>
      </c>
      <c r="L793" s="30" t="str">
        <f>IF(H793="","",IF($C$30="상세법",FPV(H793,K793),IF(H793="EI",4,IF(H793="EO",5.2,IF(H793="EQ",3.9,IF(H793="ILF",7.5,IF(H793="EIF",5.4)))))))</f>
        <v/>
      </c>
      <c r="M793" s="30" t="str">
        <f t="shared" si="79"/>
        <v/>
      </c>
      <c r="N793" s="134"/>
      <c r="O793" s="29"/>
      <c r="P793" s="37" t="str">
        <f t="shared" si="80"/>
        <v/>
      </c>
      <c r="Q793" s="38" t="str">
        <f t="shared" si="81"/>
        <v/>
      </c>
      <c r="R793" s="37" t="str">
        <f t="shared" si="82"/>
        <v/>
      </c>
      <c r="S793" s="37" t="str">
        <f t="shared" si="83"/>
        <v/>
      </c>
      <c r="T793" s="38" t="str">
        <f t="shared" si="84"/>
        <v/>
      </c>
      <c r="U793" s="37" t="str">
        <f t="shared" si="85"/>
        <v/>
      </c>
    </row>
    <row r="794" spans="2:21" ht="17.25">
      <c r="B794" s="156"/>
      <c r="C794" s="156"/>
      <c r="D794" s="157"/>
      <c r="E794" s="155"/>
      <c r="F794" s="151"/>
      <c r="G794" s="152"/>
      <c r="H794" s="153"/>
      <c r="I794" s="154"/>
      <c r="J794" s="154"/>
      <c r="K794" s="30" t="str">
        <f>IF(H794="","",IF($C$30="간이법","",FPR(H794,I794,J794)))</f>
        <v/>
      </c>
      <c r="L794" s="30" t="str">
        <f>IF(H794="","",IF($C$30="상세법",FPV(H794,K794),IF(H794="EI",4,IF(H794="EO",5.2,IF(H794="EQ",3.9,IF(H794="ILF",7.5,IF(H794="EIF",5.4)))))))</f>
        <v/>
      </c>
      <c r="M794" s="30" t="str">
        <f t="shared" si="79"/>
        <v/>
      </c>
      <c r="N794" s="134"/>
      <c r="O794" s="29"/>
      <c r="P794" s="37" t="str">
        <f t="shared" si="80"/>
        <v/>
      </c>
      <c r="Q794" s="38" t="str">
        <f t="shared" si="81"/>
        <v/>
      </c>
      <c r="R794" s="37" t="str">
        <f t="shared" si="82"/>
        <v/>
      </c>
      <c r="S794" s="37" t="str">
        <f t="shared" si="83"/>
        <v/>
      </c>
      <c r="T794" s="38" t="str">
        <f t="shared" si="84"/>
        <v/>
      </c>
      <c r="U794" s="37" t="str">
        <f t="shared" si="85"/>
        <v/>
      </c>
    </row>
    <row r="795" spans="2:21" ht="17.25">
      <c r="B795" s="156"/>
      <c r="C795" s="156"/>
      <c r="D795" s="157"/>
      <c r="E795" s="155"/>
      <c r="F795" s="151"/>
      <c r="G795" s="152"/>
      <c r="H795" s="153"/>
      <c r="I795" s="154"/>
      <c r="J795" s="154"/>
      <c r="K795" s="30" t="str">
        <f>IF(H795="","",IF($C$30="간이법","",FPR(H795,I795,J795)))</f>
        <v/>
      </c>
      <c r="L795" s="30" t="str">
        <f>IF(H795="","",IF($C$30="상세법",FPV(H795,K795),IF(H795="EI",4,IF(H795="EO",5.2,IF(H795="EQ",3.9,IF(H795="ILF",7.5,IF(H795="EIF",5.4)))))))</f>
        <v/>
      </c>
      <c r="M795" s="30" t="str">
        <f t="shared" si="79"/>
        <v/>
      </c>
      <c r="N795" s="134"/>
      <c r="O795" s="29"/>
      <c r="P795" s="37" t="str">
        <f t="shared" si="80"/>
        <v/>
      </c>
      <c r="Q795" s="38" t="str">
        <f t="shared" si="81"/>
        <v/>
      </c>
      <c r="R795" s="37" t="str">
        <f t="shared" si="82"/>
        <v/>
      </c>
      <c r="S795" s="37" t="str">
        <f t="shared" si="83"/>
        <v/>
      </c>
      <c r="T795" s="38" t="str">
        <f t="shared" si="84"/>
        <v/>
      </c>
      <c r="U795" s="37" t="str">
        <f t="shared" si="85"/>
        <v/>
      </c>
    </row>
    <row r="796" spans="2:21" ht="17.25">
      <c r="B796" s="156"/>
      <c r="C796" s="156"/>
      <c r="D796" s="157"/>
      <c r="E796" s="155"/>
      <c r="F796" s="151"/>
      <c r="G796" s="152"/>
      <c r="H796" s="153"/>
      <c r="I796" s="154"/>
      <c r="J796" s="154"/>
      <c r="K796" s="30" t="str">
        <f>IF(H796="","",IF($C$30="간이법","",FPR(H796,I796,J796)))</f>
        <v/>
      </c>
      <c r="L796" s="30" t="str">
        <f>IF(H796="","",IF($C$30="상세법",FPV(H796,K796),IF(H796="EI",4,IF(H796="EO",5.2,IF(H796="EQ",3.9,IF(H796="ILF",7.5,IF(H796="EIF",5.4)))))))</f>
        <v/>
      </c>
      <c r="M796" s="30" t="str">
        <f t="shared" si="79"/>
        <v/>
      </c>
      <c r="N796" s="134"/>
      <c r="O796" s="29"/>
      <c r="P796" s="37" t="str">
        <f t="shared" si="80"/>
        <v/>
      </c>
      <c r="Q796" s="38" t="str">
        <f t="shared" si="81"/>
        <v/>
      </c>
      <c r="R796" s="37" t="str">
        <f t="shared" si="82"/>
        <v/>
      </c>
      <c r="S796" s="37" t="str">
        <f t="shared" si="83"/>
        <v/>
      </c>
      <c r="T796" s="38" t="str">
        <f t="shared" si="84"/>
        <v/>
      </c>
      <c r="U796" s="37" t="str">
        <f t="shared" si="85"/>
        <v/>
      </c>
    </row>
    <row r="797" spans="2:21" ht="17.25">
      <c r="B797" s="156"/>
      <c r="C797" s="156"/>
      <c r="D797" s="157"/>
      <c r="E797" s="155"/>
      <c r="F797" s="151"/>
      <c r="G797" s="152"/>
      <c r="H797" s="153"/>
      <c r="I797" s="154"/>
      <c r="J797" s="154"/>
      <c r="K797" s="30" t="str">
        <f>IF(H797="","",IF($C$30="간이법","",FPR(H797,I797,J797)))</f>
        <v/>
      </c>
      <c r="L797" s="30" t="str">
        <f>IF(H797="","",IF($C$30="상세법",FPV(H797,K797),IF(H797="EI",4,IF(H797="EO",5.2,IF(H797="EQ",3.9,IF(H797="ILF",7.5,IF(H797="EIF",5.4)))))))</f>
        <v/>
      </c>
      <c r="M797" s="30" t="str">
        <f t="shared" si="79"/>
        <v/>
      </c>
      <c r="N797" s="134"/>
      <c r="O797" s="29"/>
      <c r="P797" s="37" t="str">
        <f t="shared" si="80"/>
        <v/>
      </c>
      <c r="Q797" s="38" t="str">
        <f t="shared" si="81"/>
        <v/>
      </c>
      <c r="R797" s="37" t="str">
        <f t="shared" si="82"/>
        <v/>
      </c>
      <c r="S797" s="37" t="str">
        <f t="shared" si="83"/>
        <v/>
      </c>
      <c r="T797" s="38" t="str">
        <f t="shared" si="84"/>
        <v/>
      </c>
      <c r="U797" s="37" t="str">
        <f t="shared" si="85"/>
        <v/>
      </c>
    </row>
    <row r="798" spans="2:21" ht="17.25">
      <c r="B798" s="156"/>
      <c r="C798" s="156"/>
      <c r="D798" s="157"/>
      <c r="E798" s="155"/>
      <c r="F798" s="151"/>
      <c r="G798" s="152"/>
      <c r="H798" s="153"/>
      <c r="I798" s="154"/>
      <c r="J798" s="154"/>
      <c r="K798" s="30" t="str">
        <f>IF(H798="","",IF($C$30="간이법","",FPR(H798,I798,J798)))</f>
        <v/>
      </c>
      <c r="L798" s="30" t="str">
        <f>IF(H798="","",IF($C$30="상세법",FPV(H798,K798),IF(H798="EI",4,IF(H798="EO",5.2,IF(H798="EQ",3.9,IF(H798="ILF",7.5,IF(H798="EIF",5.4)))))))</f>
        <v/>
      </c>
      <c r="M798" s="30" t="str">
        <f t="shared" si="79"/>
        <v/>
      </c>
      <c r="N798" s="134"/>
      <c r="O798" s="29"/>
      <c r="P798" s="37" t="str">
        <f t="shared" si="80"/>
        <v/>
      </c>
      <c r="Q798" s="38" t="str">
        <f t="shared" si="81"/>
        <v/>
      </c>
      <c r="R798" s="37" t="str">
        <f t="shared" si="82"/>
        <v/>
      </c>
      <c r="S798" s="37" t="str">
        <f t="shared" si="83"/>
        <v/>
      </c>
      <c r="T798" s="38" t="str">
        <f t="shared" si="84"/>
        <v/>
      </c>
      <c r="U798" s="37" t="str">
        <f t="shared" si="85"/>
        <v/>
      </c>
    </row>
    <row r="799" spans="2:21" ht="17.25">
      <c r="B799" s="156"/>
      <c r="C799" s="156"/>
      <c r="D799" s="157"/>
      <c r="E799" s="155"/>
      <c r="F799" s="151"/>
      <c r="G799" s="152"/>
      <c r="H799" s="153"/>
      <c r="I799" s="154"/>
      <c r="J799" s="154"/>
      <c r="K799" s="30" t="str">
        <f>IF(H799="","",IF($C$30="간이법","",FPR(H799,I799,J799)))</f>
        <v/>
      </c>
      <c r="L799" s="30" t="str">
        <f>IF(H799="","",IF($C$30="상세법",FPV(H799,K799),IF(H799="EI",4,IF(H799="EO",5.2,IF(H799="EQ",3.9,IF(H799="ILF",7.5,IF(H799="EIF",5.4)))))))</f>
        <v/>
      </c>
      <c r="M799" s="30" t="str">
        <f t="shared" si="79"/>
        <v/>
      </c>
      <c r="N799" s="134"/>
      <c r="O799" s="29"/>
      <c r="P799" s="37" t="str">
        <f t="shared" si="80"/>
        <v/>
      </c>
      <c r="Q799" s="38" t="str">
        <f t="shared" si="81"/>
        <v/>
      </c>
      <c r="R799" s="37" t="str">
        <f t="shared" si="82"/>
        <v/>
      </c>
      <c r="S799" s="37" t="str">
        <f t="shared" si="83"/>
        <v/>
      </c>
      <c r="T799" s="38" t="str">
        <f t="shared" si="84"/>
        <v/>
      </c>
      <c r="U799" s="37" t="str">
        <f t="shared" si="85"/>
        <v/>
      </c>
    </row>
    <row r="800" spans="2:21" ht="17.25">
      <c r="B800" s="156"/>
      <c r="C800" s="156"/>
      <c r="D800" s="157"/>
      <c r="E800" s="155"/>
      <c r="F800" s="151"/>
      <c r="G800" s="152"/>
      <c r="H800" s="153"/>
      <c r="I800" s="154"/>
      <c r="J800" s="154"/>
      <c r="K800" s="30" t="str">
        <f>IF(H800="","",IF($C$30="간이법","",FPR(H800,I800,J800)))</f>
        <v/>
      </c>
      <c r="L800" s="30" t="str">
        <f>IF(H800="","",IF($C$30="상세법",FPV(H800,K800),IF(H800="EI",4,IF(H800="EO",5.2,IF(H800="EQ",3.9,IF(H800="ILF",7.5,IF(H800="EIF",5.4)))))))</f>
        <v/>
      </c>
      <c r="M800" s="30" t="str">
        <f t="shared" si="79"/>
        <v/>
      </c>
      <c r="N800" s="134"/>
      <c r="O800" s="29"/>
      <c r="P800" s="37" t="str">
        <f t="shared" si="80"/>
        <v/>
      </c>
      <c r="Q800" s="38" t="str">
        <f t="shared" si="81"/>
        <v/>
      </c>
      <c r="R800" s="37" t="str">
        <f t="shared" si="82"/>
        <v/>
      </c>
      <c r="S800" s="37" t="str">
        <f t="shared" si="83"/>
        <v/>
      </c>
      <c r="T800" s="38" t="str">
        <f t="shared" si="84"/>
        <v/>
      </c>
      <c r="U800" s="37" t="str">
        <f t="shared" si="85"/>
        <v/>
      </c>
    </row>
    <row r="801" spans="2:21" ht="17.25">
      <c r="B801" s="156"/>
      <c r="C801" s="156"/>
      <c r="D801" s="157"/>
      <c r="E801" s="155"/>
      <c r="F801" s="151"/>
      <c r="G801" s="152"/>
      <c r="H801" s="153"/>
      <c r="I801" s="154"/>
      <c r="J801" s="154"/>
      <c r="K801" s="30" t="str">
        <f>IF(H801="","",IF($C$30="간이법","",FPR(H801,I801,J801)))</f>
        <v/>
      </c>
      <c r="L801" s="30" t="str">
        <f>IF(H801="","",IF($C$30="상세법",FPV(H801,K801),IF(H801="EI",4,IF(H801="EO",5.2,IF(H801="EQ",3.9,IF(H801="ILF",7.5,IF(H801="EIF",5.4)))))))</f>
        <v/>
      </c>
      <c r="M801" s="30" t="str">
        <f t="shared" si="79"/>
        <v/>
      </c>
      <c r="N801" s="134"/>
      <c r="O801" s="29"/>
      <c r="P801" s="37" t="str">
        <f t="shared" si="80"/>
        <v/>
      </c>
      <c r="Q801" s="38" t="str">
        <f t="shared" si="81"/>
        <v/>
      </c>
      <c r="R801" s="37" t="str">
        <f t="shared" si="82"/>
        <v/>
      </c>
      <c r="S801" s="37" t="str">
        <f t="shared" si="83"/>
        <v/>
      </c>
      <c r="T801" s="38" t="str">
        <f t="shared" si="84"/>
        <v/>
      </c>
      <c r="U801" s="37" t="str">
        <f t="shared" si="85"/>
        <v/>
      </c>
    </row>
    <row r="802" spans="2:21" ht="17.25">
      <c r="B802" s="156"/>
      <c r="C802" s="156"/>
      <c r="D802" s="157"/>
      <c r="E802" s="155"/>
      <c r="F802" s="151"/>
      <c r="G802" s="152"/>
      <c r="H802" s="153"/>
      <c r="I802" s="154"/>
      <c r="J802" s="154"/>
      <c r="K802" s="30" t="str">
        <f>IF(H802="","",IF($C$30="간이법","",FPR(H802,I802,J802)))</f>
        <v/>
      </c>
      <c r="L802" s="30" t="str">
        <f>IF(H802="","",IF($C$30="상세법",FPV(H802,K802),IF(H802="EI",4,IF(H802="EO",5.2,IF(H802="EQ",3.9,IF(H802="ILF",7.5,IF(H802="EIF",5.4)))))))</f>
        <v/>
      </c>
      <c r="M802" s="30" t="str">
        <f t="shared" si="79"/>
        <v/>
      </c>
      <c r="N802" s="134"/>
      <c r="O802" s="29"/>
      <c r="P802" s="37" t="str">
        <f t="shared" si="80"/>
        <v/>
      </c>
      <c r="Q802" s="38" t="str">
        <f t="shared" si="81"/>
        <v/>
      </c>
      <c r="R802" s="37" t="str">
        <f t="shared" si="82"/>
        <v/>
      </c>
      <c r="S802" s="37" t="str">
        <f t="shared" si="83"/>
        <v/>
      </c>
      <c r="T802" s="38" t="str">
        <f t="shared" si="84"/>
        <v/>
      </c>
      <c r="U802" s="37" t="str">
        <f t="shared" si="85"/>
        <v/>
      </c>
    </row>
    <row r="803" spans="2:21" ht="17.25">
      <c r="B803" s="156"/>
      <c r="C803" s="156"/>
      <c r="D803" s="157"/>
      <c r="E803" s="155"/>
      <c r="F803" s="151"/>
      <c r="G803" s="152"/>
      <c r="H803" s="153"/>
      <c r="I803" s="154"/>
      <c r="J803" s="154"/>
      <c r="K803" s="30" t="str">
        <f>IF(H803="","",IF($C$30="간이법","",FPR(H803,I803,J803)))</f>
        <v/>
      </c>
      <c r="L803" s="30" t="str">
        <f>IF(H803="","",IF($C$30="상세법",FPV(H803,K803),IF(H803="EI",4,IF(H803="EO",5.2,IF(H803="EQ",3.9,IF(H803="ILF",7.5,IF(H803="EIF",5.4)))))))</f>
        <v/>
      </c>
      <c r="M803" s="30" t="str">
        <f t="shared" si="79"/>
        <v/>
      </c>
      <c r="N803" s="134"/>
      <c r="O803" s="29"/>
      <c r="P803" s="37" t="str">
        <f t="shared" si="80"/>
        <v/>
      </c>
      <c r="Q803" s="38" t="str">
        <f t="shared" si="81"/>
        <v/>
      </c>
      <c r="R803" s="37" t="str">
        <f t="shared" si="82"/>
        <v/>
      </c>
      <c r="S803" s="37" t="str">
        <f t="shared" si="83"/>
        <v/>
      </c>
      <c r="T803" s="38" t="str">
        <f t="shared" si="84"/>
        <v/>
      </c>
      <c r="U803" s="37" t="str">
        <f t="shared" si="85"/>
        <v/>
      </c>
    </row>
    <row r="804" spans="2:21" ht="17.25">
      <c r="B804" s="156"/>
      <c r="C804" s="156"/>
      <c r="D804" s="157"/>
      <c r="E804" s="155"/>
      <c r="F804" s="151"/>
      <c r="G804" s="152"/>
      <c r="H804" s="153"/>
      <c r="I804" s="154"/>
      <c r="J804" s="154"/>
      <c r="K804" s="30" t="str">
        <f>IF(H804="","",IF($C$30="간이법","",FPR(H804,I804,J804)))</f>
        <v/>
      </c>
      <c r="L804" s="30" t="str">
        <f>IF(H804="","",IF($C$30="상세법",FPV(H804,K804),IF(H804="EI",4,IF(H804="EO",5.2,IF(H804="EQ",3.9,IF(H804="ILF",7.5,IF(H804="EIF",5.4)))))))</f>
        <v/>
      </c>
      <c r="M804" s="30" t="str">
        <f t="shared" si="79"/>
        <v/>
      </c>
      <c r="N804" s="134"/>
      <c r="O804" s="29"/>
      <c r="P804" s="37" t="str">
        <f t="shared" si="80"/>
        <v/>
      </c>
      <c r="Q804" s="38" t="str">
        <f t="shared" si="81"/>
        <v/>
      </c>
      <c r="R804" s="37" t="str">
        <f t="shared" si="82"/>
        <v/>
      </c>
      <c r="S804" s="37" t="str">
        <f t="shared" si="83"/>
        <v/>
      </c>
      <c r="T804" s="38" t="str">
        <f t="shared" si="84"/>
        <v/>
      </c>
      <c r="U804" s="37" t="str">
        <f t="shared" si="85"/>
        <v/>
      </c>
    </row>
    <row r="805" spans="2:21" ht="17.25">
      <c r="B805" s="156"/>
      <c r="C805" s="156"/>
      <c r="D805" s="157"/>
      <c r="E805" s="155"/>
      <c r="F805" s="151"/>
      <c r="G805" s="152"/>
      <c r="H805" s="153"/>
      <c r="I805" s="154"/>
      <c r="J805" s="154"/>
      <c r="K805" s="30" t="str">
        <f>IF(H805="","",IF($C$30="간이법","",FPR(H805,I805,J805)))</f>
        <v/>
      </c>
      <c r="L805" s="30" t="str">
        <f>IF(H805="","",IF($C$30="상세법",FPV(H805,K805),IF(H805="EI",4,IF(H805="EO",5.2,IF(H805="EQ",3.9,IF(H805="ILF",7.5,IF(H805="EIF",5.4)))))))</f>
        <v/>
      </c>
      <c r="M805" s="30" t="str">
        <f t="shared" si="79"/>
        <v/>
      </c>
      <c r="N805" s="134"/>
      <c r="O805" s="29"/>
      <c r="P805" s="37" t="str">
        <f t="shared" si="80"/>
        <v/>
      </c>
      <c r="Q805" s="38" t="str">
        <f t="shared" si="81"/>
        <v/>
      </c>
      <c r="R805" s="37" t="str">
        <f t="shared" si="82"/>
        <v/>
      </c>
      <c r="S805" s="37" t="str">
        <f t="shared" si="83"/>
        <v/>
      </c>
      <c r="T805" s="38" t="str">
        <f t="shared" si="84"/>
        <v/>
      </c>
      <c r="U805" s="37" t="str">
        <f t="shared" si="85"/>
        <v/>
      </c>
    </row>
    <row r="806" spans="2:21" ht="17.25">
      <c r="B806" s="156"/>
      <c r="C806" s="156"/>
      <c r="D806" s="157"/>
      <c r="E806" s="155"/>
      <c r="F806" s="151"/>
      <c r="G806" s="152"/>
      <c r="H806" s="153"/>
      <c r="I806" s="154"/>
      <c r="J806" s="154"/>
      <c r="K806" s="30" t="str">
        <f>IF(H806="","",IF($C$30="간이법","",FPR(H806,I806,J806)))</f>
        <v/>
      </c>
      <c r="L806" s="30" t="str">
        <f>IF(H806="","",IF($C$30="상세법",FPV(H806,K806),IF(H806="EI",4,IF(H806="EO",5.2,IF(H806="EQ",3.9,IF(H806="ILF",7.5,IF(H806="EIF",5.4)))))))</f>
        <v/>
      </c>
      <c r="M806" s="30" t="str">
        <f t="shared" si="79"/>
        <v/>
      </c>
      <c r="N806" s="134"/>
      <c r="O806" s="29"/>
      <c r="P806" s="37" t="str">
        <f t="shared" si="80"/>
        <v/>
      </c>
      <c r="Q806" s="38" t="str">
        <f t="shared" si="81"/>
        <v/>
      </c>
      <c r="R806" s="37" t="str">
        <f t="shared" si="82"/>
        <v/>
      </c>
      <c r="S806" s="37" t="str">
        <f t="shared" si="83"/>
        <v/>
      </c>
      <c r="T806" s="38" t="str">
        <f t="shared" si="84"/>
        <v/>
      </c>
      <c r="U806" s="37" t="str">
        <f t="shared" si="85"/>
        <v/>
      </c>
    </row>
    <row r="807" spans="2:21" ht="17.25">
      <c r="B807" s="156"/>
      <c r="C807" s="156"/>
      <c r="D807" s="157"/>
      <c r="E807" s="155"/>
      <c r="F807" s="151"/>
      <c r="G807" s="152"/>
      <c r="H807" s="153"/>
      <c r="I807" s="154"/>
      <c r="J807" s="154"/>
      <c r="K807" s="30" t="str">
        <f>IF(H807="","",IF($C$30="간이법","",FPR(H807,I807,J807)))</f>
        <v/>
      </c>
      <c r="L807" s="30" t="str">
        <f>IF(H807="","",IF($C$30="상세법",FPV(H807,K807),IF(H807="EI",4,IF(H807="EO",5.2,IF(H807="EQ",3.9,IF(H807="ILF",7.5,IF(H807="EIF",5.4)))))))</f>
        <v/>
      </c>
      <c r="M807" s="30" t="str">
        <f t="shared" si="79"/>
        <v/>
      </c>
      <c r="N807" s="134"/>
      <c r="O807" s="29"/>
      <c r="P807" s="37" t="str">
        <f t="shared" si="80"/>
        <v/>
      </c>
      <c r="Q807" s="38" t="str">
        <f t="shared" si="81"/>
        <v/>
      </c>
      <c r="R807" s="37" t="str">
        <f t="shared" si="82"/>
        <v/>
      </c>
      <c r="S807" s="37" t="str">
        <f t="shared" si="83"/>
        <v/>
      </c>
      <c r="T807" s="38" t="str">
        <f t="shared" si="84"/>
        <v/>
      </c>
      <c r="U807" s="37" t="str">
        <f t="shared" si="85"/>
        <v/>
      </c>
    </row>
    <row r="808" spans="2:21" ht="17.25">
      <c r="B808" s="156"/>
      <c r="C808" s="156"/>
      <c r="D808" s="157"/>
      <c r="E808" s="155"/>
      <c r="F808" s="151"/>
      <c r="G808" s="152"/>
      <c r="H808" s="153"/>
      <c r="I808" s="154"/>
      <c r="J808" s="154"/>
      <c r="K808" s="30" t="str">
        <f>IF(H808="","",IF($C$30="간이법","",FPR(H808,I808,J808)))</f>
        <v/>
      </c>
      <c r="L808" s="30" t="str">
        <f>IF(H808="","",IF($C$30="상세법",FPV(H808,K808),IF(H808="EI",4,IF(H808="EO",5.2,IF(H808="EQ",3.9,IF(H808="ILF",7.5,IF(H808="EIF",5.4)))))))</f>
        <v/>
      </c>
      <c r="M808" s="30" t="str">
        <f t="shared" si="79"/>
        <v/>
      </c>
      <c r="N808" s="134"/>
      <c r="O808" s="29"/>
      <c r="P808" s="37" t="str">
        <f t="shared" si="80"/>
        <v/>
      </c>
      <c r="Q808" s="38" t="str">
        <f t="shared" si="81"/>
        <v/>
      </c>
      <c r="R808" s="37" t="str">
        <f t="shared" si="82"/>
        <v/>
      </c>
      <c r="S808" s="37" t="str">
        <f t="shared" si="83"/>
        <v/>
      </c>
      <c r="T808" s="38" t="str">
        <f t="shared" si="84"/>
        <v/>
      </c>
      <c r="U808" s="37" t="str">
        <f t="shared" si="85"/>
        <v/>
      </c>
    </row>
    <row r="809" spans="2:21" ht="17.25">
      <c r="B809" s="156"/>
      <c r="C809" s="156"/>
      <c r="D809" s="157"/>
      <c r="E809" s="155"/>
      <c r="F809" s="151"/>
      <c r="G809" s="152"/>
      <c r="H809" s="153"/>
      <c r="I809" s="154"/>
      <c r="J809" s="154"/>
      <c r="K809" s="30" t="str">
        <f>IF(H809="","",IF($C$30="간이법","",FPR(H809,I809,J809)))</f>
        <v/>
      </c>
      <c r="L809" s="30" t="str">
        <f>IF(H809="","",IF($C$30="상세법",FPV(H809,K809),IF(H809="EI",4,IF(H809="EO",5.2,IF(H809="EQ",3.9,IF(H809="ILF",7.5,IF(H809="EIF",5.4)))))))</f>
        <v/>
      </c>
      <c r="M809" s="30" t="str">
        <f t="shared" si="79"/>
        <v/>
      </c>
      <c r="N809" s="134"/>
      <c r="O809" s="29"/>
      <c r="P809" s="37" t="str">
        <f t="shared" si="80"/>
        <v/>
      </c>
      <c r="Q809" s="38" t="str">
        <f t="shared" si="81"/>
        <v/>
      </c>
      <c r="R809" s="37" t="str">
        <f t="shared" si="82"/>
        <v/>
      </c>
      <c r="S809" s="37" t="str">
        <f t="shared" si="83"/>
        <v/>
      </c>
      <c r="T809" s="38" t="str">
        <f t="shared" si="84"/>
        <v/>
      </c>
      <c r="U809" s="37" t="str">
        <f t="shared" si="85"/>
        <v/>
      </c>
    </row>
    <row r="810" spans="2:21" ht="17.25">
      <c r="B810" s="156"/>
      <c r="C810" s="156"/>
      <c r="D810" s="157"/>
      <c r="E810" s="155"/>
      <c r="F810" s="151"/>
      <c r="G810" s="152"/>
      <c r="H810" s="153"/>
      <c r="I810" s="154"/>
      <c r="J810" s="154"/>
      <c r="K810" s="30" t="str">
        <f>IF(H810="","",IF($C$30="간이법","",FPR(H810,I810,J810)))</f>
        <v/>
      </c>
      <c r="L810" s="30" t="str">
        <f>IF(H810="","",IF($C$30="상세법",FPV(H810,K810),IF(H810="EI",4,IF(H810="EO",5.2,IF(H810="EQ",3.9,IF(H810="ILF",7.5,IF(H810="EIF",5.4)))))))</f>
        <v/>
      </c>
      <c r="M810" s="30" t="str">
        <f t="shared" si="79"/>
        <v/>
      </c>
      <c r="N810" s="134"/>
      <c r="O810" s="29"/>
      <c r="P810" s="37" t="str">
        <f t="shared" si="80"/>
        <v/>
      </c>
      <c r="Q810" s="38" t="str">
        <f t="shared" si="81"/>
        <v/>
      </c>
      <c r="R810" s="37" t="str">
        <f t="shared" si="82"/>
        <v/>
      </c>
      <c r="S810" s="37" t="str">
        <f t="shared" si="83"/>
        <v/>
      </c>
      <c r="T810" s="38" t="str">
        <f t="shared" si="84"/>
        <v/>
      </c>
      <c r="U810" s="37" t="str">
        <f t="shared" si="85"/>
        <v/>
      </c>
    </row>
    <row r="811" spans="2:21" ht="17.25">
      <c r="B811" s="156"/>
      <c r="C811" s="156"/>
      <c r="D811" s="157"/>
      <c r="E811" s="155"/>
      <c r="F811" s="151"/>
      <c r="G811" s="152"/>
      <c r="H811" s="153"/>
      <c r="I811" s="154"/>
      <c r="J811" s="154"/>
      <c r="K811" s="30" t="str">
        <f>IF(H811="","",IF($C$30="간이법","",FPR(H811,I811,J811)))</f>
        <v/>
      </c>
      <c r="L811" s="30" t="str">
        <f>IF(H811="","",IF($C$30="상세법",FPV(H811,K811),IF(H811="EI",4,IF(H811="EO",5.2,IF(H811="EQ",3.9,IF(H811="ILF",7.5,IF(H811="EIF",5.4)))))))</f>
        <v/>
      </c>
      <c r="M811" s="30" t="str">
        <f t="shared" si="79"/>
        <v/>
      </c>
      <c r="N811" s="134"/>
      <c r="O811" s="29"/>
      <c r="P811" s="37" t="str">
        <f t="shared" si="80"/>
        <v/>
      </c>
      <c r="Q811" s="38" t="str">
        <f t="shared" si="81"/>
        <v/>
      </c>
      <c r="R811" s="37" t="str">
        <f t="shared" si="82"/>
        <v/>
      </c>
      <c r="S811" s="37" t="str">
        <f t="shared" si="83"/>
        <v/>
      </c>
      <c r="T811" s="38" t="str">
        <f t="shared" si="84"/>
        <v/>
      </c>
      <c r="U811" s="37" t="str">
        <f t="shared" si="85"/>
        <v/>
      </c>
    </row>
    <row r="812" spans="2:21" ht="17.25">
      <c r="B812" s="156"/>
      <c r="C812" s="156"/>
      <c r="D812" s="157"/>
      <c r="E812" s="155"/>
      <c r="F812" s="151"/>
      <c r="G812" s="152"/>
      <c r="H812" s="153"/>
      <c r="I812" s="154"/>
      <c r="J812" s="154"/>
      <c r="K812" s="30" t="str">
        <f>IF(H812="","",IF($C$30="간이법","",FPR(H812,I812,J812)))</f>
        <v/>
      </c>
      <c r="L812" s="30" t="str">
        <f>IF(H812="","",IF($C$30="상세법",FPV(H812,K812),IF(H812="EI",4,IF(H812="EO",5.2,IF(H812="EQ",3.9,IF(H812="ILF",7.5,IF(H812="EIF",5.4)))))))</f>
        <v/>
      </c>
      <c r="M812" s="30" t="str">
        <f t="shared" si="79"/>
        <v/>
      </c>
      <c r="N812" s="134"/>
      <c r="O812" s="29"/>
      <c r="P812" s="37" t="str">
        <f t="shared" si="80"/>
        <v/>
      </c>
      <c r="Q812" s="38" t="str">
        <f t="shared" si="81"/>
        <v/>
      </c>
      <c r="R812" s="37" t="str">
        <f t="shared" si="82"/>
        <v/>
      </c>
      <c r="S812" s="37" t="str">
        <f t="shared" si="83"/>
        <v/>
      </c>
      <c r="T812" s="38" t="str">
        <f t="shared" si="84"/>
        <v/>
      </c>
      <c r="U812" s="37" t="str">
        <f t="shared" si="85"/>
        <v/>
      </c>
    </row>
    <row r="813" spans="2:21" ht="17.25">
      <c r="B813" s="156"/>
      <c r="C813" s="156"/>
      <c r="D813" s="157"/>
      <c r="E813" s="155"/>
      <c r="F813" s="151"/>
      <c r="G813" s="152"/>
      <c r="H813" s="153"/>
      <c r="I813" s="154"/>
      <c r="J813" s="154"/>
      <c r="K813" s="30" t="str">
        <f>IF(H813="","",IF($C$30="간이법","",FPR(H813,I813,J813)))</f>
        <v/>
      </c>
      <c r="L813" s="30" t="str">
        <f>IF(H813="","",IF($C$30="상세법",FPV(H813,K813),IF(H813="EI",4,IF(H813="EO",5.2,IF(H813="EQ",3.9,IF(H813="ILF",7.5,IF(H813="EIF",5.4)))))))</f>
        <v/>
      </c>
      <c r="M813" s="30" t="str">
        <f t="shared" si="79"/>
        <v/>
      </c>
      <c r="N813" s="134"/>
      <c r="O813" s="29"/>
      <c r="P813" s="37" t="str">
        <f t="shared" si="80"/>
        <v/>
      </c>
      <c r="Q813" s="38" t="str">
        <f t="shared" si="81"/>
        <v/>
      </c>
      <c r="R813" s="37" t="str">
        <f t="shared" si="82"/>
        <v/>
      </c>
      <c r="S813" s="37" t="str">
        <f t="shared" si="83"/>
        <v/>
      </c>
      <c r="T813" s="38" t="str">
        <f t="shared" si="84"/>
        <v/>
      </c>
      <c r="U813" s="37" t="str">
        <f t="shared" si="85"/>
        <v/>
      </c>
    </row>
    <row r="814" spans="2:21" ht="17.25">
      <c r="B814" s="156"/>
      <c r="C814" s="156"/>
      <c r="D814" s="157"/>
      <c r="E814" s="155"/>
      <c r="F814" s="151"/>
      <c r="G814" s="152"/>
      <c r="H814" s="153"/>
      <c r="I814" s="154"/>
      <c r="J814" s="154"/>
      <c r="K814" s="30" t="str">
        <f>IF(H814="","",IF($C$30="간이법","",FPR(H814,I814,J814)))</f>
        <v/>
      </c>
      <c r="L814" s="30" t="str">
        <f>IF(H814="","",IF($C$30="상세법",FPV(H814,K814),IF(H814="EI",4,IF(H814="EO",5.2,IF(H814="EQ",3.9,IF(H814="ILF",7.5,IF(H814="EIF",5.4)))))))</f>
        <v/>
      </c>
      <c r="M814" s="30" t="str">
        <f t="shared" si="79"/>
        <v/>
      </c>
      <c r="N814" s="134"/>
      <c r="O814" s="29"/>
      <c r="P814" s="37" t="str">
        <f t="shared" si="80"/>
        <v/>
      </c>
      <c r="Q814" s="38" t="str">
        <f t="shared" si="81"/>
        <v/>
      </c>
      <c r="R814" s="37" t="str">
        <f t="shared" si="82"/>
        <v/>
      </c>
      <c r="S814" s="37" t="str">
        <f t="shared" si="83"/>
        <v/>
      </c>
      <c r="T814" s="38" t="str">
        <f t="shared" si="84"/>
        <v/>
      </c>
      <c r="U814" s="37" t="str">
        <f t="shared" si="85"/>
        <v/>
      </c>
    </row>
    <row r="815" spans="2:21" ht="17.25">
      <c r="B815" s="156"/>
      <c r="C815" s="156"/>
      <c r="D815" s="157"/>
      <c r="E815" s="155"/>
      <c r="F815" s="151"/>
      <c r="G815" s="152"/>
      <c r="H815" s="153"/>
      <c r="I815" s="154"/>
      <c r="J815" s="154"/>
      <c r="K815" s="30" t="str">
        <f>IF(H815="","",IF($C$30="간이법","",FPR(H815,I815,J815)))</f>
        <v/>
      </c>
      <c r="L815" s="30" t="str">
        <f>IF(H815="","",IF($C$30="상세법",FPV(H815,K815),IF(H815="EI",4,IF(H815="EO",5.2,IF(H815="EQ",3.9,IF(H815="ILF",7.5,IF(H815="EIF",5.4)))))))</f>
        <v/>
      </c>
      <c r="M815" s="30" t="str">
        <f t="shared" si="79"/>
        <v/>
      </c>
      <c r="N815" s="134"/>
      <c r="O815" s="29"/>
      <c r="P815" s="37" t="str">
        <f t="shared" si="80"/>
        <v/>
      </c>
      <c r="Q815" s="38" t="str">
        <f t="shared" si="81"/>
        <v/>
      </c>
      <c r="R815" s="37" t="str">
        <f t="shared" si="82"/>
        <v/>
      </c>
      <c r="S815" s="37" t="str">
        <f t="shared" si="83"/>
        <v/>
      </c>
      <c r="T815" s="38" t="str">
        <f t="shared" si="84"/>
        <v/>
      </c>
      <c r="U815" s="37" t="str">
        <f t="shared" si="85"/>
        <v/>
      </c>
    </row>
    <row r="816" spans="2:21" ht="17.25">
      <c r="B816" s="156"/>
      <c r="C816" s="156"/>
      <c r="D816" s="157"/>
      <c r="E816" s="155"/>
      <c r="F816" s="151"/>
      <c r="G816" s="152"/>
      <c r="H816" s="153"/>
      <c r="I816" s="154"/>
      <c r="J816" s="154"/>
      <c r="K816" s="30" t="str">
        <f>IF(H816="","",IF($C$30="간이법","",FPR(H816,I816,J816)))</f>
        <v/>
      </c>
      <c r="L816" s="30" t="str">
        <f>IF(H816="","",IF($C$30="상세법",FPV(H816,K816),IF(H816="EI",4,IF(H816="EO",5.2,IF(H816="EQ",3.9,IF(H816="ILF",7.5,IF(H816="EIF",5.4)))))))</f>
        <v/>
      </c>
      <c r="M816" s="30" t="str">
        <f t="shared" si="79"/>
        <v/>
      </c>
      <c r="N816" s="134"/>
      <c r="O816" s="29"/>
      <c r="P816" s="37" t="str">
        <f t="shared" si="80"/>
        <v/>
      </c>
      <c r="Q816" s="38" t="str">
        <f t="shared" si="81"/>
        <v/>
      </c>
      <c r="R816" s="37" t="str">
        <f t="shared" si="82"/>
        <v/>
      </c>
      <c r="S816" s="37" t="str">
        <f t="shared" si="83"/>
        <v/>
      </c>
      <c r="T816" s="38" t="str">
        <f t="shared" si="84"/>
        <v/>
      </c>
      <c r="U816" s="37" t="str">
        <f t="shared" si="85"/>
        <v/>
      </c>
    </row>
    <row r="817" spans="2:21" ht="17.25">
      <c r="B817" s="156"/>
      <c r="C817" s="156"/>
      <c r="D817" s="157"/>
      <c r="E817" s="155"/>
      <c r="F817" s="151"/>
      <c r="G817" s="152"/>
      <c r="H817" s="153"/>
      <c r="I817" s="154"/>
      <c r="J817" s="154"/>
      <c r="K817" s="30" t="str">
        <f>IF(H817="","",IF($C$30="간이법","",FPR(H817,I817,J817)))</f>
        <v/>
      </c>
      <c r="L817" s="30" t="str">
        <f>IF(H817="","",IF($C$30="상세법",FPV(H817,K817),IF(H817="EI",4,IF(H817="EO",5.2,IF(H817="EQ",3.9,IF(H817="ILF",7.5,IF(H817="EIF",5.4)))))))</f>
        <v/>
      </c>
      <c r="M817" s="30" t="str">
        <f t="shared" si="79"/>
        <v/>
      </c>
      <c r="N817" s="134"/>
      <c r="O817" s="29"/>
      <c r="P817" s="37" t="str">
        <f t="shared" si="80"/>
        <v/>
      </c>
      <c r="Q817" s="38" t="str">
        <f t="shared" si="81"/>
        <v/>
      </c>
      <c r="R817" s="37" t="str">
        <f t="shared" si="82"/>
        <v/>
      </c>
      <c r="S817" s="37" t="str">
        <f t="shared" si="83"/>
        <v/>
      </c>
      <c r="T817" s="38" t="str">
        <f t="shared" si="84"/>
        <v/>
      </c>
      <c r="U817" s="37" t="str">
        <f t="shared" si="85"/>
        <v/>
      </c>
    </row>
    <row r="818" spans="2:21" ht="17.25">
      <c r="B818" s="156"/>
      <c r="C818" s="156"/>
      <c r="D818" s="157"/>
      <c r="E818" s="155"/>
      <c r="F818" s="151"/>
      <c r="G818" s="152"/>
      <c r="H818" s="153"/>
      <c r="I818" s="154"/>
      <c r="J818" s="154"/>
      <c r="K818" s="30" t="str">
        <f>IF(H818="","",IF($C$30="간이법","",FPR(H818,I818,J818)))</f>
        <v/>
      </c>
      <c r="L818" s="30" t="str">
        <f>IF(H818="","",IF($C$30="상세법",FPV(H818,K818),IF(H818="EI",4,IF(H818="EO",5.2,IF(H818="EQ",3.9,IF(H818="ILF",7.5,IF(H818="EIF",5.4)))))))</f>
        <v/>
      </c>
      <c r="M818" s="30" t="str">
        <f t="shared" si="79"/>
        <v/>
      </c>
      <c r="N818" s="134"/>
      <c r="O818" s="29"/>
      <c r="P818" s="37" t="str">
        <f t="shared" si="80"/>
        <v/>
      </c>
      <c r="Q818" s="38" t="str">
        <f t="shared" si="81"/>
        <v/>
      </c>
      <c r="R818" s="37" t="str">
        <f t="shared" si="82"/>
        <v/>
      </c>
      <c r="S818" s="37" t="str">
        <f t="shared" si="83"/>
        <v/>
      </c>
      <c r="T818" s="38" t="str">
        <f t="shared" si="84"/>
        <v/>
      </c>
      <c r="U818" s="37" t="str">
        <f t="shared" si="85"/>
        <v/>
      </c>
    </row>
    <row r="819" spans="2:21" ht="17.25">
      <c r="B819" s="156"/>
      <c r="C819" s="156"/>
      <c r="D819" s="157"/>
      <c r="E819" s="155"/>
      <c r="F819" s="151"/>
      <c r="G819" s="152"/>
      <c r="H819" s="153"/>
      <c r="I819" s="154"/>
      <c r="J819" s="154"/>
      <c r="K819" s="30" t="str">
        <f>IF(H819="","",IF($C$30="간이법","",FPR(H819,I819,J819)))</f>
        <v/>
      </c>
      <c r="L819" s="30" t="str">
        <f>IF(H819="","",IF($C$30="상세법",FPV(H819,K819),IF(H819="EI",4,IF(H819="EO",5.2,IF(H819="EQ",3.9,IF(H819="ILF",7.5,IF(H819="EIF",5.4)))))))</f>
        <v/>
      </c>
      <c r="M819" s="30" t="str">
        <f t="shared" si="79"/>
        <v/>
      </c>
      <c r="N819" s="134"/>
      <c r="O819" s="29"/>
      <c r="P819" s="37" t="str">
        <f t="shared" si="80"/>
        <v/>
      </c>
      <c r="Q819" s="38" t="str">
        <f t="shared" si="81"/>
        <v/>
      </c>
      <c r="R819" s="37" t="str">
        <f t="shared" si="82"/>
        <v/>
      </c>
      <c r="S819" s="37" t="str">
        <f t="shared" si="83"/>
        <v/>
      </c>
      <c r="T819" s="38" t="str">
        <f t="shared" si="84"/>
        <v/>
      </c>
      <c r="U819" s="37" t="str">
        <f t="shared" si="85"/>
        <v/>
      </c>
    </row>
    <row r="820" spans="2:21" ht="17.25">
      <c r="B820" s="156"/>
      <c r="C820" s="156"/>
      <c r="D820" s="157"/>
      <c r="E820" s="155"/>
      <c r="F820" s="151"/>
      <c r="G820" s="152"/>
      <c r="H820" s="153"/>
      <c r="I820" s="154"/>
      <c r="J820" s="154"/>
      <c r="K820" s="30" t="str">
        <f>IF(H820="","",IF($C$30="간이법","",FPR(H820,I820,J820)))</f>
        <v/>
      </c>
      <c r="L820" s="30" t="str">
        <f>IF(H820="","",IF($C$30="상세법",FPV(H820,K820),IF(H820="EI",4,IF(H820="EO",5.2,IF(H820="EQ",3.9,IF(H820="ILF",7.5,IF(H820="EIF",5.4)))))))</f>
        <v/>
      </c>
      <c r="M820" s="30" t="str">
        <f t="shared" si="79"/>
        <v/>
      </c>
      <c r="N820" s="134"/>
      <c r="O820" s="29"/>
      <c r="P820" s="37" t="str">
        <f t="shared" si="80"/>
        <v/>
      </c>
      <c r="Q820" s="38" t="str">
        <f t="shared" si="81"/>
        <v/>
      </c>
      <c r="R820" s="37" t="str">
        <f t="shared" si="82"/>
        <v/>
      </c>
      <c r="S820" s="37" t="str">
        <f t="shared" si="83"/>
        <v/>
      </c>
      <c r="T820" s="38" t="str">
        <f t="shared" si="84"/>
        <v/>
      </c>
      <c r="U820" s="37" t="str">
        <f t="shared" si="85"/>
        <v/>
      </c>
    </row>
    <row r="821" spans="2:21" ht="17.25">
      <c r="B821" s="156"/>
      <c r="C821" s="156"/>
      <c r="D821" s="157"/>
      <c r="E821" s="155"/>
      <c r="F821" s="151"/>
      <c r="G821" s="152"/>
      <c r="H821" s="153"/>
      <c r="I821" s="154"/>
      <c r="J821" s="154"/>
      <c r="K821" s="30" t="str">
        <f>IF(H821="","",IF($C$30="간이법","",FPR(H821,I821,J821)))</f>
        <v/>
      </c>
      <c r="L821" s="30" t="str">
        <f>IF(H821="","",IF($C$30="상세법",FPV(H821,K821),IF(H821="EI",4,IF(H821="EO",5.2,IF(H821="EQ",3.9,IF(H821="ILF",7.5,IF(H821="EIF",5.4)))))))</f>
        <v/>
      </c>
      <c r="M821" s="30" t="str">
        <f t="shared" si="79"/>
        <v/>
      </c>
      <c r="N821" s="134"/>
      <c r="O821" s="29"/>
      <c r="P821" s="37" t="str">
        <f t="shared" si="80"/>
        <v/>
      </c>
      <c r="Q821" s="38" t="str">
        <f t="shared" si="81"/>
        <v/>
      </c>
      <c r="R821" s="37" t="str">
        <f t="shared" si="82"/>
        <v/>
      </c>
      <c r="S821" s="37" t="str">
        <f t="shared" si="83"/>
        <v/>
      </c>
      <c r="T821" s="38" t="str">
        <f t="shared" si="84"/>
        <v/>
      </c>
      <c r="U821" s="37" t="str">
        <f t="shared" si="85"/>
        <v/>
      </c>
    </row>
    <row r="822" spans="2:21" ht="17.25">
      <c r="B822" s="156"/>
      <c r="C822" s="156"/>
      <c r="D822" s="157"/>
      <c r="E822" s="155"/>
      <c r="F822" s="151"/>
      <c r="G822" s="152"/>
      <c r="H822" s="153"/>
      <c r="I822" s="154"/>
      <c r="J822" s="154"/>
      <c r="K822" s="30" t="str">
        <f>IF(H822="","",IF($C$30="간이법","",FPR(H822,I822,J822)))</f>
        <v/>
      </c>
      <c r="L822" s="30" t="str">
        <f>IF(H822="","",IF($C$30="상세법",FPV(H822,K822),IF(H822="EI",4,IF(H822="EO",5.2,IF(H822="EQ",3.9,IF(H822="ILF",7.5,IF(H822="EIF",5.4)))))))</f>
        <v/>
      </c>
      <c r="M822" s="30" t="str">
        <f t="shared" si="79"/>
        <v/>
      </c>
      <c r="N822" s="134"/>
      <c r="O822" s="29"/>
      <c r="P822" s="37" t="str">
        <f t="shared" si="80"/>
        <v/>
      </c>
      <c r="Q822" s="38" t="str">
        <f t="shared" si="81"/>
        <v/>
      </c>
      <c r="R822" s="37" t="str">
        <f t="shared" si="82"/>
        <v/>
      </c>
      <c r="S822" s="37" t="str">
        <f t="shared" si="83"/>
        <v/>
      </c>
      <c r="T822" s="38" t="str">
        <f t="shared" si="84"/>
        <v/>
      </c>
      <c r="U822" s="37" t="str">
        <f t="shared" si="85"/>
        <v/>
      </c>
    </row>
    <row r="823" spans="2:21" ht="17.25">
      <c r="B823" s="156"/>
      <c r="C823" s="156"/>
      <c r="D823" s="157"/>
      <c r="E823" s="155"/>
      <c r="F823" s="151"/>
      <c r="G823" s="152"/>
      <c r="H823" s="153"/>
      <c r="I823" s="154"/>
      <c r="J823" s="154"/>
      <c r="K823" s="30" t="str">
        <f>IF(H823="","",IF($C$30="간이법","",FPR(H823,I823,J823)))</f>
        <v/>
      </c>
      <c r="L823" s="30" t="str">
        <f>IF(H823="","",IF($C$30="상세법",FPV(H823,K823),IF(H823="EI",4,IF(H823="EO",5.2,IF(H823="EQ",3.9,IF(H823="ILF",7.5,IF(H823="EIF",5.4)))))))</f>
        <v/>
      </c>
      <c r="M823" s="30" t="str">
        <f t="shared" si="79"/>
        <v/>
      </c>
      <c r="N823" s="134"/>
      <c r="O823" s="29"/>
      <c r="P823" s="37" t="str">
        <f t="shared" si="80"/>
        <v/>
      </c>
      <c r="Q823" s="38" t="str">
        <f t="shared" si="81"/>
        <v/>
      </c>
      <c r="R823" s="37" t="str">
        <f t="shared" si="82"/>
        <v/>
      </c>
      <c r="S823" s="37" t="str">
        <f t="shared" si="83"/>
        <v/>
      </c>
      <c r="T823" s="38" t="str">
        <f t="shared" si="84"/>
        <v/>
      </c>
      <c r="U823" s="37" t="str">
        <f t="shared" si="85"/>
        <v/>
      </c>
    </row>
    <row r="824" spans="2:21" ht="17.25">
      <c r="B824" s="156"/>
      <c r="C824" s="156"/>
      <c r="D824" s="157"/>
      <c r="E824" s="155"/>
      <c r="F824" s="151"/>
      <c r="G824" s="152"/>
      <c r="H824" s="153"/>
      <c r="I824" s="154"/>
      <c r="J824" s="154"/>
      <c r="K824" s="30" t="str">
        <f>IF(H824="","",IF($C$30="간이법","",FPR(H824,I824,J824)))</f>
        <v/>
      </c>
      <c r="L824" s="30" t="str">
        <f>IF(H824="","",IF($C$30="상세법",FPV(H824,K824),IF(H824="EI",4,IF(H824="EO",5.2,IF(H824="EQ",3.9,IF(H824="ILF",7.5,IF(H824="EIF",5.4)))))))</f>
        <v/>
      </c>
      <c r="M824" s="30" t="str">
        <f t="shared" si="79"/>
        <v/>
      </c>
      <c r="N824" s="134"/>
      <c r="O824" s="29"/>
      <c r="P824" s="37" t="str">
        <f t="shared" si="80"/>
        <v/>
      </c>
      <c r="Q824" s="38" t="str">
        <f t="shared" si="81"/>
        <v/>
      </c>
      <c r="R824" s="37" t="str">
        <f t="shared" si="82"/>
        <v/>
      </c>
      <c r="S824" s="37" t="str">
        <f t="shared" si="83"/>
        <v/>
      </c>
      <c r="T824" s="38" t="str">
        <f t="shared" si="84"/>
        <v/>
      </c>
      <c r="U824" s="37" t="str">
        <f t="shared" si="85"/>
        <v/>
      </c>
    </row>
    <row r="825" spans="2:21" ht="17.25">
      <c r="B825" s="156"/>
      <c r="C825" s="156"/>
      <c r="D825" s="157"/>
      <c r="E825" s="155"/>
      <c r="F825" s="151"/>
      <c r="G825" s="152"/>
      <c r="H825" s="153"/>
      <c r="I825" s="154"/>
      <c r="J825" s="154"/>
      <c r="K825" s="30" t="str">
        <f>IF(H825="","",IF($C$30="간이법","",FPR(H825,I825,J825)))</f>
        <v/>
      </c>
      <c r="L825" s="30" t="str">
        <f>IF(H825="","",IF($C$30="상세법",FPV(H825,K825),IF(H825="EI",4,IF(H825="EO",5.2,IF(H825="EQ",3.9,IF(H825="ILF",7.5,IF(H825="EIF",5.4)))))))</f>
        <v/>
      </c>
      <c r="M825" s="30" t="str">
        <f t="shared" si="79"/>
        <v/>
      </c>
      <c r="N825" s="134"/>
      <c r="O825" s="29"/>
      <c r="P825" s="37" t="str">
        <f t="shared" si="80"/>
        <v/>
      </c>
      <c r="Q825" s="38" t="str">
        <f t="shared" si="81"/>
        <v/>
      </c>
      <c r="R825" s="37" t="str">
        <f t="shared" si="82"/>
        <v/>
      </c>
      <c r="S825" s="37" t="str">
        <f t="shared" si="83"/>
        <v/>
      </c>
      <c r="T825" s="38" t="str">
        <f t="shared" si="84"/>
        <v/>
      </c>
      <c r="U825" s="37" t="str">
        <f t="shared" si="85"/>
        <v/>
      </c>
    </row>
    <row r="826" spans="2:21" ht="17.25">
      <c r="B826" s="156"/>
      <c r="C826" s="156"/>
      <c r="D826" s="157"/>
      <c r="E826" s="155"/>
      <c r="F826" s="151"/>
      <c r="G826" s="152"/>
      <c r="H826" s="153"/>
      <c r="I826" s="154"/>
      <c r="J826" s="154"/>
      <c r="K826" s="30" t="str">
        <f>IF(H826="","",IF($C$30="간이법","",FPR(H826,I826,J826)))</f>
        <v/>
      </c>
      <c r="L826" s="30" t="str">
        <f>IF(H826="","",IF($C$30="상세법",FPV(H826,K826),IF(H826="EI",4,IF(H826="EO",5.2,IF(H826="EQ",3.9,IF(H826="ILF",7.5,IF(H826="EIF",5.4)))))))</f>
        <v/>
      </c>
      <c r="M826" s="30" t="str">
        <f t="shared" si="79"/>
        <v/>
      </c>
      <c r="N826" s="134"/>
      <c r="O826" s="29"/>
      <c r="P826" s="37" t="str">
        <f t="shared" si="80"/>
        <v/>
      </c>
      <c r="Q826" s="38" t="str">
        <f t="shared" si="81"/>
        <v/>
      </c>
      <c r="R826" s="37" t="str">
        <f t="shared" si="82"/>
        <v/>
      </c>
      <c r="S826" s="37" t="str">
        <f t="shared" si="83"/>
        <v/>
      </c>
      <c r="T826" s="38" t="str">
        <f t="shared" si="84"/>
        <v/>
      </c>
      <c r="U826" s="37" t="str">
        <f t="shared" si="85"/>
        <v/>
      </c>
    </row>
    <row r="827" spans="2:21" ht="17.25">
      <c r="B827" s="156"/>
      <c r="C827" s="156"/>
      <c r="D827" s="157"/>
      <c r="E827" s="155"/>
      <c r="F827" s="151"/>
      <c r="G827" s="152"/>
      <c r="H827" s="153"/>
      <c r="I827" s="154"/>
      <c r="J827" s="154"/>
      <c r="K827" s="30" t="str">
        <f>IF(H827="","",IF($C$30="간이법","",FPR(H827,I827,J827)))</f>
        <v/>
      </c>
      <c r="L827" s="30" t="str">
        <f>IF(H827="","",IF($C$30="상세법",FPV(H827,K827),IF(H827="EI",4,IF(H827="EO",5.2,IF(H827="EQ",3.9,IF(H827="ILF",7.5,IF(H827="EIF",5.4)))))))</f>
        <v/>
      </c>
      <c r="M827" s="30" t="str">
        <f t="shared" si="79"/>
        <v/>
      </c>
      <c r="N827" s="134"/>
      <c r="O827" s="29"/>
      <c r="P827" s="37" t="str">
        <f t="shared" si="80"/>
        <v/>
      </c>
      <c r="Q827" s="38" t="str">
        <f t="shared" si="81"/>
        <v/>
      </c>
      <c r="R827" s="37" t="str">
        <f t="shared" si="82"/>
        <v/>
      </c>
      <c r="S827" s="37" t="str">
        <f t="shared" si="83"/>
        <v/>
      </c>
      <c r="T827" s="38" t="str">
        <f t="shared" si="84"/>
        <v/>
      </c>
      <c r="U827" s="37" t="str">
        <f t="shared" si="85"/>
        <v/>
      </c>
    </row>
    <row r="828" spans="2:21" ht="17.25">
      <c r="B828" s="156"/>
      <c r="C828" s="156"/>
      <c r="D828" s="157"/>
      <c r="E828" s="155"/>
      <c r="F828" s="151"/>
      <c r="G828" s="152"/>
      <c r="H828" s="153"/>
      <c r="I828" s="154"/>
      <c r="J828" s="154"/>
      <c r="K828" s="30" t="str">
        <f>IF(H828="","",IF($C$30="간이법","",FPR(H828,I828,J828)))</f>
        <v/>
      </c>
      <c r="L828" s="30" t="str">
        <f>IF(H828="","",IF($C$30="상세법",FPV(H828,K828),IF(H828="EI",4,IF(H828="EO",5.2,IF(H828="EQ",3.9,IF(H828="ILF",7.5,IF(H828="EIF",5.4)))))))</f>
        <v/>
      </c>
      <c r="M828" s="30" t="str">
        <f t="shared" ref="M828:M891" si="86">IF(OR(G828="",$E$36="(선택)",$E$40="(선택)",$E$41="(선택)",F828="신규 개발",F828="수정 없이 재사용"),"",(IF(F828="수정 후 재사용",IF($E$50&lt;=0.5,L828*($E$36+$E$50*100*(1+0.02*($E$40*$E$41)))/100,L828*($E$36+$E$50*100+($E$40*$E$41))/100))))</f>
        <v/>
      </c>
      <c r="N828" s="134"/>
      <c r="O828" s="29"/>
      <c r="P828" s="37" t="str">
        <f t="shared" ref="P828:P891" si="87">IF(F828="수정 후 재사용",IF(H828="ILF",G828,IF(H828="EIF",G828,"")),"")</f>
        <v/>
      </c>
      <c r="Q828" s="38" t="str">
        <f t="shared" ref="Q828:Q891" si="88">IF(P828&lt;&gt;"",IF(H828="ILF", L828/$E$46,IF(H828="EIF", L828/$E$46,"")),"")</f>
        <v/>
      </c>
      <c r="R828" s="37" t="str">
        <f t="shared" ref="R828:R891" si="89">IF(P828&lt;&gt;"",P828*Q828,"")</f>
        <v/>
      </c>
      <c r="S828" s="37" t="str">
        <f t="shared" ref="S828:S891" si="90">IF(F828="수정 후 재사용",IF(H828="EI",G828,IF(H828="EO",G828,IF(H828="EQ",G828,""))),"")</f>
        <v/>
      </c>
      <c r="T828" s="38" t="str">
        <f t="shared" ref="T828:T891" si="91">IF(S828&lt;&gt;"",IF(H828="EI",L828/$E$47,IF(H828="EO",L828/$E$47,IF(H828="EQ",L828/$E$47,""))),"")</f>
        <v/>
      </c>
      <c r="U828" s="37" t="str">
        <f t="shared" ref="U828:U891" si="92">IF(S828&lt;&gt;"",S828*T828,"")</f>
        <v/>
      </c>
    </row>
    <row r="829" spans="2:21" ht="17.25">
      <c r="B829" s="156"/>
      <c r="C829" s="156"/>
      <c r="D829" s="157"/>
      <c r="E829" s="155"/>
      <c r="F829" s="151"/>
      <c r="G829" s="152"/>
      <c r="H829" s="153"/>
      <c r="I829" s="154"/>
      <c r="J829" s="154"/>
      <c r="K829" s="30" t="str">
        <f>IF(H829="","",IF($C$30="간이법","",FPR(H829,I829,J829)))</f>
        <v/>
      </c>
      <c r="L829" s="30" t="str">
        <f>IF(H829="","",IF($C$30="상세법",FPV(H829,K829),IF(H829="EI",4,IF(H829="EO",5.2,IF(H829="EQ",3.9,IF(H829="ILF",7.5,IF(H829="EIF",5.4)))))))</f>
        <v/>
      </c>
      <c r="M829" s="30" t="str">
        <f t="shared" si="86"/>
        <v/>
      </c>
      <c r="N829" s="134"/>
      <c r="O829" s="29"/>
      <c r="P829" s="37" t="str">
        <f t="shared" si="87"/>
        <v/>
      </c>
      <c r="Q829" s="38" t="str">
        <f t="shared" si="88"/>
        <v/>
      </c>
      <c r="R829" s="37" t="str">
        <f t="shared" si="89"/>
        <v/>
      </c>
      <c r="S829" s="37" t="str">
        <f t="shared" si="90"/>
        <v/>
      </c>
      <c r="T829" s="38" t="str">
        <f t="shared" si="91"/>
        <v/>
      </c>
      <c r="U829" s="37" t="str">
        <f t="shared" si="92"/>
        <v/>
      </c>
    </row>
    <row r="830" spans="2:21" ht="17.25">
      <c r="B830" s="156"/>
      <c r="C830" s="156"/>
      <c r="D830" s="157"/>
      <c r="E830" s="155"/>
      <c r="F830" s="151"/>
      <c r="G830" s="152"/>
      <c r="H830" s="153"/>
      <c r="I830" s="154"/>
      <c r="J830" s="154"/>
      <c r="K830" s="30" t="str">
        <f>IF(H830="","",IF($C$30="간이법","",FPR(H830,I830,J830)))</f>
        <v/>
      </c>
      <c r="L830" s="30" t="str">
        <f>IF(H830="","",IF($C$30="상세법",FPV(H830,K830),IF(H830="EI",4,IF(H830="EO",5.2,IF(H830="EQ",3.9,IF(H830="ILF",7.5,IF(H830="EIF",5.4)))))))</f>
        <v/>
      </c>
      <c r="M830" s="30" t="str">
        <f t="shared" si="86"/>
        <v/>
      </c>
      <c r="N830" s="134"/>
      <c r="O830" s="29"/>
      <c r="P830" s="37" t="str">
        <f t="shared" si="87"/>
        <v/>
      </c>
      <c r="Q830" s="38" t="str">
        <f t="shared" si="88"/>
        <v/>
      </c>
      <c r="R830" s="37" t="str">
        <f t="shared" si="89"/>
        <v/>
      </c>
      <c r="S830" s="37" t="str">
        <f t="shared" si="90"/>
        <v/>
      </c>
      <c r="T830" s="38" t="str">
        <f t="shared" si="91"/>
        <v/>
      </c>
      <c r="U830" s="37" t="str">
        <f t="shared" si="92"/>
        <v/>
      </c>
    </row>
    <row r="831" spans="2:21" ht="17.25">
      <c r="B831" s="156"/>
      <c r="C831" s="156"/>
      <c r="D831" s="157"/>
      <c r="E831" s="155"/>
      <c r="F831" s="151"/>
      <c r="G831" s="152"/>
      <c r="H831" s="153"/>
      <c r="I831" s="154"/>
      <c r="J831" s="154"/>
      <c r="K831" s="30" t="str">
        <f>IF(H831="","",IF($C$30="간이법","",FPR(H831,I831,J831)))</f>
        <v/>
      </c>
      <c r="L831" s="30" t="str">
        <f>IF(H831="","",IF($C$30="상세법",FPV(H831,K831),IF(H831="EI",4,IF(H831="EO",5.2,IF(H831="EQ",3.9,IF(H831="ILF",7.5,IF(H831="EIF",5.4)))))))</f>
        <v/>
      </c>
      <c r="M831" s="30" t="str">
        <f t="shared" si="86"/>
        <v/>
      </c>
      <c r="N831" s="134"/>
      <c r="O831" s="29"/>
      <c r="P831" s="37" t="str">
        <f t="shared" si="87"/>
        <v/>
      </c>
      <c r="Q831" s="38" t="str">
        <f t="shared" si="88"/>
        <v/>
      </c>
      <c r="R831" s="37" t="str">
        <f t="shared" si="89"/>
        <v/>
      </c>
      <c r="S831" s="37" t="str">
        <f t="shared" si="90"/>
        <v/>
      </c>
      <c r="T831" s="38" t="str">
        <f t="shared" si="91"/>
        <v/>
      </c>
      <c r="U831" s="37" t="str">
        <f t="shared" si="92"/>
        <v/>
      </c>
    </row>
    <row r="832" spans="2:21" ht="17.25">
      <c r="B832" s="156"/>
      <c r="C832" s="156"/>
      <c r="D832" s="157"/>
      <c r="E832" s="155"/>
      <c r="F832" s="151"/>
      <c r="G832" s="152"/>
      <c r="H832" s="153"/>
      <c r="I832" s="154"/>
      <c r="J832" s="154"/>
      <c r="K832" s="30" t="str">
        <f>IF(H832="","",IF($C$30="간이법","",FPR(H832,I832,J832)))</f>
        <v/>
      </c>
      <c r="L832" s="30" t="str">
        <f>IF(H832="","",IF($C$30="상세법",FPV(H832,K832),IF(H832="EI",4,IF(H832="EO",5.2,IF(H832="EQ",3.9,IF(H832="ILF",7.5,IF(H832="EIF",5.4)))))))</f>
        <v/>
      </c>
      <c r="M832" s="30" t="str">
        <f t="shared" si="86"/>
        <v/>
      </c>
      <c r="N832" s="134"/>
      <c r="O832" s="29"/>
      <c r="P832" s="37" t="str">
        <f t="shared" si="87"/>
        <v/>
      </c>
      <c r="Q832" s="38" t="str">
        <f t="shared" si="88"/>
        <v/>
      </c>
      <c r="R832" s="37" t="str">
        <f t="shared" si="89"/>
        <v/>
      </c>
      <c r="S832" s="37" t="str">
        <f t="shared" si="90"/>
        <v/>
      </c>
      <c r="T832" s="38" t="str">
        <f t="shared" si="91"/>
        <v/>
      </c>
      <c r="U832" s="37" t="str">
        <f t="shared" si="92"/>
        <v/>
      </c>
    </row>
    <row r="833" spans="2:21" ht="17.25">
      <c r="B833" s="156"/>
      <c r="C833" s="156"/>
      <c r="D833" s="157"/>
      <c r="E833" s="155"/>
      <c r="F833" s="151"/>
      <c r="G833" s="152"/>
      <c r="H833" s="153"/>
      <c r="I833" s="154"/>
      <c r="J833" s="154"/>
      <c r="K833" s="30" t="str">
        <f>IF(H833="","",IF($C$30="간이법","",FPR(H833,I833,J833)))</f>
        <v/>
      </c>
      <c r="L833" s="30" t="str">
        <f>IF(H833="","",IF($C$30="상세법",FPV(H833,K833),IF(H833="EI",4,IF(H833="EO",5.2,IF(H833="EQ",3.9,IF(H833="ILF",7.5,IF(H833="EIF",5.4)))))))</f>
        <v/>
      </c>
      <c r="M833" s="30" t="str">
        <f t="shared" si="86"/>
        <v/>
      </c>
      <c r="N833" s="134"/>
      <c r="O833" s="29"/>
      <c r="P833" s="37" t="str">
        <f t="shared" si="87"/>
        <v/>
      </c>
      <c r="Q833" s="38" t="str">
        <f t="shared" si="88"/>
        <v/>
      </c>
      <c r="R833" s="37" t="str">
        <f t="shared" si="89"/>
        <v/>
      </c>
      <c r="S833" s="37" t="str">
        <f t="shared" si="90"/>
        <v/>
      </c>
      <c r="T833" s="38" t="str">
        <f t="shared" si="91"/>
        <v/>
      </c>
      <c r="U833" s="37" t="str">
        <f t="shared" si="92"/>
        <v/>
      </c>
    </row>
    <row r="834" spans="2:21" ht="17.25">
      <c r="B834" s="156"/>
      <c r="C834" s="156"/>
      <c r="D834" s="157"/>
      <c r="E834" s="155"/>
      <c r="F834" s="151"/>
      <c r="G834" s="152"/>
      <c r="H834" s="153"/>
      <c r="I834" s="154"/>
      <c r="J834" s="154"/>
      <c r="K834" s="30" t="str">
        <f>IF(H834="","",IF($C$30="간이법","",FPR(H834,I834,J834)))</f>
        <v/>
      </c>
      <c r="L834" s="30" t="str">
        <f>IF(H834="","",IF($C$30="상세법",FPV(H834,K834),IF(H834="EI",4,IF(H834="EO",5.2,IF(H834="EQ",3.9,IF(H834="ILF",7.5,IF(H834="EIF",5.4)))))))</f>
        <v/>
      </c>
      <c r="M834" s="30" t="str">
        <f t="shared" si="86"/>
        <v/>
      </c>
      <c r="N834" s="134"/>
      <c r="O834" s="29"/>
      <c r="P834" s="37" t="str">
        <f t="shared" si="87"/>
        <v/>
      </c>
      <c r="Q834" s="38" t="str">
        <f t="shared" si="88"/>
        <v/>
      </c>
      <c r="R834" s="37" t="str">
        <f t="shared" si="89"/>
        <v/>
      </c>
      <c r="S834" s="37" t="str">
        <f t="shared" si="90"/>
        <v/>
      </c>
      <c r="T834" s="38" t="str">
        <f t="shared" si="91"/>
        <v/>
      </c>
      <c r="U834" s="37" t="str">
        <f t="shared" si="92"/>
        <v/>
      </c>
    </row>
    <row r="835" spans="2:21" ht="17.25">
      <c r="B835" s="156"/>
      <c r="C835" s="156"/>
      <c r="D835" s="157"/>
      <c r="E835" s="155"/>
      <c r="F835" s="151"/>
      <c r="G835" s="152"/>
      <c r="H835" s="153"/>
      <c r="I835" s="154"/>
      <c r="J835" s="154"/>
      <c r="K835" s="30" t="str">
        <f>IF(H835="","",IF($C$30="간이법","",FPR(H835,I835,J835)))</f>
        <v/>
      </c>
      <c r="L835" s="30" t="str">
        <f>IF(H835="","",IF($C$30="상세법",FPV(H835,K835),IF(H835="EI",4,IF(H835="EO",5.2,IF(H835="EQ",3.9,IF(H835="ILF",7.5,IF(H835="EIF",5.4)))))))</f>
        <v/>
      </c>
      <c r="M835" s="30" t="str">
        <f t="shared" si="86"/>
        <v/>
      </c>
      <c r="N835" s="134"/>
      <c r="O835" s="29"/>
      <c r="P835" s="37" t="str">
        <f t="shared" si="87"/>
        <v/>
      </c>
      <c r="Q835" s="38" t="str">
        <f t="shared" si="88"/>
        <v/>
      </c>
      <c r="R835" s="37" t="str">
        <f t="shared" si="89"/>
        <v/>
      </c>
      <c r="S835" s="37" t="str">
        <f t="shared" si="90"/>
        <v/>
      </c>
      <c r="T835" s="38" t="str">
        <f t="shared" si="91"/>
        <v/>
      </c>
      <c r="U835" s="37" t="str">
        <f t="shared" si="92"/>
        <v/>
      </c>
    </row>
    <row r="836" spans="2:21" ht="17.25">
      <c r="B836" s="156"/>
      <c r="C836" s="156"/>
      <c r="D836" s="157"/>
      <c r="E836" s="155"/>
      <c r="F836" s="151"/>
      <c r="G836" s="152"/>
      <c r="H836" s="153"/>
      <c r="I836" s="154"/>
      <c r="J836" s="154"/>
      <c r="K836" s="30" t="str">
        <f>IF(H836="","",IF($C$30="간이법","",FPR(H836,I836,J836)))</f>
        <v/>
      </c>
      <c r="L836" s="30" t="str">
        <f>IF(H836="","",IF($C$30="상세법",FPV(H836,K836),IF(H836="EI",4,IF(H836="EO",5.2,IF(H836="EQ",3.9,IF(H836="ILF",7.5,IF(H836="EIF",5.4)))))))</f>
        <v/>
      </c>
      <c r="M836" s="30" t="str">
        <f t="shared" si="86"/>
        <v/>
      </c>
      <c r="N836" s="134"/>
      <c r="O836" s="29"/>
      <c r="P836" s="37" t="str">
        <f t="shared" si="87"/>
        <v/>
      </c>
      <c r="Q836" s="38" t="str">
        <f t="shared" si="88"/>
        <v/>
      </c>
      <c r="R836" s="37" t="str">
        <f t="shared" si="89"/>
        <v/>
      </c>
      <c r="S836" s="37" t="str">
        <f t="shared" si="90"/>
        <v/>
      </c>
      <c r="T836" s="38" t="str">
        <f t="shared" si="91"/>
        <v/>
      </c>
      <c r="U836" s="37" t="str">
        <f t="shared" si="92"/>
        <v/>
      </c>
    </row>
    <row r="837" spans="2:21" ht="17.25">
      <c r="B837" s="156"/>
      <c r="C837" s="156"/>
      <c r="D837" s="157"/>
      <c r="E837" s="155"/>
      <c r="F837" s="151"/>
      <c r="G837" s="152"/>
      <c r="H837" s="153"/>
      <c r="I837" s="154"/>
      <c r="J837" s="154"/>
      <c r="K837" s="30" t="str">
        <f>IF(H837="","",IF($C$30="간이법","",FPR(H837,I837,J837)))</f>
        <v/>
      </c>
      <c r="L837" s="30" t="str">
        <f>IF(H837="","",IF($C$30="상세법",FPV(H837,K837),IF(H837="EI",4,IF(H837="EO",5.2,IF(H837="EQ",3.9,IF(H837="ILF",7.5,IF(H837="EIF",5.4)))))))</f>
        <v/>
      </c>
      <c r="M837" s="30" t="str">
        <f t="shared" si="86"/>
        <v/>
      </c>
      <c r="N837" s="134"/>
      <c r="O837" s="29"/>
      <c r="P837" s="37" t="str">
        <f t="shared" si="87"/>
        <v/>
      </c>
      <c r="Q837" s="38" t="str">
        <f t="shared" si="88"/>
        <v/>
      </c>
      <c r="R837" s="37" t="str">
        <f t="shared" si="89"/>
        <v/>
      </c>
      <c r="S837" s="37" t="str">
        <f t="shared" si="90"/>
        <v/>
      </c>
      <c r="T837" s="38" t="str">
        <f t="shared" si="91"/>
        <v/>
      </c>
      <c r="U837" s="37" t="str">
        <f t="shared" si="92"/>
        <v/>
      </c>
    </row>
    <row r="838" spans="2:21" ht="17.25">
      <c r="B838" s="156"/>
      <c r="C838" s="156"/>
      <c r="D838" s="157"/>
      <c r="E838" s="155"/>
      <c r="F838" s="151"/>
      <c r="G838" s="152"/>
      <c r="H838" s="153"/>
      <c r="I838" s="154"/>
      <c r="J838" s="154"/>
      <c r="K838" s="30" t="str">
        <f>IF(H838="","",IF($C$30="간이법","",FPR(H838,I838,J838)))</f>
        <v/>
      </c>
      <c r="L838" s="30" t="str">
        <f>IF(H838="","",IF($C$30="상세법",FPV(H838,K838),IF(H838="EI",4,IF(H838="EO",5.2,IF(H838="EQ",3.9,IF(H838="ILF",7.5,IF(H838="EIF",5.4)))))))</f>
        <v/>
      </c>
      <c r="M838" s="30" t="str">
        <f t="shared" si="86"/>
        <v/>
      </c>
      <c r="N838" s="134"/>
      <c r="O838" s="29"/>
      <c r="P838" s="37" t="str">
        <f t="shared" si="87"/>
        <v/>
      </c>
      <c r="Q838" s="38" t="str">
        <f t="shared" si="88"/>
        <v/>
      </c>
      <c r="R838" s="37" t="str">
        <f t="shared" si="89"/>
        <v/>
      </c>
      <c r="S838" s="37" t="str">
        <f t="shared" si="90"/>
        <v/>
      </c>
      <c r="T838" s="38" t="str">
        <f t="shared" si="91"/>
        <v/>
      </c>
      <c r="U838" s="37" t="str">
        <f t="shared" si="92"/>
        <v/>
      </c>
    </row>
    <row r="839" spans="2:21" ht="17.25">
      <c r="B839" s="156"/>
      <c r="C839" s="156"/>
      <c r="D839" s="157"/>
      <c r="E839" s="155"/>
      <c r="F839" s="151"/>
      <c r="G839" s="152"/>
      <c r="H839" s="153"/>
      <c r="I839" s="154"/>
      <c r="J839" s="154"/>
      <c r="K839" s="30" t="str">
        <f>IF(H839="","",IF($C$30="간이법","",FPR(H839,I839,J839)))</f>
        <v/>
      </c>
      <c r="L839" s="30" t="str">
        <f>IF(H839="","",IF($C$30="상세법",FPV(H839,K839),IF(H839="EI",4,IF(H839="EO",5.2,IF(H839="EQ",3.9,IF(H839="ILF",7.5,IF(H839="EIF",5.4)))))))</f>
        <v/>
      </c>
      <c r="M839" s="30" t="str">
        <f t="shared" si="86"/>
        <v/>
      </c>
      <c r="N839" s="134"/>
      <c r="O839" s="29"/>
      <c r="P839" s="37" t="str">
        <f t="shared" si="87"/>
        <v/>
      </c>
      <c r="Q839" s="38" t="str">
        <f t="shared" si="88"/>
        <v/>
      </c>
      <c r="R839" s="37" t="str">
        <f t="shared" si="89"/>
        <v/>
      </c>
      <c r="S839" s="37" t="str">
        <f t="shared" si="90"/>
        <v/>
      </c>
      <c r="T839" s="38" t="str">
        <f t="shared" si="91"/>
        <v/>
      </c>
      <c r="U839" s="37" t="str">
        <f t="shared" si="92"/>
        <v/>
      </c>
    </row>
    <row r="840" spans="2:21" ht="17.25">
      <c r="B840" s="156"/>
      <c r="C840" s="156"/>
      <c r="D840" s="157"/>
      <c r="E840" s="155"/>
      <c r="F840" s="151"/>
      <c r="G840" s="152"/>
      <c r="H840" s="153"/>
      <c r="I840" s="154"/>
      <c r="J840" s="154"/>
      <c r="K840" s="30" t="str">
        <f>IF(H840="","",IF($C$30="간이법","",FPR(H840,I840,J840)))</f>
        <v/>
      </c>
      <c r="L840" s="30" t="str">
        <f>IF(H840="","",IF($C$30="상세법",FPV(H840,K840),IF(H840="EI",4,IF(H840="EO",5.2,IF(H840="EQ",3.9,IF(H840="ILF",7.5,IF(H840="EIF",5.4)))))))</f>
        <v/>
      </c>
      <c r="M840" s="30" t="str">
        <f t="shared" si="86"/>
        <v/>
      </c>
      <c r="N840" s="134"/>
      <c r="O840" s="29"/>
      <c r="P840" s="37" t="str">
        <f t="shared" si="87"/>
        <v/>
      </c>
      <c r="Q840" s="38" t="str">
        <f t="shared" si="88"/>
        <v/>
      </c>
      <c r="R840" s="37" t="str">
        <f t="shared" si="89"/>
        <v/>
      </c>
      <c r="S840" s="37" t="str">
        <f t="shared" si="90"/>
        <v/>
      </c>
      <c r="T840" s="38" t="str">
        <f t="shared" si="91"/>
        <v/>
      </c>
      <c r="U840" s="37" t="str">
        <f t="shared" si="92"/>
        <v/>
      </c>
    </row>
    <row r="841" spans="2:21" ht="17.25">
      <c r="B841" s="156"/>
      <c r="C841" s="156"/>
      <c r="D841" s="157"/>
      <c r="E841" s="155"/>
      <c r="F841" s="151"/>
      <c r="G841" s="152"/>
      <c r="H841" s="153"/>
      <c r="I841" s="154"/>
      <c r="J841" s="154"/>
      <c r="K841" s="30" t="str">
        <f>IF(H841="","",IF($C$30="간이법","",FPR(H841,I841,J841)))</f>
        <v/>
      </c>
      <c r="L841" s="30" t="str">
        <f>IF(H841="","",IF($C$30="상세법",FPV(H841,K841),IF(H841="EI",4,IF(H841="EO",5.2,IF(H841="EQ",3.9,IF(H841="ILF",7.5,IF(H841="EIF",5.4)))))))</f>
        <v/>
      </c>
      <c r="M841" s="30" t="str">
        <f t="shared" si="86"/>
        <v/>
      </c>
      <c r="N841" s="134"/>
      <c r="O841" s="29"/>
      <c r="P841" s="37" t="str">
        <f t="shared" si="87"/>
        <v/>
      </c>
      <c r="Q841" s="38" t="str">
        <f t="shared" si="88"/>
        <v/>
      </c>
      <c r="R841" s="37" t="str">
        <f t="shared" si="89"/>
        <v/>
      </c>
      <c r="S841" s="37" t="str">
        <f t="shared" si="90"/>
        <v/>
      </c>
      <c r="T841" s="38" t="str">
        <f t="shared" si="91"/>
        <v/>
      </c>
      <c r="U841" s="37" t="str">
        <f t="shared" si="92"/>
        <v/>
      </c>
    </row>
    <row r="842" spans="2:21" ht="17.25">
      <c r="B842" s="156"/>
      <c r="C842" s="156"/>
      <c r="D842" s="157"/>
      <c r="E842" s="155"/>
      <c r="F842" s="151"/>
      <c r="G842" s="152"/>
      <c r="H842" s="153"/>
      <c r="I842" s="154"/>
      <c r="J842" s="154"/>
      <c r="K842" s="30" t="str">
        <f>IF(H842="","",IF($C$30="간이법","",FPR(H842,I842,J842)))</f>
        <v/>
      </c>
      <c r="L842" s="30" t="str">
        <f>IF(H842="","",IF($C$30="상세법",FPV(H842,K842),IF(H842="EI",4,IF(H842="EO",5.2,IF(H842="EQ",3.9,IF(H842="ILF",7.5,IF(H842="EIF",5.4)))))))</f>
        <v/>
      </c>
      <c r="M842" s="30" t="str">
        <f t="shared" si="86"/>
        <v/>
      </c>
      <c r="N842" s="134"/>
      <c r="O842" s="29"/>
      <c r="P842" s="37" t="str">
        <f t="shared" si="87"/>
        <v/>
      </c>
      <c r="Q842" s="38" t="str">
        <f t="shared" si="88"/>
        <v/>
      </c>
      <c r="R842" s="37" t="str">
        <f t="shared" si="89"/>
        <v/>
      </c>
      <c r="S842" s="37" t="str">
        <f t="shared" si="90"/>
        <v/>
      </c>
      <c r="T842" s="38" t="str">
        <f t="shared" si="91"/>
        <v/>
      </c>
      <c r="U842" s="37" t="str">
        <f t="shared" si="92"/>
        <v/>
      </c>
    </row>
    <row r="843" spans="2:21" ht="17.25">
      <c r="B843" s="156"/>
      <c r="C843" s="156"/>
      <c r="D843" s="157"/>
      <c r="E843" s="155"/>
      <c r="F843" s="151"/>
      <c r="G843" s="152"/>
      <c r="H843" s="153"/>
      <c r="I843" s="154"/>
      <c r="J843" s="154"/>
      <c r="K843" s="30" t="str">
        <f>IF(H843="","",IF($C$30="간이법","",FPR(H843,I843,J843)))</f>
        <v/>
      </c>
      <c r="L843" s="30" t="str">
        <f>IF(H843="","",IF($C$30="상세법",FPV(H843,K843),IF(H843="EI",4,IF(H843="EO",5.2,IF(H843="EQ",3.9,IF(H843="ILF",7.5,IF(H843="EIF",5.4)))))))</f>
        <v/>
      </c>
      <c r="M843" s="30" t="str">
        <f t="shared" si="86"/>
        <v/>
      </c>
      <c r="N843" s="134"/>
      <c r="O843" s="29"/>
      <c r="P843" s="37" t="str">
        <f t="shared" si="87"/>
        <v/>
      </c>
      <c r="Q843" s="38" t="str">
        <f t="shared" si="88"/>
        <v/>
      </c>
      <c r="R843" s="37" t="str">
        <f t="shared" si="89"/>
        <v/>
      </c>
      <c r="S843" s="37" t="str">
        <f t="shared" si="90"/>
        <v/>
      </c>
      <c r="T843" s="38" t="str">
        <f t="shared" si="91"/>
        <v/>
      </c>
      <c r="U843" s="37" t="str">
        <f t="shared" si="92"/>
        <v/>
      </c>
    </row>
    <row r="844" spans="2:21" ht="17.25">
      <c r="B844" s="156"/>
      <c r="C844" s="156"/>
      <c r="D844" s="157"/>
      <c r="E844" s="155"/>
      <c r="F844" s="151"/>
      <c r="G844" s="152"/>
      <c r="H844" s="153"/>
      <c r="I844" s="154"/>
      <c r="J844" s="154"/>
      <c r="K844" s="30" t="str">
        <f>IF(H844="","",IF($C$30="간이법","",FPR(H844,I844,J844)))</f>
        <v/>
      </c>
      <c r="L844" s="30" t="str">
        <f>IF(H844="","",IF($C$30="상세법",FPV(H844,K844),IF(H844="EI",4,IF(H844="EO",5.2,IF(H844="EQ",3.9,IF(H844="ILF",7.5,IF(H844="EIF",5.4)))))))</f>
        <v/>
      </c>
      <c r="M844" s="30" t="str">
        <f t="shared" si="86"/>
        <v/>
      </c>
      <c r="N844" s="134"/>
      <c r="O844" s="29"/>
      <c r="P844" s="37" t="str">
        <f t="shared" si="87"/>
        <v/>
      </c>
      <c r="Q844" s="38" t="str">
        <f t="shared" si="88"/>
        <v/>
      </c>
      <c r="R844" s="37" t="str">
        <f t="shared" si="89"/>
        <v/>
      </c>
      <c r="S844" s="37" t="str">
        <f t="shared" si="90"/>
        <v/>
      </c>
      <c r="T844" s="38" t="str">
        <f t="shared" si="91"/>
        <v/>
      </c>
      <c r="U844" s="37" t="str">
        <f t="shared" si="92"/>
        <v/>
      </c>
    </row>
    <row r="845" spans="2:21" ht="17.25">
      <c r="B845" s="156"/>
      <c r="C845" s="156"/>
      <c r="D845" s="157"/>
      <c r="E845" s="155"/>
      <c r="F845" s="151"/>
      <c r="G845" s="152"/>
      <c r="H845" s="153"/>
      <c r="I845" s="154"/>
      <c r="J845" s="154"/>
      <c r="K845" s="30" t="str">
        <f>IF(H845="","",IF($C$30="간이법","",FPR(H845,I845,J845)))</f>
        <v/>
      </c>
      <c r="L845" s="30" t="str">
        <f>IF(H845="","",IF($C$30="상세법",FPV(H845,K845),IF(H845="EI",4,IF(H845="EO",5.2,IF(H845="EQ",3.9,IF(H845="ILF",7.5,IF(H845="EIF",5.4)))))))</f>
        <v/>
      </c>
      <c r="M845" s="30" t="str">
        <f t="shared" si="86"/>
        <v/>
      </c>
      <c r="N845" s="134"/>
      <c r="O845" s="29"/>
      <c r="P845" s="37" t="str">
        <f t="shared" si="87"/>
        <v/>
      </c>
      <c r="Q845" s="38" t="str">
        <f t="shared" si="88"/>
        <v/>
      </c>
      <c r="R845" s="37" t="str">
        <f t="shared" si="89"/>
        <v/>
      </c>
      <c r="S845" s="37" t="str">
        <f t="shared" si="90"/>
        <v/>
      </c>
      <c r="T845" s="38" t="str">
        <f t="shared" si="91"/>
        <v/>
      </c>
      <c r="U845" s="37" t="str">
        <f t="shared" si="92"/>
        <v/>
      </c>
    </row>
    <row r="846" spans="2:21" ht="17.25">
      <c r="B846" s="156"/>
      <c r="C846" s="156"/>
      <c r="D846" s="157"/>
      <c r="E846" s="155"/>
      <c r="F846" s="151"/>
      <c r="G846" s="152"/>
      <c r="H846" s="153"/>
      <c r="I846" s="154"/>
      <c r="J846" s="154"/>
      <c r="K846" s="30" t="str">
        <f>IF(H846="","",IF($C$30="간이법","",FPR(H846,I846,J846)))</f>
        <v/>
      </c>
      <c r="L846" s="30" t="str">
        <f>IF(H846="","",IF($C$30="상세법",FPV(H846,K846),IF(H846="EI",4,IF(H846="EO",5.2,IF(H846="EQ",3.9,IF(H846="ILF",7.5,IF(H846="EIF",5.4)))))))</f>
        <v/>
      </c>
      <c r="M846" s="30" t="str">
        <f t="shared" si="86"/>
        <v/>
      </c>
      <c r="N846" s="134"/>
      <c r="O846" s="29"/>
      <c r="P846" s="37" t="str">
        <f t="shared" si="87"/>
        <v/>
      </c>
      <c r="Q846" s="38" t="str">
        <f t="shared" si="88"/>
        <v/>
      </c>
      <c r="R846" s="37" t="str">
        <f t="shared" si="89"/>
        <v/>
      </c>
      <c r="S846" s="37" t="str">
        <f t="shared" si="90"/>
        <v/>
      </c>
      <c r="T846" s="38" t="str">
        <f t="shared" si="91"/>
        <v/>
      </c>
      <c r="U846" s="37" t="str">
        <f t="shared" si="92"/>
        <v/>
      </c>
    </row>
    <row r="847" spans="2:21" ht="17.25">
      <c r="B847" s="156"/>
      <c r="C847" s="156"/>
      <c r="D847" s="157"/>
      <c r="E847" s="155"/>
      <c r="F847" s="151"/>
      <c r="G847" s="152"/>
      <c r="H847" s="153"/>
      <c r="I847" s="154"/>
      <c r="J847" s="154"/>
      <c r="K847" s="30" t="str">
        <f>IF(H847="","",IF($C$30="간이법","",FPR(H847,I847,J847)))</f>
        <v/>
      </c>
      <c r="L847" s="30" t="str">
        <f>IF(H847="","",IF($C$30="상세법",FPV(H847,K847),IF(H847="EI",4,IF(H847="EO",5.2,IF(H847="EQ",3.9,IF(H847="ILF",7.5,IF(H847="EIF",5.4)))))))</f>
        <v/>
      </c>
      <c r="M847" s="30" t="str">
        <f t="shared" si="86"/>
        <v/>
      </c>
      <c r="N847" s="134"/>
      <c r="O847" s="29"/>
      <c r="P847" s="37" t="str">
        <f t="shared" si="87"/>
        <v/>
      </c>
      <c r="Q847" s="38" t="str">
        <f t="shared" si="88"/>
        <v/>
      </c>
      <c r="R847" s="37" t="str">
        <f t="shared" si="89"/>
        <v/>
      </c>
      <c r="S847" s="37" t="str">
        <f t="shared" si="90"/>
        <v/>
      </c>
      <c r="T847" s="38" t="str">
        <f t="shared" si="91"/>
        <v/>
      </c>
      <c r="U847" s="37" t="str">
        <f t="shared" si="92"/>
        <v/>
      </c>
    </row>
    <row r="848" spans="2:21" ht="17.25">
      <c r="B848" s="156"/>
      <c r="C848" s="156"/>
      <c r="D848" s="157"/>
      <c r="E848" s="155"/>
      <c r="F848" s="151"/>
      <c r="G848" s="152"/>
      <c r="H848" s="153"/>
      <c r="I848" s="154"/>
      <c r="J848" s="154"/>
      <c r="K848" s="30" t="str">
        <f>IF(H848="","",IF($C$30="간이법","",FPR(H848,I848,J848)))</f>
        <v/>
      </c>
      <c r="L848" s="30" t="str">
        <f>IF(H848="","",IF($C$30="상세법",FPV(H848,K848),IF(H848="EI",4,IF(H848="EO",5.2,IF(H848="EQ",3.9,IF(H848="ILF",7.5,IF(H848="EIF",5.4)))))))</f>
        <v/>
      </c>
      <c r="M848" s="30" t="str">
        <f t="shared" si="86"/>
        <v/>
      </c>
      <c r="N848" s="134"/>
      <c r="O848" s="29"/>
      <c r="P848" s="37" t="str">
        <f t="shared" si="87"/>
        <v/>
      </c>
      <c r="Q848" s="38" t="str">
        <f t="shared" si="88"/>
        <v/>
      </c>
      <c r="R848" s="37" t="str">
        <f t="shared" si="89"/>
        <v/>
      </c>
      <c r="S848" s="37" t="str">
        <f t="shared" si="90"/>
        <v/>
      </c>
      <c r="T848" s="38" t="str">
        <f t="shared" si="91"/>
        <v/>
      </c>
      <c r="U848" s="37" t="str">
        <f t="shared" si="92"/>
        <v/>
      </c>
    </row>
    <row r="849" spans="2:21" ht="17.25">
      <c r="B849" s="156"/>
      <c r="C849" s="156"/>
      <c r="D849" s="157"/>
      <c r="E849" s="155"/>
      <c r="F849" s="151"/>
      <c r="G849" s="152"/>
      <c r="H849" s="153"/>
      <c r="I849" s="154"/>
      <c r="J849" s="154"/>
      <c r="K849" s="30" t="str">
        <f>IF(H849="","",IF($C$30="간이법","",FPR(H849,I849,J849)))</f>
        <v/>
      </c>
      <c r="L849" s="30" t="str">
        <f>IF(H849="","",IF($C$30="상세법",FPV(H849,K849),IF(H849="EI",4,IF(H849="EO",5.2,IF(H849="EQ",3.9,IF(H849="ILF",7.5,IF(H849="EIF",5.4)))))))</f>
        <v/>
      </c>
      <c r="M849" s="30" t="str">
        <f t="shared" si="86"/>
        <v/>
      </c>
      <c r="N849" s="134"/>
      <c r="O849" s="29"/>
      <c r="P849" s="37" t="str">
        <f t="shared" si="87"/>
        <v/>
      </c>
      <c r="Q849" s="38" t="str">
        <f t="shared" si="88"/>
        <v/>
      </c>
      <c r="R849" s="37" t="str">
        <f t="shared" si="89"/>
        <v/>
      </c>
      <c r="S849" s="37" t="str">
        <f t="shared" si="90"/>
        <v/>
      </c>
      <c r="T849" s="38" t="str">
        <f t="shared" si="91"/>
        <v/>
      </c>
      <c r="U849" s="37" t="str">
        <f t="shared" si="92"/>
        <v/>
      </c>
    </row>
    <row r="850" spans="2:21" ht="17.25">
      <c r="B850" s="156"/>
      <c r="C850" s="156"/>
      <c r="D850" s="157"/>
      <c r="E850" s="155"/>
      <c r="F850" s="151"/>
      <c r="G850" s="152"/>
      <c r="H850" s="153"/>
      <c r="I850" s="154"/>
      <c r="J850" s="154"/>
      <c r="K850" s="30" t="str">
        <f>IF(H850="","",IF($C$30="간이법","",FPR(H850,I850,J850)))</f>
        <v/>
      </c>
      <c r="L850" s="30" t="str">
        <f>IF(H850="","",IF($C$30="상세법",FPV(H850,K850),IF(H850="EI",4,IF(H850="EO",5.2,IF(H850="EQ",3.9,IF(H850="ILF",7.5,IF(H850="EIF",5.4)))))))</f>
        <v/>
      </c>
      <c r="M850" s="30" t="str">
        <f t="shared" si="86"/>
        <v/>
      </c>
      <c r="N850" s="134"/>
      <c r="O850" s="29"/>
      <c r="P850" s="37" t="str">
        <f t="shared" si="87"/>
        <v/>
      </c>
      <c r="Q850" s="38" t="str">
        <f t="shared" si="88"/>
        <v/>
      </c>
      <c r="R850" s="37" t="str">
        <f t="shared" si="89"/>
        <v/>
      </c>
      <c r="S850" s="37" t="str">
        <f t="shared" si="90"/>
        <v/>
      </c>
      <c r="T850" s="38" t="str">
        <f t="shared" si="91"/>
        <v/>
      </c>
      <c r="U850" s="37" t="str">
        <f t="shared" si="92"/>
        <v/>
      </c>
    </row>
    <row r="851" spans="2:21" ht="17.25">
      <c r="B851" s="156"/>
      <c r="C851" s="156"/>
      <c r="D851" s="157"/>
      <c r="E851" s="155"/>
      <c r="F851" s="151"/>
      <c r="G851" s="152"/>
      <c r="H851" s="153"/>
      <c r="I851" s="154"/>
      <c r="J851" s="154"/>
      <c r="K851" s="30" t="str">
        <f>IF(H851="","",IF($C$30="간이법","",FPR(H851,I851,J851)))</f>
        <v/>
      </c>
      <c r="L851" s="30" t="str">
        <f>IF(H851="","",IF($C$30="상세법",FPV(H851,K851),IF(H851="EI",4,IF(H851="EO",5.2,IF(H851="EQ",3.9,IF(H851="ILF",7.5,IF(H851="EIF",5.4)))))))</f>
        <v/>
      </c>
      <c r="M851" s="30" t="str">
        <f t="shared" si="86"/>
        <v/>
      </c>
      <c r="N851" s="134"/>
      <c r="O851" s="29"/>
      <c r="P851" s="37" t="str">
        <f t="shared" si="87"/>
        <v/>
      </c>
      <c r="Q851" s="38" t="str">
        <f t="shared" si="88"/>
        <v/>
      </c>
      <c r="R851" s="37" t="str">
        <f t="shared" si="89"/>
        <v/>
      </c>
      <c r="S851" s="37" t="str">
        <f t="shared" si="90"/>
        <v/>
      </c>
      <c r="T851" s="38" t="str">
        <f t="shared" si="91"/>
        <v/>
      </c>
      <c r="U851" s="37" t="str">
        <f t="shared" si="92"/>
        <v/>
      </c>
    </row>
    <row r="852" spans="2:21" ht="17.25">
      <c r="B852" s="156"/>
      <c r="C852" s="156"/>
      <c r="D852" s="157"/>
      <c r="E852" s="155"/>
      <c r="F852" s="151"/>
      <c r="G852" s="152"/>
      <c r="H852" s="153"/>
      <c r="I852" s="154"/>
      <c r="J852" s="154"/>
      <c r="K852" s="30" t="str">
        <f>IF(H852="","",IF($C$30="간이법","",FPR(H852,I852,J852)))</f>
        <v/>
      </c>
      <c r="L852" s="30" t="str">
        <f>IF(H852="","",IF($C$30="상세법",FPV(H852,K852),IF(H852="EI",4,IF(H852="EO",5.2,IF(H852="EQ",3.9,IF(H852="ILF",7.5,IF(H852="EIF",5.4)))))))</f>
        <v/>
      </c>
      <c r="M852" s="30" t="str">
        <f t="shared" si="86"/>
        <v/>
      </c>
      <c r="N852" s="134"/>
      <c r="O852" s="29"/>
      <c r="P852" s="37" t="str">
        <f t="shared" si="87"/>
        <v/>
      </c>
      <c r="Q852" s="38" t="str">
        <f t="shared" si="88"/>
        <v/>
      </c>
      <c r="R852" s="37" t="str">
        <f t="shared" si="89"/>
        <v/>
      </c>
      <c r="S852" s="37" t="str">
        <f t="shared" si="90"/>
        <v/>
      </c>
      <c r="T852" s="38" t="str">
        <f t="shared" si="91"/>
        <v/>
      </c>
      <c r="U852" s="37" t="str">
        <f t="shared" si="92"/>
        <v/>
      </c>
    </row>
    <row r="853" spans="2:21" ht="17.25">
      <c r="B853" s="156"/>
      <c r="C853" s="156"/>
      <c r="D853" s="157"/>
      <c r="E853" s="155"/>
      <c r="F853" s="151"/>
      <c r="G853" s="152"/>
      <c r="H853" s="153"/>
      <c r="I853" s="154"/>
      <c r="J853" s="154"/>
      <c r="K853" s="30" t="str">
        <f>IF(H853="","",IF($C$30="간이법","",FPR(H853,I853,J853)))</f>
        <v/>
      </c>
      <c r="L853" s="30" t="str">
        <f>IF(H853="","",IF($C$30="상세법",FPV(H853,K853),IF(H853="EI",4,IF(H853="EO",5.2,IF(H853="EQ",3.9,IF(H853="ILF",7.5,IF(H853="EIF",5.4)))))))</f>
        <v/>
      </c>
      <c r="M853" s="30" t="str">
        <f t="shared" si="86"/>
        <v/>
      </c>
      <c r="N853" s="134"/>
      <c r="O853" s="29"/>
      <c r="P853" s="37" t="str">
        <f t="shared" si="87"/>
        <v/>
      </c>
      <c r="Q853" s="38" t="str">
        <f t="shared" si="88"/>
        <v/>
      </c>
      <c r="R853" s="37" t="str">
        <f t="shared" si="89"/>
        <v/>
      </c>
      <c r="S853" s="37" t="str">
        <f t="shared" si="90"/>
        <v/>
      </c>
      <c r="T853" s="38" t="str">
        <f t="shared" si="91"/>
        <v/>
      </c>
      <c r="U853" s="37" t="str">
        <f t="shared" si="92"/>
        <v/>
      </c>
    </row>
    <row r="854" spans="2:21" ht="17.25">
      <c r="B854" s="156"/>
      <c r="C854" s="156"/>
      <c r="D854" s="157"/>
      <c r="E854" s="155"/>
      <c r="F854" s="151"/>
      <c r="G854" s="152"/>
      <c r="H854" s="153"/>
      <c r="I854" s="154"/>
      <c r="J854" s="154"/>
      <c r="K854" s="30" t="str">
        <f>IF(H854="","",IF($C$30="간이법","",FPR(H854,I854,J854)))</f>
        <v/>
      </c>
      <c r="L854" s="30" t="str">
        <f>IF(H854="","",IF($C$30="상세법",FPV(H854,K854),IF(H854="EI",4,IF(H854="EO",5.2,IF(H854="EQ",3.9,IF(H854="ILF",7.5,IF(H854="EIF",5.4)))))))</f>
        <v/>
      </c>
      <c r="M854" s="30" t="str">
        <f t="shared" si="86"/>
        <v/>
      </c>
      <c r="N854" s="134"/>
      <c r="O854" s="29"/>
      <c r="P854" s="37" t="str">
        <f t="shared" si="87"/>
        <v/>
      </c>
      <c r="Q854" s="38" t="str">
        <f t="shared" si="88"/>
        <v/>
      </c>
      <c r="R854" s="37" t="str">
        <f t="shared" si="89"/>
        <v/>
      </c>
      <c r="S854" s="37" t="str">
        <f t="shared" si="90"/>
        <v/>
      </c>
      <c r="T854" s="38" t="str">
        <f t="shared" si="91"/>
        <v/>
      </c>
      <c r="U854" s="37" t="str">
        <f t="shared" si="92"/>
        <v/>
      </c>
    </row>
    <row r="855" spans="2:21" ht="17.25">
      <c r="B855" s="156"/>
      <c r="C855" s="156"/>
      <c r="D855" s="157"/>
      <c r="E855" s="155"/>
      <c r="F855" s="151"/>
      <c r="G855" s="152"/>
      <c r="H855" s="153"/>
      <c r="I855" s="154"/>
      <c r="J855" s="154"/>
      <c r="K855" s="30" t="str">
        <f>IF(H855="","",IF($C$30="간이법","",FPR(H855,I855,J855)))</f>
        <v/>
      </c>
      <c r="L855" s="30" t="str">
        <f>IF(H855="","",IF($C$30="상세법",FPV(H855,K855),IF(H855="EI",4,IF(H855="EO",5.2,IF(H855="EQ",3.9,IF(H855="ILF",7.5,IF(H855="EIF",5.4)))))))</f>
        <v/>
      </c>
      <c r="M855" s="30" t="str">
        <f t="shared" si="86"/>
        <v/>
      </c>
      <c r="N855" s="134"/>
      <c r="O855" s="29"/>
      <c r="P855" s="37" t="str">
        <f t="shared" si="87"/>
        <v/>
      </c>
      <c r="Q855" s="38" t="str">
        <f t="shared" si="88"/>
        <v/>
      </c>
      <c r="R855" s="37" t="str">
        <f t="shared" si="89"/>
        <v/>
      </c>
      <c r="S855" s="37" t="str">
        <f t="shared" si="90"/>
        <v/>
      </c>
      <c r="T855" s="38" t="str">
        <f t="shared" si="91"/>
        <v/>
      </c>
      <c r="U855" s="37" t="str">
        <f t="shared" si="92"/>
        <v/>
      </c>
    </row>
    <row r="856" spans="2:21" ht="17.25">
      <c r="B856" s="156"/>
      <c r="C856" s="156"/>
      <c r="D856" s="157"/>
      <c r="E856" s="155"/>
      <c r="F856" s="151"/>
      <c r="G856" s="152"/>
      <c r="H856" s="153"/>
      <c r="I856" s="154"/>
      <c r="J856" s="154"/>
      <c r="K856" s="30" t="str">
        <f>IF(H856="","",IF($C$30="간이법","",FPR(H856,I856,J856)))</f>
        <v/>
      </c>
      <c r="L856" s="30" t="str">
        <f>IF(H856="","",IF($C$30="상세법",FPV(H856,K856),IF(H856="EI",4,IF(H856="EO",5.2,IF(H856="EQ",3.9,IF(H856="ILF",7.5,IF(H856="EIF",5.4)))))))</f>
        <v/>
      </c>
      <c r="M856" s="30" t="str">
        <f t="shared" si="86"/>
        <v/>
      </c>
      <c r="N856" s="134"/>
      <c r="O856" s="29"/>
      <c r="P856" s="37" t="str">
        <f t="shared" si="87"/>
        <v/>
      </c>
      <c r="Q856" s="38" t="str">
        <f t="shared" si="88"/>
        <v/>
      </c>
      <c r="R856" s="37" t="str">
        <f t="shared" si="89"/>
        <v/>
      </c>
      <c r="S856" s="37" t="str">
        <f t="shared" si="90"/>
        <v/>
      </c>
      <c r="T856" s="38" t="str">
        <f t="shared" si="91"/>
        <v/>
      </c>
      <c r="U856" s="37" t="str">
        <f t="shared" si="92"/>
        <v/>
      </c>
    </row>
    <row r="857" spans="2:21" ht="17.25">
      <c r="B857" s="156"/>
      <c r="C857" s="156"/>
      <c r="D857" s="157"/>
      <c r="E857" s="155"/>
      <c r="F857" s="151"/>
      <c r="G857" s="152"/>
      <c r="H857" s="153"/>
      <c r="I857" s="154"/>
      <c r="J857" s="154"/>
      <c r="K857" s="30" t="str">
        <f>IF(H857="","",IF($C$30="간이법","",FPR(H857,I857,J857)))</f>
        <v/>
      </c>
      <c r="L857" s="30" t="str">
        <f>IF(H857="","",IF($C$30="상세법",FPV(H857,K857),IF(H857="EI",4,IF(H857="EO",5.2,IF(H857="EQ",3.9,IF(H857="ILF",7.5,IF(H857="EIF",5.4)))))))</f>
        <v/>
      </c>
      <c r="M857" s="30" t="str">
        <f t="shared" si="86"/>
        <v/>
      </c>
      <c r="N857" s="134"/>
      <c r="O857" s="29"/>
      <c r="P857" s="37" t="str">
        <f t="shared" si="87"/>
        <v/>
      </c>
      <c r="Q857" s="38" t="str">
        <f t="shared" si="88"/>
        <v/>
      </c>
      <c r="R857" s="37" t="str">
        <f t="shared" si="89"/>
        <v/>
      </c>
      <c r="S857" s="37" t="str">
        <f t="shared" si="90"/>
        <v/>
      </c>
      <c r="T857" s="38" t="str">
        <f t="shared" si="91"/>
        <v/>
      </c>
      <c r="U857" s="37" t="str">
        <f t="shared" si="92"/>
        <v/>
      </c>
    </row>
    <row r="858" spans="2:21" ht="17.25">
      <c r="B858" s="156"/>
      <c r="C858" s="156"/>
      <c r="D858" s="157"/>
      <c r="E858" s="155"/>
      <c r="F858" s="151"/>
      <c r="G858" s="152"/>
      <c r="H858" s="153"/>
      <c r="I858" s="154"/>
      <c r="J858" s="154"/>
      <c r="K858" s="30" t="str">
        <f>IF(H858="","",IF($C$30="간이법","",FPR(H858,I858,J858)))</f>
        <v/>
      </c>
      <c r="L858" s="30" t="str">
        <f>IF(H858="","",IF($C$30="상세법",FPV(H858,K858),IF(H858="EI",4,IF(H858="EO",5.2,IF(H858="EQ",3.9,IF(H858="ILF",7.5,IF(H858="EIF",5.4)))))))</f>
        <v/>
      </c>
      <c r="M858" s="30" t="str">
        <f t="shared" si="86"/>
        <v/>
      </c>
      <c r="N858" s="134"/>
      <c r="O858" s="29"/>
      <c r="P858" s="37" t="str">
        <f t="shared" si="87"/>
        <v/>
      </c>
      <c r="Q858" s="38" t="str">
        <f t="shared" si="88"/>
        <v/>
      </c>
      <c r="R858" s="37" t="str">
        <f t="shared" si="89"/>
        <v/>
      </c>
      <c r="S858" s="37" t="str">
        <f t="shared" si="90"/>
        <v/>
      </c>
      <c r="T858" s="38" t="str">
        <f t="shared" si="91"/>
        <v/>
      </c>
      <c r="U858" s="37" t="str">
        <f t="shared" si="92"/>
        <v/>
      </c>
    </row>
    <row r="859" spans="2:21" ht="17.25">
      <c r="B859" s="156"/>
      <c r="C859" s="156"/>
      <c r="D859" s="157"/>
      <c r="E859" s="155"/>
      <c r="F859" s="151"/>
      <c r="G859" s="152"/>
      <c r="H859" s="153"/>
      <c r="I859" s="154"/>
      <c r="J859" s="154"/>
      <c r="K859" s="30" t="str">
        <f>IF(H859="","",IF($C$30="간이법","",FPR(H859,I859,J859)))</f>
        <v/>
      </c>
      <c r="L859" s="30" t="str">
        <f>IF(H859="","",IF($C$30="상세법",FPV(H859,K859),IF(H859="EI",4,IF(H859="EO",5.2,IF(H859="EQ",3.9,IF(H859="ILF",7.5,IF(H859="EIF",5.4)))))))</f>
        <v/>
      </c>
      <c r="M859" s="30" t="str">
        <f t="shared" si="86"/>
        <v/>
      </c>
      <c r="N859" s="134"/>
      <c r="O859" s="29"/>
      <c r="P859" s="37" t="str">
        <f t="shared" si="87"/>
        <v/>
      </c>
      <c r="Q859" s="38" t="str">
        <f t="shared" si="88"/>
        <v/>
      </c>
      <c r="R859" s="37" t="str">
        <f t="shared" si="89"/>
        <v/>
      </c>
      <c r="S859" s="37" t="str">
        <f t="shared" si="90"/>
        <v/>
      </c>
      <c r="T859" s="38" t="str">
        <f t="shared" si="91"/>
        <v/>
      </c>
      <c r="U859" s="37" t="str">
        <f t="shared" si="92"/>
        <v/>
      </c>
    </row>
    <row r="860" spans="2:21" ht="17.25">
      <c r="B860" s="156"/>
      <c r="C860" s="156"/>
      <c r="D860" s="157"/>
      <c r="E860" s="155"/>
      <c r="F860" s="151"/>
      <c r="G860" s="152"/>
      <c r="H860" s="153"/>
      <c r="I860" s="154"/>
      <c r="J860" s="154"/>
      <c r="K860" s="30" t="str">
        <f>IF(H860="","",IF($C$30="간이법","",FPR(H860,I860,J860)))</f>
        <v/>
      </c>
      <c r="L860" s="30" t="str">
        <f>IF(H860="","",IF($C$30="상세법",FPV(H860,K860),IF(H860="EI",4,IF(H860="EO",5.2,IF(H860="EQ",3.9,IF(H860="ILF",7.5,IF(H860="EIF",5.4)))))))</f>
        <v/>
      </c>
      <c r="M860" s="30" t="str">
        <f t="shared" si="86"/>
        <v/>
      </c>
      <c r="N860" s="134"/>
      <c r="O860" s="29"/>
      <c r="P860" s="37" t="str">
        <f t="shared" si="87"/>
        <v/>
      </c>
      <c r="Q860" s="38" t="str">
        <f t="shared" si="88"/>
        <v/>
      </c>
      <c r="R860" s="37" t="str">
        <f t="shared" si="89"/>
        <v/>
      </c>
      <c r="S860" s="37" t="str">
        <f t="shared" si="90"/>
        <v/>
      </c>
      <c r="T860" s="38" t="str">
        <f t="shared" si="91"/>
        <v/>
      </c>
      <c r="U860" s="37" t="str">
        <f t="shared" si="92"/>
        <v/>
      </c>
    </row>
    <row r="861" spans="2:21" ht="17.25">
      <c r="B861" s="156"/>
      <c r="C861" s="156"/>
      <c r="D861" s="157"/>
      <c r="E861" s="155"/>
      <c r="F861" s="151"/>
      <c r="G861" s="152"/>
      <c r="H861" s="153"/>
      <c r="I861" s="154"/>
      <c r="J861" s="154"/>
      <c r="K861" s="30" t="str">
        <f>IF(H861="","",IF($C$30="간이법","",FPR(H861,I861,J861)))</f>
        <v/>
      </c>
      <c r="L861" s="30" t="str">
        <f>IF(H861="","",IF($C$30="상세법",FPV(H861,K861),IF(H861="EI",4,IF(H861="EO",5.2,IF(H861="EQ",3.9,IF(H861="ILF",7.5,IF(H861="EIF",5.4)))))))</f>
        <v/>
      </c>
      <c r="M861" s="30" t="str">
        <f t="shared" si="86"/>
        <v/>
      </c>
      <c r="N861" s="134"/>
      <c r="O861" s="29"/>
      <c r="P861" s="37" t="str">
        <f t="shared" si="87"/>
        <v/>
      </c>
      <c r="Q861" s="38" t="str">
        <f t="shared" si="88"/>
        <v/>
      </c>
      <c r="R861" s="37" t="str">
        <f t="shared" si="89"/>
        <v/>
      </c>
      <c r="S861" s="37" t="str">
        <f t="shared" si="90"/>
        <v/>
      </c>
      <c r="T861" s="38" t="str">
        <f t="shared" si="91"/>
        <v/>
      </c>
      <c r="U861" s="37" t="str">
        <f t="shared" si="92"/>
        <v/>
      </c>
    </row>
    <row r="862" spans="2:21" ht="17.25">
      <c r="B862" s="156"/>
      <c r="C862" s="156"/>
      <c r="D862" s="157"/>
      <c r="E862" s="155"/>
      <c r="F862" s="151"/>
      <c r="G862" s="152"/>
      <c r="H862" s="153"/>
      <c r="I862" s="154"/>
      <c r="J862" s="154"/>
      <c r="K862" s="30" t="str">
        <f>IF(H862="","",IF($C$30="간이법","",FPR(H862,I862,J862)))</f>
        <v/>
      </c>
      <c r="L862" s="30" t="str">
        <f>IF(H862="","",IF($C$30="상세법",FPV(H862,K862),IF(H862="EI",4,IF(H862="EO",5.2,IF(H862="EQ",3.9,IF(H862="ILF",7.5,IF(H862="EIF",5.4)))))))</f>
        <v/>
      </c>
      <c r="M862" s="30" t="str">
        <f t="shared" si="86"/>
        <v/>
      </c>
      <c r="N862" s="134"/>
      <c r="O862" s="29"/>
      <c r="P862" s="37" t="str">
        <f t="shared" si="87"/>
        <v/>
      </c>
      <c r="Q862" s="38" t="str">
        <f t="shared" si="88"/>
        <v/>
      </c>
      <c r="R862" s="37" t="str">
        <f t="shared" si="89"/>
        <v/>
      </c>
      <c r="S862" s="37" t="str">
        <f t="shared" si="90"/>
        <v/>
      </c>
      <c r="T862" s="38" t="str">
        <f t="shared" si="91"/>
        <v/>
      </c>
      <c r="U862" s="37" t="str">
        <f t="shared" si="92"/>
        <v/>
      </c>
    </row>
    <row r="863" spans="2:21" ht="17.25">
      <c r="B863" s="156"/>
      <c r="C863" s="156"/>
      <c r="D863" s="157"/>
      <c r="E863" s="155"/>
      <c r="F863" s="151"/>
      <c r="G863" s="152"/>
      <c r="H863" s="153"/>
      <c r="I863" s="154"/>
      <c r="J863" s="154"/>
      <c r="K863" s="30" t="str">
        <f>IF(H863="","",IF($C$30="간이법","",FPR(H863,I863,J863)))</f>
        <v/>
      </c>
      <c r="L863" s="30" t="str">
        <f>IF(H863="","",IF($C$30="상세법",FPV(H863,K863),IF(H863="EI",4,IF(H863="EO",5.2,IF(H863="EQ",3.9,IF(H863="ILF",7.5,IF(H863="EIF",5.4)))))))</f>
        <v/>
      </c>
      <c r="M863" s="30" t="str">
        <f t="shared" si="86"/>
        <v/>
      </c>
      <c r="N863" s="134"/>
      <c r="O863" s="29"/>
      <c r="P863" s="37" t="str">
        <f t="shared" si="87"/>
        <v/>
      </c>
      <c r="Q863" s="38" t="str">
        <f t="shared" si="88"/>
        <v/>
      </c>
      <c r="R863" s="37" t="str">
        <f t="shared" si="89"/>
        <v/>
      </c>
      <c r="S863" s="37" t="str">
        <f t="shared" si="90"/>
        <v/>
      </c>
      <c r="T863" s="38" t="str">
        <f t="shared" si="91"/>
        <v/>
      </c>
      <c r="U863" s="37" t="str">
        <f t="shared" si="92"/>
        <v/>
      </c>
    </row>
    <row r="864" spans="2:21" ht="17.25">
      <c r="B864" s="156"/>
      <c r="C864" s="156"/>
      <c r="D864" s="157"/>
      <c r="E864" s="155"/>
      <c r="F864" s="151"/>
      <c r="G864" s="152"/>
      <c r="H864" s="153"/>
      <c r="I864" s="154"/>
      <c r="J864" s="154"/>
      <c r="K864" s="30" t="str">
        <f>IF(H864="","",IF($C$30="간이법","",FPR(H864,I864,J864)))</f>
        <v/>
      </c>
      <c r="L864" s="30" t="str">
        <f>IF(H864="","",IF($C$30="상세법",FPV(H864,K864),IF(H864="EI",4,IF(H864="EO",5.2,IF(H864="EQ",3.9,IF(H864="ILF",7.5,IF(H864="EIF",5.4)))))))</f>
        <v/>
      </c>
      <c r="M864" s="30" t="str">
        <f t="shared" si="86"/>
        <v/>
      </c>
      <c r="N864" s="134"/>
      <c r="O864" s="29"/>
      <c r="P864" s="37" t="str">
        <f t="shared" si="87"/>
        <v/>
      </c>
      <c r="Q864" s="38" t="str">
        <f t="shared" si="88"/>
        <v/>
      </c>
      <c r="R864" s="37" t="str">
        <f t="shared" si="89"/>
        <v/>
      </c>
      <c r="S864" s="37" t="str">
        <f t="shared" si="90"/>
        <v/>
      </c>
      <c r="T864" s="38" t="str">
        <f t="shared" si="91"/>
        <v/>
      </c>
      <c r="U864" s="37" t="str">
        <f t="shared" si="92"/>
        <v/>
      </c>
    </row>
    <row r="865" spans="2:21" ht="17.25">
      <c r="B865" s="156"/>
      <c r="C865" s="156"/>
      <c r="D865" s="157"/>
      <c r="E865" s="155"/>
      <c r="F865" s="151"/>
      <c r="G865" s="152"/>
      <c r="H865" s="153"/>
      <c r="I865" s="154"/>
      <c r="J865" s="154"/>
      <c r="K865" s="30" t="str">
        <f>IF(H865="","",IF($C$30="간이법","",FPR(H865,I865,J865)))</f>
        <v/>
      </c>
      <c r="L865" s="30" t="str">
        <f>IF(H865="","",IF($C$30="상세법",FPV(H865,K865),IF(H865="EI",4,IF(H865="EO",5.2,IF(H865="EQ",3.9,IF(H865="ILF",7.5,IF(H865="EIF",5.4)))))))</f>
        <v/>
      </c>
      <c r="M865" s="30" t="str">
        <f t="shared" si="86"/>
        <v/>
      </c>
      <c r="N865" s="134"/>
      <c r="O865" s="29"/>
      <c r="P865" s="37" t="str">
        <f t="shared" si="87"/>
        <v/>
      </c>
      <c r="Q865" s="38" t="str">
        <f t="shared" si="88"/>
        <v/>
      </c>
      <c r="R865" s="37" t="str">
        <f t="shared" si="89"/>
        <v/>
      </c>
      <c r="S865" s="37" t="str">
        <f t="shared" si="90"/>
        <v/>
      </c>
      <c r="T865" s="38" t="str">
        <f t="shared" si="91"/>
        <v/>
      </c>
      <c r="U865" s="37" t="str">
        <f t="shared" si="92"/>
        <v/>
      </c>
    </row>
    <row r="866" spans="2:21" ht="17.25">
      <c r="B866" s="156"/>
      <c r="C866" s="156"/>
      <c r="D866" s="157"/>
      <c r="E866" s="155"/>
      <c r="F866" s="151"/>
      <c r="G866" s="152"/>
      <c r="H866" s="153"/>
      <c r="I866" s="154"/>
      <c r="J866" s="154"/>
      <c r="K866" s="30" t="str">
        <f>IF(H866="","",IF($C$30="간이법","",FPR(H866,I866,J866)))</f>
        <v/>
      </c>
      <c r="L866" s="30" t="str">
        <f>IF(H866="","",IF($C$30="상세법",FPV(H866,K866),IF(H866="EI",4,IF(H866="EO",5.2,IF(H866="EQ",3.9,IF(H866="ILF",7.5,IF(H866="EIF",5.4)))))))</f>
        <v/>
      </c>
      <c r="M866" s="30" t="str">
        <f t="shared" si="86"/>
        <v/>
      </c>
      <c r="N866" s="134"/>
      <c r="O866" s="29"/>
      <c r="P866" s="37" t="str">
        <f t="shared" si="87"/>
        <v/>
      </c>
      <c r="Q866" s="38" t="str">
        <f t="shared" si="88"/>
        <v/>
      </c>
      <c r="R866" s="37" t="str">
        <f t="shared" si="89"/>
        <v/>
      </c>
      <c r="S866" s="37" t="str">
        <f t="shared" si="90"/>
        <v/>
      </c>
      <c r="T866" s="38" t="str">
        <f t="shared" si="91"/>
        <v/>
      </c>
      <c r="U866" s="37" t="str">
        <f t="shared" si="92"/>
        <v/>
      </c>
    </row>
    <row r="867" spans="2:21" ht="17.25">
      <c r="B867" s="156"/>
      <c r="C867" s="156"/>
      <c r="D867" s="157"/>
      <c r="E867" s="155"/>
      <c r="F867" s="151"/>
      <c r="G867" s="152"/>
      <c r="H867" s="153"/>
      <c r="I867" s="154"/>
      <c r="J867" s="154"/>
      <c r="K867" s="30" t="str">
        <f>IF(H867="","",IF($C$30="간이법","",FPR(H867,I867,J867)))</f>
        <v/>
      </c>
      <c r="L867" s="30" t="str">
        <f>IF(H867="","",IF($C$30="상세법",FPV(H867,K867),IF(H867="EI",4,IF(H867="EO",5.2,IF(H867="EQ",3.9,IF(H867="ILF",7.5,IF(H867="EIF",5.4)))))))</f>
        <v/>
      </c>
      <c r="M867" s="30" t="str">
        <f t="shared" si="86"/>
        <v/>
      </c>
      <c r="N867" s="134"/>
      <c r="O867" s="29"/>
      <c r="P867" s="37" t="str">
        <f t="shared" si="87"/>
        <v/>
      </c>
      <c r="Q867" s="38" t="str">
        <f t="shared" si="88"/>
        <v/>
      </c>
      <c r="R867" s="37" t="str">
        <f t="shared" si="89"/>
        <v/>
      </c>
      <c r="S867" s="37" t="str">
        <f t="shared" si="90"/>
        <v/>
      </c>
      <c r="T867" s="38" t="str">
        <f t="shared" si="91"/>
        <v/>
      </c>
      <c r="U867" s="37" t="str">
        <f t="shared" si="92"/>
        <v/>
      </c>
    </row>
    <row r="868" spans="2:21" ht="17.25">
      <c r="B868" s="156"/>
      <c r="C868" s="156"/>
      <c r="D868" s="157"/>
      <c r="E868" s="155"/>
      <c r="F868" s="151"/>
      <c r="G868" s="152"/>
      <c r="H868" s="153"/>
      <c r="I868" s="154"/>
      <c r="J868" s="154"/>
      <c r="K868" s="30" t="str">
        <f>IF(H868="","",IF($C$30="간이법","",FPR(H868,I868,J868)))</f>
        <v/>
      </c>
      <c r="L868" s="30" t="str">
        <f>IF(H868="","",IF($C$30="상세법",FPV(H868,K868),IF(H868="EI",4,IF(H868="EO",5.2,IF(H868="EQ",3.9,IF(H868="ILF",7.5,IF(H868="EIF",5.4)))))))</f>
        <v/>
      </c>
      <c r="M868" s="30" t="str">
        <f t="shared" si="86"/>
        <v/>
      </c>
      <c r="N868" s="134"/>
      <c r="O868" s="29"/>
      <c r="P868" s="37" t="str">
        <f t="shared" si="87"/>
        <v/>
      </c>
      <c r="Q868" s="38" t="str">
        <f t="shared" si="88"/>
        <v/>
      </c>
      <c r="R868" s="37" t="str">
        <f t="shared" si="89"/>
        <v/>
      </c>
      <c r="S868" s="37" t="str">
        <f t="shared" si="90"/>
        <v/>
      </c>
      <c r="T868" s="38" t="str">
        <f t="shared" si="91"/>
        <v/>
      </c>
      <c r="U868" s="37" t="str">
        <f t="shared" si="92"/>
        <v/>
      </c>
    </row>
    <row r="869" spans="2:21" ht="17.25">
      <c r="B869" s="156"/>
      <c r="C869" s="156"/>
      <c r="D869" s="157"/>
      <c r="E869" s="155"/>
      <c r="F869" s="151"/>
      <c r="G869" s="152"/>
      <c r="H869" s="153"/>
      <c r="I869" s="154"/>
      <c r="J869" s="154"/>
      <c r="K869" s="30" t="str">
        <f>IF(H869="","",IF($C$30="간이법","",FPR(H869,I869,J869)))</f>
        <v/>
      </c>
      <c r="L869" s="30" t="str">
        <f>IF(H869="","",IF($C$30="상세법",FPV(H869,K869),IF(H869="EI",4,IF(H869="EO",5.2,IF(H869="EQ",3.9,IF(H869="ILF",7.5,IF(H869="EIF",5.4)))))))</f>
        <v/>
      </c>
      <c r="M869" s="30" t="str">
        <f t="shared" si="86"/>
        <v/>
      </c>
      <c r="N869" s="134"/>
      <c r="O869" s="29"/>
      <c r="P869" s="37" t="str">
        <f t="shared" si="87"/>
        <v/>
      </c>
      <c r="Q869" s="38" t="str">
        <f t="shared" si="88"/>
        <v/>
      </c>
      <c r="R869" s="37" t="str">
        <f t="shared" si="89"/>
        <v/>
      </c>
      <c r="S869" s="37" t="str">
        <f t="shared" si="90"/>
        <v/>
      </c>
      <c r="T869" s="38" t="str">
        <f t="shared" si="91"/>
        <v/>
      </c>
      <c r="U869" s="37" t="str">
        <f t="shared" si="92"/>
        <v/>
      </c>
    </row>
    <row r="870" spans="2:21" ht="17.25">
      <c r="B870" s="156"/>
      <c r="C870" s="156"/>
      <c r="D870" s="157"/>
      <c r="E870" s="155"/>
      <c r="F870" s="151"/>
      <c r="G870" s="152"/>
      <c r="H870" s="153"/>
      <c r="I870" s="154"/>
      <c r="J870" s="154"/>
      <c r="K870" s="30" t="str">
        <f>IF(H870="","",IF($C$30="간이법","",FPR(H870,I870,J870)))</f>
        <v/>
      </c>
      <c r="L870" s="30" t="str">
        <f>IF(H870="","",IF($C$30="상세법",FPV(H870,K870),IF(H870="EI",4,IF(H870="EO",5.2,IF(H870="EQ",3.9,IF(H870="ILF",7.5,IF(H870="EIF",5.4)))))))</f>
        <v/>
      </c>
      <c r="M870" s="30" t="str">
        <f t="shared" si="86"/>
        <v/>
      </c>
      <c r="N870" s="134"/>
      <c r="O870" s="29"/>
      <c r="P870" s="37" t="str">
        <f t="shared" si="87"/>
        <v/>
      </c>
      <c r="Q870" s="38" t="str">
        <f t="shared" si="88"/>
        <v/>
      </c>
      <c r="R870" s="37" t="str">
        <f t="shared" si="89"/>
        <v/>
      </c>
      <c r="S870" s="37" t="str">
        <f t="shared" si="90"/>
        <v/>
      </c>
      <c r="T870" s="38" t="str">
        <f t="shared" si="91"/>
        <v/>
      </c>
      <c r="U870" s="37" t="str">
        <f t="shared" si="92"/>
        <v/>
      </c>
    </row>
    <row r="871" spans="2:21" ht="17.25">
      <c r="B871" s="156"/>
      <c r="C871" s="156"/>
      <c r="D871" s="157"/>
      <c r="E871" s="155"/>
      <c r="F871" s="151"/>
      <c r="G871" s="152"/>
      <c r="H871" s="153"/>
      <c r="I871" s="154"/>
      <c r="J871" s="154"/>
      <c r="K871" s="30" t="str">
        <f>IF(H871="","",IF($C$30="간이법","",FPR(H871,I871,J871)))</f>
        <v/>
      </c>
      <c r="L871" s="30" t="str">
        <f>IF(H871="","",IF($C$30="상세법",FPV(H871,K871),IF(H871="EI",4,IF(H871="EO",5.2,IF(H871="EQ",3.9,IF(H871="ILF",7.5,IF(H871="EIF",5.4)))))))</f>
        <v/>
      </c>
      <c r="M871" s="30" t="str">
        <f t="shared" si="86"/>
        <v/>
      </c>
      <c r="N871" s="134"/>
      <c r="O871" s="29"/>
      <c r="P871" s="37" t="str">
        <f t="shared" si="87"/>
        <v/>
      </c>
      <c r="Q871" s="38" t="str">
        <f t="shared" si="88"/>
        <v/>
      </c>
      <c r="R871" s="37" t="str">
        <f t="shared" si="89"/>
        <v/>
      </c>
      <c r="S871" s="37" t="str">
        <f t="shared" si="90"/>
        <v/>
      </c>
      <c r="T871" s="38" t="str">
        <f t="shared" si="91"/>
        <v/>
      </c>
      <c r="U871" s="37" t="str">
        <f t="shared" si="92"/>
        <v/>
      </c>
    </row>
    <row r="872" spans="2:21" ht="17.25">
      <c r="B872" s="156"/>
      <c r="C872" s="156"/>
      <c r="D872" s="157"/>
      <c r="E872" s="155"/>
      <c r="F872" s="151"/>
      <c r="G872" s="152"/>
      <c r="H872" s="153"/>
      <c r="I872" s="154"/>
      <c r="J872" s="154"/>
      <c r="K872" s="30" t="str">
        <f>IF(H872="","",IF($C$30="간이법","",FPR(H872,I872,J872)))</f>
        <v/>
      </c>
      <c r="L872" s="30" t="str">
        <f>IF(H872="","",IF($C$30="상세법",FPV(H872,K872),IF(H872="EI",4,IF(H872="EO",5.2,IF(H872="EQ",3.9,IF(H872="ILF",7.5,IF(H872="EIF",5.4)))))))</f>
        <v/>
      </c>
      <c r="M872" s="30" t="str">
        <f t="shared" si="86"/>
        <v/>
      </c>
      <c r="N872" s="134"/>
      <c r="O872" s="29"/>
      <c r="P872" s="37" t="str">
        <f t="shared" si="87"/>
        <v/>
      </c>
      <c r="Q872" s="38" t="str">
        <f t="shared" si="88"/>
        <v/>
      </c>
      <c r="R872" s="37" t="str">
        <f t="shared" si="89"/>
        <v/>
      </c>
      <c r="S872" s="37" t="str">
        <f t="shared" si="90"/>
        <v/>
      </c>
      <c r="T872" s="38" t="str">
        <f t="shared" si="91"/>
        <v/>
      </c>
      <c r="U872" s="37" t="str">
        <f t="shared" si="92"/>
        <v/>
      </c>
    </row>
    <row r="873" spans="2:21" ht="17.25">
      <c r="B873" s="156"/>
      <c r="C873" s="156"/>
      <c r="D873" s="157"/>
      <c r="E873" s="155"/>
      <c r="F873" s="151"/>
      <c r="G873" s="152"/>
      <c r="H873" s="153"/>
      <c r="I873" s="154"/>
      <c r="J873" s="154"/>
      <c r="K873" s="30" t="str">
        <f>IF(H873="","",IF($C$30="간이법","",FPR(H873,I873,J873)))</f>
        <v/>
      </c>
      <c r="L873" s="30" t="str">
        <f>IF(H873="","",IF($C$30="상세법",FPV(H873,K873),IF(H873="EI",4,IF(H873="EO",5.2,IF(H873="EQ",3.9,IF(H873="ILF",7.5,IF(H873="EIF",5.4)))))))</f>
        <v/>
      </c>
      <c r="M873" s="30" t="str">
        <f t="shared" si="86"/>
        <v/>
      </c>
      <c r="N873" s="134"/>
      <c r="O873" s="29"/>
      <c r="P873" s="37" t="str">
        <f t="shared" si="87"/>
        <v/>
      </c>
      <c r="Q873" s="38" t="str">
        <f t="shared" si="88"/>
        <v/>
      </c>
      <c r="R873" s="37" t="str">
        <f t="shared" si="89"/>
        <v/>
      </c>
      <c r="S873" s="37" t="str">
        <f t="shared" si="90"/>
        <v/>
      </c>
      <c r="T873" s="38" t="str">
        <f t="shared" si="91"/>
        <v/>
      </c>
      <c r="U873" s="37" t="str">
        <f t="shared" si="92"/>
        <v/>
      </c>
    </row>
    <row r="874" spans="2:21" ht="17.25">
      <c r="B874" s="156"/>
      <c r="C874" s="156"/>
      <c r="D874" s="157"/>
      <c r="E874" s="155"/>
      <c r="F874" s="151"/>
      <c r="G874" s="152"/>
      <c r="H874" s="153"/>
      <c r="I874" s="154"/>
      <c r="J874" s="154"/>
      <c r="K874" s="30" t="str">
        <f>IF(H874="","",IF($C$30="간이법","",FPR(H874,I874,J874)))</f>
        <v/>
      </c>
      <c r="L874" s="30" t="str">
        <f>IF(H874="","",IF($C$30="상세법",FPV(H874,K874),IF(H874="EI",4,IF(H874="EO",5.2,IF(H874="EQ",3.9,IF(H874="ILF",7.5,IF(H874="EIF",5.4)))))))</f>
        <v/>
      </c>
      <c r="M874" s="30" t="str">
        <f t="shared" si="86"/>
        <v/>
      </c>
      <c r="N874" s="134"/>
      <c r="O874" s="29"/>
      <c r="P874" s="37" t="str">
        <f t="shared" si="87"/>
        <v/>
      </c>
      <c r="Q874" s="38" t="str">
        <f t="shared" si="88"/>
        <v/>
      </c>
      <c r="R874" s="37" t="str">
        <f t="shared" si="89"/>
        <v/>
      </c>
      <c r="S874" s="37" t="str">
        <f t="shared" si="90"/>
        <v/>
      </c>
      <c r="T874" s="38" t="str">
        <f t="shared" si="91"/>
        <v/>
      </c>
      <c r="U874" s="37" t="str">
        <f t="shared" si="92"/>
        <v/>
      </c>
    </row>
    <row r="875" spans="2:21" ht="17.25">
      <c r="B875" s="156"/>
      <c r="C875" s="156"/>
      <c r="D875" s="157"/>
      <c r="E875" s="155"/>
      <c r="F875" s="151"/>
      <c r="G875" s="152"/>
      <c r="H875" s="153"/>
      <c r="I875" s="154"/>
      <c r="J875" s="154"/>
      <c r="K875" s="30" t="str">
        <f>IF(H875="","",IF($C$30="간이법","",FPR(H875,I875,J875)))</f>
        <v/>
      </c>
      <c r="L875" s="30" t="str">
        <f>IF(H875="","",IF($C$30="상세법",FPV(H875,K875),IF(H875="EI",4,IF(H875="EO",5.2,IF(H875="EQ",3.9,IF(H875="ILF",7.5,IF(H875="EIF",5.4)))))))</f>
        <v/>
      </c>
      <c r="M875" s="30" t="str">
        <f t="shared" si="86"/>
        <v/>
      </c>
      <c r="N875" s="134"/>
      <c r="O875" s="29"/>
      <c r="P875" s="37" t="str">
        <f t="shared" si="87"/>
        <v/>
      </c>
      <c r="Q875" s="38" t="str">
        <f t="shared" si="88"/>
        <v/>
      </c>
      <c r="R875" s="37" t="str">
        <f t="shared" si="89"/>
        <v/>
      </c>
      <c r="S875" s="37" t="str">
        <f t="shared" si="90"/>
        <v/>
      </c>
      <c r="T875" s="38" t="str">
        <f t="shared" si="91"/>
        <v/>
      </c>
      <c r="U875" s="37" t="str">
        <f t="shared" si="92"/>
        <v/>
      </c>
    </row>
    <row r="876" spans="2:21" ht="17.25">
      <c r="B876" s="156"/>
      <c r="C876" s="156"/>
      <c r="D876" s="157"/>
      <c r="E876" s="155"/>
      <c r="F876" s="151"/>
      <c r="G876" s="152"/>
      <c r="H876" s="153"/>
      <c r="I876" s="154"/>
      <c r="J876" s="154"/>
      <c r="K876" s="30" t="str">
        <f>IF(H876="","",IF($C$30="간이법","",FPR(H876,I876,J876)))</f>
        <v/>
      </c>
      <c r="L876" s="30" t="str">
        <f>IF(H876="","",IF($C$30="상세법",FPV(H876,K876),IF(H876="EI",4,IF(H876="EO",5.2,IF(H876="EQ",3.9,IF(H876="ILF",7.5,IF(H876="EIF",5.4)))))))</f>
        <v/>
      </c>
      <c r="M876" s="30" t="str">
        <f t="shared" si="86"/>
        <v/>
      </c>
      <c r="N876" s="134"/>
      <c r="O876" s="29"/>
      <c r="P876" s="37" t="str">
        <f t="shared" si="87"/>
        <v/>
      </c>
      <c r="Q876" s="38" t="str">
        <f t="shared" si="88"/>
        <v/>
      </c>
      <c r="R876" s="37" t="str">
        <f t="shared" si="89"/>
        <v/>
      </c>
      <c r="S876" s="37" t="str">
        <f t="shared" si="90"/>
        <v/>
      </c>
      <c r="T876" s="38" t="str">
        <f t="shared" si="91"/>
        <v/>
      </c>
      <c r="U876" s="37" t="str">
        <f t="shared" si="92"/>
        <v/>
      </c>
    </row>
    <row r="877" spans="2:21" ht="17.25">
      <c r="B877" s="156"/>
      <c r="C877" s="156"/>
      <c r="D877" s="157"/>
      <c r="E877" s="155"/>
      <c r="F877" s="151"/>
      <c r="G877" s="152"/>
      <c r="H877" s="153"/>
      <c r="I877" s="154"/>
      <c r="J877" s="154"/>
      <c r="K877" s="30" t="str">
        <f>IF(H877="","",IF($C$30="간이법","",FPR(H877,I877,J877)))</f>
        <v/>
      </c>
      <c r="L877" s="30" t="str">
        <f>IF(H877="","",IF($C$30="상세법",FPV(H877,K877),IF(H877="EI",4,IF(H877="EO",5.2,IF(H877="EQ",3.9,IF(H877="ILF",7.5,IF(H877="EIF",5.4)))))))</f>
        <v/>
      </c>
      <c r="M877" s="30" t="str">
        <f t="shared" si="86"/>
        <v/>
      </c>
      <c r="N877" s="134"/>
      <c r="O877" s="29"/>
      <c r="P877" s="37" t="str">
        <f t="shared" si="87"/>
        <v/>
      </c>
      <c r="Q877" s="38" t="str">
        <f t="shared" si="88"/>
        <v/>
      </c>
      <c r="R877" s="37" t="str">
        <f t="shared" si="89"/>
        <v/>
      </c>
      <c r="S877" s="37" t="str">
        <f t="shared" si="90"/>
        <v/>
      </c>
      <c r="T877" s="38" t="str">
        <f t="shared" si="91"/>
        <v/>
      </c>
      <c r="U877" s="37" t="str">
        <f t="shared" si="92"/>
        <v/>
      </c>
    </row>
    <row r="878" spans="2:21" ht="17.25">
      <c r="B878" s="156"/>
      <c r="C878" s="156"/>
      <c r="D878" s="157"/>
      <c r="E878" s="155"/>
      <c r="F878" s="151"/>
      <c r="G878" s="152"/>
      <c r="H878" s="153"/>
      <c r="I878" s="154"/>
      <c r="J878" s="154"/>
      <c r="K878" s="30" t="str">
        <f>IF(H878="","",IF($C$30="간이법","",FPR(H878,I878,J878)))</f>
        <v/>
      </c>
      <c r="L878" s="30" t="str">
        <f>IF(H878="","",IF($C$30="상세법",FPV(H878,K878),IF(H878="EI",4,IF(H878="EO",5.2,IF(H878="EQ",3.9,IF(H878="ILF",7.5,IF(H878="EIF",5.4)))))))</f>
        <v/>
      </c>
      <c r="M878" s="30" t="str">
        <f t="shared" si="86"/>
        <v/>
      </c>
      <c r="N878" s="134"/>
      <c r="O878" s="29"/>
      <c r="P878" s="37" t="str">
        <f t="shared" si="87"/>
        <v/>
      </c>
      <c r="Q878" s="38" t="str">
        <f t="shared" si="88"/>
        <v/>
      </c>
      <c r="R878" s="37" t="str">
        <f t="shared" si="89"/>
        <v/>
      </c>
      <c r="S878" s="37" t="str">
        <f t="shared" si="90"/>
        <v/>
      </c>
      <c r="T878" s="38" t="str">
        <f t="shared" si="91"/>
        <v/>
      </c>
      <c r="U878" s="37" t="str">
        <f t="shared" si="92"/>
        <v/>
      </c>
    </row>
    <row r="879" spans="2:21" ht="17.25">
      <c r="B879" s="156"/>
      <c r="C879" s="156"/>
      <c r="D879" s="157"/>
      <c r="E879" s="155"/>
      <c r="F879" s="151"/>
      <c r="G879" s="152"/>
      <c r="H879" s="153"/>
      <c r="I879" s="154"/>
      <c r="J879" s="154"/>
      <c r="K879" s="30" t="str">
        <f>IF(H879="","",IF($C$30="간이법","",FPR(H879,I879,J879)))</f>
        <v/>
      </c>
      <c r="L879" s="30" t="str">
        <f>IF(H879="","",IF($C$30="상세법",FPV(H879,K879),IF(H879="EI",4,IF(H879="EO",5.2,IF(H879="EQ",3.9,IF(H879="ILF",7.5,IF(H879="EIF",5.4)))))))</f>
        <v/>
      </c>
      <c r="M879" s="30" t="str">
        <f t="shared" si="86"/>
        <v/>
      </c>
      <c r="N879" s="134"/>
      <c r="O879" s="29"/>
      <c r="P879" s="37" t="str">
        <f t="shared" si="87"/>
        <v/>
      </c>
      <c r="Q879" s="38" t="str">
        <f t="shared" si="88"/>
        <v/>
      </c>
      <c r="R879" s="37" t="str">
        <f t="shared" si="89"/>
        <v/>
      </c>
      <c r="S879" s="37" t="str">
        <f t="shared" si="90"/>
        <v/>
      </c>
      <c r="T879" s="38" t="str">
        <f t="shared" si="91"/>
        <v/>
      </c>
      <c r="U879" s="37" t="str">
        <f t="shared" si="92"/>
        <v/>
      </c>
    </row>
    <row r="880" spans="2:21" ht="17.25">
      <c r="B880" s="156"/>
      <c r="C880" s="156"/>
      <c r="D880" s="157"/>
      <c r="E880" s="155"/>
      <c r="F880" s="151"/>
      <c r="G880" s="152"/>
      <c r="H880" s="153"/>
      <c r="I880" s="154"/>
      <c r="J880" s="154"/>
      <c r="K880" s="30" t="str">
        <f>IF(H880="","",IF($C$30="간이법","",FPR(H880,I880,J880)))</f>
        <v/>
      </c>
      <c r="L880" s="30" t="str">
        <f>IF(H880="","",IF($C$30="상세법",FPV(H880,K880),IF(H880="EI",4,IF(H880="EO",5.2,IF(H880="EQ",3.9,IF(H880="ILF",7.5,IF(H880="EIF",5.4)))))))</f>
        <v/>
      </c>
      <c r="M880" s="30" t="str">
        <f t="shared" si="86"/>
        <v/>
      </c>
      <c r="N880" s="134"/>
      <c r="O880" s="29"/>
      <c r="P880" s="37" t="str">
        <f t="shared" si="87"/>
        <v/>
      </c>
      <c r="Q880" s="38" t="str">
        <f t="shared" si="88"/>
        <v/>
      </c>
      <c r="R880" s="37" t="str">
        <f t="shared" si="89"/>
        <v/>
      </c>
      <c r="S880" s="37" t="str">
        <f t="shared" si="90"/>
        <v/>
      </c>
      <c r="T880" s="38" t="str">
        <f t="shared" si="91"/>
        <v/>
      </c>
      <c r="U880" s="37" t="str">
        <f t="shared" si="92"/>
        <v/>
      </c>
    </row>
    <row r="881" spans="2:21" ht="17.25">
      <c r="B881" s="156"/>
      <c r="C881" s="156"/>
      <c r="D881" s="157"/>
      <c r="E881" s="155"/>
      <c r="F881" s="151"/>
      <c r="G881" s="152"/>
      <c r="H881" s="153"/>
      <c r="I881" s="154"/>
      <c r="J881" s="154"/>
      <c r="K881" s="30" t="str">
        <f>IF(H881="","",IF($C$30="간이법","",FPR(H881,I881,J881)))</f>
        <v/>
      </c>
      <c r="L881" s="30" t="str">
        <f>IF(H881="","",IF($C$30="상세법",FPV(H881,K881),IF(H881="EI",4,IF(H881="EO",5.2,IF(H881="EQ",3.9,IF(H881="ILF",7.5,IF(H881="EIF",5.4)))))))</f>
        <v/>
      </c>
      <c r="M881" s="30" t="str">
        <f t="shared" si="86"/>
        <v/>
      </c>
      <c r="N881" s="134"/>
      <c r="O881" s="29"/>
      <c r="P881" s="37" t="str">
        <f t="shared" si="87"/>
        <v/>
      </c>
      <c r="Q881" s="38" t="str">
        <f t="shared" si="88"/>
        <v/>
      </c>
      <c r="R881" s="37" t="str">
        <f t="shared" si="89"/>
        <v/>
      </c>
      <c r="S881" s="37" t="str">
        <f t="shared" si="90"/>
        <v/>
      </c>
      <c r="T881" s="38" t="str">
        <f t="shared" si="91"/>
        <v/>
      </c>
      <c r="U881" s="37" t="str">
        <f t="shared" si="92"/>
        <v/>
      </c>
    </row>
    <row r="882" spans="2:21" ht="17.25">
      <c r="B882" s="156"/>
      <c r="C882" s="156"/>
      <c r="D882" s="157"/>
      <c r="E882" s="155"/>
      <c r="F882" s="151"/>
      <c r="G882" s="152"/>
      <c r="H882" s="153"/>
      <c r="I882" s="154"/>
      <c r="J882" s="154"/>
      <c r="K882" s="30" t="str">
        <f>IF(H882="","",IF($C$30="간이법","",FPR(H882,I882,J882)))</f>
        <v/>
      </c>
      <c r="L882" s="30" t="str">
        <f>IF(H882="","",IF($C$30="상세법",FPV(H882,K882),IF(H882="EI",4,IF(H882="EO",5.2,IF(H882="EQ",3.9,IF(H882="ILF",7.5,IF(H882="EIF",5.4)))))))</f>
        <v/>
      </c>
      <c r="M882" s="30" t="str">
        <f t="shared" si="86"/>
        <v/>
      </c>
      <c r="N882" s="134"/>
      <c r="O882" s="29"/>
      <c r="P882" s="37" t="str">
        <f t="shared" si="87"/>
        <v/>
      </c>
      <c r="Q882" s="38" t="str">
        <f t="shared" si="88"/>
        <v/>
      </c>
      <c r="R882" s="37" t="str">
        <f t="shared" si="89"/>
        <v/>
      </c>
      <c r="S882" s="37" t="str">
        <f t="shared" si="90"/>
        <v/>
      </c>
      <c r="T882" s="38" t="str">
        <f t="shared" si="91"/>
        <v/>
      </c>
      <c r="U882" s="37" t="str">
        <f t="shared" si="92"/>
        <v/>
      </c>
    </row>
    <row r="883" spans="2:21" ht="17.25">
      <c r="B883" s="156"/>
      <c r="C883" s="156"/>
      <c r="D883" s="157"/>
      <c r="E883" s="155"/>
      <c r="F883" s="151"/>
      <c r="G883" s="152"/>
      <c r="H883" s="153"/>
      <c r="I883" s="154"/>
      <c r="J883" s="154"/>
      <c r="K883" s="30" t="str">
        <f>IF(H883="","",IF($C$30="간이법","",FPR(H883,I883,J883)))</f>
        <v/>
      </c>
      <c r="L883" s="30" t="str">
        <f>IF(H883="","",IF($C$30="상세법",FPV(H883,K883),IF(H883="EI",4,IF(H883="EO",5.2,IF(H883="EQ",3.9,IF(H883="ILF",7.5,IF(H883="EIF",5.4)))))))</f>
        <v/>
      </c>
      <c r="M883" s="30" t="str">
        <f t="shared" si="86"/>
        <v/>
      </c>
      <c r="N883" s="134"/>
      <c r="O883" s="29"/>
      <c r="P883" s="37" t="str">
        <f t="shared" si="87"/>
        <v/>
      </c>
      <c r="Q883" s="38" t="str">
        <f t="shared" si="88"/>
        <v/>
      </c>
      <c r="R883" s="37" t="str">
        <f t="shared" si="89"/>
        <v/>
      </c>
      <c r="S883" s="37" t="str">
        <f t="shared" si="90"/>
        <v/>
      </c>
      <c r="T883" s="38" t="str">
        <f t="shared" si="91"/>
        <v/>
      </c>
      <c r="U883" s="37" t="str">
        <f t="shared" si="92"/>
        <v/>
      </c>
    </row>
    <row r="884" spans="2:21" ht="17.25">
      <c r="B884" s="156"/>
      <c r="C884" s="156"/>
      <c r="D884" s="157"/>
      <c r="E884" s="155"/>
      <c r="F884" s="151"/>
      <c r="G884" s="152"/>
      <c r="H884" s="153"/>
      <c r="I884" s="154"/>
      <c r="J884" s="154"/>
      <c r="K884" s="30" t="str">
        <f>IF(H884="","",IF($C$30="간이법","",FPR(H884,I884,J884)))</f>
        <v/>
      </c>
      <c r="L884" s="30" t="str">
        <f>IF(H884="","",IF($C$30="상세법",FPV(H884,K884),IF(H884="EI",4,IF(H884="EO",5.2,IF(H884="EQ",3.9,IF(H884="ILF",7.5,IF(H884="EIF",5.4)))))))</f>
        <v/>
      </c>
      <c r="M884" s="30" t="str">
        <f t="shared" si="86"/>
        <v/>
      </c>
      <c r="N884" s="134"/>
      <c r="O884" s="29"/>
      <c r="P884" s="37" t="str">
        <f t="shared" si="87"/>
        <v/>
      </c>
      <c r="Q884" s="38" t="str">
        <f t="shared" si="88"/>
        <v/>
      </c>
      <c r="R884" s="37" t="str">
        <f t="shared" si="89"/>
        <v/>
      </c>
      <c r="S884" s="37" t="str">
        <f t="shared" si="90"/>
        <v/>
      </c>
      <c r="T884" s="38" t="str">
        <f t="shared" si="91"/>
        <v/>
      </c>
      <c r="U884" s="37" t="str">
        <f t="shared" si="92"/>
        <v/>
      </c>
    </row>
    <row r="885" spans="2:21" ht="17.25">
      <c r="B885" s="156"/>
      <c r="C885" s="156"/>
      <c r="D885" s="157"/>
      <c r="E885" s="155"/>
      <c r="F885" s="151"/>
      <c r="G885" s="152"/>
      <c r="H885" s="153"/>
      <c r="I885" s="154"/>
      <c r="J885" s="154"/>
      <c r="K885" s="30" t="str">
        <f>IF(H885="","",IF($C$30="간이법","",FPR(H885,I885,J885)))</f>
        <v/>
      </c>
      <c r="L885" s="30" t="str">
        <f>IF(H885="","",IF($C$30="상세법",FPV(H885,K885),IF(H885="EI",4,IF(H885="EO",5.2,IF(H885="EQ",3.9,IF(H885="ILF",7.5,IF(H885="EIF",5.4)))))))</f>
        <v/>
      </c>
      <c r="M885" s="30" t="str">
        <f t="shared" si="86"/>
        <v/>
      </c>
      <c r="N885" s="134"/>
      <c r="O885" s="29"/>
      <c r="P885" s="37" t="str">
        <f t="shared" si="87"/>
        <v/>
      </c>
      <c r="Q885" s="38" t="str">
        <f t="shared" si="88"/>
        <v/>
      </c>
      <c r="R885" s="37" t="str">
        <f t="shared" si="89"/>
        <v/>
      </c>
      <c r="S885" s="37" t="str">
        <f t="shared" si="90"/>
        <v/>
      </c>
      <c r="T885" s="38" t="str">
        <f t="shared" si="91"/>
        <v/>
      </c>
      <c r="U885" s="37" t="str">
        <f t="shared" si="92"/>
        <v/>
      </c>
    </row>
    <row r="886" spans="2:21" ht="17.25">
      <c r="B886" s="156"/>
      <c r="C886" s="156"/>
      <c r="D886" s="157"/>
      <c r="E886" s="155"/>
      <c r="F886" s="151"/>
      <c r="G886" s="152"/>
      <c r="H886" s="153"/>
      <c r="I886" s="154"/>
      <c r="J886" s="154"/>
      <c r="K886" s="30" t="str">
        <f>IF(H886="","",IF($C$30="간이법","",FPR(H886,I886,J886)))</f>
        <v/>
      </c>
      <c r="L886" s="30" t="str">
        <f>IF(H886="","",IF($C$30="상세법",FPV(H886,K886),IF(H886="EI",4,IF(H886="EO",5.2,IF(H886="EQ",3.9,IF(H886="ILF",7.5,IF(H886="EIF",5.4)))))))</f>
        <v/>
      </c>
      <c r="M886" s="30" t="str">
        <f t="shared" si="86"/>
        <v/>
      </c>
      <c r="N886" s="134"/>
      <c r="O886" s="29"/>
      <c r="P886" s="37" t="str">
        <f t="shared" si="87"/>
        <v/>
      </c>
      <c r="Q886" s="38" t="str">
        <f t="shared" si="88"/>
        <v/>
      </c>
      <c r="R886" s="37" t="str">
        <f t="shared" si="89"/>
        <v/>
      </c>
      <c r="S886" s="37" t="str">
        <f t="shared" si="90"/>
        <v/>
      </c>
      <c r="T886" s="38" t="str">
        <f t="shared" si="91"/>
        <v/>
      </c>
      <c r="U886" s="37" t="str">
        <f t="shared" si="92"/>
        <v/>
      </c>
    </row>
    <row r="887" spans="2:21" ht="17.25">
      <c r="B887" s="156"/>
      <c r="C887" s="156"/>
      <c r="D887" s="157"/>
      <c r="E887" s="155"/>
      <c r="F887" s="151"/>
      <c r="G887" s="152"/>
      <c r="H887" s="153"/>
      <c r="I887" s="154"/>
      <c r="J887" s="154"/>
      <c r="K887" s="30" t="str">
        <f>IF(H887="","",IF($C$30="간이법","",FPR(H887,I887,J887)))</f>
        <v/>
      </c>
      <c r="L887" s="30" t="str">
        <f>IF(H887="","",IF($C$30="상세법",FPV(H887,K887),IF(H887="EI",4,IF(H887="EO",5.2,IF(H887="EQ",3.9,IF(H887="ILF",7.5,IF(H887="EIF",5.4)))))))</f>
        <v/>
      </c>
      <c r="M887" s="30" t="str">
        <f t="shared" si="86"/>
        <v/>
      </c>
      <c r="N887" s="134"/>
      <c r="O887" s="29"/>
      <c r="P887" s="37" t="str">
        <f t="shared" si="87"/>
        <v/>
      </c>
      <c r="Q887" s="38" t="str">
        <f t="shared" si="88"/>
        <v/>
      </c>
      <c r="R887" s="37" t="str">
        <f t="shared" si="89"/>
        <v/>
      </c>
      <c r="S887" s="37" t="str">
        <f t="shared" si="90"/>
        <v/>
      </c>
      <c r="T887" s="38" t="str">
        <f t="shared" si="91"/>
        <v/>
      </c>
      <c r="U887" s="37" t="str">
        <f t="shared" si="92"/>
        <v/>
      </c>
    </row>
    <row r="888" spans="2:21" ht="17.25">
      <c r="B888" s="156"/>
      <c r="C888" s="156"/>
      <c r="D888" s="157"/>
      <c r="E888" s="155"/>
      <c r="F888" s="151"/>
      <c r="G888" s="152"/>
      <c r="H888" s="153"/>
      <c r="I888" s="154"/>
      <c r="J888" s="154"/>
      <c r="K888" s="30" t="str">
        <f>IF(H888="","",IF($C$30="간이법","",FPR(H888,I888,J888)))</f>
        <v/>
      </c>
      <c r="L888" s="30" t="str">
        <f>IF(H888="","",IF($C$30="상세법",FPV(H888,K888),IF(H888="EI",4,IF(H888="EO",5.2,IF(H888="EQ",3.9,IF(H888="ILF",7.5,IF(H888="EIF",5.4)))))))</f>
        <v/>
      </c>
      <c r="M888" s="30" t="str">
        <f t="shared" si="86"/>
        <v/>
      </c>
      <c r="N888" s="134"/>
      <c r="O888" s="29"/>
      <c r="P888" s="37" t="str">
        <f t="shared" si="87"/>
        <v/>
      </c>
      <c r="Q888" s="38" t="str">
        <f t="shared" si="88"/>
        <v/>
      </c>
      <c r="R888" s="37" t="str">
        <f t="shared" si="89"/>
        <v/>
      </c>
      <c r="S888" s="37" t="str">
        <f t="shared" si="90"/>
        <v/>
      </c>
      <c r="T888" s="38" t="str">
        <f t="shared" si="91"/>
        <v/>
      </c>
      <c r="U888" s="37" t="str">
        <f t="shared" si="92"/>
        <v/>
      </c>
    </row>
    <row r="889" spans="2:21" ht="17.25">
      <c r="B889" s="156"/>
      <c r="C889" s="156"/>
      <c r="D889" s="157"/>
      <c r="E889" s="155"/>
      <c r="F889" s="151"/>
      <c r="G889" s="152"/>
      <c r="H889" s="153"/>
      <c r="I889" s="154"/>
      <c r="J889" s="154"/>
      <c r="K889" s="30" t="str">
        <f>IF(H889="","",IF($C$30="간이법","",FPR(H889,I889,J889)))</f>
        <v/>
      </c>
      <c r="L889" s="30" t="str">
        <f>IF(H889="","",IF($C$30="상세법",FPV(H889,K889),IF(H889="EI",4,IF(H889="EO",5.2,IF(H889="EQ",3.9,IF(H889="ILF",7.5,IF(H889="EIF",5.4)))))))</f>
        <v/>
      </c>
      <c r="M889" s="30" t="str">
        <f t="shared" si="86"/>
        <v/>
      </c>
      <c r="N889" s="134"/>
      <c r="O889" s="29"/>
      <c r="P889" s="37" t="str">
        <f t="shared" si="87"/>
        <v/>
      </c>
      <c r="Q889" s="38" t="str">
        <f t="shared" si="88"/>
        <v/>
      </c>
      <c r="R889" s="37" t="str">
        <f t="shared" si="89"/>
        <v/>
      </c>
      <c r="S889" s="37" t="str">
        <f t="shared" si="90"/>
        <v/>
      </c>
      <c r="T889" s="38" t="str">
        <f t="shared" si="91"/>
        <v/>
      </c>
      <c r="U889" s="37" t="str">
        <f t="shared" si="92"/>
        <v/>
      </c>
    </row>
    <row r="890" spans="2:21" ht="17.25">
      <c r="B890" s="156"/>
      <c r="C890" s="156"/>
      <c r="D890" s="157"/>
      <c r="E890" s="155"/>
      <c r="F890" s="151"/>
      <c r="G890" s="152"/>
      <c r="H890" s="153"/>
      <c r="I890" s="154"/>
      <c r="J890" s="154"/>
      <c r="K890" s="30" t="str">
        <f>IF(H890="","",IF($C$30="간이법","",FPR(H890,I890,J890)))</f>
        <v/>
      </c>
      <c r="L890" s="30" t="str">
        <f>IF(H890="","",IF($C$30="상세법",FPV(H890,K890),IF(H890="EI",4,IF(H890="EO",5.2,IF(H890="EQ",3.9,IF(H890="ILF",7.5,IF(H890="EIF",5.4)))))))</f>
        <v/>
      </c>
      <c r="M890" s="30" t="str">
        <f t="shared" si="86"/>
        <v/>
      </c>
      <c r="N890" s="134"/>
      <c r="O890" s="29"/>
      <c r="P890" s="37" t="str">
        <f t="shared" si="87"/>
        <v/>
      </c>
      <c r="Q890" s="38" t="str">
        <f t="shared" si="88"/>
        <v/>
      </c>
      <c r="R890" s="37" t="str">
        <f t="shared" si="89"/>
        <v/>
      </c>
      <c r="S890" s="37" t="str">
        <f t="shared" si="90"/>
        <v/>
      </c>
      <c r="T890" s="38" t="str">
        <f t="shared" si="91"/>
        <v/>
      </c>
      <c r="U890" s="37" t="str">
        <f t="shared" si="92"/>
        <v/>
      </c>
    </row>
    <row r="891" spans="2:21" ht="17.25">
      <c r="B891" s="156"/>
      <c r="C891" s="156"/>
      <c r="D891" s="157"/>
      <c r="E891" s="155"/>
      <c r="F891" s="151"/>
      <c r="G891" s="152"/>
      <c r="H891" s="153"/>
      <c r="I891" s="154"/>
      <c r="J891" s="154"/>
      <c r="K891" s="30" t="str">
        <f>IF(H891="","",IF($C$30="간이법","",FPR(H891,I891,J891)))</f>
        <v/>
      </c>
      <c r="L891" s="30" t="str">
        <f>IF(H891="","",IF($C$30="상세법",FPV(H891,K891),IF(H891="EI",4,IF(H891="EO",5.2,IF(H891="EQ",3.9,IF(H891="ILF",7.5,IF(H891="EIF",5.4)))))))</f>
        <v/>
      </c>
      <c r="M891" s="30" t="str">
        <f t="shared" si="86"/>
        <v/>
      </c>
      <c r="N891" s="134"/>
      <c r="O891" s="29"/>
      <c r="P891" s="37" t="str">
        <f t="shared" si="87"/>
        <v/>
      </c>
      <c r="Q891" s="38" t="str">
        <f t="shared" si="88"/>
        <v/>
      </c>
      <c r="R891" s="37" t="str">
        <f t="shared" si="89"/>
        <v/>
      </c>
      <c r="S891" s="37" t="str">
        <f t="shared" si="90"/>
        <v/>
      </c>
      <c r="T891" s="38" t="str">
        <f t="shared" si="91"/>
        <v/>
      </c>
      <c r="U891" s="37" t="str">
        <f t="shared" si="92"/>
        <v/>
      </c>
    </row>
    <row r="892" spans="2:21" ht="17.25">
      <c r="B892" s="156"/>
      <c r="C892" s="156"/>
      <c r="D892" s="157"/>
      <c r="E892" s="155"/>
      <c r="F892" s="151"/>
      <c r="G892" s="152"/>
      <c r="H892" s="153"/>
      <c r="I892" s="154"/>
      <c r="J892" s="154"/>
      <c r="K892" s="30" t="str">
        <f>IF(H892="","",IF($C$30="간이법","",FPR(H892,I892,J892)))</f>
        <v/>
      </c>
      <c r="L892" s="30" t="str">
        <f>IF(H892="","",IF($C$30="상세법",FPV(H892,K892),IF(H892="EI",4,IF(H892="EO",5.2,IF(H892="EQ",3.9,IF(H892="ILF",7.5,IF(H892="EIF",5.4)))))))</f>
        <v/>
      </c>
      <c r="M892" s="30" t="str">
        <f t="shared" ref="M892:M955" si="93">IF(OR(G892="",$E$36="(선택)",$E$40="(선택)",$E$41="(선택)",F892="신규 개발",F892="수정 없이 재사용"),"",(IF(F892="수정 후 재사용",IF($E$50&lt;=0.5,L892*($E$36+$E$50*100*(1+0.02*($E$40*$E$41)))/100,L892*($E$36+$E$50*100+($E$40*$E$41))/100))))</f>
        <v/>
      </c>
      <c r="N892" s="134"/>
      <c r="O892" s="29"/>
      <c r="P892" s="37" t="str">
        <f t="shared" ref="P892:P955" si="94">IF(F892="수정 후 재사용",IF(H892="ILF",G892,IF(H892="EIF",G892,"")),"")</f>
        <v/>
      </c>
      <c r="Q892" s="38" t="str">
        <f t="shared" ref="Q892:Q955" si="95">IF(P892&lt;&gt;"",IF(H892="ILF", L892/$E$46,IF(H892="EIF", L892/$E$46,"")),"")</f>
        <v/>
      </c>
      <c r="R892" s="37" t="str">
        <f t="shared" ref="R892:R955" si="96">IF(P892&lt;&gt;"",P892*Q892,"")</f>
        <v/>
      </c>
      <c r="S892" s="37" t="str">
        <f t="shared" ref="S892:S955" si="97">IF(F892="수정 후 재사용",IF(H892="EI",G892,IF(H892="EO",G892,IF(H892="EQ",G892,""))),"")</f>
        <v/>
      </c>
      <c r="T892" s="38" t="str">
        <f t="shared" ref="T892:T955" si="98">IF(S892&lt;&gt;"",IF(H892="EI",L892/$E$47,IF(H892="EO",L892/$E$47,IF(H892="EQ",L892/$E$47,""))),"")</f>
        <v/>
      </c>
      <c r="U892" s="37" t="str">
        <f t="shared" ref="U892:U955" si="99">IF(S892&lt;&gt;"",S892*T892,"")</f>
        <v/>
      </c>
    </row>
    <row r="893" spans="2:21" ht="17.25">
      <c r="B893" s="156"/>
      <c r="C893" s="156"/>
      <c r="D893" s="157"/>
      <c r="E893" s="155"/>
      <c r="F893" s="151"/>
      <c r="G893" s="152"/>
      <c r="H893" s="153"/>
      <c r="I893" s="154"/>
      <c r="J893" s="154"/>
      <c r="K893" s="30" t="str">
        <f>IF(H893="","",IF($C$30="간이법","",FPR(H893,I893,J893)))</f>
        <v/>
      </c>
      <c r="L893" s="30" t="str">
        <f>IF(H893="","",IF($C$30="상세법",FPV(H893,K893),IF(H893="EI",4,IF(H893="EO",5.2,IF(H893="EQ",3.9,IF(H893="ILF",7.5,IF(H893="EIF",5.4)))))))</f>
        <v/>
      </c>
      <c r="M893" s="30" t="str">
        <f t="shared" si="93"/>
        <v/>
      </c>
      <c r="N893" s="134"/>
      <c r="O893" s="29"/>
      <c r="P893" s="37" t="str">
        <f t="shared" si="94"/>
        <v/>
      </c>
      <c r="Q893" s="38" t="str">
        <f t="shared" si="95"/>
        <v/>
      </c>
      <c r="R893" s="37" t="str">
        <f t="shared" si="96"/>
        <v/>
      </c>
      <c r="S893" s="37" t="str">
        <f t="shared" si="97"/>
        <v/>
      </c>
      <c r="T893" s="38" t="str">
        <f t="shared" si="98"/>
        <v/>
      </c>
      <c r="U893" s="37" t="str">
        <f t="shared" si="99"/>
        <v/>
      </c>
    </row>
    <row r="894" spans="2:21" ht="17.25">
      <c r="B894" s="156"/>
      <c r="C894" s="156"/>
      <c r="D894" s="157"/>
      <c r="E894" s="155"/>
      <c r="F894" s="151"/>
      <c r="G894" s="152"/>
      <c r="H894" s="153"/>
      <c r="I894" s="154"/>
      <c r="J894" s="154"/>
      <c r="K894" s="30" t="str">
        <f>IF(H894="","",IF($C$30="간이법","",FPR(H894,I894,J894)))</f>
        <v/>
      </c>
      <c r="L894" s="30" t="str">
        <f>IF(H894="","",IF($C$30="상세법",FPV(H894,K894),IF(H894="EI",4,IF(H894="EO",5.2,IF(H894="EQ",3.9,IF(H894="ILF",7.5,IF(H894="EIF",5.4)))))))</f>
        <v/>
      </c>
      <c r="M894" s="30" t="str">
        <f t="shared" si="93"/>
        <v/>
      </c>
      <c r="N894" s="134"/>
      <c r="O894" s="29"/>
      <c r="P894" s="37" t="str">
        <f t="shared" si="94"/>
        <v/>
      </c>
      <c r="Q894" s="38" t="str">
        <f t="shared" si="95"/>
        <v/>
      </c>
      <c r="R894" s="37" t="str">
        <f t="shared" si="96"/>
        <v/>
      </c>
      <c r="S894" s="37" t="str">
        <f t="shared" si="97"/>
        <v/>
      </c>
      <c r="T894" s="38" t="str">
        <f t="shared" si="98"/>
        <v/>
      </c>
      <c r="U894" s="37" t="str">
        <f t="shared" si="99"/>
        <v/>
      </c>
    </row>
    <row r="895" spans="2:21" ht="17.25">
      <c r="B895" s="156"/>
      <c r="C895" s="156"/>
      <c r="D895" s="157"/>
      <c r="E895" s="155"/>
      <c r="F895" s="151"/>
      <c r="G895" s="152"/>
      <c r="H895" s="153"/>
      <c r="I895" s="154"/>
      <c r="J895" s="154"/>
      <c r="K895" s="30" t="str">
        <f>IF(H895="","",IF($C$30="간이법","",FPR(H895,I895,J895)))</f>
        <v/>
      </c>
      <c r="L895" s="30" t="str">
        <f>IF(H895="","",IF($C$30="상세법",FPV(H895,K895),IF(H895="EI",4,IF(H895="EO",5.2,IF(H895="EQ",3.9,IF(H895="ILF",7.5,IF(H895="EIF",5.4)))))))</f>
        <v/>
      </c>
      <c r="M895" s="30" t="str">
        <f t="shared" si="93"/>
        <v/>
      </c>
      <c r="N895" s="134"/>
      <c r="O895" s="29"/>
      <c r="P895" s="37" t="str">
        <f t="shared" si="94"/>
        <v/>
      </c>
      <c r="Q895" s="38" t="str">
        <f t="shared" si="95"/>
        <v/>
      </c>
      <c r="R895" s="37" t="str">
        <f t="shared" si="96"/>
        <v/>
      </c>
      <c r="S895" s="37" t="str">
        <f t="shared" si="97"/>
        <v/>
      </c>
      <c r="T895" s="38" t="str">
        <f t="shared" si="98"/>
        <v/>
      </c>
      <c r="U895" s="37" t="str">
        <f t="shared" si="99"/>
        <v/>
      </c>
    </row>
    <row r="896" spans="2:21" ht="17.25">
      <c r="B896" s="156"/>
      <c r="C896" s="156"/>
      <c r="D896" s="157"/>
      <c r="E896" s="155"/>
      <c r="F896" s="151"/>
      <c r="G896" s="152"/>
      <c r="H896" s="153"/>
      <c r="I896" s="154"/>
      <c r="J896" s="154"/>
      <c r="K896" s="30" t="str">
        <f>IF(H896="","",IF($C$30="간이법","",FPR(H896,I896,J896)))</f>
        <v/>
      </c>
      <c r="L896" s="30" t="str">
        <f>IF(H896="","",IF($C$30="상세법",FPV(H896,K896),IF(H896="EI",4,IF(H896="EO",5.2,IF(H896="EQ",3.9,IF(H896="ILF",7.5,IF(H896="EIF",5.4)))))))</f>
        <v/>
      </c>
      <c r="M896" s="30" t="str">
        <f t="shared" si="93"/>
        <v/>
      </c>
      <c r="N896" s="134"/>
      <c r="O896" s="29"/>
      <c r="P896" s="37" t="str">
        <f t="shared" si="94"/>
        <v/>
      </c>
      <c r="Q896" s="38" t="str">
        <f t="shared" si="95"/>
        <v/>
      </c>
      <c r="R896" s="37" t="str">
        <f t="shared" si="96"/>
        <v/>
      </c>
      <c r="S896" s="37" t="str">
        <f t="shared" si="97"/>
        <v/>
      </c>
      <c r="T896" s="38" t="str">
        <f t="shared" si="98"/>
        <v/>
      </c>
      <c r="U896" s="37" t="str">
        <f t="shared" si="99"/>
        <v/>
      </c>
    </row>
    <row r="897" spans="2:21" ht="17.25">
      <c r="B897" s="156"/>
      <c r="C897" s="156"/>
      <c r="D897" s="157"/>
      <c r="E897" s="155"/>
      <c r="F897" s="151"/>
      <c r="G897" s="152"/>
      <c r="H897" s="153"/>
      <c r="I897" s="154"/>
      <c r="J897" s="154"/>
      <c r="K897" s="30" t="str">
        <f>IF(H897="","",IF($C$30="간이법","",FPR(H897,I897,J897)))</f>
        <v/>
      </c>
      <c r="L897" s="30" t="str">
        <f>IF(H897="","",IF($C$30="상세법",FPV(H897,K897),IF(H897="EI",4,IF(H897="EO",5.2,IF(H897="EQ",3.9,IF(H897="ILF",7.5,IF(H897="EIF",5.4)))))))</f>
        <v/>
      </c>
      <c r="M897" s="30" t="str">
        <f t="shared" si="93"/>
        <v/>
      </c>
      <c r="N897" s="134"/>
      <c r="O897" s="29"/>
      <c r="P897" s="37" t="str">
        <f t="shared" si="94"/>
        <v/>
      </c>
      <c r="Q897" s="38" t="str">
        <f t="shared" si="95"/>
        <v/>
      </c>
      <c r="R897" s="37" t="str">
        <f t="shared" si="96"/>
        <v/>
      </c>
      <c r="S897" s="37" t="str">
        <f t="shared" si="97"/>
        <v/>
      </c>
      <c r="T897" s="38" t="str">
        <f t="shared" si="98"/>
        <v/>
      </c>
      <c r="U897" s="37" t="str">
        <f t="shared" si="99"/>
        <v/>
      </c>
    </row>
    <row r="898" spans="2:21" ht="17.25">
      <c r="B898" s="156"/>
      <c r="C898" s="156"/>
      <c r="D898" s="157"/>
      <c r="E898" s="155"/>
      <c r="F898" s="151"/>
      <c r="G898" s="152"/>
      <c r="H898" s="153"/>
      <c r="I898" s="154"/>
      <c r="J898" s="154"/>
      <c r="K898" s="30" t="str">
        <f>IF(H898="","",IF($C$30="간이법","",FPR(H898,I898,J898)))</f>
        <v/>
      </c>
      <c r="L898" s="30" t="str">
        <f>IF(H898="","",IF($C$30="상세법",FPV(H898,K898),IF(H898="EI",4,IF(H898="EO",5.2,IF(H898="EQ",3.9,IF(H898="ILF",7.5,IF(H898="EIF",5.4)))))))</f>
        <v/>
      </c>
      <c r="M898" s="30" t="str">
        <f t="shared" si="93"/>
        <v/>
      </c>
      <c r="N898" s="134"/>
      <c r="O898" s="29"/>
      <c r="P898" s="37" t="str">
        <f t="shared" si="94"/>
        <v/>
      </c>
      <c r="Q898" s="38" t="str">
        <f t="shared" si="95"/>
        <v/>
      </c>
      <c r="R898" s="37" t="str">
        <f t="shared" si="96"/>
        <v/>
      </c>
      <c r="S898" s="37" t="str">
        <f t="shared" si="97"/>
        <v/>
      </c>
      <c r="T898" s="38" t="str">
        <f t="shared" si="98"/>
        <v/>
      </c>
      <c r="U898" s="37" t="str">
        <f t="shared" si="99"/>
        <v/>
      </c>
    </row>
    <row r="899" spans="2:21" ht="17.25">
      <c r="B899" s="156"/>
      <c r="C899" s="156"/>
      <c r="D899" s="157"/>
      <c r="E899" s="155"/>
      <c r="F899" s="151"/>
      <c r="G899" s="152"/>
      <c r="H899" s="153"/>
      <c r="I899" s="154"/>
      <c r="J899" s="154"/>
      <c r="K899" s="30" t="str">
        <f>IF(H899="","",IF($C$30="간이법","",FPR(H899,I899,J899)))</f>
        <v/>
      </c>
      <c r="L899" s="30" t="str">
        <f>IF(H899="","",IF($C$30="상세법",FPV(H899,K899),IF(H899="EI",4,IF(H899="EO",5.2,IF(H899="EQ",3.9,IF(H899="ILF",7.5,IF(H899="EIF",5.4)))))))</f>
        <v/>
      </c>
      <c r="M899" s="30" t="str">
        <f t="shared" si="93"/>
        <v/>
      </c>
      <c r="N899" s="134"/>
      <c r="O899" s="29"/>
      <c r="P899" s="37" t="str">
        <f t="shared" si="94"/>
        <v/>
      </c>
      <c r="Q899" s="38" t="str">
        <f t="shared" si="95"/>
        <v/>
      </c>
      <c r="R899" s="37" t="str">
        <f t="shared" si="96"/>
        <v/>
      </c>
      <c r="S899" s="37" t="str">
        <f t="shared" si="97"/>
        <v/>
      </c>
      <c r="T899" s="38" t="str">
        <f t="shared" si="98"/>
        <v/>
      </c>
      <c r="U899" s="37" t="str">
        <f t="shared" si="99"/>
        <v/>
      </c>
    </row>
    <row r="900" spans="2:21" ht="17.25">
      <c r="B900" s="156"/>
      <c r="C900" s="156"/>
      <c r="D900" s="157"/>
      <c r="E900" s="155"/>
      <c r="F900" s="151"/>
      <c r="G900" s="152"/>
      <c r="H900" s="153"/>
      <c r="I900" s="154"/>
      <c r="J900" s="154"/>
      <c r="K900" s="30" t="str">
        <f>IF(H900="","",IF($C$30="간이법","",FPR(H900,I900,J900)))</f>
        <v/>
      </c>
      <c r="L900" s="30" t="str">
        <f>IF(H900="","",IF($C$30="상세법",FPV(H900,K900),IF(H900="EI",4,IF(H900="EO",5.2,IF(H900="EQ",3.9,IF(H900="ILF",7.5,IF(H900="EIF",5.4)))))))</f>
        <v/>
      </c>
      <c r="M900" s="30" t="str">
        <f t="shared" si="93"/>
        <v/>
      </c>
      <c r="N900" s="134"/>
      <c r="O900" s="29"/>
      <c r="P900" s="37" t="str">
        <f t="shared" si="94"/>
        <v/>
      </c>
      <c r="Q900" s="38" t="str">
        <f t="shared" si="95"/>
        <v/>
      </c>
      <c r="R900" s="37" t="str">
        <f t="shared" si="96"/>
        <v/>
      </c>
      <c r="S900" s="37" t="str">
        <f t="shared" si="97"/>
        <v/>
      </c>
      <c r="T900" s="38" t="str">
        <f t="shared" si="98"/>
        <v/>
      </c>
      <c r="U900" s="37" t="str">
        <f t="shared" si="99"/>
        <v/>
      </c>
    </row>
    <row r="901" spans="2:21" ht="17.25">
      <c r="B901" s="156"/>
      <c r="C901" s="156"/>
      <c r="D901" s="157"/>
      <c r="E901" s="155"/>
      <c r="F901" s="151"/>
      <c r="G901" s="152"/>
      <c r="H901" s="153"/>
      <c r="I901" s="154"/>
      <c r="J901" s="154"/>
      <c r="K901" s="30" t="str">
        <f>IF(H901="","",IF($C$30="간이법","",FPR(H901,I901,J901)))</f>
        <v/>
      </c>
      <c r="L901" s="30" t="str">
        <f>IF(H901="","",IF($C$30="상세법",FPV(H901,K901),IF(H901="EI",4,IF(H901="EO",5.2,IF(H901="EQ",3.9,IF(H901="ILF",7.5,IF(H901="EIF",5.4)))))))</f>
        <v/>
      </c>
      <c r="M901" s="30" t="str">
        <f t="shared" si="93"/>
        <v/>
      </c>
      <c r="N901" s="134"/>
      <c r="O901" s="29"/>
      <c r="P901" s="37" t="str">
        <f t="shared" si="94"/>
        <v/>
      </c>
      <c r="Q901" s="38" t="str">
        <f t="shared" si="95"/>
        <v/>
      </c>
      <c r="R901" s="37" t="str">
        <f t="shared" si="96"/>
        <v/>
      </c>
      <c r="S901" s="37" t="str">
        <f t="shared" si="97"/>
        <v/>
      </c>
      <c r="T901" s="38" t="str">
        <f t="shared" si="98"/>
        <v/>
      </c>
      <c r="U901" s="37" t="str">
        <f t="shared" si="99"/>
        <v/>
      </c>
    </row>
    <row r="902" spans="2:21" ht="17.25">
      <c r="B902" s="156"/>
      <c r="C902" s="156"/>
      <c r="D902" s="157"/>
      <c r="E902" s="155"/>
      <c r="F902" s="151"/>
      <c r="G902" s="152"/>
      <c r="H902" s="153"/>
      <c r="I902" s="154"/>
      <c r="J902" s="154"/>
      <c r="K902" s="30" t="str">
        <f>IF(H902="","",IF($C$30="간이법","",FPR(H902,I902,J902)))</f>
        <v/>
      </c>
      <c r="L902" s="30" t="str">
        <f>IF(H902="","",IF($C$30="상세법",FPV(H902,K902),IF(H902="EI",4,IF(H902="EO",5.2,IF(H902="EQ",3.9,IF(H902="ILF",7.5,IF(H902="EIF",5.4)))))))</f>
        <v/>
      </c>
      <c r="M902" s="30" t="str">
        <f t="shared" si="93"/>
        <v/>
      </c>
      <c r="N902" s="134"/>
      <c r="O902" s="29"/>
      <c r="P902" s="37" t="str">
        <f t="shared" si="94"/>
        <v/>
      </c>
      <c r="Q902" s="38" t="str">
        <f t="shared" si="95"/>
        <v/>
      </c>
      <c r="R902" s="37" t="str">
        <f t="shared" si="96"/>
        <v/>
      </c>
      <c r="S902" s="37" t="str">
        <f t="shared" si="97"/>
        <v/>
      </c>
      <c r="T902" s="38" t="str">
        <f t="shared" si="98"/>
        <v/>
      </c>
      <c r="U902" s="37" t="str">
        <f t="shared" si="99"/>
        <v/>
      </c>
    </row>
    <row r="903" spans="2:21" ht="17.25">
      <c r="B903" s="156"/>
      <c r="C903" s="156"/>
      <c r="D903" s="157"/>
      <c r="E903" s="155"/>
      <c r="F903" s="151"/>
      <c r="G903" s="152"/>
      <c r="H903" s="153"/>
      <c r="I903" s="154"/>
      <c r="J903" s="154"/>
      <c r="K903" s="30" t="str">
        <f>IF(H903="","",IF($C$30="간이법","",FPR(H903,I903,J903)))</f>
        <v/>
      </c>
      <c r="L903" s="30" t="str">
        <f>IF(H903="","",IF($C$30="상세법",FPV(H903,K903),IF(H903="EI",4,IF(H903="EO",5.2,IF(H903="EQ",3.9,IF(H903="ILF",7.5,IF(H903="EIF",5.4)))))))</f>
        <v/>
      </c>
      <c r="M903" s="30" t="str">
        <f t="shared" si="93"/>
        <v/>
      </c>
      <c r="N903" s="134"/>
      <c r="O903" s="29"/>
      <c r="P903" s="37" t="str">
        <f t="shared" si="94"/>
        <v/>
      </c>
      <c r="Q903" s="38" t="str">
        <f t="shared" si="95"/>
        <v/>
      </c>
      <c r="R903" s="37" t="str">
        <f t="shared" si="96"/>
        <v/>
      </c>
      <c r="S903" s="37" t="str">
        <f t="shared" si="97"/>
        <v/>
      </c>
      <c r="T903" s="38" t="str">
        <f t="shared" si="98"/>
        <v/>
      </c>
      <c r="U903" s="37" t="str">
        <f t="shared" si="99"/>
        <v/>
      </c>
    </row>
    <row r="904" spans="2:21" ht="17.25">
      <c r="B904" s="156"/>
      <c r="C904" s="156"/>
      <c r="D904" s="157"/>
      <c r="E904" s="155"/>
      <c r="F904" s="151"/>
      <c r="G904" s="152"/>
      <c r="H904" s="153"/>
      <c r="I904" s="154"/>
      <c r="J904" s="154"/>
      <c r="K904" s="30" t="str">
        <f>IF(H904="","",IF($C$30="간이법","",FPR(H904,I904,J904)))</f>
        <v/>
      </c>
      <c r="L904" s="30" t="str">
        <f>IF(H904="","",IF($C$30="상세법",FPV(H904,K904),IF(H904="EI",4,IF(H904="EO",5.2,IF(H904="EQ",3.9,IF(H904="ILF",7.5,IF(H904="EIF",5.4)))))))</f>
        <v/>
      </c>
      <c r="M904" s="30" t="str">
        <f t="shared" si="93"/>
        <v/>
      </c>
      <c r="N904" s="134"/>
      <c r="O904" s="29"/>
      <c r="P904" s="37" t="str">
        <f t="shared" si="94"/>
        <v/>
      </c>
      <c r="Q904" s="38" t="str">
        <f t="shared" si="95"/>
        <v/>
      </c>
      <c r="R904" s="37" t="str">
        <f t="shared" si="96"/>
        <v/>
      </c>
      <c r="S904" s="37" t="str">
        <f t="shared" si="97"/>
        <v/>
      </c>
      <c r="T904" s="38" t="str">
        <f t="shared" si="98"/>
        <v/>
      </c>
      <c r="U904" s="37" t="str">
        <f t="shared" si="99"/>
        <v/>
      </c>
    </row>
    <row r="905" spans="2:21" ht="17.25">
      <c r="B905" s="156"/>
      <c r="C905" s="156"/>
      <c r="D905" s="157"/>
      <c r="E905" s="155"/>
      <c r="F905" s="151"/>
      <c r="G905" s="152"/>
      <c r="H905" s="153"/>
      <c r="I905" s="154"/>
      <c r="J905" s="154"/>
      <c r="K905" s="30" t="str">
        <f>IF(H905="","",IF($C$30="간이법","",FPR(H905,I905,J905)))</f>
        <v/>
      </c>
      <c r="L905" s="30" t="str">
        <f>IF(H905="","",IF($C$30="상세법",FPV(H905,K905),IF(H905="EI",4,IF(H905="EO",5.2,IF(H905="EQ",3.9,IF(H905="ILF",7.5,IF(H905="EIF",5.4)))))))</f>
        <v/>
      </c>
      <c r="M905" s="30" t="str">
        <f t="shared" si="93"/>
        <v/>
      </c>
      <c r="N905" s="134"/>
      <c r="O905" s="29"/>
      <c r="P905" s="37" t="str">
        <f t="shared" si="94"/>
        <v/>
      </c>
      <c r="Q905" s="38" t="str">
        <f t="shared" si="95"/>
        <v/>
      </c>
      <c r="R905" s="37" t="str">
        <f t="shared" si="96"/>
        <v/>
      </c>
      <c r="S905" s="37" t="str">
        <f t="shared" si="97"/>
        <v/>
      </c>
      <c r="T905" s="38" t="str">
        <f t="shared" si="98"/>
        <v/>
      </c>
      <c r="U905" s="37" t="str">
        <f t="shared" si="99"/>
        <v/>
      </c>
    </row>
    <row r="906" spans="2:21" ht="17.25">
      <c r="B906" s="156"/>
      <c r="C906" s="156"/>
      <c r="D906" s="157"/>
      <c r="E906" s="155"/>
      <c r="F906" s="151"/>
      <c r="G906" s="152"/>
      <c r="H906" s="153"/>
      <c r="I906" s="154"/>
      <c r="J906" s="154"/>
      <c r="K906" s="30" t="str">
        <f>IF(H906="","",IF($C$30="간이법","",FPR(H906,I906,J906)))</f>
        <v/>
      </c>
      <c r="L906" s="30" t="str">
        <f>IF(H906="","",IF($C$30="상세법",FPV(H906,K906),IF(H906="EI",4,IF(H906="EO",5.2,IF(H906="EQ",3.9,IF(H906="ILF",7.5,IF(H906="EIF",5.4)))))))</f>
        <v/>
      </c>
      <c r="M906" s="30" t="str">
        <f t="shared" si="93"/>
        <v/>
      </c>
      <c r="N906" s="134"/>
      <c r="O906" s="29"/>
      <c r="P906" s="37" t="str">
        <f t="shared" si="94"/>
        <v/>
      </c>
      <c r="Q906" s="38" t="str">
        <f t="shared" si="95"/>
        <v/>
      </c>
      <c r="R906" s="37" t="str">
        <f t="shared" si="96"/>
        <v/>
      </c>
      <c r="S906" s="37" t="str">
        <f t="shared" si="97"/>
        <v/>
      </c>
      <c r="T906" s="38" t="str">
        <f t="shared" si="98"/>
        <v/>
      </c>
      <c r="U906" s="37" t="str">
        <f t="shared" si="99"/>
        <v/>
      </c>
    </row>
    <row r="907" spans="2:21" ht="17.25">
      <c r="B907" s="156"/>
      <c r="C907" s="156"/>
      <c r="D907" s="157"/>
      <c r="E907" s="155"/>
      <c r="F907" s="151"/>
      <c r="G907" s="152"/>
      <c r="H907" s="153"/>
      <c r="I907" s="154"/>
      <c r="J907" s="154"/>
      <c r="K907" s="30" t="str">
        <f>IF(H907="","",IF($C$30="간이법","",FPR(H907,I907,J907)))</f>
        <v/>
      </c>
      <c r="L907" s="30" t="str">
        <f>IF(H907="","",IF($C$30="상세법",FPV(H907,K907),IF(H907="EI",4,IF(H907="EO",5.2,IF(H907="EQ",3.9,IF(H907="ILF",7.5,IF(H907="EIF",5.4)))))))</f>
        <v/>
      </c>
      <c r="M907" s="30" t="str">
        <f t="shared" si="93"/>
        <v/>
      </c>
      <c r="N907" s="134"/>
      <c r="O907" s="29"/>
      <c r="P907" s="37" t="str">
        <f t="shared" si="94"/>
        <v/>
      </c>
      <c r="Q907" s="38" t="str">
        <f t="shared" si="95"/>
        <v/>
      </c>
      <c r="R907" s="37" t="str">
        <f t="shared" si="96"/>
        <v/>
      </c>
      <c r="S907" s="37" t="str">
        <f t="shared" si="97"/>
        <v/>
      </c>
      <c r="T907" s="38" t="str">
        <f t="shared" si="98"/>
        <v/>
      </c>
      <c r="U907" s="37" t="str">
        <f t="shared" si="99"/>
        <v/>
      </c>
    </row>
    <row r="908" spans="2:21" ht="17.25">
      <c r="B908" s="156"/>
      <c r="C908" s="156"/>
      <c r="D908" s="157"/>
      <c r="E908" s="155"/>
      <c r="F908" s="151"/>
      <c r="G908" s="152"/>
      <c r="H908" s="153"/>
      <c r="I908" s="154"/>
      <c r="J908" s="154"/>
      <c r="K908" s="30" t="str">
        <f>IF(H908="","",IF($C$30="간이법","",FPR(H908,I908,J908)))</f>
        <v/>
      </c>
      <c r="L908" s="30" t="str">
        <f>IF(H908="","",IF($C$30="상세법",FPV(H908,K908),IF(H908="EI",4,IF(H908="EO",5.2,IF(H908="EQ",3.9,IF(H908="ILF",7.5,IF(H908="EIF",5.4)))))))</f>
        <v/>
      </c>
      <c r="M908" s="30" t="str">
        <f t="shared" si="93"/>
        <v/>
      </c>
      <c r="N908" s="134"/>
      <c r="O908" s="29"/>
      <c r="P908" s="37" t="str">
        <f t="shared" si="94"/>
        <v/>
      </c>
      <c r="Q908" s="38" t="str">
        <f t="shared" si="95"/>
        <v/>
      </c>
      <c r="R908" s="37" t="str">
        <f t="shared" si="96"/>
        <v/>
      </c>
      <c r="S908" s="37" t="str">
        <f t="shared" si="97"/>
        <v/>
      </c>
      <c r="T908" s="38" t="str">
        <f t="shared" si="98"/>
        <v/>
      </c>
      <c r="U908" s="37" t="str">
        <f t="shared" si="99"/>
        <v/>
      </c>
    </row>
    <row r="909" spans="2:21" ht="17.25">
      <c r="B909" s="156"/>
      <c r="C909" s="156"/>
      <c r="D909" s="157"/>
      <c r="E909" s="155"/>
      <c r="F909" s="151"/>
      <c r="G909" s="152"/>
      <c r="H909" s="153"/>
      <c r="I909" s="154"/>
      <c r="J909" s="154"/>
      <c r="K909" s="30" t="str">
        <f>IF(H909="","",IF($C$30="간이법","",FPR(H909,I909,J909)))</f>
        <v/>
      </c>
      <c r="L909" s="30" t="str">
        <f>IF(H909="","",IF($C$30="상세법",FPV(H909,K909),IF(H909="EI",4,IF(H909="EO",5.2,IF(H909="EQ",3.9,IF(H909="ILF",7.5,IF(H909="EIF",5.4)))))))</f>
        <v/>
      </c>
      <c r="M909" s="30" t="str">
        <f t="shared" si="93"/>
        <v/>
      </c>
      <c r="N909" s="134"/>
      <c r="O909" s="29"/>
      <c r="P909" s="37" t="str">
        <f t="shared" si="94"/>
        <v/>
      </c>
      <c r="Q909" s="38" t="str">
        <f t="shared" si="95"/>
        <v/>
      </c>
      <c r="R909" s="37" t="str">
        <f t="shared" si="96"/>
        <v/>
      </c>
      <c r="S909" s="37" t="str">
        <f t="shared" si="97"/>
        <v/>
      </c>
      <c r="T909" s="38" t="str">
        <f t="shared" si="98"/>
        <v/>
      </c>
      <c r="U909" s="37" t="str">
        <f t="shared" si="99"/>
        <v/>
      </c>
    </row>
    <row r="910" spans="2:21" ht="17.25">
      <c r="B910" s="156"/>
      <c r="C910" s="156"/>
      <c r="D910" s="157"/>
      <c r="E910" s="155"/>
      <c r="F910" s="151"/>
      <c r="G910" s="152"/>
      <c r="H910" s="153"/>
      <c r="I910" s="154"/>
      <c r="J910" s="154"/>
      <c r="K910" s="30" t="str">
        <f>IF(H910="","",IF($C$30="간이법","",FPR(H910,I910,J910)))</f>
        <v/>
      </c>
      <c r="L910" s="30" t="str">
        <f>IF(H910="","",IF($C$30="상세법",FPV(H910,K910),IF(H910="EI",4,IF(H910="EO",5.2,IF(H910="EQ",3.9,IF(H910="ILF",7.5,IF(H910="EIF",5.4)))))))</f>
        <v/>
      </c>
      <c r="M910" s="30" t="str">
        <f t="shared" si="93"/>
        <v/>
      </c>
      <c r="N910" s="134"/>
      <c r="O910" s="29"/>
      <c r="P910" s="37" t="str">
        <f t="shared" si="94"/>
        <v/>
      </c>
      <c r="Q910" s="38" t="str">
        <f t="shared" si="95"/>
        <v/>
      </c>
      <c r="R910" s="37" t="str">
        <f t="shared" si="96"/>
        <v/>
      </c>
      <c r="S910" s="37" t="str">
        <f t="shared" si="97"/>
        <v/>
      </c>
      <c r="T910" s="38" t="str">
        <f t="shared" si="98"/>
        <v/>
      </c>
      <c r="U910" s="37" t="str">
        <f t="shared" si="99"/>
        <v/>
      </c>
    </row>
    <row r="911" spans="2:21" ht="17.25">
      <c r="B911" s="156"/>
      <c r="C911" s="156"/>
      <c r="D911" s="157"/>
      <c r="E911" s="155"/>
      <c r="F911" s="151"/>
      <c r="G911" s="152"/>
      <c r="H911" s="153"/>
      <c r="I911" s="154"/>
      <c r="J911" s="154"/>
      <c r="K911" s="30" t="str">
        <f>IF(H911="","",IF($C$30="간이법","",FPR(H911,I911,J911)))</f>
        <v/>
      </c>
      <c r="L911" s="30" t="str">
        <f>IF(H911="","",IF($C$30="상세법",FPV(H911,K911),IF(H911="EI",4,IF(H911="EO",5.2,IF(H911="EQ",3.9,IF(H911="ILF",7.5,IF(H911="EIF",5.4)))))))</f>
        <v/>
      </c>
      <c r="M911" s="30" t="str">
        <f t="shared" si="93"/>
        <v/>
      </c>
      <c r="N911" s="134"/>
      <c r="O911" s="29"/>
      <c r="P911" s="37" t="str">
        <f t="shared" si="94"/>
        <v/>
      </c>
      <c r="Q911" s="38" t="str">
        <f t="shared" si="95"/>
        <v/>
      </c>
      <c r="R911" s="37" t="str">
        <f t="shared" si="96"/>
        <v/>
      </c>
      <c r="S911" s="37" t="str">
        <f t="shared" si="97"/>
        <v/>
      </c>
      <c r="T911" s="38" t="str">
        <f t="shared" si="98"/>
        <v/>
      </c>
      <c r="U911" s="37" t="str">
        <f t="shared" si="99"/>
        <v/>
      </c>
    </row>
    <row r="912" spans="2:21" ht="17.25">
      <c r="B912" s="156"/>
      <c r="C912" s="156"/>
      <c r="D912" s="157"/>
      <c r="E912" s="155"/>
      <c r="F912" s="151"/>
      <c r="G912" s="152"/>
      <c r="H912" s="153"/>
      <c r="I912" s="154"/>
      <c r="J912" s="154"/>
      <c r="K912" s="30" t="str">
        <f>IF(H912="","",IF($C$30="간이법","",FPR(H912,I912,J912)))</f>
        <v/>
      </c>
      <c r="L912" s="30" t="str">
        <f>IF(H912="","",IF($C$30="상세법",FPV(H912,K912),IF(H912="EI",4,IF(H912="EO",5.2,IF(H912="EQ",3.9,IF(H912="ILF",7.5,IF(H912="EIF",5.4)))))))</f>
        <v/>
      </c>
      <c r="M912" s="30" t="str">
        <f t="shared" si="93"/>
        <v/>
      </c>
      <c r="N912" s="134"/>
      <c r="O912" s="29"/>
      <c r="P912" s="37" t="str">
        <f t="shared" si="94"/>
        <v/>
      </c>
      <c r="Q912" s="38" t="str">
        <f t="shared" si="95"/>
        <v/>
      </c>
      <c r="R912" s="37" t="str">
        <f t="shared" si="96"/>
        <v/>
      </c>
      <c r="S912" s="37" t="str">
        <f t="shared" si="97"/>
        <v/>
      </c>
      <c r="T912" s="38" t="str">
        <f t="shared" si="98"/>
        <v/>
      </c>
      <c r="U912" s="37" t="str">
        <f t="shared" si="99"/>
        <v/>
      </c>
    </row>
    <row r="913" spans="2:21" ht="17.25">
      <c r="B913" s="156"/>
      <c r="C913" s="156"/>
      <c r="D913" s="157"/>
      <c r="E913" s="155"/>
      <c r="F913" s="151"/>
      <c r="G913" s="152"/>
      <c r="H913" s="153"/>
      <c r="I913" s="154"/>
      <c r="J913" s="154"/>
      <c r="K913" s="30" t="str">
        <f>IF(H913="","",IF($C$30="간이법","",FPR(H913,I913,J913)))</f>
        <v/>
      </c>
      <c r="L913" s="30" t="str">
        <f>IF(H913="","",IF($C$30="상세법",FPV(H913,K913),IF(H913="EI",4,IF(H913="EO",5.2,IF(H913="EQ",3.9,IF(H913="ILF",7.5,IF(H913="EIF",5.4)))))))</f>
        <v/>
      </c>
      <c r="M913" s="30" t="str">
        <f t="shared" si="93"/>
        <v/>
      </c>
      <c r="N913" s="134"/>
      <c r="O913" s="29"/>
      <c r="P913" s="37" t="str">
        <f t="shared" si="94"/>
        <v/>
      </c>
      <c r="Q913" s="38" t="str">
        <f t="shared" si="95"/>
        <v/>
      </c>
      <c r="R913" s="37" t="str">
        <f t="shared" si="96"/>
        <v/>
      </c>
      <c r="S913" s="37" t="str">
        <f t="shared" si="97"/>
        <v/>
      </c>
      <c r="T913" s="38" t="str">
        <f t="shared" si="98"/>
        <v/>
      </c>
      <c r="U913" s="37" t="str">
        <f t="shared" si="99"/>
        <v/>
      </c>
    </row>
    <row r="914" spans="2:21" ht="17.25">
      <c r="B914" s="156"/>
      <c r="C914" s="156"/>
      <c r="D914" s="157"/>
      <c r="E914" s="155"/>
      <c r="F914" s="151"/>
      <c r="G914" s="152"/>
      <c r="H914" s="153"/>
      <c r="I914" s="154"/>
      <c r="J914" s="154"/>
      <c r="K914" s="30" t="str">
        <f>IF(H914="","",IF($C$30="간이법","",FPR(H914,I914,J914)))</f>
        <v/>
      </c>
      <c r="L914" s="30" t="str">
        <f>IF(H914="","",IF($C$30="상세법",FPV(H914,K914),IF(H914="EI",4,IF(H914="EO",5.2,IF(H914="EQ",3.9,IF(H914="ILF",7.5,IF(H914="EIF",5.4)))))))</f>
        <v/>
      </c>
      <c r="M914" s="30" t="str">
        <f t="shared" si="93"/>
        <v/>
      </c>
      <c r="N914" s="134"/>
      <c r="O914" s="29"/>
      <c r="P914" s="37" t="str">
        <f t="shared" si="94"/>
        <v/>
      </c>
      <c r="Q914" s="38" t="str">
        <f t="shared" si="95"/>
        <v/>
      </c>
      <c r="R914" s="37" t="str">
        <f t="shared" si="96"/>
        <v/>
      </c>
      <c r="S914" s="37" t="str">
        <f t="shared" si="97"/>
        <v/>
      </c>
      <c r="T914" s="38" t="str">
        <f t="shared" si="98"/>
        <v/>
      </c>
      <c r="U914" s="37" t="str">
        <f t="shared" si="99"/>
        <v/>
      </c>
    </row>
    <row r="915" spans="2:21" ht="17.25">
      <c r="B915" s="156"/>
      <c r="C915" s="156"/>
      <c r="D915" s="157"/>
      <c r="E915" s="155"/>
      <c r="F915" s="151"/>
      <c r="G915" s="152"/>
      <c r="H915" s="153"/>
      <c r="I915" s="154"/>
      <c r="J915" s="154"/>
      <c r="K915" s="30" t="str">
        <f>IF(H915="","",IF($C$30="간이법","",FPR(H915,I915,J915)))</f>
        <v/>
      </c>
      <c r="L915" s="30" t="str">
        <f>IF(H915="","",IF($C$30="상세법",FPV(H915,K915),IF(H915="EI",4,IF(H915="EO",5.2,IF(H915="EQ",3.9,IF(H915="ILF",7.5,IF(H915="EIF",5.4)))))))</f>
        <v/>
      </c>
      <c r="M915" s="30" t="str">
        <f t="shared" si="93"/>
        <v/>
      </c>
      <c r="N915" s="134"/>
      <c r="O915" s="29"/>
      <c r="P915" s="37" t="str">
        <f t="shared" si="94"/>
        <v/>
      </c>
      <c r="Q915" s="38" t="str">
        <f t="shared" si="95"/>
        <v/>
      </c>
      <c r="R915" s="37" t="str">
        <f t="shared" si="96"/>
        <v/>
      </c>
      <c r="S915" s="37" t="str">
        <f t="shared" si="97"/>
        <v/>
      </c>
      <c r="T915" s="38" t="str">
        <f t="shared" si="98"/>
        <v/>
      </c>
      <c r="U915" s="37" t="str">
        <f t="shared" si="99"/>
        <v/>
      </c>
    </row>
    <row r="916" spans="2:21" ht="17.25">
      <c r="B916" s="156"/>
      <c r="C916" s="156"/>
      <c r="D916" s="157"/>
      <c r="E916" s="155"/>
      <c r="F916" s="151"/>
      <c r="G916" s="152"/>
      <c r="H916" s="153"/>
      <c r="I916" s="154"/>
      <c r="J916" s="154"/>
      <c r="K916" s="30" t="str">
        <f>IF(H916="","",IF($C$30="간이법","",FPR(H916,I916,J916)))</f>
        <v/>
      </c>
      <c r="L916" s="30" t="str">
        <f>IF(H916="","",IF($C$30="상세법",FPV(H916,K916),IF(H916="EI",4,IF(H916="EO",5.2,IF(H916="EQ",3.9,IF(H916="ILF",7.5,IF(H916="EIF",5.4)))))))</f>
        <v/>
      </c>
      <c r="M916" s="30" t="str">
        <f t="shared" si="93"/>
        <v/>
      </c>
      <c r="N916" s="134"/>
      <c r="O916" s="29"/>
      <c r="P916" s="37" t="str">
        <f t="shared" si="94"/>
        <v/>
      </c>
      <c r="Q916" s="38" t="str">
        <f t="shared" si="95"/>
        <v/>
      </c>
      <c r="R916" s="37" t="str">
        <f t="shared" si="96"/>
        <v/>
      </c>
      <c r="S916" s="37" t="str">
        <f t="shared" si="97"/>
        <v/>
      </c>
      <c r="T916" s="38" t="str">
        <f t="shared" si="98"/>
        <v/>
      </c>
      <c r="U916" s="37" t="str">
        <f t="shared" si="99"/>
        <v/>
      </c>
    </row>
    <row r="917" spans="2:21" ht="17.25">
      <c r="B917" s="156"/>
      <c r="C917" s="156"/>
      <c r="D917" s="157"/>
      <c r="E917" s="155"/>
      <c r="F917" s="151"/>
      <c r="G917" s="152"/>
      <c r="H917" s="153"/>
      <c r="I917" s="154"/>
      <c r="J917" s="154"/>
      <c r="K917" s="30" t="str">
        <f>IF(H917="","",IF($C$30="간이법","",FPR(H917,I917,J917)))</f>
        <v/>
      </c>
      <c r="L917" s="30" t="str">
        <f>IF(H917="","",IF($C$30="상세법",FPV(H917,K917),IF(H917="EI",4,IF(H917="EO",5.2,IF(H917="EQ",3.9,IF(H917="ILF",7.5,IF(H917="EIF",5.4)))))))</f>
        <v/>
      </c>
      <c r="M917" s="30" t="str">
        <f t="shared" si="93"/>
        <v/>
      </c>
      <c r="N917" s="134"/>
      <c r="O917" s="29"/>
      <c r="P917" s="37" t="str">
        <f t="shared" si="94"/>
        <v/>
      </c>
      <c r="Q917" s="38" t="str">
        <f t="shared" si="95"/>
        <v/>
      </c>
      <c r="R917" s="37" t="str">
        <f t="shared" si="96"/>
        <v/>
      </c>
      <c r="S917" s="37" t="str">
        <f t="shared" si="97"/>
        <v/>
      </c>
      <c r="T917" s="38" t="str">
        <f t="shared" si="98"/>
        <v/>
      </c>
      <c r="U917" s="37" t="str">
        <f t="shared" si="99"/>
        <v/>
      </c>
    </row>
    <row r="918" spans="2:21" ht="17.25">
      <c r="B918" s="156"/>
      <c r="C918" s="156"/>
      <c r="D918" s="157"/>
      <c r="E918" s="155"/>
      <c r="F918" s="151"/>
      <c r="G918" s="152"/>
      <c r="H918" s="153"/>
      <c r="I918" s="154"/>
      <c r="J918" s="154"/>
      <c r="K918" s="30" t="str">
        <f>IF(H918="","",IF($C$30="간이법","",FPR(H918,I918,J918)))</f>
        <v/>
      </c>
      <c r="L918" s="30" t="str">
        <f>IF(H918="","",IF($C$30="상세법",FPV(H918,K918),IF(H918="EI",4,IF(H918="EO",5.2,IF(H918="EQ",3.9,IF(H918="ILF",7.5,IF(H918="EIF",5.4)))))))</f>
        <v/>
      </c>
      <c r="M918" s="30" t="str">
        <f t="shared" si="93"/>
        <v/>
      </c>
      <c r="N918" s="134"/>
      <c r="O918" s="29"/>
      <c r="P918" s="37" t="str">
        <f t="shared" si="94"/>
        <v/>
      </c>
      <c r="Q918" s="38" t="str">
        <f t="shared" si="95"/>
        <v/>
      </c>
      <c r="R918" s="37" t="str">
        <f t="shared" si="96"/>
        <v/>
      </c>
      <c r="S918" s="37" t="str">
        <f t="shared" si="97"/>
        <v/>
      </c>
      <c r="T918" s="38" t="str">
        <f t="shared" si="98"/>
        <v/>
      </c>
      <c r="U918" s="37" t="str">
        <f t="shared" si="99"/>
        <v/>
      </c>
    </row>
    <row r="919" spans="2:21" ht="17.25">
      <c r="B919" s="156"/>
      <c r="C919" s="156"/>
      <c r="D919" s="157"/>
      <c r="E919" s="155"/>
      <c r="F919" s="151"/>
      <c r="G919" s="152"/>
      <c r="H919" s="153"/>
      <c r="I919" s="154"/>
      <c r="J919" s="154"/>
      <c r="K919" s="30" t="str">
        <f>IF(H919="","",IF($C$30="간이법","",FPR(H919,I919,J919)))</f>
        <v/>
      </c>
      <c r="L919" s="30" t="str">
        <f>IF(H919="","",IF($C$30="상세법",FPV(H919,K919),IF(H919="EI",4,IF(H919="EO",5.2,IF(H919="EQ",3.9,IF(H919="ILF",7.5,IF(H919="EIF",5.4)))))))</f>
        <v/>
      </c>
      <c r="M919" s="30" t="str">
        <f t="shared" si="93"/>
        <v/>
      </c>
      <c r="N919" s="134"/>
      <c r="O919" s="29"/>
      <c r="P919" s="37" t="str">
        <f t="shared" si="94"/>
        <v/>
      </c>
      <c r="Q919" s="38" t="str">
        <f t="shared" si="95"/>
        <v/>
      </c>
      <c r="R919" s="37" t="str">
        <f t="shared" si="96"/>
        <v/>
      </c>
      <c r="S919" s="37" t="str">
        <f t="shared" si="97"/>
        <v/>
      </c>
      <c r="T919" s="38" t="str">
        <f t="shared" si="98"/>
        <v/>
      </c>
      <c r="U919" s="37" t="str">
        <f t="shared" si="99"/>
        <v/>
      </c>
    </row>
    <row r="920" spans="2:21" ht="17.25">
      <c r="B920" s="156"/>
      <c r="C920" s="156"/>
      <c r="D920" s="157"/>
      <c r="E920" s="155"/>
      <c r="F920" s="151"/>
      <c r="G920" s="152"/>
      <c r="H920" s="153"/>
      <c r="I920" s="154"/>
      <c r="J920" s="154"/>
      <c r="K920" s="30" t="str">
        <f>IF(H920="","",IF($C$30="간이법","",FPR(H920,I920,J920)))</f>
        <v/>
      </c>
      <c r="L920" s="30" t="str">
        <f>IF(H920="","",IF($C$30="상세법",FPV(H920,K920),IF(H920="EI",4,IF(H920="EO",5.2,IF(H920="EQ",3.9,IF(H920="ILF",7.5,IF(H920="EIF",5.4)))))))</f>
        <v/>
      </c>
      <c r="M920" s="30" t="str">
        <f t="shared" si="93"/>
        <v/>
      </c>
      <c r="N920" s="134"/>
      <c r="O920" s="29"/>
      <c r="P920" s="37" t="str">
        <f t="shared" si="94"/>
        <v/>
      </c>
      <c r="Q920" s="38" t="str">
        <f t="shared" si="95"/>
        <v/>
      </c>
      <c r="R920" s="37" t="str">
        <f t="shared" si="96"/>
        <v/>
      </c>
      <c r="S920" s="37" t="str">
        <f t="shared" si="97"/>
        <v/>
      </c>
      <c r="T920" s="38" t="str">
        <f t="shared" si="98"/>
        <v/>
      </c>
      <c r="U920" s="37" t="str">
        <f t="shared" si="99"/>
        <v/>
      </c>
    </row>
    <row r="921" spans="2:21" ht="17.25">
      <c r="B921" s="156"/>
      <c r="C921" s="156"/>
      <c r="D921" s="157"/>
      <c r="E921" s="155"/>
      <c r="F921" s="151"/>
      <c r="G921" s="152"/>
      <c r="H921" s="153"/>
      <c r="I921" s="154"/>
      <c r="J921" s="154"/>
      <c r="K921" s="30" t="str">
        <f>IF(H921="","",IF($C$30="간이법","",FPR(H921,I921,J921)))</f>
        <v/>
      </c>
      <c r="L921" s="30" t="str">
        <f>IF(H921="","",IF($C$30="상세법",FPV(H921,K921),IF(H921="EI",4,IF(H921="EO",5.2,IF(H921="EQ",3.9,IF(H921="ILF",7.5,IF(H921="EIF",5.4)))))))</f>
        <v/>
      </c>
      <c r="M921" s="30" t="str">
        <f t="shared" si="93"/>
        <v/>
      </c>
      <c r="N921" s="134"/>
      <c r="O921" s="29"/>
      <c r="P921" s="37" t="str">
        <f t="shared" si="94"/>
        <v/>
      </c>
      <c r="Q921" s="38" t="str">
        <f t="shared" si="95"/>
        <v/>
      </c>
      <c r="R921" s="37" t="str">
        <f t="shared" si="96"/>
        <v/>
      </c>
      <c r="S921" s="37" t="str">
        <f t="shared" si="97"/>
        <v/>
      </c>
      <c r="T921" s="38" t="str">
        <f t="shared" si="98"/>
        <v/>
      </c>
      <c r="U921" s="37" t="str">
        <f t="shared" si="99"/>
        <v/>
      </c>
    </row>
    <row r="922" spans="2:21" ht="17.25">
      <c r="B922" s="156"/>
      <c r="C922" s="156"/>
      <c r="D922" s="157"/>
      <c r="E922" s="155"/>
      <c r="F922" s="151"/>
      <c r="G922" s="152"/>
      <c r="H922" s="153"/>
      <c r="I922" s="154"/>
      <c r="J922" s="154"/>
      <c r="K922" s="30" t="str">
        <f>IF(H922="","",IF($C$30="간이법","",FPR(H922,I922,J922)))</f>
        <v/>
      </c>
      <c r="L922" s="30" t="str">
        <f>IF(H922="","",IF($C$30="상세법",FPV(H922,K922),IF(H922="EI",4,IF(H922="EO",5.2,IF(H922="EQ",3.9,IF(H922="ILF",7.5,IF(H922="EIF",5.4)))))))</f>
        <v/>
      </c>
      <c r="M922" s="30" t="str">
        <f t="shared" si="93"/>
        <v/>
      </c>
      <c r="N922" s="134"/>
      <c r="O922" s="29"/>
      <c r="P922" s="37" t="str">
        <f t="shared" si="94"/>
        <v/>
      </c>
      <c r="Q922" s="38" t="str">
        <f t="shared" si="95"/>
        <v/>
      </c>
      <c r="R922" s="37" t="str">
        <f t="shared" si="96"/>
        <v/>
      </c>
      <c r="S922" s="37" t="str">
        <f t="shared" si="97"/>
        <v/>
      </c>
      <c r="T922" s="38" t="str">
        <f t="shared" si="98"/>
        <v/>
      </c>
      <c r="U922" s="37" t="str">
        <f t="shared" si="99"/>
        <v/>
      </c>
    </row>
    <row r="923" spans="2:21" ht="17.25">
      <c r="B923" s="156"/>
      <c r="C923" s="156"/>
      <c r="D923" s="157"/>
      <c r="E923" s="155"/>
      <c r="F923" s="151"/>
      <c r="G923" s="152"/>
      <c r="H923" s="153"/>
      <c r="I923" s="154"/>
      <c r="J923" s="154"/>
      <c r="K923" s="30" t="str">
        <f>IF(H923="","",IF($C$30="간이법","",FPR(H923,I923,J923)))</f>
        <v/>
      </c>
      <c r="L923" s="30" t="str">
        <f>IF(H923="","",IF($C$30="상세법",FPV(H923,K923),IF(H923="EI",4,IF(H923="EO",5.2,IF(H923="EQ",3.9,IF(H923="ILF",7.5,IF(H923="EIF",5.4)))))))</f>
        <v/>
      </c>
      <c r="M923" s="30" t="str">
        <f t="shared" si="93"/>
        <v/>
      </c>
      <c r="N923" s="134"/>
      <c r="O923" s="29"/>
      <c r="P923" s="37" t="str">
        <f t="shared" si="94"/>
        <v/>
      </c>
      <c r="Q923" s="38" t="str">
        <f t="shared" si="95"/>
        <v/>
      </c>
      <c r="R923" s="37" t="str">
        <f t="shared" si="96"/>
        <v/>
      </c>
      <c r="S923" s="37" t="str">
        <f t="shared" si="97"/>
        <v/>
      </c>
      <c r="T923" s="38" t="str">
        <f t="shared" si="98"/>
        <v/>
      </c>
      <c r="U923" s="37" t="str">
        <f t="shared" si="99"/>
        <v/>
      </c>
    </row>
    <row r="924" spans="2:21" ht="17.25">
      <c r="B924" s="156"/>
      <c r="C924" s="156"/>
      <c r="D924" s="157"/>
      <c r="E924" s="155"/>
      <c r="F924" s="151"/>
      <c r="G924" s="152"/>
      <c r="H924" s="153"/>
      <c r="I924" s="154"/>
      <c r="J924" s="154"/>
      <c r="K924" s="30" t="str">
        <f>IF(H924="","",IF($C$30="간이법","",FPR(H924,I924,J924)))</f>
        <v/>
      </c>
      <c r="L924" s="30" t="str">
        <f>IF(H924="","",IF($C$30="상세법",FPV(H924,K924),IF(H924="EI",4,IF(H924="EO",5.2,IF(H924="EQ",3.9,IF(H924="ILF",7.5,IF(H924="EIF",5.4)))))))</f>
        <v/>
      </c>
      <c r="M924" s="30" t="str">
        <f t="shared" si="93"/>
        <v/>
      </c>
      <c r="N924" s="134"/>
      <c r="O924" s="29"/>
      <c r="P924" s="37" t="str">
        <f t="shared" si="94"/>
        <v/>
      </c>
      <c r="Q924" s="38" t="str">
        <f t="shared" si="95"/>
        <v/>
      </c>
      <c r="R924" s="37" t="str">
        <f t="shared" si="96"/>
        <v/>
      </c>
      <c r="S924" s="37" t="str">
        <f t="shared" si="97"/>
        <v/>
      </c>
      <c r="T924" s="38" t="str">
        <f t="shared" si="98"/>
        <v/>
      </c>
      <c r="U924" s="37" t="str">
        <f t="shared" si="99"/>
        <v/>
      </c>
    </row>
    <row r="925" spans="2:21" ht="17.25">
      <c r="B925" s="156"/>
      <c r="C925" s="156"/>
      <c r="D925" s="157"/>
      <c r="E925" s="155"/>
      <c r="F925" s="151"/>
      <c r="G925" s="152"/>
      <c r="H925" s="153"/>
      <c r="I925" s="154"/>
      <c r="J925" s="154"/>
      <c r="K925" s="30" t="str">
        <f>IF(H925="","",IF($C$30="간이법","",FPR(H925,I925,J925)))</f>
        <v/>
      </c>
      <c r="L925" s="30" t="str">
        <f>IF(H925="","",IF($C$30="상세법",FPV(H925,K925),IF(H925="EI",4,IF(H925="EO",5.2,IF(H925="EQ",3.9,IF(H925="ILF",7.5,IF(H925="EIF",5.4)))))))</f>
        <v/>
      </c>
      <c r="M925" s="30" t="str">
        <f t="shared" si="93"/>
        <v/>
      </c>
      <c r="N925" s="134"/>
      <c r="O925" s="29"/>
      <c r="P925" s="37" t="str">
        <f t="shared" si="94"/>
        <v/>
      </c>
      <c r="Q925" s="38" t="str">
        <f t="shared" si="95"/>
        <v/>
      </c>
      <c r="R925" s="37" t="str">
        <f t="shared" si="96"/>
        <v/>
      </c>
      <c r="S925" s="37" t="str">
        <f t="shared" si="97"/>
        <v/>
      </c>
      <c r="T925" s="38" t="str">
        <f t="shared" si="98"/>
        <v/>
      </c>
      <c r="U925" s="37" t="str">
        <f t="shared" si="99"/>
        <v/>
      </c>
    </row>
    <row r="926" spans="2:21" ht="17.25">
      <c r="B926" s="156"/>
      <c r="C926" s="156"/>
      <c r="D926" s="157"/>
      <c r="E926" s="155"/>
      <c r="F926" s="151"/>
      <c r="G926" s="152"/>
      <c r="H926" s="153"/>
      <c r="I926" s="154"/>
      <c r="J926" s="154"/>
      <c r="K926" s="30" t="str">
        <f>IF(H926="","",IF($C$30="간이법","",FPR(H926,I926,J926)))</f>
        <v/>
      </c>
      <c r="L926" s="30" t="str">
        <f>IF(H926="","",IF($C$30="상세법",FPV(H926,K926),IF(H926="EI",4,IF(H926="EO",5.2,IF(H926="EQ",3.9,IF(H926="ILF",7.5,IF(H926="EIF",5.4)))))))</f>
        <v/>
      </c>
      <c r="M926" s="30" t="str">
        <f t="shared" si="93"/>
        <v/>
      </c>
      <c r="N926" s="134"/>
      <c r="O926" s="29"/>
      <c r="P926" s="37" t="str">
        <f t="shared" si="94"/>
        <v/>
      </c>
      <c r="Q926" s="38" t="str">
        <f t="shared" si="95"/>
        <v/>
      </c>
      <c r="R926" s="37" t="str">
        <f t="shared" si="96"/>
        <v/>
      </c>
      <c r="S926" s="37" t="str">
        <f t="shared" si="97"/>
        <v/>
      </c>
      <c r="T926" s="38" t="str">
        <f t="shared" si="98"/>
        <v/>
      </c>
      <c r="U926" s="37" t="str">
        <f t="shared" si="99"/>
        <v/>
      </c>
    </row>
    <row r="927" spans="2:21" ht="17.25">
      <c r="B927" s="156"/>
      <c r="C927" s="156"/>
      <c r="D927" s="157"/>
      <c r="E927" s="155"/>
      <c r="F927" s="151"/>
      <c r="G927" s="152"/>
      <c r="H927" s="153"/>
      <c r="I927" s="154"/>
      <c r="J927" s="154"/>
      <c r="K927" s="30" t="str">
        <f>IF(H927="","",IF($C$30="간이법","",FPR(H927,I927,J927)))</f>
        <v/>
      </c>
      <c r="L927" s="30" t="str">
        <f>IF(H927="","",IF($C$30="상세법",FPV(H927,K927),IF(H927="EI",4,IF(H927="EO",5.2,IF(H927="EQ",3.9,IF(H927="ILF",7.5,IF(H927="EIF",5.4)))))))</f>
        <v/>
      </c>
      <c r="M927" s="30" t="str">
        <f t="shared" si="93"/>
        <v/>
      </c>
      <c r="N927" s="134"/>
      <c r="O927" s="29"/>
      <c r="P927" s="37" t="str">
        <f t="shared" si="94"/>
        <v/>
      </c>
      <c r="Q927" s="38" t="str">
        <f t="shared" si="95"/>
        <v/>
      </c>
      <c r="R927" s="37" t="str">
        <f t="shared" si="96"/>
        <v/>
      </c>
      <c r="S927" s="37" t="str">
        <f t="shared" si="97"/>
        <v/>
      </c>
      <c r="T927" s="38" t="str">
        <f t="shared" si="98"/>
        <v/>
      </c>
      <c r="U927" s="37" t="str">
        <f t="shared" si="99"/>
        <v/>
      </c>
    </row>
    <row r="928" spans="2:21" ht="17.25">
      <c r="B928" s="156"/>
      <c r="C928" s="156"/>
      <c r="D928" s="157"/>
      <c r="E928" s="155"/>
      <c r="F928" s="151"/>
      <c r="G928" s="152"/>
      <c r="H928" s="153"/>
      <c r="I928" s="154"/>
      <c r="J928" s="154"/>
      <c r="K928" s="30" t="str">
        <f>IF(H928="","",IF($C$30="간이법","",FPR(H928,I928,J928)))</f>
        <v/>
      </c>
      <c r="L928" s="30" t="str">
        <f>IF(H928="","",IF($C$30="상세법",FPV(H928,K928),IF(H928="EI",4,IF(H928="EO",5.2,IF(H928="EQ",3.9,IF(H928="ILF",7.5,IF(H928="EIF",5.4)))))))</f>
        <v/>
      </c>
      <c r="M928" s="30" t="str">
        <f t="shared" si="93"/>
        <v/>
      </c>
      <c r="N928" s="134"/>
      <c r="O928" s="29"/>
      <c r="P928" s="37" t="str">
        <f t="shared" si="94"/>
        <v/>
      </c>
      <c r="Q928" s="38" t="str">
        <f t="shared" si="95"/>
        <v/>
      </c>
      <c r="R928" s="37" t="str">
        <f t="shared" si="96"/>
        <v/>
      </c>
      <c r="S928" s="37" t="str">
        <f t="shared" si="97"/>
        <v/>
      </c>
      <c r="T928" s="38" t="str">
        <f t="shared" si="98"/>
        <v/>
      </c>
      <c r="U928" s="37" t="str">
        <f t="shared" si="99"/>
        <v/>
      </c>
    </row>
    <row r="929" spans="2:21" ht="17.25">
      <c r="B929" s="156"/>
      <c r="C929" s="156"/>
      <c r="D929" s="157"/>
      <c r="E929" s="155"/>
      <c r="F929" s="151"/>
      <c r="G929" s="152"/>
      <c r="H929" s="153"/>
      <c r="I929" s="154"/>
      <c r="J929" s="154"/>
      <c r="K929" s="30" t="str">
        <f>IF(H929="","",IF($C$30="간이법","",FPR(H929,I929,J929)))</f>
        <v/>
      </c>
      <c r="L929" s="30" t="str">
        <f>IF(H929="","",IF($C$30="상세법",FPV(H929,K929),IF(H929="EI",4,IF(H929="EO",5.2,IF(H929="EQ",3.9,IF(H929="ILF",7.5,IF(H929="EIF",5.4)))))))</f>
        <v/>
      </c>
      <c r="M929" s="30" t="str">
        <f t="shared" si="93"/>
        <v/>
      </c>
      <c r="N929" s="134"/>
      <c r="O929" s="29"/>
      <c r="P929" s="37" t="str">
        <f t="shared" si="94"/>
        <v/>
      </c>
      <c r="Q929" s="38" t="str">
        <f t="shared" si="95"/>
        <v/>
      </c>
      <c r="R929" s="37" t="str">
        <f t="shared" si="96"/>
        <v/>
      </c>
      <c r="S929" s="37" t="str">
        <f t="shared" si="97"/>
        <v/>
      </c>
      <c r="T929" s="38" t="str">
        <f t="shared" si="98"/>
        <v/>
      </c>
      <c r="U929" s="37" t="str">
        <f t="shared" si="99"/>
        <v/>
      </c>
    </row>
    <row r="930" spans="2:21" ht="17.25">
      <c r="B930" s="156"/>
      <c r="C930" s="156"/>
      <c r="D930" s="157"/>
      <c r="E930" s="155"/>
      <c r="F930" s="151"/>
      <c r="G930" s="152"/>
      <c r="H930" s="153"/>
      <c r="I930" s="154"/>
      <c r="J930" s="154"/>
      <c r="K930" s="30" t="str">
        <f>IF(H930="","",IF($C$30="간이법","",FPR(H930,I930,J930)))</f>
        <v/>
      </c>
      <c r="L930" s="30" t="str">
        <f>IF(H930="","",IF($C$30="상세법",FPV(H930,K930),IF(H930="EI",4,IF(H930="EO",5.2,IF(H930="EQ",3.9,IF(H930="ILF",7.5,IF(H930="EIF",5.4)))))))</f>
        <v/>
      </c>
      <c r="M930" s="30" t="str">
        <f t="shared" si="93"/>
        <v/>
      </c>
      <c r="N930" s="134"/>
      <c r="O930" s="29"/>
      <c r="P930" s="37" t="str">
        <f t="shared" si="94"/>
        <v/>
      </c>
      <c r="Q930" s="38" t="str">
        <f t="shared" si="95"/>
        <v/>
      </c>
      <c r="R930" s="37" t="str">
        <f t="shared" si="96"/>
        <v/>
      </c>
      <c r="S930" s="37" t="str">
        <f t="shared" si="97"/>
        <v/>
      </c>
      <c r="T930" s="38" t="str">
        <f t="shared" si="98"/>
        <v/>
      </c>
      <c r="U930" s="37" t="str">
        <f t="shared" si="99"/>
        <v/>
      </c>
    </row>
    <row r="931" spans="2:21" ht="17.25">
      <c r="B931" s="156"/>
      <c r="C931" s="156"/>
      <c r="D931" s="157"/>
      <c r="E931" s="155"/>
      <c r="F931" s="151"/>
      <c r="G931" s="152"/>
      <c r="H931" s="153"/>
      <c r="I931" s="154"/>
      <c r="J931" s="154"/>
      <c r="K931" s="30" t="str">
        <f>IF(H931="","",IF($C$30="간이법","",FPR(H931,I931,J931)))</f>
        <v/>
      </c>
      <c r="L931" s="30" t="str">
        <f>IF(H931="","",IF($C$30="상세법",FPV(H931,K931),IF(H931="EI",4,IF(H931="EO",5.2,IF(H931="EQ",3.9,IF(H931="ILF",7.5,IF(H931="EIF",5.4)))))))</f>
        <v/>
      </c>
      <c r="M931" s="30" t="str">
        <f t="shared" si="93"/>
        <v/>
      </c>
      <c r="N931" s="134"/>
      <c r="O931" s="29"/>
      <c r="P931" s="37" t="str">
        <f t="shared" si="94"/>
        <v/>
      </c>
      <c r="Q931" s="38" t="str">
        <f t="shared" si="95"/>
        <v/>
      </c>
      <c r="R931" s="37" t="str">
        <f t="shared" si="96"/>
        <v/>
      </c>
      <c r="S931" s="37" t="str">
        <f t="shared" si="97"/>
        <v/>
      </c>
      <c r="T931" s="38" t="str">
        <f t="shared" si="98"/>
        <v/>
      </c>
      <c r="U931" s="37" t="str">
        <f t="shared" si="99"/>
        <v/>
      </c>
    </row>
    <row r="932" spans="2:21" ht="17.25">
      <c r="B932" s="156"/>
      <c r="C932" s="156"/>
      <c r="D932" s="157"/>
      <c r="E932" s="155"/>
      <c r="F932" s="151"/>
      <c r="G932" s="152"/>
      <c r="H932" s="153"/>
      <c r="I932" s="154"/>
      <c r="J932" s="154"/>
      <c r="K932" s="30" t="str">
        <f>IF(H932="","",IF($C$30="간이법","",FPR(H932,I932,J932)))</f>
        <v/>
      </c>
      <c r="L932" s="30" t="str">
        <f>IF(H932="","",IF($C$30="상세법",FPV(H932,K932),IF(H932="EI",4,IF(H932="EO",5.2,IF(H932="EQ",3.9,IF(H932="ILF",7.5,IF(H932="EIF",5.4)))))))</f>
        <v/>
      </c>
      <c r="M932" s="30" t="str">
        <f t="shared" si="93"/>
        <v/>
      </c>
      <c r="N932" s="134"/>
      <c r="O932" s="29"/>
      <c r="P932" s="37" t="str">
        <f t="shared" si="94"/>
        <v/>
      </c>
      <c r="Q932" s="38" t="str">
        <f t="shared" si="95"/>
        <v/>
      </c>
      <c r="R932" s="37" t="str">
        <f t="shared" si="96"/>
        <v/>
      </c>
      <c r="S932" s="37" t="str">
        <f t="shared" si="97"/>
        <v/>
      </c>
      <c r="T932" s="38" t="str">
        <f t="shared" si="98"/>
        <v/>
      </c>
      <c r="U932" s="37" t="str">
        <f t="shared" si="99"/>
        <v/>
      </c>
    </row>
    <row r="933" spans="2:21" ht="17.25">
      <c r="B933" s="156"/>
      <c r="C933" s="156"/>
      <c r="D933" s="157"/>
      <c r="E933" s="155"/>
      <c r="F933" s="151"/>
      <c r="G933" s="152"/>
      <c r="H933" s="153"/>
      <c r="I933" s="154"/>
      <c r="J933" s="154"/>
      <c r="K933" s="30" t="str">
        <f>IF(H933="","",IF($C$30="간이법","",FPR(H933,I933,J933)))</f>
        <v/>
      </c>
      <c r="L933" s="30" t="str">
        <f>IF(H933="","",IF($C$30="상세법",FPV(H933,K933),IF(H933="EI",4,IF(H933="EO",5.2,IF(H933="EQ",3.9,IF(H933="ILF",7.5,IF(H933="EIF",5.4)))))))</f>
        <v/>
      </c>
      <c r="M933" s="30" t="str">
        <f t="shared" si="93"/>
        <v/>
      </c>
      <c r="N933" s="134"/>
      <c r="O933" s="29"/>
      <c r="P933" s="37" t="str">
        <f t="shared" si="94"/>
        <v/>
      </c>
      <c r="Q933" s="38" t="str">
        <f t="shared" si="95"/>
        <v/>
      </c>
      <c r="R933" s="37" t="str">
        <f t="shared" si="96"/>
        <v/>
      </c>
      <c r="S933" s="37" t="str">
        <f t="shared" si="97"/>
        <v/>
      </c>
      <c r="T933" s="38" t="str">
        <f t="shared" si="98"/>
        <v/>
      </c>
      <c r="U933" s="37" t="str">
        <f t="shared" si="99"/>
        <v/>
      </c>
    </row>
    <row r="934" spans="2:21" ht="17.25">
      <c r="B934" s="156"/>
      <c r="C934" s="156"/>
      <c r="D934" s="157"/>
      <c r="E934" s="155"/>
      <c r="F934" s="151"/>
      <c r="G934" s="152"/>
      <c r="H934" s="153"/>
      <c r="I934" s="154"/>
      <c r="J934" s="154"/>
      <c r="K934" s="30" t="str">
        <f>IF(H934="","",IF($C$30="간이법","",FPR(H934,I934,J934)))</f>
        <v/>
      </c>
      <c r="L934" s="30" t="str">
        <f>IF(H934="","",IF($C$30="상세법",FPV(H934,K934),IF(H934="EI",4,IF(H934="EO",5.2,IF(H934="EQ",3.9,IF(H934="ILF",7.5,IF(H934="EIF",5.4)))))))</f>
        <v/>
      </c>
      <c r="M934" s="30" t="str">
        <f t="shared" si="93"/>
        <v/>
      </c>
      <c r="N934" s="134"/>
      <c r="O934" s="29"/>
      <c r="P934" s="37" t="str">
        <f t="shared" si="94"/>
        <v/>
      </c>
      <c r="Q934" s="38" t="str">
        <f t="shared" si="95"/>
        <v/>
      </c>
      <c r="R934" s="37" t="str">
        <f t="shared" si="96"/>
        <v/>
      </c>
      <c r="S934" s="37" t="str">
        <f t="shared" si="97"/>
        <v/>
      </c>
      <c r="T934" s="38" t="str">
        <f t="shared" si="98"/>
        <v/>
      </c>
      <c r="U934" s="37" t="str">
        <f t="shared" si="99"/>
        <v/>
      </c>
    </row>
    <row r="935" spans="2:21" ht="17.25">
      <c r="B935" s="156"/>
      <c r="C935" s="156"/>
      <c r="D935" s="157"/>
      <c r="E935" s="155"/>
      <c r="F935" s="151"/>
      <c r="G935" s="152"/>
      <c r="H935" s="153"/>
      <c r="I935" s="154"/>
      <c r="J935" s="154"/>
      <c r="K935" s="30" t="str">
        <f>IF(H935="","",IF($C$30="간이법","",FPR(H935,I935,J935)))</f>
        <v/>
      </c>
      <c r="L935" s="30" t="str">
        <f>IF(H935="","",IF($C$30="상세법",FPV(H935,K935),IF(H935="EI",4,IF(H935="EO",5.2,IF(H935="EQ",3.9,IF(H935="ILF",7.5,IF(H935="EIF",5.4)))))))</f>
        <v/>
      </c>
      <c r="M935" s="30" t="str">
        <f t="shared" si="93"/>
        <v/>
      </c>
      <c r="N935" s="134"/>
      <c r="O935" s="29"/>
      <c r="P935" s="37" t="str">
        <f t="shared" si="94"/>
        <v/>
      </c>
      <c r="Q935" s="38" t="str">
        <f t="shared" si="95"/>
        <v/>
      </c>
      <c r="R935" s="37" t="str">
        <f t="shared" si="96"/>
        <v/>
      </c>
      <c r="S935" s="37" t="str">
        <f t="shared" si="97"/>
        <v/>
      </c>
      <c r="T935" s="38" t="str">
        <f t="shared" si="98"/>
        <v/>
      </c>
      <c r="U935" s="37" t="str">
        <f t="shared" si="99"/>
        <v/>
      </c>
    </row>
    <row r="936" spans="2:21" ht="17.25">
      <c r="B936" s="156"/>
      <c r="C936" s="156"/>
      <c r="D936" s="157"/>
      <c r="E936" s="155"/>
      <c r="F936" s="151"/>
      <c r="G936" s="152"/>
      <c r="H936" s="153"/>
      <c r="I936" s="154"/>
      <c r="J936" s="154"/>
      <c r="K936" s="30" t="str">
        <f>IF(H936="","",IF($C$30="간이법","",FPR(H936,I936,J936)))</f>
        <v/>
      </c>
      <c r="L936" s="30" t="str">
        <f>IF(H936="","",IF($C$30="상세법",FPV(H936,K936),IF(H936="EI",4,IF(H936="EO",5.2,IF(H936="EQ",3.9,IF(H936="ILF",7.5,IF(H936="EIF",5.4)))))))</f>
        <v/>
      </c>
      <c r="M936" s="30" t="str">
        <f t="shared" si="93"/>
        <v/>
      </c>
      <c r="N936" s="134"/>
      <c r="O936" s="29"/>
      <c r="P936" s="37" t="str">
        <f t="shared" si="94"/>
        <v/>
      </c>
      <c r="Q936" s="38" t="str">
        <f t="shared" si="95"/>
        <v/>
      </c>
      <c r="R936" s="37" t="str">
        <f t="shared" si="96"/>
        <v/>
      </c>
      <c r="S936" s="37" t="str">
        <f t="shared" si="97"/>
        <v/>
      </c>
      <c r="T936" s="38" t="str">
        <f t="shared" si="98"/>
        <v/>
      </c>
      <c r="U936" s="37" t="str">
        <f t="shared" si="99"/>
        <v/>
      </c>
    </row>
    <row r="937" spans="2:21" ht="17.25">
      <c r="B937" s="156"/>
      <c r="C937" s="156"/>
      <c r="D937" s="157"/>
      <c r="E937" s="155"/>
      <c r="F937" s="151"/>
      <c r="G937" s="152"/>
      <c r="H937" s="153"/>
      <c r="I937" s="154"/>
      <c r="J937" s="154"/>
      <c r="K937" s="30" t="str">
        <f>IF(H937="","",IF($C$30="간이법","",FPR(H937,I937,J937)))</f>
        <v/>
      </c>
      <c r="L937" s="30" t="str">
        <f>IF(H937="","",IF($C$30="상세법",FPV(H937,K937),IF(H937="EI",4,IF(H937="EO",5.2,IF(H937="EQ",3.9,IF(H937="ILF",7.5,IF(H937="EIF",5.4)))))))</f>
        <v/>
      </c>
      <c r="M937" s="30" t="str">
        <f t="shared" si="93"/>
        <v/>
      </c>
      <c r="N937" s="134"/>
      <c r="O937" s="29"/>
      <c r="P937" s="37" t="str">
        <f t="shared" si="94"/>
        <v/>
      </c>
      <c r="Q937" s="38" t="str">
        <f t="shared" si="95"/>
        <v/>
      </c>
      <c r="R937" s="37" t="str">
        <f t="shared" si="96"/>
        <v/>
      </c>
      <c r="S937" s="37" t="str">
        <f t="shared" si="97"/>
        <v/>
      </c>
      <c r="T937" s="38" t="str">
        <f t="shared" si="98"/>
        <v/>
      </c>
      <c r="U937" s="37" t="str">
        <f t="shared" si="99"/>
        <v/>
      </c>
    </row>
    <row r="938" spans="2:21" ht="17.25">
      <c r="B938" s="156"/>
      <c r="C938" s="156"/>
      <c r="D938" s="157"/>
      <c r="E938" s="155"/>
      <c r="F938" s="151"/>
      <c r="G938" s="152"/>
      <c r="H938" s="153"/>
      <c r="I938" s="154"/>
      <c r="J938" s="154"/>
      <c r="K938" s="30" t="str">
        <f>IF(H938="","",IF($C$30="간이법","",FPR(H938,I938,J938)))</f>
        <v/>
      </c>
      <c r="L938" s="30" t="str">
        <f>IF(H938="","",IF($C$30="상세법",FPV(H938,K938),IF(H938="EI",4,IF(H938="EO",5.2,IF(H938="EQ",3.9,IF(H938="ILF",7.5,IF(H938="EIF",5.4)))))))</f>
        <v/>
      </c>
      <c r="M938" s="30" t="str">
        <f t="shared" si="93"/>
        <v/>
      </c>
      <c r="N938" s="134"/>
      <c r="O938" s="29"/>
      <c r="P938" s="37" t="str">
        <f t="shared" si="94"/>
        <v/>
      </c>
      <c r="Q938" s="38" t="str">
        <f t="shared" si="95"/>
        <v/>
      </c>
      <c r="R938" s="37" t="str">
        <f t="shared" si="96"/>
        <v/>
      </c>
      <c r="S938" s="37" t="str">
        <f t="shared" si="97"/>
        <v/>
      </c>
      <c r="T938" s="38" t="str">
        <f t="shared" si="98"/>
        <v/>
      </c>
      <c r="U938" s="37" t="str">
        <f t="shared" si="99"/>
        <v/>
      </c>
    </row>
    <row r="939" spans="2:21" ht="17.25">
      <c r="B939" s="156"/>
      <c r="C939" s="156"/>
      <c r="D939" s="157"/>
      <c r="E939" s="155"/>
      <c r="F939" s="151"/>
      <c r="G939" s="152"/>
      <c r="H939" s="153"/>
      <c r="I939" s="154"/>
      <c r="J939" s="154"/>
      <c r="K939" s="30" t="str">
        <f>IF(H939="","",IF($C$30="간이법","",FPR(H939,I939,J939)))</f>
        <v/>
      </c>
      <c r="L939" s="30" t="str">
        <f>IF(H939="","",IF($C$30="상세법",FPV(H939,K939),IF(H939="EI",4,IF(H939="EO",5.2,IF(H939="EQ",3.9,IF(H939="ILF",7.5,IF(H939="EIF",5.4)))))))</f>
        <v/>
      </c>
      <c r="M939" s="30" t="str">
        <f t="shared" si="93"/>
        <v/>
      </c>
      <c r="N939" s="134"/>
      <c r="O939" s="29"/>
      <c r="P939" s="37" t="str">
        <f t="shared" si="94"/>
        <v/>
      </c>
      <c r="Q939" s="38" t="str">
        <f t="shared" si="95"/>
        <v/>
      </c>
      <c r="R939" s="37" t="str">
        <f t="shared" si="96"/>
        <v/>
      </c>
      <c r="S939" s="37" t="str">
        <f t="shared" si="97"/>
        <v/>
      </c>
      <c r="T939" s="38" t="str">
        <f t="shared" si="98"/>
        <v/>
      </c>
      <c r="U939" s="37" t="str">
        <f t="shared" si="99"/>
        <v/>
      </c>
    </row>
    <row r="940" spans="2:21" ht="17.25">
      <c r="B940" s="156"/>
      <c r="C940" s="156"/>
      <c r="D940" s="157"/>
      <c r="E940" s="155"/>
      <c r="F940" s="151"/>
      <c r="G940" s="152"/>
      <c r="H940" s="153"/>
      <c r="I940" s="154"/>
      <c r="J940" s="154"/>
      <c r="K940" s="30" t="str">
        <f>IF(H940="","",IF($C$30="간이법","",FPR(H940,I940,J940)))</f>
        <v/>
      </c>
      <c r="L940" s="30" t="str">
        <f>IF(H940="","",IF($C$30="상세법",FPV(H940,K940),IF(H940="EI",4,IF(H940="EO",5.2,IF(H940="EQ",3.9,IF(H940="ILF",7.5,IF(H940="EIF",5.4)))))))</f>
        <v/>
      </c>
      <c r="M940" s="30" t="str">
        <f t="shared" si="93"/>
        <v/>
      </c>
      <c r="N940" s="134"/>
      <c r="O940" s="29"/>
      <c r="P940" s="37" t="str">
        <f t="shared" si="94"/>
        <v/>
      </c>
      <c r="Q940" s="38" t="str">
        <f t="shared" si="95"/>
        <v/>
      </c>
      <c r="R940" s="37" t="str">
        <f t="shared" si="96"/>
        <v/>
      </c>
      <c r="S940" s="37" t="str">
        <f t="shared" si="97"/>
        <v/>
      </c>
      <c r="T940" s="38" t="str">
        <f t="shared" si="98"/>
        <v/>
      </c>
      <c r="U940" s="37" t="str">
        <f t="shared" si="99"/>
        <v/>
      </c>
    </row>
    <row r="941" spans="2:21" ht="17.25">
      <c r="B941" s="156"/>
      <c r="C941" s="156"/>
      <c r="D941" s="157"/>
      <c r="E941" s="155"/>
      <c r="F941" s="151"/>
      <c r="G941" s="152"/>
      <c r="H941" s="153"/>
      <c r="I941" s="154"/>
      <c r="J941" s="154"/>
      <c r="K941" s="30" t="str">
        <f>IF(H941="","",IF($C$30="간이법","",FPR(H941,I941,J941)))</f>
        <v/>
      </c>
      <c r="L941" s="30" t="str">
        <f>IF(H941="","",IF($C$30="상세법",FPV(H941,K941),IF(H941="EI",4,IF(H941="EO",5.2,IF(H941="EQ",3.9,IF(H941="ILF",7.5,IF(H941="EIF",5.4)))))))</f>
        <v/>
      </c>
      <c r="M941" s="30" t="str">
        <f t="shared" si="93"/>
        <v/>
      </c>
      <c r="N941" s="134"/>
      <c r="O941" s="29"/>
      <c r="P941" s="37" t="str">
        <f t="shared" si="94"/>
        <v/>
      </c>
      <c r="Q941" s="38" t="str">
        <f t="shared" si="95"/>
        <v/>
      </c>
      <c r="R941" s="37" t="str">
        <f t="shared" si="96"/>
        <v/>
      </c>
      <c r="S941" s="37" t="str">
        <f t="shared" si="97"/>
        <v/>
      </c>
      <c r="T941" s="38" t="str">
        <f t="shared" si="98"/>
        <v/>
      </c>
      <c r="U941" s="37" t="str">
        <f t="shared" si="99"/>
        <v/>
      </c>
    </row>
    <row r="942" spans="2:21" ht="17.25">
      <c r="B942" s="156"/>
      <c r="C942" s="156"/>
      <c r="D942" s="157"/>
      <c r="E942" s="155"/>
      <c r="F942" s="151"/>
      <c r="G942" s="152"/>
      <c r="H942" s="153"/>
      <c r="I942" s="154"/>
      <c r="J942" s="154"/>
      <c r="K942" s="30" t="str">
        <f>IF(H942="","",IF($C$30="간이법","",FPR(H942,I942,J942)))</f>
        <v/>
      </c>
      <c r="L942" s="30" t="str">
        <f>IF(H942="","",IF($C$30="상세법",FPV(H942,K942),IF(H942="EI",4,IF(H942="EO",5.2,IF(H942="EQ",3.9,IF(H942="ILF",7.5,IF(H942="EIF",5.4)))))))</f>
        <v/>
      </c>
      <c r="M942" s="30" t="str">
        <f t="shared" si="93"/>
        <v/>
      </c>
      <c r="N942" s="134"/>
      <c r="O942" s="29"/>
      <c r="P942" s="37" t="str">
        <f t="shared" si="94"/>
        <v/>
      </c>
      <c r="Q942" s="38" t="str">
        <f t="shared" si="95"/>
        <v/>
      </c>
      <c r="R942" s="37" t="str">
        <f t="shared" si="96"/>
        <v/>
      </c>
      <c r="S942" s="37" t="str">
        <f t="shared" si="97"/>
        <v/>
      </c>
      <c r="T942" s="38" t="str">
        <f t="shared" si="98"/>
        <v/>
      </c>
      <c r="U942" s="37" t="str">
        <f t="shared" si="99"/>
        <v/>
      </c>
    </row>
    <row r="943" spans="2:21" ht="17.25">
      <c r="B943" s="156"/>
      <c r="C943" s="156"/>
      <c r="D943" s="157"/>
      <c r="E943" s="155"/>
      <c r="F943" s="151"/>
      <c r="G943" s="152"/>
      <c r="H943" s="153"/>
      <c r="I943" s="154"/>
      <c r="J943" s="154"/>
      <c r="K943" s="30" t="str">
        <f>IF(H943="","",IF($C$30="간이법","",FPR(H943,I943,J943)))</f>
        <v/>
      </c>
      <c r="L943" s="30" t="str">
        <f>IF(H943="","",IF($C$30="상세법",FPV(H943,K943),IF(H943="EI",4,IF(H943="EO",5.2,IF(H943="EQ",3.9,IF(H943="ILF",7.5,IF(H943="EIF",5.4)))))))</f>
        <v/>
      </c>
      <c r="M943" s="30" t="str">
        <f t="shared" si="93"/>
        <v/>
      </c>
      <c r="N943" s="134"/>
      <c r="O943" s="29"/>
      <c r="P943" s="37" t="str">
        <f t="shared" si="94"/>
        <v/>
      </c>
      <c r="Q943" s="38" t="str">
        <f t="shared" si="95"/>
        <v/>
      </c>
      <c r="R943" s="37" t="str">
        <f t="shared" si="96"/>
        <v/>
      </c>
      <c r="S943" s="37" t="str">
        <f t="shared" si="97"/>
        <v/>
      </c>
      <c r="T943" s="38" t="str">
        <f t="shared" si="98"/>
        <v/>
      </c>
      <c r="U943" s="37" t="str">
        <f t="shared" si="99"/>
        <v/>
      </c>
    </row>
    <row r="944" spans="2:21" ht="17.25">
      <c r="B944" s="156"/>
      <c r="C944" s="156"/>
      <c r="D944" s="157"/>
      <c r="E944" s="155"/>
      <c r="F944" s="151"/>
      <c r="G944" s="152"/>
      <c r="H944" s="153"/>
      <c r="I944" s="154"/>
      <c r="J944" s="154"/>
      <c r="K944" s="30" t="str">
        <f>IF(H944="","",IF($C$30="간이법","",FPR(H944,I944,J944)))</f>
        <v/>
      </c>
      <c r="L944" s="30" t="str">
        <f>IF(H944="","",IF($C$30="상세법",FPV(H944,K944),IF(H944="EI",4,IF(H944="EO",5.2,IF(H944="EQ",3.9,IF(H944="ILF",7.5,IF(H944="EIF",5.4)))))))</f>
        <v/>
      </c>
      <c r="M944" s="30" t="str">
        <f t="shared" si="93"/>
        <v/>
      </c>
      <c r="N944" s="134"/>
      <c r="O944" s="29"/>
      <c r="P944" s="37" t="str">
        <f t="shared" si="94"/>
        <v/>
      </c>
      <c r="Q944" s="38" t="str">
        <f t="shared" si="95"/>
        <v/>
      </c>
      <c r="R944" s="37" t="str">
        <f t="shared" si="96"/>
        <v/>
      </c>
      <c r="S944" s="37" t="str">
        <f t="shared" si="97"/>
        <v/>
      </c>
      <c r="T944" s="38" t="str">
        <f t="shared" si="98"/>
        <v/>
      </c>
      <c r="U944" s="37" t="str">
        <f t="shared" si="99"/>
        <v/>
      </c>
    </row>
    <row r="945" spans="2:21" ht="17.25">
      <c r="B945" s="156"/>
      <c r="C945" s="156"/>
      <c r="D945" s="157"/>
      <c r="E945" s="155"/>
      <c r="F945" s="151"/>
      <c r="G945" s="152"/>
      <c r="H945" s="153"/>
      <c r="I945" s="154"/>
      <c r="J945" s="154"/>
      <c r="K945" s="30" t="str">
        <f>IF(H945="","",IF($C$30="간이법","",FPR(H945,I945,J945)))</f>
        <v/>
      </c>
      <c r="L945" s="30" t="str">
        <f>IF(H945="","",IF($C$30="상세법",FPV(H945,K945),IF(H945="EI",4,IF(H945="EO",5.2,IF(H945="EQ",3.9,IF(H945="ILF",7.5,IF(H945="EIF",5.4)))))))</f>
        <v/>
      </c>
      <c r="M945" s="30" t="str">
        <f t="shared" si="93"/>
        <v/>
      </c>
      <c r="N945" s="134"/>
      <c r="O945" s="29"/>
      <c r="P945" s="37" t="str">
        <f t="shared" si="94"/>
        <v/>
      </c>
      <c r="Q945" s="38" t="str">
        <f t="shared" si="95"/>
        <v/>
      </c>
      <c r="R945" s="37" t="str">
        <f t="shared" si="96"/>
        <v/>
      </c>
      <c r="S945" s="37" t="str">
        <f t="shared" si="97"/>
        <v/>
      </c>
      <c r="T945" s="38" t="str">
        <f t="shared" si="98"/>
        <v/>
      </c>
      <c r="U945" s="37" t="str">
        <f t="shared" si="99"/>
        <v/>
      </c>
    </row>
    <row r="946" spans="2:21" ht="17.25">
      <c r="B946" s="156"/>
      <c r="C946" s="156"/>
      <c r="D946" s="157"/>
      <c r="E946" s="155"/>
      <c r="F946" s="151"/>
      <c r="G946" s="152"/>
      <c r="H946" s="153"/>
      <c r="I946" s="154"/>
      <c r="J946" s="154"/>
      <c r="K946" s="30" t="str">
        <f>IF(H946="","",IF($C$30="간이법","",FPR(H946,I946,J946)))</f>
        <v/>
      </c>
      <c r="L946" s="30" t="str">
        <f>IF(H946="","",IF($C$30="상세법",FPV(H946,K946),IF(H946="EI",4,IF(H946="EO",5.2,IF(H946="EQ",3.9,IF(H946="ILF",7.5,IF(H946="EIF",5.4)))))))</f>
        <v/>
      </c>
      <c r="M946" s="30" t="str">
        <f t="shared" si="93"/>
        <v/>
      </c>
      <c r="N946" s="134"/>
      <c r="O946" s="29"/>
      <c r="P946" s="37" t="str">
        <f t="shared" si="94"/>
        <v/>
      </c>
      <c r="Q946" s="38" t="str">
        <f t="shared" si="95"/>
        <v/>
      </c>
      <c r="R946" s="37" t="str">
        <f t="shared" si="96"/>
        <v/>
      </c>
      <c r="S946" s="37" t="str">
        <f t="shared" si="97"/>
        <v/>
      </c>
      <c r="T946" s="38" t="str">
        <f t="shared" si="98"/>
        <v/>
      </c>
      <c r="U946" s="37" t="str">
        <f t="shared" si="99"/>
        <v/>
      </c>
    </row>
    <row r="947" spans="2:21" ht="17.25">
      <c r="B947" s="156"/>
      <c r="C947" s="156"/>
      <c r="D947" s="157"/>
      <c r="E947" s="155"/>
      <c r="F947" s="151"/>
      <c r="G947" s="152"/>
      <c r="H947" s="153"/>
      <c r="I947" s="154"/>
      <c r="J947" s="154"/>
      <c r="K947" s="30" t="str">
        <f>IF(H947="","",IF($C$30="간이법","",FPR(H947,I947,J947)))</f>
        <v/>
      </c>
      <c r="L947" s="30" t="str">
        <f>IF(H947="","",IF($C$30="상세법",FPV(H947,K947),IF(H947="EI",4,IF(H947="EO",5.2,IF(H947="EQ",3.9,IF(H947="ILF",7.5,IF(H947="EIF",5.4)))))))</f>
        <v/>
      </c>
      <c r="M947" s="30" t="str">
        <f t="shared" si="93"/>
        <v/>
      </c>
      <c r="N947" s="134"/>
      <c r="O947" s="29"/>
      <c r="P947" s="37" t="str">
        <f t="shared" si="94"/>
        <v/>
      </c>
      <c r="Q947" s="38" t="str">
        <f t="shared" si="95"/>
        <v/>
      </c>
      <c r="R947" s="37" t="str">
        <f t="shared" si="96"/>
        <v/>
      </c>
      <c r="S947" s="37" t="str">
        <f t="shared" si="97"/>
        <v/>
      </c>
      <c r="T947" s="38" t="str">
        <f t="shared" si="98"/>
        <v/>
      </c>
      <c r="U947" s="37" t="str">
        <f t="shared" si="99"/>
        <v/>
      </c>
    </row>
    <row r="948" spans="2:21" ht="17.25">
      <c r="B948" s="156"/>
      <c r="C948" s="156"/>
      <c r="D948" s="157"/>
      <c r="E948" s="155"/>
      <c r="F948" s="151"/>
      <c r="G948" s="152"/>
      <c r="H948" s="153"/>
      <c r="I948" s="154"/>
      <c r="J948" s="154"/>
      <c r="K948" s="30" t="str">
        <f>IF(H948="","",IF($C$30="간이법","",FPR(H948,I948,J948)))</f>
        <v/>
      </c>
      <c r="L948" s="30" t="str">
        <f>IF(H948="","",IF($C$30="상세법",FPV(H948,K948),IF(H948="EI",4,IF(H948="EO",5.2,IF(H948="EQ",3.9,IF(H948="ILF",7.5,IF(H948="EIF",5.4)))))))</f>
        <v/>
      </c>
      <c r="M948" s="30" t="str">
        <f t="shared" si="93"/>
        <v/>
      </c>
      <c r="N948" s="134"/>
      <c r="O948" s="29"/>
      <c r="P948" s="37" t="str">
        <f t="shared" si="94"/>
        <v/>
      </c>
      <c r="Q948" s="38" t="str">
        <f t="shared" si="95"/>
        <v/>
      </c>
      <c r="R948" s="37" t="str">
        <f t="shared" si="96"/>
        <v/>
      </c>
      <c r="S948" s="37" t="str">
        <f t="shared" si="97"/>
        <v/>
      </c>
      <c r="T948" s="38" t="str">
        <f t="shared" si="98"/>
        <v/>
      </c>
      <c r="U948" s="37" t="str">
        <f t="shared" si="99"/>
        <v/>
      </c>
    </row>
    <row r="949" spans="2:21" ht="17.25">
      <c r="B949" s="156"/>
      <c r="C949" s="156"/>
      <c r="D949" s="157"/>
      <c r="E949" s="155"/>
      <c r="F949" s="151"/>
      <c r="G949" s="152"/>
      <c r="H949" s="153"/>
      <c r="I949" s="154"/>
      <c r="J949" s="154"/>
      <c r="K949" s="30" t="str">
        <f>IF(H949="","",IF($C$30="간이법","",FPR(H949,I949,J949)))</f>
        <v/>
      </c>
      <c r="L949" s="30" t="str">
        <f>IF(H949="","",IF($C$30="상세법",FPV(H949,K949),IF(H949="EI",4,IF(H949="EO",5.2,IF(H949="EQ",3.9,IF(H949="ILF",7.5,IF(H949="EIF",5.4)))))))</f>
        <v/>
      </c>
      <c r="M949" s="30" t="str">
        <f t="shared" si="93"/>
        <v/>
      </c>
      <c r="N949" s="134"/>
      <c r="O949" s="29"/>
      <c r="P949" s="37" t="str">
        <f t="shared" si="94"/>
        <v/>
      </c>
      <c r="Q949" s="38" t="str">
        <f t="shared" si="95"/>
        <v/>
      </c>
      <c r="R949" s="37" t="str">
        <f t="shared" si="96"/>
        <v/>
      </c>
      <c r="S949" s="37" t="str">
        <f t="shared" si="97"/>
        <v/>
      </c>
      <c r="T949" s="38" t="str">
        <f t="shared" si="98"/>
        <v/>
      </c>
      <c r="U949" s="37" t="str">
        <f t="shared" si="99"/>
        <v/>
      </c>
    </row>
    <row r="950" spans="2:21" ht="17.25">
      <c r="B950" s="156"/>
      <c r="C950" s="156"/>
      <c r="D950" s="157"/>
      <c r="E950" s="155"/>
      <c r="F950" s="151"/>
      <c r="G950" s="152"/>
      <c r="H950" s="153"/>
      <c r="I950" s="154"/>
      <c r="J950" s="154"/>
      <c r="K950" s="30" t="str">
        <f>IF(H950="","",IF($C$30="간이법","",FPR(H950,I950,J950)))</f>
        <v/>
      </c>
      <c r="L950" s="30" t="str">
        <f>IF(H950="","",IF($C$30="상세법",FPV(H950,K950),IF(H950="EI",4,IF(H950="EO",5.2,IF(H950="EQ",3.9,IF(H950="ILF",7.5,IF(H950="EIF",5.4)))))))</f>
        <v/>
      </c>
      <c r="M950" s="30" t="str">
        <f t="shared" si="93"/>
        <v/>
      </c>
      <c r="N950" s="134"/>
      <c r="O950" s="29"/>
      <c r="P950" s="37" t="str">
        <f t="shared" si="94"/>
        <v/>
      </c>
      <c r="Q950" s="38" t="str">
        <f t="shared" si="95"/>
        <v/>
      </c>
      <c r="R950" s="37" t="str">
        <f t="shared" si="96"/>
        <v/>
      </c>
      <c r="S950" s="37" t="str">
        <f t="shared" si="97"/>
        <v/>
      </c>
      <c r="T950" s="38" t="str">
        <f t="shared" si="98"/>
        <v/>
      </c>
      <c r="U950" s="37" t="str">
        <f t="shared" si="99"/>
        <v/>
      </c>
    </row>
    <row r="951" spans="2:21" ht="17.25">
      <c r="B951" s="156"/>
      <c r="C951" s="156"/>
      <c r="D951" s="157"/>
      <c r="E951" s="155"/>
      <c r="F951" s="151"/>
      <c r="G951" s="152"/>
      <c r="H951" s="153"/>
      <c r="I951" s="154"/>
      <c r="J951" s="154"/>
      <c r="K951" s="30" t="str">
        <f>IF(H951="","",IF($C$30="간이법","",FPR(H951,I951,J951)))</f>
        <v/>
      </c>
      <c r="L951" s="30" t="str">
        <f>IF(H951="","",IF($C$30="상세법",FPV(H951,K951),IF(H951="EI",4,IF(H951="EO",5.2,IF(H951="EQ",3.9,IF(H951="ILF",7.5,IF(H951="EIF",5.4)))))))</f>
        <v/>
      </c>
      <c r="M951" s="30" t="str">
        <f t="shared" si="93"/>
        <v/>
      </c>
      <c r="N951" s="134"/>
      <c r="O951" s="29"/>
      <c r="P951" s="37" t="str">
        <f t="shared" si="94"/>
        <v/>
      </c>
      <c r="Q951" s="38" t="str">
        <f t="shared" si="95"/>
        <v/>
      </c>
      <c r="R951" s="37" t="str">
        <f t="shared" si="96"/>
        <v/>
      </c>
      <c r="S951" s="37" t="str">
        <f t="shared" si="97"/>
        <v/>
      </c>
      <c r="T951" s="38" t="str">
        <f t="shared" si="98"/>
        <v/>
      </c>
      <c r="U951" s="37" t="str">
        <f t="shared" si="99"/>
        <v/>
      </c>
    </row>
    <row r="952" spans="2:21" ht="17.25">
      <c r="B952" s="156"/>
      <c r="C952" s="156"/>
      <c r="D952" s="157"/>
      <c r="E952" s="155"/>
      <c r="F952" s="151"/>
      <c r="G952" s="152"/>
      <c r="H952" s="153"/>
      <c r="I952" s="154"/>
      <c r="J952" s="154"/>
      <c r="K952" s="30" t="str">
        <f>IF(H952="","",IF($C$30="간이법","",FPR(H952,I952,J952)))</f>
        <v/>
      </c>
      <c r="L952" s="30" t="str">
        <f>IF(H952="","",IF($C$30="상세법",FPV(H952,K952),IF(H952="EI",4,IF(H952="EO",5.2,IF(H952="EQ",3.9,IF(H952="ILF",7.5,IF(H952="EIF",5.4)))))))</f>
        <v/>
      </c>
      <c r="M952" s="30" t="str">
        <f t="shared" si="93"/>
        <v/>
      </c>
      <c r="N952" s="134"/>
      <c r="O952" s="29"/>
      <c r="P952" s="37" t="str">
        <f t="shared" si="94"/>
        <v/>
      </c>
      <c r="Q952" s="38" t="str">
        <f t="shared" si="95"/>
        <v/>
      </c>
      <c r="R952" s="37" t="str">
        <f t="shared" si="96"/>
        <v/>
      </c>
      <c r="S952" s="37" t="str">
        <f t="shared" si="97"/>
        <v/>
      </c>
      <c r="T952" s="38" t="str">
        <f t="shared" si="98"/>
        <v/>
      </c>
      <c r="U952" s="37" t="str">
        <f t="shared" si="99"/>
        <v/>
      </c>
    </row>
    <row r="953" spans="2:21" ht="17.25">
      <c r="B953" s="156"/>
      <c r="C953" s="156"/>
      <c r="D953" s="157"/>
      <c r="E953" s="155"/>
      <c r="F953" s="151"/>
      <c r="G953" s="152"/>
      <c r="H953" s="153"/>
      <c r="I953" s="154"/>
      <c r="J953" s="154"/>
      <c r="K953" s="30" t="str">
        <f>IF(H953="","",IF($C$30="간이법","",FPR(H953,I953,J953)))</f>
        <v/>
      </c>
      <c r="L953" s="30" t="str">
        <f>IF(H953="","",IF($C$30="상세법",FPV(H953,K953),IF(H953="EI",4,IF(H953="EO",5.2,IF(H953="EQ",3.9,IF(H953="ILF",7.5,IF(H953="EIF",5.4)))))))</f>
        <v/>
      </c>
      <c r="M953" s="30" t="str">
        <f t="shared" si="93"/>
        <v/>
      </c>
      <c r="N953" s="134"/>
      <c r="O953" s="29"/>
      <c r="P953" s="37" t="str">
        <f t="shared" si="94"/>
        <v/>
      </c>
      <c r="Q953" s="38" t="str">
        <f t="shared" si="95"/>
        <v/>
      </c>
      <c r="R953" s="37" t="str">
        <f t="shared" si="96"/>
        <v/>
      </c>
      <c r="S953" s="37" t="str">
        <f t="shared" si="97"/>
        <v/>
      </c>
      <c r="T953" s="38" t="str">
        <f t="shared" si="98"/>
        <v/>
      </c>
      <c r="U953" s="37" t="str">
        <f t="shared" si="99"/>
        <v/>
      </c>
    </row>
    <row r="954" spans="2:21" ht="17.25">
      <c r="B954" s="156"/>
      <c r="C954" s="156"/>
      <c r="D954" s="157"/>
      <c r="E954" s="155"/>
      <c r="F954" s="151"/>
      <c r="G954" s="152"/>
      <c r="H954" s="153"/>
      <c r="I954" s="154"/>
      <c r="J954" s="154"/>
      <c r="K954" s="30" t="str">
        <f>IF(H954="","",IF($C$30="간이법","",FPR(H954,I954,J954)))</f>
        <v/>
      </c>
      <c r="L954" s="30" t="str">
        <f>IF(H954="","",IF($C$30="상세법",FPV(H954,K954),IF(H954="EI",4,IF(H954="EO",5.2,IF(H954="EQ",3.9,IF(H954="ILF",7.5,IF(H954="EIF",5.4)))))))</f>
        <v/>
      </c>
      <c r="M954" s="30" t="str">
        <f t="shared" si="93"/>
        <v/>
      </c>
      <c r="N954" s="134"/>
      <c r="O954" s="29"/>
      <c r="P954" s="37" t="str">
        <f t="shared" si="94"/>
        <v/>
      </c>
      <c r="Q954" s="38" t="str">
        <f t="shared" si="95"/>
        <v/>
      </c>
      <c r="R954" s="37" t="str">
        <f t="shared" si="96"/>
        <v/>
      </c>
      <c r="S954" s="37" t="str">
        <f t="shared" si="97"/>
        <v/>
      </c>
      <c r="T954" s="38" t="str">
        <f t="shared" si="98"/>
        <v/>
      </c>
      <c r="U954" s="37" t="str">
        <f t="shared" si="99"/>
        <v/>
      </c>
    </row>
    <row r="955" spans="2:21" ht="17.25">
      <c r="B955" s="156"/>
      <c r="C955" s="156"/>
      <c r="D955" s="157"/>
      <c r="E955" s="155"/>
      <c r="F955" s="151"/>
      <c r="G955" s="152"/>
      <c r="H955" s="153"/>
      <c r="I955" s="154"/>
      <c r="J955" s="154"/>
      <c r="K955" s="30" t="str">
        <f>IF(H955="","",IF($C$30="간이법","",FPR(H955,I955,J955)))</f>
        <v/>
      </c>
      <c r="L955" s="30" t="str">
        <f>IF(H955="","",IF($C$30="상세법",FPV(H955,K955),IF(H955="EI",4,IF(H955="EO",5.2,IF(H955="EQ",3.9,IF(H955="ILF",7.5,IF(H955="EIF",5.4)))))))</f>
        <v/>
      </c>
      <c r="M955" s="30" t="str">
        <f t="shared" si="93"/>
        <v/>
      </c>
      <c r="N955" s="134"/>
      <c r="O955" s="29"/>
      <c r="P955" s="37" t="str">
        <f t="shared" si="94"/>
        <v/>
      </c>
      <c r="Q955" s="38" t="str">
        <f t="shared" si="95"/>
        <v/>
      </c>
      <c r="R955" s="37" t="str">
        <f t="shared" si="96"/>
        <v/>
      </c>
      <c r="S955" s="37" t="str">
        <f t="shared" si="97"/>
        <v/>
      </c>
      <c r="T955" s="38" t="str">
        <f t="shared" si="98"/>
        <v/>
      </c>
      <c r="U955" s="37" t="str">
        <f t="shared" si="99"/>
        <v/>
      </c>
    </row>
    <row r="956" spans="2:21" ht="17.25">
      <c r="B956" s="156"/>
      <c r="C956" s="156"/>
      <c r="D956" s="157"/>
      <c r="E956" s="155"/>
      <c r="F956" s="151"/>
      <c r="G956" s="152"/>
      <c r="H956" s="153"/>
      <c r="I956" s="154"/>
      <c r="J956" s="154"/>
      <c r="K956" s="30" t="str">
        <f>IF(H956="","",IF($C$30="간이법","",FPR(H956,I956,J956)))</f>
        <v/>
      </c>
      <c r="L956" s="30" t="str">
        <f>IF(H956="","",IF($C$30="상세법",FPV(H956,K956),IF(H956="EI",4,IF(H956="EO",5.2,IF(H956="EQ",3.9,IF(H956="ILF",7.5,IF(H956="EIF",5.4)))))))</f>
        <v/>
      </c>
      <c r="M956" s="30" t="str">
        <f t="shared" ref="M956:M1019" si="100">IF(OR(G956="",$E$36="(선택)",$E$40="(선택)",$E$41="(선택)",F956="신규 개발",F956="수정 없이 재사용"),"",(IF(F956="수정 후 재사용",IF($E$50&lt;=0.5,L956*($E$36+$E$50*100*(1+0.02*($E$40*$E$41)))/100,L956*($E$36+$E$50*100+($E$40*$E$41))/100))))</f>
        <v/>
      </c>
      <c r="N956" s="134"/>
      <c r="O956" s="29"/>
      <c r="P956" s="37" t="str">
        <f t="shared" ref="P956:P1019" si="101">IF(F956="수정 후 재사용",IF(H956="ILF",G956,IF(H956="EIF",G956,"")),"")</f>
        <v/>
      </c>
      <c r="Q956" s="38" t="str">
        <f t="shared" ref="Q956:Q1019" si="102">IF(P956&lt;&gt;"",IF(H956="ILF", L956/$E$46,IF(H956="EIF", L956/$E$46,"")),"")</f>
        <v/>
      </c>
      <c r="R956" s="37" t="str">
        <f t="shared" ref="R956:R1019" si="103">IF(P956&lt;&gt;"",P956*Q956,"")</f>
        <v/>
      </c>
      <c r="S956" s="37" t="str">
        <f t="shared" ref="S956:S1019" si="104">IF(F956="수정 후 재사용",IF(H956="EI",G956,IF(H956="EO",G956,IF(H956="EQ",G956,""))),"")</f>
        <v/>
      </c>
      <c r="T956" s="38" t="str">
        <f t="shared" ref="T956:T1019" si="105">IF(S956&lt;&gt;"",IF(H956="EI",L956/$E$47,IF(H956="EO",L956/$E$47,IF(H956="EQ",L956/$E$47,""))),"")</f>
        <v/>
      </c>
      <c r="U956" s="37" t="str">
        <f t="shared" ref="U956:U1019" si="106">IF(S956&lt;&gt;"",S956*T956,"")</f>
        <v/>
      </c>
    </row>
    <row r="957" spans="2:21" ht="17.25">
      <c r="B957" s="156"/>
      <c r="C957" s="156"/>
      <c r="D957" s="157"/>
      <c r="E957" s="155"/>
      <c r="F957" s="151"/>
      <c r="G957" s="152"/>
      <c r="H957" s="153"/>
      <c r="I957" s="154"/>
      <c r="J957" s="154"/>
      <c r="K957" s="30" t="str">
        <f>IF(H957="","",IF($C$30="간이법","",FPR(H957,I957,J957)))</f>
        <v/>
      </c>
      <c r="L957" s="30" t="str">
        <f>IF(H957="","",IF($C$30="상세법",FPV(H957,K957),IF(H957="EI",4,IF(H957="EO",5.2,IF(H957="EQ",3.9,IF(H957="ILF",7.5,IF(H957="EIF",5.4)))))))</f>
        <v/>
      </c>
      <c r="M957" s="30" t="str">
        <f t="shared" si="100"/>
        <v/>
      </c>
      <c r="N957" s="134"/>
      <c r="O957" s="29"/>
      <c r="P957" s="37" t="str">
        <f t="shared" si="101"/>
        <v/>
      </c>
      <c r="Q957" s="38" t="str">
        <f t="shared" si="102"/>
        <v/>
      </c>
      <c r="R957" s="37" t="str">
        <f t="shared" si="103"/>
        <v/>
      </c>
      <c r="S957" s="37" t="str">
        <f t="shared" si="104"/>
        <v/>
      </c>
      <c r="T957" s="38" t="str">
        <f t="shared" si="105"/>
        <v/>
      </c>
      <c r="U957" s="37" t="str">
        <f t="shared" si="106"/>
        <v/>
      </c>
    </row>
    <row r="958" spans="2:21" ht="17.25">
      <c r="B958" s="156"/>
      <c r="C958" s="156"/>
      <c r="D958" s="157"/>
      <c r="E958" s="155"/>
      <c r="F958" s="151"/>
      <c r="G958" s="152"/>
      <c r="H958" s="153"/>
      <c r="I958" s="154"/>
      <c r="J958" s="154"/>
      <c r="K958" s="30" t="str">
        <f>IF(H958="","",IF($C$30="간이법","",FPR(H958,I958,J958)))</f>
        <v/>
      </c>
      <c r="L958" s="30" t="str">
        <f>IF(H958="","",IF($C$30="상세법",FPV(H958,K958),IF(H958="EI",4,IF(H958="EO",5.2,IF(H958="EQ",3.9,IF(H958="ILF",7.5,IF(H958="EIF",5.4)))))))</f>
        <v/>
      </c>
      <c r="M958" s="30" t="str">
        <f t="shared" si="100"/>
        <v/>
      </c>
      <c r="N958" s="134"/>
      <c r="O958" s="29"/>
      <c r="P958" s="37" t="str">
        <f t="shared" si="101"/>
        <v/>
      </c>
      <c r="Q958" s="38" t="str">
        <f t="shared" si="102"/>
        <v/>
      </c>
      <c r="R958" s="37" t="str">
        <f t="shared" si="103"/>
        <v/>
      </c>
      <c r="S958" s="37" t="str">
        <f t="shared" si="104"/>
        <v/>
      </c>
      <c r="T958" s="38" t="str">
        <f t="shared" si="105"/>
        <v/>
      </c>
      <c r="U958" s="37" t="str">
        <f t="shared" si="106"/>
        <v/>
      </c>
    </row>
    <row r="959" spans="2:21" ht="17.25">
      <c r="B959" s="156"/>
      <c r="C959" s="156"/>
      <c r="D959" s="157"/>
      <c r="E959" s="155"/>
      <c r="F959" s="151"/>
      <c r="G959" s="152"/>
      <c r="H959" s="153"/>
      <c r="I959" s="154"/>
      <c r="J959" s="154"/>
      <c r="K959" s="30" t="str">
        <f>IF(H959="","",IF($C$30="간이법","",FPR(H959,I959,J959)))</f>
        <v/>
      </c>
      <c r="L959" s="30" t="str">
        <f>IF(H959="","",IF($C$30="상세법",FPV(H959,K959),IF(H959="EI",4,IF(H959="EO",5.2,IF(H959="EQ",3.9,IF(H959="ILF",7.5,IF(H959="EIF",5.4)))))))</f>
        <v/>
      </c>
      <c r="M959" s="30" t="str">
        <f t="shared" si="100"/>
        <v/>
      </c>
      <c r="N959" s="134"/>
      <c r="O959" s="29"/>
      <c r="P959" s="37" t="str">
        <f t="shared" si="101"/>
        <v/>
      </c>
      <c r="Q959" s="38" t="str">
        <f t="shared" si="102"/>
        <v/>
      </c>
      <c r="R959" s="37" t="str">
        <f t="shared" si="103"/>
        <v/>
      </c>
      <c r="S959" s="37" t="str">
        <f t="shared" si="104"/>
        <v/>
      </c>
      <c r="T959" s="38" t="str">
        <f t="shared" si="105"/>
        <v/>
      </c>
      <c r="U959" s="37" t="str">
        <f t="shared" si="106"/>
        <v/>
      </c>
    </row>
    <row r="960" spans="2:21" ht="17.25">
      <c r="B960" s="156"/>
      <c r="C960" s="156"/>
      <c r="D960" s="157"/>
      <c r="E960" s="155"/>
      <c r="F960" s="151"/>
      <c r="G960" s="152"/>
      <c r="H960" s="153"/>
      <c r="I960" s="154"/>
      <c r="J960" s="154"/>
      <c r="K960" s="30" t="str">
        <f>IF(H960="","",IF($C$30="간이법","",FPR(H960,I960,J960)))</f>
        <v/>
      </c>
      <c r="L960" s="30" t="str">
        <f>IF(H960="","",IF($C$30="상세법",FPV(H960,K960),IF(H960="EI",4,IF(H960="EO",5.2,IF(H960="EQ",3.9,IF(H960="ILF",7.5,IF(H960="EIF",5.4)))))))</f>
        <v/>
      </c>
      <c r="M960" s="30" t="str">
        <f t="shared" si="100"/>
        <v/>
      </c>
      <c r="N960" s="134"/>
      <c r="O960" s="29"/>
      <c r="P960" s="37" t="str">
        <f t="shared" si="101"/>
        <v/>
      </c>
      <c r="Q960" s="38" t="str">
        <f t="shared" si="102"/>
        <v/>
      </c>
      <c r="R960" s="37" t="str">
        <f t="shared" si="103"/>
        <v/>
      </c>
      <c r="S960" s="37" t="str">
        <f t="shared" si="104"/>
        <v/>
      </c>
      <c r="T960" s="38" t="str">
        <f t="shared" si="105"/>
        <v/>
      </c>
      <c r="U960" s="37" t="str">
        <f t="shared" si="106"/>
        <v/>
      </c>
    </row>
    <row r="961" spans="2:21" ht="17.25">
      <c r="B961" s="156"/>
      <c r="C961" s="156"/>
      <c r="D961" s="157"/>
      <c r="E961" s="155"/>
      <c r="F961" s="151"/>
      <c r="G961" s="152"/>
      <c r="H961" s="153"/>
      <c r="I961" s="154"/>
      <c r="J961" s="154"/>
      <c r="K961" s="30" t="str">
        <f>IF(H961="","",IF($C$30="간이법","",FPR(H961,I961,J961)))</f>
        <v/>
      </c>
      <c r="L961" s="30" t="str">
        <f>IF(H961="","",IF($C$30="상세법",FPV(H961,K961),IF(H961="EI",4,IF(H961="EO",5.2,IF(H961="EQ",3.9,IF(H961="ILF",7.5,IF(H961="EIF",5.4)))))))</f>
        <v/>
      </c>
      <c r="M961" s="30" t="str">
        <f t="shared" si="100"/>
        <v/>
      </c>
      <c r="N961" s="134"/>
      <c r="O961" s="29"/>
      <c r="P961" s="37" t="str">
        <f t="shared" si="101"/>
        <v/>
      </c>
      <c r="Q961" s="38" t="str">
        <f t="shared" si="102"/>
        <v/>
      </c>
      <c r="R961" s="37" t="str">
        <f t="shared" si="103"/>
        <v/>
      </c>
      <c r="S961" s="37" t="str">
        <f t="shared" si="104"/>
        <v/>
      </c>
      <c r="T961" s="38" t="str">
        <f t="shared" si="105"/>
        <v/>
      </c>
      <c r="U961" s="37" t="str">
        <f t="shared" si="106"/>
        <v/>
      </c>
    </row>
    <row r="962" spans="2:21" ht="17.25">
      <c r="B962" s="156"/>
      <c r="C962" s="156"/>
      <c r="D962" s="157"/>
      <c r="E962" s="155"/>
      <c r="F962" s="151"/>
      <c r="G962" s="152"/>
      <c r="H962" s="153"/>
      <c r="I962" s="154"/>
      <c r="J962" s="154"/>
      <c r="K962" s="30" t="str">
        <f>IF(H962="","",IF($C$30="간이법","",FPR(H962,I962,J962)))</f>
        <v/>
      </c>
      <c r="L962" s="30" t="str">
        <f>IF(H962="","",IF($C$30="상세법",FPV(H962,K962),IF(H962="EI",4,IF(H962="EO",5.2,IF(H962="EQ",3.9,IF(H962="ILF",7.5,IF(H962="EIF",5.4)))))))</f>
        <v/>
      </c>
      <c r="M962" s="30" t="str">
        <f t="shared" si="100"/>
        <v/>
      </c>
      <c r="N962" s="134"/>
      <c r="O962" s="29"/>
      <c r="P962" s="37" t="str">
        <f t="shared" si="101"/>
        <v/>
      </c>
      <c r="Q962" s="38" t="str">
        <f t="shared" si="102"/>
        <v/>
      </c>
      <c r="R962" s="37" t="str">
        <f t="shared" si="103"/>
        <v/>
      </c>
      <c r="S962" s="37" t="str">
        <f t="shared" si="104"/>
        <v/>
      </c>
      <c r="T962" s="38" t="str">
        <f t="shared" si="105"/>
        <v/>
      </c>
      <c r="U962" s="37" t="str">
        <f t="shared" si="106"/>
        <v/>
      </c>
    </row>
    <row r="963" spans="2:21" ht="17.25">
      <c r="B963" s="156"/>
      <c r="C963" s="156"/>
      <c r="D963" s="157"/>
      <c r="E963" s="155"/>
      <c r="F963" s="151"/>
      <c r="G963" s="152"/>
      <c r="H963" s="153"/>
      <c r="I963" s="154"/>
      <c r="J963" s="154"/>
      <c r="K963" s="30" t="str">
        <f>IF(H963="","",IF($C$30="간이법","",FPR(H963,I963,J963)))</f>
        <v/>
      </c>
      <c r="L963" s="30" t="str">
        <f>IF(H963="","",IF($C$30="상세법",FPV(H963,K963),IF(H963="EI",4,IF(H963="EO",5.2,IF(H963="EQ",3.9,IF(H963="ILF",7.5,IF(H963="EIF",5.4)))))))</f>
        <v/>
      </c>
      <c r="M963" s="30" t="str">
        <f t="shared" si="100"/>
        <v/>
      </c>
      <c r="N963" s="134"/>
      <c r="O963" s="29"/>
      <c r="P963" s="37" t="str">
        <f t="shared" si="101"/>
        <v/>
      </c>
      <c r="Q963" s="38" t="str">
        <f t="shared" si="102"/>
        <v/>
      </c>
      <c r="R963" s="37" t="str">
        <f t="shared" si="103"/>
        <v/>
      </c>
      <c r="S963" s="37" t="str">
        <f t="shared" si="104"/>
        <v/>
      </c>
      <c r="T963" s="38" t="str">
        <f t="shared" si="105"/>
        <v/>
      </c>
      <c r="U963" s="37" t="str">
        <f t="shared" si="106"/>
        <v/>
      </c>
    </row>
    <row r="964" spans="2:21" ht="17.25">
      <c r="B964" s="156"/>
      <c r="C964" s="156"/>
      <c r="D964" s="157"/>
      <c r="E964" s="155"/>
      <c r="F964" s="151"/>
      <c r="G964" s="152"/>
      <c r="H964" s="153"/>
      <c r="I964" s="154"/>
      <c r="J964" s="154"/>
      <c r="K964" s="30" t="str">
        <f>IF(H964="","",IF($C$30="간이법","",FPR(H964,I964,J964)))</f>
        <v/>
      </c>
      <c r="L964" s="30" t="str">
        <f>IF(H964="","",IF($C$30="상세법",FPV(H964,K964),IF(H964="EI",4,IF(H964="EO",5.2,IF(H964="EQ",3.9,IF(H964="ILF",7.5,IF(H964="EIF",5.4)))))))</f>
        <v/>
      </c>
      <c r="M964" s="30" t="str">
        <f t="shared" si="100"/>
        <v/>
      </c>
      <c r="N964" s="134"/>
      <c r="O964" s="29"/>
      <c r="P964" s="37" t="str">
        <f t="shared" si="101"/>
        <v/>
      </c>
      <c r="Q964" s="38" t="str">
        <f t="shared" si="102"/>
        <v/>
      </c>
      <c r="R964" s="37" t="str">
        <f t="shared" si="103"/>
        <v/>
      </c>
      <c r="S964" s="37" t="str">
        <f t="shared" si="104"/>
        <v/>
      </c>
      <c r="T964" s="38" t="str">
        <f t="shared" si="105"/>
        <v/>
      </c>
      <c r="U964" s="37" t="str">
        <f t="shared" si="106"/>
        <v/>
      </c>
    </row>
    <row r="965" spans="2:21" ht="17.25">
      <c r="B965" s="156"/>
      <c r="C965" s="156"/>
      <c r="D965" s="157"/>
      <c r="E965" s="155"/>
      <c r="F965" s="151"/>
      <c r="G965" s="152"/>
      <c r="H965" s="153"/>
      <c r="I965" s="154"/>
      <c r="J965" s="154"/>
      <c r="K965" s="30" t="str">
        <f>IF(H965="","",IF($C$30="간이법","",FPR(H965,I965,J965)))</f>
        <v/>
      </c>
      <c r="L965" s="30" t="str">
        <f>IF(H965="","",IF($C$30="상세법",FPV(H965,K965),IF(H965="EI",4,IF(H965="EO",5.2,IF(H965="EQ",3.9,IF(H965="ILF",7.5,IF(H965="EIF",5.4)))))))</f>
        <v/>
      </c>
      <c r="M965" s="30" t="str">
        <f t="shared" si="100"/>
        <v/>
      </c>
      <c r="N965" s="134"/>
      <c r="O965" s="29"/>
      <c r="P965" s="37" t="str">
        <f t="shared" si="101"/>
        <v/>
      </c>
      <c r="Q965" s="38" t="str">
        <f t="shared" si="102"/>
        <v/>
      </c>
      <c r="R965" s="37" t="str">
        <f t="shared" si="103"/>
        <v/>
      </c>
      <c r="S965" s="37" t="str">
        <f t="shared" si="104"/>
        <v/>
      </c>
      <c r="T965" s="38" t="str">
        <f t="shared" si="105"/>
        <v/>
      </c>
      <c r="U965" s="37" t="str">
        <f t="shared" si="106"/>
        <v/>
      </c>
    </row>
    <row r="966" spans="2:21" ht="17.25">
      <c r="B966" s="156"/>
      <c r="C966" s="156"/>
      <c r="D966" s="157"/>
      <c r="E966" s="155"/>
      <c r="F966" s="151"/>
      <c r="G966" s="152"/>
      <c r="H966" s="153"/>
      <c r="I966" s="154"/>
      <c r="J966" s="154"/>
      <c r="K966" s="30" t="str">
        <f>IF(H966="","",IF($C$30="간이법","",FPR(H966,I966,J966)))</f>
        <v/>
      </c>
      <c r="L966" s="30" t="str">
        <f>IF(H966="","",IF($C$30="상세법",FPV(H966,K966),IF(H966="EI",4,IF(H966="EO",5.2,IF(H966="EQ",3.9,IF(H966="ILF",7.5,IF(H966="EIF",5.4)))))))</f>
        <v/>
      </c>
      <c r="M966" s="30" t="str">
        <f t="shared" si="100"/>
        <v/>
      </c>
      <c r="N966" s="134"/>
      <c r="O966" s="29"/>
      <c r="P966" s="37" t="str">
        <f t="shared" si="101"/>
        <v/>
      </c>
      <c r="Q966" s="38" t="str">
        <f t="shared" si="102"/>
        <v/>
      </c>
      <c r="R966" s="37" t="str">
        <f t="shared" si="103"/>
        <v/>
      </c>
      <c r="S966" s="37" t="str">
        <f t="shared" si="104"/>
        <v/>
      </c>
      <c r="T966" s="38" t="str">
        <f t="shared" si="105"/>
        <v/>
      </c>
      <c r="U966" s="37" t="str">
        <f t="shared" si="106"/>
        <v/>
      </c>
    </row>
    <row r="967" spans="2:21" ht="17.25">
      <c r="B967" s="156"/>
      <c r="C967" s="156"/>
      <c r="D967" s="157"/>
      <c r="E967" s="155"/>
      <c r="F967" s="151"/>
      <c r="G967" s="152"/>
      <c r="H967" s="153"/>
      <c r="I967" s="154"/>
      <c r="J967" s="154"/>
      <c r="K967" s="30" t="str">
        <f>IF(H967="","",IF($C$30="간이법","",FPR(H967,I967,J967)))</f>
        <v/>
      </c>
      <c r="L967" s="30" t="str">
        <f>IF(H967="","",IF($C$30="상세법",FPV(H967,K967),IF(H967="EI",4,IF(H967="EO",5.2,IF(H967="EQ",3.9,IF(H967="ILF",7.5,IF(H967="EIF",5.4)))))))</f>
        <v/>
      </c>
      <c r="M967" s="30" t="str">
        <f t="shared" si="100"/>
        <v/>
      </c>
      <c r="N967" s="134"/>
      <c r="O967" s="29"/>
      <c r="P967" s="37" t="str">
        <f t="shared" si="101"/>
        <v/>
      </c>
      <c r="Q967" s="38" t="str">
        <f t="shared" si="102"/>
        <v/>
      </c>
      <c r="R967" s="37" t="str">
        <f t="shared" si="103"/>
        <v/>
      </c>
      <c r="S967" s="37" t="str">
        <f t="shared" si="104"/>
        <v/>
      </c>
      <c r="T967" s="38" t="str">
        <f t="shared" si="105"/>
        <v/>
      </c>
      <c r="U967" s="37" t="str">
        <f t="shared" si="106"/>
        <v/>
      </c>
    </row>
    <row r="968" spans="2:21" ht="17.25">
      <c r="B968" s="156"/>
      <c r="C968" s="156"/>
      <c r="D968" s="157"/>
      <c r="E968" s="155"/>
      <c r="F968" s="151"/>
      <c r="G968" s="152"/>
      <c r="H968" s="153"/>
      <c r="I968" s="154"/>
      <c r="J968" s="154"/>
      <c r="K968" s="30" t="str">
        <f>IF(H968="","",IF($C$30="간이법","",FPR(H968,I968,J968)))</f>
        <v/>
      </c>
      <c r="L968" s="30" t="str">
        <f>IF(H968="","",IF($C$30="상세법",FPV(H968,K968),IF(H968="EI",4,IF(H968="EO",5.2,IF(H968="EQ",3.9,IF(H968="ILF",7.5,IF(H968="EIF",5.4)))))))</f>
        <v/>
      </c>
      <c r="M968" s="30" t="str">
        <f t="shared" si="100"/>
        <v/>
      </c>
      <c r="N968" s="134"/>
      <c r="O968" s="29"/>
      <c r="P968" s="37" t="str">
        <f t="shared" si="101"/>
        <v/>
      </c>
      <c r="Q968" s="38" t="str">
        <f t="shared" si="102"/>
        <v/>
      </c>
      <c r="R968" s="37" t="str">
        <f t="shared" si="103"/>
        <v/>
      </c>
      <c r="S968" s="37" t="str">
        <f t="shared" si="104"/>
        <v/>
      </c>
      <c r="T968" s="38" t="str">
        <f t="shared" si="105"/>
        <v/>
      </c>
      <c r="U968" s="37" t="str">
        <f t="shared" si="106"/>
        <v/>
      </c>
    </row>
    <row r="969" spans="2:21" ht="17.25">
      <c r="B969" s="156"/>
      <c r="C969" s="156"/>
      <c r="D969" s="157"/>
      <c r="E969" s="155"/>
      <c r="F969" s="151"/>
      <c r="G969" s="152"/>
      <c r="H969" s="153"/>
      <c r="I969" s="154"/>
      <c r="J969" s="154"/>
      <c r="K969" s="30" t="str">
        <f>IF(H969="","",IF($C$30="간이법","",FPR(H969,I969,J969)))</f>
        <v/>
      </c>
      <c r="L969" s="30" t="str">
        <f>IF(H969="","",IF($C$30="상세법",FPV(H969,K969),IF(H969="EI",4,IF(H969="EO",5.2,IF(H969="EQ",3.9,IF(H969="ILF",7.5,IF(H969="EIF",5.4)))))))</f>
        <v/>
      </c>
      <c r="M969" s="30" t="str">
        <f t="shared" si="100"/>
        <v/>
      </c>
      <c r="N969" s="134"/>
      <c r="O969" s="29"/>
      <c r="P969" s="37" t="str">
        <f t="shared" si="101"/>
        <v/>
      </c>
      <c r="Q969" s="38" t="str">
        <f t="shared" si="102"/>
        <v/>
      </c>
      <c r="R969" s="37" t="str">
        <f t="shared" si="103"/>
        <v/>
      </c>
      <c r="S969" s="37" t="str">
        <f t="shared" si="104"/>
        <v/>
      </c>
      <c r="T969" s="38" t="str">
        <f t="shared" si="105"/>
        <v/>
      </c>
      <c r="U969" s="37" t="str">
        <f t="shared" si="106"/>
        <v/>
      </c>
    </row>
    <row r="970" spans="2:21" ht="17.25">
      <c r="B970" s="156"/>
      <c r="C970" s="156"/>
      <c r="D970" s="157"/>
      <c r="E970" s="155"/>
      <c r="F970" s="151"/>
      <c r="G970" s="152"/>
      <c r="H970" s="153"/>
      <c r="I970" s="154"/>
      <c r="J970" s="154"/>
      <c r="K970" s="30" t="str">
        <f>IF(H970="","",IF($C$30="간이법","",FPR(H970,I970,J970)))</f>
        <v/>
      </c>
      <c r="L970" s="30" t="str">
        <f>IF(H970="","",IF($C$30="상세법",FPV(H970,K970),IF(H970="EI",4,IF(H970="EO",5.2,IF(H970="EQ",3.9,IF(H970="ILF",7.5,IF(H970="EIF",5.4)))))))</f>
        <v/>
      </c>
      <c r="M970" s="30" t="str">
        <f t="shared" si="100"/>
        <v/>
      </c>
      <c r="N970" s="134"/>
      <c r="O970" s="29"/>
      <c r="P970" s="37" t="str">
        <f t="shared" si="101"/>
        <v/>
      </c>
      <c r="Q970" s="38" t="str">
        <f t="shared" si="102"/>
        <v/>
      </c>
      <c r="R970" s="37" t="str">
        <f t="shared" si="103"/>
        <v/>
      </c>
      <c r="S970" s="37" t="str">
        <f t="shared" si="104"/>
        <v/>
      </c>
      <c r="T970" s="38" t="str">
        <f t="shared" si="105"/>
        <v/>
      </c>
      <c r="U970" s="37" t="str">
        <f t="shared" si="106"/>
        <v/>
      </c>
    </row>
    <row r="971" spans="2:21" ht="17.25">
      <c r="B971" s="156"/>
      <c r="C971" s="156"/>
      <c r="D971" s="157"/>
      <c r="E971" s="155"/>
      <c r="F971" s="151"/>
      <c r="G971" s="152"/>
      <c r="H971" s="153"/>
      <c r="I971" s="154"/>
      <c r="J971" s="154"/>
      <c r="K971" s="30" t="str">
        <f>IF(H971="","",IF($C$30="간이법","",FPR(H971,I971,J971)))</f>
        <v/>
      </c>
      <c r="L971" s="30" t="str">
        <f>IF(H971="","",IF($C$30="상세법",FPV(H971,K971),IF(H971="EI",4,IF(H971="EO",5.2,IF(H971="EQ",3.9,IF(H971="ILF",7.5,IF(H971="EIF",5.4)))))))</f>
        <v/>
      </c>
      <c r="M971" s="30" t="str">
        <f t="shared" si="100"/>
        <v/>
      </c>
      <c r="N971" s="134"/>
      <c r="O971" s="29"/>
      <c r="P971" s="37" t="str">
        <f t="shared" si="101"/>
        <v/>
      </c>
      <c r="Q971" s="38" t="str">
        <f t="shared" si="102"/>
        <v/>
      </c>
      <c r="R971" s="37" t="str">
        <f t="shared" si="103"/>
        <v/>
      </c>
      <c r="S971" s="37" t="str">
        <f t="shared" si="104"/>
        <v/>
      </c>
      <c r="T971" s="38" t="str">
        <f t="shared" si="105"/>
        <v/>
      </c>
      <c r="U971" s="37" t="str">
        <f t="shared" si="106"/>
        <v/>
      </c>
    </row>
    <row r="972" spans="2:21" ht="17.25">
      <c r="B972" s="156"/>
      <c r="C972" s="156"/>
      <c r="D972" s="157"/>
      <c r="E972" s="155"/>
      <c r="F972" s="151"/>
      <c r="G972" s="152"/>
      <c r="H972" s="153"/>
      <c r="I972" s="154"/>
      <c r="J972" s="154"/>
      <c r="K972" s="30" t="str">
        <f>IF(H972="","",IF($C$30="간이법","",FPR(H972,I972,J972)))</f>
        <v/>
      </c>
      <c r="L972" s="30" t="str">
        <f>IF(H972="","",IF($C$30="상세법",FPV(H972,K972),IF(H972="EI",4,IF(H972="EO",5.2,IF(H972="EQ",3.9,IF(H972="ILF",7.5,IF(H972="EIF",5.4)))))))</f>
        <v/>
      </c>
      <c r="M972" s="30" t="str">
        <f t="shared" si="100"/>
        <v/>
      </c>
      <c r="N972" s="134"/>
      <c r="O972" s="29"/>
      <c r="P972" s="37" t="str">
        <f t="shared" si="101"/>
        <v/>
      </c>
      <c r="Q972" s="38" t="str">
        <f t="shared" si="102"/>
        <v/>
      </c>
      <c r="R972" s="37" t="str">
        <f t="shared" si="103"/>
        <v/>
      </c>
      <c r="S972" s="37" t="str">
        <f t="shared" si="104"/>
        <v/>
      </c>
      <c r="T972" s="38" t="str">
        <f t="shared" si="105"/>
        <v/>
      </c>
      <c r="U972" s="37" t="str">
        <f t="shared" si="106"/>
        <v/>
      </c>
    </row>
    <row r="973" spans="2:21" ht="17.25">
      <c r="B973" s="156"/>
      <c r="C973" s="156"/>
      <c r="D973" s="157"/>
      <c r="E973" s="155"/>
      <c r="F973" s="151"/>
      <c r="G973" s="152"/>
      <c r="H973" s="153"/>
      <c r="I973" s="154"/>
      <c r="J973" s="154"/>
      <c r="K973" s="30" t="str">
        <f>IF(H973="","",IF($C$30="간이법","",FPR(H973,I973,J973)))</f>
        <v/>
      </c>
      <c r="L973" s="30" t="str">
        <f>IF(H973="","",IF($C$30="상세법",FPV(H973,K973),IF(H973="EI",4,IF(H973="EO",5.2,IF(H973="EQ",3.9,IF(H973="ILF",7.5,IF(H973="EIF",5.4)))))))</f>
        <v/>
      </c>
      <c r="M973" s="30" t="str">
        <f t="shared" si="100"/>
        <v/>
      </c>
      <c r="N973" s="134"/>
      <c r="O973" s="29"/>
      <c r="P973" s="37" t="str">
        <f t="shared" si="101"/>
        <v/>
      </c>
      <c r="Q973" s="38" t="str">
        <f t="shared" si="102"/>
        <v/>
      </c>
      <c r="R973" s="37" t="str">
        <f t="shared" si="103"/>
        <v/>
      </c>
      <c r="S973" s="37" t="str">
        <f t="shared" si="104"/>
        <v/>
      </c>
      <c r="T973" s="38" t="str">
        <f t="shared" si="105"/>
        <v/>
      </c>
      <c r="U973" s="37" t="str">
        <f t="shared" si="106"/>
        <v/>
      </c>
    </row>
    <row r="974" spans="2:21" ht="17.25">
      <c r="B974" s="156"/>
      <c r="C974" s="156"/>
      <c r="D974" s="157"/>
      <c r="E974" s="155"/>
      <c r="F974" s="151"/>
      <c r="G974" s="152"/>
      <c r="H974" s="153"/>
      <c r="I974" s="154"/>
      <c r="J974" s="154"/>
      <c r="K974" s="30" t="str">
        <f>IF(H974="","",IF($C$30="간이법","",FPR(H974,I974,J974)))</f>
        <v/>
      </c>
      <c r="L974" s="30" t="str">
        <f>IF(H974="","",IF($C$30="상세법",FPV(H974,K974),IF(H974="EI",4,IF(H974="EO",5.2,IF(H974="EQ",3.9,IF(H974="ILF",7.5,IF(H974="EIF",5.4)))))))</f>
        <v/>
      </c>
      <c r="M974" s="30" t="str">
        <f t="shared" si="100"/>
        <v/>
      </c>
      <c r="N974" s="134"/>
      <c r="O974" s="29"/>
      <c r="P974" s="37" t="str">
        <f t="shared" si="101"/>
        <v/>
      </c>
      <c r="Q974" s="38" t="str">
        <f t="shared" si="102"/>
        <v/>
      </c>
      <c r="R974" s="37" t="str">
        <f t="shared" si="103"/>
        <v/>
      </c>
      <c r="S974" s="37" t="str">
        <f t="shared" si="104"/>
        <v/>
      </c>
      <c r="T974" s="38" t="str">
        <f t="shared" si="105"/>
        <v/>
      </c>
      <c r="U974" s="37" t="str">
        <f t="shared" si="106"/>
        <v/>
      </c>
    </row>
    <row r="975" spans="2:21" ht="17.25">
      <c r="B975" s="156"/>
      <c r="C975" s="156"/>
      <c r="D975" s="157"/>
      <c r="E975" s="155"/>
      <c r="F975" s="151"/>
      <c r="G975" s="152"/>
      <c r="H975" s="153"/>
      <c r="I975" s="154"/>
      <c r="J975" s="154"/>
      <c r="K975" s="30" t="str">
        <f>IF(H975="","",IF($C$30="간이법","",FPR(H975,I975,J975)))</f>
        <v/>
      </c>
      <c r="L975" s="30" t="str">
        <f>IF(H975="","",IF($C$30="상세법",FPV(H975,K975),IF(H975="EI",4,IF(H975="EO",5.2,IF(H975="EQ",3.9,IF(H975="ILF",7.5,IF(H975="EIF",5.4)))))))</f>
        <v/>
      </c>
      <c r="M975" s="30" t="str">
        <f t="shared" si="100"/>
        <v/>
      </c>
      <c r="N975" s="134"/>
      <c r="O975" s="29"/>
      <c r="P975" s="37" t="str">
        <f t="shared" si="101"/>
        <v/>
      </c>
      <c r="Q975" s="38" t="str">
        <f t="shared" si="102"/>
        <v/>
      </c>
      <c r="R975" s="37" t="str">
        <f t="shared" si="103"/>
        <v/>
      </c>
      <c r="S975" s="37" t="str">
        <f t="shared" si="104"/>
        <v/>
      </c>
      <c r="T975" s="38" t="str">
        <f t="shared" si="105"/>
        <v/>
      </c>
      <c r="U975" s="37" t="str">
        <f t="shared" si="106"/>
        <v/>
      </c>
    </row>
    <row r="976" spans="2:21" ht="17.25">
      <c r="B976" s="156"/>
      <c r="C976" s="156"/>
      <c r="D976" s="157"/>
      <c r="E976" s="155"/>
      <c r="F976" s="151"/>
      <c r="G976" s="152"/>
      <c r="H976" s="153"/>
      <c r="I976" s="154"/>
      <c r="J976" s="154"/>
      <c r="K976" s="30" t="str">
        <f>IF(H976="","",IF($C$30="간이법","",FPR(H976,I976,J976)))</f>
        <v/>
      </c>
      <c r="L976" s="30" t="str">
        <f>IF(H976="","",IF($C$30="상세법",FPV(H976,K976),IF(H976="EI",4,IF(H976="EO",5.2,IF(H976="EQ",3.9,IF(H976="ILF",7.5,IF(H976="EIF",5.4)))))))</f>
        <v/>
      </c>
      <c r="M976" s="30" t="str">
        <f t="shared" si="100"/>
        <v/>
      </c>
      <c r="N976" s="134"/>
      <c r="O976" s="29"/>
      <c r="P976" s="37" t="str">
        <f t="shared" si="101"/>
        <v/>
      </c>
      <c r="Q976" s="38" t="str">
        <f t="shared" si="102"/>
        <v/>
      </c>
      <c r="R976" s="37" t="str">
        <f t="shared" si="103"/>
        <v/>
      </c>
      <c r="S976" s="37" t="str">
        <f t="shared" si="104"/>
        <v/>
      </c>
      <c r="T976" s="38" t="str">
        <f t="shared" si="105"/>
        <v/>
      </c>
      <c r="U976" s="37" t="str">
        <f t="shared" si="106"/>
        <v/>
      </c>
    </row>
    <row r="977" spans="2:21" ht="17.25">
      <c r="B977" s="156"/>
      <c r="C977" s="156"/>
      <c r="D977" s="157"/>
      <c r="E977" s="155"/>
      <c r="F977" s="151"/>
      <c r="G977" s="152"/>
      <c r="H977" s="153"/>
      <c r="I977" s="154"/>
      <c r="J977" s="154"/>
      <c r="K977" s="30" t="str">
        <f>IF(H977="","",IF($C$30="간이법","",FPR(H977,I977,J977)))</f>
        <v/>
      </c>
      <c r="L977" s="30" t="str">
        <f>IF(H977="","",IF($C$30="상세법",FPV(H977,K977),IF(H977="EI",4,IF(H977="EO",5.2,IF(H977="EQ",3.9,IF(H977="ILF",7.5,IF(H977="EIF",5.4)))))))</f>
        <v/>
      </c>
      <c r="M977" s="30" t="str">
        <f t="shared" si="100"/>
        <v/>
      </c>
      <c r="N977" s="134"/>
      <c r="O977" s="29"/>
      <c r="P977" s="37" t="str">
        <f t="shared" si="101"/>
        <v/>
      </c>
      <c r="Q977" s="38" t="str">
        <f t="shared" si="102"/>
        <v/>
      </c>
      <c r="R977" s="37" t="str">
        <f t="shared" si="103"/>
        <v/>
      </c>
      <c r="S977" s="37" t="str">
        <f t="shared" si="104"/>
        <v/>
      </c>
      <c r="T977" s="38" t="str">
        <f t="shared" si="105"/>
        <v/>
      </c>
      <c r="U977" s="37" t="str">
        <f t="shared" si="106"/>
        <v/>
      </c>
    </row>
    <row r="978" spans="2:21" ht="17.25">
      <c r="B978" s="156"/>
      <c r="C978" s="156"/>
      <c r="D978" s="157"/>
      <c r="E978" s="155"/>
      <c r="F978" s="151"/>
      <c r="G978" s="152"/>
      <c r="H978" s="153"/>
      <c r="I978" s="154"/>
      <c r="J978" s="154"/>
      <c r="K978" s="30" t="str">
        <f>IF(H978="","",IF($C$30="간이법","",FPR(H978,I978,J978)))</f>
        <v/>
      </c>
      <c r="L978" s="30" t="str">
        <f>IF(H978="","",IF($C$30="상세법",FPV(H978,K978),IF(H978="EI",4,IF(H978="EO",5.2,IF(H978="EQ",3.9,IF(H978="ILF",7.5,IF(H978="EIF",5.4)))))))</f>
        <v/>
      </c>
      <c r="M978" s="30" t="str">
        <f t="shared" si="100"/>
        <v/>
      </c>
      <c r="N978" s="134"/>
      <c r="O978" s="29"/>
      <c r="P978" s="37" t="str">
        <f t="shared" si="101"/>
        <v/>
      </c>
      <c r="Q978" s="38" t="str">
        <f t="shared" si="102"/>
        <v/>
      </c>
      <c r="R978" s="37" t="str">
        <f t="shared" si="103"/>
        <v/>
      </c>
      <c r="S978" s="37" t="str">
        <f t="shared" si="104"/>
        <v/>
      </c>
      <c r="T978" s="38" t="str">
        <f t="shared" si="105"/>
        <v/>
      </c>
      <c r="U978" s="37" t="str">
        <f t="shared" si="106"/>
        <v/>
      </c>
    </row>
    <row r="979" spans="2:21" ht="17.25">
      <c r="B979" s="156"/>
      <c r="C979" s="156"/>
      <c r="D979" s="157"/>
      <c r="E979" s="155"/>
      <c r="F979" s="151"/>
      <c r="G979" s="152"/>
      <c r="H979" s="153"/>
      <c r="I979" s="154"/>
      <c r="J979" s="154"/>
      <c r="K979" s="30" t="str">
        <f>IF(H979="","",IF($C$30="간이법","",FPR(H979,I979,J979)))</f>
        <v/>
      </c>
      <c r="L979" s="30" t="str">
        <f>IF(H979="","",IF($C$30="상세법",FPV(H979,K979),IF(H979="EI",4,IF(H979="EO",5.2,IF(H979="EQ",3.9,IF(H979="ILF",7.5,IF(H979="EIF",5.4)))))))</f>
        <v/>
      </c>
      <c r="M979" s="30" t="str">
        <f t="shared" si="100"/>
        <v/>
      </c>
      <c r="N979" s="134"/>
      <c r="O979" s="29"/>
      <c r="P979" s="37" t="str">
        <f t="shared" si="101"/>
        <v/>
      </c>
      <c r="Q979" s="38" t="str">
        <f t="shared" si="102"/>
        <v/>
      </c>
      <c r="R979" s="37" t="str">
        <f t="shared" si="103"/>
        <v/>
      </c>
      <c r="S979" s="37" t="str">
        <f t="shared" si="104"/>
        <v/>
      </c>
      <c r="T979" s="38" t="str">
        <f t="shared" si="105"/>
        <v/>
      </c>
      <c r="U979" s="37" t="str">
        <f t="shared" si="106"/>
        <v/>
      </c>
    </row>
    <row r="980" spans="2:21" ht="17.25">
      <c r="B980" s="156"/>
      <c r="C980" s="156"/>
      <c r="D980" s="157"/>
      <c r="E980" s="155"/>
      <c r="F980" s="151"/>
      <c r="G980" s="152"/>
      <c r="H980" s="153"/>
      <c r="I980" s="154"/>
      <c r="J980" s="154"/>
      <c r="K980" s="30" t="str">
        <f>IF(H980="","",IF($C$30="간이법","",FPR(H980,I980,J980)))</f>
        <v/>
      </c>
      <c r="L980" s="30" t="str">
        <f>IF(H980="","",IF($C$30="상세법",FPV(H980,K980),IF(H980="EI",4,IF(H980="EO",5.2,IF(H980="EQ",3.9,IF(H980="ILF",7.5,IF(H980="EIF",5.4)))))))</f>
        <v/>
      </c>
      <c r="M980" s="30" t="str">
        <f t="shared" si="100"/>
        <v/>
      </c>
      <c r="N980" s="134"/>
      <c r="O980" s="29"/>
      <c r="P980" s="37" t="str">
        <f t="shared" si="101"/>
        <v/>
      </c>
      <c r="Q980" s="38" t="str">
        <f t="shared" si="102"/>
        <v/>
      </c>
      <c r="R980" s="37" t="str">
        <f t="shared" si="103"/>
        <v/>
      </c>
      <c r="S980" s="37" t="str">
        <f t="shared" si="104"/>
        <v/>
      </c>
      <c r="T980" s="38" t="str">
        <f t="shared" si="105"/>
        <v/>
      </c>
      <c r="U980" s="37" t="str">
        <f t="shared" si="106"/>
        <v/>
      </c>
    </row>
    <row r="981" spans="2:21" ht="17.25">
      <c r="B981" s="156"/>
      <c r="C981" s="156"/>
      <c r="D981" s="157"/>
      <c r="E981" s="155"/>
      <c r="F981" s="151"/>
      <c r="G981" s="152"/>
      <c r="H981" s="153"/>
      <c r="I981" s="154"/>
      <c r="J981" s="154"/>
      <c r="K981" s="30" t="str">
        <f>IF(H981="","",IF($C$30="간이법","",FPR(H981,I981,J981)))</f>
        <v/>
      </c>
      <c r="L981" s="30" t="str">
        <f>IF(H981="","",IF($C$30="상세법",FPV(H981,K981),IF(H981="EI",4,IF(H981="EO",5.2,IF(H981="EQ",3.9,IF(H981="ILF",7.5,IF(H981="EIF",5.4)))))))</f>
        <v/>
      </c>
      <c r="M981" s="30" t="str">
        <f t="shared" si="100"/>
        <v/>
      </c>
      <c r="N981" s="134"/>
      <c r="O981" s="29"/>
      <c r="P981" s="37" t="str">
        <f t="shared" si="101"/>
        <v/>
      </c>
      <c r="Q981" s="38" t="str">
        <f t="shared" si="102"/>
        <v/>
      </c>
      <c r="R981" s="37" t="str">
        <f t="shared" si="103"/>
        <v/>
      </c>
      <c r="S981" s="37" t="str">
        <f t="shared" si="104"/>
        <v/>
      </c>
      <c r="T981" s="38" t="str">
        <f t="shared" si="105"/>
        <v/>
      </c>
      <c r="U981" s="37" t="str">
        <f t="shared" si="106"/>
        <v/>
      </c>
    </row>
    <row r="982" spans="2:21" ht="17.25">
      <c r="B982" s="156"/>
      <c r="C982" s="156"/>
      <c r="D982" s="157"/>
      <c r="E982" s="155"/>
      <c r="F982" s="151"/>
      <c r="G982" s="152"/>
      <c r="H982" s="153"/>
      <c r="I982" s="154"/>
      <c r="J982" s="154"/>
      <c r="K982" s="30" t="str">
        <f>IF(H982="","",IF($C$30="간이법","",FPR(H982,I982,J982)))</f>
        <v/>
      </c>
      <c r="L982" s="30" t="str">
        <f>IF(H982="","",IF($C$30="상세법",FPV(H982,K982),IF(H982="EI",4,IF(H982="EO",5.2,IF(H982="EQ",3.9,IF(H982="ILF",7.5,IF(H982="EIF",5.4)))))))</f>
        <v/>
      </c>
      <c r="M982" s="30" t="str">
        <f t="shared" si="100"/>
        <v/>
      </c>
      <c r="N982" s="134"/>
      <c r="O982" s="29"/>
      <c r="P982" s="37" t="str">
        <f t="shared" si="101"/>
        <v/>
      </c>
      <c r="Q982" s="38" t="str">
        <f t="shared" si="102"/>
        <v/>
      </c>
      <c r="R982" s="37" t="str">
        <f t="shared" si="103"/>
        <v/>
      </c>
      <c r="S982" s="37" t="str">
        <f t="shared" si="104"/>
        <v/>
      </c>
      <c r="T982" s="38" t="str">
        <f t="shared" si="105"/>
        <v/>
      </c>
      <c r="U982" s="37" t="str">
        <f t="shared" si="106"/>
        <v/>
      </c>
    </row>
    <row r="983" spans="2:21" ht="17.25">
      <c r="B983" s="156"/>
      <c r="C983" s="156"/>
      <c r="D983" s="157"/>
      <c r="E983" s="155"/>
      <c r="F983" s="151"/>
      <c r="G983" s="152"/>
      <c r="H983" s="153"/>
      <c r="I983" s="154"/>
      <c r="J983" s="154"/>
      <c r="K983" s="30" t="str">
        <f>IF(H983="","",IF($C$30="간이법","",FPR(H983,I983,J983)))</f>
        <v/>
      </c>
      <c r="L983" s="30" t="str">
        <f>IF(H983="","",IF($C$30="상세법",FPV(H983,K983),IF(H983="EI",4,IF(H983="EO",5.2,IF(H983="EQ",3.9,IF(H983="ILF",7.5,IF(H983="EIF",5.4)))))))</f>
        <v/>
      </c>
      <c r="M983" s="30" t="str">
        <f t="shared" si="100"/>
        <v/>
      </c>
      <c r="N983" s="134"/>
      <c r="O983" s="29"/>
      <c r="P983" s="37" t="str">
        <f t="shared" si="101"/>
        <v/>
      </c>
      <c r="Q983" s="38" t="str">
        <f t="shared" si="102"/>
        <v/>
      </c>
      <c r="R983" s="37" t="str">
        <f t="shared" si="103"/>
        <v/>
      </c>
      <c r="S983" s="37" t="str">
        <f t="shared" si="104"/>
        <v/>
      </c>
      <c r="T983" s="38" t="str">
        <f t="shared" si="105"/>
        <v/>
      </c>
      <c r="U983" s="37" t="str">
        <f t="shared" si="106"/>
        <v/>
      </c>
    </row>
    <row r="984" spans="2:21" ht="17.25">
      <c r="B984" s="156"/>
      <c r="C984" s="156"/>
      <c r="D984" s="157"/>
      <c r="E984" s="155"/>
      <c r="F984" s="151"/>
      <c r="G984" s="152"/>
      <c r="H984" s="153"/>
      <c r="I984" s="154"/>
      <c r="J984" s="154"/>
      <c r="K984" s="30" t="str">
        <f>IF(H984="","",IF($C$30="간이법","",FPR(H984,I984,J984)))</f>
        <v/>
      </c>
      <c r="L984" s="30" t="str">
        <f>IF(H984="","",IF($C$30="상세법",FPV(H984,K984),IF(H984="EI",4,IF(H984="EO",5.2,IF(H984="EQ",3.9,IF(H984="ILF",7.5,IF(H984="EIF",5.4)))))))</f>
        <v/>
      </c>
      <c r="M984" s="30" t="str">
        <f t="shared" si="100"/>
        <v/>
      </c>
      <c r="N984" s="134"/>
      <c r="O984" s="29"/>
      <c r="P984" s="37" t="str">
        <f t="shared" si="101"/>
        <v/>
      </c>
      <c r="Q984" s="38" t="str">
        <f t="shared" si="102"/>
        <v/>
      </c>
      <c r="R984" s="37" t="str">
        <f t="shared" si="103"/>
        <v/>
      </c>
      <c r="S984" s="37" t="str">
        <f t="shared" si="104"/>
        <v/>
      </c>
      <c r="T984" s="38" t="str">
        <f t="shared" si="105"/>
        <v/>
      </c>
      <c r="U984" s="37" t="str">
        <f t="shared" si="106"/>
        <v/>
      </c>
    </row>
    <row r="985" spans="2:21" ht="17.25">
      <c r="B985" s="156"/>
      <c r="C985" s="156"/>
      <c r="D985" s="157"/>
      <c r="E985" s="155"/>
      <c r="F985" s="151"/>
      <c r="G985" s="152"/>
      <c r="H985" s="153"/>
      <c r="I985" s="154"/>
      <c r="J985" s="154"/>
      <c r="K985" s="30" t="str">
        <f>IF(H985="","",IF($C$30="간이법","",FPR(H985,I985,J985)))</f>
        <v/>
      </c>
      <c r="L985" s="30" t="str">
        <f>IF(H985="","",IF($C$30="상세법",FPV(H985,K985),IF(H985="EI",4,IF(H985="EO",5.2,IF(H985="EQ",3.9,IF(H985="ILF",7.5,IF(H985="EIF",5.4)))))))</f>
        <v/>
      </c>
      <c r="M985" s="30" t="str">
        <f t="shared" si="100"/>
        <v/>
      </c>
      <c r="N985" s="134"/>
      <c r="O985" s="29"/>
      <c r="P985" s="37" t="str">
        <f t="shared" si="101"/>
        <v/>
      </c>
      <c r="Q985" s="38" t="str">
        <f t="shared" si="102"/>
        <v/>
      </c>
      <c r="R985" s="37" t="str">
        <f t="shared" si="103"/>
        <v/>
      </c>
      <c r="S985" s="37" t="str">
        <f t="shared" si="104"/>
        <v/>
      </c>
      <c r="T985" s="38" t="str">
        <f t="shared" si="105"/>
        <v/>
      </c>
      <c r="U985" s="37" t="str">
        <f t="shared" si="106"/>
        <v/>
      </c>
    </row>
    <row r="986" spans="2:21" ht="17.25">
      <c r="B986" s="156"/>
      <c r="C986" s="156"/>
      <c r="D986" s="157"/>
      <c r="E986" s="155"/>
      <c r="F986" s="151"/>
      <c r="G986" s="152"/>
      <c r="H986" s="153"/>
      <c r="I986" s="154"/>
      <c r="J986" s="154"/>
      <c r="K986" s="30" t="str">
        <f>IF(H986="","",IF($C$30="간이법","",FPR(H986,I986,J986)))</f>
        <v/>
      </c>
      <c r="L986" s="30" t="str">
        <f>IF(H986="","",IF($C$30="상세법",FPV(H986,K986),IF(H986="EI",4,IF(H986="EO",5.2,IF(H986="EQ",3.9,IF(H986="ILF",7.5,IF(H986="EIF",5.4)))))))</f>
        <v/>
      </c>
      <c r="M986" s="30" t="str">
        <f t="shared" si="100"/>
        <v/>
      </c>
      <c r="N986" s="134"/>
      <c r="O986" s="29"/>
      <c r="P986" s="37" t="str">
        <f t="shared" si="101"/>
        <v/>
      </c>
      <c r="Q986" s="38" t="str">
        <f t="shared" si="102"/>
        <v/>
      </c>
      <c r="R986" s="37" t="str">
        <f t="shared" si="103"/>
        <v/>
      </c>
      <c r="S986" s="37" t="str">
        <f t="shared" si="104"/>
        <v/>
      </c>
      <c r="T986" s="38" t="str">
        <f t="shared" si="105"/>
        <v/>
      </c>
      <c r="U986" s="37" t="str">
        <f t="shared" si="106"/>
        <v/>
      </c>
    </row>
    <row r="987" spans="2:21" ht="17.25">
      <c r="B987" s="156"/>
      <c r="C987" s="156"/>
      <c r="D987" s="157"/>
      <c r="E987" s="155"/>
      <c r="F987" s="151"/>
      <c r="G987" s="152"/>
      <c r="H987" s="153"/>
      <c r="I987" s="154"/>
      <c r="J987" s="154"/>
      <c r="K987" s="30" t="str">
        <f>IF(H987="","",IF($C$30="간이법","",FPR(H987,I987,J987)))</f>
        <v/>
      </c>
      <c r="L987" s="30" t="str">
        <f>IF(H987="","",IF($C$30="상세법",FPV(H987,K987),IF(H987="EI",4,IF(H987="EO",5.2,IF(H987="EQ",3.9,IF(H987="ILF",7.5,IF(H987="EIF",5.4)))))))</f>
        <v/>
      </c>
      <c r="M987" s="30" t="str">
        <f t="shared" si="100"/>
        <v/>
      </c>
      <c r="N987" s="134"/>
      <c r="O987" s="29"/>
      <c r="P987" s="37" t="str">
        <f t="shared" si="101"/>
        <v/>
      </c>
      <c r="Q987" s="38" t="str">
        <f t="shared" si="102"/>
        <v/>
      </c>
      <c r="R987" s="37" t="str">
        <f t="shared" si="103"/>
        <v/>
      </c>
      <c r="S987" s="37" t="str">
        <f t="shared" si="104"/>
        <v/>
      </c>
      <c r="T987" s="38" t="str">
        <f t="shared" si="105"/>
        <v/>
      </c>
      <c r="U987" s="37" t="str">
        <f t="shared" si="106"/>
        <v/>
      </c>
    </row>
    <row r="988" spans="2:21" ht="17.25">
      <c r="B988" s="156"/>
      <c r="C988" s="156"/>
      <c r="D988" s="157"/>
      <c r="E988" s="155"/>
      <c r="F988" s="151"/>
      <c r="G988" s="152"/>
      <c r="H988" s="153"/>
      <c r="I988" s="154"/>
      <c r="J988" s="154"/>
      <c r="K988" s="30" t="str">
        <f>IF(H988="","",IF($C$30="간이법","",FPR(H988,I988,J988)))</f>
        <v/>
      </c>
      <c r="L988" s="30" t="str">
        <f>IF(H988="","",IF($C$30="상세법",FPV(H988,K988),IF(H988="EI",4,IF(H988="EO",5.2,IF(H988="EQ",3.9,IF(H988="ILF",7.5,IF(H988="EIF",5.4)))))))</f>
        <v/>
      </c>
      <c r="M988" s="30" t="str">
        <f t="shared" si="100"/>
        <v/>
      </c>
      <c r="N988" s="134"/>
      <c r="O988" s="29"/>
      <c r="P988" s="37" t="str">
        <f t="shared" si="101"/>
        <v/>
      </c>
      <c r="Q988" s="38" t="str">
        <f t="shared" si="102"/>
        <v/>
      </c>
      <c r="R988" s="37" t="str">
        <f t="shared" si="103"/>
        <v/>
      </c>
      <c r="S988" s="37" t="str">
        <f t="shared" si="104"/>
        <v/>
      </c>
      <c r="T988" s="38" t="str">
        <f t="shared" si="105"/>
        <v/>
      </c>
      <c r="U988" s="37" t="str">
        <f t="shared" si="106"/>
        <v/>
      </c>
    </row>
    <row r="989" spans="2:21" ht="17.25">
      <c r="B989" s="156"/>
      <c r="C989" s="156"/>
      <c r="D989" s="157"/>
      <c r="E989" s="155"/>
      <c r="F989" s="151"/>
      <c r="G989" s="152"/>
      <c r="H989" s="153"/>
      <c r="I989" s="154"/>
      <c r="J989" s="154"/>
      <c r="K989" s="30" t="str">
        <f>IF(H989="","",IF($C$30="간이법","",FPR(H989,I989,J989)))</f>
        <v/>
      </c>
      <c r="L989" s="30" t="str">
        <f>IF(H989="","",IF($C$30="상세법",FPV(H989,K989),IF(H989="EI",4,IF(H989="EO",5.2,IF(H989="EQ",3.9,IF(H989="ILF",7.5,IF(H989="EIF",5.4)))))))</f>
        <v/>
      </c>
      <c r="M989" s="30" t="str">
        <f t="shared" si="100"/>
        <v/>
      </c>
      <c r="N989" s="134"/>
      <c r="O989" s="29"/>
      <c r="P989" s="37" t="str">
        <f t="shared" si="101"/>
        <v/>
      </c>
      <c r="Q989" s="38" t="str">
        <f t="shared" si="102"/>
        <v/>
      </c>
      <c r="R989" s="37" t="str">
        <f t="shared" si="103"/>
        <v/>
      </c>
      <c r="S989" s="37" t="str">
        <f t="shared" si="104"/>
        <v/>
      </c>
      <c r="T989" s="38" t="str">
        <f t="shared" si="105"/>
        <v/>
      </c>
      <c r="U989" s="37" t="str">
        <f t="shared" si="106"/>
        <v/>
      </c>
    </row>
    <row r="990" spans="2:21" ht="17.25">
      <c r="B990" s="156"/>
      <c r="C990" s="156"/>
      <c r="D990" s="157"/>
      <c r="E990" s="155"/>
      <c r="F990" s="151"/>
      <c r="G990" s="152"/>
      <c r="H990" s="153"/>
      <c r="I990" s="154"/>
      <c r="J990" s="154"/>
      <c r="K990" s="30" t="str">
        <f>IF(H990="","",IF($C$30="간이법","",FPR(H990,I990,J990)))</f>
        <v/>
      </c>
      <c r="L990" s="30" t="str">
        <f>IF(H990="","",IF($C$30="상세법",FPV(H990,K990),IF(H990="EI",4,IF(H990="EO",5.2,IF(H990="EQ",3.9,IF(H990="ILF",7.5,IF(H990="EIF",5.4)))))))</f>
        <v/>
      </c>
      <c r="M990" s="30" t="str">
        <f t="shared" si="100"/>
        <v/>
      </c>
      <c r="N990" s="134"/>
      <c r="O990" s="29"/>
      <c r="P990" s="37" t="str">
        <f t="shared" si="101"/>
        <v/>
      </c>
      <c r="Q990" s="38" t="str">
        <f t="shared" si="102"/>
        <v/>
      </c>
      <c r="R990" s="37" t="str">
        <f t="shared" si="103"/>
        <v/>
      </c>
      <c r="S990" s="37" t="str">
        <f t="shared" si="104"/>
        <v/>
      </c>
      <c r="T990" s="38" t="str">
        <f t="shared" si="105"/>
        <v/>
      </c>
      <c r="U990" s="37" t="str">
        <f t="shared" si="106"/>
        <v/>
      </c>
    </row>
    <row r="991" spans="2:21" ht="17.25">
      <c r="B991" s="156"/>
      <c r="C991" s="156"/>
      <c r="D991" s="157"/>
      <c r="E991" s="155"/>
      <c r="F991" s="151"/>
      <c r="G991" s="152"/>
      <c r="H991" s="153"/>
      <c r="I991" s="154"/>
      <c r="J991" s="154"/>
      <c r="K991" s="30" t="str">
        <f>IF(H991="","",IF($C$30="간이법","",FPR(H991,I991,J991)))</f>
        <v/>
      </c>
      <c r="L991" s="30" t="str">
        <f>IF(H991="","",IF($C$30="상세법",FPV(H991,K991),IF(H991="EI",4,IF(H991="EO",5.2,IF(H991="EQ",3.9,IF(H991="ILF",7.5,IF(H991="EIF",5.4)))))))</f>
        <v/>
      </c>
      <c r="M991" s="30" t="str">
        <f t="shared" si="100"/>
        <v/>
      </c>
      <c r="N991" s="134"/>
      <c r="O991" s="29"/>
      <c r="P991" s="37" t="str">
        <f t="shared" si="101"/>
        <v/>
      </c>
      <c r="Q991" s="38" t="str">
        <f t="shared" si="102"/>
        <v/>
      </c>
      <c r="R991" s="37" t="str">
        <f t="shared" si="103"/>
        <v/>
      </c>
      <c r="S991" s="37" t="str">
        <f t="shared" si="104"/>
        <v/>
      </c>
      <c r="T991" s="38" t="str">
        <f t="shared" si="105"/>
        <v/>
      </c>
      <c r="U991" s="37" t="str">
        <f t="shared" si="106"/>
        <v/>
      </c>
    </row>
    <row r="992" spans="2:21" ht="17.25">
      <c r="B992" s="156"/>
      <c r="C992" s="156"/>
      <c r="D992" s="157"/>
      <c r="E992" s="155"/>
      <c r="F992" s="151"/>
      <c r="G992" s="152"/>
      <c r="H992" s="153"/>
      <c r="I992" s="154"/>
      <c r="J992" s="154"/>
      <c r="K992" s="30" t="str">
        <f>IF(H992="","",IF($C$30="간이법","",FPR(H992,I992,J992)))</f>
        <v/>
      </c>
      <c r="L992" s="30" t="str">
        <f>IF(H992="","",IF($C$30="상세법",FPV(H992,K992),IF(H992="EI",4,IF(H992="EO",5.2,IF(H992="EQ",3.9,IF(H992="ILF",7.5,IF(H992="EIF",5.4)))))))</f>
        <v/>
      </c>
      <c r="M992" s="30" t="str">
        <f t="shared" si="100"/>
        <v/>
      </c>
      <c r="N992" s="134"/>
      <c r="O992" s="29"/>
      <c r="P992" s="37" t="str">
        <f t="shared" si="101"/>
        <v/>
      </c>
      <c r="Q992" s="38" t="str">
        <f t="shared" si="102"/>
        <v/>
      </c>
      <c r="R992" s="37" t="str">
        <f t="shared" si="103"/>
        <v/>
      </c>
      <c r="S992" s="37" t="str">
        <f t="shared" si="104"/>
        <v/>
      </c>
      <c r="T992" s="38" t="str">
        <f t="shared" si="105"/>
        <v/>
      </c>
      <c r="U992" s="37" t="str">
        <f t="shared" si="106"/>
        <v/>
      </c>
    </row>
    <row r="993" spans="2:21" ht="17.25">
      <c r="B993" s="156"/>
      <c r="C993" s="156"/>
      <c r="D993" s="157"/>
      <c r="E993" s="155"/>
      <c r="F993" s="151"/>
      <c r="G993" s="152"/>
      <c r="H993" s="153"/>
      <c r="I993" s="154"/>
      <c r="J993" s="154"/>
      <c r="K993" s="30" t="str">
        <f>IF(H993="","",IF($C$30="간이법","",FPR(H993,I993,J993)))</f>
        <v/>
      </c>
      <c r="L993" s="30" t="str">
        <f>IF(H993="","",IF($C$30="상세법",FPV(H993,K993),IF(H993="EI",4,IF(H993="EO",5.2,IF(H993="EQ",3.9,IF(H993="ILF",7.5,IF(H993="EIF",5.4)))))))</f>
        <v/>
      </c>
      <c r="M993" s="30" t="str">
        <f t="shared" si="100"/>
        <v/>
      </c>
      <c r="N993" s="134"/>
      <c r="O993" s="29"/>
      <c r="P993" s="37" t="str">
        <f t="shared" si="101"/>
        <v/>
      </c>
      <c r="Q993" s="38" t="str">
        <f t="shared" si="102"/>
        <v/>
      </c>
      <c r="R993" s="37" t="str">
        <f t="shared" si="103"/>
        <v/>
      </c>
      <c r="S993" s="37" t="str">
        <f t="shared" si="104"/>
        <v/>
      </c>
      <c r="T993" s="38" t="str">
        <f t="shared" si="105"/>
        <v/>
      </c>
      <c r="U993" s="37" t="str">
        <f t="shared" si="106"/>
        <v/>
      </c>
    </row>
    <row r="994" spans="2:21" ht="17.25">
      <c r="B994" s="156"/>
      <c r="C994" s="156"/>
      <c r="D994" s="157"/>
      <c r="E994" s="155"/>
      <c r="F994" s="151"/>
      <c r="G994" s="152"/>
      <c r="H994" s="153"/>
      <c r="I994" s="154"/>
      <c r="J994" s="154"/>
      <c r="K994" s="30" t="str">
        <f>IF(H994="","",IF($C$30="간이법","",FPR(H994,I994,J994)))</f>
        <v/>
      </c>
      <c r="L994" s="30" t="str">
        <f>IF(H994="","",IF($C$30="상세법",FPV(H994,K994),IF(H994="EI",4,IF(H994="EO",5.2,IF(H994="EQ",3.9,IF(H994="ILF",7.5,IF(H994="EIF",5.4)))))))</f>
        <v/>
      </c>
      <c r="M994" s="30" t="str">
        <f t="shared" si="100"/>
        <v/>
      </c>
      <c r="N994" s="134"/>
      <c r="O994" s="29"/>
      <c r="P994" s="37" t="str">
        <f t="shared" si="101"/>
        <v/>
      </c>
      <c r="Q994" s="38" t="str">
        <f t="shared" si="102"/>
        <v/>
      </c>
      <c r="R994" s="37" t="str">
        <f t="shared" si="103"/>
        <v/>
      </c>
      <c r="S994" s="37" t="str">
        <f t="shared" si="104"/>
        <v/>
      </c>
      <c r="T994" s="38" t="str">
        <f t="shared" si="105"/>
        <v/>
      </c>
      <c r="U994" s="37" t="str">
        <f t="shared" si="106"/>
        <v/>
      </c>
    </row>
    <row r="995" spans="2:21" ht="17.25">
      <c r="B995" s="156"/>
      <c r="C995" s="156"/>
      <c r="D995" s="157"/>
      <c r="E995" s="155"/>
      <c r="F995" s="151"/>
      <c r="G995" s="152"/>
      <c r="H995" s="153"/>
      <c r="I995" s="154"/>
      <c r="J995" s="154"/>
      <c r="K995" s="30" t="str">
        <f>IF(H995="","",IF($C$30="간이법","",FPR(H995,I995,J995)))</f>
        <v/>
      </c>
      <c r="L995" s="30" t="str">
        <f>IF(H995="","",IF($C$30="상세법",FPV(H995,K995),IF(H995="EI",4,IF(H995="EO",5.2,IF(H995="EQ",3.9,IF(H995="ILF",7.5,IF(H995="EIF",5.4)))))))</f>
        <v/>
      </c>
      <c r="M995" s="30" t="str">
        <f t="shared" si="100"/>
        <v/>
      </c>
      <c r="N995" s="134"/>
      <c r="O995" s="29"/>
      <c r="P995" s="37" t="str">
        <f t="shared" si="101"/>
        <v/>
      </c>
      <c r="Q995" s="38" t="str">
        <f t="shared" si="102"/>
        <v/>
      </c>
      <c r="R995" s="37" t="str">
        <f t="shared" si="103"/>
        <v/>
      </c>
      <c r="S995" s="37" t="str">
        <f t="shared" si="104"/>
        <v/>
      </c>
      <c r="T995" s="38" t="str">
        <f t="shared" si="105"/>
        <v/>
      </c>
      <c r="U995" s="37" t="str">
        <f t="shared" si="106"/>
        <v/>
      </c>
    </row>
    <row r="996" spans="2:21" ht="17.25">
      <c r="B996" s="156"/>
      <c r="C996" s="156"/>
      <c r="D996" s="157"/>
      <c r="E996" s="155"/>
      <c r="F996" s="151"/>
      <c r="G996" s="152"/>
      <c r="H996" s="153"/>
      <c r="I996" s="154"/>
      <c r="J996" s="154"/>
      <c r="K996" s="30" t="str">
        <f>IF(H996="","",IF($C$30="간이법","",FPR(H996,I996,J996)))</f>
        <v/>
      </c>
      <c r="L996" s="30" t="str">
        <f>IF(H996="","",IF($C$30="상세법",FPV(H996,K996),IF(H996="EI",4,IF(H996="EO",5.2,IF(H996="EQ",3.9,IF(H996="ILF",7.5,IF(H996="EIF",5.4)))))))</f>
        <v/>
      </c>
      <c r="M996" s="30" t="str">
        <f t="shared" si="100"/>
        <v/>
      </c>
      <c r="N996" s="134"/>
      <c r="O996" s="29"/>
      <c r="P996" s="37" t="str">
        <f t="shared" si="101"/>
        <v/>
      </c>
      <c r="Q996" s="38" t="str">
        <f t="shared" si="102"/>
        <v/>
      </c>
      <c r="R996" s="37" t="str">
        <f t="shared" si="103"/>
        <v/>
      </c>
      <c r="S996" s="37" t="str">
        <f t="shared" si="104"/>
        <v/>
      </c>
      <c r="T996" s="38" t="str">
        <f t="shared" si="105"/>
        <v/>
      </c>
      <c r="U996" s="37" t="str">
        <f t="shared" si="106"/>
        <v/>
      </c>
    </row>
    <row r="997" spans="2:21" ht="17.25">
      <c r="B997" s="156"/>
      <c r="C997" s="156"/>
      <c r="D997" s="157"/>
      <c r="E997" s="155"/>
      <c r="F997" s="151"/>
      <c r="G997" s="152"/>
      <c r="H997" s="153"/>
      <c r="I997" s="154"/>
      <c r="J997" s="154"/>
      <c r="K997" s="30" t="str">
        <f>IF(H997="","",IF($C$30="간이법","",FPR(H997,I997,J997)))</f>
        <v/>
      </c>
      <c r="L997" s="30" t="str">
        <f>IF(H997="","",IF($C$30="상세법",FPV(H997,K997),IF(H997="EI",4,IF(H997="EO",5.2,IF(H997="EQ",3.9,IF(H997="ILF",7.5,IF(H997="EIF",5.4)))))))</f>
        <v/>
      </c>
      <c r="M997" s="30" t="str">
        <f t="shared" si="100"/>
        <v/>
      </c>
      <c r="N997" s="134"/>
      <c r="O997" s="29"/>
      <c r="P997" s="37" t="str">
        <f t="shared" si="101"/>
        <v/>
      </c>
      <c r="Q997" s="38" t="str">
        <f t="shared" si="102"/>
        <v/>
      </c>
      <c r="R997" s="37" t="str">
        <f t="shared" si="103"/>
        <v/>
      </c>
      <c r="S997" s="37" t="str">
        <f t="shared" si="104"/>
        <v/>
      </c>
      <c r="T997" s="38" t="str">
        <f t="shared" si="105"/>
        <v/>
      </c>
      <c r="U997" s="37" t="str">
        <f t="shared" si="106"/>
        <v/>
      </c>
    </row>
    <row r="998" spans="2:21" ht="17.25">
      <c r="B998" s="156"/>
      <c r="C998" s="156"/>
      <c r="D998" s="157"/>
      <c r="E998" s="155"/>
      <c r="F998" s="151"/>
      <c r="G998" s="152"/>
      <c r="H998" s="153"/>
      <c r="I998" s="154"/>
      <c r="J998" s="154"/>
      <c r="K998" s="30" t="str">
        <f>IF(H998="","",IF($C$30="간이법","",FPR(H998,I998,J998)))</f>
        <v/>
      </c>
      <c r="L998" s="30" t="str">
        <f>IF(H998="","",IF($C$30="상세법",FPV(H998,K998),IF(H998="EI",4,IF(H998="EO",5.2,IF(H998="EQ",3.9,IF(H998="ILF",7.5,IF(H998="EIF",5.4)))))))</f>
        <v/>
      </c>
      <c r="M998" s="30" t="str">
        <f t="shared" si="100"/>
        <v/>
      </c>
      <c r="N998" s="134"/>
      <c r="O998" s="29"/>
      <c r="P998" s="37" t="str">
        <f t="shared" si="101"/>
        <v/>
      </c>
      <c r="Q998" s="38" t="str">
        <f t="shared" si="102"/>
        <v/>
      </c>
      <c r="R998" s="37" t="str">
        <f t="shared" si="103"/>
        <v/>
      </c>
      <c r="S998" s="37" t="str">
        <f t="shared" si="104"/>
        <v/>
      </c>
      <c r="T998" s="38" t="str">
        <f t="shared" si="105"/>
        <v/>
      </c>
      <c r="U998" s="37" t="str">
        <f t="shared" si="106"/>
        <v/>
      </c>
    </row>
    <row r="999" spans="2:21" ht="17.25">
      <c r="B999" s="156"/>
      <c r="C999" s="156"/>
      <c r="D999" s="157"/>
      <c r="E999" s="155"/>
      <c r="F999" s="151"/>
      <c r="G999" s="152"/>
      <c r="H999" s="153"/>
      <c r="I999" s="154"/>
      <c r="J999" s="154"/>
      <c r="K999" s="30" t="str">
        <f>IF(H999="","",IF($C$30="간이법","",FPR(H999,I999,J999)))</f>
        <v/>
      </c>
      <c r="L999" s="30" t="str">
        <f>IF(H999="","",IF($C$30="상세법",FPV(H999,K999),IF(H999="EI",4,IF(H999="EO",5.2,IF(H999="EQ",3.9,IF(H999="ILF",7.5,IF(H999="EIF",5.4)))))))</f>
        <v/>
      </c>
      <c r="M999" s="30" t="str">
        <f t="shared" si="100"/>
        <v/>
      </c>
      <c r="N999" s="134"/>
      <c r="O999" s="29"/>
      <c r="P999" s="37" t="str">
        <f t="shared" si="101"/>
        <v/>
      </c>
      <c r="Q999" s="38" t="str">
        <f t="shared" si="102"/>
        <v/>
      </c>
      <c r="R999" s="37" t="str">
        <f t="shared" si="103"/>
        <v/>
      </c>
      <c r="S999" s="37" t="str">
        <f t="shared" si="104"/>
        <v/>
      </c>
      <c r="T999" s="38" t="str">
        <f t="shared" si="105"/>
        <v/>
      </c>
      <c r="U999" s="37" t="str">
        <f t="shared" si="106"/>
        <v/>
      </c>
    </row>
    <row r="1000" spans="2:21" ht="17.25">
      <c r="B1000" s="156"/>
      <c r="C1000" s="156"/>
      <c r="D1000" s="157"/>
      <c r="E1000" s="155"/>
      <c r="F1000" s="151"/>
      <c r="G1000" s="152"/>
      <c r="H1000" s="153"/>
      <c r="I1000" s="154"/>
      <c r="J1000" s="154"/>
      <c r="K1000" s="30" t="str">
        <f>IF(H1000="","",IF($C$30="간이법","",FPR(H1000,I1000,J1000)))</f>
        <v/>
      </c>
      <c r="L1000" s="30" t="str">
        <f>IF(H1000="","",IF($C$30="상세법",FPV(H1000,K1000),IF(H1000="EI",4,IF(H1000="EO",5.2,IF(H1000="EQ",3.9,IF(H1000="ILF",7.5,IF(H1000="EIF",5.4)))))))</f>
        <v/>
      </c>
      <c r="M1000" s="30" t="str">
        <f t="shared" si="100"/>
        <v/>
      </c>
      <c r="N1000" s="134"/>
      <c r="O1000" s="29"/>
      <c r="P1000" s="37" t="str">
        <f t="shared" si="101"/>
        <v/>
      </c>
      <c r="Q1000" s="38" t="str">
        <f t="shared" si="102"/>
        <v/>
      </c>
      <c r="R1000" s="37" t="str">
        <f t="shared" si="103"/>
        <v/>
      </c>
      <c r="S1000" s="37" t="str">
        <f t="shared" si="104"/>
        <v/>
      </c>
      <c r="T1000" s="38" t="str">
        <f t="shared" si="105"/>
        <v/>
      </c>
      <c r="U1000" s="37" t="str">
        <f t="shared" si="106"/>
        <v/>
      </c>
    </row>
    <row r="1001" spans="2:21" ht="17.25">
      <c r="B1001" s="156"/>
      <c r="C1001" s="156"/>
      <c r="D1001" s="157"/>
      <c r="E1001" s="155"/>
      <c r="F1001" s="151"/>
      <c r="G1001" s="152"/>
      <c r="H1001" s="153"/>
      <c r="I1001" s="154"/>
      <c r="J1001" s="154"/>
      <c r="K1001" s="30" t="str">
        <f>IF(H1001="","",IF($C$30="간이법","",FPR(H1001,I1001,J1001)))</f>
        <v/>
      </c>
      <c r="L1001" s="30" t="str">
        <f>IF(H1001="","",IF($C$30="상세법",FPV(H1001,K1001),IF(H1001="EI",4,IF(H1001="EO",5.2,IF(H1001="EQ",3.9,IF(H1001="ILF",7.5,IF(H1001="EIF",5.4)))))))</f>
        <v/>
      </c>
      <c r="M1001" s="30" t="str">
        <f t="shared" si="100"/>
        <v/>
      </c>
      <c r="N1001" s="134"/>
      <c r="O1001" s="29"/>
      <c r="P1001" s="37" t="str">
        <f t="shared" si="101"/>
        <v/>
      </c>
      <c r="Q1001" s="38" t="str">
        <f t="shared" si="102"/>
        <v/>
      </c>
      <c r="R1001" s="37" t="str">
        <f t="shared" si="103"/>
        <v/>
      </c>
      <c r="S1001" s="37" t="str">
        <f t="shared" si="104"/>
        <v/>
      </c>
      <c r="T1001" s="38" t="str">
        <f t="shared" si="105"/>
        <v/>
      </c>
      <c r="U1001" s="37" t="str">
        <f t="shared" si="106"/>
        <v/>
      </c>
    </row>
    <row r="1002" spans="2:21" ht="17.25">
      <c r="B1002" s="156"/>
      <c r="C1002" s="156"/>
      <c r="D1002" s="157"/>
      <c r="E1002" s="155"/>
      <c r="F1002" s="151"/>
      <c r="G1002" s="152"/>
      <c r="H1002" s="153"/>
      <c r="I1002" s="154"/>
      <c r="J1002" s="154"/>
      <c r="K1002" s="30" t="str">
        <f>IF(H1002="","",IF($C$30="간이법","",FPR(H1002,I1002,J1002)))</f>
        <v/>
      </c>
      <c r="L1002" s="30" t="str">
        <f>IF(H1002="","",IF($C$30="상세법",FPV(H1002,K1002),IF(H1002="EI",4,IF(H1002="EO",5.2,IF(H1002="EQ",3.9,IF(H1002="ILF",7.5,IF(H1002="EIF",5.4)))))))</f>
        <v/>
      </c>
      <c r="M1002" s="30" t="str">
        <f t="shared" si="100"/>
        <v/>
      </c>
      <c r="N1002" s="134"/>
      <c r="O1002" s="29"/>
      <c r="P1002" s="37" t="str">
        <f t="shared" si="101"/>
        <v/>
      </c>
      <c r="Q1002" s="38" t="str">
        <f t="shared" si="102"/>
        <v/>
      </c>
      <c r="R1002" s="37" t="str">
        <f t="shared" si="103"/>
        <v/>
      </c>
      <c r="S1002" s="37" t="str">
        <f t="shared" si="104"/>
        <v/>
      </c>
      <c r="T1002" s="38" t="str">
        <f t="shared" si="105"/>
        <v/>
      </c>
      <c r="U1002" s="37" t="str">
        <f t="shared" si="106"/>
        <v/>
      </c>
    </row>
    <row r="1003" spans="2:21" ht="17.25">
      <c r="B1003" s="156"/>
      <c r="C1003" s="156"/>
      <c r="D1003" s="157"/>
      <c r="E1003" s="155"/>
      <c r="F1003" s="151"/>
      <c r="G1003" s="152"/>
      <c r="H1003" s="153"/>
      <c r="I1003" s="154"/>
      <c r="J1003" s="154"/>
      <c r="K1003" s="30" t="str">
        <f>IF(H1003="","",IF($C$30="간이법","",FPR(H1003,I1003,J1003)))</f>
        <v/>
      </c>
      <c r="L1003" s="30" t="str">
        <f>IF(H1003="","",IF($C$30="상세법",FPV(H1003,K1003),IF(H1003="EI",4,IF(H1003="EO",5.2,IF(H1003="EQ",3.9,IF(H1003="ILF",7.5,IF(H1003="EIF",5.4)))))))</f>
        <v/>
      </c>
      <c r="M1003" s="30" t="str">
        <f t="shared" si="100"/>
        <v/>
      </c>
      <c r="N1003" s="134"/>
      <c r="O1003" s="29"/>
      <c r="P1003" s="37" t="str">
        <f t="shared" si="101"/>
        <v/>
      </c>
      <c r="Q1003" s="38" t="str">
        <f t="shared" si="102"/>
        <v/>
      </c>
      <c r="R1003" s="37" t="str">
        <f t="shared" si="103"/>
        <v/>
      </c>
      <c r="S1003" s="37" t="str">
        <f t="shared" si="104"/>
        <v/>
      </c>
      <c r="T1003" s="38" t="str">
        <f t="shared" si="105"/>
        <v/>
      </c>
      <c r="U1003" s="37" t="str">
        <f t="shared" si="106"/>
        <v/>
      </c>
    </row>
    <row r="1004" spans="2:21" ht="17.25">
      <c r="B1004" s="156"/>
      <c r="C1004" s="156"/>
      <c r="D1004" s="157"/>
      <c r="E1004" s="155"/>
      <c r="F1004" s="151"/>
      <c r="G1004" s="152"/>
      <c r="H1004" s="153"/>
      <c r="I1004" s="154"/>
      <c r="J1004" s="154"/>
      <c r="K1004" s="30" t="str">
        <f>IF(H1004="","",IF($C$30="간이법","",FPR(H1004,I1004,J1004)))</f>
        <v/>
      </c>
      <c r="L1004" s="30" t="str">
        <f>IF(H1004="","",IF($C$30="상세법",FPV(H1004,K1004),IF(H1004="EI",4,IF(H1004="EO",5.2,IF(H1004="EQ",3.9,IF(H1004="ILF",7.5,IF(H1004="EIF",5.4)))))))</f>
        <v/>
      </c>
      <c r="M1004" s="30" t="str">
        <f t="shared" si="100"/>
        <v/>
      </c>
      <c r="N1004" s="134"/>
      <c r="O1004" s="29"/>
      <c r="P1004" s="37" t="str">
        <f t="shared" si="101"/>
        <v/>
      </c>
      <c r="Q1004" s="38" t="str">
        <f t="shared" si="102"/>
        <v/>
      </c>
      <c r="R1004" s="37" t="str">
        <f t="shared" si="103"/>
        <v/>
      </c>
      <c r="S1004" s="37" t="str">
        <f t="shared" si="104"/>
        <v/>
      </c>
      <c r="T1004" s="38" t="str">
        <f t="shared" si="105"/>
        <v/>
      </c>
      <c r="U1004" s="37" t="str">
        <f t="shared" si="106"/>
        <v/>
      </c>
    </row>
    <row r="1005" spans="2:21" ht="17.25">
      <c r="B1005" s="156"/>
      <c r="C1005" s="156"/>
      <c r="D1005" s="157"/>
      <c r="E1005" s="155"/>
      <c r="F1005" s="151"/>
      <c r="G1005" s="152"/>
      <c r="H1005" s="153"/>
      <c r="I1005" s="154"/>
      <c r="J1005" s="154"/>
      <c r="K1005" s="30" t="str">
        <f>IF(H1005="","",IF($C$30="간이법","",FPR(H1005,I1005,J1005)))</f>
        <v/>
      </c>
      <c r="L1005" s="30" t="str">
        <f>IF(H1005="","",IF($C$30="상세법",FPV(H1005,K1005),IF(H1005="EI",4,IF(H1005="EO",5.2,IF(H1005="EQ",3.9,IF(H1005="ILF",7.5,IF(H1005="EIF",5.4)))))))</f>
        <v/>
      </c>
      <c r="M1005" s="30" t="str">
        <f t="shared" si="100"/>
        <v/>
      </c>
      <c r="N1005" s="134"/>
      <c r="O1005" s="29"/>
      <c r="P1005" s="37" t="str">
        <f t="shared" si="101"/>
        <v/>
      </c>
      <c r="Q1005" s="38" t="str">
        <f t="shared" si="102"/>
        <v/>
      </c>
      <c r="R1005" s="37" t="str">
        <f t="shared" si="103"/>
        <v/>
      </c>
      <c r="S1005" s="37" t="str">
        <f t="shared" si="104"/>
        <v/>
      </c>
      <c r="T1005" s="38" t="str">
        <f t="shared" si="105"/>
        <v/>
      </c>
      <c r="U1005" s="37" t="str">
        <f t="shared" si="106"/>
        <v/>
      </c>
    </row>
    <row r="1006" spans="2:21" ht="17.25">
      <c r="B1006" s="156"/>
      <c r="C1006" s="156"/>
      <c r="D1006" s="157"/>
      <c r="E1006" s="155"/>
      <c r="F1006" s="151"/>
      <c r="G1006" s="152"/>
      <c r="H1006" s="153"/>
      <c r="I1006" s="154"/>
      <c r="J1006" s="154"/>
      <c r="K1006" s="30" t="str">
        <f>IF(H1006="","",IF($C$30="간이법","",FPR(H1006,I1006,J1006)))</f>
        <v/>
      </c>
      <c r="L1006" s="30" t="str">
        <f>IF(H1006="","",IF($C$30="상세법",FPV(H1006,K1006),IF(H1006="EI",4,IF(H1006="EO",5.2,IF(H1006="EQ",3.9,IF(H1006="ILF",7.5,IF(H1006="EIF",5.4)))))))</f>
        <v/>
      </c>
      <c r="M1006" s="30" t="str">
        <f t="shared" si="100"/>
        <v/>
      </c>
      <c r="N1006" s="134"/>
      <c r="O1006" s="29"/>
      <c r="P1006" s="37" t="str">
        <f t="shared" si="101"/>
        <v/>
      </c>
      <c r="Q1006" s="38" t="str">
        <f t="shared" si="102"/>
        <v/>
      </c>
      <c r="R1006" s="37" t="str">
        <f t="shared" si="103"/>
        <v/>
      </c>
      <c r="S1006" s="37" t="str">
        <f t="shared" si="104"/>
        <v/>
      </c>
      <c r="T1006" s="38" t="str">
        <f t="shared" si="105"/>
        <v/>
      </c>
      <c r="U1006" s="37" t="str">
        <f t="shared" si="106"/>
        <v/>
      </c>
    </row>
    <row r="1007" spans="2:21" ht="17.25">
      <c r="B1007" s="156"/>
      <c r="C1007" s="156"/>
      <c r="D1007" s="157"/>
      <c r="E1007" s="155"/>
      <c r="F1007" s="151"/>
      <c r="G1007" s="152"/>
      <c r="H1007" s="153"/>
      <c r="I1007" s="154"/>
      <c r="J1007" s="154"/>
      <c r="K1007" s="30" t="str">
        <f>IF(H1007="","",IF($C$30="간이법","",FPR(H1007,I1007,J1007)))</f>
        <v/>
      </c>
      <c r="L1007" s="30" t="str">
        <f>IF(H1007="","",IF($C$30="상세법",FPV(H1007,K1007),IF(H1007="EI",4,IF(H1007="EO",5.2,IF(H1007="EQ",3.9,IF(H1007="ILF",7.5,IF(H1007="EIF",5.4)))))))</f>
        <v/>
      </c>
      <c r="M1007" s="30" t="str">
        <f t="shared" si="100"/>
        <v/>
      </c>
      <c r="N1007" s="134"/>
      <c r="O1007" s="29"/>
      <c r="P1007" s="37" t="str">
        <f t="shared" si="101"/>
        <v/>
      </c>
      <c r="Q1007" s="38" t="str">
        <f t="shared" si="102"/>
        <v/>
      </c>
      <c r="R1007" s="37" t="str">
        <f t="shared" si="103"/>
        <v/>
      </c>
      <c r="S1007" s="37" t="str">
        <f t="shared" si="104"/>
        <v/>
      </c>
      <c r="T1007" s="38" t="str">
        <f t="shared" si="105"/>
        <v/>
      </c>
      <c r="U1007" s="37" t="str">
        <f t="shared" si="106"/>
        <v/>
      </c>
    </row>
    <row r="1008" spans="2:21" ht="17.25">
      <c r="B1008" s="156"/>
      <c r="C1008" s="156"/>
      <c r="D1008" s="157"/>
      <c r="E1008" s="155"/>
      <c r="F1008" s="151"/>
      <c r="G1008" s="152"/>
      <c r="H1008" s="153"/>
      <c r="I1008" s="154"/>
      <c r="J1008" s="154"/>
      <c r="K1008" s="30" t="str">
        <f>IF(H1008="","",IF($C$30="간이법","",FPR(H1008,I1008,J1008)))</f>
        <v/>
      </c>
      <c r="L1008" s="30" t="str">
        <f>IF(H1008="","",IF($C$30="상세법",FPV(H1008,K1008),IF(H1008="EI",4,IF(H1008="EO",5.2,IF(H1008="EQ",3.9,IF(H1008="ILF",7.5,IF(H1008="EIF",5.4)))))))</f>
        <v/>
      </c>
      <c r="M1008" s="30" t="str">
        <f t="shared" si="100"/>
        <v/>
      </c>
      <c r="N1008" s="134"/>
      <c r="O1008" s="29"/>
      <c r="P1008" s="37" t="str">
        <f t="shared" si="101"/>
        <v/>
      </c>
      <c r="Q1008" s="38" t="str">
        <f t="shared" si="102"/>
        <v/>
      </c>
      <c r="R1008" s="37" t="str">
        <f t="shared" si="103"/>
        <v/>
      </c>
      <c r="S1008" s="37" t="str">
        <f t="shared" si="104"/>
        <v/>
      </c>
      <c r="T1008" s="38" t="str">
        <f t="shared" si="105"/>
        <v/>
      </c>
      <c r="U1008" s="37" t="str">
        <f t="shared" si="106"/>
        <v/>
      </c>
    </row>
    <row r="1009" spans="2:21" ht="17.25">
      <c r="B1009" s="156"/>
      <c r="C1009" s="156"/>
      <c r="D1009" s="157"/>
      <c r="E1009" s="155"/>
      <c r="F1009" s="151"/>
      <c r="G1009" s="152"/>
      <c r="H1009" s="153"/>
      <c r="I1009" s="154"/>
      <c r="J1009" s="154"/>
      <c r="K1009" s="30" t="str">
        <f>IF(H1009="","",IF($C$30="간이법","",FPR(H1009,I1009,J1009)))</f>
        <v/>
      </c>
      <c r="L1009" s="30" t="str">
        <f>IF(H1009="","",IF($C$30="상세법",FPV(H1009,K1009),IF(H1009="EI",4,IF(H1009="EO",5.2,IF(H1009="EQ",3.9,IF(H1009="ILF",7.5,IF(H1009="EIF",5.4)))))))</f>
        <v/>
      </c>
      <c r="M1009" s="30" t="str">
        <f t="shared" si="100"/>
        <v/>
      </c>
      <c r="N1009" s="134"/>
      <c r="O1009" s="29"/>
      <c r="P1009" s="37" t="str">
        <f t="shared" si="101"/>
        <v/>
      </c>
      <c r="Q1009" s="38" t="str">
        <f t="shared" si="102"/>
        <v/>
      </c>
      <c r="R1009" s="37" t="str">
        <f t="shared" si="103"/>
        <v/>
      </c>
      <c r="S1009" s="37" t="str">
        <f t="shared" si="104"/>
        <v/>
      </c>
      <c r="T1009" s="38" t="str">
        <f t="shared" si="105"/>
        <v/>
      </c>
      <c r="U1009" s="37" t="str">
        <f t="shared" si="106"/>
        <v/>
      </c>
    </row>
    <row r="1010" spans="2:21" ht="17.25">
      <c r="B1010" s="156"/>
      <c r="C1010" s="156"/>
      <c r="D1010" s="157"/>
      <c r="E1010" s="155"/>
      <c r="F1010" s="151"/>
      <c r="G1010" s="152"/>
      <c r="H1010" s="153"/>
      <c r="I1010" s="154"/>
      <c r="J1010" s="154"/>
      <c r="K1010" s="30" t="str">
        <f>IF(H1010="","",IF($C$30="간이법","",FPR(H1010,I1010,J1010)))</f>
        <v/>
      </c>
      <c r="L1010" s="30" t="str">
        <f>IF(H1010="","",IF($C$30="상세법",FPV(H1010,K1010),IF(H1010="EI",4,IF(H1010="EO",5.2,IF(H1010="EQ",3.9,IF(H1010="ILF",7.5,IF(H1010="EIF",5.4)))))))</f>
        <v/>
      </c>
      <c r="M1010" s="30" t="str">
        <f t="shared" si="100"/>
        <v/>
      </c>
      <c r="N1010" s="134"/>
      <c r="O1010" s="29"/>
      <c r="P1010" s="37" t="str">
        <f t="shared" si="101"/>
        <v/>
      </c>
      <c r="Q1010" s="38" t="str">
        <f t="shared" si="102"/>
        <v/>
      </c>
      <c r="R1010" s="37" t="str">
        <f t="shared" si="103"/>
        <v/>
      </c>
      <c r="S1010" s="37" t="str">
        <f t="shared" si="104"/>
        <v/>
      </c>
      <c r="T1010" s="38" t="str">
        <f t="shared" si="105"/>
        <v/>
      </c>
      <c r="U1010" s="37" t="str">
        <f t="shared" si="106"/>
        <v/>
      </c>
    </row>
    <row r="1011" spans="2:21" ht="17.25">
      <c r="B1011" s="156"/>
      <c r="C1011" s="156"/>
      <c r="D1011" s="157"/>
      <c r="E1011" s="155"/>
      <c r="F1011" s="151"/>
      <c r="G1011" s="152"/>
      <c r="H1011" s="153"/>
      <c r="I1011" s="154"/>
      <c r="J1011" s="154"/>
      <c r="K1011" s="30" t="str">
        <f>IF(H1011="","",IF($C$30="간이법","",FPR(H1011,I1011,J1011)))</f>
        <v/>
      </c>
      <c r="L1011" s="30" t="str">
        <f>IF(H1011="","",IF($C$30="상세법",FPV(H1011,K1011),IF(H1011="EI",4,IF(H1011="EO",5.2,IF(H1011="EQ",3.9,IF(H1011="ILF",7.5,IF(H1011="EIF",5.4)))))))</f>
        <v/>
      </c>
      <c r="M1011" s="30" t="str">
        <f t="shared" si="100"/>
        <v/>
      </c>
      <c r="N1011" s="134"/>
      <c r="O1011" s="29"/>
      <c r="P1011" s="37" t="str">
        <f t="shared" si="101"/>
        <v/>
      </c>
      <c r="Q1011" s="38" t="str">
        <f t="shared" si="102"/>
        <v/>
      </c>
      <c r="R1011" s="37" t="str">
        <f t="shared" si="103"/>
        <v/>
      </c>
      <c r="S1011" s="37" t="str">
        <f t="shared" si="104"/>
        <v/>
      </c>
      <c r="T1011" s="38" t="str">
        <f t="shared" si="105"/>
        <v/>
      </c>
      <c r="U1011" s="37" t="str">
        <f t="shared" si="106"/>
        <v/>
      </c>
    </row>
    <row r="1012" spans="2:21" ht="17.25">
      <c r="B1012" s="156"/>
      <c r="C1012" s="156"/>
      <c r="D1012" s="157"/>
      <c r="E1012" s="155"/>
      <c r="F1012" s="151"/>
      <c r="G1012" s="152"/>
      <c r="H1012" s="153"/>
      <c r="I1012" s="154"/>
      <c r="J1012" s="154"/>
      <c r="K1012" s="30" t="str">
        <f>IF(H1012="","",IF($C$30="간이법","",FPR(H1012,I1012,J1012)))</f>
        <v/>
      </c>
      <c r="L1012" s="30" t="str">
        <f>IF(H1012="","",IF($C$30="상세법",FPV(H1012,K1012),IF(H1012="EI",4,IF(H1012="EO",5.2,IF(H1012="EQ",3.9,IF(H1012="ILF",7.5,IF(H1012="EIF",5.4)))))))</f>
        <v/>
      </c>
      <c r="M1012" s="30" t="str">
        <f t="shared" si="100"/>
        <v/>
      </c>
      <c r="N1012" s="134"/>
      <c r="O1012" s="29"/>
      <c r="P1012" s="37" t="str">
        <f t="shared" si="101"/>
        <v/>
      </c>
      <c r="Q1012" s="38" t="str">
        <f t="shared" si="102"/>
        <v/>
      </c>
      <c r="R1012" s="37" t="str">
        <f t="shared" si="103"/>
        <v/>
      </c>
      <c r="S1012" s="37" t="str">
        <f t="shared" si="104"/>
        <v/>
      </c>
      <c r="T1012" s="38" t="str">
        <f t="shared" si="105"/>
        <v/>
      </c>
      <c r="U1012" s="37" t="str">
        <f t="shared" si="106"/>
        <v/>
      </c>
    </row>
    <row r="1013" spans="2:21" ht="17.25">
      <c r="B1013" s="156"/>
      <c r="C1013" s="156"/>
      <c r="D1013" s="157"/>
      <c r="E1013" s="155"/>
      <c r="F1013" s="151"/>
      <c r="G1013" s="152"/>
      <c r="H1013" s="153"/>
      <c r="I1013" s="154"/>
      <c r="J1013" s="154"/>
      <c r="K1013" s="30" t="str">
        <f>IF(H1013="","",IF($C$30="간이법","",FPR(H1013,I1013,J1013)))</f>
        <v/>
      </c>
      <c r="L1013" s="30" t="str">
        <f>IF(H1013="","",IF($C$30="상세법",FPV(H1013,K1013),IF(H1013="EI",4,IF(H1013="EO",5.2,IF(H1013="EQ",3.9,IF(H1013="ILF",7.5,IF(H1013="EIF",5.4)))))))</f>
        <v/>
      </c>
      <c r="M1013" s="30" t="str">
        <f t="shared" si="100"/>
        <v/>
      </c>
      <c r="N1013" s="134"/>
      <c r="O1013" s="29"/>
      <c r="P1013" s="37" t="str">
        <f t="shared" si="101"/>
        <v/>
      </c>
      <c r="Q1013" s="38" t="str">
        <f t="shared" si="102"/>
        <v/>
      </c>
      <c r="R1013" s="37" t="str">
        <f t="shared" si="103"/>
        <v/>
      </c>
      <c r="S1013" s="37" t="str">
        <f t="shared" si="104"/>
        <v/>
      </c>
      <c r="T1013" s="38" t="str">
        <f t="shared" si="105"/>
        <v/>
      </c>
      <c r="U1013" s="37" t="str">
        <f t="shared" si="106"/>
        <v/>
      </c>
    </row>
    <row r="1014" spans="2:21" ht="17.25">
      <c r="B1014" s="156"/>
      <c r="C1014" s="156"/>
      <c r="D1014" s="157"/>
      <c r="E1014" s="155"/>
      <c r="F1014" s="151"/>
      <c r="G1014" s="152"/>
      <c r="H1014" s="153"/>
      <c r="I1014" s="154"/>
      <c r="J1014" s="154"/>
      <c r="K1014" s="30" t="str">
        <f>IF(H1014="","",IF($C$30="간이법","",FPR(H1014,I1014,J1014)))</f>
        <v/>
      </c>
      <c r="L1014" s="30" t="str">
        <f>IF(H1014="","",IF($C$30="상세법",FPV(H1014,K1014),IF(H1014="EI",4,IF(H1014="EO",5.2,IF(H1014="EQ",3.9,IF(H1014="ILF",7.5,IF(H1014="EIF",5.4)))))))</f>
        <v/>
      </c>
      <c r="M1014" s="30" t="str">
        <f t="shared" si="100"/>
        <v/>
      </c>
      <c r="N1014" s="134"/>
      <c r="O1014" s="29"/>
      <c r="P1014" s="37" t="str">
        <f t="shared" si="101"/>
        <v/>
      </c>
      <c r="Q1014" s="38" t="str">
        <f t="shared" si="102"/>
        <v/>
      </c>
      <c r="R1014" s="37" t="str">
        <f t="shared" si="103"/>
        <v/>
      </c>
      <c r="S1014" s="37" t="str">
        <f t="shared" si="104"/>
        <v/>
      </c>
      <c r="T1014" s="38" t="str">
        <f t="shared" si="105"/>
        <v/>
      </c>
      <c r="U1014" s="37" t="str">
        <f t="shared" si="106"/>
        <v/>
      </c>
    </row>
    <row r="1015" spans="2:21" ht="17.25">
      <c r="B1015" s="156"/>
      <c r="C1015" s="156"/>
      <c r="D1015" s="157"/>
      <c r="E1015" s="155"/>
      <c r="F1015" s="151"/>
      <c r="G1015" s="152"/>
      <c r="H1015" s="153"/>
      <c r="I1015" s="154"/>
      <c r="J1015" s="154"/>
      <c r="K1015" s="30" t="str">
        <f>IF(H1015="","",IF($C$30="간이법","",FPR(H1015,I1015,J1015)))</f>
        <v/>
      </c>
      <c r="L1015" s="30" t="str">
        <f>IF(H1015="","",IF($C$30="상세법",FPV(H1015,K1015),IF(H1015="EI",4,IF(H1015="EO",5.2,IF(H1015="EQ",3.9,IF(H1015="ILF",7.5,IF(H1015="EIF",5.4)))))))</f>
        <v/>
      </c>
      <c r="M1015" s="30" t="str">
        <f t="shared" si="100"/>
        <v/>
      </c>
      <c r="N1015" s="134"/>
      <c r="O1015" s="29"/>
      <c r="P1015" s="37" t="str">
        <f t="shared" si="101"/>
        <v/>
      </c>
      <c r="Q1015" s="38" t="str">
        <f t="shared" si="102"/>
        <v/>
      </c>
      <c r="R1015" s="37" t="str">
        <f t="shared" si="103"/>
        <v/>
      </c>
      <c r="S1015" s="37" t="str">
        <f t="shared" si="104"/>
        <v/>
      </c>
      <c r="T1015" s="38" t="str">
        <f t="shared" si="105"/>
        <v/>
      </c>
      <c r="U1015" s="37" t="str">
        <f t="shared" si="106"/>
        <v/>
      </c>
    </row>
    <row r="1016" spans="2:21" ht="17.25">
      <c r="B1016" s="156"/>
      <c r="C1016" s="156"/>
      <c r="D1016" s="157"/>
      <c r="E1016" s="155"/>
      <c r="F1016" s="151"/>
      <c r="G1016" s="152"/>
      <c r="H1016" s="153"/>
      <c r="I1016" s="154"/>
      <c r="J1016" s="154"/>
      <c r="K1016" s="30" t="str">
        <f>IF(H1016="","",IF($C$30="간이법","",FPR(H1016,I1016,J1016)))</f>
        <v/>
      </c>
      <c r="L1016" s="30" t="str">
        <f>IF(H1016="","",IF($C$30="상세법",FPV(H1016,K1016),IF(H1016="EI",4,IF(H1016="EO",5.2,IF(H1016="EQ",3.9,IF(H1016="ILF",7.5,IF(H1016="EIF",5.4)))))))</f>
        <v/>
      </c>
      <c r="M1016" s="30" t="str">
        <f t="shared" si="100"/>
        <v/>
      </c>
      <c r="N1016" s="134"/>
      <c r="O1016" s="29"/>
      <c r="P1016" s="37" t="str">
        <f t="shared" si="101"/>
        <v/>
      </c>
      <c r="Q1016" s="38" t="str">
        <f t="shared" si="102"/>
        <v/>
      </c>
      <c r="R1016" s="37" t="str">
        <f t="shared" si="103"/>
        <v/>
      </c>
      <c r="S1016" s="37" t="str">
        <f t="shared" si="104"/>
        <v/>
      </c>
      <c r="T1016" s="38" t="str">
        <f t="shared" si="105"/>
        <v/>
      </c>
      <c r="U1016" s="37" t="str">
        <f t="shared" si="106"/>
        <v/>
      </c>
    </row>
    <row r="1017" spans="2:21" ht="17.25">
      <c r="B1017" s="156"/>
      <c r="C1017" s="156"/>
      <c r="D1017" s="157"/>
      <c r="E1017" s="155"/>
      <c r="F1017" s="151"/>
      <c r="G1017" s="152"/>
      <c r="H1017" s="153"/>
      <c r="I1017" s="154"/>
      <c r="J1017" s="154"/>
      <c r="K1017" s="30" t="str">
        <f>IF(H1017="","",IF($C$30="간이법","",FPR(H1017,I1017,J1017)))</f>
        <v/>
      </c>
      <c r="L1017" s="30" t="str">
        <f>IF(H1017="","",IF($C$30="상세법",FPV(H1017,K1017),IF(H1017="EI",4,IF(H1017="EO",5.2,IF(H1017="EQ",3.9,IF(H1017="ILF",7.5,IF(H1017="EIF",5.4)))))))</f>
        <v/>
      </c>
      <c r="M1017" s="30" t="str">
        <f t="shared" si="100"/>
        <v/>
      </c>
      <c r="N1017" s="134"/>
      <c r="O1017" s="29"/>
      <c r="P1017" s="37" t="str">
        <f t="shared" si="101"/>
        <v/>
      </c>
      <c r="Q1017" s="38" t="str">
        <f t="shared" si="102"/>
        <v/>
      </c>
      <c r="R1017" s="37" t="str">
        <f t="shared" si="103"/>
        <v/>
      </c>
      <c r="S1017" s="37" t="str">
        <f t="shared" si="104"/>
        <v/>
      </c>
      <c r="T1017" s="38" t="str">
        <f t="shared" si="105"/>
        <v/>
      </c>
      <c r="U1017" s="37" t="str">
        <f t="shared" si="106"/>
        <v/>
      </c>
    </row>
    <row r="1018" spans="2:21" ht="17.25">
      <c r="B1018" s="156"/>
      <c r="C1018" s="156"/>
      <c r="D1018" s="157"/>
      <c r="E1018" s="155"/>
      <c r="F1018" s="151"/>
      <c r="G1018" s="152"/>
      <c r="H1018" s="153"/>
      <c r="I1018" s="154"/>
      <c r="J1018" s="154"/>
      <c r="K1018" s="30" t="str">
        <f>IF(H1018="","",IF($C$30="간이법","",FPR(H1018,I1018,J1018)))</f>
        <v/>
      </c>
      <c r="L1018" s="30" t="str">
        <f>IF(H1018="","",IF($C$30="상세법",FPV(H1018,K1018),IF(H1018="EI",4,IF(H1018="EO",5.2,IF(H1018="EQ",3.9,IF(H1018="ILF",7.5,IF(H1018="EIF",5.4)))))))</f>
        <v/>
      </c>
      <c r="M1018" s="30" t="str">
        <f t="shared" si="100"/>
        <v/>
      </c>
      <c r="N1018" s="134"/>
      <c r="O1018" s="29"/>
      <c r="P1018" s="37" t="str">
        <f t="shared" si="101"/>
        <v/>
      </c>
      <c r="Q1018" s="38" t="str">
        <f t="shared" si="102"/>
        <v/>
      </c>
      <c r="R1018" s="37" t="str">
        <f t="shared" si="103"/>
        <v/>
      </c>
      <c r="S1018" s="37" t="str">
        <f t="shared" si="104"/>
        <v/>
      </c>
      <c r="T1018" s="38" t="str">
        <f t="shared" si="105"/>
        <v/>
      </c>
      <c r="U1018" s="37" t="str">
        <f t="shared" si="106"/>
        <v/>
      </c>
    </row>
    <row r="1019" spans="2:21" ht="17.25">
      <c r="B1019" s="156"/>
      <c r="C1019" s="156"/>
      <c r="D1019" s="157"/>
      <c r="E1019" s="155"/>
      <c r="F1019" s="151"/>
      <c r="G1019" s="152"/>
      <c r="H1019" s="153"/>
      <c r="I1019" s="154"/>
      <c r="J1019" s="154"/>
      <c r="K1019" s="30" t="str">
        <f>IF(H1019="","",IF($C$30="간이법","",FPR(H1019,I1019,J1019)))</f>
        <v/>
      </c>
      <c r="L1019" s="30" t="str">
        <f>IF(H1019="","",IF($C$30="상세법",FPV(H1019,K1019),IF(H1019="EI",4,IF(H1019="EO",5.2,IF(H1019="EQ",3.9,IF(H1019="ILF",7.5,IF(H1019="EIF",5.4)))))))</f>
        <v/>
      </c>
      <c r="M1019" s="30" t="str">
        <f t="shared" si="100"/>
        <v/>
      </c>
      <c r="N1019" s="134"/>
      <c r="O1019" s="29"/>
      <c r="P1019" s="37" t="str">
        <f t="shared" si="101"/>
        <v/>
      </c>
      <c r="Q1019" s="38" t="str">
        <f t="shared" si="102"/>
        <v/>
      </c>
      <c r="R1019" s="37" t="str">
        <f t="shared" si="103"/>
        <v/>
      </c>
      <c r="S1019" s="37" t="str">
        <f t="shared" si="104"/>
        <v/>
      </c>
      <c r="T1019" s="38" t="str">
        <f t="shared" si="105"/>
        <v/>
      </c>
      <c r="U1019" s="37" t="str">
        <f t="shared" si="106"/>
        <v/>
      </c>
    </row>
    <row r="1020" spans="2:21" ht="17.25">
      <c r="B1020" s="156"/>
      <c r="C1020" s="156"/>
      <c r="D1020" s="157"/>
      <c r="E1020" s="155"/>
      <c r="F1020" s="151"/>
      <c r="G1020" s="152"/>
      <c r="H1020" s="153"/>
      <c r="I1020" s="154"/>
      <c r="J1020" s="154"/>
      <c r="K1020" s="30" t="str">
        <f>IF(H1020="","",IF($C$30="간이법","",FPR(H1020,I1020,J1020)))</f>
        <v/>
      </c>
      <c r="L1020" s="30" t="str">
        <f>IF(H1020="","",IF($C$30="상세법",FPV(H1020,K1020),IF(H1020="EI",4,IF(H1020="EO",5.2,IF(H1020="EQ",3.9,IF(H1020="ILF",7.5,IF(H1020="EIF",5.4)))))))</f>
        <v/>
      </c>
      <c r="M1020" s="30" t="str">
        <f t="shared" ref="M1020:M1083" si="107">IF(OR(G1020="",$E$36="(선택)",$E$40="(선택)",$E$41="(선택)",F1020="신규 개발",F1020="수정 없이 재사용"),"",(IF(F1020="수정 후 재사용",IF($E$50&lt;=0.5,L1020*($E$36+$E$50*100*(1+0.02*($E$40*$E$41)))/100,L1020*($E$36+$E$50*100+($E$40*$E$41))/100))))</f>
        <v/>
      </c>
      <c r="N1020" s="134"/>
      <c r="O1020" s="29"/>
      <c r="P1020" s="37" t="str">
        <f t="shared" ref="P1020:P1083" si="108">IF(F1020="수정 후 재사용",IF(H1020="ILF",G1020,IF(H1020="EIF",G1020,"")),"")</f>
        <v/>
      </c>
      <c r="Q1020" s="38" t="str">
        <f t="shared" ref="Q1020:Q1083" si="109">IF(P1020&lt;&gt;"",IF(H1020="ILF", L1020/$E$46,IF(H1020="EIF", L1020/$E$46,"")),"")</f>
        <v/>
      </c>
      <c r="R1020" s="37" t="str">
        <f t="shared" ref="R1020:R1083" si="110">IF(P1020&lt;&gt;"",P1020*Q1020,"")</f>
        <v/>
      </c>
      <c r="S1020" s="37" t="str">
        <f t="shared" ref="S1020:S1083" si="111">IF(F1020="수정 후 재사용",IF(H1020="EI",G1020,IF(H1020="EO",G1020,IF(H1020="EQ",G1020,""))),"")</f>
        <v/>
      </c>
      <c r="T1020" s="38" t="str">
        <f t="shared" ref="T1020:T1083" si="112">IF(S1020&lt;&gt;"",IF(H1020="EI",L1020/$E$47,IF(H1020="EO",L1020/$E$47,IF(H1020="EQ",L1020/$E$47,""))),"")</f>
        <v/>
      </c>
      <c r="U1020" s="37" t="str">
        <f t="shared" ref="U1020:U1083" si="113">IF(S1020&lt;&gt;"",S1020*T1020,"")</f>
        <v/>
      </c>
    </row>
    <row r="1021" spans="2:21" ht="17.25">
      <c r="B1021" s="156"/>
      <c r="C1021" s="156"/>
      <c r="D1021" s="157"/>
      <c r="E1021" s="155"/>
      <c r="F1021" s="151"/>
      <c r="G1021" s="152"/>
      <c r="H1021" s="153"/>
      <c r="I1021" s="154"/>
      <c r="J1021" s="154"/>
      <c r="K1021" s="30" t="str">
        <f>IF(H1021="","",IF($C$30="간이법","",FPR(H1021,I1021,J1021)))</f>
        <v/>
      </c>
      <c r="L1021" s="30" t="str">
        <f>IF(H1021="","",IF($C$30="상세법",FPV(H1021,K1021),IF(H1021="EI",4,IF(H1021="EO",5.2,IF(H1021="EQ",3.9,IF(H1021="ILF",7.5,IF(H1021="EIF",5.4)))))))</f>
        <v/>
      </c>
      <c r="M1021" s="30" t="str">
        <f t="shared" si="107"/>
        <v/>
      </c>
      <c r="N1021" s="134"/>
      <c r="O1021" s="29"/>
      <c r="P1021" s="37" t="str">
        <f t="shared" si="108"/>
        <v/>
      </c>
      <c r="Q1021" s="38" t="str">
        <f t="shared" si="109"/>
        <v/>
      </c>
      <c r="R1021" s="37" t="str">
        <f t="shared" si="110"/>
        <v/>
      </c>
      <c r="S1021" s="37" t="str">
        <f t="shared" si="111"/>
        <v/>
      </c>
      <c r="T1021" s="38" t="str">
        <f t="shared" si="112"/>
        <v/>
      </c>
      <c r="U1021" s="37" t="str">
        <f t="shared" si="113"/>
        <v/>
      </c>
    </row>
    <row r="1022" spans="2:21" ht="17.25">
      <c r="B1022" s="156"/>
      <c r="C1022" s="156"/>
      <c r="D1022" s="157"/>
      <c r="E1022" s="155"/>
      <c r="F1022" s="151"/>
      <c r="G1022" s="152"/>
      <c r="H1022" s="153"/>
      <c r="I1022" s="154"/>
      <c r="J1022" s="154"/>
      <c r="K1022" s="30" t="str">
        <f>IF(H1022="","",IF($C$30="간이법","",FPR(H1022,I1022,J1022)))</f>
        <v/>
      </c>
      <c r="L1022" s="30" t="str">
        <f>IF(H1022="","",IF($C$30="상세법",FPV(H1022,K1022),IF(H1022="EI",4,IF(H1022="EO",5.2,IF(H1022="EQ",3.9,IF(H1022="ILF",7.5,IF(H1022="EIF",5.4)))))))</f>
        <v/>
      </c>
      <c r="M1022" s="30" t="str">
        <f t="shared" si="107"/>
        <v/>
      </c>
      <c r="N1022" s="134"/>
      <c r="O1022" s="29"/>
      <c r="P1022" s="37" t="str">
        <f t="shared" si="108"/>
        <v/>
      </c>
      <c r="Q1022" s="38" t="str">
        <f t="shared" si="109"/>
        <v/>
      </c>
      <c r="R1022" s="37" t="str">
        <f t="shared" si="110"/>
        <v/>
      </c>
      <c r="S1022" s="37" t="str">
        <f t="shared" si="111"/>
        <v/>
      </c>
      <c r="T1022" s="38" t="str">
        <f t="shared" si="112"/>
        <v/>
      </c>
      <c r="U1022" s="37" t="str">
        <f t="shared" si="113"/>
        <v/>
      </c>
    </row>
    <row r="1023" spans="2:21" ht="17.25">
      <c r="B1023" s="156"/>
      <c r="C1023" s="156"/>
      <c r="D1023" s="157"/>
      <c r="E1023" s="155"/>
      <c r="F1023" s="151"/>
      <c r="G1023" s="152"/>
      <c r="H1023" s="153"/>
      <c r="I1023" s="154"/>
      <c r="J1023" s="154"/>
      <c r="K1023" s="30" t="str">
        <f>IF(H1023="","",IF($C$30="간이법","",FPR(H1023,I1023,J1023)))</f>
        <v/>
      </c>
      <c r="L1023" s="30" t="str">
        <f>IF(H1023="","",IF($C$30="상세법",FPV(H1023,K1023),IF(H1023="EI",4,IF(H1023="EO",5.2,IF(H1023="EQ",3.9,IF(H1023="ILF",7.5,IF(H1023="EIF",5.4)))))))</f>
        <v/>
      </c>
      <c r="M1023" s="30" t="str">
        <f t="shared" si="107"/>
        <v/>
      </c>
      <c r="N1023" s="134"/>
      <c r="O1023" s="29"/>
      <c r="P1023" s="37" t="str">
        <f t="shared" si="108"/>
        <v/>
      </c>
      <c r="Q1023" s="38" t="str">
        <f t="shared" si="109"/>
        <v/>
      </c>
      <c r="R1023" s="37" t="str">
        <f t="shared" si="110"/>
        <v/>
      </c>
      <c r="S1023" s="37" t="str">
        <f t="shared" si="111"/>
        <v/>
      </c>
      <c r="T1023" s="38" t="str">
        <f t="shared" si="112"/>
        <v/>
      </c>
      <c r="U1023" s="37" t="str">
        <f t="shared" si="113"/>
        <v/>
      </c>
    </row>
    <row r="1024" spans="2:21" ht="17.25">
      <c r="B1024" s="156"/>
      <c r="C1024" s="156"/>
      <c r="D1024" s="157"/>
      <c r="E1024" s="155"/>
      <c r="F1024" s="151"/>
      <c r="G1024" s="152"/>
      <c r="H1024" s="153"/>
      <c r="I1024" s="154"/>
      <c r="J1024" s="154"/>
      <c r="K1024" s="30" t="str">
        <f>IF(H1024="","",IF($C$30="간이법","",FPR(H1024,I1024,J1024)))</f>
        <v/>
      </c>
      <c r="L1024" s="30" t="str">
        <f>IF(H1024="","",IF($C$30="상세법",FPV(H1024,K1024),IF(H1024="EI",4,IF(H1024="EO",5.2,IF(H1024="EQ",3.9,IF(H1024="ILF",7.5,IF(H1024="EIF",5.4)))))))</f>
        <v/>
      </c>
      <c r="M1024" s="30" t="str">
        <f t="shared" si="107"/>
        <v/>
      </c>
      <c r="N1024" s="134"/>
      <c r="O1024" s="29"/>
      <c r="P1024" s="37" t="str">
        <f t="shared" si="108"/>
        <v/>
      </c>
      <c r="Q1024" s="38" t="str">
        <f t="shared" si="109"/>
        <v/>
      </c>
      <c r="R1024" s="37" t="str">
        <f t="shared" si="110"/>
        <v/>
      </c>
      <c r="S1024" s="37" t="str">
        <f t="shared" si="111"/>
        <v/>
      </c>
      <c r="T1024" s="38" t="str">
        <f t="shared" si="112"/>
        <v/>
      </c>
      <c r="U1024" s="37" t="str">
        <f t="shared" si="113"/>
        <v/>
      </c>
    </row>
    <row r="1025" spans="2:21" ht="17.25">
      <c r="B1025" s="156"/>
      <c r="C1025" s="156"/>
      <c r="D1025" s="157"/>
      <c r="E1025" s="155"/>
      <c r="F1025" s="151"/>
      <c r="G1025" s="152"/>
      <c r="H1025" s="153"/>
      <c r="I1025" s="154"/>
      <c r="J1025" s="154"/>
      <c r="K1025" s="30" t="str">
        <f>IF(H1025="","",IF($C$30="간이법","",FPR(H1025,I1025,J1025)))</f>
        <v/>
      </c>
      <c r="L1025" s="30" t="str">
        <f>IF(H1025="","",IF($C$30="상세법",FPV(H1025,K1025),IF(H1025="EI",4,IF(H1025="EO",5.2,IF(H1025="EQ",3.9,IF(H1025="ILF",7.5,IF(H1025="EIF",5.4)))))))</f>
        <v/>
      </c>
      <c r="M1025" s="30" t="str">
        <f t="shared" si="107"/>
        <v/>
      </c>
      <c r="N1025" s="134"/>
      <c r="O1025" s="29"/>
      <c r="P1025" s="37" t="str">
        <f t="shared" si="108"/>
        <v/>
      </c>
      <c r="Q1025" s="38" t="str">
        <f t="shared" si="109"/>
        <v/>
      </c>
      <c r="R1025" s="37" t="str">
        <f t="shared" si="110"/>
        <v/>
      </c>
      <c r="S1025" s="37" t="str">
        <f t="shared" si="111"/>
        <v/>
      </c>
      <c r="T1025" s="38" t="str">
        <f t="shared" si="112"/>
        <v/>
      </c>
      <c r="U1025" s="37" t="str">
        <f t="shared" si="113"/>
        <v/>
      </c>
    </row>
    <row r="1026" spans="2:21" ht="17.25">
      <c r="B1026" s="156"/>
      <c r="C1026" s="156"/>
      <c r="D1026" s="157"/>
      <c r="E1026" s="155"/>
      <c r="F1026" s="151"/>
      <c r="G1026" s="152"/>
      <c r="H1026" s="153"/>
      <c r="I1026" s="154"/>
      <c r="J1026" s="154"/>
      <c r="K1026" s="30" t="str">
        <f>IF(H1026="","",IF($C$30="간이법","",FPR(H1026,I1026,J1026)))</f>
        <v/>
      </c>
      <c r="L1026" s="30" t="str">
        <f>IF(H1026="","",IF($C$30="상세법",FPV(H1026,K1026),IF(H1026="EI",4,IF(H1026="EO",5.2,IF(H1026="EQ",3.9,IF(H1026="ILF",7.5,IF(H1026="EIF",5.4)))))))</f>
        <v/>
      </c>
      <c r="M1026" s="30" t="str">
        <f t="shared" si="107"/>
        <v/>
      </c>
      <c r="N1026" s="134"/>
      <c r="O1026" s="29"/>
      <c r="P1026" s="37" t="str">
        <f t="shared" si="108"/>
        <v/>
      </c>
      <c r="Q1026" s="38" t="str">
        <f t="shared" si="109"/>
        <v/>
      </c>
      <c r="R1026" s="37" t="str">
        <f t="shared" si="110"/>
        <v/>
      </c>
      <c r="S1026" s="37" t="str">
        <f t="shared" si="111"/>
        <v/>
      </c>
      <c r="T1026" s="38" t="str">
        <f t="shared" si="112"/>
        <v/>
      </c>
      <c r="U1026" s="37" t="str">
        <f t="shared" si="113"/>
        <v/>
      </c>
    </row>
    <row r="1027" spans="2:21" ht="17.25">
      <c r="B1027" s="156"/>
      <c r="C1027" s="156"/>
      <c r="D1027" s="157"/>
      <c r="E1027" s="155"/>
      <c r="F1027" s="151"/>
      <c r="G1027" s="152"/>
      <c r="H1027" s="153"/>
      <c r="I1027" s="154"/>
      <c r="J1027" s="154"/>
      <c r="K1027" s="30" t="str">
        <f>IF(H1027="","",IF($C$30="간이법","",FPR(H1027,I1027,J1027)))</f>
        <v/>
      </c>
      <c r="L1027" s="30" t="str">
        <f>IF(H1027="","",IF($C$30="상세법",FPV(H1027,K1027),IF(H1027="EI",4,IF(H1027="EO",5.2,IF(H1027="EQ",3.9,IF(H1027="ILF",7.5,IF(H1027="EIF",5.4)))))))</f>
        <v/>
      </c>
      <c r="M1027" s="30" t="str">
        <f t="shared" si="107"/>
        <v/>
      </c>
      <c r="N1027" s="134"/>
      <c r="O1027" s="29"/>
      <c r="P1027" s="37" t="str">
        <f t="shared" si="108"/>
        <v/>
      </c>
      <c r="Q1027" s="38" t="str">
        <f t="shared" si="109"/>
        <v/>
      </c>
      <c r="R1027" s="37" t="str">
        <f t="shared" si="110"/>
        <v/>
      </c>
      <c r="S1027" s="37" t="str">
        <f t="shared" si="111"/>
        <v/>
      </c>
      <c r="T1027" s="38" t="str">
        <f t="shared" si="112"/>
        <v/>
      </c>
      <c r="U1027" s="37" t="str">
        <f t="shared" si="113"/>
        <v/>
      </c>
    </row>
    <row r="1028" spans="2:21" ht="17.25">
      <c r="B1028" s="156"/>
      <c r="C1028" s="156"/>
      <c r="D1028" s="157"/>
      <c r="E1028" s="155"/>
      <c r="F1028" s="151"/>
      <c r="G1028" s="152"/>
      <c r="H1028" s="153"/>
      <c r="I1028" s="154"/>
      <c r="J1028" s="154"/>
      <c r="K1028" s="30" t="str">
        <f>IF(H1028="","",IF($C$30="간이법","",FPR(H1028,I1028,J1028)))</f>
        <v/>
      </c>
      <c r="L1028" s="30" t="str">
        <f>IF(H1028="","",IF($C$30="상세법",FPV(H1028,K1028),IF(H1028="EI",4,IF(H1028="EO",5.2,IF(H1028="EQ",3.9,IF(H1028="ILF",7.5,IF(H1028="EIF",5.4)))))))</f>
        <v/>
      </c>
      <c r="M1028" s="30" t="str">
        <f t="shared" si="107"/>
        <v/>
      </c>
      <c r="N1028" s="134"/>
      <c r="O1028" s="29"/>
      <c r="P1028" s="37" t="str">
        <f t="shared" si="108"/>
        <v/>
      </c>
      <c r="Q1028" s="38" t="str">
        <f t="shared" si="109"/>
        <v/>
      </c>
      <c r="R1028" s="37" t="str">
        <f t="shared" si="110"/>
        <v/>
      </c>
      <c r="S1028" s="37" t="str">
        <f t="shared" si="111"/>
        <v/>
      </c>
      <c r="T1028" s="38" t="str">
        <f t="shared" si="112"/>
        <v/>
      </c>
      <c r="U1028" s="37" t="str">
        <f t="shared" si="113"/>
        <v/>
      </c>
    </row>
    <row r="1029" spans="2:21" ht="17.25">
      <c r="B1029" s="156"/>
      <c r="C1029" s="156"/>
      <c r="D1029" s="157"/>
      <c r="E1029" s="155"/>
      <c r="F1029" s="151"/>
      <c r="G1029" s="152"/>
      <c r="H1029" s="153"/>
      <c r="I1029" s="154"/>
      <c r="J1029" s="154"/>
      <c r="K1029" s="30" t="str">
        <f>IF(H1029="","",IF($C$30="간이법","",FPR(H1029,I1029,J1029)))</f>
        <v/>
      </c>
      <c r="L1029" s="30" t="str">
        <f>IF(H1029="","",IF($C$30="상세법",FPV(H1029,K1029),IF(H1029="EI",4,IF(H1029="EO",5.2,IF(H1029="EQ",3.9,IF(H1029="ILF",7.5,IF(H1029="EIF",5.4)))))))</f>
        <v/>
      </c>
      <c r="M1029" s="30" t="str">
        <f t="shared" si="107"/>
        <v/>
      </c>
      <c r="N1029" s="134"/>
      <c r="O1029" s="29"/>
      <c r="P1029" s="37" t="str">
        <f t="shared" si="108"/>
        <v/>
      </c>
      <c r="Q1029" s="38" t="str">
        <f t="shared" si="109"/>
        <v/>
      </c>
      <c r="R1029" s="37" t="str">
        <f t="shared" si="110"/>
        <v/>
      </c>
      <c r="S1029" s="37" t="str">
        <f t="shared" si="111"/>
        <v/>
      </c>
      <c r="T1029" s="38" t="str">
        <f t="shared" si="112"/>
        <v/>
      </c>
      <c r="U1029" s="37" t="str">
        <f t="shared" si="113"/>
        <v/>
      </c>
    </row>
    <row r="1030" spans="2:21" ht="17.25">
      <c r="B1030" s="156"/>
      <c r="C1030" s="156"/>
      <c r="D1030" s="157"/>
      <c r="E1030" s="155"/>
      <c r="F1030" s="151"/>
      <c r="G1030" s="152"/>
      <c r="H1030" s="153"/>
      <c r="I1030" s="154"/>
      <c r="J1030" s="154"/>
      <c r="K1030" s="30" t="str">
        <f>IF(H1030="","",IF($C$30="간이법","",FPR(H1030,I1030,J1030)))</f>
        <v/>
      </c>
      <c r="L1030" s="30" t="str">
        <f>IF(H1030="","",IF($C$30="상세법",FPV(H1030,K1030),IF(H1030="EI",4,IF(H1030="EO",5.2,IF(H1030="EQ",3.9,IF(H1030="ILF",7.5,IF(H1030="EIF",5.4)))))))</f>
        <v/>
      </c>
      <c r="M1030" s="30" t="str">
        <f t="shared" si="107"/>
        <v/>
      </c>
      <c r="N1030" s="134"/>
      <c r="O1030" s="29"/>
      <c r="P1030" s="37" t="str">
        <f t="shared" si="108"/>
        <v/>
      </c>
      <c r="Q1030" s="38" t="str">
        <f t="shared" si="109"/>
        <v/>
      </c>
      <c r="R1030" s="37" t="str">
        <f t="shared" si="110"/>
        <v/>
      </c>
      <c r="S1030" s="37" t="str">
        <f t="shared" si="111"/>
        <v/>
      </c>
      <c r="T1030" s="38" t="str">
        <f t="shared" si="112"/>
        <v/>
      </c>
      <c r="U1030" s="37" t="str">
        <f t="shared" si="113"/>
        <v/>
      </c>
    </row>
    <row r="1031" spans="2:21" ht="17.25">
      <c r="B1031" s="156"/>
      <c r="C1031" s="156"/>
      <c r="D1031" s="157"/>
      <c r="E1031" s="155"/>
      <c r="F1031" s="151"/>
      <c r="G1031" s="152"/>
      <c r="H1031" s="153"/>
      <c r="I1031" s="154"/>
      <c r="J1031" s="154"/>
      <c r="K1031" s="30" t="str">
        <f>IF(H1031="","",IF($C$30="간이법","",FPR(H1031,I1031,J1031)))</f>
        <v/>
      </c>
      <c r="L1031" s="30" t="str">
        <f>IF(H1031="","",IF($C$30="상세법",FPV(H1031,K1031),IF(H1031="EI",4,IF(H1031="EO",5.2,IF(H1031="EQ",3.9,IF(H1031="ILF",7.5,IF(H1031="EIF",5.4)))))))</f>
        <v/>
      </c>
      <c r="M1031" s="30" t="str">
        <f t="shared" si="107"/>
        <v/>
      </c>
      <c r="N1031" s="134"/>
      <c r="O1031" s="29"/>
      <c r="P1031" s="37" t="str">
        <f t="shared" si="108"/>
        <v/>
      </c>
      <c r="Q1031" s="38" t="str">
        <f t="shared" si="109"/>
        <v/>
      </c>
      <c r="R1031" s="37" t="str">
        <f t="shared" si="110"/>
        <v/>
      </c>
      <c r="S1031" s="37" t="str">
        <f t="shared" si="111"/>
        <v/>
      </c>
      <c r="T1031" s="38" t="str">
        <f t="shared" si="112"/>
        <v/>
      </c>
      <c r="U1031" s="37" t="str">
        <f t="shared" si="113"/>
        <v/>
      </c>
    </row>
    <row r="1032" spans="2:21" ht="17.25">
      <c r="B1032" s="156"/>
      <c r="C1032" s="156"/>
      <c r="D1032" s="157"/>
      <c r="E1032" s="155"/>
      <c r="F1032" s="151"/>
      <c r="G1032" s="152"/>
      <c r="H1032" s="153"/>
      <c r="I1032" s="154"/>
      <c r="J1032" s="154"/>
      <c r="K1032" s="30" t="str">
        <f>IF(H1032="","",IF($C$30="간이법","",FPR(H1032,I1032,J1032)))</f>
        <v/>
      </c>
      <c r="L1032" s="30" t="str">
        <f>IF(H1032="","",IF($C$30="상세법",FPV(H1032,K1032),IF(H1032="EI",4,IF(H1032="EO",5.2,IF(H1032="EQ",3.9,IF(H1032="ILF",7.5,IF(H1032="EIF",5.4)))))))</f>
        <v/>
      </c>
      <c r="M1032" s="30" t="str">
        <f t="shared" si="107"/>
        <v/>
      </c>
      <c r="N1032" s="134"/>
      <c r="O1032" s="29"/>
      <c r="P1032" s="37" t="str">
        <f t="shared" si="108"/>
        <v/>
      </c>
      <c r="Q1032" s="38" t="str">
        <f t="shared" si="109"/>
        <v/>
      </c>
      <c r="R1032" s="37" t="str">
        <f t="shared" si="110"/>
        <v/>
      </c>
      <c r="S1032" s="37" t="str">
        <f t="shared" si="111"/>
        <v/>
      </c>
      <c r="T1032" s="38" t="str">
        <f t="shared" si="112"/>
        <v/>
      </c>
      <c r="U1032" s="37" t="str">
        <f t="shared" si="113"/>
        <v/>
      </c>
    </row>
    <row r="1033" spans="2:21" ht="17.25">
      <c r="B1033" s="156"/>
      <c r="C1033" s="156"/>
      <c r="D1033" s="157"/>
      <c r="E1033" s="155"/>
      <c r="F1033" s="151"/>
      <c r="G1033" s="152"/>
      <c r="H1033" s="153"/>
      <c r="I1033" s="154"/>
      <c r="J1033" s="154"/>
      <c r="K1033" s="30" t="str">
        <f>IF(H1033="","",IF($C$30="간이법","",FPR(H1033,I1033,J1033)))</f>
        <v/>
      </c>
      <c r="L1033" s="30" t="str">
        <f>IF(H1033="","",IF($C$30="상세법",FPV(H1033,K1033),IF(H1033="EI",4,IF(H1033="EO",5.2,IF(H1033="EQ",3.9,IF(H1033="ILF",7.5,IF(H1033="EIF",5.4)))))))</f>
        <v/>
      </c>
      <c r="M1033" s="30" t="str">
        <f t="shared" si="107"/>
        <v/>
      </c>
      <c r="N1033" s="134"/>
      <c r="O1033" s="29"/>
      <c r="P1033" s="37" t="str">
        <f t="shared" si="108"/>
        <v/>
      </c>
      <c r="Q1033" s="38" t="str">
        <f t="shared" si="109"/>
        <v/>
      </c>
      <c r="R1033" s="37" t="str">
        <f t="shared" si="110"/>
        <v/>
      </c>
      <c r="S1033" s="37" t="str">
        <f t="shared" si="111"/>
        <v/>
      </c>
      <c r="T1033" s="38" t="str">
        <f t="shared" si="112"/>
        <v/>
      </c>
      <c r="U1033" s="37" t="str">
        <f t="shared" si="113"/>
        <v/>
      </c>
    </row>
    <row r="1034" spans="2:21" ht="17.25">
      <c r="B1034" s="156"/>
      <c r="C1034" s="156"/>
      <c r="D1034" s="157"/>
      <c r="E1034" s="155"/>
      <c r="F1034" s="151"/>
      <c r="G1034" s="152"/>
      <c r="H1034" s="153"/>
      <c r="I1034" s="154"/>
      <c r="J1034" s="154"/>
      <c r="K1034" s="30" t="str">
        <f>IF(H1034="","",IF($C$30="간이법","",FPR(H1034,I1034,J1034)))</f>
        <v/>
      </c>
      <c r="L1034" s="30" t="str">
        <f>IF(H1034="","",IF($C$30="상세법",FPV(H1034,K1034),IF(H1034="EI",4,IF(H1034="EO",5.2,IF(H1034="EQ",3.9,IF(H1034="ILF",7.5,IF(H1034="EIF",5.4)))))))</f>
        <v/>
      </c>
      <c r="M1034" s="30" t="str">
        <f t="shared" si="107"/>
        <v/>
      </c>
      <c r="N1034" s="134"/>
      <c r="O1034" s="29"/>
      <c r="P1034" s="37" t="str">
        <f t="shared" si="108"/>
        <v/>
      </c>
      <c r="Q1034" s="38" t="str">
        <f t="shared" si="109"/>
        <v/>
      </c>
      <c r="R1034" s="37" t="str">
        <f t="shared" si="110"/>
        <v/>
      </c>
      <c r="S1034" s="37" t="str">
        <f t="shared" si="111"/>
        <v/>
      </c>
      <c r="T1034" s="38" t="str">
        <f t="shared" si="112"/>
        <v/>
      </c>
      <c r="U1034" s="37" t="str">
        <f t="shared" si="113"/>
        <v/>
      </c>
    </row>
    <row r="1035" spans="2:21" ht="17.25">
      <c r="B1035" s="156"/>
      <c r="C1035" s="156"/>
      <c r="D1035" s="157"/>
      <c r="E1035" s="155"/>
      <c r="F1035" s="151"/>
      <c r="G1035" s="152"/>
      <c r="H1035" s="153"/>
      <c r="I1035" s="154"/>
      <c r="J1035" s="154"/>
      <c r="K1035" s="30" t="str">
        <f>IF(H1035="","",IF($C$30="간이법","",FPR(H1035,I1035,J1035)))</f>
        <v/>
      </c>
      <c r="L1035" s="30" t="str">
        <f>IF(H1035="","",IF($C$30="상세법",FPV(H1035,K1035),IF(H1035="EI",4,IF(H1035="EO",5.2,IF(H1035="EQ",3.9,IF(H1035="ILF",7.5,IF(H1035="EIF",5.4)))))))</f>
        <v/>
      </c>
      <c r="M1035" s="30" t="str">
        <f t="shared" si="107"/>
        <v/>
      </c>
      <c r="N1035" s="134"/>
      <c r="O1035" s="29"/>
      <c r="P1035" s="37" t="str">
        <f t="shared" si="108"/>
        <v/>
      </c>
      <c r="Q1035" s="38" t="str">
        <f t="shared" si="109"/>
        <v/>
      </c>
      <c r="R1035" s="37" t="str">
        <f t="shared" si="110"/>
        <v/>
      </c>
      <c r="S1035" s="37" t="str">
        <f t="shared" si="111"/>
        <v/>
      </c>
      <c r="T1035" s="38" t="str">
        <f t="shared" si="112"/>
        <v/>
      </c>
      <c r="U1035" s="37" t="str">
        <f t="shared" si="113"/>
        <v/>
      </c>
    </row>
    <row r="1036" spans="2:21" ht="17.25">
      <c r="B1036" s="156"/>
      <c r="C1036" s="156"/>
      <c r="D1036" s="157"/>
      <c r="E1036" s="155"/>
      <c r="F1036" s="151"/>
      <c r="G1036" s="152"/>
      <c r="H1036" s="153"/>
      <c r="I1036" s="154"/>
      <c r="J1036" s="154"/>
      <c r="K1036" s="30" t="str">
        <f>IF(H1036="","",IF($C$30="간이법","",FPR(H1036,I1036,J1036)))</f>
        <v/>
      </c>
      <c r="L1036" s="30" t="str">
        <f>IF(H1036="","",IF($C$30="상세법",FPV(H1036,K1036),IF(H1036="EI",4,IF(H1036="EO",5.2,IF(H1036="EQ",3.9,IF(H1036="ILF",7.5,IF(H1036="EIF",5.4)))))))</f>
        <v/>
      </c>
      <c r="M1036" s="30" t="str">
        <f t="shared" si="107"/>
        <v/>
      </c>
      <c r="N1036" s="134"/>
      <c r="O1036" s="29"/>
      <c r="P1036" s="37" t="str">
        <f t="shared" si="108"/>
        <v/>
      </c>
      <c r="Q1036" s="38" t="str">
        <f t="shared" si="109"/>
        <v/>
      </c>
      <c r="R1036" s="37" t="str">
        <f t="shared" si="110"/>
        <v/>
      </c>
      <c r="S1036" s="37" t="str">
        <f t="shared" si="111"/>
        <v/>
      </c>
      <c r="T1036" s="38" t="str">
        <f t="shared" si="112"/>
        <v/>
      </c>
      <c r="U1036" s="37" t="str">
        <f t="shared" si="113"/>
        <v/>
      </c>
    </row>
    <row r="1037" spans="2:21" ht="17.25">
      <c r="B1037" s="156"/>
      <c r="C1037" s="156"/>
      <c r="D1037" s="157"/>
      <c r="E1037" s="155"/>
      <c r="F1037" s="151"/>
      <c r="G1037" s="152"/>
      <c r="H1037" s="153"/>
      <c r="I1037" s="154"/>
      <c r="J1037" s="154"/>
      <c r="K1037" s="30" t="str">
        <f>IF(H1037="","",IF($C$30="간이법","",FPR(H1037,I1037,J1037)))</f>
        <v/>
      </c>
      <c r="L1037" s="30" t="str">
        <f>IF(H1037="","",IF($C$30="상세법",FPV(H1037,K1037),IF(H1037="EI",4,IF(H1037="EO",5.2,IF(H1037="EQ",3.9,IF(H1037="ILF",7.5,IF(H1037="EIF",5.4)))))))</f>
        <v/>
      </c>
      <c r="M1037" s="30" t="str">
        <f t="shared" si="107"/>
        <v/>
      </c>
      <c r="N1037" s="134"/>
      <c r="O1037" s="29"/>
      <c r="P1037" s="37" t="str">
        <f t="shared" si="108"/>
        <v/>
      </c>
      <c r="Q1037" s="38" t="str">
        <f t="shared" si="109"/>
        <v/>
      </c>
      <c r="R1037" s="37" t="str">
        <f t="shared" si="110"/>
        <v/>
      </c>
      <c r="S1037" s="37" t="str">
        <f t="shared" si="111"/>
        <v/>
      </c>
      <c r="T1037" s="38" t="str">
        <f t="shared" si="112"/>
        <v/>
      </c>
      <c r="U1037" s="37" t="str">
        <f t="shared" si="113"/>
        <v/>
      </c>
    </row>
    <row r="1038" spans="2:21" ht="17.25">
      <c r="B1038" s="156"/>
      <c r="C1038" s="156"/>
      <c r="D1038" s="157"/>
      <c r="E1038" s="155"/>
      <c r="F1038" s="151"/>
      <c r="G1038" s="152"/>
      <c r="H1038" s="153"/>
      <c r="I1038" s="154"/>
      <c r="J1038" s="154"/>
      <c r="K1038" s="30" t="str">
        <f>IF(H1038="","",IF($C$30="간이법","",FPR(H1038,I1038,J1038)))</f>
        <v/>
      </c>
      <c r="L1038" s="30" t="str">
        <f>IF(H1038="","",IF($C$30="상세법",FPV(H1038,K1038),IF(H1038="EI",4,IF(H1038="EO",5.2,IF(H1038="EQ",3.9,IF(H1038="ILF",7.5,IF(H1038="EIF",5.4)))))))</f>
        <v/>
      </c>
      <c r="M1038" s="30" t="str">
        <f t="shared" si="107"/>
        <v/>
      </c>
      <c r="N1038" s="134"/>
      <c r="O1038" s="29"/>
      <c r="P1038" s="37" t="str">
        <f t="shared" si="108"/>
        <v/>
      </c>
      <c r="Q1038" s="38" t="str">
        <f t="shared" si="109"/>
        <v/>
      </c>
      <c r="R1038" s="37" t="str">
        <f t="shared" si="110"/>
        <v/>
      </c>
      <c r="S1038" s="37" t="str">
        <f t="shared" si="111"/>
        <v/>
      </c>
      <c r="T1038" s="38" t="str">
        <f t="shared" si="112"/>
        <v/>
      </c>
      <c r="U1038" s="37" t="str">
        <f t="shared" si="113"/>
        <v/>
      </c>
    </row>
    <row r="1039" spans="2:21" ht="17.25">
      <c r="B1039" s="156"/>
      <c r="C1039" s="156"/>
      <c r="D1039" s="157"/>
      <c r="E1039" s="155"/>
      <c r="F1039" s="151"/>
      <c r="G1039" s="152"/>
      <c r="H1039" s="153"/>
      <c r="I1039" s="154"/>
      <c r="J1039" s="154"/>
      <c r="K1039" s="30" t="str">
        <f>IF(H1039="","",IF($C$30="간이법","",FPR(H1039,I1039,J1039)))</f>
        <v/>
      </c>
      <c r="L1039" s="30" t="str">
        <f>IF(H1039="","",IF($C$30="상세법",FPV(H1039,K1039),IF(H1039="EI",4,IF(H1039="EO",5.2,IF(H1039="EQ",3.9,IF(H1039="ILF",7.5,IF(H1039="EIF",5.4)))))))</f>
        <v/>
      </c>
      <c r="M1039" s="30" t="str">
        <f t="shared" si="107"/>
        <v/>
      </c>
      <c r="N1039" s="134"/>
      <c r="O1039" s="29"/>
      <c r="P1039" s="37" t="str">
        <f t="shared" si="108"/>
        <v/>
      </c>
      <c r="Q1039" s="38" t="str">
        <f t="shared" si="109"/>
        <v/>
      </c>
      <c r="R1039" s="37" t="str">
        <f t="shared" si="110"/>
        <v/>
      </c>
      <c r="S1039" s="37" t="str">
        <f t="shared" si="111"/>
        <v/>
      </c>
      <c r="T1039" s="38" t="str">
        <f t="shared" si="112"/>
        <v/>
      </c>
      <c r="U1039" s="37" t="str">
        <f t="shared" si="113"/>
        <v/>
      </c>
    </row>
    <row r="1040" spans="2:21" ht="17.25">
      <c r="B1040" s="156"/>
      <c r="C1040" s="156"/>
      <c r="D1040" s="157"/>
      <c r="E1040" s="155"/>
      <c r="F1040" s="151"/>
      <c r="G1040" s="152"/>
      <c r="H1040" s="153"/>
      <c r="I1040" s="154"/>
      <c r="J1040" s="154"/>
      <c r="K1040" s="30" t="str">
        <f>IF(H1040="","",IF($C$30="간이법","",FPR(H1040,I1040,J1040)))</f>
        <v/>
      </c>
      <c r="L1040" s="30" t="str">
        <f>IF(H1040="","",IF($C$30="상세법",FPV(H1040,K1040),IF(H1040="EI",4,IF(H1040="EO",5.2,IF(H1040="EQ",3.9,IF(H1040="ILF",7.5,IF(H1040="EIF",5.4)))))))</f>
        <v/>
      </c>
      <c r="M1040" s="30" t="str">
        <f t="shared" si="107"/>
        <v/>
      </c>
      <c r="N1040" s="134"/>
      <c r="O1040" s="29"/>
      <c r="P1040" s="37" t="str">
        <f t="shared" si="108"/>
        <v/>
      </c>
      <c r="Q1040" s="38" t="str">
        <f t="shared" si="109"/>
        <v/>
      </c>
      <c r="R1040" s="37" t="str">
        <f t="shared" si="110"/>
        <v/>
      </c>
      <c r="S1040" s="37" t="str">
        <f t="shared" si="111"/>
        <v/>
      </c>
      <c r="T1040" s="38" t="str">
        <f t="shared" si="112"/>
        <v/>
      </c>
      <c r="U1040" s="37" t="str">
        <f t="shared" si="113"/>
        <v/>
      </c>
    </row>
    <row r="1041" spans="2:21" ht="17.25">
      <c r="B1041" s="156"/>
      <c r="C1041" s="156"/>
      <c r="D1041" s="157"/>
      <c r="E1041" s="155"/>
      <c r="F1041" s="151"/>
      <c r="G1041" s="152"/>
      <c r="H1041" s="153"/>
      <c r="I1041" s="154"/>
      <c r="J1041" s="154"/>
      <c r="K1041" s="30" t="str">
        <f>IF(H1041="","",IF($C$30="간이법","",FPR(H1041,I1041,J1041)))</f>
        <v/>
      </c>
      <c r="L1041" s="30" t="str">
        <f>IF(H1041="","",IF($C$30="상세법",FPV(H1041,K1041),IF(H1041="EI",4,IF(H1041="EO",5.2,IF(H1041="EQ",3.9,IF(H1041="ILF",7.5,IF(H1041="EIF",5.4)))))))</f>
        <v/>
      </c>
      <c r="M1041" s="30" t="str">
        <f t="shared" si="107"/>
        <v/>
      </c>
      <c r="N1041" s="134"/>
      <c r="O1041" s="29"/>
      <c r="P1041" s="37" t="str">
        <f t="shared" si="108"/>
        <v/>
      </c>
      <c r="Q1041" s="38" t="str">
        <f t="shared" si="109"/>
        <v/>
      </c>
      <c r="R1041" s="37" t="str">
        <f t="shared" si="110"/>
        <v/>
      </c>
      <c r="S1041" s="37" t="str">
        <f t="shared" si="111"/>
        <v/>
      </c>
      <c r="T1041" s="38" t="str">
        <f t="shared" si="112"/>
        <v/>
      </c>
      <c r="U1041" s="37" t="str">
        <f t="shared" si="113"/>
        <v/>
      </c>
    </row>
    <row r="1042" spans="2:21" ht="17.25">
      <c r="B1042" s="156"/>
      <c r="C1042" s="156"/>
      <c r="D1042" s="157"/>
      <c r="E1042" s="155"/>
      <c r="F1042" s="151"/>
      <c r="G1042" s="152"/>
      <c r="H1042" s="153"/>
      <c r="I1042" s="154"/>
      <c r="J1042" s="154"/>
      <c r="K1042" s="30" t="str">
        <f>IF(H1042="","",IF($C$30="간이법","",FPR(H1042,I1042,J1042)))</f>
        <v/>
      </c>
      <c r="L1042" s="30" t="str">
        <f>IF(H1042="","",IF($C$30="상세법",FPV(H1042,K1042),IF(H1042="EI",4,IF(H1042="EO",5.2,IF(H1042="EQ",3.9,IF(H1042="ILF",7.5,IF(H1042="EIF",5.4)))))))</f>
        <v/>
      </c>
      <c r="M1042" s="30" t="str">
        <f t="shared" si="107"/>
        <v/>
      </c>
      <c r="N1042" s="134"/>
      <c r="O1042" s="29"/>
      <c r="P1042" s="37" t="str">
        <f t="shared" si="108"/>
        <v/>
      </c>
      <c r="Q1042" s="38" t="str">
        <f t="shared" si="109"/>
        <v/>
      </c>
      <c r="R1042" s="37" t="str">
        <f t="shared" si="110"/>
        <v/>
      </c>
      <c r="S1042" s="37" t="str">
        <f t="shared" si="111"/>
        <v/>
      </c>
      <c r="T1042" s="38" t="str">
        <f t="shared" si="112"/>
        <v/>
      </c>
      <c r="U1042" s="37" t="str">
        <f t="shared" si="113"/>
        <v/>
      </c>
    </row>
    <row r="1043" spans="2:21" ht="17.25">
      <c r="B1043" s="156"/>
      <c r="C1043" s="156"/>
      <c r="D1043" s="157"/>
      <c r="E1043" s="155"/>
      <c r="F1043" s="151"/>
      <c r="G1043" s="152"/>
      <c r="H1043" s="153"/>
      <c r="I1043" s="154"/>
      <c r="J1043" s="154"/>
      <c r="K1043" s="30" t="str">
        <f>IF(H1043="","",IF($C$30="간이법","",FPR(H1043,I1043,J1043)))</f>
        <v/>
      </c>
      <c r="L1043" s="30" t="str">
        <f>IF(H1043="","",IF($C$30="상세법",FPV(H1043,K1043),IF(H1043="EI",4,IF(H1043="EO",5.2,IF(H1043="EQ",3.9,IF(H1043="ILF",7.5,IF(H1043="EIF",5.4)))))))</f>
        <v/>
      </c>
      <c r="M1043" s="30" t="str">
        <f t="shared" si="107"/>
        <v/>
      </c>
      <c r="N1043" s="134"/>
      <c r="O1043" s="29"/>
      <c r="P1043" s="37" t="str">
        <f t="shared" si="108"/>
        <v/>
      </c>
      <c r="Q1043" s="38" t="str">
        <f t="shared" si="109"/>
        <v/>
      </c>
      <c r="R1043" s="37" t="str">
        <f t="shared" si="110"/>
        <v/>
      </c>
      <c r="S1043" s="37" t="str">
        <f t="shared" si="111"/>
        <v/>
      </c>
      <c r="T1043" s="38" t="str">
        <f t="shared" si="112"/>
        <v/>
      </c>
      <c r="U1043" s="37" t="str">
        <f t="shared" si="113"/>
        <v/>
      </c>
    </row>
    <row r="1044" spans="2:21" ht="17.25">
      <c r="B1044" s="156"/>
      <c r="C1044" s="156"/>
      <c r="D1044" s="157"/>
      <c r="E1044" s="155"/>
      <c r="F1044" s="151"/>
      <c r="G1044" s="152"/>
      <c r="H1044" s="153"/>
      <c r="I1044" s="154"/>
      <c r="J1044" s="154"/>
      <c r="K1044" s="30" t="str">
        <f>IF(H1044="","",IF($C$30="간이법","",FPR(H1044,I1044,J1044)))</f>
        <v/>
      </c>
      <c r="L1044" s="30" t="str">
        <f>IF(H1044="","",IF($C$30="상세법",FPV(H1044,K1044),IF(H1044="EI",4,IF(H1044="EO",5.2,IF(H1044="EQ",3.9,IF(H1044="ILF",7.5,IF(H1044="EIF",5.4)))))))</f>
        <v/>
      </c>
      <c r="M1044" s="30" t="str">
        <f t="shared" si="107"/>
        <v/>
      </c>
      <c r="N1044" s="134"/>
      <c r="O1044" s="29"/>
      <c r="P1044" s="37" t="str">
        <f t="shared" si="108"/>
        <v/>
      </c>
      <c r="Q1044" s="38" t="str">
        <f t="shared" si="109"/>
        <v/>
      </c>
      <c r="R1044" s="37" t="str">
        <f t="shared" si="110"/>
        <v/>
      </c>
      <c r="S1044" s="37" t="str">
        <f t="shared" si="111"/>
        <v/>
      </c>
      <c r="T1044" s="38" t="str">
        <f t="shared" si="112"/>
        <v/>
      </c>
      <c r="U1044" s="37" t="str">
        <f t="shared" si="113"/>
        <v/>
      </c>
    </row>
    <row r="1045" spans="2:21" ht="17.25">
      <c r="B1045" s="156"/>
      <c r="C1045" s="156"/>
      <c r="D1045" s="157"/>
      <c r="E1045" s="155"/>
      <c r="F1045" s="151"/>
      <c r="G1045" s="152"/>
      <c r="H1045" s="153"/>
      <c r="I1045" s="154"/>
      <c r="J1045" s="154"/>
      <c r="K1045" s="30" t="str">
        <f>IF(H1045="","",IF($C$30="간이법","",FPR(H1045,I1045,J1045)))</f>
        <v/>
      </c>
      <c r="L1045" s="30" t="str">
        <f>IF(H1045="","",IF($C$30="상세법",FPV(H1045,K1045),IF(H1045="EI",4,IF(H1045="EO",5.2,IF(H1045="EQ",3.9,IF(H1045="ILF",7.5,IF(H1045="EIF",5.4)))))))</f>
        <v/>
      </c>
      <c r="M1045" s="30" t="str">
        <f t="shared" si="107"/>
        <v/>
      </c>
      <c r="N1045" s="134"/>
      <c r="O1045" s="29"/>
      <c r="P1045" s="37" t="str">
        <f t="shared" si="108"/>
        <v/>
      </c>
      <c r="Q1045" s="38" t="str">
        <f t="shared" si="109"/>
        <v/>
      </c>
      <c r="R1045" s="37" t="str">
        <f t="shared" si="110"/>
        <v/>
      </c>
      <c r="S1045" s="37" t="str">
        <f t="shared" si="111"/>
        <v/>
      </c>
      <c r="T1045" s="38" t="str">
        <f t="shared" si="112"/>
        <v/>
      </c>
      <c r="U1045" s="37" t="str">
        <f t="shared" si="113"/>
        <v/>
      </c>
    </row>
    <row r="1046" spans="2:21" ht="17.25">
      <c r="B1046" s="156"/>
      <c r="C1046" s="156"/>
      <c r="D1046" s="157"/>
      <c r="E1046" s="155"/>
      <c r="F1046" s="151"/>
      <c r="G1046" s="152"/>
      <c r="H1046" s="153"/>
      <c r="I1046" s="154"/>
      <c r="J1046" s="154"/>
      <c r="K1046" s="30" t="str">
        <f>IF(H1046="","",IF($C$30="간이법","",FPR(H1046,I1046,J1046)))</f>
        <v/>
      </c>
      <c r="L1046" s="30" t="str">
        <f>IF(H1046="","",IF($C$30="상세법",FPV(H1046,K1046),IF(H1046="EI",4,IF(H1046="EO",5.2,IF(H1046="EQ",3.9,IF(H1046="ILF",7.5,IF(H1046="EIF",5.4)))))))</f>
        <v/>
      </c>
      <c r="M1046" s="30" t="str">
        <f t="shared" si="107"/>
        <v/>
      </c>
      <c r="N1046" s="134"/>
      <c r="O1046" s="29"/>
      <c r="P1046" s="37" t="str">
        <f t="shared" si="108"/>
        <v/>
      </c>
      <c r="Q1046" s="38" t="str">
        <f t="shared" si="109"/>
        <v/>
      </c>
      <c r="R1046" s="37" t="str">
        <f t="shared" si="110"/>
        <v/>
      </c>
      <c r="S1046" s="37" t="str">
        <f t="shared" si="111"/>
        <v/>
      </c>
      <c r="T1046" s="38" t="str">
        <f t="shared" si="112"/>
        <v/>
      </c>
      <c r="U1046" s="37" t="str">
        <f t="shared" si="113"/>
        <v/>
      </c>
    </row>
    <row r="1047" spans="2:21" ht="17.25">
      <c r="B1047" s="156"/>
      <c r="C1047" s="156"/>
      <c r="D1047" s="157"/>
      <c r="E1047" s="155"/>
      <c r="F1047" s="151"/>
      <c r="G1047" s="152"/>
      <c r="H1047" s="153"/>
      <c r="I1047" s="154"/>
      <c r="J1047" s="154"/>
      <c r="K1047" s="30" t="str">
        <f>IF(H1047="","",IF($C$30="간이법","",FPR(H1047,I1047,J1047)))</f>
        <v/>
      </c>
      <c r="L1047" s="30" t="str">
        <f>IF(H1047="","",IF($C$30="상세법",FPV(H1047,K1047),IF(H1047="EI",4,IF(H1047="EO",5.2,IF(H1047="EQ",3.9,IF(H1047="ILF",7.5,IF(H1047="EIF",5.4)))))))</f>
        <v/>
      </c>
      <c r="M1047" s="30" t="str">
        <f t="shared" si="107"/>
        <v/>
      </c>
      <c r="N1047" s="134"/>
      <c r="O1047" s="29"/>
      <c r="P1047" s="37" t="str">
        <f t="shared" si="108"/>
        <v/>
      </c>
      <c r="Q1047" s="38" t="str">
        <f t="shared" si="109"/>
        <v/>
      </c>
      <c r="R1047" s="37" t="str">
        <f t="shared" si="110"/>
        <v/>
      </c>
      <c r="S1047" s="37" t="str">
        <f t="shared" si="111"/>
        <v/>
      </c>
      <c r="T1047" s="38" t="str">
        <f t="shared" si="112"/>
        <v/>
      </c>
      <c r="U1047" s="37" t="str">
        <f t="shared" si="113"/>
        <v/>
      </c>
    </row>
    <row r="1048" spans="2:21" ht="17.25">
      <c r="B1048" s="156"/>
      <c r="C1048" s="156"/>
      <c r="D1048" s="157"/>
      <c r="E1048" s="155"/>
      <c r="F1048" s="151"/>
      <c r="G1048" s="152"/>
      <c r="H1048" s="153"/>
      <c r="I1048" s="154"/>
      <c r="J1048" s="154"/>
      <c r="K1048" s="30" t="str">
        <f>IF(H1048="","",IF($C$30="간이법","",FPR(H1048,I1048,J1048)))</f>
        <v/>
      </c>
      <c r="L1048" s="30" t="str">
        <f>IF(H1048="","",IF($C$30="상세법",FPV(H1048,K1048),IF(H1048="EI",4,IF(H1048="EO",5.2,IF(H1048="EQ",3.9,IF(H1048="ILF",7.5,IF(H1048="EIF",5.4)))))))</f>
        <v/>
      </c>
      <c r="M1048" s="30" t="str">
        <f t="shared" si="107"/>
        <v/>
      </c>
      <c r="N1048" s="134"/>
      <c r="O1048" s="29"/>
      <c r="P1048" s="37" t="str">
        <f t="shared" si="108"/>
        <v/>
      </c>
      <c r="Q1048" s="38" t="str">
        <f t="shared" si="109"/>
        <v/>
      </c>
      <c r="R1048" s="37" t="str">
        <f t="shared" si="110"/>
        <v/>
      </c>
      <c r="S1048" s="37" t="str">
        <f t="shared" si="111"/>
        <v/>
      </c>
      <c r="T1048" s="38" t="str">
        <f t="shared" si="112"/>
        <v/>
      </c>
      <c r="U1048" s="37" t="str">
        <f t="shared" si="113"/>
        <v/>
      </c>
    </row>
    <row r="1049" spans="2:21" ht="17.25">
      <c r="B1049" s="156"/>
      <c r="C1049" s="156"/>
      <c r="D1049" s="157"/>
      <c r="E1049" s="155"/>
      <c r="F1049" s="151"/>
      <c r="G1049" s="152"/>
      <c r="H1049" s="153"/>
      <c r="I1049" s="154"/>
      <c r="J1049" s="154"/>
      <c r="K1049" s="30" t="str">
        <f>IF(H1049="","",IF($C$30="간이법","",FPR(H1049,I1049,J1049)))</f>
        <v/>
      </c>
      <c r="L1049" s="30" t="str">
        <f>IF(H1049="","",IF($C$30="상세법",FPV(H1049,K1049),IF(H1049="EI",4,IF(H1049="EO",5.2,IF(H1049="EQ",3.9,IF(H1049="ILF",7.5,IF(H1049="EIF",5.4)))))))</f>
        <v/>
      </c>
      <c r="M1049" s="30" t="str">
        <f t="shared" si="107"/>
        <v/>
      </c>
      <c r="N1049" s="134"/>
      <c r="O1049" s="29"/>
      <c r="P1049" s="37" t="str">
        <f t="shared" si="108"/>
        <v/>
      </c>
      <c r="Q1049" s="38" t="str">
        <f t="shared" si="109"/>
        <v/>
      </c>
      <c r="R1049" s="37" t="str">
        <f t="shared" si="110"/>
        <v/>
      </c>
      <c r="S1049" s="37" t="str">
        <f t="shared" si="111"/>
        <v/>
      </c>
      <c r="T1049" s="38" t="str">
        <f t="shared" si="112"/>
        <v/>
      </c>
      <c r="U1049" s="37" t="str">
        <f t="shared" si="113"/>
        <v/>
      </c>
    </row>
    <row r="1050" spans="2:21" ht="17.25">
      <c r="B1050" s="156"/>
      <c r="C1050" s="156"/>
      <c r="D1050" s="157"/>
      <c r="E1050" s="155"/>
      <c r="F1050" s="151"/>
      <c r="G1050" s="152"/>
      <c r="H1050" s="153"/>
      <c r="I1050" s="154"/>
      <c r="J1050" s="154"/>
      <c r="K1050" s="30" t="str">
        <f>IF(H1050="","",IF($C$30="간이법","",FPR(H1050,I1050,J1050)))</f>
        <v/>
      </c>
      <c r="L1050" s="30" t="str">
        <f>IF(H1050="","",IF($C$30="상세법",FPV(H1050,K1050),IF(H1050="EI",4,IF(H1050="EO",5.2,IF(H1050="EQ",3.9,IF(H1050="ILF",7.5,IF(H1050="EIF",5.4)))))))</f>
        <v/>
      </c>
      <c r="M1050" s="30" t="str">
        <f t="shared" si="107"/>
        <v/>
      </c>
      <c r="N1050" s="134"/>
      <c r="O1050" s="29"/>
      <c r="P1050" s="37" t="str">
        <f t="shared" si="108"/>
        <v/>
      </c>
      <c r="Q1050" s="38" t="str">
        <f t="shared" si="109"/>
        <v/>
      </c>
      <c r="R1050" s="37" t="str">
        <f t="shared" si="110"/>
        <v/>
      </c>
      <c r="S1050" s="37" t="str">
        <f t="shared" si="111"/>
        <v/>
      </c>
      <c r="T1050" s="38" t="str">
        <f t="shared" si="112"/>
        <v/>
      </c>
      <c r="U1050" s="37" t="str">
        <f t="shared" si="113"/>
        <v/>
      </c>
    </row>
    <row r="1051" spans="2:21" ht="17.25">
      <c r="B1051" s="156"/>
      <c r="C1051" s="156"/>
      <c r="D1051" s="157"/>
      <c r="E1051" s="155"/>
      <c r="F1051" s="151"/>
      <c r="G1051" s="152"/>
      <c r="H1051" s="153"/>
      <c r="I1051" s="154"/>
      <c r="J1051" s="154"/>
      <c r="K1051" s="30" t="str">
        <f>IF(H1051="","",IF($C$30="간이법","",FPR(H1051,I1051,J1051)))</f>
        <v/>
      </c>
      <c r="L1051" s="30" t="str">
        <f>IF(H1051="","",IF($C$30="상세법",FPV(H1051,K1051),IF(H1051="EI",4,IF(H1051="EO",5.2,IF(H1051="EQ",3.9,IF(H1051="ILF",7.5,IF(H1051="EIF",5.4)))))))</f>
        <v/>
      </c>
      <c r="M1051" s="30" t="str">
        <f t="shared" si="107"/>
        <v/>
      </c>
      <c r="N1051" s="134"/>
      <c r="O1051" s="29"/>
      <c r="P1051" s="37" t="str">
        <f t="shared" si="108"/>
        <v/>
      </c>
      <c r="Q1051" s="38" t="str">
        <f t="shared" si="109"/>
        <v/>
      </c>
      <c r="R1051" s="37" t="str">
        <f t="shared" si="110"/>
        <v/>
      </c>
      <c r="S1051" s="37" t="str">
        <f t="shared" si="111"/>
        <v/>
      </c>
      <c r="T1051" s="38" t="str">
        <f t="shared" si="112"/>
        <v/>
      </c>
      <c r="U1051" s="37" t="str">
        <f t="shared" si="113"/>
        <v/>
      </c>
    </row>
    <row r="1052" spans="2:21" ht="17.25">
      <c r="B1052" s="156"/>
      <c r="C1052" s="156"/>
      <c r="D1052" s="157"/>
      <c r="E1052" s="155"/>
      <c r="F1052" s="151"/>
      <c r="G1052" s="152"/>
      <c r="H1052" s="153"/>
      <c r="I1052" s="154"/>
      <c r="J1052" s="154"/>
      <c r="K1052" s="30" t="str">
        <f>IF(H1052="","",IF($C$30="간이법","",FPR(H1052,I1052,J1052)))</f>
        <v/>
      </c>
      <c r="L1052" s="30" t="str">
        <f>IF(H1052="","",IF($C$30="상세법",FPV(H1052,K1052),IF(H1052="EI",4,IF(H1052="EO",5.2,IF(H1052="EQ",3.9,IF(H1052="ILF",7.5,IF(H1052="EIF",5.4)))))))</f>
        <v/>
      </c>
      <c r="M1052" s="30" t="str">
        <f t="shared" si="107"/>
        <v/>
      </c>
      <c r="N1052" s="134"/>
      <c r="O1052" s="29"/>
      <c r="P1052" s="37" t="str">
        <f t="shared" si="108"/>
        <v/>
      </c>
      <c r="Q1052" s="38" t="str">
        <f t="shared" si="109"/>
        <v/>
      </c>
      <c r="R1052" s="37" t="str">
        <f t="shared" si="110"/>
        <v/>
      </c>
      <c r="S1052" s="37" t="str">
        <f t="shared" si="111"/>
        <v/>
      </c>
      <c r="T1052" s="38" t="str">
        <f t="shared" si="112"/>
        <v/>
      </c>
      <c r="U1052" s="37" t="str">
        <f t="shared" si="113"/>
        <v/>
      </c>
    </row>
    <row r="1053" spans="2:21" ht="17.25">
      <c r="B1053" s="156"/>
      <c r="C1053" s="156"/>
      <c r="D1053" s="157"/>
      <c r="E1053" s="155"/>
      <c r="F1053" s="151"/>
      <c r="G1053" s="152"/>
      <c r="H1053" s="153"/>
      <c r="I1053" s="154"/>
      <c r="J1053" s="154"/>
      <c r="K1053" s="30" t="str">
        <f>IF(H1053="","",IF($C$30="간이법","",FPR(H1053,I1053,J1053)))</f>
        <v/>
      </c>
      <c r="L1053" s="30" t="str">
        <f>IF(H1053="","",IF($C$30="상세법",FPV(H1053,K1053),IF(H1053="EI",4,IF(H1053="EO",5.2,IF(H1053="EQ",3.9,IF(H1053="ILF",7.5,IF(H1053="EIF",5.4)))))))</f>
        <v/>
      </c>
      <c r="M1053" s="30" t="str">
        <f t="shared" si="107"/>
        <v/>
      </c>
      <c r="N1053" s="134"/>
      <c r="O1053" s="29"/>
      <c r="P1053" s="37" t="str">
        <f t="shared" si="108"/>
        <v/>
      </c>
      <c r="Q1053" s="38" t="str">
        <f t="shared" si="109"/>
        <v/>
      </c>
      <c r="R1053" s="37" t="str">
        <f t="shared" si="110"/>
        <v/>
      </c>
      <c r="S1053" s="37" t="str">
        <f t="shared" si="111"/>
        <v/>
      </c>
      <c r="T1053" s="38" t="str">
        <f t="shared" si="112"/>
        <v/>
      </c>
      <c r="U1053" s="37" t="str">
        <f t="shared" si="113"/>
        <v/>
      </c>
    </row>
    <row r="1054" spans="2:21" ht="17.25">
      <c r="B1054" s="156"/>
      <c r="C1054" s="156"/>
      <c r="D1054" s="157"/>
      <c r="E1054" s="155"/>
      <c r="F1054" s="151"/>
      <c r="G1054" s="152"/>
      <c r="H1054" s="153"/>
      <c r="I1054" s="154"/>
      <c r="J1054" s="154"/>
      <c r="K1054" s="30" t="str">
        <f>IF(H1054="","",IF($C$30="간이법","",FPR(H1054,I1054,J1054)))</f>
        <v/>
      </c>
      <c r="L1054" s="30" t="str">
        <f>IF(H1054="","",IF($C$30="상세법",FPV(H1054,K1054),IF(H1054="EI",4,IF(H1054="EO",5.2,IF(H1054="EQ",3.9,IF(H1054="ILF",7.5,IF(H1054="EIF",5.4)))))))</f>
        <v/>
      </c>
      <c r="M1054" s="30" t="str">
        <f t="shared" si="107"/>
        <v/>
      </c>
      <c r="N1054" s="134"/>
      <c r="O1054" s="29"/>
      <c r="P1054" s="37" t="str">
        <f t="shared" si="108"/>
        <v/>
      </c>
      <c r="Q1054" s="38" t="str">
        <f t="shared" si="109"/>
        <v/>
      </c>
      <c r="R1054" s="37" t="str">
        <f t="shared" si="110"/>
        <v/>
      </c>
      <c r="S1054" s="37" t="str">
        <f t="shared" si="111"/>
        <v/>
      </c>
      <c r="T1054" s="38" t="str">
        <f t="shared" si="112"/>
        <v/>
      </c>
      <c r="U1054" s="37" t="str">
        <f t="shared" si="113"/>
        <v/>
      </c>
    </row>
    <row r="1055" spans="2:21" ht="17.25">
      <c r="B1055" s="156"/>
      <c r="C1055" s="156"/>
      <c r="D1055" s="157"/>
      <c r="E1055" s="155"/>
      <c r="F1055" s="151"/>
      <c r="G1055" s="152"/>
      <c r="H1055" s="153"/>
      <c r="I1055" s="154"/>
      <c r="J1055" s="154"/>
      <c r="K1055" s="30" t="str">
        <f>IF(H1055="","",IF($C$30="간이법","",FPR(H1055,I1055,J1055)))</f>
        <v/>
      </c>
      <c r="L1055" s="30" t="str">
        <f>IF(H1055="","",IF($C$30="상세법",FPV(H1055,K1055),IF(H1055="EI",4,IF(H1055="EO",5.2,IF(H1055="EQ",3.9,IF(H1055="ILF",7.5,IF(H1055="EIF",5.4)))))))</f>
        <v/>
      </c>
      <c r="M1055" s="30" t="str">
        <f t="shared" si="107"/>
        <v/>
      </c>
      <c r="N1055" s="134"/>
      <c r="O1055" s="29"/>
      <c r="P1055" s="37" t="str">
        <f t="shared" si="108"/>
        <v/>
      </c>
      <c r="Q1055" s="38" t="str">
        <f t="shared" si="109"/>
        <v/>
      </c>
      <c r="R1055" s="37" t="str">
        <f t="shared" si="110"/>
        <v/>
      </c>
      <c r="S1055" s="37" t="str">
        <f t="shared" si="111"/>
        <v/>
      </c>
      <c r="T1055" s="38" t="str">
        <f t="shared" si="112"/>
        <v/>
      </c>
      <c r="U1055" s="37" t="str">
        <f t="shared" si="113"/>
        <v/>
      </c>
    </row>
    <row r="1056" spans="2:21" ht="17.25">
      <c r="B1056" s="156"/>
      <c r="C1056" s="156"/>
      <c r="D1056" s="157"/>
      <c r="E1056" s="155"/>
      <c r="F1056" s="151"/>
      <c r="G1056" s="152"/>
      <c r="H1056" s="153"/>
      <c r="I1056" s="154"/>
      <c r="J1056" s="154"/>
      <c r="K1056" s="30" t="str">
        <f>IF(H1056="","",IF($C$30="간이법","",FPR(H1056,I1056,J1056)))</f>
        <v/>
      </c>
      <c r="L1056" s="30" t="str">
        <f>IF(H1056="","",IF($C$30="상세법",FPV(H1056,K1056),IF(H1056="EI",4,IF(H1056="EO",5.2,IF(H1056="EQ",3.9,IF(H1056="ILF",7.5,IF(H1056="EIF",5.4)))))))</f>
        <v/>
      </c>
      <c r="M1056" s="30" t="str">
        <f t="shared" si="107"/>
        <v/>
      </c>
      <c r="N1056" s="134"/>
      <c r="O1056" s="29"/>
      <c r="P1056" s="37" t="str">
        <f t="shared" si="108"/>
        <v/>
      </c>
      <c r="Q1056" s="38" t="str">
        <f t="shared" si="109"/>
        <v/>
      </c>
      <c r="R1056" s="37" t="str">
        <f t="shared" si="110"/>
        <v/>
      </c>
      <c r="S1056" s="37" t="str">
        <f t="shared" si="111"/>
        <v/>
      </c>
      <c r="T1056" s="38" t="str">
        <f t="shared" si="112"/>
        <v/>
      </c>
      <c r="U1056" s="37" t="str">
        <f t="shared" si="113"/>
        <v/>
      </c>
    </row>
    <row r="1057" spans="2:21" ht="17.25">
      <c r="B1057" s="156"/>
      <c r="C1057" s="156"/>
      <c r="D1057" s="157"/>
      <c r="E1057" s="155"/>
      <c r="F1057" s="151"/>
      <c r="G1057" s="152"/>
      <c r="H1057" s="153"/>
      <c r="I1057" s="154"/>
      <c r="J1057" s="154"/>
      <c r="K1057" s="30" t="str">
        <f>IF(H1057="","",IF($C$30="간이법","",FPR(H1057,I1057,J1057)))</f>
        <v/>
      </c>
      <c r="L1057" s="30" t="str">
        <f>IF(H1057="","",IF($C$30="상세법",FPV(H1057,K1057),IF(H1057="EI",4,IF(H1057="EO",5.2,IF(H1057="EQ",3.9,IF(H1057="ILF",7.5,IF(H1057="EIF",5.4)))))))</f>
        <v/>
      </c>
      <c r="M1057" s="30" t="str">
        <f t="shared" si="107"/>
        <v/>
      </c>
      <c r="N1057" s="134"/>
      <c r="O1057" s="29"/>
      <c r="P1057" s="37" t="str">
        <f t="shared" si="108"/>
        <v/>
      </c>
      <c r="Q1057" s="38" t="str">
        <f t="shared" si="109"/>
        <v/>
      </c>
      <c r="R1057" s="37" t="str">
        <f t="shared" si="110"/>
        <v/>
      </c>
      <c r="S1057" s="37" t="str">
        <f t="shared" si="111"/>
        <v/>
      </c>
      <c r="T1057" s="38" t="str">
        <f t="shared" si="112"/>
        <v/>
      </c>
      <c r="U1057" s="37" t="str">
        <f t="shared" si="113"/>
        <v/>
      </c>
    </row>
    <row r="1058" spans="2:21" ht="17.25">
      <c r="B1058" s="156"/>
      <c r="C1058" s="156"/>
      <c r="D1058" s="157"/>
      <c r="E1058" s="155"/>
      <c r="F1058" s="151"/>
      <c r="G1058" s="152"/>
      <c r="H1058" s="153"/>
      <c r="I1058" s="154"/>
      <c r="J1058" s="154"/>
      <c r="K1058" s="30" t="str">
        <f>IF(H1058="","",IF($C$30="간이법","",FPR(H1058,I1058,J1058)))</f>
        <v/>
      </c>
      <c r="L1058" s="30" t="str">
        <f>IF(H1058="","",IF($C$30="상세법",FPV(H1058,K1058),IF(H1058="EI",4,IF(H1058="EO",5.2,IF(H1058="EQ",3.9,IF(H1058="ILF",7.5,IF(H1058="EIF",5.4)))))))</f>
        <v/>
      </c>
      <c r="M1058" s="30" t="str">
        <f t="shared" si="107"/>
        <v/>
      </c>
      <c r="N1058" s="134"/>
      <c r="O1058" s="29"/>
      <c r="P1058" s="37" t="str">
        <f t="shared" si="108"/>
        <v/>
      </c>
      <c r="Q1058" s="38" t="str">
        <f t="shared" si="109"/>
        <v/>
      </c>
      <c r="R1058" s="37" t="str">
        <f t="shared" si="110"/>
        <v/>
      </c>
      <c r="S1058" s="37" t="str">
        <f t="shared" si="111"/>
        <v/>
      </c>
      <c r="T1058" s="38" t="str">
        <f t="shared" si="112"/>
        <v/>
      </c>
      <c r="U1058" s="37" t="str">
        <f t="shared" si="113"/>
        <v/>
      </c>
    </row>
    <row r="1059" spans="2:21" ht="17.25">
      <c r="B1059" s="156"/>
      <c r="C1059" s="156"/>
      <c r="D1059" s="157"/>
      <c r="E1059" s="155"/>
      <c r="F1059" s="151"/>
      <c r="G1059" s="152"/>
      <c r="H1059" s="153"/>
      <c r="I1059" s="154"/>
      <c r="J1059" s="154"/>
      <c r="K1059" s="30" t="str">
        <f>IF(H1059="","",IF($C$30="간이법","",FPR(H1059,I1059,J1059)))</f>
        <v/>
      </c>
      <c r="L1059" s="30" t="str">
        <f>IF(H1059="","",IF($C$30="상세법",FPV(H1059,K1059),IF(H1059="EI",4,IF(H1059="EO",5.2,IF(H1059="EQ",3.9,IF(H1059="ILF",7.5,IF(H1059="EIF",5.4)))))))</f>
        <v/>
      </c>
      <c r="M1059" s="30" t="str">
        <f t="shared" si="107"/>
        <v/>
      </c>
      <c r="N1059" s="134"/>
      <c r="O1059" s="29"/>
      <c r="P1059" s="37" t="str">
        <f t="shared" si="108"/>
        <v/>
      </c>
      <c r="Q1059" s="38" t="str">
        <f t="shared" si="109"/>
        <v/>
      </c>
      <c r="R1059" s="37" t="str">
        <f t="shared" si="110"/>
        <v/>
      </c>
      <c r="S1059" s="37" t="str">
        <f t="shared" si="111"/>
        <v/>
      </c>
      <c r="T1059" s="38" t="str">
        <f t="shared" si="112"/>
        <v/>
      </c>
      <c r="U1059" s="37" t="str">
        <f t="shared" si="113"/>
        <v/>
      </c>
    </row>
    <row r="1060" spans="2:21" ht="17.25">
      <c r="B1060" s="156"/>
      <c r="C1060" s="156"/>
      <c r="D1060" s="157"/>
      <c r="E1060" s="155"/>
      <c r="F1060" s="151"/>
      <c r="G1060" s="152"/>
      <c r="H1060" s="153"/>
      <c r="I1060" s="154"/>
      <c r="J1060" s="154"/>
      <c r="K1060" s="30" t="str">
        <f>IF(H1060="","",IF($C$30="간이법","",FPR(H1060,I1060,J1060)))</f>
        <v/>
      </c>
      <c r="L1060" s="30" t="str">
        <f>IF(H1060="","",IF($C$30="상세법",FPV(H1060,K1060),IF(H1060="EI",4,IF(H1060="EO",5.2,IF(H1060="EQ",3.9,IF(H1060="ILF",7.5,IF(H1060="EIF",5.4)))))))</f>
        <v/>
      </c>
      <c r="M1060" s="30" t="str">
        <f t="shared" si="107"/>
        <v/>
      </c>
      <c r="N1060" s="134"/>
      <c r="O1060" s="29"/>
      <c r="P1060" s="37" t="str">
        <f t="shared" si="108"/>
        <v/>
      </c>
      <c r="Q1060" s="38" t="str">
        <f t="shared" si="109"/>
        <v/>
      </c>
      <c r="R1060" s="37" t="str">
        <f t="shared" si="110"/>
        <v/>
      </c>
      <c r="S1060" s="37" t="str">
        <f t="shared" si="111"/>
        <v/>
      </c>
      <c r="T1060" s="38" t="str">
        <f t="shared" si="112"/>
        <v/>
      </c>
      <c r="U1060" s="37" t="str">
        <f t="shared" si="113"/>
        <v/>
      </c>
    </row>
    <row r="1061" spans="2:21" ht="17.25">
      <c r="B1061" s="156"/>
      <c r="C1061" s="156"/>
      <c r="D1061" s="157"/>
      <c r="E1061" s="155"/>
      <c r="F1061" s="151"/>
      <c r="G1061" s="152"/>
      <c r="H1061" s="153"/>
      <c r="I1061" s="154"/>
      <c r="J1061" s="154"/>
      <c r="K1061" s="30" t="str">
        <f>IF(H1061="","",IF($C$30="간이법","",FPR(H1061,I1061,J1061)))</f>
        <v/>
      </c>
      <c r="L1061" s="30" t="str">
        <f>IF(H1061="","",IF($C$30="상세법",FPV(H1061,K1061),IF(H1061="EI",4,IF(H1061="EO",5.2,IF(H1061="EQ",3.9,IF(H1061="ILF",7.5,IF(H1061="EIF",5.4)))))))</f>
        <v/>
      </c>
      <c r="M1061" s="30" t="str">
        <f t="shared" si="107"/>
        <v/>
      </c>
      <c r="N1061" s="134"/>
      <c r="O1061" s="29"/>
      <c r="P1061" s="37" t="str">
        <f t="shared" si="108"/>
        <v/>
      </c>
      <c r="Q1061" s="38" t="str">
        <f t="shared" si="109"/>
        <v/>
      </c>
      <c r="R1061" s="37" t="str">
        <f t="shared" si="110"/>
        <v/>
      </c>
      <c r="S1061" s="37" t="str">
        <f t="shared" si="111"/>
        <v/>
      </c>
      <c r="T1061" s="38" t="str">
        <f t="shared" si="112"/>
        <v/>
      </c>
      <c r="U1061" s="37" t="str">
        <f t="shared" si="113"/>
        <v/>
      </c>
    </row>
    <row r="1062" spans="2:21" ht="17.25">
      <c r="B1062" s="156"/>
      <c r="C1062" s="156"/>
      <c r="D1062" s="157"/>
      <c r="E1062" s="155"/>
      <c r="F1062" s="151"/>
      <c r="G1062" s="152"/>
      <c r="H1062" s="153"/>
      <c r="I1062" s="154"/>
      <c r="J1062" s="154"/>
      <c r="K1062" s="30" t="str">
        <f>IF(H1062="","",IF($C$30="간이법","",FPR(H1062,I1062,J1062)))</f>
        <v/>
      </c>
      <c r="L1062" s="30" t="str">
        <f>IF(H1062="","",IF($C$30="상세법",FPV(H1062,K1062),IF(H1062="EI",4,IF(H1062="EO",5.2,IF(H1062="EQ",3.9,IF(H1062="ILF",7.5,IF(H1062="EIF",5.4)))))))</f>
        <v/>
      </c>
      <c r="M1062" s="30" t="str">
        <f t="shared" si="107"/>
        <v/>
      </c>
      <c r="N1062" s="134"/>
      <c r="O1062" s="29"/>
      <c r="P1062" s="37" t="str">
        <f t="shared" si="108"/>
        <v/>
      </c>
      <c r="Q1062" s="38" t="str">
        <f t="shared" si="109"/>
        <v/>
      </c>
      <c r="R1062" s="37" t="str">
        <f t="shared" si="110"/>
        <v/>
      </c>
      <c r="S1062" s="37" t="str">
        <f t="shared" si="111"/>
        <v/>
      </c>
      <c r="T1062" s="38" t="str">
        <f t="shared" si="112"/>
        <v/>
      </c>
      <c r="U1062" s="37" t="str">
        <f t="shared" si="113"/>
        <v/>
      </c>
    </row>
    <row r="1063" spans="2:21" ht="17.25">
      <c r="B1063" s="156"/>
      <c r="C1063" s="156"/>
      <c r="D1063" s="157"/>
      <c r="E1063" s="155"/>
      <c r="F1063" s="151"/>
      <c r="G1063" s="152"/>
      <c r="H1063" s="153"/>
      <c r="I1063" s="154"/>
      <c r="J1063" s="154"/>
      <c r="K1063" s="30" t="str">
        <f>IF(H1063="","",IF($C$30="간이법","",FPR(H1063,I1063,J1063)))</f>
        <v/>
      </c>
      <c r="L1063" s="30" t="str">
        <f>IF(H1063="","",IF($C$30="상세법",FPV(H1063,K1063),IF(H1063="EI",4,IF(H1063="EO",5.2,IF(H1063="EQ",3.9,IF(H1063="ILF",7.5,IF(H1063="EIF",5.4)))))))</f>
        <v/>
      </c>
      <c r="M1063" s="30" t="str">
        <f t="shared" si="107"/>
        <v/>
      </c>
      <c r="N1063" s="134"/>
      <c r="O1063" s="29"/>
      <c r="P1063" s="37" t="str">
        <f t="shared" si="108"/>
        <v/>
      </c>
      <c r="Q1063" s="38" t="str">
        <f t="shared" si="109"/>
        <v/>
      </c>
      <c r="R1063" s="37" t="str">
        <f t="shared" si="110"/>
        <v/>
      </c>
      <c r="S1063" s="37" t="str">
        <f t="shared" si="111"/>
        <v/>
      </c>
      <c r="T1063" s="38" t="str">
        <f t="shared" si="112"/>
        <v/>
      </c>
      <c r="U1063" s="37" t="str">
        <f t="shared" si="113"/>
        <v/>
      </c>
    </row>
    <row r="1064" spans="2:21" ht="17.25">
      <c r="B1064" s="156"/>
      <c r="C1064" s="156"/>
      <c r="D1064" s="157"/>
      <c r="E1064" s="155"/>
      <c r="F1064" s="151"/>
      <c r="G1064" s="152"/>
      <c r="H1064" s="153"/>
      <c r="I1064" s="154"/>
      <c r="J1064" s="154"/>
      <c r="K1064" s="30" t="str">
        <f>IF(H1064="","",IF($C$30="간이법","",FPR(H1064,I1064,J1064)))</f>
        <v/>
      </c>
      <c r="L1064" s="30" t="str">
        <f>IF(H1064="","",IF($C$30="상세법",FPV(H1064,K1064),IF(H1064="EI",4,IF(H1064="EO",5.2,IF(H1064="EQ",3.9,IF(H1064="ILF",7.5,IF(H1064="EIF",5.4)))))))</f>
        <v/>
      </c>
      <c r="M1064" s="30" t="str">
        <f t="shared" si="107"/>
        <v/>
      </c>
      <c r="N1064" s="134"/>
      <c r="O1064" s="29"/>
      <c r="P1064" s="37" t="str">
        <f t="shared" si="108"/>
        <v/>
      </c>
      <c r="Q1064" s="38" t="str">
        <f t="shared" si="109"/>
        <v/>
      </c>
      <c r="R1064" s="37" t="str">
        <f t="shared" si="110"/>
        <v/>
      </c>
      <c r="S1064" s="37" t="str">
        <f t="shared" si="111"/>
        <v/>
      </c>
      <c r="T1064" s="38" t="str">
        <f t="shared" si="112"/>
        <v/>
      </c>
      <c r="U1064" s="37" t="str">
        <f t="shared" si="113"/>
        <v/>
      </c>
    </row>
    <row r="1065" spans="2:21" ht="17.25">
      <c r="B1065" s="156"/>
      <c r="C1065" s="156"/>
      <c r="D1065" s="157"/>
      <c r="E1065" s="155"/>
      <c r="F1065" s="151"/>
      <c r="G1065" s="152"/>
      <c r="H1065" s="153"/>
      <c r="I1065" s="154"/>
      <c r="J1065" s="154"/>
      <c r="K1065" s="30" t="str">
        <f>IF(H1065="","",IF($C$30="간이법","",FPR(H1065,I1065,J1065)))</f>
        <v/>
      </c>
      <c r="L1065" s="30" t="str">
        <f>IF(H1065="","",IF($C$30="상세법",FPV(H1065,K1065),IF(H1065="EI",4,IF(H1065="EO",5.2,IF(H1065="EQ",3.9,IF(H1065="ILF",7.5,IF(H1065="EIF",5.4)))))))</f>
        <v/>
      </c>
      <c r="M1065" s="30" t="str">
        <f t="shared" si="107"/>
        <v/>
      </c>
      <c r="N1065" s="134"/>
      <c r="O1065" s="29"/>
      <c r="P1065" s="37" t="str">
        <f t="shared" si="108"/>
        <v/>
      </c>
      <c r="Q1065" s="38" t="str">
        <f t="shared" si="109"/>
        <v/>
      </c>
      <c r="R1065" s="37" t="str">
        <f t="shared" si="110"/>
        <v/>
      </c>
      <c r="S1065" s="37" t="str">
        <f t="shared" si="111"/>
        <v/>
      </c>
      <c r="T1065" s="38" t="str">
        <f t="shared" si="112"/>
        <v/>
      </c>
      <c r="U1065" s="37" t="str">
        <f t="shared" si="113"/>
        <v/>
      </c>
    </row>
    <row r="1066" spans="2:21" ht="17.25">
      <c r="B1066" s="156"/>
      <c r="C1066" s="156"/>
      <c r="D1066" s="157"/>
      <c r="E1066" s="155"/>
      <c r="F1066" s="151"/>
      <c r="G1066" s="152"/>
      <c r="H1066" s="153"/>
      <c r="I1066" s="154"/>
      <c r="J1066" s="154"/>
      <c r="K1066" s="30" t="str">
        <f>IF(H1066="","",IF($C$30="간이법","",FPR(H1066,I1066,J1066)))</f>
        <v/>
      </c>
      <c r="L1066" s="30" t="str">
        <f>IF(H1066="","",IF($C$30="상세법",FPV(H1066,K1066),IF(H1066="EI",4,IF(H1066="EO",5.2,IF(H1066="EQ",3.9,IF(H1066="ILF",7.5,IF(H1066="EIF",5.4)))))))</f>
        <v/>
      </c>
      <c r="M1066" s="30" t="str">
        <f t="shared" si="107"/>
        <v/>
      </c>
      <c r="N1066" s="134"/>
      <c r="O1066" s="29"/>
      <c r="P1066" s="37" t="str">
        <f t="shared" si="108"/>
        <v/>
      </c>
      <c r="Q1066" s="38" t="str">
        <f t="shared" si="109"/>
        <v/>
      </c>
      <c r="R1066" s="37" t="str">
        <f t="shared" si="110"/>
        <v/>
      </c>
      <c r="S1066" s="37" t="str">
        <f t="shared" si="111"/>
        <v/>
      </c>
      <c r="T1066" s="38" t="str">
        <f t="shared" si="112"/>
        <v/>
      </c>
      <c r="U1066" s="37" t="str">
        <f t="shared" si="113"/>
        <v/>
      </c>
    </row>
    <row r="1067" spans="2:21" ht="17.25">
      <c r="B1067" s="156"/>
      <c r="C1067" s="156"/>
      <c r="D1067" s="157"/>
      <c r="E1067" s="155"/>
      <c r="F1067" s="151"/>
      <c r="G1067" s="152"/>
      <c r="H1067" s="153"/>
      <c r="I1067" s="154"/>
      <c r="J1067" s="154"/>
      <c r="K1067" s="30" t="str">
        <f>IF(H1067="","",IF($C$30="간이법","",FPR(H1067,I1067,J1067)))</f>
        <v/>
      </c>
      <c r="L1067" s="30" t="str">
        <f>IF(H1067="","",IF($C$30="상세법",FPV(H1067,K1067),IF(H1067="EI",4,IF(H1067="EO",5.2,IF(H1067="EQ",3.9,IF(H1067="ILF",7.5,IF(H1067="EIF",5.4)))))))</f>
        <v/>
      </c>
      <c r="M1067" s="30" t="str">
        <f t="shared" si="107"/>
        <v/>
      </c>
      <c r="N1067" s="134"/>
      <c r="O1067" s="29"/>
      <c r="P1067" s="37" t="str">
        <f t="shared" si="108"/>
        <v/>
      </c>
      <c r="Q1067" s="38" t="str">
        <f t="shared" si="109"/>
        <v/>
      </c>
      <c r="R1067" s="37" t="str">
        <f t="shared" si="110"/>
        <v/>
      </c>
      <c r="S1067" s="37" t="str">
        <f t="shared" si="111"/>
        <v/>
      </c>
      <c r="T1067" s="38" t="str">
        <f t="shared" si="112"/>
        <v/>
      </c>
      <c r="U1067" s="37" t="str">
        <f t="shared" si="113"/>
        <v/>
      </c>
    </row>
    <row r="1068" spans="2:21" ht="17.25">
      <c r="B1068" s="156"/>
      <c r="C1068" s="156"/>
      <c r="D1068" s="157"/>
      <c r="E1068" s="155"/>
      <c r="F1068" s="151"/>
      <c r="G1068" s="152"/>
      <c r="H1068" s="153"/>
      <c r="I1068" s="154"/>
      <c r="J1068" s="154"/>
      <c r="K1068" s="30" t="str">
        <f>IF(H1068="","",IF($C$30="간이법","",FPR(H1068,I1068,J1068)))</f>
        <v/>
      </c>
      <c r="L1068" s="30" t="str">
        <f>IF(H1068="","",IF($C$30="상세법",FPV(H1068,K1068),IF(H1068="EI",4,IF(H1068="EO",5.2,IF(H1068="EQ",3.9,IF(H1068="ILF",7.5,IF(H1068="EIF",5.4)))))))</f>
        <v/>
      </c>
      <c r="M1068" s="30" t="str">
        <f t="shared" si="107"/>
        <v/>
      </c>
      <c r="N1068" s="134"/>
      <c r="O1068" s="29"/>
      <c r="P1068" s="37" t="str">
        <f t="shared" si="108"/>
        <v/>
      </c>
      <c r="Q1068" s="38" t="str">
        <f t="shared" si="109"/>
        <v/>
      </c>
      <c r="R1068" s="37" t="str">
        <f t="shared" si="110"/>
        <v/>
      </c>
      <c r="S1068" s="37" t="str">
        <f t="shared" si="111"/>
        <v/>
      </c>
      <c r="T1068" s="38" t="str">
        <f t="shared" si="112"/>
        <v/>
      </c>
      <c r="U1068" s="37" t="str">
        <f t="shared" si="113"/>
        <v/>
      </c>
    </row>
    <row r="1069" spans="2:21" ht="17.25">
      <c r="B1069" s="156"/>
      <c r="C1069" s="156"/>
      <c r="D1069" s="157"/>
      <c r="E1069" s="155"/>
      <c r="F1069" s="151"/>
      <c r="G1069" s="152"/>
      <c r="H1069" s="153"/>
      <c r="I1069" s="154"/>
      <c r="J1069" s="154"/>
      <c r="K1069" s="30" t="str">
        <f>IF(H1069="","",IF($C$30="간이법","",FPR(H1069,I1069,J1069)))</f>
        <v/>
      </c>
      <c r="L1069" s="30" t="str">
        <f>IF(H1069="","",IF($C$30="상세법",FPV(H1069,K1069),IF(H1069="EI",4,IF(H1069="EO",5.2,IF(H1069="EQ",3.9,IF(H1069="ILF",7.5,IF(H1069="EIF",5.4)))))))</f>
        <v/>
      </c>
      <c r="M1069" s="30" t="str">
        <f t="shared" si="107"/>
        <v/>
      </c>
      <c r="N1069" s="134"/>
      <c r="O1069" s="29"/>
      <c r="P1069" s="37" t="str">
        <f t="shared" si="108"/>
        <v/>
      </c>
      <c r="Q1069" s="38" t="str">
        <f t="shared" si="109"/>
        <v/>
      </c>
      <c r="R1069" s="37" t="str">
        <f t="shared" si="110"/>
        <v/>
      </c>
      <c r="S1069" s="37" t="str">
        <f t="shared" si="111"/>
        <v/>
      </c>
      <c r="T1069" s="38" t="str">
        <f t="shared" si="112"/>
        <v/>
      </c>
      <c r="U1069" s="37" t="str">
        <f t="shared" si="113"/>
        <v/>
      </c>
    </row>
    <row r="1070" spans="2:21" ht="17.25">
      <c r="B1070" s="156"/>
      <c r="C1070" s="156"/>
      <c r="D1070" s="157"/>
      <c r="E1070" s="155"/>
      <c r="F1070" s="151"/>
      <c r="G1070" s="152"/>
      <c r="H1070" s="153"/>
      <c r="I1070" s="154"/>
      <c r="J1070" s="154"/>
      <c r="K1070" s="30" t="str">
        <f>IF(H1070="","",IF($C$30="간이법","",FPR(H1070,I1070,J1070)))</f>
        <v/>
      </c>
      <c r="L1070" s="30" t="str">
        <f>IF(H1070="","",IF($C$30="상세법",FPV(H1070,K1070),IF(H1070="EI",4,IF(H1070="EO",5.2,IF(H1070="EQ",3.9,IF(H1070="ILF",7.5,IF(H1070="EIF",5.4)))))))</f>
        <v/>
      </c>
      <c r="M1070" s="30" t="str">
        <f t="shared" si="107"/>
        <v/>
      </c>
      <c r="N1070" s="134"/>
      <c r="O1070" s="29"/>
      <c r="P1070" s="37" t="str">
        <f t="shared" si="108"/>
        <v/>
      </c>
      <c r="Q1070" s="38" t="str">
        <f t="shared" si="109"/>
        <v/>
      </c>
      <c r="R1070" s="37" t="str">
        <f t="shared" si="110"/>
        <v/>
      </c>
      <c r="S1070" s="37" t="str">
        <f t="shared" si="111"/>
        <v/>
      </c>
      <c r="T1070" s="38" t="str">
        <f t="shared" si="112"/>
        <v/>
      </c>
      <c r="U1070" s="37" t="str">
        <f t="shared" si="113"/>
        <v/>
      </c>
    </row>
    <row r="1071" spans="2:21" ht="17.25">
      <c r="B1071" s="156"/>
      <c r="C1071" s="156"/>
      <c r="D1071" s="157"/>
      <c r="E1071" s="155"/>
      <c r="F1071" s="151"/>
      <c r="G1071" s="152"/>
      <c r="H1071" s="153"/>
      <c r="I1071" s="154"/>
      <c r="J1071" s="154"/>
      <c r="K1071" s="30" t="str">
        <f>IF(H1071="","",IF($C$30="간이법","",FPR(H1071,I1071,J1071)))</f>
        <v/>
      </c>
      <c r="L1071" s="30" t="str">
        <f>IF(H1071="","",IF($C$30="상세법",FPV(H1071,K1071),IF(H1071="EI",4,IF(H1071="EO",5.2,IF(H1071="EQ",3.9,IF(H1071="ILF",7.5,IF(H1071="EIF",5.4)))))))</f>
        <v/>
      </c>
      <c r="M1071" s="30" t="str">
        <f t="shared" si="107"/>
        <v/>
      </c>
      <c r="N1071" s="134"/>
      <c r="O1071" s="29"/>
      <c r="P1071" s="37" t="str">
        <f t="shared" si="108"/>
        <v/>
      </c>
      <c r="Q1071" s="38" t="str">
        <f t="shared" si="109"/>
        <v/>
      </c>
      <c r="R1071" s="37" t="str">
        <f t="shared" si="110"/>
        <v/>
      </c>
      <c r="S1071" s="37" t="str">
        <f t="shared" si="111"/>
        <v/>
      </c>
      <c r="T1071" s="38" t="str">
        <f t="shared" si="112"/>
        <v/>
      </c>
      <c r="U1071" s="37" t="str">
        <f t="shared" si="113"/>
        <v/>
      </c>
    </row>
    <row r="1072" spans="2:21" ht="17.25">
      <c r="B1072" s="156"/>
      <c r="C1072" s="156"/>
      <c r="D1072" s="157"/>
      <c r="E1072" s="155"/>
      <c r="F1072" s="151"/>
      <c r="G1072" s="152"/>
      <c r="H1072" s="153"/>
      <c r="I1072" s="154"/>
      <c r="J1072" s="154"/>
      <c r="K1072" s="30" t="str">
        <f>IF(H1072="","",IF($C$30="간이법","",FPR(H1072,I1072,J1072)))</f>
        <v/>
      </c>
      <c r="L1072" s="30" t="str">
        <f>IF(H1072="","",IF($C$30="상세법",FPV(H1072,K1072),IF(H1072="EI",4,IF(H1072="EO",5.2,IF(H1072="EQ",3.9,IF(H1072="ILF",7.5,IF(H1072="EIF",5.4)))))))</f>
        <v/>
      </c>
      <c r="M1072" s="30" t="str">
        <f t="shared" si="107"/>
        <v/>
      </c>
      <c r="N1072" s="134"/>
      <c r="O1072" s="29"/>
      <c r="P1072" s="37" t="str">
        <f t="shared" si="108"/>
        <v/>
      </c>
      <c r="Q1072" s="38" t="str">
        <f t="shared" si="109"/>
        <v/>
      </c>
      <c r="R1072" s="37" t="str">
        <f t="shared" si="110"/>
        <v/>
      </c>
      <c r="S1072" s="37" t="str">
        <f t="shared" si="111"/>
        <v/>
      </c>
      <c r="T1072" s="38" t="str">
        <f t="shared" si="112"/>
        <v/>
      </c>
      <c r="U1072" s="37" t="str">
        <f t="shared" si="113"/>
        <v/>
      </c>
    </row>
    <row r="1073" spans="2:21" ht="17.25">
      <c r="B1073" s="156"/>
      <c r="C1073" s="156"/>
      <c r="D1073" s="157"/>
      <c r="E1073" s="155"/>
      <c r="F1073" s="151"/>
      <c r="G1073" s="152"/>
      <c r="H1073" s="153"/>
      <c r="I1073" s="154"/>
      <c r="J1073" s="154"/>
      <c r="K1073" s="30" t="str">
        <f>IF(H1073="","",IF($C$30="간이법","",FPR(H1073,I1073,J1073)))</f>
        <v/>
      </c>
      <c r="L1073" s="30" t="str">
        <f>IF(H1073="","",IF($C$30="상세법",FPV(H1073,K1073),IF(H1073="EI",4,IF(H1073="EO",5.2,IF(H1073="EQ",3.9,IF(H1073="ILF",7.5,IF(H1073="EIF",5.4)))))))</f>
        <v/>
      </c>
      <c r="M1073" s="30" t="str">
        <f t="shared" si="107"/>
        <v/>
      </c>
      <c r="N1073" s="134"/>
      <c r="O1073" s="29"/>
      <c r="P1073" s="37" t="str">
        <f t="shared" si="108"/>
        <v/>
      </c>
      <c r="Q1073" s="38" t="str">
        <f t="shared" si="109"/>
        <v/>
      </c>
      <c r="R1073" s="37" t="str">
        <f t="shared" si="110"/>
        <v/>
      </c>
      <c r="S1073" s="37" t="str">
        <f t="shared" si="111"/>
        <v/>
      </c>
      <c r="T1073" s="38" t="str">
        <f t="shared" si="112"/>
        <v/>
      </c>
      <c r="U1073" s="37" t="str">
        <f t="shared" si="113"/>
        <v/>
      </c>
    </row>
    <row r="1074" spans="2:21" ht="17.25">
      <c r="B1074" s="156"/>
      <c r="C1074" s="156"/>
      <c r="D1074" s="157"/>
      <c r="E1074" s="155"/>
      <c r="F1074" s="151"/>
      <c r="G1074" s="152"/>
      <c r="H1074" s="153"/>
      <c r="I1074" s="154"/>
      <c r="J1074" s="154"/>
      <c r="K1074" s="30" t="str">
        <f>IF(H1074="","",IF($C$30="간이법","",FPR(H1074,I1074,J1074)))</f>
        <v/>
      </c>
      <c r="L1074" s="30" t="str">
        <f>IF(H1074="","",IF($C$30="상세법",FPV(H1074,K1074),IF(H1074="EI",4,IF(H1074="EO",5.2,IF(H1074="EQ",3.9,IF(H1074="ILF",7.5,IF(H1074="EIF",5.4)))))))</f>
        <v/>
      </c>
      <c r="M1074" s="30" t="str">
        <f t="shared" si="107"/>
        <v/>
      </c>
      <c r="N1074" s="134"/>
      <c r="O1074" s="29"/>
      <c r="P1074" s="37" t="str">
        <f t="shared" si="108"/>
        <v/>
      </c>
      <c r="Q1074" s="38" t="str">
        <f t="shared" si="109"/>
        <v/>
      </c>
      <c r="R1074" s="37" t="str">
        <f t="shared" si="110"/>
        <v/>
      </c>
      <c r="S1074" s="37" t="str">
        <f t="shared" si="111"/>
        <v/>
      </c>
      <c r="T1074" s="38" t="str">
        <f t="shared" si="112"/>
        <v/>
      </c>
      <c r="U1074" s="37" t="str">
        <f t="shared" si="113"/>
        <v/>
      </c>
    </row>
    <row r="1075" spans="2:21" ht="17.25">
      <c r="B1075" s="156"/>
      <c r="C1075" s="156"/>
      <c r="D1075" s="157"/>
      <c r="E1075" s="155"/>
      <c r="F1075" s="151"/>
      <c r="G1075" s="152"/>
      <c r="H1075" s="153"/>
      <c r="I1075" s="154"/>
      <c r="J1075" s="154"/>
      <c r="K1075" s="30" t="str">
        <f>IF(H1075="","",IF($C$30="간이법","",FPR(H1075,I1075,J1075)))</f>
        <v/>
      </c>
      <c r="L1075" s="30" t="str">
        <f>IF(H1075="","",IF($C$30="상세법",FPV(H1075,K1075),IF(H1075="EI",4,IF(H1075="EO",5.2,IF(H1075="EQ",3.9,IF(H1075="ILF",7.5,IF(H1075="EIF",5.4)))))))</f>
        <v/>
      </c>
      <c r="M1075" s="30" t="str">
        <f t="shared" si="107"/>
        <v/>
      </c>
      <c r="N1075" s="134"/>
      <c r="O1075" s="29"/>
      <c r="P1075" s="37" t="str">
        <f t="shared" si="108"/>
        <v/>
      </c>
      <c r="Q1075" s="38" t="str">
        <f t="shared" si="109"/>
        <v/>
      </c>
      <c r="R1075" s="37" t="str">
        <f t="shared" si="110"/>
        <v/>
      </c>
      <c r="S1075" s="37" t="str">
        <f t="shared" si="111"/>
        <v/>
      </c>
      <c r="T1075" s="38" t="str">
        <f t="shared" si="112"/>
        <v/>
      </c>
      <c r="U1075" s="37" t="str">
        <f t="shared" si="113"/>
        <v/>
      </c>
    </row>
    <row r="1076" spans="2:21" ht="17.25">
      <c r="B1076" s="156"/>
      <c r="C1076" s="156"/>
      <c r="D1076" s="157"/>
      <c r="E1076" s="155"/>
      <c r="F1076" s="151"/>
      <c r="G1076" s="152"/>
      <c r="H1076" s="153"/>
      <c r="I1076" s="154"/>
      <c r="J1076" s="154"/>
      <c r="K1076" s="30" t="str">
        <f>IF(H1076="","",IF($C$30="간이법","",FPR(H1076,I1076,J1076)))</f>
        <v/>
      </c>
      <c r="L1076" s="30" t="str">
        <f>IF(H1076="","",IF($C$30="상세법",FPV(H1076,K1076),IF(H1076="EI",4,IF(H1076="EO",5.2,IF(H1076="EQ",3.9,IF(H1076="ILF",7.5,IF(H1076="EIF",5.4)))))))</f>
        <v/>
      </c>
      <c r="M1076" s="30" t="str">
        <f t="shared" si="107"/>
        <v/>
      </c>
      <c r="N1076" s="134"/>
      <c r="O1076" s="29"/>
      <c r="P1076" s="37" t="str">
        <f t="shared" si="108"/>
        <v/>
      </c>
      <c r="Q1076" s="38" t="str">
        <f t="shared" si="109"/>
        <v/>
      </c>
      <c r="R1076" s="37" t="str">
        <f t="shared" si="110"/>
        <v/>
      </c>
      <c r="S1076" s="37" t="str">
        <f t="shared" si="111"/>
        <v/>
      </c>
      <c r="T1076" s="38" t="str">
        <f t="shared" si="112"/>
        <v/>
      </c>
      <c r="U1076" s="37" t="str">
        <f t="shared" si="113"/>
        <v/>
      </c>
    </row>
    <row r="1077" spans="2:21" ht="17.25">
      <c r="B1077" s="156"/>
      <c r="C1077" s="156"/>
      <c r="D1077" s="157"/>
      <c r="E1077" s="155"/>
      <c r="F1077" s="151"/>
      <c r="G1077" s="152"/>
      <c r="H1077" s="153"/>
      <c r="I1077" s="154"/>
      <c r="J1077" s="154"/>
      <c r="K1077" s="30" t="str">
        <f>IF(H1077="","",IF($C$30="간이법","",FPR(H1077,I1077,J1077)))</f>
        <v/>
      </c>
      <c r="L1077" s="30" t="str">
        <f>IF(H1077="","",IF($C$30="상세법",FPV(H1077,K1077),IF(H1077="EI",4,IF(H1077="EO",5.2,IF(H1077="EQ",3.9,IF(H1077="ILF",7.5,IF(H1077="EIF",5.4)))))))</f>
        <v/>
      </c>
      <c r="M1077" s="30" t="str">
        <f t="shared" si="107"/>
        <v/>
      </c>
      <c r="N1077" s="134"/>
      <c r="O1077" s="29"/>
      <c r="P1077" s="37" t="str">
        <f t="shared" si="108"/>
        <v/>
      </c>
      <c r="Q1077" s="38" t="str">
        <f t="shared" si="109"/>
        <v/>
      </c>
      <c r="R1077" s="37" t="str">
        <f t="shared" si="110"/>
        <v/>
      </c>
      <c r="S1077" s="37" t="str">
        <f t="shared" si="111"/>
        <v/>
      </c>
      <c r="T1077" s="38" t="str">
        <f t="shared" si="112"/>
        <v/>
      </c>
      <c r="U1077" s="37" t="str">
        <f t="shared" si="113"/>
        <v/>
      </c>
    </row>
    <row r="1078" spans="2:21" ht="17.25">
      <c r="B1078" s="156"/>
      <c r="C1078" s="156"/>
      <c r="D1078" s="157"/>
      <c r="E1078" s="155"/>
      <c r="F1078" s="151"/>
      <c r="G1078" s="152"/>
      <c r="H1078" s="153"/>
      <c r="I1078" s="154"/>
      <c r="J1078" s="154"/>
      <c r="K1078" s="30" t="str">
        <f>IF(H1078="","",IF($C$30="간이법","",FPR(H1078,I1078,J1078)))</f>
        <v/>
      </c>
      <c r="L1078" s="30" t="str">
        <f>IF(H1078="","",IF($C$30="상세법",FPV(H1078,K1078),IF(H1078="EI",4,IF(H1078="EO",5.2,IF(H1078="EQ",3.9,IF(H1078="ILF",7.5,IF(H1078="EIF",5.4)))))))</f>
        <v/>
      </c>
      <c r="M1078" s="30" t="str">
        <f t="shared" si="107"/>
        <v/>
      </c>
      <c r="N1078" s="134"/>
      <c r="O1078" s="29"/>
      <c r="P1078" s="37" t="str">
        <f t="shared" si="108"/>
        <v/>
      </c>
      <c r="Q1078" s="38" t="str">
        <f t="shared" si="109"/>
        <v/>
      </c>
      <c r="R1078" s="37" t="str">
        <f t="shared" si="110"/>
        <v/>
      </c>
      <c r="S1078" s="37" t="str">
        <f t="shared" si="111"/>
        <v/>
      </c>
      <c r="T1078" s="38" t="str">
        <f t="shared" si="112"/>
        <v/>
      </c>
      <c r="U1078" s="37" t="str">
        <f t="shared" si="113"/>
        <v/>
      </c>
    </row>
    <row r="1079" spans="2:21" ht="17.25">
      <c r="B1079" s="156"/>
      <c r="C1079" s="156"/>
      <c r="D1079" s="157"/>
      <c r="E1079" s="155"/>
      <c r="F1079" s="151"/>
      <c r="G1079" s="152"/>
      <c r="H1079" s="153"/>
      <c r="I1079" s="154"/>
      <c r="J1079" s="154"/>
      <c r="K1079" s="30" t="str">
        <f>IF(H1079="","",IF($C$30="간이법","",FPR(H1079,I1079,J1079)))</f>
        <v/>
      </c>
      <c r="L1079" s="30" t="str">
        <f>IF(H1079="","",IF($C$30="상세법",FPV(H1079,K1079),IF(H1079="EI",4,IF(H1079="EO",5.2,IF(H1079="EQ",3.9,IF(H1079="ILF",7.5,IF(H1079="EIF",5.4)))))))</f>
        <v/>
      </c>
      <c r="M1079" s="30" t="str">
        <f t="shared" si="107"/>
        <v/>
      </c>
      <c r="N1079" s="134"/>
      <c r="O1079" s="29"/>
      <c r="P1079" s="37" t="str">
        <f t="shared" si="108"/>
        <v/>
      </c>
      <c r="Q1079" s="38" t="str">
        <f t="shared" si="109"/>
        <v/>
      </c>
      <c r="R1079" s="37" t="str">
        <f t="shared" si="110"/>
        <v/>
      </c>
      <c r="S1079" s="37" t="str">
        <f t="shared" si="111"/>
        <v/>
      </c>
      <c r="T1079" s="38" t="str">
        <f t="shared" si="112"/>
        <v/>
      </c>
      <c r="U1079" s="37" t="str">
        <f t="shared" si="113"/>
        <v/>
      </c>
    </row>
    <row r="1080" spans="2:21" ht="17.25">
      <c r="B1080" s="156"/>
      <c r="C1080" s="156"/>
      <c r="D1080" s="157"/>
      <c r="E1080" s="155"/>
      <c r="F1080" s="151"/>
      <c r="G1080" s="152"/>
      <c r="H1080" s="153"/>
      <c r="I1080" s="154"/>
      <c r="J1080" s="154"/>
      <c r="K1080" s="30" t="str">
        <f>IF(H1080="","",IF($C$30="간이법","",FPR(H1080,I1080,J1080)))</f>
        <v/>
      </c>
      <c r="L1080" s="30" t="str">
        <f>IF(H1080="","",IF($C$30="상세법",FPV(H1080,K1080),IF(H1080="EI",4,IF(H1080="EO",5.2,IF(H1080="EQ",3.9,IF(H1080="ILF",7.5,IF(H1080="EIF",5.4)))))))</f>
        <v/>
      </c>
      <c r="M1080" s="30" t="str">
        <f t="shared" si="107"/>
        <v/>
      </c>
      <c r="N1080" s="134"/>
      <c r="O1080" s="29"/>
      <c r="P1080" s="37" t="str">
        <f t="shared" si="108"/>
        <v/>
      </c>
      <c r="Q1080" s="38" t="str">
        <f t="shared" si="109"/>
        <v/>
      </c>
      <c r="R1080" s="37" t="str">
        <f t="shared" si="110"/>
        <v/>
      </c>
      <c r="S1080" s="37" t="str">
        <f t="shared" si="111"/>
        <v/>
      </c>
      <c r="T1080" s="38" t="str">
        <f t="shared" si="112"/>
        <v/>
      </c>
      <c r="U1080" s="37" t="str">
        <f t="shared" si="113"/>
        <v/>
      </c>
    </row>
    <row r="1081" spans="2:21" ht="17.25">
      <c r="B1081" s="156"/>
      <c r="C1081" s="156"/>
      <c r="D1081" s="157"/>
      <c r="E1081" s="155"/>
      <c r="F1081" s="151"/>
      <c r="G1081" s="152"/>
      <c r="H1081" s="153"/>
      <c r="I1081" s="154"/>
      <c r="J1081" s="154"/>
      <c r="K1081" s="30" t="str">
        <f>IF(H1081="","",IF($C$30="간이법","",FPR(H1081,I1081,J1081)))</f>
        <v/>
      </c>
      <c r="L1081" s="30" t="str">
        <f>IF(H1081="","",IF($C$30="상세법",FPV(H1081,K1081),IF(H1081="EI",4,IF(H1081="EO",5.2,IF(H1081="EQ",3.9,IF(H1081="ILF",7.5,IF(H1081="EIF",5.4)))))))</f>
        <v/>
      </c>
      <c r="M1081" s="30" t="str">
        <f t="shared" si="107"/>
        <v/>
      </c>
      <c r="N1081" s="134"/>
      <c r="O1081" s="29"/>
      <c r="P1081" s="37" t="str">
        <f t="shared" si="108"/>
        <v/>
      </c>
      <c r="Q1081" s="38" t="str">
        <f t="shared" si="109"/>
        <v/>
      </c>
      <c r="R1081" s="37" t="str">
        <f t="shared" si="110"/>
        <v/>
      </c>
      <c r="S1081" s="37" t="str">
        <f t="shared" si="111"/>
        <v/>
      </c>
      <c r="T1081" s="38" t="str">
        <f t="shared" si="112"/>
        <v/>
      </c>
      <c r="U1081" s="37" t="str">
        <f t="shared" si="113"/>
        <v/>
      </c>
    </row>
    <row r="1082" spans="2:21" ht="17.25">
      <c r="B1082" s="156"/>
      <c r="C1082" s="156"/>
      <c r="D1082" s="157"/>
      <c r="E1082" s="155"/>
      <c r="F1082" s="151"/>
      <c r="G1082" s="152"/>
      <c r="H1082" s="153"/>
      <c r="I1082" s="154"/>
      <c r="J1082" s="154"/>
      <c r="K1082" s="30" t="str">
        <f>IF(H1082="","",IF($C$30="간이법","",FPR(H1082,I1082,J1082)))</f>
        <v/>
      </c>
      <c r="L1082" s="30" t="str">
        <f>IF(H1082="","",IF($C$30="상세법",FPV(H1082,K1082),IF(H1082="EI",4,IF(H1082="EO",5.2,IF(H1082="EQ",3.9,IF(H1082="ILF",7.5,IF(H1082="EIF",5.4)))))))</f>
        <v/>
      </c>
      <c r="M1082" s="30" t="str">
        <f t="shared" si="107"/>
        <v/>
      </c>
      <c r="N1082" s="134"/>
      <c r="O1082" s="29"/>
      <c r="P1082" s="37" t="str">
        <f t="shared" si="108"/>
        <v/>
      </c>
      <c r="Q1082" s="38" t="str">
        <f t="shared" si="109"/>
        <v/>
      </c>
      <c r="R1082" s="37" t="str">
        <f t="shared" si="110"/>
        <v/>
      </c>
      <c r="S1082" s="37" t="str">
        <f t="shared" si="111"/>
        <v/>
      </c>
      <c r="T1082" s="38" t="str">
        <f t="shared" si="112"/>
        <v/>
      </c>
      <c r="U1082" s="37" t="str">
        <f t="shared" si="113"/>
        <v/>
      </c>
    </row>
    <row r="1083" spans="2:21" ht="17.25">
      <c r="B1083" s="156"/>
      <c r="C1083" s="156"/>
      <c r="D1083" s="157"/>
      <c r="E1083" s="155"/>
      <c r="F1083" s="151"/>
      <c r="G1083" s="152"/>
      <c r="H1083" s="153"/>
      <c r="I1083" s="154"/>
      <c r="J1083" s="154"/>
      <c r="K1083" s="30" t="str">
        <f>IF(H1083="","",IF($C$30="간이법","",FPR(H1083,I1083,J1083)))</f>
        <v/>
      </c>
      <c r="L1083" s="30" t="str">
        <f>IF(H1083="","",IF($C$30="상세법",FPV(H1083,K1083),IF(H1083="EI",4,IF(H1083="EO",5.2,IF(H1083="EQ",3.9,IF(H1083="ILF",7.5,IF(H1083="EIF",5.4)))))))</f>
        <v/>
      </c>
      <c r="M1083" s="30" t="str">
        <f t="shared" si="107"/>
        <v/>
      </c>
      <c r="N1083" s="134"/>
      <c r="O1083" s="29"/>
      <c r="P1083" s="37" t="str">
        <f t="shared" si="108"/>
        <v/>
      </c>
      <c r="Q1083" s="38" t="str">
        <f t="shared" si="109"/>
        <v/>
      </c>
      <c r="R1083" s="37" t="str">
        <f t="shared" si="110"/>
        <v/>
      </c>
      <c r="S1083" s="37" t="str">
        <f t="shared" si="111"/>
        <v/>
      </c>
      <c r="T1083" s="38" t="str">
        <f t="shared" si="112"/>
        <v/>
      </c>
      <c r="U1083" s="37" t="str">
        <f t="shared" si="113"/>
        <v/>
      </c>
    </row>
    <row r="1084" spans="2:21" ht="17.25">
      <c r="B1084" s="156"/>
      <c r="C1084" s="156"/>
      <c r="D1084" s="157"/>
      <c r="E1084" s="155"/>
      <c r="F1084" s="151"/>
      <c r="G1084" s="152"/>
      <c r="H1084" s="153"/>
      <c r="I1084" s="154"/>
      <c r="J1084" s="154"/>
      <c r="K1084" s="30" t="str">
        <f>IF(H1084="","",IF($C$30="간이법","",FPR(H1084,I1084,J1084)))</f>
        <v/>
      </c>
      <c r="L1084" s="30" t="str">
        <f>IF(H1084="","",IF($C$30="상세법",FPV(H1084,K1084),IF(H1084="EI",4,IF(H1084="EO",5.2,IF(H1084="EQ",3.9,IF(H1084="ILF",7.5,IF(H1084="EIF",5.4)))))))</f>
        <v/>
      </c>
      <c r="M1084" s="30" t="str">
        <f t="shared" ref="M1084:M1147" si="114">IF(OR(G1084="",$E$36="(선택)",$E$40="(선택)",$E$41="(선택)",F1084="신규 개발",F1084="수정 없이 재사용"),"",(IF(F1084="수정 후 재사용",IF($E$50&lt;=0.5,L1084*($E$36+$E$50*100*(1+0.02*($E$40*$E$41)))/100,L1084*($E$36+$E$50*100+($E$40*$E$41))/100))))</f>
        <v/>
      </c>
      <c r="N1084" s="134"/>
      <c r="O1084" s="29"/>
      <c r="P1084" s="37" t="str">
        <f t="shared" ref="P1084:P1147" si="115">IF(F1084="수정 후 재사용",IF(H1084="ILF",G1084,IF(H1084="EIF",G1084,"")),"")</f>
        <v/>
      </c>
      <c r="Q1084" s="38" t="str">
        <f t="shared" ref="Q1084:Q1147" si="116">IF(P1084&lt;&gt;"",IF(H1084="ILF", L1084/$E$46,IF(H1084="EIF", L1084/$E$46,"")),"")</f>
        <v/>
      </c>
      <c r="R1084" s="37" t="str">
        <f t="shared" ref="R1084:R1147" si="117">IF(P1084&lt;&gt;"",P1084*Q1084,"")</f>
        <v/>
      </c>
      <c r="S1084" s="37" t="str">
        <f t="shared" ref="S1084:S1147" si="118">IF(F1084="수정 후 재사용",IF(H1084="EI",G1084,IF(H1084="EO",G1084,IF(H1084="EQ",G1084,""))),"")</f>
        <v/>
      </c>
      <c r="T1084" s="38" t="str">
        <f t="shared" ref="T1084:T1147" si="119">IF(S1084&lt;&gt;"",IF(H1084="EI",L1084/$E$47,IF(H1084="EO",L1084/$E$47,IF(H1084="EQ",L1084/$E$47,""))),"")</f>
        <v/>
      </c>
      <c r="U1084" s="37" t="str">
        <f t="shared" ref="U1084:U1147" si="120">IF(S1084&lt;&gt;"",S1084*T1084,"")</f>
        <v/>
      </c>
    </row>
    <row r="1085" spans="2:21" ht="17.25">
      <c r="B1085" s="156"/>
      <c r="C1085" s="156"/>
      <c r="D1085" s="157"/>
      <c r="E1085" s="155"/>
      <c r="F1085" s="151"/>
      <c r="G1085" s="152"/>
      <c r="H1085" s="153"/>
      <c r="I1085" s="154"/>
      <c r="J1085" s="154"/>
      <c r="K1085" s="30" t="str">
        <f>IF(H1085="","",IF($C$30="간이법","",FPR(H1085,I1085,J1085)))</f>
        <v/>
      </c>
      <c r="L1085" s="30" t="str">
        <f>IF(H1085="","",IF($C$30="상세법",FPV(H1085,K1085),IF(H1085="EI",4,IF(H1085="EO",5.2,IF(H1085="EQ",3.9,IF(H1085="ILF",7.5,IF(H1085="EIF",5.4)))))))</f>
        <v/>
      </c>
      <c r="M1085" s="30" t="str">
        <f t="shared" si="114"/>
        <v/>
      </c>
      <c r="N1085" s="134"/>
      <c r="O1085" s="29"/>
      <c r="P1085" s="37" t="str">
        <f t="shared" si="115"/>
        <v/>
      </c>
      <c r="Q1085" s="38" t="str">
        <f t="shared" si="116"/>
        <v/>
      </c>
      <c r="R1085" s="37" t="str">
        <f t="shared" si="117"/>
        <v/>
      </c>
      <c r="S1085" s="37" t="str">
        <f t="shared" si="118"/>
        <v/>
      </c>
      <c r="T1085" s="38" t="str">
        <f t="shared" si="119"/>
        <v/>
      </c>
      <c r="U1085" s="37" t="str">
        <f t="shared" si="120"/>
        <v/>
      </c>
    </row>
    <row r="1086" spans="2:21" ht="17.25">
      <c r="B1086" s="156"/>
      <c r="C1086" s="156"/>
      <c r="D1086" s="157"/>
      <c r="E1086" s="155"/>
      <c r="F1086" s="151"/>
      <c r="G1086" s="152"/>
      <c r="H1086" s="153"/>
      <c r="I1086" s="154"/>
      <c r="J1086" s="154"/>
      <c r="K1086" s="30" t="str">
        <f>IF(H1086="","",IF($C$30="간이법","",FPR(H1086,I1086,J1086)))</f>
        <v/>
      </c>
      <c r="L1086" s="30" t="str">
        <f>IF(H1086="","",IF($C$30="상세법",FPV(H1086,K1086),IF(H1086="EI",4,IF(H1086="EO",5.2,IF(H1086="EQ",3.9,IF(H1086="ILF",7.5,IF(H1086="EIF",5.4)))))))</f>
        <v/>
      </c>
      <c r="M1086" s="30" t="str">
        <f t="shared" si="114"/>
        <v/>
      </c>
      <c r="N1086" s="134"/>
      <c r="O1086" s="29"/>
      <c r="P1086" s="37" t="str">
        <f t="shared" si="115"/>
        <v/>
      </c>
      <c r="Q1086" s="38" t="str">
        <f t="shared" si="116"/>
        <v/>
      </c>
      <c r="R1086" s="37" t="str">
        <f t="shared" si="117"/>
        <v/>
      </c>
      <c r="S1086" s="37" t="str">
        <f t="shared" si="118"/>
        <v/>
      </c>
      <c r="T1086" s="38" t="str">
        <f t="shared" si="119"/>
        <v/>
      </c>
      <c r="U1086" s="37" t="str">
        <f t="shared" si="120"/>
        <v/>
      </c>
    </row>
    <row r="1087" spans="2:21" ht="17.25">
      <c r="B1087" s="156"/>
      <c r="C1087" s="156"/>
      <c r="D1087" s="157"/>
      <c r="E1087" s="155"/>
      <c r="F1087" s="151"/>
      <c r="G1087" s="152"/>
      <c r="H1087" s="153"/>
      <c r="I1087" s="154"/>
      <c r="J1087" s="154"/>
      <c r="K1087" s="30" t="str">
        <f>IF(H1087="","",IF($C$30="간이법","",FPR(H1087,I1087,J1087)))</f>
        <v/>
      </c>
      <c r="L1087" s="30" t="str">
        <f>IF(H1087="","",IF($C$30="상세법",FPV(H1087,K1087),IF(H1087="EI",4,IF(H1087="EO",5.2,IF(H1087="EQ",3.9,IF(H1087="ILF",7.5,IF(H1087="EIF",5.4)))))))</f>
        <v/>
      </c>
      <c r="M1087" s="30" t="str">
        <f t="shared" si="114"/>
        <v/>
      </c>
      <c r="N1087" s="134"/>
      <c r="O1087" s="29"/>
      <c r="P1087" s="37" t="str">
        <f t="shared" si="115"/>
        <v/>
      </c>
      <c r="Q1087" s="38" t="str">
        <f t="shared" si="116"/>
        <v/>
      </c>
      <c r="R1087" s="37" t="str">
        <f t="shared" si="117"/>
        <v/>
      </c>
      <c r="S1087" s="37" t="str">
        <f t="shared" si="118"/>
        <v/>
      </c>
      <c r="T1087" s="38" t="str">
        <f t="shared" si="119"/>
        <v/>
      </c>
      <c r="U1087" s="37" t="str">
        <f t="shared" si="120"/>
        <v/>
      </c>
    </row>
    <row r="1088" spans="2:21" ht="17.25">
      <c r="B1088" s="156"/>
      <c r="C1088" s="156"/>
      <c r="D1088" s="157"/>
      <c r="E1088" s="155"/>
      <c r="F1088" s="151"/>
      <c r="G1088" s="152"/>
      <c r="H1088" s="153"/>
      <c r="I1088" s="154"/>
      <c r="J1088" s="154"/>
      <c r="K1088" s="30" t="str">
        <f>IF(H1088="","",IF($C$30="간이법","",FPR(H1088,I1088,J1088)))</f>
        <v/>
      </c>
      <c r="L1088" s="30" t="str">
        <f>IF(H1088="","",IF($C$30="상세법",FPV(H1088,K1088),IF(H1088="EI",4,IF(H1088="EO",5.2,IF(H1088="EQ",3.9,IF(H1088="ILF",7.5,IF(H1088="EIF",5.4)))))))</f>
        <v/>
      </c>
      <c r="M1088" s="30" t="str">
        <f t="shared" si="114"/>
        <v/>
      </c>
      <c r="N1088" s="134"/>
      <c r="O1088" s="29"/>
      <c r="P1088" s="37" t="str">
        <f t="shared" si="115"/>
        <v/>
      </c>
      <c r="Q1088" s="38" t="str">
        <f t="shared" si="116"/>
        <v/>
      </c>
      <c r="R1088" s="37" t="str">
        <f t="shared" si="117"/>
        <v/>
      </c>
      <c r="S1088" s="37" t="str">
        <f t="shared" si="118"/>
        <v/>
      </c>
      <c r="T1088" s="38" t="str">
        <f t="shared" si="119"/>
        <v/>
      </c>
      <c r="U1088" s="37" t="str">
        <f t="shared" si="120"/>
        <v/>
      </c>
    </row>
    <row r="1089" spans="2:21" ht="17.25">
      <c r="B1089" s="156"/>
      <c r="C1089" s="156"/>
      <c r="D1089" s="157"/>
      <c r="E1089" s="155"/>
      <c r="F1089" s="151"/>
      <c r="G1089" s="152"/>
      <c r="H1089" s="153"/>
      <c r="I1089" s="154"/>
      <c r="J1089" s="154"/>
      <c r="K1089" s="30" t="str">
        <f>IF(H1089="","",IF($C$30="간이법","",FPR(H1089,I1089,J1089)))</f>
        <v/>
      </c>
      <c r="L1089" s="30" t="str">
        <f>IF(H1089="","",IF($C$30="상세법",FPV(H1089,K1089),IF(H1089="EI",4,IF(H1089="EO",5.2,IF(H1089="EQ",3.9,IF(H1089="ILF",7.5,IF(H1089="EIF",5.4)))))))</f>
        <v/>
      </c>
      <c r="M1089" s="30" t="str">
        <f t="shared" si="114"/>
        <v/>
      </c>
      <c r="N1089" s="134"/>
      <c r="O1089" s="29"/>
      <c r="P1089" s="37" t="str">
        <f t="shared" si="115"/>
        <v/>
      </c>
      <c r="Q1089" s="38" t="str">
        <f t="shared" si="116"/>
        <v/>
      </c>
      <c r="R1089" s="37" t="str">
        <f t="shared" si="117"/>
        <v/>
      </c>
      <c r="S1089" s="37" t="str">
        <f t="shared" si="118"/>
        <v/>
      </c>
      <c r="T1089" s="38" t="str">
        <f t="shared" si="119"/>
        <v/>
      </c>
      <c r="U1089" s="37" t="str">
        <f t="shared" si="120"/>
        <v/>
      </c>
    </row>
    <row r="1090" spans="2:21" ht="17.25">
      <c r="B1090" s="156"/>
      <c r="C1090" s="156"/>
      <c r="D1090" s="157"/>
      <c r="E1090" s="155"/>
      <c r="F1090" s="151"/>
      <c r="G1090" s="152"/>
      <c r="H1090" s="153"/>
      <c r="I1090" s="154"/>
      <c r="J1090" s="154"/>
      <c r="K1090" s="30" t="str">
        <f>IF(H1090="","",IF($C$30="간이법","",FPR(H1090,I1090,J1090)))</f>
        <v/>
      </c>
      <c r="L1090" s="30" t="str">
        <f>IF(H1090="","",IF($C$30="상세법",FPV(H1090,K1090),IF(H1090="EI",4,IF(H1090="EO",5.2,IF(H1090="EQ",3.9,IF(H1090="ILF",7.5,IF(H1090="EIF",5.4)))))))</f>
        <v/>
      </c>
      <c r="M1090" s="30" t="str">
        <f t="shared" si="114"/>
        <v/>
      </c>
      <c r="N1090" s="134"/>
      <c r="O1090" s="29"/>
      <c r="P1090" s="37" t="str">
        <f t="shared" si="115"/>
        <v/>
      </c>
      <c r="Q1090" s="38" t="str">
        <f t="shared" si="116"/>
        <v/>
      </c>
      <c r="R1090" s="37" t="str">
        <f t="shared" si="117"/>
        <v/>
      </c>
      <c r="S1090" s="37" t="str">
        <f t="shared" si="118"/>
        <v/>
      </c>
      <c r="T1090" s="38" t="str">
        <f t="shared" si="119"/>
        <v/>
      </c>
      <c r="U1090" s="37" t="str">
        <f t="shared" si="120"/>
        <v/>
      </c>
    </row>
    <row r="1091" spans="2:21" ht="17.25">
      <c r="B1091" s="156"/>
      <c r="C1091" s="156"/>
      <c r="D1091" s="157"/>
      <c r="E1091" s="155"/>
      <c r="F1091" s="151"/>
      <c r="G1091" s="152"/>
      <c r="H1091" s="153"/>
      <c r="I1091" s="154"/>
      <c r="J1091" s="154"/>
      <c r="K1091" s="30" t="str">
        <f>IF(H1091="","",IF($C$30="간이법","",FPR(H1091,I1091,J1091)))</f>
        <v/>
      </c>
      <c r="L1091" s="30" t="str">
        <f>IF(H1091="","",IF($C$30="상세법",FPV(H1091,K1091),IF(H1091="EI",4,IF(H1091="EO",5.2,IF(H1091="EQ",3.9,IF(H1091="ILF",7.5,IF(H1091="EIF",5.4)))))))</f>
        <v/>
      </c>
      <c r="M1091" s="30" t="str">
        <f t="shared" si="114"/>
        <v/>
      </c>
      <c r="N1091" s="134"/>
      <c r="O1091" s="29"/>
      <c r="P1091" s="37" t="str">
        <f t="shared" si="115"/>
        <v/>
      </c>
      <c r="Q1091" s="38" t="str">
        <f t="shared" si="116"/>
        <v/>
      </c>
      <c r="R1091" s="37" t="str">
        <f t="shared" si="117"/>
        <v/>
      </c>
      <c r="S1091" s="37" t="str">
        <f t="shared" si="118"/>
        <v/>
      </c>
      <c r="T1091" s="38" t="str">
        <f t="shared" si="119"/>
        <v/>
      </c>
      <c r="U1091" s="37" t="str">
        <f t="shared" si="120"/>
        <v/>
      </c>
    </row>
    <row r="1092" spans="2:21" ht="17.25">
      <c r="B1092" s="156"/>
      <c r="C1092" s="156"/>
      <c r="D1092" s="157"/>
      <c r="E1092" s="155"/>
      <c r="F1092" s="151"/>
      <c r="G1092" s="152"/>
      <c r="H1092" s="153"/>
      <c r="I1092" s="154"/>
      <c r="J1092" s="154"/>
      <c r="K1092" s="30" t="str">
        <f>IF(H1092="","",IF($C$30="간이법","",FPR(H1092,I1092,J1092)))</f>
        <v/>
      </c>
      <c r="L1092" s="30" t="str">
        <f>IF(H1092="","",IF($C$30="상세법",FPV(H1092,K1092),IF(H1092="EI",4,IF(H1092="EO",5.2,IF(H1092="EQ",3.9,IF(H1092="ILF",7.5,IF(H1092="EIF",5.4)))))))</f>
        <v/>
      </c>
      <c r="M1092" s="30" t="str">
        <f t="shared" si="114"/>
        <v/>
      </c>
      <c r="N1092" s="134"/>
      <c r="O1092" s="29"/>
      <c r="P1092" s="37" t="str">
        <f t="shared" si="115"/>
        <v/>
      </c>
      <c r="Q1092" s="38" t="str">
        <f t="shared" si="116"/>
        <v/>
      </c>
      <c r="R1092" s="37" t="str">
        <f t="shared" si="117"/>
        <v/>
      </c>
      <c r="S1092" s="37" t="str">
        <f t="shared" si="118"/>
        <v/>
      </c>
      <c r="T1092" s="38" t="str">
        <f t="shared" si="119"/>
        <v/>
      </c>
      <c r="U1092" s="37" t="str">
        <f t="shared" si="120"/>
        <v/>
      </c>
    </row>
    <row r="1093" spans="2:21" ht="17.25">
      <c r="B1093" s="156"/>
      <c r="C1093" s="156"/>
      <c r="D1093" s="157"/>
      <c r="E1093" s="155"/>
      <c r="F1093" s="151"/>
      <c r="G1093" s="152"/>
      <c r="H1093" s="153"/>
      <c r="I1093" s="154"/>
      <c r="J1093" s="154"/>
      <c r="K1093" s="30" t="str">
        <f>IF(H1093="","",IF($C$30="간이법","",FPR(H1093,I1093,J1093)))</f>
        <v/>
      </c>
      <c r="L1093" s="30" t="str">
        <f>IF(H1093="","",IF($C$30="상세법",FPV(H1093,K1093),IF(H1093="EI",4,IF(H1093="EO",5.2,IF(H1093="EQ",3.9,IF(H1093="ILF",7.5,IF(H1093="EIF",5.4)))))))</f>
        <v/>
      </c>
      <c r="M1093" s="30" t="str">
        <f t="shared" si="114"/>
        <v/>
      </c>
      <c r="N1093" s="134"/>
      <c r="O1093" s="29"/>
      <c r="P1093" s="37" t="str">
        <f t="shared" si="115"/>
        <v/>
      </c>
      <c r="Q1093" s="38" t="str">
        <f t="shared" si="116"/>
        <v/>
      </c>
      <c r="R1093" s="37" t="str">
        <f t="shared" si="117"/>
        <v/>
      </c>
      <c r="S1093" s="37" t="str">
        <f t="shared" si="118"/>
        <v/>
      </c>
      <c r="T1093" s="38" t="str">
        <f t="shared" si="119"/>
        <v/>
      </c>
      <c r="U1093" s="37" t="str">
        <f t="shared" si="120"/>
        <v/>
      </c>
    </row>
    <row r="1094" spans="2:21" ht="17.25">
      <c r="B1094" s="156"/>
      <c r="C1094" s="156"/>
      <c r="D1094" s="157"/>
      <c r="E1094" s="155"/>
      <c r="F1094" s="151"/>
      <c r="G1094" s="152"/>
      <c r="H1094" s="153"/>
      <c r="I1094" s="154"/>
      <c r="J1094" s="154"/>
      <c r="K1094" s="30" t="str">
        <f>IF(H1094="","",IF($C$30="간이법","",FPR(H1094,I1094,J1094)))</f>
        <v/>
      </c>
      <c r="L1094" s="30" t="str">
        <f>IF(H1094="","",IF($C$30="상세법",FPV(H1094,K1094),IF(H1094="EI",4,IF(H1094="EO",5.2,IF(H1094="EQ",3.9,IF(H1094="ILF",7.5,IF(H1094="EIF",5.4)))))))</f>
        <v/>
      </c>
      <c r="M1094" s="30" t="str">
        <f t="shared" si="114"/>
        <v/>
      </c>
      <c r="N1094" s="134"/>
      <c r="O1094" s="29"/>
      <c r="P1094" s="37" t="str">
        <f t="shared" si="115"/>
        <v/>
      </c>
      <c r="Q1094" s="38" t="str">
        <f t="shared" si="116"/>
        <v/>
      </c>
      <c r="R1094" s="37" t="str">
        <f t="shared" si="117"/>
        <v/>
      </c>
      <c r="S1094" s="37" t="str">
        <f t="shared" si="118"/>
        <v/>
      </c>
      <c r="T1094" s="38" t="str">
        <f t="shared" si="119"/>
        <v/>
      </c>
      <c r="U1094" s="37" t="str">
        <f t="shared" si="120"/>
        <v/>
      </c>
    </row>
    <row r="1095" spans="2:21" ht="17.25">
      <c r="B1095" s="156"/>
      <c r="C1095" s="156"/>
      <c r="D1095" s="157"/>
      <c r="E1095" s="155"/>
      <c r="F1095" s="151"/>
      <c r="G1095" s="152"/>
      <c r="H1095" s="153"/>
      <c r="I1095" s="154"/>
      <c r="J1095" s="154"/>
      <c r="K1095" s="30" t="str">
        <f>IF(H1095="","",IF($C$30="간이법","",FPR(H1095,I1095,J1095)))</f>
        <v/>
      </c>
      <c r="L1095" s="30" t="str">
        <f>IF(H1095="","",IF($C$30="상세법",FPV(H1095,K1095),IF(H1095="EI",4,IF(H1095="EO",5.2,IF(H1095="EQ",3.9,IF(H1095="ILF",7.5,IF(H1095="EIF",5.4)))))))</f>
        <v/>
      </c>
      <c r="M1095" s="30" t="str">
        <f t="shared" si="114"/>
        <v/>
      </c>
      <c r="N1095" s="134"/>
      <c r="O1095" s="29"/>
      <c r="P1095" s="37" t="str">
        <f t="shared" si="115"/>
        <v/>
      </c>
      <c r="Q1095" s="38" t="str">
        <f t="shared" si="116"/>
        <v/>
      </c>
      <c r="R1095" s="37" t="str">
        <f t="shared" si="117"/>
        <v/>
      </c>
      <c r="S1095" s="37" t="str">
        <f t="shared" si="118"/>
        <v/>
      </c>
      <c r="T1095" s="38" t="str">
        <f t="shared" si="119"/>
        <v/>
      </c>
      <c r="U1095" s="37" t="str">
        <f t="shared" si="120"/>
        <v/>
      </c>
    </row>
    <row r="1096" spans="2:21" ht="17.25">
      <c r="B1096" s="156"/>
      <c r="C1096" s="156"/>
      <c r="D1096" s="157"/>
      <c r="E1096" s="155"/>
      <c r="F1096" s="151"/>
      <c r="G1096" s="152"/>
      <c r="H1096" s="153"/>
      <c r="I1096" s="154"/>
      <c r="J1096" s="154"/>
      <c r="K1096" s="30" t="str">
        <f>IF(H1096="","",IF($C$30="간이법","",FPR(H1096,I1096,J1096)))</f>
        <v/>
      </c>
      <c r="L1096" s="30" t="str">
        <f>IF(H1096="","",IF($C$30="상세법",FPV(H1096,K1096),IF(H1096="EI",4,IF(H1096="EO",5.2,IF(H1096="EQ",3.9,IF(H1096="ILF",7.5,IF(H1096="EIF",5.4)))))))</f>
        <v/>
      </c>
      <c r="M1096" s="30" t="str">
        <f t="shared" si="114"/>
        <v/>
      </c>
      <c r="N1096" s="134"/>
      <c r="O1096" s="29"/>
      <c r="P1096" s="37" t="str">
        <f t="shared" si="115"/>
        <v/>
      </c>
      <c r="Q1096" s="38" t="str">
        <f t="shared" si="116"/>
        <v/>
      </c>
      <c r="R1096" s="37" t="str">
        <f t="shared" si="117"/>
        <v/>
      </c>
      <c r="S1096" s="37" t="str">
        <f t="shared" si="118"/>
        <v/>
      </c>
      <c r="T1096" s="38" t="str">
        <f t="shared" si="119"/>
        <v/>
      </c>
      <c r="U1096" s="37" t="str">
        <f t="shared" si="120"/>
        <v/>
      </c>
    </row>
    <row r="1097" spans="2:21" ht="17.25">
      <c r="B1097" s="156"/>
      <c r="C1097" s="156"/>
      <c r="D1097" s="157"/>
      <c r="E1097" s="155"/>
      <c r="F1097" s="151"/>
      <c r="G1097" s="152"/>
      <c r="H1097" s="153"/>
      <c r="I1097" s="154"/>
      <c r="J1097" s="154"/>
      <c r="K1097" s="30" t="str">
        <f>IF(H1097="","",IF($C$30="간이법","",FPR(H1097,I1097,J1097)))</f>
        <v/>
      </c>
      <c r="L1097" s="30" t="str">
        <f>IF(H1097="","",IF($C$30="상세법",FPV(H1097,K1097),IF(H1097="EI",4,IF(H1097="EO",5.2,IF(H1097="EQ",3.9,IF(H1097="ILF",7.5,IF(H1097="EIF",5.4)))))))</f>
        <v/>
      </c>
      <c r="M1097" s="30" t="str">
        <f t="shared" si="114"/>
        <v/>
      </c>
      <c r="N1097" s="134"/>
      <c r="O1097" s="29"/>
      <c r="P1097" s="37" t="str">
        <f t="shared" si="115"/>
        <v/>
      </c>
      <c r="Q1097" s="38" t="str">
        <f t="shared" si="116"/>
        <v/>
      </c>
      <c r="R1097" s="37" t="str">
        <f t="shared" si="117"/>
        <v/>
      </c>
      <c r="S1097" s="37" t="str">
        <f t="shared" si="118"/>
        <v/>
      </c>
      <c r="T1097" s="38" t="str">
        <f t="shared" si="119"/>
        <v/>
      </c>
      <c r="U1097" s="37" t="str">
        <f t="shared" si="120"/>
        <v/>
      </c>
    </row>
    <row r="1098" spans="2:21" ht="17.25">
      <c r="B1098" s="156"/>
      <c r="C1098" s="156"/>
      <c r="D1098" s="157"/>
      <c r="E1098" s="155"/>
      <c r="F1098" s="151"/>
      <c r="G1098" s="152"/>
      <c r="H1098" s="153"/>
      <c r="I1098" s="154"/>
      <c r="J1098" s="154"/>
      <c r="K1098" s="30" t="str">
        <f>IF(H1098="","",IF($C$30="간이법","",FPR(H1098,I1098,J1098)))</f>
        <v/>
      </c>
      <c r="L1098" s="30" t="str">
        <f>IF(H1098="","",IF($C$30="상세법",FPV(H1098,K1098),IF(H1098="EI",4,IF(H1098="EO",5.2,IF(H1098="EQ",3.9,IF(H1098="ILF",7.5,IF(H1098="EIF",5.4)))))))</f>
        <v/>
      </c>
      <c r="M1098" s="30" t="str">
        <f t="shared" si="114"/>
        <v/>
      </c>
      <c r="N1098" s="134"/>
      <c r="O1098" s="29"/>
      <c r="P1098" s="37" t="str">
        <f t="shared" si="115"/>
        <v/>
      </c>
      <c r="Q1098" s="38" t="str">
        <f t="shared" si="116"/>
        <v/>
      </c>
      <c r="R1098" s="37" t="str">
        <f t="shared" si="117"/>
        <v/>
      </c>
      <c r="S1098" s="37" t="str">
        <f t="shared" si="118"/>
        <v/>
      </c>
      <c r="T1098" s="38" t="str">
        <f t="shared" si="119"/>
        <v/>
      </c>
      <c r="U1098" s="37" t="str">
        <f t="shared" si="120"/>
        <v/>
      </c>
    </row>
    <row r="1099" spans="2:21" ht="17.25">
      <c r="B1099" s="156"/>
      <c r="C1099" s="156"/>
      <c r="D1099" s="157"/>
      <c r="E1099" s="155"/>
      <c r="F1099" s="151"/>
      <c r="G1099" s="152"/>
      <c r="H1099" s="153"/>
      <c r="I1099" s="154"/>
      <c r="J1099" s="154"/>
      <c r="K1099" s="30" t="str">
        <f>IF(H1099="","",IF($C$30="간이법","",FPR(H1099,I1099,J1099)))</f>
        <v/>
      </c>
      <c r="L1099" s="30" t="str">
        <f>IF(H1099="","",IF($C$30="상세법",FPV(H1099,K1099),IF(H1099="EI",4,IF(H1099="EO",5.2,IF(H1099="EQ",3.9,IF(H1099="ILF",7.5,IF(H1099="EIF",5.4)))))))</f>
        <v/>
      </c>
      <c r="M1099" s="30" t="str">
        <f t="shared" si="114"/>
        <v/>
      </c>
      <c r="N1099" s="134"/>
      <c r="O1099" s="29"/>
      <c r="P1099" s="37" t="str">
        <f t="shared" si="115"/>
        <v/>
      </c>
      <c r="Q1099" s="38" t="str">
        <f t="shared" si="116"/>
        <v/>
      </c>
      <c r="R1099" s="37" t="str">
        <f t="shared" si="117"/>
        <v/>
      </c>
      <c r="S1099" s="37" t="str">
        <f t="shared" si="118"/>
        <v/>
      </c>
      <c r="T1099" s="38" t="str">
        <f t="shared" si="119"/>
        <v/>
      </c>
      <c r="U1099" s="37" t="str">
        <f t="shared" si="120"/>
        <v/>
      </c>
    </row>
    <row r="1100" spans="2:21" ht="17.25">
      <c r="B1100" s="156"/>
      <c r="C1100" s="156"/>
      <c r="D1100" s="157"/>
      <c r="E1100" s="155"/>
      <c r="F1100" s="151"/>
      <c r="G1100" s="152"/>
      <c r="H1100" s="153"/>
      <c r="I1100" s="154"/>
      <c r="J1100" s="154"/>
      <c r="K1100" s="30" t="str">
        <f>IF(H1100="","",IF($C$30="간이법","",FPR(H1100,I1100,J1100)))</f>
        <v/>
      </c>
      <c r="L1100" s="30" t="str">
        <f>IF(H1100="","",IF($C$30="상세법",FPV(H1100,K1100),IF(H1100="EI",4,IF(H1100="EO",5.2,IF(H1100="EQ",3.9,IF(H1100="ILF",7.5,IF(H1100="EIF",5.4)))))))</f>
        <v/>
      </c>
      <c r="M1100" s="30" t="str">
        <f t="shared" si="114"/>
        <v/>
      </c>
      <c r="N1100" s="134"/>
      <c r="O1100" s="29"/>
      <c r="P1100" s="37" t="str">
        <f t="shared" si="115"/>
        <v/>
      </c>
      <c r="Q1100" s="38" t="str">
        <f t="shared" si="116"/>
        <v/>
      </c>
      <c r="R1100" s="37" t="str">
        <f t="shared" si="117"/>
        <v/>
      </c>
      <c r="S1100" s="37" t="str">
        <f t="shared" si="118"/>
        <v/>
      </c>
      <c r="T1100" s="38" t="str">
        <f t="shared" si="119"/>
        <v/>
      </c>
      <c r="U1100" s="37" t="str">
        <f t="shared" si="120"/>
        <v/>
      </c>
    </row>
    <row r="1101" spans="2:21" ht="17.25">
      <c r="B1101" s="156"/>
      <c r="C1101" s="156"/>
      <c r="D1101" s="157"/>
      <c r="E1101" s="155"/>
      <c r="F1101" s="151"/>
      <c r="G1101" s="152"/>
      <c r="H1101" s="153"/>
      <c r="I1101" s="154"/>
      <c r="J1101" s="154"/>
      <c r="K1101" s="30" t="str">
        <f>IF(H1101="","",IF($C$30="간이법","",FPR(H1101,I1101,J1101)))</f>
        <v/>
      </c>
      <c r="L1101" s="30" t="str">
        <f>IF(H1101="","",IF($C$30="상세법",FPV(H1101,K1101),IF(H1101="EI",4,IF(H1101="EO",5.2,IF(H1101="EQ",3.9,IF(H1101="ILF",7.5,IF(H1101="EIF",5.4)))))))</f>
        <v/>
      </c>
      <c r="M1101" s="30" t="str">
        <f t="shared" si="114"/>
        <v/>
      </c>
      <c r="N1101" s="134"/>
      <c r="O1101" s="29"/>
      <c r="P1101" s="37" t="str">
        <f t="shared" si="115"/>
        <v/>
      </c>
      <c r="Q1101" s="38" t="str">
        <f t="shared" si="116"/>
        <v/>
      </c>
      <c r="R1101" s="37" t="str">
        <f t="shared" si="117"/>
        <v/>
      </c>
      <c r="S1101" s="37" t="str">
        <f t="shared" si="118"/>
        <v/>
      </c>
      <c r="T1101" s="38" t="str">
        <f t="shared" si="119"/>
        <v/>
      </c>
      <c r="U1101" s="37" t="str">
        <f t="shared" si="120"/>
        <v/>
      </c>
    </row>
    <row r="1102" spans="2:21" ht="17.25">
      <c r="B1102" s="156"/>
      <c r="C1102" s="156"/>
      <c r="D1102" s="157"/>
      <c r="E1102" s="155"/>
      <c r="F1102" s="151"/>
      <c r="G1102" s="152"/>
      <c r="H1102" s="153"/>
      <c r="I1102" s="154"/>
      <c r="J1102" s="154"/>
      <c r="K1102" s="30" t="str">
        <f>IF(H1102="","",IF($C$30="간이법","",FPR(H1102,I1102,J1102)))</f>
        <v/>
      </c>
      <c r="L1102" s="30" t="str">
        <f>IF(H1102="","",IF($C$30="상세법",FPV(H1102,K1102),IF(H1102="EI",4,IF(H1102="EO",5.2,IF(H1102="EQ",3.9,IF(H1102="ILF",7.5,IF(H1102="EIF",5.4)))))))</f>
        <v/>
      </c>
      <c r="M1102" s="30" t="str">
        <f t="shared" si="114"/>
        <v/>
      </c>
      <c r="N1102" s="134"/>
      <c r="O1102" s="29"/>
      <c r="P1102" s="37" t="str">
        <f t="shared" si="115"/>
        <v/>
      </c>
      <c r="Q1102" s="38" t="str">
        <f t="shared" si="116"/>
        <v/>
      </c>
      <c r="R1102" s="37" t="str">
        <f t="shared" si="117"/>
        <v/>
      </c>
      <c r="S1102" s="37" t="str">
        <f t="shared" si="118"/>
        <v/>
      </c>
      <c r="T1102" s="38" t="str">
        <f t="shared" si="119"/>
        <v/>
      </c>
      <c r="U1102" s="37" t="str">
        <f t="shared" si="120"/>
        <v/>
      </c>
    </row>
    <row r="1103" spans="2:21" ht="17.25">
      <c r="B1103" s="156"/>
      <c r="C1103" s="156"/>
      <c r="D1103" s="157"/>
      <c r="E1103" s="155"/>
      <c r="F1103" s="151"/>
      <c r="G1103" s="152"/>
      <c r="H1103" s="153"/>
      <c r="I1103" s="154"/>
      <c r="J1103" s="154"/>
      <c r="K1103" s="30" t="str">
        <f>IF(H1103="","",IF($C$30="간이법","",FPR(H1103,I1103,J1103)))</f>
        <v/>
      </c>
      <c r="L1103" s="30" t="str">
        <f>IF(H1103="","",IF($C$30="상세법",FPV(H1103,K1103),IF(H1103="EI",4,IF(H1103="EO",5.2,IF(H1103="EQ",3.9,IF(H1103="ILF",7.5,IF(H1103="EIF",5.4)))))))</f>
        <v/>
      </c>
      <c r="M1103" s="30" t="str">
        <f t="shared" si="114"/>
        <v/>
      </c>
      <c r="N1103" s="134"/>
      <c r="O1103" s="29"/>
      <c r="P1103" s="37" t="str">
        <f t="shared" si="115"/>
        <v/>
      </c>
      <c r="Q1103" s="38" t="str">
        <f t="shared" si="116"/>
        <v/>
      </c>
      <c r="R1103" s="37" t="str">
        <f t="shared" si="117"/>
        <v/>
      </c>
      <c r="S1103" s="37" t="str">
        <f t="shared" si="118"/>
        <v/>
      </c>
      <c r="T1103" s="38" t="str">
        <f t="shared" si="119"/>
        <v/>
      </c>
      <c r="U1103" s="37" t="str">
        <f t="shared" si="120"/>
        <v/>
      </c>
    </row>
    <row r="1104" spans="2:21" ht="17.25">
      <c r="B1104" s="156"/>
      <c r="C1104" s="156"/>
      <c r="D1104" s="157"/>
      <c r="E1104" s="155"/>
      <c r="F1104" s="151"/>
      <c r="G1104" s="152"/>
      <c r="H1104" s="153"/>
      <c r="I1104" s="154"/>
      <c r="J1104" s="154"/>
      <c r="K1104" s="30" t="str">
        <f>IF(H1104="","",IF($C$30="간이법","",FPR(H1104,I1104,J1104)))</f>
        <v/>
      </c>
      <c r="L1104" s="30" t="str">
        <f>IF(H1104="","",IF($C$30="상세법",FPV(H1104,K1104),IF(H1104="EI",4,IF(H1104="EO",5.2,IF(H1104="EQ",3.9,IF(H1104="ILF",7.5,IF(H1104="EIF",5.4)))))))</f>
        <v/>
      </c>
      <c r="M1104" s="30" t="str">
        <f t="shared" si="114"/>
        <v/>
      </c>
      <c r="N1104" s="134"/>
      <c r="O1104" s="29"/>
      <c r="P1104" s="37" t="str">
        <f t="shared" si="115"/>
        <v/>
      </c>
      <c r="Q1104" s="38" t="str">
        <f t="shared" si="116"/>
        <v/>
      </c>
      <c r="R1104" s="37" t="str">
        <f t="shared" si="117"/>
        <v/>
      </c>
      <c r="S1104" s="37" t="str">
        <f t="shared" si="118"/>
        <v/>
      </c>
      <c r="T1104" s="38" t="str">
        <f t="shared" si="119"/>
        <v/>
      </c>
      <c r="U1104" s="37" t="str">
        <f t="shared" si="120"/>
        <v/>
      </c>
    </row>
    <row r="1105" spans="2:21" ht="17.25">
      <c r="B1105" s="156"/>
      <c r="C1105" s="156"/>
      <c r="D1105" s="157"/>
      <c r="E1105" s="155"/>
      <c r="F1105" s="151"/>
      <c r="G1105" s="152"/>
      <c r="H1105" s="153"/>
      <c r="I1105" s="154"/>
      <c r="J1105" s="154"/>
      <c r="K1105" s="30" t="str">
        <f>IF(H1105="","",IF($C$30="간이법","",FPR(H1105,I1105,J1105)))</f>
        <v/>
      </c>
      <c r="L1105" s="30" t="str">
        <f>IF(H1105="","",IF($C$30="상세법",FPV(H1105,K1105),IF(H1105="EI",4,IF(H1105="EO",5.2,IF(H1105="EQ",3.9,IF(H1105="ILF",7.5,IF(H1105="EIF",5.4)))))))</f>
        <v/>
      </c>
      <c r="M1105" s="30" t="str">
        <f t="shared" si="114"/>
        <v/>
      </c>
      <c r="N1105" s="134"/>
      <c r="O1105" s="29"/>
      <c r="P1105" s="37" t="str">
        <f t="shared" si="115"/>
        <v/>
      </c>
      <c r="Q1105" s="38" t="str">
        <f t="shared" si="116"/>
        <v/>
      </c>
      <c r="R1105" s="37" t="str">
        <f t="shared" si="117"/>
        <v/>
      </c>
      <c r="S1105" s="37" t="str">
        <f t="shared" si="118"/>
        <v/>
      </c>
      <c r="T1105" s="38" t="str">
        <f t="shared" si="119"/>
        <v/>
      </c>
      <c r="U1105" s="37" t="str">
        <f t="shared" si="120"/>
        <v/>
      </c>
    </row>
    <row r="1106" spans="2:21" ht="17.25">
      <c r="B1106" s="156"/>
      <c r="C1106" s="156"/>
      <c r="D1106" s="157"/>
      <c r="E1106" s="155"/>
      <c r="F1106" s="151"/>
      <c r="G1106" s="152"/>
      <c r="H1106" s="153"/>
      <c r="I1106" s="154"/>
      <c r="J1106" s="154"/>
      <c r="K1106" s="30" t="str">
        <f>IF(H1106="","",IF($C$30="간이법","",FPR(H1106,I1106,J1106)))</f>
        <v/>
      </c>
      <c r="L1106" s="30" t="str">
        <f>IF(H1106="","",IF($C$30="상세법",FPV(H1106,K1106),IF(H1106="EI",4,IF(H1106="EO",5.2,IF(H1106="EQ",3.9,IF(H1106="ILF",7.5,IF(H1106="EIF",5.4)))))))</f>
        <v/>
      </c>
      <c r="M1106" s="30" t="str">
        <f t="shared" si="114"/>
        <v/>
      </c>
      <c r="N1106" s="134"/>
      <c r="O1106" s="29"/>
      <c r="P1106" s="37" t="str">
        <f t="shared" si="115"/>
        <v/>
      </c>
      <c r="Q1106" s="38" t="str">
        <f t="shared" si="116"/>
        <v/>
      </c>
      <c r="R1106" s="37" t="str">
        <f t="shared" si="117"/>
        <v/>
      </c>
      <c r="S1106" s="37" t="str">
        <f t="shared" si="118"/>
        <v/>
      </c>
      <c r="T1106" s="38" t="str">
        <f t="shared" si="119"/>
        <v/>
      </c>
      <c r="U1106" s="37" t="str">
        <f t="shared" si="120"/>
        <v/>
      </c>
    </row>
    <row r="1107" spans="2:21" ht="17.25">
      <c r="B1107" s="156"/>
      <c r="C1107" s="156"/>
      <c r="D1107" s="157"/>
      <c r="E1107" s="155"/>
      <c r="F1107" s="151"/>
      <c r="G1107" s="152"/>
      <c r="H1107" s="153"/>
      <c r="I1107" s="154"/>
      <c r="J1107" s="154"/>
      <c r="K1107" s="30" t="str">
        <f>IF(H1107="","",IF($C$30="간이법","",FPR(H1107,I1107,J1107)))</f>
        <v/>
      </c>
      <c r="L1107" s="30" t="str">
        <f>IF(H1107="","",IF($C$30="상세법",FPV(H1107,K1107),IF(H1107="EI",4,IF(H1107="EO",5.2,IF(H1107="EQ",3.9,IF(H1107="ILF",7.5,IF(H1107="EIF",5.4)))))))</f>
        <v/>
      </c>
      <c r="M1107" s="30" t="str">
        <f t="shared" si="114"/>
        <v/>
      </c>
      <c r="N1107" s="134"/>
      <c r="O1107" s="29"/>
      <c r="P1107" s="37" t="str">
        <f t="shared" si="115"/>
        <v/>
      </c>
      <c r="Q1107" s="38" t="str">
        <f t="shared" si="116"/>
        <v/>
      </c>
      <c r="R1107" s="37" t="str">
        <f t="shared" si="117"/>
        <v/>
      </c>
      <c r="S1107" s="37" t="str">
        <f t="shared" si="118"/>
        <v/>
      </c>
      <c r="T1107" s="38" t="str">
        <f t="shared" si="119"/>
        <v/>
      </c>
      <c r="U1107" s="37" t="str">
        <f t="shared" si="120"/>
        <v/>
      </c>
    </row>
    <row r="1108" spans="2:21" ht="17.25">
      <c r="B1108" s="156"/>
      <c r="C1108" s="156"/>
      <c r="D1108" s="157"/>
      <c r="E1108" s="155"/>
      <c r="F1108" s="151"/>
      <c r="G1108" s="152"/>
      <c r="H1108" s="153"/>
      <c r="I1108" s="154"/>
      <c r="J1108" s="154"/>
      <c r="K1108" s="30" t="str">
        <f>IF(H1108="","",IF($C$30="간이법","",FPR(H1108,I1108,J1108)))</f>
        <v/>
      </c>
      <c r="L1108" s="30" t="str">
        <f>IF(H1108="","",IF($C$30="상세법",FPV(H1108,K1108),IF(H1108="EI",4,IF(H1108="EO",5.2,IF(H1108="EQ",3.9,IF(H1108="ILF",7.5,IF(H1108="EIF",5.4)))))))</f>
        <v/>
      </c>
      <c r="M1108" s="30" t="str">
        <f t="shared" si="114"/>
        <v/>
      </c>
      <c r="N1108" s="134"/>
      <c r="O1108" s="29"/>
      <c r="P1108" s="37" t="str">
        <f t="shared" si="115"/>
        <v/>
      </c>
      <c r="Q1108" s="38" t="str">
        <f t="shared" si="116"/>
        <v/>
      </c>
      <c r="R1108" s="37" t="str">
        <f t="shared" si="117"/>
        <v/>
      </c>
      <c r="S1108" s="37" t="str">
        <f t="shared" si="118"/>
        <v/>
      </c>
      <c r="T1108" s="38" t="str">
        <f t="shared" si="119"/>
        <v/>
      </c>
      <c r="U1108" s="37" t="str">
        <f t="shared" si="120"/>
        <v/>
      </c>
    </row>
    <row r="1109" spans="2:21" ht="17.25">
      <c r="B1109" s="156"/>
      <c r="C1109" s="156"/>
      <c r="D1109" s="157"/>
      <c r="E1109" s="155"/>
      <c r="F1109" s="151"/>
      <c r="G1109" s="152"/>
      <c r="H1109" s="153"/>
      <c r="I1109" s="154"/>
      <c r="J1109" s="154"/>
      <c r="K1109" s="30" t="str">
        <f>IF(H1109="","",IF($C$30="간이법","",FPR(H1109,I1109,J1109)))</f>
        <v/>
      </c>
      <c r="L1109" s="30" t="str">
        <f>IF(H1109="","",IF($C$30="상세법",FPV(H1109,K1109),IF(H1109="EI",4,IF(H1109="EO",5.2,IF(H1109="EQ",3.9,IF(H1109="ILF",7.5,IF(H1109="EIF",5.4)))))))</f>
        <v/>
      </c>
      <c r="M1109" s="30" t="str">
        <f t="shared" si="114"/>
        <v/>
      </c>
      <c r="N1109" s="134"/>
      <c r="O1109" s="29"/>
      <c r="P1109" s="37" t="str">
        <f t="shared" si="115"/>
        <v/>
      </c>
      <c r="Q1109" s="38" t="str">
        <f t="shared" si="116"/>
        <v/>
      </c>
      <c r="R1109" s="37" t="str">
        <f t="shared" si="117"/>
        <v/>
      </c>
      <c r="S1109" s="37" t="str">
        <f t="shared" si="118"/>
        <v/>
      </c>
      <c r="T1109" s="38" t="str">
        <f t="shared" si="119"/>
        <v/>
      </c>
      <c r="U1109" s="37" t="str">
        <f t="shared" si="120"/>
        <v/>
      </c>
    </row>
    <row r="1110" spans="2:21" ht="17.25">
      <c r="B1110" s="156"/>
      <c r="C1110" s="156"/>
      <c r="D1110" s="157"/>
      <c r="E1110" s="155"/>
      <c r="F1110" s="151"/>
      <c r="G1110" s="152"/>
      <c r="H1110" s="153"/>
      <c r="I1110" s="154"/>
      <c r="J1110" s="154"/>
      <c r="K1110" s="30" t="str">
        <f>IF(H1110="","",IF($C$30="간이법","",FPR(H1110,I1110,J1110)))</f>
        <v/>
      </c>
      <c r="L1110" s="30" t="str">
        <f>IF(H1110="","",IF($C$30="상세법",FPV(H1110,K1110),IF(H1110="EI",4,IF(H1110="EO",5.2,IF(H1110="EQ",3.9,IF(H1110="ILF",7.5,IF(H1110="EIF",5.4)))))))</f>
        <v/>
      </c>
      <c r="M1110" s="30" t="str">
        <f t="shared" si="114"/>
        <v/>
      </c>
      <c r="N1110" s="134"/>
      <c r="O1110" s="29"/>
      <c r="P1110" s="37" t="str">
        <f t="shared" si="115"/>
        <v/>
      </c>
      <c r="Q1110" s="38" t="str">
        <f t="shared" si="116"/>
        <v/>
      </c>
      <c r="R1110" s="37" t="str">
        <f t="shared" si="117"/>
        <v/>
      </c>
      <c r="S1110" s="37" t="str">
        <f t="shared" si="118"/>
        <v/>
      </c>
      <c r="T1110" s="38" t="str">
        <f t="shared" si="119"/>
        <v/>
      </c>
      <c r="U1110" s="37" t="str">
        <f t="shared" si="120"/>
        <v/>
      </c>
    </row>
    <row r="1111" spans="2:21" ht="17.25">
      <c r="B1111" s="156"/>
      <c r="C1111" s="156"/>
      <c r="D1111" s="157"/>
      <c r="E1111" s="155"/>
      <c r="F1111" s="151"/>
      <c r="G1111" s="152"/>
      <c r="H1111" s="153"/>
      <c r="I1111" s="154"/>
      <c r="J1111" s="154"/>
      <c r="K1111" s="30" t="str">
        <f>IF(H1111="","",IF($C$30="간이법","",FPR(H1111,I1111,J1111)))</f>
        <v/>
      </c>
      <c r="L1111" s="30" t="str">
        <f>IF(H1111="","",IF($C$30="상세법",FPV(H1111,K1111),IF(H1111="EI",4,IF(H1111="EO",5.2,IF(H1111="EQ",3.9,IF(H1111="ILF",7.5,IF(H1111="EIF",5.4)))))))</f>
        <v/>
      </c>
      <c r="M1111" s="30" t="str">
        <f t="shared" si="114"/>
        <v/>
      </c>
      <c r="N1111" s="134"/>
      <c r="O1111" s="29"/>
      <c r="P1111" s="37" t="str">
        <f t="shared" si="115"/>
        <v/>
      </c>
      <c r="Q1111" s="38" t="str">
        <f t="shared" si="116"/>
        <v/>
      </c>
      <c r="R1111" s="37" t="str">
        <f t="shared" si="117"/>
        <v/>
      </c>
      <c r="S1111" s="37" t="str">
        <f t="shared" si="118"/>
        <v/>
      </c>
      <c r="T1111" s="38" t="str">
        <f t="shared" si="119"/>
        <v/>
      </c>
      <c r="U1111" s="37" t="str">
        <f t="shared" si="120"/>
        <v/>
      </c>
    </row>
    <row r="1112" spans="2:21" ht="17.25">
      <c r="B1112" s="156"/>
      <c r="C1112" s="156"/>
      <c r="D1112" s="157"/>
      <c r="E1112" s="155"/>
      <c r="F1112" s="151"/>
      <c r="G1112" s="152"/>
      <c r="H1112" s="153"/>
      <c r="I1112" s="154"/>
      <c r="J1112" s="154"/>
      <c r="K1112" s="30" t="str">
        <f>IF(H1112="","",IF($C$30="간이법","",FPR(H1112,I1112,J1112)))</f>
        <v/>
      </c>
      <c r="L1112" s="30" t="str">
        <f>IF(H1112="","",IF($C$30="상세법",FPV(H1112,K1112),IF(H1112="EI",4,IF(H1112="EO",5.2,IF(H1112="EQ",3.9,IF(H1112="ILF",7.5,IF(H1112="EIF",5.4)))))))</f>
        <v/>
      </c>
      <c r="M1112" s="30" t="str">
        <f t="shared" si="114"/>
        <v/>
      </c>
      <c r="N1112" s="134"/>
      <c r="O1112" s="29"/>
      <c r="P1112" s="37" t="str">
        <f t="shared" si="115"/>
        <v/>
      </c>
      <c r="Q1112" s="38" t="str">
        <f t="shared" si="116"/>
        <v/>
      </c>
      <c r="R1112" s="37" t="str">
        <f t="shared" si="117"/>
        <v/>
      </c>
      <c r="S1112" s="37" t="str">
        <f t="shared" si="118"/>
        <v/>
      </c>
      <c r="T1112" s="38" t="str">
        <f t="shared" si="119"/>
        <v/>
      </c>
      <c r="U1112" s="37" t="str">
        <f t="shared" si="120"/>
        <v/>
      </c>
    </row>
    <row r="1113" spans="2:21" ht="17.25">
      <c r="B1113" s="156"/>
      <c r="C1113" s="156"/>
      <c r="D1113" s="157"/>
      <c r="E1113" s="155"/>
      <c r="F1113" s="151"/>
      <c r="G1113" s="152"/>
      <c r="H1113" s="153"/>
      <c r="I1113" s="154"/>
      <c r="J1113" s="154"/>
      <c r="K1113" s="30" t="str">
        <f>IF(H1113="","",IF($C$30="간이법","",FPR(H1113,I1113,J1113)))</f>
        <v/>
      </c>
      <c r="L1113" s="30" t="str">
        <f>IF(H1113="","",IF($C$30="상세법",FPV(H1113,K1113),IF(H1113="EI",4,IF(H1113="EO",5.2,IF(H1113="EQ",3.9,IF(H1113="ILF",7.5,IF(H1113="EIF",5.4)))))))</f>
        <v/>
      </c>
      <c r="M1113" s="30" t="str">
        <f t="shared" si="114"/>
        <v/>
      </c>
      <c r="N1113" s="134"/>
      <c r="O1113" s="29"/>
      <c r="P1113" s="37" t="str">
        <f t="shared" si="115"/>
        <v/>
      </c>
      <c r="Q1113" s="38" t="str">
        <f t="shared" si="116"/>
        <v/>
      </c>
      <c r="R1113" s="37" t="str">
        <f t="shared" si="117"/>
        <v/>
      </c>
      <c r="S1113" s="37" t="str">
        <f t="shared" si="118"/>
        <v/>
      </c>
      <c r="T1113" s="38" t="str">
        <f t="shared" si="119"/>
        <v/>
      </c>
      <c r="U1113" s="37" t="str">
        <f t="shared" si="120"/>
        <v/>
      </c>
    </row>
    <row r="1114" spans="2:21" ht="17.25">
      <c r="B1114" s="156"/>
      <c r="C1114" s="156"/>
      <c r="D1114" s="157"/>
      <c r="E1114" s="155"/>
      <c r="F1114" s="151"/>
      <c r="G1114" s="152"/>
      <c r="H1114" s="153"/>
      <c r="I1114" s="154"/>
      <c r="J1114" s="154"/>
      <c r="K1114" s="30" t="str">
        <f>IF(H1114="","",IF($C$30="간이법","",FPR(H1114,I1114,J1114)))</f>
        <v/>
      </c>
      <c r="L1114" s="30" t="str">
        <f>IF(H1114="","",IF($C$30="상세법",FPV(H1114,K1114),IF(H1114="EI",4,IF(H1114="EO",5.2,IF(H1114="EQ",3.9,IF(H1114="ILF",7.5,IF(H1114="EIF",5.4)))))))</f>
        <v/>
      </c>
      <c r="M1114" s="30" t="str">
        <f t="shared" si="114"/>
        <v/>
      </c>
      <c r="N1114" s="134"/>
      <c r="O1114" s="29"/>
      <c r="P1114" s="37" t="str">
        <f t="shared" si="115"/>
        <v/>
      </c>
      <c r="Q1114" s="38" t="str">
        <f t="shared" si="116"/>
        <v/>
      </c>
      <c r="R1114" s="37" t="str">
        <f t="shared" si="117"/>
        <v/>
      </c>
      <c r="S1114" s="37" t="str">
        <f t="shared" si="118"/>
        <v/>
      </c>
      <c r="T1114" s="38" t="str">
        <f t="shared" si="119"/>
        <v/>
      </c>
      <c r="U1114" s="37" t="str">
        <f t="shared" si="120"/>
        <v/>
      </c>
    </row>
    <row r="1115" spans="2:21" ht="17.25">
      <c r="B1115" s="156"/>
      <c r="C1115" s="156"/>
      <c r="D1115" s="157"/>
      <c r="E1115" s="155"/>
      <c r="F1115" s="151"/>
      <c r="G1115" s="152"/>
      <c r="H1115" s="153"/>
      <c r="I1115" s="154"/>
      <c r="J1115" s="154"/>
      <c r="K1115" s="30" t="str">
        <f>IF(H1115="","",IF($C$30="간이법","",FPR(H1115,I1115,J1115)))</f>
        <v/>
      </c>
      <c r="L1115" s="30" t="str">
        <f>IF(H1115="","",IF($C$30="상세법",FPV(H1115,K1115),IF(H1115="EI",4,IF(H1115="EO",5.2,IF(H1115="EQ",3.9,IF(H1115="ILF",7.5,IF(H1115="EIF",5.4)))))))</f>
        <v/>
      </c>
      <c r="M1115" s="30" t="str">
        <f t="shared" si="114"/>
        <v/>
      </c>
      <c r="N1115" s="134"/>
      <c r="O1115" s="29"/>
      <c r="P1115" s="37" t="str">
        <f t="shared" si="115"/>
        <v/>
      </c>
      <c r="Q1115" s="38" t="str">
        <f t="shared" si="116"/>
        <v/>
      </c>
      <c r="R1115" s="37" t="str">
        <f t="shared" si="117"/>
        <v/>
      </c>
      <c r="S1115" s="37" t="str">
        <f t="shared" si="118"/>
        <v/>
      </c>
      <c r="T1115" s="38" t="str">
        <f t="shared" si="119"/>
        <v/>
      </c>
      <c r="U1115" s="37" t="str">
        <f t="shared" si="120"/>
        <v/>
      </c>
    </row>
    <row r="1116" spans="2:21" ht="17.25">
      <c r="B1116" s="156"/>
      <c r="C1116" s="156"/>
      <c r="D1116" s="157"/>
      <c r="E1116" s="155"/>
      <c r="F1116" s="151"/>
      <c r="G1116" s="152"/>
      <c r="H1116" s="153"/>
      <c r="I1116" s="154"/>
      <c r="J1116" s="154"/>
      <c r="K1116" s="30" t="str">
        <f>IF(H1116="","",IF($C$30="간이법","",FPR(H1116,I1116,J1116)))</f>
        <v/>
      </c>
      <c r="L1116" s="30" t="str">
        <f>IF(H1116="","",IF($C$30="상세법",FPV(H1116,K1116),IF(H1116="EI",4,IF(H1116="EO",5.2,IF(H1116="EQ",3.9,IF(H1116="ILF",7.5,IF(H1116="EIF",5.4)))))))</f>
        <v/>
      </c>
      <c r="M1116" s="30" t="str">
        <f t="shared" si="114"/>
        <v/>
      </c>
      <c r="N1116" s="134"/>
      <c r="O1116" s="29"/>
      <c r="P1116" s="37" t="str">
        <f t="shared" si="115"/>
        <v/>
      </c>
      <c r="Q1116" s="38" t="str">
        <f t="shared" si="116"/>
        <v/>
      </c>
      <c r="R1116" s="37" t="str">
        <f t="shared" si="117"/>
        <v/>
      </c>
      <c r="S1116" s="37" t="str">
        <f t="shared" si="118"/>
        <v/>
      </c>
      <c r="T1116" s="38" t="str">
        <f t="shared" si="119"/>
        <v/>
      </c>
      <c r="U1116" s="37" t="str">
        <f t="shared" si="120"/>
        <v/>
      </c>
    </row>
    <row r="1117" spans="2:21" ht="17.25">
      <c r="B1117" s="156"/>
      <c r="C1117" s="156"/>
      <c r="D1117" s="157"/>
      <c r="E1117" s="155"/>
      <c r="F1117" s="151"/>
      <c r="G1117" s="152"/>
      <c r="H1117" s="153"/>
      <c r="I1117" s="154"/>
      <c r="J1117" s="154"/>
      <c r="K1117" s="30" t="str">
        <f>IF(H1117="","",IF($C$30="간이법","",FPR(H1117,I1117,J1117)))</f>
        <v/>
      </c>
      <c r="L1117" s="30" t="str">
        <f>IF(H1117="","",IF($C$30="상세법",FPV(H1117,K1117),IF(H1117="EI",4,IF(H1117="EO",5.2,IF(H1117="EQ",3.9,IF(H1117="ILF",7.5,IF(H1117="EIF",5.4)))))))</f>
        <v/>
      </c>
      <c r="M1117" s="30" t="str">
        <f t="shared" si="114"/>
        <v/>
      </c>
      <c r="N1117" s="134"/>
      <c r="O1117" s="29"/>
      <c r="P1117" s="37" t="str">
        <f t="shared" si="115"/>
        <v/>
      </c>
      <c r="Q1117" s="38" t="str">
        <f t="shared" si="116"/>
        <v/>
      </c>
      <c r="R1117" s="37" t="str">
        <f t="shared" si="117"/>
        <v/>
      </c>
      <c r="S1117" s="37" t="str">
        <f t="shared" si="118"/>
        <v/>
      </c>
      <c r="T1117" s="38" t="str">
        <f t="shared" si="119"/>
        <v/>
      </c>
      <c r="U1117" s="37" t="str">
        <f t="shared" si="120"/>
        <v/>
      </c>
    </row>
    <row r="1118" spans="2:21" ht="17.25">
      <c r="B1118" s="156"/>
      <c r="C1118" s="156"/>
      <c r="D1118" s="157"/>
      <c r="E1118" s="155"/>
      <c r="F1118" s="151"/>
      <c r="G1118" s="152"/>
      <c r="H1118" s="153"/>
      <c r="I1118" s="154"/>
      <c r="J1118" s="154"/>
      <c r="K1118" s="30" t="str">
        <f>IF(H1118="","",IF($C$30="간이법","",FPR(H1118,I1118,J1118)))</f>
        <v/>
      </c>
      <c r="L1118" s="30" t="str">
        <f>IF(H1118="","",IF($C$30="상세법",FPV(H1118,K1118),IF(H1118="EI",4,IF(H1118="EO",5.2,IF(H1118="EQ",3.9,IF(H1118="ILF",7.5,IF(H1118="EIF",5.4)))))))</f>
        <v/>
      </c>
      <c r="M1118" s="30" t="str">
        <f t="shared" si="114"/>
        <v/>
      </c>
      <c r="N1118" s="134"/>
      <c r="O1118" s="29"/>
      <c r="P1118" s="37" t="str">
        <f t="shared" si="115"/>
        <v/>
      </c>
      <c r="Q1118" s="38" t="str">
        <f t="shared" si="116"/>
        <v/>
      </c>
      <c r="R1118" s="37" t="str">
        <f t="shared" si="117"/>
        <v/>
      </c>
      <c r="S1118" s="37" t="str">
        <f t="shared" si="118"/>
        <v/>
      </c>
      <c r="T1118" s="38" t="str">
        <f t="shared" si="119"/>
        <v/>
      </c>
      <c r="U1118" s="37" t="str">
        <f t="shared" si="120"/>
        <v/>
      </c>
    </row>
    <row r="1119" spans="2:21" ht="17.25">
      <c r="B1119" s="156"/>
      <c r="C1119" s="156"/>
      <c r="D1119" s="157"/>
      <c r="E1119" s="155"/>
      <c r="F1119" s="151"/>
      <c r="G1119" s="152"/>
      <c r="H1119" s="153"/>
      <c r="I1119" s="154"/>
      <c r="J1119" s="154"/>
      <c r="K1119" s="30" t="str">
        <f>IF(H1119="","",IF($C$30="간이법","",FPR(H1119,I1119,J1119)))</f>
        <v/>
      </c>
      <c r="L1119" s="30" t="str">
        <f>IF(H1119="","",IF($C$30="상세법",FPV(H1119,K1119),IF(H1119="EI",4,IF(H1119="EO",5.2,IF(H1119="EQ",3.9,IF(H1119="ILF",7.5,IF(H1119="EIF",5.4)))))))</f>
        <v/>
      </c>
      <c r="M1119" s="30" t="str">
        <f t="shared" si="114"/>
        <v/>
      </c>
      <c r="N1119" s="134"/>
      <c r="O1119" s="29"/>
      <c r="P1119" s="37" t="str">
        <f t="shared" si="115"/>
        <v/>
      </c>
      <c r="Q1119" s="38" t="str">
        <f t="shared" si="116"/>
        <v/>
      </c>
      <c r="R1119" s="37" t="str">
        <f t="shared" si="117"/>
        <v/>
      </c>
      <c r="S1119" s="37" t="str">
        <f t="shared" si="118"/>
        <v/>
      </c>
      <c r="T1119" s="38" t="str">
        <f t="shared" si="119"/>
        <v/>
      </c>
      <c r="U1119" s="37" t="str">
        <f t="shared" si="120"/>
        <v/>
      </c>
    </row>
    <row r="1120" spans="2:21" ht="17.25">
      <c r="B1120" s="156"/>
      <c r="C1120" s="156"/>
      <c r="D1120" s="157"/>
      <c r="E1120" s="155"/>
      <c r="F1120" s="151"/>
      <c r="G1120" s="152"/>
      <c r="H1120" s="153"/>
      <c r="I1120" s="154"/>
      <c r="J1120" s="154"/>
      <c r="K1120" s="30" t="str">
        <f>IF(H1120="","",IF($C$30="간이법","",FPR(H1120,I1120,J1120)))</f>
        <v/>
      </c>
      <c r="L1120" s="30" t="str">
        <f>IF(H1120="","",IF($C$30="상세법",FPV(H1120,K1120),IF(H1120="EI",4,IF(H1120="EO",5.2,IF(H1120="EQ",3.9,IF(H1120="ILF",7.5,IF(H1120="EIF",5.4)))))))</f>
        <v/>
      </c>
      <c r="M1120" s="30" t="str">
        <f t="shared" si="114"/>
        <v/>
      </c>
      <c r="N1120" s="134"/>
      <c r="O1120" s="29"/>
      <c r="P1120" s="37" t="str">
        <f t="shared" si="115"/>
        <v/>
      </c>
      <c r="Q1120" s="38" t="str">
        <f t="shared" si="116"/>
        <v/>
      </c>
      <c r="R1120" s="37" t="str">
        <f t="shared" si="117"/>
        <v/>
      </c>
      <c r="S1120" s="37" t="str">
        <f t="shared" si="118"/>
        <v/>
      </c>
      <c r="T1120" s="38" t="str">
        <f t="shared" si="119"/>
        <v/>
      </c>
      <c r="U1120" s="37" t="str">
        <f t="shared" si="120"/>
        <v/>
      </c>
    </row>
    <row r="1121" spans="2:21" ht="17.25">
      <c r="B1121" s="156"/>
      <c r="C1121" s="156"/>
      <c r="D1121" s="157"/>
      <c r="E1121" s="155"/>
      <c r="F1121" s="151"/>
      <c r="G1121" s="152"/>
      <c r="H1121" s="153"/>
      <c r="I1121" s="154"/>
      <c r="J1121" s="154"/>
      <c r="K1121" s="30" t="str">
        <f>IF(H1121="","",IF($C$30="간이법","",FPR(H1121,I1121,J1121)))</f>
        <v/>
      </c>
      <c r="L1121" s="30" t="str">
        <f>IF(H1121="","",IF($C$30="상세법",FPV(H1121,K1121),IF(H1121="EI",4,IF(H1121="EO",5.2,IF(H1121="EQ",3.9,IF(H1121="ILF",7.5,IF(H1121="EIF",5.4)))))))</f>
        <v/>
      </c>
      <c r="M1121" s="30" t="str">
        <f t="shared" si="114"/>
        <v/>
      </c>
      <c r="N1121" s="134"/>
      <c r="O1121" s="29"/>
      <c r="P1121" s="37" t="str">
        <f t="shared" si="115"/>
        <v/>
      </c>
      <c r="Q1121" s="38" t="str">
        <f t="shared" si="116"/>
        <v/>
      </c>
      <c r="R1121" s="37" t="str">
        <f t="shared" si="117"/>
        <v/>
      </c>
      <c r="S1121" s="37" t="str">
        <f t="shared" si="118"/>
        <v/>
      </c>
      <c r="T1121" s="38" t="str">
        <f t="shared" si="119"/>
        <v/>
      </c>
      <c r="U1121" s="37" t="str">
        <f t="shared" si="120"/>
        <v/>
      </c>
    </row>
    <row r="1122" spans="2:21" ht="17.25">
      <c r="B1122" s="156"/>
      <c r="C1122" s="156"/>
      <c r="D1122" s="157"/>
      <c r="E1122" s="155"/>
      <c r="F1122" s="151"/>
      <c r="G1122" s="152"/>
      <c r="H1122" s="153"/>
      <c r="I1122" s="154"/>
      <c r="J1122" s="154"/>
      <c r="K1122" s="30" t="str">
        <f>IF(H1122="","",IF($C$30="간이법","",FPR(H1122,I1122,J1122)))</f>
        <v/>
      </c>
      <c r="L1122" s="30" t="str">
        <f>IF(H1122="","",IF($C$30="상세법",FPV(H1122,K1122),IF(H1122="EI",4,IF(H1122="EO",5.2,IF(H1122="EQ",3.9,IF(H1122="ILF",7.5,IF(H1122="EIF",5.4)))))))</f>
        <v/>
      </c>
      <c r="M1122" s="30" t="str">
        <f t="shared" si="114"/>
        <v/>
      </c>
      <c r="N1122" s="134"/>
      <c r="O1122" s="29"/>
      <c r="P1122" s="37" t="str">
        <f t="shared" si="115"/>
        <v/>
      </c>
      <c r="Q1122" s="38" t="str">
        <f t="shared" si="116"/>
        <v/>
      </c>
      <c r="R1122" s="37" t="str">
        <f t="shared" si="117"/>
        <v/>
      </c>
      <c r="S1122" s="37" t="str">
        <f t="shared" si="118"/>
        <v/>
      </c>
      <c r="T1122" s="38" t="str">
        <f t="shared" si="119"/>
        <v/>
      </c>
      <c r="U1122" s="37" t="str">
        <f t="shared" si="120"/>
        <v/>
      </c>
    </row>
    <row r="1123" spans="2:21" ht="17.25">
      <c r="B1123" s="156"/>
      <c r="C1123" s="156"/>
      <c r="D1123" s="157"/>
      <c r="E1123" s="155"/>
      <c r="F1123" s="151"/>
      <c r="G1123" s="152"/>
      <c r="H1123" s="153"/>
      <c r="I1123" s="154"/>
      <c r="J1123" s="154"/>
      <c r="K1123" s="30" t="str">
        <f>IF(H1123="","",IF($C$30="간이법","",FPR(H1123,I1123,J1123)))</f>
        <v/>
      </c>
      <c r="L1123" s="30" t="str">
        <f>IF(H1123="","",IF($C$30="상세법",FPV(H1123,K1123),IF(H1123="EI",4,IF(H1123="EO",5.2,IF(H1123="EQ",3.9,IF(H1123="ILF",7.5,IF(H1123="EIF",5.4)))))))</f>
        <v/>
      </c>
      <c r="M1123" s="30" t="str">
        <f t="shared" si="114"/>
        <v/>
      </c>
      <c r="N1123" s="134"/>
      <c r="O1123" s="29"/>
      <c r="P1123" s="37" t="str">
        <f t="shared" si="115"/>
        <v/>
      </c>
      <c r="Q1123" s="38" t="str">
        <f t="shared" si="116"/>
        <v/>
      </c>
      <c r="R1123" s="37" t="str">
        <f t="shared" si="117"/>
        <v/>
      </c>
      <c r="S1123" s="37" t="str">
        <f t="shared" si="118"/>
        <v/>
      </c>
      <c r="T1123" s="38" t="str">
        <f t="shared" si="119"/>
        <v/>
      </c>
      <c r="U1123" s="37" t="str">
        <f t="shared" si="120"/>
        <v/>
      </c>
    </row>
    <row r="1124" spans="2:21" ht="17.25">
      <c r="B1124" s="156"/>
      <c r="C1124" s="156"/>
      <c r="D1124" s="157"/>
      <c r="E1124" s="155"/>
      <c r="F1124" s="151"/>
      <c r="G1124" s="152"/>
      <c r="H1124" s="153"/>
      <c r="I1124" s="154"/>
      <c r="J1124" s="154"/>
      <c r="K1124" s="30" t="str">
        <f>IF(H1124="","",IF($C$30="간이법","",FPR(H1124,I1124,J1124)))</f>
        <v/>
      </c>
      <c r="L1124" s="30" t="str">
        <f>IF(H1124="","",IF($C$30="상세법",FPV(H1124,K1124),IF(H1124="EI",4,IF(H1124="EO",5.2,IF(H1124="EQ",3.9,IF(H1124="ILF",7.5,IF(H1124="EIF",5.4)))))))</f>
        <v/>
      </c>
      <c r="M1124" s="30" t="str">
        <f t="shared" si="114"/>
        <v/>
      </c>
      <c r="N1124" s="134"/>
      <c r="O1124" s="29"/>
      <c r="P1124" s="37" t="str">
        <f t="shared" si="115"/>
        <v/>
      </c>
      <c r="Q1124" s="38" t="str">
        <f t="shared" si="116"/>
        <v/>
      </c>
      <c r="R1124" s="37" t="str">
        <f t="shared" si="117"/>
        <v/>
      </c>
      <c r="S1124" s="37" t="str">
        <f t="shared" si="118"/>
        <v/>
      </c>
      <c r="T1124" s="38" t="str">
        <f t="shared" si="119"/>
        <v/>
      </c>
      <c r="U1124" s="37" t="str">
        <f t="shared" si="120"/>
        <v/>
      </c>
    </row>
    <row r="1125" spans="2:21" ht="17.25">
      <c r="B1125" s="156"/>
      <c r="C1125" s="156"/>
      <c r="D1125" s="157"/>
      <c r="E1125" s="155"/>
      <c r="F1125" s="151"/>
      <c r="G1125" s="152"/>
      <c r="H1125" s="153"/>
      <c r="I1125" s="154"/>
      <c r="J1125" s="154"/>
      <c r="K1125" s="30" t="str">
        <f>IF(H1125="","",IF($C$30="간이법","",FPR(H1125,I1125,J1125)))</f>
        <v/>
      </c>
      <c r="L1125" s="30" t="str">
        <f>IF(H1125="","",IF($C$30="상세법",FPV(H1125,K1125),IF(H1125="EI",4,IF(H1125="EO",5.2,IF(H1125="EQ",3.9,IF(H1125="ILF",7.5,IF(H1125="EIF",5.4)))))))</f>
        <v/>
      </c>
      <c r="M1125" s="30" t="str">
        <f t="shared" si="114"/>
        <v/>
      </c>
      <c r="N1125" s="134"/>
      <c r="O1125" s="29"/>
      <c r="P1125" s="37" t="str">
        <f t="shared" si="115"/>
        <v/>
      </c>
      <c r="Q1125" s="38" t="str">
        <f t="shared" si="116"/>
        <v/>
      </c>
      <c r="R1125" s="37" t="str">
        <f t="shared" si="117"/>
        <v/>
      </c>
      <c r="S1125" s="37" t="str">
        <f t="shared" si="118"/>
        <v/>
      </c>
      <c r="T1125" s="38" t="str">
        <f t="shared" si="119"/>
        <v/>
      </c>
      <c r="U1125" s="37" t="str">
        <f t="shared" si="120"/>
        <v/>
      </c>
    </row>
    <row r="1126" spans="2:21" ht="17.25">
      <c r="B1126" s="156"/>
      <c r="C1126" s="156"/>
      <c r="D1126" s="157"/>
      <c r="E1126" s="155"/>
      <c r="F1126" s="151"/>
      <c r="G1126" s="152"/>
      <c r="H1126" s="153"/>
      <c r="I1126" s="154"/>
      <c r="J1126" s="154"/>
      <c r="K1126" s="30" t="str">
        <f>IF(H1126="","",IF($C$30="간이법","",FPR(H1126,I1126,J1126)))</f>
        <v/>
      </c>
      <c r="L1126" s="30" t="str">
        <f>IF(H1126="","",IF($C$30="상세법",FPV(H1126,K1126),IF(H1126="EI",4,IF(H1126="EO",5.2,IF(H1126="EQ",3.9,IF(H1126="ILF",7.5,IF(H1126="EIF",5.4)))))))</f>
        <v/>
      </c>
      <c r="M1126" s="30" t="str">
        <f t="shared" si="114"/>
        <v/>
      </c>
      <c r="N1126" s="134"/>
      <c r="O1126" s="29"/>
      <c r="P1126" s="37" t="str">
        <f t="shared" si="115"/>
        <v/>
      </c>
      <c r="Q1126" s="38" t="str">
        <f t="shared" si="116"/>
        <v/>
      </c>
      <c r="R1126" s="37" t="str">
        <f t="shared" si="117"/>
        <v/>
      </c>
      <c r="S1126" s="37" t="str">
        <f t="shared" si="118"/>
        <v/>
      </c>
      <c r="T1126" s="38" t="str">
        <f t="shared" si="119"/>
        <v/>
      </c>
      <c r="U1126" s="37" t="str">
        <f t="shared" si="120"/>
        <v/>
      </c>
    </row>
    <row r="1127" spans="2:21" ht="17.25">
      <c r="B1127" s="156"/>
      <c r="C1127" s="156"/>
      <c r="D1127" s="157"/>
      <c r="E1127" s="155"/>
      <c r="F1127" s="151"/>
      <c r="G1127" s="152"/>
      <c r="H1127" s="153"/>
      <c r="I1127" s="154"/>
      <c r="J1127" s="154"/>
      <c r="K1127" s="30" t="str">
        <f>IF(H1127="","",IF($C$30="간이법","",FPR(H1127,I1127,J1127)))</f>
        <v/>
      </c>
      <c r="L1127" s="30" t="str">
        <f>IF(H1127="","",IF($C$30="상세법",FPV(H1127,K1127),IF(H1127="EI",4,IF(H1127="EO",5.2,IF(H1127="EQ",3.9,IF(H1127="ILF",7.5,IF(H1127="EIF",5.4)))))))</f>
        <v/>
      </c>
      <c r="M1127" s="30" t="str">
        <f t="shared" si="114"/>
        <v/>
      </c>
      <c r="N1127" s="134"/>
      <c r="O1127" s="29"/>
      <c r="P1127" s="37" t="str">
        <f t="shared" si="115"/>
        <v/>
      </c>
      <c r="Q1127" s="38" t="str">
        <f t="shared" si="116"/>
        <v/>
      </c>
      <c r="R1127" s="37" t="str">
        <f t="shared" si="117"/>
        <v/>
      </c>
      <c r="S1127" s="37" t="str">
        <f t="shared" si="118"/>
        <v/>
      </c>
      <c r="T1127" s="38" t="str">
        <f t="shared" si="119"/>
        <v/>
      </c>
      <c r="U1127" s="37" t="str">
        <f t="shared" si="120"/>
        <v/>
      </c>
    </row>
    <row r="1128" spans="2:21" ht="17.25">
      <c r="B1128" s="156"/>
      <c r="C1128" s="156"/>
      <c r="D1128" s="157"/>
      <c r="E1128" s="155"/>
      <c r="F1128" s="151"/>
      <c r="G1128" s="152"/>
      <c r="H1128" s="153"/>
      <c r="I1128" s="154"/>
      <c r="J1128" s="154"/>
      <c r="K1128" s="30" t="str">
        <f>IF(H1128="","",IF($C$30="간이법","",FPR(H1128,I1128,J1128)))</f>
        <v/>
      </c>
      <c r="L1128" s="30" t="str">
        <f>IF(H1128="","",IF($C$30="상세법",FPV(H1128,K1128),IF(H1128="EI",4,IF(H1128="EO",5.2,IF(H1128="EQ",3.9,IF(H1128="ILF",7.5,IF(H1128="EIF",5.4)))))))</f>
        <v/>
      </c>
      <c r="M1128" s="30" t="str">
        <f t="shared" si="114"/>
        <v/>
      </c>
      <c r="N1128" s="134"/>
      <c r="O1128" s="29"/>
      <c r="P1128" s="37" t="str">
        <f t="shared" si="115"/>
        <v/>
      </c>
      <c r="Q1128" s="38" t="str">
        <f t="shared" si="116"/>
        <v/>
      </c>
      <c r="R1128" s="37" t="str">
        <f t="shared" si="117"/>
        <v/>
      </c>
      <c r="S1128" s="37" t="str">
        <f t="shared" si="118"/>
        <v/>
      </c>
      <c r="T1128" s="38" t="str">
        <f t="shared" si="119"/>
        <v/>
      </c>
      <c r="U1128" s="37" t="str">
        <f t="shared" si="120"/>
        <v/>
      </c>
    </row>
    <row r="1129" spans="2:21" ht="17.25">
      <c r="B1129" s="156"/>
      <c r="C1129" s="156"/>
      <c r="D1129" s="157"/>
      <c r="E1129" s="155"/>
      <c r="F1129" s="151"/>
      <c r="G1129" s="152"/>
      <c r="H1129" s="153"/>
      <c r="I1129" s="154"/>
      <c r="J1129" s="154"/>
      <c r="K1129" s="30" t="str">
        <f>IF(H1129="","",IF($C$30="간이법","",FPR(H1129,I1129,J1129)))</f>
        <v/>
      </c>
      <c r="L1129" s="30" t="str">
        <f>IF(H1129="","",IF($C$30="상세법",FPV(H1129,K1129),IF(H1129="EI",4,IF(H1129="EO",5.2,IF(H1129="EQ",3.9,IF(H1129="ILF",7.5,IF(H1129="EIF",5.4)))))))</f>
        <v/>
      </c>
      <c r="M1129" s="30" t="str">
        <f t="shared" si="114"/>
        <v/>
      </c>
      <c r="N1129" s="134"/>
      <c r="O1129" s="29"/>
      <c r="P1129" s="37" t="str">
        <f t="shared" si="115"/>
        <v/>
      </c>
      <c r="Q1129" s="38" t="str">
        <f t="shared" si="116"/>
        <v/>
      </c>
      <c r="R1129" s="37" t="str">
        <f t="shared" si="117"/>
        <v/>
      </c>
      <c r="S1129" s="37" t="str">
        <f t="shared" si="118"/>
        <v/>
      </c>
      <c r="T1129" s="38" t="str">
        <f t="shared" si="119"/>
        <v/>
      </c>
      <c r="U1129" s="37" t="str">
        <f t="shared" si="120"/>
        <v/>
      </c>
    </row>
    <row r="1130" spans="2:21" ht="17.25">
      <c r="B1130" s="156"/>
      <c r="C1130" s="156"/>
      <c r="D1130" s="157"/>
      <c r="E1130" s="155"/>
      <c r="F1130" s="151"/>
      <c r="G1130" s="152"/>
      <c r="H1130" s="153"/>
      <c r="I1130" s="154"/>
      <c r="J1130" s="154"/>
      <c r="K1130" s="30" t="str">
        <f>IF(H1130="","",IF($C$30="간이법","",FPR(H1130,I1130,J1130)))</f>
        <v/>
      </c>
      <c r="L1130" s="30" t="str">
        <f>IF(H1130="","",IF($C$30="상세법",FPV(H1130,K1130),IF(H1130="EI",4,IF(H1130="EO",5.2,IF(H1130="EQ",3.9,IF(H1130="ILF",7.5,IF(H1130="EIF",5.4)))))))</f>
        <v/>
      </c>
      <c r="M1130" s="30" t="str">
        <f t="shared" si="114"/>
        <v/>
      </c>
      <c r="N1130" s="134"/>
      <c r="O1130" s="29"/>
      <c r="P1130" s="37" t="str">
        <f t="shared" si="115"/>
        <v/>
      </c>
      <c r="Q1130" s="38" t="str">
        <f t="shared" si="116"/>
        <v/>
      </c>
      <c r="R1130" s="37" t="str">
        <f t="shared" si="117"/>
        <v/>
      </c>
      <c r="S1130" s="37" t="str">
        <f t="shared" si="118"/>
        <v/>
      </c>
      <c r="T1130" s="38" t="str">
        <f t="shared" si="119"/>
        <v/>
      </c>
      <c r="U1130" s="37" t="str">
        <f t="shared" si="120"/>
        <v/>
      </c>
    </row>
    <row r="1131" spans="2:21" ht="17.25">
      <c r="B1131" s="156"/>
      <c r="C1131" s="156"/>
      <c r="D1131" s="157"/>
      <c r="E1131" s="155"/>
      <c r="F1131" s="151"/>
      <c r="G1131" s="152"/>
      <c r="H1131" s="153"/>
      <c r="I1131" s="154"/>
      <c r="J1131" s="154"/>
      <c r="K1131" s="30" t="str">
        <f>IF(H1131="","",IF($C$30="간이법","",FPR(H1131,I1131,J1131)))</f>
        <v/>
      </c>
      <c r="L1131" s="30" t="str">
        <f>IF(H1131="","",IF($C$30="상세법",FPV(H1131,K1131),IF(H1131="EI",4,IF(H1131="EO",5.2,IF(H1131="EQ",3.9,IF(H1131="ILF",7.5,IF(H1131="EIF",5.4)))))))</f>
        <v/>
      </c>
      <c r="M1131" s="30" t="str">
        <f t="shared" si="114"/>
        <v/>
      </c>
      <c r="N1131" s="134"/>
      <c r="O1131" s="29"/>
      <c r="P1131" s="37" t="str">
        <f t="shared" si="115"/>
        <v/>
      </c>
      <c r="Q1131" s="38" t="str">
        <f t="shared" si="116"/>
        <v/>
      </c>
      <c r="R1131" s="37" t="str">
        <f t="shared" si="117"/>
        <v/>
      </c>
      <c r="S1131" s="37" t="str">
        <f t="shared" si="118"/>
        <v/>
      </c>
      <c r="T1131" s="38" t="str">
        <f t="shared" si="119"/>
        <v/>
      </c>
      <c r="U1131" s="37" t="str">
        <f t="shared" si="120"/>
        <v/>
      </c>
    </row>
    <row r="1132" spans="2:21" ht="17.25">
      <c r="B1132" s="156"/>
      <c r="C1132" s="156"/>
      <c r="D1132" s="157"/>
      <c r="E1132" s="155"/>
      <c r="F1132" s="151"/>
      <c r="G1132" s="152"/>
      <c r="H1132" s="153"/>
      <c r="I1132" s="154"/>
      <c r="J1132" s="154"/>
      <c r="K1132" s="30" t="str">
        <f>IF(H1132="","",IF($C$30="간이법","",FPR(H1132,I1132,J1132)))</f>
        <v/>
      </c>
      <c r="L1132" s="30" t="str">
        <f>IF(H1132="","",IF($C$30="상세법",FPV(H1132,K1132),IF(H1132="EI",4,IF(H1132="EO",5.2,IF(H1132="EQ",3.9,IF(H1132="ILF",7.5,IF(H1132="EIF",5.4)))))))</f>
        <v/>
      </c>
      <c r="M1132" s="30" t="str">
        <f t="shared" si="114"/>
        <v/>
      </c>
      <c r="N1132" s="134"/>
      <c r="O1132" s="29"/>
      <c r="P1132" s="37" t="str">
        <f t="shared" si="115"/>
        <v/>
      </c>
      <c r="Q1132" s="38" t="str">
        <f t="shared" si="116"/>
        <v/>
      </c>
      <c r="R1132" s="37" t="str">
        <f t="shared" si="117"/>
        <v/>
      </c>
      <c r="S1132" s="37" t="str">
        <f t="shared" si="118"/>
        <v/>
      </c>
      <c r="T1132" s="38" t="str">
        <f t="shared" si="119"/>
        <v/>
      </c>
      <c r="U1132" s="37" t="str">
        <f t="shared" si="120"/>
        <v/>
      </c>
    </row>
    <row r="1133" spans="2:21" ht="17.25">
      <c r="B1133" s="156"/>
      <c r="C1133" s="156"/>
      <c r="D1133" s="157"/>
      <c r="E1133" s="155"/>
      <c r="F1133" s="151"/>
      <c r="G1133" s="152"/>
      <c r="H1133" s="153"/>
      <c r="I1133" s="154"/>
      <c r="J1133" s="154"/>
      <c r="K1133" s="30" t="str">
        <f>IF(H1133="","",IF($C$30="간이법","",FPR(H1133,I1133,J1133)))</f>
        <v/>
      </c>
      <c r="L1133" s="30" t="str">
        <f>IF(H1133="","",IF($C$30="상세법",FPV(H1133,K1133),IF(H1133="EI",4,IF(H1133="EO",5.2,IF(H1133="EQ",3.9,IF(H1133="ILF",7.5,IF(H1133="EIF",5.4)))))))</f>
        <v/>
      </c>
      <c r="M1133" s="30" t="str">
        <f t="shared" si="114"/>
        <v/>
      </c>
      <c r="N1133" s="134"/>
      <c r="O1133" s="29"/>
      <c r="P1133" s="37" t="str">
        <f t="shared" si="115"/>
        <v/>
      </c>
      <c r="Q1133" s="38" t="str">
        <f t="shared" si="116"/>
        <v/>
      </c>
      <c r="R1133" s="37" t="str">
        <f t="shared" si="117"/>
        <v/>
      </c>
      <c r="S1133" s="37" t="str">
        <f t="shared" si="118"/>
        <v/>
      </c>
      <c r="T1133" s="38" t="str">
        <f t="shared" si="119"/>
        <v/>
      </c>
      <c r="U1133" s="37" t="str">
        <f t="shared" si="120"/>
        <v/>
      </c>
    </row>
    <row r="1134" spans="2:21" ht="17.25">
      <c r="B1134" s="156"/>
      <c r="C1134" s="156"/>
      <c r="D1134" s="157"/>
      <c r="E1134" s="155"/>
      <c r="F1134" s="151"/>
      <c r="G1134" s="152"/>
      <c r="H1134" s="153"/>
      <c r="I1134" s="154"/>
      <c r="J1134" s="154"/>
      <c r="K1134" s="30" t="str">
        <f>IF(H1134="","",IF($C$30="간이법","",FPR(H1134,I1134,J1134)))</f>
        <v/>
      </c>
      <c r="L1134" s="30" t="str">
        <f>IF(H1134="","",IF($C$30="상세법",FPV(H1134,K1134),IF(H1134="EI",4,IF(H1134="EO",5.2,IF(H1134="EQ",3.9,IF(H1134="ILF",7.5,IF(H1134="EIF",5.4)))))))</f>
        <v/>
      </c>
      <c r="M1134" s="30" t="str">
        <f t="shared" si="114"/>
        <v/>
      </c>
      <c r="N1134" s="134"/>
      <c r="O1134" s="29"/>
      <c r="P1134" s="37" t="str">
        <f t="shared" si="115"/>
        <v/>
      </c>
      <c r="Q1134" s="38" t="str">
        <f t="shared" si="116"/>
        <v/>
      </c>
      <c r="R1134" s="37" t="str">
        <f t="shared" si="117"/>
        <v/>
      </c>
      <c r="S1134" s="37" t="str">
        <f t="shared" si="118"/>
        <v/>
      </c>
      <c r="T1134" s="38" t="str">
        <f t="shared" si="119"/>
        <v/>
      </c>
      <c r="U1134" s="37" t="str">
        <f t="shared" si="120"/>
        <v/>
      </c>
    </row>
    <row r="1135" spans="2:21" ht="17.25">
      <c r="B1135" s="156"/>
      <c r="C1135" s="156"/>
      <c r="D1135" s="157"/>
      <c r="E1135" s="155"/>
      <c r="F1135" s="151"/>
      <c r="G1135" s="152"/>
      <c r="H1135" s="153"/>
      <c r="I1135" s="154"/>
      <c r="J1135" s="154"/>
      <c r="K1135" s="30" t="str">
        <f>IF(H1135="","",IF($C$30="간이법","",FPR(H1135,I1135,J1135)))</f>
        <v/>
      </c>
      <c r="L1135" s="30" t="str">
        <f>IF(H1135="","",IF($C$30="상세법",FPV(H1135,K1135),IF(H1135="EI",4,IF(H1135="EO",5.2,IF(H1135="EQ",3.9,IF(H1135="ILF",7.5,IF(H1135="EIF",5.4)))))))</f>
        <v/>
      </c>
      <c r="M1135" s="30" t="str">
        <f t="shared" si="114"/>
        <v/>
      </c>
      <c r="N1135" s="134"/>
      <c r="O1135" s="29"/>
      <c r="P1135" s="37" t="str">
        <f t="shared" si="115"/>
        <v/>
      </c>
      <c r="Q1135" s="38" t="str">
        <f t="shared" si="116"/>
        <v/>
      </c>
      <c r="R1135" s="37" t="str">
        <f t="shared" si="117"/>
        <v/>
      </c>
      <c r="S1135" s="37" t="str">
        <f t="shared" si="118"/>
        <v/>
      </c>
      <c r="T1135" s="38" t="str">
        <f t="shared" si="119"/>
        <v/>
      </c>
      <c r="U1135" s="37" t="str">
        <f t="shared" si="120"/>
        <v/>
      </c>
    </row>
    <row r="1136" spans="2:21" ht="17.25">
      <c r="B1136" s="156"/>
      <c r="C1136" s="156"/>
      <c r="D1136" s="157"/>
      <c r="E1136" s="155"/>
      <c r="F1136" s="151"/>
      <c r="G1136" s="152"/>
      <c r="H1136" s="153"/>
      <c r="I1136" s="154"/>
      <c r="J1136" s="154"/>
      <c r="K1136" s="30" t="str">
        <f>IF(H1136="","",IF($C$30="간이법","",FPR(H1136,I1136,J1136)))</f>
        <v/>
      </c>
      <c r="L1136" s="30" t="str">
        <f>IF(H1136="","",IF($C$30="상세법",FPV(H1136,K1136),IF(H1136="EI",4,IF(H1136="EO",5.2,IF(H1136="EQ",3.9,IF(H1136="ILF",7.5,IF(H1136="EIF",5.4)))))))</f>
        <v/>
      </c>
      <c r="M1136" s="30" t="str">
        <f t="shared" si="114"/>
        <v/>
      </c>
      <c r="N1136" s="134"/>
      <c r="O1136" s="29"/>
      <c r="P1136" s="37" t="str">
        <f t="shared" si="115"/>
        <v/>
      </c>
      <c r="Q1136" s="38" t="str">
        <f t="shared" si="116"/>
        <v/>
      </c>
      <c r="R1136" s="37" t="str">
        <f t="shared" si="117"/>
        <v/>
      </c>
      <c r="S1136" s="37" t="str">
        <f t="shared" si="118"/>
        <v/>
      </c>
      <c r="T1136" s="38" t="str">
        <f t="shared" si="119"/>
        <v/>
      </c>
      <c r="U1136" s="37" t="str">
        <f t="shared" si="120"/>
        <v/>
      </c>
    </row>
    <row r="1137" spans="2:21" ht="17.25">
      <c r="B1137" s="156"/>
      <c r="C1137" s="156"/>
      <c r="D1137" s="157"/>
      <c r="E1137" s="155"/>
      <c r="F1137" s="151"/>
      <c r="G1137" s="152"/>
      <c r="H1137" s="153"/>
      <c r="I1137" s="154"/>
      <c r="J1137" s="154"/>
      <c r="K1137" s="30" t="str">
        <f>IF(H1137="","",IF($C$30="간이법","",FPR(H1137,I1137,J1137)))</f>
        <v/>
      </c>
      <c r="L1137" s="30" t="str">
        <f>IF(H1137="","",IF($C$30="상세법",FPV(H1137,K1137),IF(H1137="EI",4,IF(H1137="EO",5.2,IF(H1137="EQ",3.9,IF(H1137="ILF",7.5,IF(H1137="EIF",5.4)))))))</f>
        <v/>
      </c>
      <c r="M1137" s="30" t="str">
        <f t="shared" si="114"/>
        <v/>
      </c>
      <c r="N1137" s="134"/>
      <c r="O1137" s="29"/>
      <c r="P1137" s="37" t="str">
        <f t="shared" si="115"/>
        <v/>
      </c>
      <c r="Q1137" s="38" t="str">
        <f t="shared" si="116"/>
        <v/>
      </c>
      <c r="R1137" s="37" t="str">
        <f t="shared" si="117"/>
        <v/>
      </c>
      <c r="S1137" s="37" t="str">
        <f t="shared" si="118"/>
        <v/>
      </c>
      <c r="T1137" s="38" t="str">
        <f t="shared" si="119"/>
        <v/>
      </c>
      <c r="U1137" s="37" t="str">
        <f t="shared" si="120"/>
        <v/>
      </c>
    </row>
    <row r="1138" spans="2:21" ht="17.25">
      <c r="B1138" s="156"/>
      <c r="C1138" s="156"/>
      <c r="D1138" s="157"/>
      <c r="E1138" s="155"/>
      <c r="F1138" s="151"/>
      <c r="G1138" s="152"/>
      <c r="H1138" s="153"/>
      <c r="I1138" s="154"/>
      <c r="J1138" s="154"/>
      <c r="K1138" s="30" t="str">
        <f>IF(H1138="","",IF($C$30="간이법","",FPR(H1138,I1138,J1138)))</f>
        <v/>
      </c>
      <c r="L1138" s="30" t="str">
        <f>IF(H1138="","",IF($C$30="상세법",FPV(H1138,K1138),IF(H1138="EI",4,IF(H1138="EO",5.2,IF(H1138="EQ",3.9,IF(H1138="ILF",7.5,IF(H1138="EIF",5.4)))))))</f>
        <v/>
      </c>
      <c r="M1138" s="30" t="str">
        <f t="shared" si="114"/>
        <v/>
      </c>
      <c r="N1138" s="134"/>
      <c r="O1138" s="29"/>
      <c r="P1138" s="37" t="str">
        <f t="shared" si="115"/>
        <v/>
      </c>
      <c r="Q1138" s="38" t="str">
        <f t="shared" si="116"/>
        <v/>
      </c>
      <c r="R1138" s="37" t="str">
        <f t="shared" si="117"/>
        <v/>
      </c>
      <c r="S1138" s="37" t="str">
        <f t="shared" si="118"/>
        <v/>
      </c>
      <c r="T1138" s="38" t="str">
        <f t="shared" si="119"/>
        <v/>
      </c>
      <c r="U1138" s="37" t="str">
        <f t="shared" si="120"/>
        <v/>
      </c>
    </row>
    <row r="1139" spans="2:21" ht="17.25">
      <c r="B1139" s="156"/>
      <c r="C1139" s="156"/>
      <c r="D1139" s="157"/>
      <c r="E1139" s="155"/>
      <c r="F1139" s="151"/>
      <c r="G1139" s="152"/>
      <c r="H1139" s="153"/>
      <c r="I1139" s="154"/>
      <c r="J1139" s="154"/>
      <c r="K1139" s="30" t="str">
        <f>IF(H1139="","",IF($C$30="간이법","",FPR(H1139,I1139,J1139)))</f>
        <v/>
      </c>
      <c r="L1139" s="30" t="str">
        <f>IF(H1139="","",IF($C$30="상세법",FPV(H1139,K1139),IF(H1139="EI",4,IF(H1139="EO",5.2,IF(H1139="EQ",3.9,IF(H1139="ILF",7.5,IF(H1139="EIF",5.4)))))))</f>
        <v/>
      </c>
      <c r="M1139" s="30" t="str">
        <f t="shared" si="114"/>
        <v/>
      </c>
      <c r="N1139" s="134"/>
      <c r="O1139" s="29"/>
      <c r="P1139" s="37" t="str">
        <f t="shared" si="115"/>
        <v/>
      </c>
      <c r="Q1139" s="38" t="str">
        <f t="shared" si="116"/>
        <v/>
      </c>
      <c r="R1139" s="37" t="str">
        <f t="shared" si="117"/>
        <v/>
      </c>
      <c r="S1139" s="37" t="str">
        <f t="shared" si="118"/>
        <v/>
      </c>
      <c r="T1139" s="38" t="str">
        <f t="shared" si="119"/>
        <v/>
      </c>
      <c r="U1139" s="37" t="str">
        <f t="shared" si="120"/>
        <v/>
      </c>
    </row>
    <row r="1140" spans="2:21" ht="17.25">
      <c r="B1140" s="156"/>
      <c r="C1140" s="156"/>
      <c r="D1140" s="157"/>
      <c r="E1140" s="155"/>
      <c r="F1140" s="151"/>
      <c r="G1140" s="152"/>
      <c r="H1140" s="153"/>
      <c r="I1140" s="154"/>
      <c r="J1140" s="154"/>
      <c r="K1140" s="30" t="str">
        <f>IF(H1140="","",IF($C$30="간이법","",FPR(H1140,I1140,J1140)))</f>
        <v/>
      </c>
      <c r="L1140" s="30" t="str">
        <f>IF(H1140="","",IF($C$30="상세법",FPV(H1140,K1140),IF(H1140="EI",4,IF(H1140="EO",5.2,IF(H1140="EQ",3.9,IF(H1140="ILF",7.5,IF(H1140="EIF",5.4)))))))</f>
        <v/>
      </c>
      <c r="M1140" s="30" t="str">
        <f t="shared" si="114"/>
        <v/>
      </c>
      <c r="N1140" s="134"/>
      <c r="O1140" s="29"/>
      <c r="P1140" s="37" t="str">
        <f t="shared" si="115"/>
        <v/>
      </c>
      <c r="Q1140" s="38" t="str">
        <f t="shared" si="116"/>
        <v/>
      </c>
      <c r="R1140" s="37" t="str">
        <f t="shared" si="117"/>
        <v/>
      </c>
      <c r="S1140" s="37" t="str">
        <f t="shared" si="118"/>
        <v/>
      </c>
      <c r="T1140" s="38" t="str">
        <f t="shared" si="119"/>
        <v/>
      </c>
      <c r="U1140" s="37" t="str">
        <f t="shared" si="120"/>
        <v/>
      </c>
    </row>
    <row r="1141" spans="2:21" ht="17.25">
      <c r="B1141" s="156"/>
      <c r="C1141" s="156"/>
      <c r="D1141" s="157"/>
      <c r="E1141" s="155"/>
      <c r="F1141" s="151"/>
      <c r="G1141" s="152"/>
      <c r="H1141" s="153"/>
      <c r="I1141" s="154"/>
      <c r="J1141" s="154"/>
      <c r="K1141" s="30" t="str">
        <f>IF(H1141="","",IF($C$30="간이법","",FPR(H1141,I1141,J1141)))</f>
        <v/>
      </c>
      <c r="L1141" s="30" t="str">
        <f>IF(H1141="","",IF($C$30="상세법",FPV(H1141,K1141),IF(H1141="EI",4,IF(H1141="EO",5.2,IF(H1141="EQ",3.9,IF(H1141="ILF",7.5,IF(H1141="EIF",5.4)))))))</f>
        <v/>
      </c>
      <c r="M1141" s="30" t="str">
        <f t="shared" si="114"/>
        <v/>
      </c>
      <c r="N1141" s="134"/>
      <c r="O1141" s="29"/>
      <c r="P1141" s="37" t="str">
        <f t="shared" si="115"/>
        <v/>
      </c>
      <c r="Q1141" s="38" t="str">
        <f t="shared" si="116"/>
        <v/>
      </c>
      <c r="R1141" s="37" t="str">
        <f t="shared" si="117"/>
        <v/>
      </c>
      <c r="S1141" s="37" t="str">
        <f t="shared" si="118"/>
        <v/>
      </c>
      <c r="T1141" s="38" t="str">
        <f t="shared" si="119"/>
        <v/>
      </c>
      <c r="U1141" s="37" t="str">
        <f t="shared" si="120"/>
        <v/>
      </c>
    </row>
    <row r="1142" spans="2:21" ht="17.25">
      <c r="B1142" s="156"/>
      <c r="C1142" s="156"/>
      <c r="D1142" s="157"/>
      <c r="E1142" s="155"/>
      <c r="F1142" s="151"/>
      <c r="G1142" s="152"/>
      <c r="H1142" s="153"/>
      <c r="I1142" s="154"/>
      <c r="J1142" s="154"/>
      <c r="K1142" s="30" t="str">
        <f>IF(H1142="","",IF($C$30="간이법","",FPR(H1142,I1142,J1142)))</f>
        <v/>
      </c>
      <c r="L1142" s="30" t="str">
        <f>IF(H1142="","",IF($C$30="상세법",FPV(H1142,K1142),IF(H1142="EI",4,IF(H1142="EO",5.2,IF(H1142="EQ",3.9,IF(H1142="ILF",7.5,IF(H1142="EIF",5.4)))))))</f>
        <v/>
      </c>
      <c r="M1142" s="30" t="str">
        <f t="shared" si="114"/>
        <v/>
      </c>
      <c r="N1142" s="134"/>
      <c r="O1142" s="29"/>
      <c r="P1142" s="37" t="str">
        <f t="shared" si="115"/>
        <v/>
      </c>
      <c r="Q1142" s="38" t="str">
        <f t="shared" si="116"/>
        <v/>
      </c>
      <c r="R1142" s="37" t="str">
        <f t="shared" si="117"/>
        <v/>
      </c>
      <c r="S1142" s="37" t="str">
        <f t="shared" si="118"/>
        <v/>
      </c>
      <c r="T1142" s="38" t="str">
        <f t="shared" si="119"/>
        <v/>
      </c>
      <c r="U1142" s="37" t="str">
        <f t="shared" si="120"/>
        <v/>
      </c>
    </row>
    <row r="1143" spans="2:21" ht="17.25">
      <c r="B1143" s="156"/>
      <c r="C1143" s="156"/>
      <c r="D1143" s="157"/>
      <c r="E1143" s="155"/>
      <c r="F1143" s="151"/>
      <c r="G1143" s="152"/>
      <c r="H1143" s="153"/>
      <c r="I1143" s="154"/>
      <c r="J1143" s="154"/>
      <c r="K1143" s="30" t="str">
        <f>IF(H1143="","",IF($C$30="간이법","",FPR(H1143,I1143,J1143)))</f>
        <v/>
      </c>
      <c r="L1143" s="30" t="str">
        <f>IF(H1143="","",IF($C$30="상세법",FPV(H1143,K1143),IF(H1143="EI",4,IF(H1143="EO",5.2,IF(H1143="EQ",3.9,IF(H1143="ILF",7.5,IF(H1143="EIF",5.4)))))))</f>
        <v/>
      </c>
      <c r="M1143" s="30" t="str">
        <f t="shared" si="114"/>
        <v/>
      </c>
      <c r="N1143" s="134"/>
      <c r="O1143" s="29"/>
      <c r="P1143" s="37" t="str">
        <f t="shared" si="115"/>
        <v/>
      </c>
      <c r="Q1143" s="38" t="str">
        <f t="shared" si="116"/>
        <v/>
      </c>
      <c r="R1143" s="37" t="str">
        <f t="shared" si="117"/>
        <v/>
      </c>
      <c r="S1143" s="37" t="str">
        <f t="shared" si="118"/>
        <v/>
      </c>
      <c r="T1143" s="38" t="str">
        <f t="shared" si="119"/>
        <v/>
      </c>
      <c r="U1143" s="37" t="str">
        <f t="shared" si="120"/>
        <v/>
      </c>
    </row>
    <row r="1144" spans="2:21" ht="17.25">
      <c r="B1144" s="156"/>
      <c r="C1144" s="156"/>
      <c r="D1144" s="157"/>
      <c r="E1144" s="155"/>
      <c r="F1144" s="151"/>
      <c r="G1144" s="152"/>
      <c r="H1144" s="153"/>
      <c r="I1144" s="154"/>
      <c r="J1144" s="154"/>
      <c r="K1144" s="30" t="str">
        <f>IF(H1144="","",IF($C$30="간이법","",FPR(H1144,I1144,J1144)))</f>
        <v/>
      </c>
      <c r="L1144" s="30" t="str">
        <f>IF(H1144="","",IF($C$30="상세법",FPV(H1144,K1144),IF(H1144="EI",4,IF(H1144="EO",5.2,IF(H1144="EQ",3.9,IF(H1144="ILF",7.5,IF(H1144="EIF",5.4)))))))</f>
        <v/>
      </c>
      <c r="M1144" s="30" t="str">
        <f t="shared" si="114"/>
        <v/>
      </c>
      <c r="N1144" s="134"/>
      <c r="O1144" s="29"/>
      <c r="P1144" s="37" t="str">
        <f t="shared" si="115"/>
        <v/>
      </c>
      <c r="Q1144" s="38" t="str">
        <f t="shared" si="116"/>
        <v/>
      </c>
      <c r="R1144" s="37" t="str">
        <f t="shared" si="117"/>
        <v/>
      </c>
      <c r="S1144" s="37" t="str">
        <f t="shared" si="118"/>
        <v/>
      </c>
      <c r="T1144" s="38" t="str">
        <f t="shared" si="119"/>
        <v/>
      </c>
      <c r="U1144" s="37" t="str">
        <f t="shared" si="120"/>
        <v/>
      </c>
    </row>
    <row r="1145" spans="2:21" ht="17.25">
      <c r="B1145" s="156"/>
      <c r="C1145" s="156"/>
      <c r="D1145" s="157"/>
      <c r="E1145" s="155"/>
      <c r="F1145" s="151"/>
      <c r="G1145" s="152"/>
      <c r="H1145" s="153"/>
      <c r="I1145" s="154"/>
      <c r="J1145" s="154"/>
      <c r="K1145" s="30" t="str">
        <f>IF(H1145="","",IF($C$30="간이법","",FPR(H1145,I1145,J1145)))</f>
        <v/>
      </c>
      <c r="L1145" s="30" t="str">
        <f>IF(H1145="","",IF($C$30="상세법",FPV(H1145,K1145),IF(H1145="EI",4,IF(H1145="EO",5.2,IF(H1145="EQ",3.9,IF(H1145="ILF",7.5,IF(H1145="EIF",5.4)))))))</f>
        <v/>
      </c>
      <c r="M1145" s="30" t="str">
        <f t="shared" si="114"/>
        <v/>
      </c>
      <c r="N1145" s="134"/>
      <c r="O1145" s="29"/>
      <c r="P1145" s="37" t="str">
        <f t="shared" si="115"/>
        <v/>
      </c>
      <c r="Q1145" s="38" t="str">
        <f t="shared" si="116"/>
        <v/>
      </c>
      <c r="R1145" s="37" t="str">
        <f t="shared" si="117"/>
        <v/>
      </c>
      <c r="S1145" s="37" t="str">
        <f t="shared" si="118"/>
        <v/>
      </c>
      <c r="T1145" s="38" t="str">
        <f t="shared" si="119"/>
        <v/>
      </c>
      <c r="U1145" s="37" t="str">
        <f t="shared" si="120"/>
        <v/>
      </c>
    </row>
    <row r="1146" spans="2:21" ht="17.25">
      <c r="B1146" s="156"/>
      <c r="C1146" s="156"/>
      <c r="D1146" s="157"/>
      <c r="E1146" s="155"/>
      <c r="F1146" s="151"/>
      <c r="G1146" s="152"/>
      <c r="H1146" s="153"/>
      <c r="I1146" s="154"/>
      <c r="J1146" s="154"/>
      <c r="K1146" s="30" t="str">
        <f>IF(H1146="","",IF($C$30="간이법","",FPR(H1146,I1146,J1146)))</f>
        <v/>
      </c>
      <c r="L1146" s="30" t="str">
        <f>IF(H1146="","",IF($C$30="상세법",FPV(H1146,K1146),IF(H1146="EI",4,IF(H1146="EO",5.2,IF(H1146="EQ",3.9,IF(H1146="ILF",7.5,IF(H1146="EIF",5.4)))))))</f>
        <v/>
      </c>
      <c r="M1146" s="30" t="str">
        <f t="shared" si="114"/>
        <v/>
      </c>
      <c r="N1146" s="134"/>
      <c r="O1146" s="29"/>
      <c r="P1146" s="37" t="str">
        <f t="shared" si="115"/>
        <v/>
      </c>
      <c r="Q1146" s="38" t="str">
        <f t="shared" si="116"/>
        <v/>
      </c>
      <c r="R1146" s="37" t="str">
        <f t="shared" si="117"/>
        <v/>
      </c>
      <c r="S1146" s="37" t="str">
        <f t="shared" si="118"/>
        <v/>
      </c>
      <c r="T1146" s="38" t="str">
        <f t="shared" si="119"/>
        <v/>
      </c>
      <c r="U1146" s="37" t="str">
        <f t="shared" si="120"/>
        <v/>
      </c>
    </row>
    <row r="1147" spans="2:21" ht="17.25">
      <c r="B1147" s="156"/>
      <c r="C1147" s="156"/>
      <c r="D1147" s="157"/>
      <c r="E1147" s="155"/>
      <c r="F1147" s="151"/>
      <c r="G1147" s="152"/>
      <c r="H1147" s="153"/>
      <c r="I1147" s="154"/>
      <c r="J1147" s="154"/>
      <c r="K1147" s="30" t="str">
        <f>IF(H1147="","",IF($C$30="간이법","",FPR(H1147,I1147,J1147)))</f>
        <v/>
      </c>
      <c r="L1147" s="30" t="str">
        <f>IF(H1147="","",IF($C$30="상세법",FPV(H1147,K1147),IF(H1147="EI",4,IF(H1147="EO",5.2,IF(H1147="EQ",3.9,IF(H1147="ILF",7.5,IF(H1147="EIF",5.4)))))))</f>
        <v/>
      </c>
      <c r="M1147" s="30" t="str">
        <f t="shared" si="114"/>
        <v/>
      </c>
      <c r="N1147" s="134"/>
      <c r="O1147" s="29"/>
      <c r="P1147" s="37" t="str">
        <f t="shared" si="115"/>
        <v/>
      </c>
      <c r="Q1147" s="38" t="str">
        <f t="shared" si="116"/>
        <v/>
      </c>
      <c r="R1147" s="37" t="str">
        <f t="shared" si="117"/>
        <v/>
      </c>
      <c r="S1147" s="37" t="str">
        <f t="shared" si="118"/>
        <v/>
      </c>
      <c r="T1147" s="38" t="str">
        <f t="shared" si="119"/>
        <v/>
      </c>
      <c r="U1147" s="37" t="str">
        <f t="shared" si="120"/>
        <v/>
      </c>
    </row>
    <row r="1148" spans="2:21" ht="17.25">
      <c r="B1148" s="156"/>
      <c r="C1148" s="156"/>
      <c r="D1148" s="157"/>
      <c r="E1148" s="155"/>
      <c r="F1148" s="151"/>
      <c r="G1148" s="152"/>
      <c r="H1148" s="153"/>
      <c r="I1148" s="154"/>
      <c r="J1148" s="154"/>
      <c r="K1148" s="30" t="str">
        <f>IF(H1148="","",IF($C$30="간이법","",FPR(H1148,I1148,J1148)))</f>
        <v/>
      </c>
      <c r="L1148" s="30" t="str">
        <f>IF(H1148="","",IF($C$30="상세법",FPV(H1148,K1148),IF(H1148="EI",4,IF(H1148="EO",5.2,IF(H1148="EQ",3.9,IF(H1148="ILF",7.5,IF(H1148="EIF",5.4)))))))</f>
        <v/>
      </c>
      <c r="M1148" s="30" t="str">
        <f t="shared" ref="M1148:M1211" si="121">IF(OR(G1148="",$E$36="(선택)",$E$40="(선택)",$E$41="(선택)",F1148="신규 개발",F1148="수정 없이 재사용"),"",(IF(F1148="수정 후 재사용",IF($E$50&lt;=0.5,L1148*($E$36+$E$50*100*(1+0.02*($E$40*$E$41)))/100,L1148*($E$36+$E$50*100+($E$40*$E$41))/100))))</f>
        <v/>
      </c>
      <c r="N1148" s="134"/>
      <c r="O1148" s="29"/>
      <c r="P1148" s="37" t="str">
        <f t="shared" ref="P1148:P1211" si="122">IF(F1148="수정 후 재사용",IF(H1148="ILF",G1148,IF(H1148="EIF",G1148,"")),"")</f>
        <v/>
      </c>
      <c r="Q1148" s="38" t="str">
        <f t="shared" ref="Q1148:Q1211" si="123">IF(P1148&lt;&gt;"",IF(H1148="ILF", L1148/$E$46,IF(H1148="EIF", L1148/$E$46,"")),"")</f>
        <v/>
      </c>
      <c r="R1148" s="37" t="str">
        <f t="shared" ref="R1148:R1211" si="124">IF(P1148&lt;&gt;"",P1148*Q1148,"")</f>
        <v/>
      </c>
      <c r="S1148" s="37" t="str">
        <f t="shared" ref="S1148:S1211" si="125">IF(F1148="수정 후 재사용",IF(H1148="EI",G1148,IF(H1148="EO",G1148,IF(H1148="EQ",G1148,""))),"")</f>
        <v/>
      </c>
      <c r="T1148" s="38" t="str">
        <f t="shared" ref="T1148:T1211" si="126">IF(S1148&lt;&gt;"",IF(H1148="EI",L1148/$E$47,IF(H1148="EO",L1148/$E$47,IF(H1148="EQ",L1148/$E$47,""))),"")</f>
        <v/>
      </c>
      <c r="U1148" s="37" t="str">
        <f t="shared" ref="U1148:U1211" si="127">IF(S1148&lt;&gt;"",S1148*T1148,"")</f>
        <v/>
      </c>
    </row>
    <row r="1149" spans="2:21" ht="17.25">
      <c r="B1149" s="156"/>
      <c r="C1149" s="156"/>
      <c r="D1149" s="157"/>
      <c r="E1149" s="155"/>
      <c r="F1149" s="151"/>
      <c r="G1149" s="152"/>
      <c r="H1149" s="153"/>
      <c r="I1149" s="154"/>
      <c r="J1149" s="154"/>
      <c r="K1149" s="30" t="str">
        <f>IF(H1149="","",IF($C$30="간이법","",FPR(H1149,I1149,J1149)))</f>
        <v/>
      </c>
      <c r="L1149" s="30" t="str">
        <f>IF(H1149="","",IF($C$30="상세법",FPV(H1149,K1149),IF(H1149="EI",4,IF(H1149="EO",5.2,IF(H1149="EQ",3.9,IF(H1149="ILF",7.5,IF(H1149="EIF",5.4)))))))</f>
        <v/>
      </c>
      <c r="M1149" s="30" t="str">
        <f t="shared" si="121"/>
        <v/>
      </c>
      <c r="N1149" s="134"/>
      <c r="O1149" s="29"/>
      <c r="P1149" s="37" t="str">
        <f t="shared" si="122"/>
        <v/>
      </c>
      <c r="Q1149" s="38" t="str">
        <f t="shared" si="123"/>
        <v/>
      </c>
      <c r="R1149" s="37" t="str">
        <f t="shared" si="124"/>
        <v/>
      </c>
      <c r="S1149" s="37" t="str">
        <f t="shared" si="125"/>
        <v/>
      </c>
      <c r="T1149" s="38" t="str">
        <f t="shared" si="126"/>
        <v/>
      </c>
      <c r="U1149" s="37" t="str">
        <f t="shared" si="127"/>
        <v/>
      </c>
    </row>
    <row r="1150" spans="2:21" ht="17.25">
      <c r="B1150" s="156"/>
      <c r="C1150" s="156"/>
      <c r="D1150" s="157"/>
      <c r="E1150" s="155"/>
      <c r="F1150" s="151"/>
      <c r="G1150" s="152"/>
      <c r="H1150" s="153"/>
      <c r="I1150" s="154"/>
      <c r="J1150" s="154"/>
      <c r="K1150" s="30" t="str">
        <f>IF(H1150="","",IF($C$30="간이법","",FPR(H1150,I1150,J1150)))</f>
        <v/>
      </c>
      <c r="L1150" s="30" t="str">
        <f>IF(H1150="","",IF($C$30="상세법",FPV(H1150,K1150),IF(H1150="EI",4,IF(H1150="EO",5.2,IF(H1150="EQ",3.9,IF(H1150="ILF",7.5,IF(H1150="EIF",5.4)))))))</f>
        <v/>
      </c>
      <c r="M1150" s="30" t="str">
        <f t="shared" si="121"/>
        <v/>
      </c>
      <c r="N1150" s="134"/>
      <c r="O1150" s="29"/>
      <c r="P1150" s="37" t="str">
        <f t="shared" si="122"/>
        <v/>
      </c>
      <c r="Q1150" s="38" t="str">
        <f t="shared" si="123"/>
        <v/>
      </c>
      <c r="R1150" s="37" t="str">
        <f t="shared" si="124"/>
        <v/>
      </c>
      <c r="S1150" s="37" t="str">
        <f t="shared" si="125"/>
        <v/>
      </c>
      <c r="T1150" s="38" t="str">
        <f t="shared" si="126"/>
        <v/>
      </c>
      <c r="U1150" s="37" t="str">
        <f t="shared" si="127"/>
        <v/>
      </c>
    </row>
    <row r="1151" spans="2:21" ht="17.25">
      <c r="B1151" s="156"/>
      <c r="C1151" s="156"/>
      <c r="D1151" s="157"/>
      <c r="E1151" s="155"/>
      <c r="F1151" s="151"/>
      <c r="G1151" s="152"/>
      <c r="H1151" s="153"/>
      <c r="I1151" s="154"/>
      <c r="J1151" s="154"/>
      <c r="K1151" s="30" t="str">
        <f>IF(H1151="","",IF($C$30="간이법","",FPR(H1151,I1151,J1151)))</f>
        <v/>
      </c>
      <c r="L1151" s="30" t="str">
        <f>IF(H1151="","",IF($C$30="상세법",FPV(H1151,K1151),IF(H1151="EI",4,IF(H1151="EO",5.2,IF(H1151="EQ",3.9,IF(H1151="ILF",7.5,IF(H1151="EIF",5.4)))))))</f>
        <v/>
      </c>
      <c r="M1151" s="30" t="str">
        <f t="shared" si="121"/>
        <v/>
      </c>
      <c r="N1151" s="134"/>
      <c r="O1151" s="29"/>
      <c r="P1151" s="37" t="str">
        <f t="shared" si="122"/>
        <v/>
      </c>
      <c r="Q1151" s="38" t="str">
        <f t="shared" si="123"/>
        <v/>
      </c>
      <c r="R1151" s="37" t="str">
        <f t="shared" si="124"/>
        <v/>
      </c>
      <c r="S1151" s="37" t="str">
        <f t="shared" si="125"/>
        <v/>
      </c>
      <c r="T1151" s="38" t="str">
        <f t="shared" si="126"/>
        <v/>
      </c>
      <c r="U1151" s="37" t="str">
        <f t="shared" si="127"/>
        <v/>
      </c>
    </row>
    <row r="1152" spans="2:21" ht="17.25">
      <c r="B1152" s="156"/>
      <c r="C1152" s="156"/>
      <c r="D1152" s="157"/>
      <c r="E1152" s="155"/>
      <c r="F1152" s="151"/>
      <c r="G1152" s="152"/>
      <c r="H1152" s="153"/>
      <c r="I1152" s="154"/>
      <c r="J1152" s="154"/>
      <c r="K1152" s="30" t="str">
        <f>IF(H1152="","",IF($C$30="간이법","",FPR(H1152,I1152,J1152)))</f>
        <v/>
      </c>
      <c r="L1152" s="30" t="str">
        <f>IF(H1152="","",IF($C$30="상세법",FPV(H1152,K1152),IF(H1152="EI",4,IF(H1152="EO",5.2,IF(H1152="EQ",3.9,IF(H1152="ILF",7.5,IF(H1152="EIF",5.4)))))))</f>
        <v/>
      </c>
      <c r="M1152" s="30" t="str">
        <f t="shared" si="121"/>
        <v/>
      </c>
      <c r="N1152" s="134"/>
      <c r="O1152" s="29"/>
      <c r="P1152" s="37" t="str">
        <f t="shared" si="122"/>
        <v/>
      </c>
      <c r="Q1152" s="38" t="str">
        <f t="shared" si="123"/>
        <v/>
      </c>
      <c r="R1152" s="37" t="str">
        <f t="shared" si="124"/>
        <v/>
      </c>
      <c r="S1152" s="37" t="str">
        <f t="shared" si="125"/>
        <v/>
      </c>
      <c r="T1152" s="38" t="str">
        <f t="shared" si="126"/>
        <v/>
      </c>
      <c r="U1152" s="37" t="str">
        <f t="shared" si="127"/>
        <v/>
      </c>
    </row>
    <row r="1153" spans="2:21" ht="17.25">
      <c r="B1153" s="156"/>
      <c r="C1153" s="156"/>
      <c r="D1153" s="157"/>
      <c r="E1153" s="155"/>
      <c r="F1153" s="151"/>
      <c r="G1153" s="152"/>
      <c r="H1153" s="153"/>
      <c r="I1153" s="154"/>
      <c r="J1153" s="154"/>
      <c r="K1153" s="30" t="str">
        <f>IF(H1153="","",IF($C$30="간이법","",FPR(H1153,I1153,J1153)))</f>
        <v/>
      </c>
      <c r="L1153" s="30" t="str">
        <f>IF(H1153="","",IF($C$30="상세법",FPV(H1153,K1153),IF(H1153="EI",4,IF(H1153="EO",5.2,IF(H1153="EQ",3.9,IF(H1153="ILF",7.5,IF(H1153="EIF",5.4)))))))</f>
        <v/>
      </c>
      <c r="M1153" s="30" t="str">
        <f t="shared" si="121"/>
        <v/>
      </c>
      <c r="N1153" s="134"/>
      <c r="O1153" s="29"/>
      <c r="P1153" s="37" t="str">
        <f t="shared" si="122"/>
        <v/>
      </c>
      <c r="Q1153" s="38" t="str">
        <f t="shared" si="123"/>
        <v/>
      </c>
      <c r="R1153" s="37" t="str">
        <f t="shared" si="124"/>
        <v/>
      </c>
      <c r="S1153" s="37" t="str">
        <f t="shared" si="125"/>
        <v/>
      </c>
      <c r="T1153" s="38" t="str">
        <f t="shared" si="126"/>
        <v/>
      </c>
      <c r="U1153" s="37" t="str">
        <f t="shared" si="127"/>
        <v/>
      </c>
    </row>
    <row r="1154" spans="2:21" ht="17.25">
      <c r="B1154" s="156"/>
      <c r="C1154" s="156"/>
      <c r="D1154" s="157"/>
      <c r="E1154" s="155"/>
      <c r="F1154" s="151"/>
      <c r="G1154" s="152"/>
      <c r="H1154" s="153"/>
      <c r="I1154" s="154"/>
      <c r="J1154" s="154"/>
      <c r="K1154" s="30" t="str">
        <f>IF(H1154="","",IF($C$30="간이법","",FPR(H1154,I1154,J1154)))</f>
        <v/>
      </c>
      <c r="L1154" s="30" t="str">
        <f>IF(H1154="","",IF($C$30="상세법",FPV(H1154,K1154),IF(H1154="EI",4,IF(H1154="EO",5.2,IF(H1154="EQ",3.9,IF(H1154="ILF",7.5,IF(H1154="EIF",5.4)))))))</f>
        <v/>
      </c>
      <c r="M1154" s="30" t="str">
        <f t="shared" si="121"/>
        <v/>
      </c>
      <c r="N1154" s="134"/>
      <c r="O1154" s="29"/>
      <c r="P1154" s="37" t="str">
        <f t="shared" si="122"/>
        <v/>
      </c>
      <c r="Q1154" s="38" t="str">
        <f t="shared" si="123"/>
        <v/>
      </c>
      <c r="R1154" s="37" t="str">
        <f t="shared" si="124"/>
        <v/>
      </c>
      <c r="S1154" s="37" t="str">
        <f t="shared" si="125"/>
        <v/>
      </c>
      <c r="T1154" s="38" t="str">
        <f t="shared" si="126"/>
        <v/>
      </c>
      <c r="U1154" s="37" t="str">
        <f t="shared" si="127"/>
        <v/>
      </c>
    </row>
    <row r="1155" spans="2:21" ht="17.25">
      <c r="B1155" s="156"/>
      <c r="C1155" s="156"/>
      <c r="D1155" s="157"/>
      <c r="E1155" s="155"/>
      <c r="F1155" s="151"/>
      <c r="G1155" s="152"/>
      <c r="H1155" s="153"/>
      <c r="I1155" s="154"/>
      <c r="J1155" s="154"/>
      <c r="K1155" s="30" t="str">
        <f>IF(H1155="","",IF($C$30="간이법","",FPR(H1155,I1155,J1155)))</f>
        <v/>
      </c>
      <c r="L1155" s="30" t="str">
        <f>IF(H1155="","",IF($C$30="상세법",FPV(H1155,K1155),IF(H1155="EI",4,IF(H1155="EO",5.2,IF(H1155="EQ",3.9,IF(H1155="ILF",7.5,IF(H1155="EIF",5.4)))))))</f>
        <v/>
      </c>
      <c r="M1155" s="30" t="str">
        <f t="shared" si="121"/>
        <v/>
      </c>
      <c r="N1155" s="134"/>
      <c r="O1155" s="29"/>
      <c r="P1155" s="37" t="str">
        <f t="shared" si="122"/>
        <v/>
      </c>
      <c r="Q1155" s="38" t="str">
        <f t="shared" si="123"/>
        <v/>
      </c>
      <c r="R1155" s="37" t="str">
        <f t="shared" si="124"/>
        <v/>
      </c>
      <c r="S1155" s="37" t="str">
        <f t="shared" si="125"/>
        <v/>
      </c>
      <c r="T1155" s="38" t="str">
        <f t="shared" si="126"/>
        <v/>
      </c>
      <c r="U1155" s="37" t="str">
        <f t="shared" si="127"/>
        <v/>
      </c>
    </row>
    <row r="1156" spans="2:21" ht="17.25">
      <c r="B1156" s="156"/>
      <c r="C1156" s="156"/>
      <c r="D1156" s="157"/>
      <c r="E1156" s="155"/>
      <c r="F1156" s="151"/>
      <c r="G1156" s="152"/>
      <c r="H1156" s="153"/>
      <c r="I1156" s="154"/>
      <c r="J1156" s="154"/>
      <c r="K1156" s="30" t="str">
        <f>IF(H1156="","",IF($C$30="간이법","",FPR(H1156,I1156,J1156)))</f>
        <v/>
      </c>
      <c r="L1156" s="30" t="str">
        <f>IF(H1156="","",IF($C$30="상세법",FPV(H1156,K1156),IF(H1156="EI",4,IF(H1156="EO",5.2,IF(H1156="EQ",3.9,IF(H1156="ILF",7.5,IF(H1156="EIF",5.4)))))))</f>
        <v/>
      </c>
      <c r="M1156" s="30" t="str">
        <f t="shared" si="121"/>
        <v/>
      </c>
      <c r="N1156" s="134"/>
      <c r="O1156" s="29"/>
      <c r="P1156" s="37" t="str">
        <f t="shared" si="122"/>
        <v/>
      </c>
      <c r="Q1156" s="38" t="str">
        <f t="shared" si="123"/>
        <v/>
      </c>
      <c r="R1156" s="37" t="str">
        <f t="shared" si="124"/>
        <v/>
      </c>
      <c r="S1156" s="37" t="str">
        <f t="shared" si="125"/>
        <v/>
      </c>
      <c r="T1156" s="38" t="str">
        <f t="shared" si="126"/>
        <v/>
      </c>
      <c r="U1156" s="37" t="str">
        <f t="shared" si="127"/>
        <v/>
      </c>
    </row>
    <row r="1157" spans="2:21" ht="17.25">
      <c r="B1157" s="156"/>
      <c r="C1157" s="156"/>
      <c r="D1157" s="157"/>
      <c r="E1157" s="155"/>
      <c r="F1157" s="151"/>
      <c r="G1157" s="152"/>
      <c r="H1157" s="153"/>
      <c r="I1157" s="154"/>
      <c r="J1157" s="154"/>
      <c r="K1157" s="30" t="str">
        <f>IF(H1157="","",IF($C$30="간이법","",FPR(H1157,I1157,J1157)))</f>
        <v/>
      </c>
      <c r="L1157" s="30" t="str">
        <f>IF(H1157="","",IF($C$30="상세법",FPV(H1157,K1157),IF(H1157="EI",4,IF(H1157="EO",5.2,IF(H1157="EQ",3.9,IF(H1157="ILF",7.5,IF(H1157="EIF",5.4)))))))</f>
        <v/>
      </c>
      <c r="M1157" s="30" t="str">
        <f t="shared" si="121"/>
        <v/>
      </c>
      <c r="N1157" s="134"/>
      <c r="O1157" s="29"/>
      <c r="P1157" s="37" t="str">
        <f t="shared" si="122"/>
        <v/>
      </c>
      <c r="Q1157" s="38" t="str">
        <f t="shared" si="123"/>
        <v/>
      </c>
      <c r="R1157" s="37" t="str">
        <f t="shared" si="124"/>
        <v/>
      </c>
      <c r="S1157" s="37" t="str">
        <f t="shared" si="125"/>
        <v/>
      </c>
      <c r="T1157" s="38" t="str">
        <f t="shared" si="126"/>
        <v/>
      </c>
      <c r="U1157" s="37" t="str">
        <f t="shared" si="127"/>
        <v/>
      </c>
    </row>
    <row r="1158" spans="2:21" ht="17.25">
      <c r="B1158" s="156"/>
      <c r="C1158" s="156"/>
      <c r="D1158" s="157"/>
      <c r="E1158" s="155"/>
      <c r="F1158" s="151"/>
      <c r="G1158" s="152"/>
      <c r="H1158" s="153"/>
      <c r="I1158" s="154"/>
      <c r="J1158" s="154"/>
      <c r="K1158" s="30" t="str">
        <f>IF(H1158="","",IF($C$30="간이법","",FPR(H1158,I1158,J1158)))</f>
        <v/>
      </c>
      <c r="L1158" s="30" t="str">
        <f>IF(H1158="","",IF($C$30="상세법",FPV(H1158,K1158),IF(H1158="EI",4,IF(H1158="EO",5.2,IF(H1158="EQ",3.9,IF(H1158="ILF",7.5,IF(H1158="EIF",5.4)))))))</f>
        <v/>
      </c>
      <c r="M1158" s="30" t="str">
        <f t="shared" si="121"/>
        <v/>
      </c>
      <c r="N1158" s="134"/>
      <c r="O1158" s="29"/>
      <c r="P1158" s="37" t="str">
        <f t="shared" si="122"/>
        <v/>
      </c>
      <c r="Q1158" s="38" t="str">
        <f t="shared" si="123"/>
        <v/>
      </c>
      <c r="R1158" s="37" t="str">
        <f t="shared" si="124"/>
        <v/>
      </c>
      <c r="S1158" s="37" t="str">
        <f t="shared" si="125"/>
        <v/>
      </c>
      <c r="T1158" s="38" t="str">
        <f t="shared" si="126"/>
        <v/>
      </c>
      <c r="U1158" s="37" t="str">
        <f t="shared" si="127"/>
        <v/>
      </c>
    </row>
    <row r="1159" spans="2:21" ht="17.25">
      <c r="B1159" s="156"/>
      <c r="C1159" s="156"/>
      <c r="D1159" s="157"/>
      <c r="E1159" s="155"/>
      <c r="F1159" s="151"/>
      <c r="G1159" s="152"/>
      <c r="H1159" s="153"/>
      <c r="I1159" s="154"/>
      <c r="J1159" s="154"/>
      <c r="K1159" s="30" t="str">
        <f>IF(H1159="","",IF($C$30="간이법","",FPR(H1159,I1159,J1159)))</f>
        <v/>
      </c>
      <c r="L1159" s="30" t="str">
        <f>IF(H1159="","",IF($C$30="상세법",FPV(H1159,K1159),IF(H1159="EI",4,IF(H1159="EO",5.2,IF(H1159="EQ",3.9,IF(H1159="ILF",7.5,IF(H1159="EIF",5.4)))))))</f>
        <v/>
      </c>
      <c r="M1159" s="30" t="str">
        <f t="shared" si="121"/>
        <v/>
      </c>
      <c r="N1159" s="134"/>
      <c r="O1159" s="29"/>
      <c r="P1159" s="37" t="str">
        <f t="shared" si="122"/>
        <v/>
      </c>
      <c r="Q1159" s="38" t="str">
        <f t="shared" si="123"/>
        <v/>
      </c>
      <c r="R1159" s="37" t="str">
        <f t="shared" si="124"/>
        <v/>
      </c>
      <c r="S1159" s="37" t="str">
        <f t="shared" si="125"/>
        <v/>
      </c>
      <c r="T1159" s="38" t="str">
        <f t="shared" si="126"/>
        <v/>
      </c>
      <c r="U1159" s="37" t="str">
        <f t="shared" si="127"/>
        <v/>
      </c>
    </row>
    <row r="1160" spans="2:21" ht="17.25">
      <c r="B1160" s="156"/>
      <c r="C1160" s="156"/>
      <c r="D1160" s="157"/>
      <c r="E1160" s="155"/>
      <c r="F1160" s="151"/>
      <c r="G1160" s="152"/>
      <c r="H1160" s="153"/>
      <c r="I1160" s="154"/>
      <c r="J1160" s="154"/>
      <c r="K1160" s="30" t="str">
        <f>IF(H1160="","",IF($C$30="간이법","",FPR(H1160,I1160,J1160)))</f>
        <v/>
      </c>
      <c r="L1160" s="30" t="str">
        <f>IF(H1160="","",IF($C$30="상세법",FPV(H1160,K1160),IF(H1160="EI",4,IF(H1160="EO",5.2,IF(H1160="EQ",3.9,IF(H1160="ILF",7.5,IF(H1160="EIF",5.4)))))))</f>
        <v/>
      </c>
      <c r="M1160" s="30" t="str">
        <f t="shared" si="121"/>
        <v/>
      </c>
      <c r="N1160" s="134"/>
      <c r="O1160" s="29"/>
      <c r="P1160" s="37" t="str">
        <f t="shared" si="122"/>
        <v/>
      </c>
      <c r="Q1160" s="38" t="str">
        <f t="shared" si="123"/>
        <v/>
      </c>
      <c r="R1160" s="37" t="str">
        <f t="shared" si="124"/>
        <v/>
      </c>
      <c r="S1160" s="37" t="str">
        <f t="shared" si="125"/>
        <v/>
      </c>
      <c r="T1160" s="38" t="str">
        <f t="shared" si="126"/>
        <v/>
      </c>
      <c r="U1160" s="37" t="str">
        <f t="shared" si="127"/>
        <v/>
      </c>
    </row>
    <row r="1161" spans="2:21" ht="17.25">
      <c r="B1161" s="156"/>
      <c r="C1161" s="156"/>
      <c r="D1161" s="157"/>
      <c r="E1161" s="155"/>
      <c r="F1161" s="151"/>
      <c r="G1161" s="152"/>
      <c r="H1161" s="153"/>
      <c r="I1161" s="154"/>
      <c r="J1161" s="154"/>
      <c r="K1161" s="30" t="str">
        <f>IF(H1161="","",IF($C$30="간이법","",FPR(H1161,I1161,J1161)))</f>
        <v/>
      </c>
      <c r="L1161" s="30" t="str">
        <f>IF(H1161="","",IF($C$30="상세법",FPV(H1161,K1161),IF(H1161="EI",4,IF(H1161="EO",5.2,IF(H1161="EQ",3.9,IF(H1161="ILF",7.5,IF(H1161="EIF",5.4)))))))</f>
        <v/>
      </c>
      <c r="M1161" s="30" t="str">
        <f t="shared" si="121"/>
        <v/>
      </c>
      <c r="N1161" s="134"/>
      <c r="O1161" s="29"/>
      <c r="P1161" s="37" t="str">
        <f t="shared" si="122"/>
        <v/>
      </c>
      <c r="Q1161" s="38" t="str">
        <f t="shared" si="123"/>
        <v/>
      </c>
      <c r="R1161" s="37" t="str">
        <f t="shared" si="124"/>
        <v/>
      </c>
      <c r="S1161" s="37" t="str">
        <f t="shared" si="125"/>
        <v/>
      </c>
      <c r="T1161" s="38" t="str">
        <f t="shared" si="126"/>
        <v/>
      </c>
      <c r="U1161" s="37" t="str">
        <f t="shared" si="127"/>
        <v/>
      </c>
    </row>
    <row r="1162" spans="2:21" ht="17.25">
      <c r="B1162" s="156"/>
      <c r="C1162" s="156"/>
      <c r="D1162" s="157"/>
      <c r="E1162" s="155"/>
      <c r="F1162" s="151"/>
      <c r="G1162" s="152"/>
      <c r="H1162" s="153"/>
      <c r="I1162" s="154"/>
      <c r="J1162" s="154"/>
      <c r="K1162" s="30" t="str">
        <f>IF(H1162="","",IF($C$30="간이법","",FPR(H1162,I1162,J1162)))</f>
        <v/>
      </c>
      <c r="L1162" s="30" t="str">
        <f>IF(H1162="","",IF($C$30="상세법",FPV(H1162,K1162),IF(H1162="EI",4,IF(H1162="EO",5.2,IF(H1162="EQ",3.9,IF(H1162="ILF",7.5,IF(H1162="EIF",5.4)))))))</f>
        <v/>
      </c>
      <c r="M1162" s="30" t="str">
        <f t="shared" si="121"/>
        <v/>
      </c>
      <c r="N1162" s="134"/>
      <c r="O1162" s="29"/>
      <c r="P1162" s="37" t="str">
        <f t="shared" si="122"/>
        <v/>
      </c>
      <c r="Q1162" s="38" t="str">
        <f t="shared" si="123"/>
        <v/>
      </c>
      <c r="R1162" s="37" t="str">
        <f t="shared" si="124"/>
        <v/>
      </c>
      <c r="S1162" s="37" t="str">
        <f t="shared" si="125"/>
        <v/>
      </c>
      <c r="T1162" s="38" t="str">
        <f t="shared" si="126"/>
        <v/>
      </c>
      <c r="U1162" s="37" t="str">
        <f t="shared" si="127"/>
        <v/>
      </c>
    </row>
    <row r="1163" spans="2:21" ht="17.25">
      <c r="B1163" s="156"/>
      <c r="C1163" s="156"/>
      <c r="D1163" s="157"/>
      <c r="E1163" s="155"/>
      <c r="F1163" s="151"/>
      <c r="G1163" s="152"/>
      <c r="H1163" s="153"/>
      <c r="I1163" s="154"/>
      <c r="J1163" s="154"/>
      <c r="K1163" s="30" t="str">
        <f>IF(H1163="","",IF($C$30="간이법","",FPR(H1163,I1163,J1163)))</f>
        <v/>
      </c>
      <c r="L1163" s="30" t="str">
        <f>IF(H1163="","",IF($C$30="상세법",FPV(H1163,K1163),IF(H1163="EI",4,IF(H1163="EO",5.2,IF(H1163="EQ",3.9,IF(H1163="ILF",7.5,IF(H1163="EIF",5.4)))))))</f>
        <v/>
      </c>
      <c r="M1163" s="30" t="str">
        <f t="shared" si="121"/>
        <v/>
      </c>
      <c r="N1163" s="134"/>
      <c r="O1163" s="29"/>
      <c r="P1163" s="37" t="str">
        <f t="shared" si="122"/>
        <v/>
      </c>
      <c r="Q1163" s="38" t="str">
        <f t="shared" si="123"/>
        <v/>
      </c>
      <c r="R1163" s="37" t="str">
        <f t="shared" si="124"/>
        <v/>
      </c>
      <c r="S1163" s="37" t="str">
        <f t="shared" si="125"/>
        <v/>
      </c>
      <c r="T1163" s="38" t="str">
        <f t="shared" si="126"/>
        <v/>
      </c>
      <c r="U1163" s="37" t="str">
        <f t="shared" si="127"/>
        <v/>
      </c>
    </row>
    <row r="1164" spans="2:21" ht="17.25">
      <c r="B1164" s="156"/>
      <c r="C1164" s="156"/>
      <c r="D1164" s="157"/>
      <c r="E1164" s="155"/>
      <c r="F1164" s="151"/>
      <c r="G1164" s="152"/>
      <c r="H1164" s="153"/>
      <c r="I1164" s="154"/>
      <c r="J1164" s="154"/>
      <c r="K1164" s="30" t="str">
        <f>IF(H1164="","",IF($C$30="간이법","",FPR(H1164,I1164,J1164)))</f>
        <v/>
      </c>
      <c r="L1164" s="30" t="str">
        <f>IF(H1164="","",IF($C$30="상세법",FPV(H1164,K1164),IF(H1164="EI",4,IF(H1164="EO",5.2,IF(H1164="EQ",3.9,IF(H1164="ILF",7.5,IF(H1164="EIF",5.4)))))))</f>
        <v/>
      </c>
      <c r="M1164" s="30" t="str">
        <f t="shared" si="121"/>
        <v/>
      </c>
      <c r="N1164" s="134"/>
      <c r="O1164" s="29"/>
      <c r="P1164" s="37" t="str">
        <f t="shared" si="122"/>
        <v/>
      </c>
      <c r="Q1164" s="38" t="str">
        <f t="shared" si="123"/>
        <v/>
      </c>
      <c r="R1164" s="37" t="str">
        <f t="shared" si="124"/>
        <v/>
      </c>
      <c r="S1164" s="37" t="str">
        <f t="shared" si="125"/>
        <v/>
      </c>
      <c r="T1164" s="38" t="str">
        <f t="shared" si="126"/>
        <v/>
      </c>
      <c r="U1164" s="37" t="str">
        <f t="shared" si="127"/>
        <v/>
      </c>
    </row>
    <row r="1165" spans="2:21" ht="17.25">
      <c r="B1165" s="156"/>
      <c r="C1165" s="156"/>
      <c r="D1165" s="157"/>
      <c r="E1165" s="155"/>
      <c r="F1165" s="151"/>
      <c r="G1165" s="152"/>
      <c r="H1165" s="153"/>
      <c r="I1165" s="154"/>
      <c r="J1165" s="154"/>
      <c r="K1165" s="30" t="str">
        <f>IF(H1165="","",IF($C$30="간이법","",FPR(H1165,I1165,J1165)))</f>
        <v/>
      </c>
      <c r="L1165" s="30" t="str">
        <f>IF(H1165="","",IF($C$30="상세법",FPV(H1165,K1165),IF(H1165="EI",4,IF(H1165="EO",5.2,IF(H1165="EQ",3.9,IF(H1165="ILF",7.5,IF(H1165="EIF",5.4)))))))</f>
        <v/>
      </c>
      <c r="M1165" s="30" t="str">
        <f t="shared" si="121"/>
        <v/>
      </c>
      <c r="N1165" s="134"/>
      <c r="O1165" s="29"/>
      <c r="P1165" s="37" t="str">
        <f t="shared" si="122"/>
        <v/>
      </c>
      <c r="Q1165" s="38" t="str">
        <f t="shared" si="123"/>
        <v/>
      </c>
      <c r="R1165" s="37" t="str">
        <f t="shared" si="124"/>
        <v/>
      </c>
      <c r="S1165" s="37" t="str">
        <f t="shared" si="125"/>
        <v/>
      </c>
      <c r="T1165" s="38" t="str">
        <f t="shared" si="126"/>
        <v/>
      </c>
      <c r="U1165" s="37" t="str">
        <f t="shared" si="127"/>
        <v/>
      </c>
    </row>
    <row r="1166" spans="2:21" ht="17.25">
      <c r="B1166" s="156"/>
      <c r="C1166" s="156"/>
      <c r="D1166" s="157"/>
      <c r="E1166" s="155"/>
      <c r="F1166" s="151"/>
      <c r="G1166" s="152"/>
      <c r="H1166" s="153"/>
      <c r="I1166" s="154"/>
      <c r="J1166" s="154"/>
      <c r="K1166" s="30" t="str">
        <f>IF(H1166="","",IF($C$30="간이법","",FPR(H1166,I1166,J1166)))</f>
        <v/>
      </c>
      <c r="L1166" s="30" t="str">
        <f>IF(H1166="","",IF($C$30="상세법",FPV(H1166,K1166),IF(H1166="EI",4,IF(H1166="EO",5.2,IF(H1166="EQ",3.9,IF(H1166="ILF",7.5,IF(H1166="EIF",5.4)))))))</f>
        <v/>
      </c>
      <c r="M1166" s="30" t="str">
        <f t="shared" si="121"/>
        <v/>
      </c>
      <c r="N1166" s="134"/>
      <c r="O1166" s="29"/>
      <c r="P1166" s="37" t="str">
        <f t="shared" si="122"/>
        <v/>
      </c>
      <c r="Q1166" s="38" t="str">
        <f t="shared" si="123"/>
        <v/>
      </c>
      <c r="R1166" s="37" t="str">
        <f t="shared" si="124"/>
        <v/>
      </c>
      <c r="S1166" s="37" t="str">
        <f t="shared" si="125"/>
        <v/>
      </c>
      <c r="T1166" s="38" t="str">
        <f t="shared" si="126"/>
        <v/>
      </c>
      <c r="U1166" s="37" t="str">
        <f t="shared" si="127"/>
        <v/>
      </c>
    </row>
    <row r="1167" spans="2:21" ht="17.25">
      <c r="B1167" s="156"/>
      <c r="C1167" s="156"/>
      <c r="D1167" s="157"/>
      <c r="E1167" s="155"/>
      <c r="F1167" s="151"/>
      <c r="G1167" s="152"/>
      <c r="H1167" s="153"/>
      <c r="I1167" s="154"/>
      <c r="J1167" s="154"/>
      <c r="K1167" s="30" t="str">
        <f>IF(H1167="","",IF($C$30="간이법","",FPR(H1167,I1167,J1167)))</f>
        <v/>
      </c>
      <c r="L1167" s="30" t="str">
        <f>IF(H1167="","",IF($C$30="상세법",FPV(H1167,K1167),IF(H1167="EI",4,IF(H1167="EO",5.2,IF(H1167="EQ",3.9,IF(H1167="ILF",7.5,IF(H1167="EIF",5.4)))))))</f>
        <v/>
      </c>
      <c r="M1167" s="30" t="str">
        <f t="shared" si="121"/>
        <v/>
      </c>
      <c r="N1167" s="134"/>
      <c r="O1167" s="29"/>
      <c r="P1167" s="37" t="str">
        <f t="shared" si="122"/>
        <v/>
      </c>
      <c r="Q1167" s="38" t="str">
        <f t="shared" si="123"/>
        <v/>
      </c>
      <c r="R1167" s="37" t="str">
        <f t="shared" si="124"/>
        <v/>
      </c>
      <c r="S1167" s="37" t="str">
        <f t="shared" si="125"/>
        <v/>
      </c>
      <c r="T1167" s="38" t="str">
        <f t="shared" si="126"/>
        <v/>
      </c>
      <c r="U1167" s="37" t="str">
        <f t="shared" si="127"/>
        <v/>
      </c>
    </row>
    <row r="1168" spans="2:21" ht="17.25">
      <c r="B1168" s="156"/>
      <c r="C1168" s="156"/>
      <c r="D1168" s="157"/>
      <c r="E1168" s="155"/>
      <c r="F1168" s="151"/>
      <c r="G1168" s="152"/>
      <c r="H1168" s="153"/>
      <c r="I1168" s="154"/>
      <c r="J1168" s="154"/>
      <c r="K1168" s="30" t="str">
        <f>IF(H1168="","",IF($C$30="간이법","",FPR(H1168,I1168,J1168)))</f>
        <v/>
      </c>
      <c r="L1168" s="30" t="str">
        <f>IF(H1168="","",IF($C$30="상세법",FPV(H1168,K1168),IF(H1168="EI",4,IF(H1168="EO",5.2,IF(H1168="EQ",3.9,IF(H1168="ILF",7.5,IF(H1168="EIF",5.4)))))))</f>
        <v/>
      </c>
      <c r="M1168" s="30" t="str">
        <f t="shared" si="121"/>
        <v/>
      </c>
      <c r="N1168" s="134"/>
      <c r="O1168" s="29"/>
      <c r="P1168" s="37" t="str">
        <f t="shared" si="122"/>
        <v/>
      </c>
      <c r="Q1168" s="38" t="str">
        <f t="shared" si="123"/>
        <v/>
      </c>
      <c r="R1168" s="37" t="str">
        <f t="shared" si="124"/>
        <v/>
      </c>
      <c r="S1168" s="37" t="str">
        <f t="shared" si="125"/>
        <v/>
      </c>
      <c r="T1168" s="38" t="str">
        <f t="shared" si="126"/>
        <v/>
      </c>
      <c r="U1168" s="37" t="str">
        <f t="shared" si="127"/>
        <v/>
      </c>
    </row>
    <row r="1169" spans="2:21" ht="17.25">
      <c r="B1169" s="156"/>
      <c r="C1169" s="156"/>
      <c r="D1169" s="157"/>
      <c r="E1169" s="155"/>
      <c r="F1169" s="151"/>
      <c r="G1169" s="152"/>
      <c r="H1169" s="153"/>
      <c r="I1169" s="154"/>
      <c r="J1169" s="154"/>
      <c r="K1169" s="30" t="str">
        <f>IF(H1169="","",IF($C$30="간이법","",FPR(H1169,I1169,J1169)))</f>
        <v/>
      </c>
      <c r="L1169" s="30" t="str">
        <f>IF(H1169="","",IF($C$30="상세법",FPV(H1169,K1169),IF(H1169="EI",4,IF(H1169="EO",5.2,IF(H1169="EQ",3.9,IF(H1169="ILF",7.5,IF(H1169="EIF",5.4)))))))</f>
        <v/>
      </c>
      <c r="M1169" s="30" t="str">
        <f t="shared" si="121"/>
        <v/>
      </c>
      <c r="N1169" s="134"/>
      <c r="O1169" s="29"/>
      <c r="P1169" s="37" t="str">
        <f t="shared" si="122"/>
        <v/>
      </c>
      <c r="Q1169" s="38" t="str">
        <f t="shared" si="123"/>
        <v/>
      </c>
      <c r="R1169" s="37" t="str">
        <f t="shared" si="124"/>
        <v/>
      </c>
      <c r="S1169" s="37" t="str">
        <f t="shared" si="125"/>
        <v/>
      </c>
      <c r="T1169" s="38" t="str">
        <f t="shared" si="126"/>
        <v/>
      </c>
      <c r="U1169" s="37" t="str">
        <f t="shared" si="127"/>
        <v/>
      </c>
    </row>
    <row r="1170" spans="2:21" ht="17.25">
      <c r="B1170" s="156"/>
      <c r="C1170" s="156"/>
      <c r="D1170" s="157"/>
      <c r="E1170" s="155"/>
      <c r="F1170" s="151"/>
      <c r="G1170" s="152"/>
      <c r="H1170" s="153"/>
      <c r="I1170" s="154"/>
      <c r="J1170" s="154"/>
      <c r="K1170" s="30" t="str">
        <f>IF(H1170="","",IF($C$30="간이법","",FPR(H1170,I1170,J1170)))</f>
        <v/>
      </c>
      <c r="L1170" s="30" t="str">
        <f>IF(H1170="","",IF($C$30="상세법",FPV(H1170,K1170),IF(H1170="EI",4,IF(H1170="EO",5.2,IF(H1170="EQ",3.9,IF(H1170="ILF",7.5,IF(H1170="EIF",5.4)))))))</f>
        <v/>
      </c>
      <c r="M1170" s="30" t="str">
        <f t="shared" si="121"/>
        <v/>
      </c>
      <c r="N1170" s="134"/>
      <c r="O1170" s="29"/>
      <c r="P1170" s="37" t="str">
        <f t="shared" si="122"/>
        <v/>
      </c>
      <c r="Q1170" s="38" t="str">
        <f t="shared" si="123"/>
        <v/>
      </c>
      <c r="R1170" s="37" t="str">
        <f t="shared" si="124"/>
        <v/>
      </c>
      <c r="S1170" s="37" t="str">
        <f t="shared" si="125"/>
        <v/>
      </c>
      <c r="T1170" s="38" t="str">
        <f t="shared" si="126"/>
        <v/>
      </c>
      <c r="U1170" s="37" t="str">
        <f t="shared" si="127"/>
        <v/>
      </c>
    </row>
    <row r="1171" spans="2:21" ht="17.25">
      <c r="B1171" s="156"/>
      <c r="C1171" s="156"/>
      <c r="D1171" s="157"/>
      <c r="E1171" s="155"/>
      <c r="F1171" s="151"/>
      <c r="G1171" s="152"/>
      <c r="H1171" s="153"/>
      <c r="I1171" s="154"/>
      <c r="J1171" s="154"/>
      <c r="K1171" s="30" t="str">
        <f>IF(H1171="","",IF($C$30="간이법","",FPR(H1171,I1171,J1171)))</f>
        <v/>
      </c>
      <c r="L1171" s="30" t="str">
        <f>IF(H1171="","",IF($C$30="상세법",FPV(H1171,K1171),IF(H1171="EI",4,IF(H1171="EO",5.2,IF(H1171="EQ",3.9,IF(H1171="ILF",7.5,IF(H1171="EIF",5.4)))))))</f>
        <v/>
      </c>
      <c r="M1171" s="30" t="str">
        <f t="shared" si="121"/>
        <v/>
      </c>
      <c r="N1171" s="134"/>
      <c r="O1171" s="29"/>
      <c r="P1171" s="37" t="str">
        <f t="shared" si="122"/>
        <v/>
      </c>
      <c r="Q1171" s="38" t="str">
        <f t="shared" si="123"/>
        <v/>
      </c>
      <c r="R1171" s="37" t="str">
        <f t="shared" si="124"/>
        <v/>
      </c>
      <c r="S1171" s="37" t="str">
        <f t="shared" si="125"/>
        <v/>
      </c>
      <c r="T1171" s="38" t="str">
        <f t="shared" si="126"/>
        <v/>
      </c>
      <c r="U1171" s="37" t="str">
        <f t="shared" si="127"/>
        <v/>
      </c>
    </row>
    <row r="1172" spans="2:21" ht="17.25">
      <c r="B1172" s="156"/>
      <c r="C1172" s="156"/>
      <c r="D1172" s="157"/>
      <c r="E1172" s="155"/>
      <c r="F1172" s="151"/>
      <c r="G1172" s="152"/>
      <c r="H1172" s="153"/>
      <c r="I1172" s="154"/>
      <c r="J1172" s="154"/>
      <c r="K1172" s="30" t="str">
        <f>IF(H1172="","",IF($C$30="간이법","",FPR(H1172,I1172,J1172)))</f>
        <v/>
      </c>
      <c r="L1172" s="30" t="str">
        <f>IF(H1172="","",IF($C$30="상세법",FPV(H1172,K1172),IF(H1172="EI",4,IF(H1172="EO",5.2,IF(H1172="EQ",3.9,IF(H1172="ILF",7.5,IF(H1172="EIF",5.4)))))))</f>
        <v/>
      </c>
      <c r="M1172" s="30" t="str">
        <f t="shared" si="121"/>
        <v/>
      </c>
      <c r="N1172" s="134"/>
      <c r="O1172" s="29"/>
      <c r="P1172" s="37" t="str">
        <f t="shared" si="122"/>
        <v/>
      </c>
      <c r="Q1172" s="38" t="str">
        <f t="shared" si="123"/>
        <v/>
      </c>
      <c r="R1172" s="37" t="str">
        <f t="shared" si="124"/>
        <v/>
      </c>
      <c r="S1172" s="37" t="str">
        <f t="shared" si="125"/>
        <v/>
      </c>
      <c r="T1172" s="38" t="str">
        <f t="shared" si="126"/>
        <v/>
      </c>
      <c r="U1172" s="37" t="str">
        <f t="shared" si="127"/>
        <v/>
      </c>
    </row>
    <row r="1173" spans="2:21" ht="17.25">
      <c r="B1173" s="156"/>
      <c r="C1173" s="156"/>
      <c r="D1173" s="157"/>
      <c r="E1173" s="155"/>
      <c r="F1173" s="151"/>
      <c r="G1173" s="152"/>
      <c r="H1173" s="153"/>
      <c r="I1173" s="154"/>
      <c r="J1173" s="154"/>
      <c r="K1173" s="30" t="str">
        <f>IF(H1173="","",IF($C$30="간이법","",FPR(H1173,I1173,J1173)))</f>
        <v/>
      </c>
      <c r="L1173" s="30" t="str">
        <f>IF(H1173="","",IF($C$30="상세법",FPV(H1173,K1173),IF(H1173="EI",4,IF(H1173="EO",5.2,IF(H1173="EQ",3.9,IF(H1173="ILF",7.5,IF(H1173="EIF",5.4)))))))</f>
        <v/>
      </c>
      <c r="M1173" s="30" t="str">
        <f t="shared" si="121"/>
        <v/>
      </c>
      <c r="N1173" s="134"/>
      <c r="O1173" s="29"/>
      <c r="P1173" s="37" t="str">
        <f t="shared" si="122"/>
        <v/>
      </c>
      <c r="Q1173" s="38" t="str">
        <f t="shared" si="123"/>
        <v/>
      </c>
      <c r="R1173" s="37" t="str">
        <f t="shared" si="124"/>
        <v/>
      </c>
      <c r="S1173" s="37" t="str">
        <f t="shared" si="125"/>
        <v/>
      </c>
      <c r="T1173" s="38" t="str">
        <f t="shared" si="126"/>
        <v/>
      </c>
      <c r="U1173" s="37" t="str">
        <f t="shared" si="127"/>
        <v/>
      </c>
    </row>
    <row r="1174" spans="2:21" ht="17.25">
      <c r="B1174" s="156"/>
      <c r="C1174" s="156"/>
      <c r="D1174" s="157"/>
      <c r="E1174" s="155"/>
      <c r="F1174" s="151"/>
      <c r="G1174" s="152"/>
      <c r="H1174" s="153"/>
      <c r="I1174" s="154"/>
      <c r="J1174" s="154"/>
      <c r="K1174" s="30" t="str">
        <f>IF(H1174="","",IF($C$30="간이법","",FPR(H1174,I1174,J1174)))</f>
        <v/>
      </c>
      <c r="L1174" s="30" t="str">
        <f>IF(H1174="","",IF($C$30="상세법",FPV(H1174,K1174),IF(H1174="EI",4,IF(H1174="EO",5.2,IF(H1174="EQ",3.9,IF(H1174="ILF",7.5,IF(H1174="EIF",5.4)))))))</f>
        <v/>
      </c>
      <c r="M1174" s="30" t="str">
        <f t="shared" si="121"/>
        <v/>
      </c>
      <c r="N1174" s="134"/>
      <c r="O1174" s="29"/>
      <c r="P1174" s="37" t="str">
        <f t="shared" si="122"/>
        <v/>
      </c>
      <c r="Q1174" s="38" t="str">
        <f t="shared" si="123"/>
        <v/>
      </c>
      <c r="R1174" s="37" t="str">
        <f t="shared" si="124"/>
        <v/>
      </c>
      <c r="S1174" s="37" t="str">
        <f t="shared" si="125"/>
        <v/>
      </c>
      <c r="T1174" s="38" t="str">
        <f t="shared" si="126"/>
        <v/>
      </c>
      <c r="U1174" s="37" t="str">
        <f t="shared" si="127"/>
        <v/>
      </c>
    </row>
    <row r="1175" spans="2:21" ht="17.25">
      <c r="B1175" s="156"/>
      <c r="C1175" s="156"/>
      <c r="D1175" s="157"/>
      <c r="E1175" s="155"/>
      <c r="F1175" s="151"/>
      <c r="G1175" s="152"/>
      <c r="H1175" s="153"/>
      <c r="I1175" s="154"/>
      <c r="J1175" s="154"/>
      <c r="K1175" s="30" t="str">
        <f>IF(H1175="","",IF($C$30="간이법","",FPR(H1175,I1175,J1175)))</f>
        <v/>
      </c>
      <c r="L1175" s="30" t="str">
        <f>IF(H1175="","",IF($C$30="상세법",FPV(H1175,K1175),IF(H1175="EI",4,IF(H1175="EO",5.2,IF(H1175="EQ",3.9,IF(H1175="ILF",7.5,IF(H1175="EIF",5.4)))))))</f>
        <v/>
      </c>
      <c r="M1175" s="30" t="str">
        <f t="shared" si="121"/>
        <v/>
      </c>
      <c r="N1175" s="134"/>
      <c r="O1175" s="29"/>
      <c r="P1175" s="37" t="str">
        <f t="shared" si="122"/>
        <v/>
      </c>
      <c r="Q1175" s="38" t="str">
        <f t="shared" si="123"/>
        <v/>
      </c>
      <c r="R1175" s="37" t="str">
        <f t="shared" si="124"/>
        <v/>
      </c>
      <c r="S1175" s="37" t="str">
        <f t="shared" si="125"/>
        <v/>
      </c>
      <c r="T1175" s="38" t="str">
        <f t="shared" si="126"/>
        <v/>
      </c>
      <c r="U1175" s="37" t="str">
        <f t="shared" si="127"/>
        <v/>
      </c>
    </row>
    <row r="1176" spans="2:21" ht="17.25">
      <c r="B1176" s="156"/>
      <c r="C1176" s="156"/>
      <c r="D1176" s="157"/>
      <c r="E1176" s="155"/>
      <c r="F1176" s="151"/>
      <c r="G1176" s="152"/>
      <c r="H1176" s="153"/>
      <c r="I1176" s="154"/>
      <c r="J1176" s="154"/>
      <c r="K1176" s="30" t="str">
        <f>IF(H1176="","",IF($C$30="간이법","",FPR(H1176,I1176,J1176)))</f>
        <v/>
      </c>
      <c r="L1176" s="30" t="str">
        <f>IF(H1176="","",IF($C$30="상세법",FPV(H1176,K1176),IF(H1176="EI",4,IF(H1176="EO",5.2,IF(H1176="EQ",3.9,IF(H1176="ILF",7.5,IF(H1176="EIF",5.4)))))))</f>
        <v/>
      </c>
      <c r="M1176" s="30" t="str">
        <f t="shared" si="121"/>
        <v/>
      </c>
      <c r="N1176" s="134"/>
      <c r="O1176" s="29"/>
      <c r="P1176" s="37" t="str">
        <f t="shared" si="122"/>
        <v/>
      </c>
      <c r="Q1176" s="38" t="str">
        <f t="shared" si="123"/>
        <v/>
      </c>
      <c r="R1176" s="37" t="str">
        <f t="shared" si="124"/>
        <v/>
      </c>
      <c r="S1176" s="37" t="str">
        <f t="shared" si="125"/>
        <v/>
      </c>
      <c r="T1176" s="38" t="str">
        <f t="shared" si="126"/>
        <v/>
      </c>
      <c r="U1176" s="37" t="str">
        <f t="shared" si="127"/>
        <v/>
      </c>
    </row>
    <row r="1177" spans="2:21" ht="17.25">
      <c r="B1177" s="156"/>
      <c r="C1177" s="156"/>
      <c r="D1177" s="157"/>
      <c r="E1177" s="155"/>
      <c r="F1177" s="151"/>
      <c r="G1177" s="152"/>
      <c r="H1177" s="153"/>
      <c r="I1177" s="154"/>
      <c r="J1177" s="154"/>
      <c r="K1177" s="30" t="str">
        <f>IF(H1177="","",IF($C$30="간이법","",FPR(H1177,I1177,J1177)))</f>
        <v/>
      </c>
      <c r="L1177" s="30" t="str">
        <f>IF(H1177="","",IF($C$30="상세법",FPV(H1177,K1177),IF(H1177="EI",4,IF(H1177="EO",5.2,IF(H1177="EQ",3.9,IF(H1177="ILF",7.5,IF(H1177="EIF",5.4)))))))</f>
        <v/>
      </c>
      <c r="M1177" s="30" t="str">
        <f t="shared" si="121"/>
        <v/>
      </c>
      <c r="N1177" s="134"/>
      <c r="O1177" s="29"/>
      <c r="P1177" s="37" t="str">
        <f t="shared" si="122"/>
        <v/>
      </c>
      <c r="Q1177" s="38" t="str">
        <f t="shared" si="123"/>
        <v/>
      </c>
      <c r="R1177" s="37" t="str">
        <f t="shared" si="124"/>
        <v/>
      </c>
      <c r="S1177" s="37" t="str">
        <f t="shared" si="125"/>
        <v/>
      </c>
      <c r="T1177" s="38" t="str">
        <f t="shared" si="126"/>
        <v/>
      </c>
      <c r="U1177" s="37" t="str">
        <f t="shared" si="127"/>
        <v/>
      </c>
    </row>
    <row r="1178" spans="2:21" ht="17.25">
      <c r="B1178" s="156"/>
      <c r="C1178" s="156"/>
      <c r="D1178" s="157"/>
      <c r="E1178" s="155"/>
      <c r="F1178" s="151"/>
      <c r="G1178" s="152"/>
      <c r="H1178" s="153"/>
      <c r="I1178" s="154"/>
      <c r="J1178" s="154"/>
      <c r="K1178" s="30" t="str">
        <f>IF(H1178="","",IF($C$30="간이법","",FPR(H1178,I1178,J1178)))</f>
        <v/>
      </c>
      <c r="L1178" s="30" t="str">
        <f>IF(H1178="","",IF($C$30="상세법",FPV(H1178,K1178),IF(H1178="EI",4,IF(H1178="EO",5.2,IF(H1178="EQ",3.9,IF(H1178="ILF",7.5,IF(H1178="EIF",5.4)))))))</f>
        <v/>
      </c>
      <c r="M1178" s="30" t="str">
        <f t="shared" si="121"/>
        <v/>
      </c>
      <c r="N1178" s="134"/>
      <c r="O1178" s="29"/>
      <c r="P1178" s="37" t="str">
        <f t="shared" si="122"/>
        <v/>
      </c>
      <c r="Q1178" s="38" t="str">
        <f t="shared" si="123"/>
        <v/>
      </c>
      <c r="R1178" s="37" t="str">
        <f t="shared" si="124"/>
        <v/>
      </c>
      <c r="S1178" s="37" t="str">
        <f t="shared" si="125"/>
        <v/>
      </c>
      <c r="T1178" s="38" t="str">
        <f t="shared" si="126"/>
        <v/>
      </c>
      <c r="U1178" s="37" t="str">
        <f t="shared" si="127"/>
        <v/>
      </c>
    </row>
    <row r="1179" spans="2:21" ht="17.25">
      <c r="B1179" s="156"/>
      <c r="C1179" s="156"/>
      <c r="D1179" s="157"/>
      <c r="E1179" s="155"/>
      <c r="F1179" s="151"/>
      <c r="G1179" s="152"/>
      <c r="H1179" s="153"/>
      <c r="I1179" s="154"/>
      <c r="J1179" s="154"/>
      <c r="K1179" s="30" t="str">
        <f>IF(H1179="","",IF($C$30="간이법","",FPR(H1179,I1179,J1179)))</f>
        <v/>
      </c>
      <c r="L1179" s="30" t="str">
        <f>IF(H1179="","",IF($C$30="상세법",FPV(H1179,K1179),IF(H1179="EI",4,IF(H1179="EO",5.2,IF(H1179="EQ",3.9,IF(H1179="ILF",7.5,IF(H1179="EIF",5.4)))))))</f>
        <v/>
      </c>
      <c r="M1179" s="30" t="str">
        <f t="shared" si="121"/>
        <v/>
      </c>
      <c r="N1179" s="134"/>
      <c r="O1179" s="29"/>
      <c r="P1179" s="37" t="str">
        <f t="shared" si="122"/>
        <v/>
      </c>
      <c r="Q1179" s="38" t="str">
        <f t="shared" si="123"/>
        <v/>
      </c>
      <c r="R1179" s="37" t="str">
        <f t="shared" si="124"/>
        <v/>
      </c>
      <c r="S1179" s="37" t="str">
        <f t="shared" si="125"/>
        <v/>
      </c>
      <c r="T1179" s="38" t="str">
        <f t="shared" si="126"/>
        <v/>
      </c>
      <c r="U1179" s="37" t="str">
        <f t="shared" si="127"/>
        <v/>
      </c>
    </row>
    <row r="1180" spans="2:21" ht="17.25">
      <c r="B1180" s="156"/>
      <c r="C1180" s="156"/>
      <c r="D1180" s="157"/>
      <c r="E1180" s="155"/>
      <c r="F1180" s="151"/>
      <c r="G1180" s="152"/>
      <c r="H1180" s="153"/>
      <c r="I1180" s="154"/>
      <c r="J1180" s="154"/>
      <c r="K1180" s="30" t="str">
        <f>IF(H1180="","",IF($C$30="간이법","",FPR(H1180,I1180,J1180)))</f>
        <v/>
      </c>
      <c r="L1180" s="30" t="str">
        <f>IF(H1180="","",IF($C$30="상세법",FPV(H1180,K1180),IF(H1180="EI",4,IF(H1180="EO",5.2,IF(H1180="EQ",3.9,IF(H1180="ILF",7.5,IF(H1180="EIF",5.4)))))))</f>
        <v/>
      </c>
      <c r="M1180" s="30" t="str">
        <f t="shared" si="121"/>
        <v/>
      </c>
      <c r="N1180" s="134"/>
      <c r="O1180" s="29"/>
      <c r="P1180" s="37" t="str">
        <f t="shared" si="122"/>
        <v/>
      </c>
      <c r="Q1180" s="38" t="str">
        <f t="shared" si="123"/>
        <v/>
      </c>
      <c r="R1180" s="37" t="str">
        <f t="shared" si="124"/>
        <v/>
      </c>
      <c r="S1180" s="37" t="str">
        <f t="shared" si="125"/>
        <v/>
      </c>
      <c r="T1180" s="38" t="str">
        <f t="shared" si="126"/>
        <v/>
      </c>
      <c r="U1180" s="37" t="str">
        <f t="shared" si="127"/>
        <v/>
      </c>
    </row>
    <row r="1181" spans="2:21" ht="17.25">
      <c r="B1181" s="156"/>
      <c r="C1181" s="156"/>
      <c r="D1181" s="157"/>
      <c r="E1181" s="155"/>
      <c r="F1181" s="151"/>
      <c r="G1181" s="152"/>
      <c r="H1181" s="153"/>
      <c r="I1181" s="154"/>
      <c r="J1181" s="154"/>
      <c r="K1181" s="30" t="str">
        <f>IF(H1181="","",IF($C$30="간이법","",FPR(H1181,I1181,J1181)))</f>
        <v/>
      </c>
      <c r="L1181" s="30" t="str">
        <f>IF(H1181="","",IF($C$30="상세법",FPV(H1181,K1181),IF(H1181="EI",4,IF(H1181="EO",5.2,IF(H1181="EQ",3.9,IF(H1181="ILF",7.5,IF(H1181="EIF",5.4)))))))</f>
        <v/>
      </c>
      <c r="M1181" s="30" t="str">
        <f t="shared" si="121"/>
        <v/>
      </c>
      <c r="N1181" s="134"/>
      <c r="O1181" s="29"/>
      <c r="P1181" s="37" t="str">
        <f t="shared" si="122"/>
        <v/>
      </c>
      <c r="Q1181" s="38" t="str">
        <f t="shared" si="123"/>
        <v/>
      </c>
      <c r="R1181" s="37" t="str">
        <f t="shared" si="124"/>
        <v/>
      </c>
      <c r="S1181" s="37" t="str">
        <f t="shared" si="125"/>
        <v/>
      </c>
      <c r="T1181" s="38" t="str">
        <f t="shared" si="126"/>
        <v/>
      </c>
      <c r="U1181" s="37" t="str">
        <f t="shared" si="127"/>
        <v/>
      </c>
    </row>
    <row r="1182" spans="2:21" ht="17.25">
      <c r="B1182" s="156"/>
      <c r="C1182" s="156"/>
      <c r="D1182" s="157"/>
      <c r="E1182" s="155"/>
      <c r="F1182" s="151"/>
      <c r="G1182" s="152"/>
      <c r="H1182" s="153"/>
      <c r="I1182" s="154"/>
      <c r="J1182" s="154"/>
      <c r="K1182" s="30" t="str">
        <f>IF(H1182="","",IF($C$30="간이법","",FPR(H1182,I1182,J1182)))</f>
        <v/>
      </c>
      <c r="L1182" s="30" t="str">
        <f>IF(H1182="","",IF($C$30="상세법",FPV(H1182,K1182),IF(H1182="EI",4,IF(H1182="EO",5.2,IF(H1182="EQ",3.9,IF(H1182="ILF",7.5,IF(H1182="EIF",5.4)))))))</f>
        <v/>
      </c>
      <c r="M1182" s="30" t="str">
        <f t="shared" si="121"/>
        <v/>
      </c>
      <c r="N1182" s="134"/>
      <c r="O1182" s="29"/>
      <c r="P1182" s="37" t="str">
        <f t="shared" si="122"/>
        <v/>
      </c>
      <c r="Q1182" s="38" t="str">
        <f t="shared" si="123"/>
        <v/>
      </c>
      <c r="R1182" s="37" t="str">
        <f t="shared" si="124"/>
        <v/>
      </c>
      <c r="S1182" s="37" t="str">
        <f t="shared" si="125"/>
        <v/>
      </c>
      <c r="T1182" s="38" t="str">
        <f t="shared" si="126"/>
        <v/>
      </c>
      <c r="U1182" s="37" t="str">
        <f t="shared" si="127"/>
        <v/>
      </c>
    </row>
    <row r="1183" spans="2:21" ht="17.25">
      <c r="B1183" s="156"/>
      <c r="C1183" s="156"/>
      <c r="D1183" s="157"/>
      <c r="E1183" s="155"/>
      <c r="F1183" s="151"/>
      <c r="G1183" s="152"/>
      <c r="H1183" s="153"/>
      <c r="I1183" s="154"/>
      <c r="J1183" s="154"/>
      <c r="K1183" s="30" t="str">
        <f>IF(H1183="","",IF($C$30="간이법","",FPR(H1183,I1183,J1183)))</f>
        <v/>
      </c>
      <c r="L1183" s="30" t="str">
        <f>IF(H1183="","",IF($C$30="상세법",FPV(H1183,K1183),IF(H1183="EI",4,IF(H1183="EO",5.2,IF(H1183="EQ",3.9,IF(H1183="ILF",7.5,IF(H1183="EIF",5.4)))))))</f>
        <v/>
      </c>
      <c r="M1183" s="30" t="str">
        <f t="shared" si="121"/>
        <v/>
      </c>
      <c r="N1183" s="134"/>
      <c r="O1183" s="29"/>
      <c r="P1183" s="37" t="str">
        <f t="shared" si="122"/>
        <v/>
      </c>
      <c r="Q1183" s="38" t="str">
        <f t="shared" si="123"/>
        <v/>
      </c>
      <c r="R1183" s="37" t="str">
        <f t="shared" si="124"/>
        <v/>
      </c>
      <c r="S1183" s="37" t="str">
        <f t="shared" si="125"/>
        <v/>
      </c>
      <c r="T1183" s="38" t="str">
        <f t="shared" si="126"/>
        <v/>
      </c>
      <c r="U1183" s="37" t="str">
        <f t="shared" si="127"/>
        <v/>
      </c>
    </row>
    <row r="1184" spans="2:21" ht="17.25">
      <c r="B1184" s="156"/>
      <c r="C1184" s="156"/>
      <c r="D1184" s="157"/>
      <c r="E1184" s="155"/>
      <c r="F1184" s="151"/>
      <c r="G1184" s="152"/>
      <c r="H1184" s="153"/>
      <c r="I1184" s="154"/>
      <c r="J1184" s="154"/>
      <c r="K1184" s="30" t="str">
        <f>IF(H1184="","",IF($C$30="간이법","",FPR(H1184,I1184,J1184)))</f>
        <v/>
      </c>
      <c r="L1184" s="30" t="str">
        <f>IF(H1184="","",IF($C$30="상세법",FPV(H1184,K1184),IF(H1184="EI",4,IF(H1184="EO",5.2,IF(H1184="EQ",3.9,IF(H1184="ILF",7.5,IF(H1184="EIF",5.4)))))))</f>
        <v/>
      </c>
      <c r="M1184" s="30" t="str">
        <f t="shared" si="121"/>
        <v/>
      </c>
      <c r="N1184" s="134"/>
      <c r="O1184" s="29"/>
      <c r="P1184" s="37" t="str">
        <f t="shared" si="122"/>
        <v/>
      </c>
      <c r="Q1184" s="38" t="str">
        <f t="shared" si="123"/>
        <v/>
      </c>
      <c r="R1184" s="37" t="str">
        <f t="shared" si="124"/>
        <v/>
      </c>
      <c r="S1184" s="37" t="str">
        <f t="shared" si="125"/>
        <v/>
      </c>
      <c r="T1184" s="38" t="str">
        <f t="shared" si="126"/>
        <v/>
      </c>
      <c r="U1184" s="37" t="str">
        <f t="shared" si="127"/>
        <v/>
      </c>
    </row>
    <row r="1185" spans="2:21" ht="17.25">
      <c r="B1185" s="156"/>
      <c r="C1185" s="156"/>
      <c r="D1185" s="157"/>
      <c r="E1185" s="155"/>
      <c r="F1185" s="151"/>
      <c r="G1185" s="152"/>
      <c r="H1185" s="153"/>
      <c r="I1185" s="154"/>
      <c r="J1185" s="154"/>
      <c r="K1185" s="30" t="str">
        <f>IF(H1185="","",IF($C$30="간이법","",FPR(H1185,I1185,J1185)))</f>
        <v/>
      </c>
      <c r="L1185" s="30" t="str">
        <f>IF(H1185="","",IF($C$30="상세법",FPV(H1185,K1185),IF(H1185="EI",4,IF(H1185="EO",5.2,IF(H1185="EQ",3.9,IF(H1185="ILF",7.5,IF(H1185="EIF",5.4)))))))</f>
        <v/>
      </c>
      <c r="M1185" s="30" t="str">
        <f t="shared" si="121"/>
        <v/>
      </c>
      <c r="N1185" s="134"/>
      <c r="O1185" s="29"/>
      <c r="P1185" s="37" t="str">
        <f t="shared" si="122"/>
        <v/>
      </c>
      <c r="Q1185" s="38" t="str">
        <f t="shared" si="123"/>
        <v/>
      </c>
      <c r="R1185" s="37" t="str">
        <f t="shared" si="124"/>
        <v/>
      </c>
      <c r="S1185" s="37" t="str">
        <f t="shared" si="125"/>
        <v/>
      </c>
      <c r="T1185" s="38" t="str">
        <f t="shared" si="126"/>
        <v/>
      </c>
      <c r="U1185" s="37" t="str">
        <f t="shared" si="127"/>
        <v/>
      </c>
    </row>
    <row r="1186" spans="2:21" ht="17.25">
      <c r="B1186" s="156"/>
      <c r="C1186" s="156"/>
      <c r="D1186" s="157"/>
      <c r="E1186" s="155"/>
      <c r="F1186" s="151"/>
      <c r="G1186" s="152"/>
      <c r="H1186" s="153"/>
      <c r="I1186" s="154"/>
      <c r="J1186" s="154"/>
      <c r="K1186" s="30" t="str">
        <f>IF(H1186="","",IF($C$30="간이법","",FPR(H1186,I1186,J1186)))</f>
        <v/>
      </c>
      <c r="L1186" s="30" t="str">
        <f>IF(H1186="","",IF($C$30="상세법",FPV(H1186,K1186),IF(H1186="EI",4,IF(H1186="EO",5.2,IF(H1186="EQ",3.9,IF(H1186="ILF",7.5,IF(H1186="EIF",5.4)))))))</f>
        <v/>
      </c>
      <c r="M1186" s="30" t="str">
        <f t="shared" si="121"/>
        <v/>
      </c>
      <c r="N1186" s="134"/>
      <c r="O1186" s="29"/>
      <c r="P1186" s="37" t="str">
        <f t="shared" si="122"/>
        <v/>
      </c>
      <c r="Q1186" s="38" t="str">
        <f t="shared" si="123"/>
        <v/>
      </c>
      <c r="R1186" s="37" t="str">
        <f t="shared" si="124"/>
        <v/>
      </c>
      <c r="S1186" s="37" t="str">
        <f t="shared" si="125"/>
        <v/>
      </c>
      <c r="T1186" s="38" t="str">
        <f t="shared" si="126"/>
        <v/>
      </c>
      <c r="U1186" s="37" t="str">
        <f t="shared" si="127"/>
        <v/>
      </c>
    </row>
    <row r="1187" spans="2:21" ht="17.25">
      <c r="B1187" s="156"/>
      <c r="C1187" s="156"/>
      <c r="D1187" s="157"/>
      <c r="E1187" s="155"/>
      <c r="F1187" s="151"/>
      <c r="G1187" s="152"/>
      <c r="H1187" s="153"/>
      <c r="I1187" s="154"/>
      <c r="J1187" s="154"/>
      <c r="K1187" s="30" t="str">
        <f>IF(H1187="","",IF($C$30="간이법","",FPR(H1187,I1187,J1187)))</f>
        <v/>
      </c>
      <c r="L1187" s="30" t="str">
        <f>IF(H1187="","",IF($C$30="상세법",FPV(H1187,K1187),IF(H1187="EI",4,IF(H1187="EO",5.2,IF(H1187="EQ",3.9,IF(H1187="ILF",7.5,IF(H1187="EIF",5.4)))))))</f>
        <v/>
      </c>
      <c r="M1187" s="30" t="str">
        <f t="shared" si="121"/>
        <v/>
      </c>
      <c r="N1187" s="134"/>
      <c r="O1187" s="29"/>
      <c r="P1187" s="37" t="str">
        <f t="shared" si="122"/>
        <v/>
      </c>
      <c r="Q1187" s="38" t="str">
        <f t="shared" si="123"/>
        <v/>
      </c>
      <c r="R1187" s="37" t="str">
        <f t="shared" si="124"/>
        <v/>
      </c>
      <c r="S1187" s="37" t="str">
        <f t="shared" si="125"/>
        <v/>
      </c>
      <c r="T1187" s="38" t="str">
        <f t="shared" si="126"/>
        <v/>
      </c>
      <c r="U1187" s="37" t="str">
        <f t="shared" si="127"/>
        <v/>
      </c>
    </row>
    <row r="1188" spans="2:21" ht="17.25">
      <c r="B1188" s="156"/>
      <c r="C1188" s="156"/>
      <c r="D1188" s="157"/>
      <c r="E1188" s="155"/>
      <c r="F1188" s="151"/>
      <c r="G1188" s="152"/>
      <c r="H1188" s="153"/>
      <c r="I1188" s="154"/>
      <c r="J1188" s="154"/>
      <c r="K1188" s="30" t="str">
        <f>IF(H1188="","",IF($C$30="간이법","",FPR(H1188,I1188,J1188)))</f>
        <v/>
      </c>
      <c r="L1188" s="30" t="str">
        <f>IF(H1188="","",IF($C$30="상세법",FPV(H1188,K1188),IF(H1188="EI",4,IF(H1188="EO",5.2,IF(H1188="EQ",3.9,IF(H1188="ILF",7.5,IF(H1188="EIF",5.4)))))))</f>
        <v/>
      </c>
      <c r="M1188" s="30" t="str">
        <f t="shared" si="121"/>
        <v/>
      </c>
      <c r="N1188" s="134"/>
      <c r="O1188" s="29"/>
      <c r="P1188" s="37" t="str">
        <f t="shared" si="122"/>
        <v/>
      </c>
      <c r="Q1188" s="38" t="str">
        <f t="shared" si="123"/>
        <v/>
      </c>
      <c r="R1188" s="37" t="str">
        <f t="shared" si="124"/>
        <v/>
      </c>
      <c r="S1188" s="37" t="str">
        <f t="shared" si="125"/>
        <v/>
      </c>
      <c r="T1188" s="38" t="str">
        <f t="shared" si="126"/>
        <v/>
      </c>
      <c r="U1188" s="37" t="str">
        <f t="shared" si="127"/>
        <v/>
      </c>
    </row>
    <row r="1189" spans="2:21" ht="17.25">
      <c r="B1189" s="156"/>
      <c r="C1189" s="156"/>
      <c r="D1189" s="157"/>
      <c r="E1189" s="155"/>
      <c r="F1189" s="151"/>
      <c r="G1189" s="152"/>
      <c r="H1189" s="153"/>
      <c r="I1189" s="154"/>
      <c r="J1189" s="154"/>
      <c r="K1189" s="30" t="str">
        <f>IF(H1189="","",IF($C$30="간이법","",FPR(H1189,I1189,J1189)))</f>
        <v/>
      </c>
      <c r="L1189" s="30" t="str">
        <f>IF(H1189="","",IF($C$30="상세법",FPV(H1189,K1189),IF(H1189="EI",4,IF(H1189="EO",5.2,IF(H1189="EQ",3.9,IF(H1189="ILF",7.5,IF(H1189="EIF",5.4)))))))</f>
        <v/>
      </c>
      <c r="M1189" s="30" t="str">
        <f t="shared" si="121"/>
        <v/>
      </c>
      <c r="N1189" s="134"/>
      <c r="O1189" s="29"/>
      <c r="P1189" s="37" t="str">
        <f t="shared" si="122"/>
        <v/>
      </c>
      <c r="Q1189" s="38" t="str">
        <f t="shared" si="123"/>
        <v/>
      </c>
      <c r="R1189" s="37" t="str">
        <f t="shared" si="124"/>
        <v/>
      </c>
      <c r="S1189" s="37" t="str">
        <f t="shared" si="125"/>
        <v/>
      </c>
      <c r="T1189" s="38" t="str">
        <f t="shared" si="126"/>
        <v/>
      </c>
      <c r="U1189" s="37" t="str">
        <f t="shared" si="127"/>
        <v/>
      </c>
    </row>
    <row r="1190" spans="2:21" ht="17.25">
      <c r="B1190" s="156"/>
      <c r="C1190" s="156"/>
      <c r="D1190" s="157"/>
      <c r="E1190" s="155"/>
      <c r="F1190" s="151"/>
      <c r="G1190" s="152"/>
      <c r="H1190" s="153"/>
      <c r="I1190" s="154"/>
      <c r="J1190" s="154"/>
      <c r="K1190" s="30" t="str">
        <f>IF(H1190="","",IF($C$30="간이법","",FPR(H1190,I1190,J1190)))</f>
        <v/>
      </c>
      <c r="L1190" s="30" t="str">
        <f>IF(H1190="","",IF($C$30="상세법",FPV(H1190,K1190),IF(H1190="EI",4,IF(H1190="EO",5.2,IF(H1190="EQ",3.9,IF(H1190="ILF",7.5,IF(H1190="EIF",5.4)))))))</f>
        <v/>
      </c>
      <c r="M1190" s="30" t="str">
        <f t="shared" si="121"/>
        <v/>
      </c>
      <c r="N1190" s="134"/>
      <c r="O1190" s="29"/>
      <c r="P1190" s="37" t="str">
        <f t="shared" si="122"/>
        <v/>
      </c>
      <c r="Q1190" s="38" t="str">
        <f t="shared" si="123"/>
        <v/>
      </c>
      <c r="R1190" s="37" t="str">
        <f t="shared" si="124"/>
        <v/>
      </c>
      <c r="S1190" s="37" t="str">
        <f t="shared" si="125"/>
        <v/>
      </c>
      <c r="T1190" s="38" t="str">
        <f t="shared" si="126"/>
        <v/>
      </c>
      <c r="U1190" s="37" t="str">
        <f t="shared" si="127"/>
        <v/>
      </c>
    </row>
    <row r="1191" spans="2:21" ht="17.25">
      <c r="B1191" s="156"/>
      <c r="C1191" s="156"/>
      <c r="D1191" s="157"/>
      <c r="E1191" s="155"/>
      <c r="F1191" s="151"/>
      <c r="G1191" s="152"/>
      <c r="H1191" s="153"/>
      <c r="I1191" s="154"/>
      <c r="J1191" s="154"/>
      <c r="K1191" s="30" t="str">
        <f>IF(H1191="","",IF($C$30="간이법","",FPR(H1191,I1191,J1191)))</f>
        <v/>
      </c>
      <c r="L1191" s="30" t="str">
        <f>IF(H1191="","",IF($C$30="상세법",FPV(H1191,K1191),IF(H1191="EI",4,IF(H1191="EO",5.2,IF(H1191="EQ",3.9,IF(H1191="ILF",7.5,IF(H1191="EIF",5.4)))))))</f>
        <v/>
      </c>
      <c r="M1191" s="30" t="str">
        <f t="shared" si="121"/>
        <v/>
      </c>
      <c r="N1191" s="134"/>
      <c r="O1191" s="29"/>
      <c r="P1191" s="37" t="str">
        <f t="shared" si="122"/>
        <v/>
      </c>
      <c r="Q1191" s="38" t="str">
        <f t="shared" si="123"/>
        <v/>
      </c>
      <c r="R1191" s="37" t="str">
        <f t="shared" si="124"/>
        <v/>
      </c>
      <c r="S1191" s="37" t="str">
        <f t="shared" si="125"/>
        <v/>
      </c>
      <c r="T1191" s="38" t="str">
        <f t="shared" si="126"/>
        <v/>
      </c>
      <c r="U1191" s="37" t="str">
        <f t="shared" si="127"/>
        <v/>
      </c>
    </row>
    <row r="1192" spans="2:21" ht="17.25">
      <c r="B1192" s="156"/>
      <c r="C1192" s="156"/>
      <c r="D1192" s="157"/>
      <c r="E1192" s="155"/>
      <c r="F1192" s="151"/>
      <c r="G1192" s="152"/>
      <c r="H1192" s="153"/>
      <c r="I1192" s="154"/>
      <c r="J1192" s="154"/>
      <c r="K1192" s="30" t="str">
        <f>IF(H1192="","",IF($C$30="간이법","",FPR(H1192,I1192,J1192)))</f>
        <v/>
      </c>
      <c r="L1192" s="30" t="str">
        <f>IF(H1192="","",IF($C$30="상세법",FPV(H1192,K1192),IF(H1192="EI",4,IF(H1192="EO",5.2,IF(H1192="EQ",3.9,IF(H1192="ILF",7.5,IF(H1192="EIF",5.4)))))))</f>
        <v/>
      </c>
      <c r="M1192" s="30" t="str">
        <f t="shared" si="121"/>
        <v/>
      </c>
      <c r="N1192" s="134"/>
      <c r="O1192" s="29"/>
      <c r="P1192" s="37" t="str">
        <f t="shared" si="122"/>
        <v/>
      </c>
      <c r="Q1192" s="38" t="str">
        <f t="shared" si="123"/>
        <v/>
      </c>
      <c r="R1192" s="37" t="str">
        <f t="shared" si="124"/>
        <v/>
      </c>
      <c r="S1192" s="37" t="str">
        <f t="shared" si="125"/>
        <v/>
      </c>
      <c r="T1192" s="38" t="str">
        <f t="shared" si="126"/>
        <v/>
      </c>
      <c r="U1192" s="37" t="str">
        <f t="shared" si="127"/>
        <v/>
      </c>
    </row>
    <row r="1193" spans="2:21" ht="17.25">
      <c r="B1193" s="156"/>
      <c r="C1193" s="156"/>
      <c r="D1193" s="157"/>
      <c r="E1193" s="155"/>
      <c r="F1193" s="151"/>
      <c r="G1193" s="152"/>
      <c r="H1193" s="153"/>
      <c r="I1193" s="154"/>
      <c r="J1193" s="154"/>
      <c r="K1193" s="30" t="str">
        <f>IF(H1193="","",IF($C$30="간이법","",FPR(H1193,I1193,J1193)))</f>
        <v/>
      </c>
      <c r="L1193" s="30" t="str">
        <f>IF(H1193="","",IF($C$30="상세법",FPV(H1193,K1193),IF(H1193="EI",4,IF(H1193="EO",5.2,IF(H1193="EQ",3.9,IF(H1193="ILF",7.5,IF(H1193="EIF",5.4)))))))</f>
        <v/>
      </c>
      <c r="M1193" s="30" t="str">
        <f t="shared" si="121"/>
        <v/>
      </c>
      <c r="N1193" s="134"/>
      <c r="O1193" s="29"/>
      <c r="P1193" s="37" t="str">
        <f t="shared" si="122"/>
        <v/>
      </c>
      <c r="Q1193" s="38" t="str">
        <f t="shared" si="123"/>
        <v/>
      </c>
      <c r="R1193" s="37" t="str">
        <f t="shared" si="124"/>
        <v/>
      </c>
      <c r="S1193" s="37" t="str">
        <f t="shared" si="125"/>
        <v/>
      </c>
      <c r="T1193" s="38" t="str">
        <f t="shared" si="126"/>
        <v/>
      </c>
      <c r="U1193" s="37" t="str">
        <f t="shared" si="127"/>
        <v/>
      </c>
    </row>
    <row r="1194" spans="2:21" ht="17.25">
      <c r="B1194" s="156"/>
      <c r="C1194" s="156"/>
      <c r="D1194" s="157"/>
      <c r="E1194" s="155"/>
      <c r="F1194" s="151"/>
      <c r="G1194" s="152"/>
      <c r="H1194" s="153"/>
      <c r="I1194" s="154"/>
      <c r="J1194" s="154"/>
      <c r="K1194" s="30" t="str">
        <f>IF(H1194="","",IF($C$30="간이법","",FPR(H1194,I1194,J1194)))</f>
        <v/>
      </c>
      <c r="L1194" s="30" t="str">
        <f>IF(H1194="","",IF($C$30="상세법",FPV(H1194,K1194),IF(H1194="EI",4,IF(H1194="EO",5.2,IF(H1194="EQ",3.9,IF(H1194="ILF",7.5,IF(H1194="EIF",5.4)))))))</f>
        <v/>
      </c>
      <c r="M1194" s="30" t="str">
        <f t="shared" si="121"/>
        <v/>
      </c>
      <c r="N1194" s="134"/>
      <c r="O1194" s="29"/>
      <c r="P1194" s="37" t="str">
        <f t="shared" si="122"/>
        <v/>
      </c>
      <c r="Q1194" s="38" t="str">
        <f t="shared" si="123"/>
        <v/>
      </c>
      <c r="R1194" s="37" t="str">
        <f t="shared" si="124"/>
        <v/>
      </c>
      <c r="S1194" s="37" t="str">
        <f t="shared" si="125"/>
        <v/>
      </c>
      <c r="T1194" s="38" t="str">
        <f t="shared" si="126"/>
        <v/>
      </c>
      <c r="U1194" s="37" t="str">
        <f t="shared" si="127"/>
        <v/>
      </c>
    </row>
    <row r="1195" spans="2:21" ht="17.25">
      <c r="B1195" s="156"/>
      <c r="C1195" s="156"/>
      <c r="D1195" s="157"/>
      <c r="E1195" s="155"/>
      <c r="F1195" s="151"/>
      <c r="G1195" s="152"/>
      <c r="H1195" s="153"/>
      <c r="I1195" s="154"/>
      <c r="J1195" s="154"/>
      <c r="K1195" s="30" t="str">
        <f>IF(H1195="","",IF($C$30="간이법","",FPR(H1195,I1195,J1195)))</f>
        <v/>
      </c>
      <c r="L1195" s="30" t="str">
        <f>IF(H1195="","",IF($C$30="상세법",FPV(H1195,K1195),IF(H1195="EI",4,IF(H1195="EO",5.2,IF(H1195="EQ",3.9,IF(H1195="ILF",7.5,IF(H1195="EIF",5.4)))))))</f>
        <v/>
      </c>
      <c r="M1195" s="30" t="str">
        <f t="shared" si="121"/>
        <v/>
      </c>
      <c r="N1195" s="134"/>
      <c r="O1195" s="29"/>
      <c r="P1195" s="37" t="str">
        <f t="shared" si="122"/>
        <v/>
      </c>
      <c r="Q1195" s="38" t="str">
        <f t="shared" si="123"/>
        <v/>
      </c>
      <c r="R1195" s="37" t="str">
        <f t="shared" si="124"/>
        <v/>
      </c>
      <c r="S1195" s="37" t="str">
        <f t="shared" si="125"/>
        <v/>
      </c>
      <c r="T1195" s="38" t="str">
        <f t="shared" si="126"/>
        <v/>
      </c>
      <c r="U1195" s="37" t="str">
        <f t="shared" si="127"/>
        <v/>
      </c>
    </row>
    <row r="1196" spans="2:21" ht="17.25">
      <c r="B1196" s="156"/>
      <c r="C1196" s="156"/>
      <c r="D1196" s="157"/>
      <c r="E1196" s="155"/>
      <c r="F1196" s="151"/>
      <c r="G1196" s="152"/>
      <c r="H1196" s="153"/>
      <c r="I1196" s="154"/>
      <c r="J1196" s="154"/>
      <c r="K1196" s="30" t="str">
        <f>IF(H1196="","",IF($C$30="간이법","",FPR(H1196,I1196,J1196)))</f>
        <v/>
      </c>
      <c r="L1196" s="30" t="str">
        <f>IF(H1196="","",IF($C$30="상세법",FPV(H1196,K1196),IF(H1196="EI",4,IF(H1196="EO",5.2,IF(H1196="EQ",3.9,IF(H1196="ILF",7.5,IF(H1196="EIF",5.4)))))))</f>
        <v/>
      </c>
      <c r="M1196" s="30" t="str">
        <f t="shared" si="121"/>
        <v/>
      </c>
      <c r="N1196" s="134"/>
      <c r="O1196" s="29"/>
      <c r="P1196" s="37" t="str">
        <f t="shared" si="122"/>
        <v/>
      </c>
      <c r="Q1196" s="38" t="str">
        <f t="shared" si="123"/>
        <v/>
      </c>
      <c r="R1196" s="37" t="str">
        <f t="shared" si="124"/>
        <v/>
      </c>
      <c r="S1196" s="37" t="str">
        <f t="shared" si="125"/>
        <v/>
      </c>
      <c r="T1196" s="38" t="str">
        <f t="shared" si="126"/>
        <v/>
      </c>
      <c r="U1196" s="37" t="str">
        <f t="shared" si="127"/>
        <v/>
      </c>
    </row>
    <row r="1197" spans="2:21" ht="17.25">
      <c r="B1197" s="156"/>
      <c r="C1197" s="156"/>
      <c r="D1197" s="157"/>
      <c r="E1197" s="155"/>
      <c r="F1197" s="151"/>
      <c r="G1197" s="152"/>
      <c r="H1197" s="153"/>
      <c r="I1197" s="154"/>
      <c r="J1197" s="154"/>
      <c r="K1197" s="30" t="str">
        <f>IF(H1197="","",IF($C$30="간이법","",FPR(H1197,I1197,J1197)))</f>
        <v/>
      </c>
      <c r="L1197" s="30" t="str">
        <f>IF(H1197="","",IF($C$30="상세법",FPV(H1197,K1197),IF(H1197="EI",4,IF(H1197="EO",5.2,IF(H1197="EQ",3.9,IF(H1197="ILF",7.5,IF(H1197="EIF",5.4)))))))</f>
        <v/>
      </c>
      <c r="M1197" s="30" t="str">
        <f t="shared" si="121"/>
        <v/>
      </c>
      <c r="N1197" s="134"/>
      <c r="O1197" s="29"/>
      <c r="P1197" s="37" t="str">
        <f t="shared" si="122"/>
        <v/>
      </c>
      <c r="Q1197" s="38" t="str">
        <f t="shared" si="123"/>
        <v/>
      </c>
      <c r="R1197" s="37" t="str">
        <f t="shared" si="124"/>
        <v/>
      </c>
      <c r="S1197" s="37" t="str">
        <f t="shared" si="125"/>
        <v/>
      </c>
      <c r="T1197" s="38" t="str">
        <f t="shared" si="126"/>
        <v/>
      </c>
      <c r="U1197" s="37" t="str">
        <f t="shared" si="127"/>
        <v/>
      </c>
    </row>
    <row r="1198" spans="2:21" ht="17.25">
      <c r="B1198" s="156"/>
      <c r="C1198" s="156"/>
      <c r="D1198" s="157"/>
      <c r="E1198" s="155"/>
      <c r="F1198" s="151"/>
      <c r="G1198" s="152"/>
      <c r="H1198" s="153"/>
      <c r="I1198" s="154"/>
      <c r="J1198" s="154"/>
      <c r="K1198" s="30" t="str">
        <f>IF(H1198="","",IF($C$30="간이법","",FPR(H1198,I1198,J1198)))</f>
        <v/>
      </c>
      <c r="L1198" s="30" t="str">
        <f>IF(H1198="","",IF($C$30="상세법",FPV(H1198,K1198),IF(H1198="EI",4,IF(H1198="EO",5.2,IF(H1198="EQ",3.9,IF(H1198="ILF",7.5,IF(H1198="EIF",5.4)))))))</f>
        <v/>
      </c>
      <c r="M1198" s="30" t="str">
        <f t="shared" si="121"/>
        <v/>
      </c>
      <c r="N1198" s="134"/>
      <c r="O1198" s="29"/>
      <c r="P1198" s="37" t="str">
        <f t="shared" si="122"/>
        <v/>
      </c>
      <c r="Q1198" s="38" t="str">
        <f t="shared" si="123"/>
        <v/>
      </c>
      <c r="R1198" s="37" t="str">
        <f t="shared" si="124"/>
        <v/>
      </c>
      <c r="S1198" s="37" t="str">
        <f t="shared" si="125"/>
        <v/>
      </c>
      <c r="T1198" s="38" t="str">
        <f t="shared" si="126"/>
        <v/>
      </c>
      <c r="U1198" s="37" t="str">
        <f t="shared" si="127"/>
        <v/>
      </c>
    </row>
    <row r="1199" spans="2:21" ht="17.25">
      <c r="B1199" s="156"/>
      <c r="C1199" s="156"/>
      <c r="D1199" s="157"/>
      <c r="E1199" s="155"/>
      <c r="F1199" s="151"/>
      <c r="G1199" s="152"/>
      <c r="H1199" s="153"/>
      <c r="I1199" s="154"/>
      <c r="J1199" s="154"/>
      <c r="K1199" s="30" t="str">
        <f>IF(H1199="","",IF($C$30="간이법","",FPR(H1199,I1199,J1199)))</f>
        <v/>
      </c>
      <c r="L1199" s="30" t="str">
        <f>IF(H1199="","",IF($C$30="상세법",FPV(H1199,K1199),IF(H1199="EI",4,IF(H1199="EO",5.2,IF(H1199="EQ",3.9,IF(H1199="ILF",7.5,IF(H1199="EIF",5.4)))))))</f>
        <v/>
      </c>
      <c r="M1199" s="30" t="str">
        <f t="shared" si="121"/>
        <v/>
      </c>
      <c r="N1199" s="134"/>
      <c r="O1199" s="29"/>
      <c r="P1199" s="37" t="str">
        <f t="shared" si="122"/>
        <v/>
      </c>
      <c r="Q1199" s="38" t="str">
        <f t="shared" si="123"/>
        <v/>
      </c>
      <c r="R1199" s="37" t="str">
        <f t="shared" si="124"/>
        <v/>
      </c>
      <c r="S1199" s="37" t="str">
        <f t="shared" si="125"/>
        <v/>
      </c>
      <c r="T1199" s="38" t="str">
        <f t="shared" si="126"/>
        <v/>
      </c>
      <c r="U1199" s="37" t="str">
        <f t="shared" si="127"/>
        <v/>
      </c>
    </row>
    <row r="1200" spans="2:21" ht="17.25">
      <c r="B1200" s="156"/>
      <c r="C1200" s="156"/>
      <c r="D1200" s="157"/>
      <c r="E1200" s="155"/>
      <c r="F1200" s="151"/>
      <c r="G1200" s="152"/>
      <c r="H1200" s="153"/>
      <c r="I1200" s="154"/>
      <c r="J1200" s="154"/>
      <c r="K1200" s="30" t="str">
        <f>IF(H1200="","",IF($C$30="간이법","",FPR(H1200,I1200,J1200)))</f>
        <v/>
      </c>
      <c r="L1200" s="30" t="str">
        <f>IF(H1200="","",IF($C$30="상세법",FPV(H1200,K1200),IF(H1200="EI",4,IF(H1200="EO",5.2,IF(H1200="EQ",3.9,IF(H1200="ILF",7.5,IF(H1200="EIF",5.4)))))))</f>
        <v/>
      </c>
      <c r="M1200" s="30" t="str">
        <f t="shared" si="121"/>
        <v/>
      </c>
      <c r="N1200" s="134"/>
      <c r="O1200" s="29"/>
      <c r="P1200" s="37" t="str">
        <f t="shared" si="122"/>
        <v/>
      </c>
      <c r="Q1200" s="38" t="str">
        <f t="shared" si="123"/>
        <v/>
      </c>
      <c r="R1200" s="37" t="str">
        <f t="shared" si="124"/>
        <v/>
      </c>
      <c r="S1200" s="37" t="str">
        <f t="shared" si="125"/>
        <v/>
      </c>
      <c r="T1200" s="38" t="str">
        <f t="shared" si="126"/>
        <v/>
      </c>
      <c r="U1200" s="37" t="str">
        <f t="shared" si="127"/>
        <v/>
      </c>
    </row>
    <row r="1201" spans="2:21" ht="17.25">
      <c r="B1201" s="156"/>
      <c r="C1201" s="156"/>
      <c r="D1201" s="157"/>
      <c r="E1201" s="155"/>
      <c r="F1201" s="151"/>
      <c r="G1201" s="152"/>
      <c r="H1201" s="153"/>
      <c r="I1201" s="154"/>
      <c r="J1201" s="154"/>
      <c r="K1201" s="30" t="str">
        <f>IF(H1201="","",IF($C$30="간이법","",FPR(H1201,I1201,J1201)))</f>
        <v/>
      </c>
      <c r="L1201" s="30" t="str">
        <f>IF(H1201="","",IF($C$30="상세법",FPV(H1201,K1201),IF(H1201="EI",4,IF(H1201="EO",5.2,IF(H1201="EQ",3.9,IF(H1201="ILF",7.5,IF(H1201="EIF",5.4)))))))</f>
        <v/>
      </c>
      <c r="M1201" s="30" t="str">
        <f t="shared" si="121"/>
        <v/>
      </c>
      <c r="N1201" s="134"/>
      <c r="O1201" s="29"/>
      <c r="P1201" s="37" t="str">
        <f t="shared" si="122"/>
        <v/>
      </c>
      <c r="Q1201" s="38" t="str">
        <f t="shared" si="123"/>
        <v/>
      </c>
      <c r="R1201" s="37" t="str">
        <f t="shared" si="124"/>
        <v/>
      </c>
      <c r="S1201" s="37" t="str">
        <f t="shared" si="125"/>
        <v/>
      </c>
      <c r="T1201" s="38" t="str">
        <f t="shared" si="126"/>
        <v/>
      </c>
      <c r="U1201" s="37" t="str">
        <f t="shared" si="127"/>
        <v/>
      </c>
    </row>
    <row r="1202" spans="2:21" ht="17.25">
      <c r="B1202" s="156"/>
      <c r="C1202" s="156"/>
      <c r="D1202" s="157"/>
      <c r="E1202" s="155"/>
      <c r="F1202" s="151"/>
      <c r="G1202" s="152"/>
      <c r="H1202" s="153"/>
      <c r="I1202" s="154"/>
      <c r="J1202" s="154"/>
      <c r="K1202" s="30" t="str">
        <f>IF(H1202="","",IF($C$30="간이법","",FPR(H1202,I1202,J1202)))</f>
        <v/>
      </c>
      <c r="L1202" s="30" t="str">
        <f>IF(H1202="","",IF($C$30="상세법",FPV(H1202,K1202),IF(H1202="EI",4,IF(H1202="EO",5.2,IF(H1202="EQ",3.9,IF(H1202="ILF",7.5,IF(H1202="EIF",5.4)))))))</f>
        <v/>
      </c>
      <c r="M1202" s="30" t="str">
        <f t="shared" si="121"/>
        <v/>
      </c>
      <c r="N1202" s="134"/>
      <c r="O1202" s="29"/>
      <c r="P1202" s="37" t="str">
        <f t="shared" si="122"/>
        <v/>
      </c>
      <c r="Q1202" s="38" t="str">
        <f t="shared" si="123"/>
        <v/>
      </c>
      <c r="R1202" s="37" t="str">
        <f t="shared" si="124"/>
        <v/>
      </c>
      <c r="S1202" s="37" t="str">
        <f t="shared" si="125"/>
        <v/>
      </c>
      <c r="T1202" s="38" t="str">
        <f t="shared" si="126"/>
        <v/>
      </c>
      <c r="U1202" s="37" t="str">
        <f t="shared" si="127"/>
        <v/>
      </c>
    </row>
    <row r="1203" spans="2:21" ht="17.25">
      <c r="B1203" s="156"/>
      <c r="C1203" s="156"/>
      <c r="D1203" s="157"/>
      <c r="E1203" s="155"/>
      <c r="F1203" s="151"/>
      <c r="G1203" s="152"/>
      <c r="H1203" s="153"/>
      <c r="I1203" s="154"/>
      <c r="J1203" s="154"/>
      <c r="K1203" s="30" t="str">
        <f>IF(H1203="","",IF($C$30="간이법","",FPR(H1203,I1203,J1203)))</f>
        <v/>
      </c>
      <c r="L1203" s="30" t="str">
        <f>IF(H1203="","",IF($C$30="상세법",FPV(H1203,K1203),IF(H1203="EI",4,IF(H1203="EO",5.2,IF(H1203="EQ",3.9,IF(H1203="ILF",7.5,IF(H1203="EIF",5.4)))))))</f>
        <v/>
      </c>
      <c r="M1203" s="30" t="str">
        <f t="shared" si="121"/>
        <v/>
      </c>
      <c r="N1203" s="134"/>
      <c r="O1203" s="29"/>
      <c r="P1203" s="37" t="str">
        <f t="shared" si="122"/>
        <v/>
      </c>
      <c r="Q1203" s="38" t="str">
        <f t="shared" si="123"/>
        <v/>
      </c>
      <c r="R1203" s="37" t="str">
        <f t="shared" si="124"/>
        <v/>
      </c>
      <c r="S1203" s="37" t="str">
        <f t="shared" si="125"/>
        <v/>
      </c>
      <c r="T1203" s="38" t="str">
        <f t="shared" si="126"/>
        <v/>
      </c>
      <c r="U1203" s="37" t="str">
        <f t="shared" si="127"/>
        <v/>
      </c>
    </row>
    <row r="1204" spans="2:21" ht="17.25">
      <c r="B1204" s="156"/>
      <c r="C1204" s="156"/>
      <c r="D1204" s="157"/>
      <c r="E1204" s="155"/>
      <c r="F1204" s="151"/>
      <c r="G1204" s="152"/>
      <c r="H1204" s="153"/>
      <c r="I1204" s="154"/>
      <c r="J1204" s="154"/>
      <c r="K1204" s="30" t="str">
        <f>IF(H1204="","",IF($C$30="간이법","",FPR(H1204,I1204,J1204)))</f>
        <v/>
      </c>
      <c r="L1204" s="30" t="str">
        <f>IF(H1204="","",IF($C$30="상세법",FPV(H1204,K1204),IF(H1204="EI",4,IF(H1204="EO",5.2,IF(H1204="EQ",3.9,IF(H1204="ILF",7.5,IF(H1204="EIF",5.4)))))))</f>
        <v/>
      </c>
      <c r="M1204" s="30" t="str">
        <f t="shared" si="121"/>
        <v/>
      </c>
      <c r="N1204" s="134"/>
      <c r="O1204" s="29"/>
      <c r="P1204" s="37" t="str">
        <f t="shared" si="122"/>
        <v/>
      </c>
      <c r="Q1204" s="38" t="str">
        <f t="shared" si="123"/>
        <v/>
      </c>
      <c r="R1204" s="37" t="str">
        <f t="shared" si="124"/>
        <v/>
      </c>
      <c r="S1204" s="37" t="str">
        <f t="shared" si="125"/>
        <v/>
      </c>
      <c r="T1204" s="38" t="str">
        <f t="shared" si="126"/>
        <v/>
      </c>
      <c r="U1204" s="37" t="str">
        <f t="shared" si="127"/>
        <v/>
      </c>
    </row>
    <row r="1205" spans="2:21" ht="17.25">
      <c r="B1205" s="156"/>
      <c r="C1205" s="156"/>
      <c r="D1205" s="157"/>
      <c r="E1205" s="155"/>
      <c r="F1205" s="151"/>
      <c r="G1205" s="152"/>
      <c r="H1205" s="153"/>
      <c r="I1205" s="154"/>
      <c r="J1205" s="154"/>
      <c r="K1205" s="30" t="str">
        <f>IF(H1205="","",IF($C$30="간이법","",FPR(H1205,I1205,J1205)))</f>
        <v/>
      </c>
      <c r="L1205" s="30" t="str">
        <f>IF(H1205="","",IF($C$30="상세법",FPV(H1205,K1205),IF(H1205="EI",4,IF(H1205="EO",5.2,IF(H1205="EQ",3.9,IF(H1205="ILF",7.5,IF(H1205="EIF",5.4)))))))</f>
        <v/>
      </c>
      <c r="M1205" s="30" t="str">
        <f t="shared" si="121"/>
        <v/>
      </c>
      <c r="N1205" s="134"/>
      <c r="O1205" s="29"/>
      <c r="P1205" s="37" t="str">
        <f t="shared" si="122"/>
        <v/>
      </c>
      <c r="Q1205" s="38" t="str">
        <f t="shared" si="123"/>
        <v/>
      </c>
      <c r="R1205" s="37" t="str">
        <f t="shared" si="124"/>
        <v/>
      </c>
      <c r="S1205" s="37" t="str">
        <f t="shared" si="125"/>
        <v/>
      </c>
      <c r="T1205" s="38" t="str">
        <f t="shared" si="126"/>
        <v/>
      </c>
      <c r="U1205" s="37" t="str">
        <f t="shared" si="127"/>
        <v/>
      </c>
    </row>
    <row r="1206" spans="2:21" ht="17.25">
      <c r="B1206" s="156"/>
      <c r="C1206" s="156"/>
      <c r="D1206" s="157"/>
      <c r="E1206" s="155"/>
      <c r="F1206" s="151"/>
      <c r="G1206" s="152"/>
      <c r="H1206" s="153"/>
      <c r="I1206" s="154"/>
      <c r="J1206" s="154"/>
      <c r="K1206" s="30" t="str">
        <f>IF(H1206="","",IF($C$30="간이법","",FPR(H1206,I1206,J1206)))</f>
        <v/>
      </c>
      <c r="L1206" s="30" t="str">
        <f>IF(H1206="","",IF($C$30="상세법",FPV(H1206,K1206),IF(H1206="EI",4,IF(H1206="EO",5.2,IF(H1206="EQ",3.9,IF(H1206="ILF",7.5,IF(H1206="EIF",5.4)))))))</f>
        <v/>
      </c>
      <c r="M1206" s="30" t="str">
        <f t="shared" si="121"/>
        <v/>
      </c>
      <c r="N1206" s="134"/>
      <c r="O1206" s="29"/>
      <c r="P1206" s="37" t="str">
        <f t="shared" si="122"/>
        <v/>
      </c>
      <c r="Q1206" s="38" t="str">
        <f t="shared" si="123"/>
        <v/>
      </c>
      <c r="R1206" s="37" t="str">
        <f t="shared" si="124"/>
        <v/>
      </c>
      <c r="S1206" s="37" t="str">
        <f t="shared" si="125"/>
        <v/>
      </c>
      <c r="T1206" s="38" t="str">
        <f t="shared" si="126"/>
        <v/>
      </c>
      <c r="U1206" s="37" t="str">
        <f t="shared" si="127"/>
        <v/>
      </c>
    </row>
    <row r="1207" spans="2:21" ht="17.25">
      <c r="B1207" s="156"/>
      <c r="C1207" s="156"/>
      <c r="D1207" s="157"/>
      <c r="E1207" s="155"/>
      <c r="F1207" s="151"/>
      <c r="G1207" s="152"/>
      <c r="H1207" s="153"/>
      <c r="I1207" s="154"/>
      <c r="J1207" s="154"/>
      <c r="K1207" s="30" t="str">
        <f>IF(H1207="","",IF($C$30="간이법","",FPR(H1207,I1207,J1207)))</f>
        <v/>
      </c>
      <c r="L1207" s="30" t="str">
        <f>IF(H1207="","",IF($C$30="상세법",FPV(H1207,K1207),IF(H1207="EI",4,IF(H1207="EO",5.2,IF(H1207="EQ",3.9,IF(H1207="ILF",7.5,IF(H1207="EIF",5.4)))))))</f>
        <v/>
      </c>
      <c r="M1207" s="30" t="str">
        <f t="shared" si="121"/>
        <v/>
      </c>
      <c r="N1207" s="134"/>
      <c r="O1207" s="29"/>
      <c r="P1207" s="37" t="str">
        <f t="shared" si="122"/>
        <v/>
      </c>
      <c r="Q1207" s="38" t="str">
        <f t="shared" si="123"/>
        <v/>
      </c>
      <c r="R1207" s="37" t="str">
        <f t="shared" si="124"/>
        <v/>
      </c>
      <c r="S1207" s="37" t="str">
        <f t="shared" si="125"/>
        <v/>
      </c>
      <c r="T1207" s="38" t="str">
        <f t="shared" si="126"/>
        <v/>
      </c>
      <c r="U1207" s="37" t="str">
        <f t="shared" si="127"/>
        <v/>
      </c>
    </row>
    <row r="1208" spans="2:21" ht="17.25">
      <c r="B1208" s="156"/>
      <c r="C1208" s="156"/>
      <c r="D1208" s="157"/>
      <c r="E1208" s="155"/>
      <c r="F1208" s="151"/>
      <c r="G1208" s="152"/>
      <c r="H1208" s="153"/>
      <c r="I1208" s="154"/>
      <c r="J1208" s="154"/>
      <c r="K1208" s="30" t="str">
        <f>IF(H1208="","",IF($C$30="간이법","",FPR(H1208,I1208,J1208)))</f>
        <v/>
      </c>
      <c r="L1208" s="30" t="str">
        <f>IF(H1208="","",IF($C$30="상세법",FPV(H1208,K1208),IF(H1208="EI",4,IF(H1208="EO",5.2,IF(H1208="EQ",3.9,IF(H1208="ILF",7.5,IF(H1208="EIF",5.4)))))))</f>
        <v/>
      </c>
      <c r="M1208" s="30" t="str">
        <f t="shared" si="121"/>
        <v/>
      </c>
      <c r="N1208" s="134"/>
      <c r="O1208" s="29"/>
      <c r="P1208" s="37" t="str">
        <f t="shared" si="122"/>
        <v/>
      </c>
      <c r="Q1208" s="38" t="str">
        <f t="shared" si="123"/>
        <v/>
      </c>
      <c r="R1208" s="37" t="str">
        <f t="shared" si="124"/>
        <v/>
      </c>
      <c r="S1208" s="37" t="str">
        <f t="shared" si="125"/>
        <v/>
      </c>
      <c r="T1208" s="38" t="str">
        <f t="shared" si="126"/>
        <v/>
      </c>
      <c r="U1208" s="37" t="str">
        <f t="shared" si="127"/>
        <v/>
      </c>
    </row>
    <row r="1209" spans="2:21" ht="17.25">
      <c r="B1209" s="156"/>
      <c r="C1209" s="156"/>
      <c r="D1209" s="157"/>
      <c r="E1209" s="155"/>
      <c r="F1209" s="151"/>
      <c r="G1209" s="152"/>
      <c r="H1209" s="153"/>
      <c r="I1209" s="154"/>
      <c r="J1209" s="154"/>
      <c r="K1209" s="30" t="str">
        <f>IF(H1209="","",IF($C$30="간이법","",FPR(H1209,I1209,J1209)))</f>
        <v/>
      </c>
      <c r="L1209" s="30" t="str">
        <f>IF(H1209="","",IF($C$30="상세법",FPV(H1209,K1209),IF(H1209="EI",4,IF(H1209="EO",5.2,IF(H1209="EQ",3.9,IF(H1209="ILF",7.5,IF(H1209="EIF",5.4)))))))</f>
        <v/>
      </c>
      <c r="M1209" s="30" t="str">
        <f t="shared" si="121"/>
        <v/>
      </c>
      <c r="N1209" s="134"/>
      <c r="O1209" s="29"/>
      <c r="P1209" s="37" t="str">
        <f t="shared" si="122"/>
        <v/>
      </c>
      <c r="Q1209" s="38" t="str">
        <f t="shared" si="123"/>
        <v/>
      </c>
      <c r="R1209" s="37" t="str">
        <f t="shared" si="124"/>
        <v/>
      </c>
      <c r="S1209" s="37" t="str">
        <f t="shared" si="125"/>
        <v/>
      </c>
      <c r="T1209" s="38" t="str">
        <f t="shared" si="126"/>
        <v/>
      </c>
      <c r="U1209" s="37" t="str">
        <f t="shared" si="127"/>
        <v/>
      </c>
    </row>
    <row r="1210" spans="2:21" ht="17.25">
      <c r="B1210" s="156"/>
      <c r="C1210" s="156"/>
      <c r="D1210" s="157"/>
      <c r="E1210" s="155"/>
      <c r="F1210" s="151"/>
      <c r="G1210" s="152"/>
      <c r="H1210" s="153"/>
      <c r="I1210" s="154"/>
      <c r="J1210" s="154"/>
      <c r="K1210" s="30" t="str">
        <f>IF(H1210="","",IF($C$30="간이법","",FPR(H1210,I1210,J1210)))</f>
        <v/>
      </c>
      <c r="L1210" s="30" t="str">
        <f>IF(H1210="","",IF($C$30="상세법",FPV(H1210,K1210),IF(H1210="EI",4,IF(H1210="EO",5.2,IF(H1210="EQ",3.9,IF(H1210="ILF",7.5,IF(H1210="EIF",5.4)))))))</f>
        <v/>
      </c>
      <c r="M1210" s="30" t="str">
        <f t="shared" si="121"/>
        <v/>
      </c>
      <c r="N1210" s="134"/>
      <c r="O1210" s="29"/>
      <c r="P1210" s="37" t="str">
        <f t="shared" si="122"/>
        <v/>
      </c>
      <c r="Q1210" s="38" t="str">
        <f t="shared" si="123"/>
        <v/>
      </c>
      <c r="R1210" s="37" t="str">
        <f t="shared" si="124"/>
        <v/>
      </c>
      <c r="S1210" s="37" t="str">
        <f t="shared" si="125"/>
        <v/>
      </c>
      <c r="T1210" s="38" t="str">
        <f t="shared" si="126"/>
        <v/>
      </c>
      <c r="U1210" s="37" t="str">
        <f t="shared" si="127"/>
        <v/>
      </c>
    </row>
    <row r="1211" spans="2:21" ht="17.25">
      <c r="B1211" s="156"/>
      <c r="C1211" s="156"/>
      <c r="D1211" s="157"/>
      <c r="E1211" s="155"/>
      <c r="F1211" s="151"/>
      <c r="G1211" s="152"/>
      <c r="H1211" s="153"/>
      <c r="I1211" s="154"/>
      <c r="J1211" s="154"/>
      <c r="K1211" s="30" t="str">
        <f>IF(H1211="","",IF($C$30="간이법","",FPR(H1211,I1211,J1211)))</f>
        <v/>
      </c>
      <c r="L1211" s="30" t="str">
        <f>IF(H1211="","",IF($C$30="상세법",FPV(H1211,K1211),IF(H1211="EI",4,IF(H1211="EO",5.2,IF(H1211="EQ",3.9,IF(H1211="ILF",7.5,IF(H1211="EIF",5.4)))))))</f>
        <v/>
      </c>
      <c r="M1211" s="30" t="str">
        <f t="shared" si="121"/>
        <v/>
      </c>
      <c r="N1211" s="134"/>
      <c r="O1211" s="29"/>
      <c r="P1211" s="37" t="str">
        <f t="shared" si="122"/>
        <v/>
      </c>
      <c r="Q1211" s="38" t="str">
        <f t="shared" si="123"/>
        <v/>
      </c>
      <c r="R1211" s="37" t="str">
        <f t="shared" si="124"/>
        <v/>
      </c>
      <c r="S1211" s="37" t="str">
        <f t="shared" si="125"/>
        <v/>
      </c>
      <c r="T1211" s="38" t="str">
        <f t="shared" si="126"/>
        <v/>
      </c>
      <c r="U1211" s="37" t="str">
        <f t="shared" si="127"/>
        <v/>
      </c>
    </row>
    <row r="1212" spans="2:21" ht="17.25">
      <c r="B1212" s="156"/>
      <c r="C1212" s="156"/>
      <c r="D1212" s="157"/>
      <c r="E1212" s="155"/>
      <c r="F1212" s="151"/>
      <c r="G1212" s="152"/>
      <c r="H1212" s="153"/>
      <c r="I1212" s="154"/>
      <c r="J1212" s="154"/>
      <c r="K1212" s="30" t="str">
        <f>IF(H1212="","",IF($C$30="간이법","",FPR(H1212,I1212,J1212)))</f>
        <v/>
      </c>
      <c r="L1212" s="30" t="str">
        <f>IF(H1212="","",IF($C$30="상세법",FPV(H1212,K1212),IF(H1212="EI",4,IF(H1212="EO",5.2,IF(H1212="EQ",3.9,IF(H1212="ILF",7.5,IF(H1212="EIF",5.4)))))))</f>
        <v/>
      </c>
      <c r="M1212" s="30" t="str">
        <f t="shared" ref="M1212:M1275" si="128">IF(OR(G1212="",$E$36="(선택)",$E$40="(선택)",$E$41="(선택)",F1212="신규 개발",F1212="수정 없이 재사용"),"",(IF(F1212="수정 후 재사용",IF($E$50&lt;=0.5,L1212*($E$36+$E$50*100*(1+0.02*($E$40*$E$41)))/100,L1212*($E$36+$E$50*100+($E$40*$E$41))/100))))</f>
        <v/>
      </c>
      <c r="N1212" s="134"/>
      <c r="O1212" s="29"/>
      <c r="P1212" s="37" t="str">
        <f t="shared" ref="P1212:P1275" si="129">IF(F1212="수정 후 재사용",IF(H1212="ILF",G1212,IF(H1212="EIF",G1212,"")),"")</f>
        <v/>
      </c>
      <c r="Q1212" s="38" t="str">
        <f t="shared" ref="Q1212:Q1275" si="130">IF(P1212&lt;&gt;"",IF(H1212="ILF", L1212/$E$46,IF(H1212="EIF", L1212/$E$46,"")),"")</f>
        <v/>
      </c>
      <c r="R1212" s="37" t="str">
        <f t="shared" ref="R1212:R1275" si="131">IF(P1212&lt;&gt;"",P1212*Q1212,"")</f>
        <v/>
      </c>
      <c r="S1212" s="37" t="str">
        <f t="shared" ref="S1212:S1275" si="132">IF(F1212="수정 후 재사용",IF(H1212="EI",G1212,IF(H1212="EO",G1212,IF(H1212="EQ",G1212,""))),"")</f>
        <v/>
      </c>
      <c r="T1212" s="38" t="str">
        <f t="shared" ref="T1212:T1275" si="133">IF(S1212&lt;&gt;"",IF(H1212="EI",L1212/$E$47,IF(H1212="EO",L1212/$E$47,IF(H1212="EQ",L1212/$E$47,""))),"")</f>
        <v/>
      </c>
      <c r="U1212" s="37" t="str">
        <f t="shared" ref="U1212:U1275" si="134">IF(S1212&lt;&gt;"",S1212*T1212,"")</f>
        <v/>
      </c>
    </row>
    <row r="1213" spans="2:21" ht="17.25">
      <c r="B1213" s="156"/>
      <c r="C1213" s="156"/>
      <c r="D1213" s="157"/>
      <c r="E1213" s="155"/>
      <c r="F1213" s="151"/>
      <c r="G1213" s="152"/>
      <c r="H1213" s="153"/>
      <c r="I1213" s="154"/>
      <c r="J1213" s="154"/>
      <c r="K1213" s="30" t="str">
        <f>IF(H1213="","",IF($C$30="간이법","",FPR(H1213,I1213,J1213)))</f>
        <v/>
      </c>
      <c r="L1213" s="30" t="str">
        <f>IF(H1213="","",IF($C$30="상세법",FPV(H1213,K1213),IF(H1213="EI",4,IF(H1213="EO",5.2,IF(H1213="EQ",3.9,IF(H1213="ILF",7.5,IF(H1213="EIF",5.4)))))))</f>
        <v/>
      </c>
      <c r="M1213" s="30" t="str">
        <f t="shared" si="128"/>
        <v/>
      </c>
      <c r="N1213" s="134"/>
      <c r="O1213" s="29"/>
      <c r="P1213" s="37" t="str">
        <f t="shared" si="129"/>
        <v/>
      </c>
      <c r="Q1213" s="38" t="str">
        <f t="shared" si="130"/>
        <v/>
      </c>
      <c r="R1213" s="37" t="str">
        <f t="shared" si="131"/>
        <v/>
      </c>
      <c r="S1213" s="37" t="str">
        <f t="shared" si="132"/>
        <v/>
      </c>
      <c r="T1213" s="38" t="str">
        <f t="shared" si="133"/>
        <v/>
      </c>
      <c r="U1213" s="37" t="str">
        <f t="shared" si="134"/>
        <v/>
      </c>
    </row>
    <row r="1214" spans="2:21" ht="17.25">
      <c r="B1214" s="156"/>
      <c r="C1214" s="156"/>
      <c r="D1214" s="157"/>
      <c r="E1214" s="155"/>
      <c r="F1214" s="151"/>
      <c r="G1214" s="152"/>
      <c r="H1214" s="153"/>
      <c r="I1214" s="154"/>
      <c r="J1214" s="154"/>
      <c r="K1214" s="30" t="str">
        <f>IF(H1214="","",IF($C$30="간이법","",FPR(H1214,I1214,J1214)))</f>
        <v/>
      </c>
      <c r="L1214" s="30" t="str">
        <f>IF(H1214="","",IF($C$30="상세법",FPV(H1214,K1214),IF(H1214="EI",4,IF(H1214="EO",5.2,IF(H1214="EQ",3.9,IF(H1214="ILF",7.5,IF(H1214="EIF",5.4)))))))</f>
        <v/>
      </c>
      <c r="M1214" s="30" t="str">
        <f t="shared" si="128"/>
        <v/>
      </c>
      <c r="N1214" s="134"/>
      <c r="O1214" s="29"/>
      <c r="P1214" s="37" t="str">
        <f t="shared" si="129"/>
        <v/>
      </c>
      <c r="Q1214" s="38" t="str">
        <f t="shared" si="130"/>
        <v/>
      </c>
      <c r="R1214" s="37" t="str">
        <f t="shared" si="131"/>
        <v/>
      </c>
      <c r="S1214" s="37" t="str">
        <f t="shared" si="132"/>
        <v/>
      </c>
      <c r="T1214" s="38" t="str">
        <f t="shared" si="133"/>
        <v/>
      </c>
      <c r="U1214" s="37" t="str">
        <f t="shared" si="134"/>
        <v/>
      </c>
    </row>
    <row r="1215" spans="2:21" ht="17.25">
      <c r="B1215" s="156"/>
      <c r="C1215" s="156"/>
      <c r="D1215" s="157"/>
      <c r="E1215" s="155"/>
      <c r="F1215" s="151"/>
      <c r="G1215" s="152"/>
      <c r="H1215" s="153"/>
      <c r="I1215" s="154"/>
      <c r="J1215" s="154"/>
      <c r="K1215" s="30" t="str">
        <f>IF(H1215="","",IF($C$30="간이법","",FPR(H1215,I1215,J1215)))</f>
        <v/>
      </c>
      <c r="L1215" s="30" t="str">
        <f>IF(H1215="","",IF($C$30="상세법",FPV(H1215,K1215),IF(H1215="EI",4,IF(H1215="EO",5.2,IF(H1215="EQ",3.9,IF(H1215="ILF",7.5,IF(H1215="EIF",5.4)))))))</f>
        <v/>
      </c>
      <c r="M1215" s="30" t="str">
        <f t="shared" si="128"/>
        <v/>
      </c>
      <c r="N1215" s="134"/>
      <c r="O1215" s="29"/>
      <c r="P1215" s="37" t="str">
        <f t="shared" si="129"/>
        <v/>
      </c>
      <c r="Q1215" s="38" t="str">
        <f t="shared" si="130"/>
        <v/>
      </c>
      <c r="R1215" s="37" t="str">
        <f t="shared" si="131"/>
        <v/>
      </c>
      <c r="S1215" s="37" t="str">
        <f t="shared" si="132"/>
        <v/>
      </c>
      <c r="T1215" s="38" t="str">
        <f t="shared" si="133"/>
        <v/>
      </c>
      <c r="U1215" s="37" t="str">
        <f t="shared" si="134"/>
        <v/>
      </c>
    </row>
    <row r="1216" spans="2:21" ht="17.25">
      <c r="B1216" s="156"/>
      <c r="C1216" s="156"/>
      <c r="D1216" s="157"/>
      <c r="E1216" s="155"/>
      <c r="F1216" s="151"/>
      <c r="G1216" s="152"/>
      <c r="H1216" s="153"/>
      <c r="I1216" s="154"/>
      <c r="J1216" s="154"/>
      <c r="K1216" s="30" t="str">
        <f>IF(H1216="","",IF($C$30="간이법","",FPR(H1216,I1216,J1216)))</f>
        <v/>
      </c>
      <c r="L1216" s="30" t="str">
        <f>IF(H1216="","",IF($C$30="상세법",FPV(H1216,K1216),IF(H1216="EI",4,IF(H1216="EO",5.2,IF(H1216="EQ",3.9,IF(H1216="ILF",7.5,IF(H1216="EIF",5.4)))))))</f>
        <v/>
      </c>
      <c r="M1216" s="30" t="str">
        <f t="shared" si="128"/>
        <v/>
      </c>
      <c r="N1216" s="134"/>
      <c r="O1216" s="29"/>
      <c r="P1216" s="37" t="str">
        <f t="shared" si="129"/>
        <v/>
      </c>
      <c r="Q1216" s="38" t="str">
        <f t="shared" si="130"/>
        <v/>
      </c>
      <c r="R1216" s="37" t="str">
        <f t="shared" si="131"/>
        <v/>
      </c>
      <c r="S1216" s="37" t="str">
        <f t="shared" si="132"/>
        <v/>
      </c>
      <c r="T1216" s="38" t="str">
        <f t="shared" si="133"/>
        <v/>
      </c>
      <c r="U1216" s="37" t="str">
        <f t="shared" si="134"/>
        <v/>
      </c>
    </row>
    <row r="1217" spans="2:21" ht="17.25">
      <c r="B1217" s="156"/>
      <c r="C1217" s="156"/>
      <c r="D1217" s="157"/>
      <c r="E1217" s="155"/>
      <c r="F1217" s="151"/>
      <c r="G1217" s="152"/>
      <c r="H1217" s="153"/>
      <c r="I1217" s="154"/>
      <c r="J1217" s="154"/>
      <c r="K1217" s="30" t="str">
        <f>IF(H1217="","",IF($C$30="간이법","",FPR(H1217,I1217,J1217)))</f>
        <v/>
      </c>
      <c r="L1217" s="30" t="str">
        <f>IF(H1217="","",IF($C$30="상세법",FPV(H1217,K1217),IF(H1217="EI",4,IF(H1217="EO",5.2,IF(H1217="EQ",3.9,IF(H1217="ILF",7.5,IF(H1217="EIF",5.4)))))))</f>
        <v/>
      </c>
      <c r="M1217" s="30" t="str">
        <f t="shared" si="128"/>
        <v/>
      </c>
      <c r="N1217" s="134"/>
      <c r="O1217" s="29"/>
      <c r="P1217" s="37" t="str">
        <f t="shared" si="129"/>
        <v/>
      </c>
      <c r="Q1217" s="38" t="str">
        <f t="shared" si="130"/>
        <v/>
      </c>
      <c r="R1217" s="37" t="str">
        <f t="shared" si="131"/>
        <v/>
      </c>
      <c r="S1217" s="37" t="str">
        <f t="shared" si="132"/>
        <v/>
      </c>
      <c r="T1217" s="38" t="str">
        <f t="shared" si="133"/>
        <v/>
      </c>
      <c r="U1217" s="37" t="str">
        <f t="shared" si="134"/>
        <v/>
      </c>
    </row>
    <row r="1218" spans="2:21" ht="17.25">
      <c r="B1218" s="156"/>
      <c r="C1218" s="156"/>
      <c r="D1218" s="157"/>
      <c r="E1218" s="155"/>
      <c r="F1218" s="151"/>
      <c r="G1218" s="152"/>
      <c r="H1218" s="153"/>
      <c r="I1218" s="154"/>
      <c r="J1218" s="154"/>
      <c r="K1218" s="30" t="str">
        <f>IF(H1218="","",IF($C$30="간이법","",FPR(H1218,I1218,J1218)))</f>
        <v/>
      </c>
      <c r="L1218" s="30" t="str">
        <f>IF(H1218="","",IF($C$30="상세법",FPV(H1218,K1218),IF(H1218="EI",4,IF(H1218="EO",5.2,IF(H1218="EQ",3.9,IF(H1218="ILF",7.5,IF(H1218="EIF",5.4)))))))</f>
        <v/>
      </c>
      <c r="M1218" s="30" t="str">
        <f t="shared" si="128"/>
        <v/>
      </c>
      <c r="N1218" s="134"/>
      <c r="O1218" s="29"/>
      <c r="P1218" s="37" t="str">
        <f t="shared" si="129"/>
        <v/>
      </c>
      <c r="Q1218" s="38" t="str">
        <f t="shared" si="130"/>
        <v/>
      </c>
      <c r="R1218" s="37" t="str">
        <f t="shared" si="131"/>
        <v/>
      </c>
      <c r="S1218" s="37" t="str">
        <f t="shared" si="132"/>
        <v/>
      </c>
      <c r="T1218" s="38" t="str">
        <f t="shared" si="133"/>
        <v/>
      </c>
      <c r="U1218" s="37" t="str">
        <f t="shared" si="134"/>
        <v/>
      </c>
    </row>
    <row r="1219" spans="2:21" ht="17.25">
      <c r="B1219" s="156"/>
      <c r="C1219" s="156"/>
      <c r="D1219" s="157"/>
      <c r="E1219" s="155"/>
      <c r="F1219" s="151"/>
      <c r="G1219" s="152"/>
      <c r="H1219" s="153"/>
      <c r="I1219" s="154"/>
      <c r="J1219" s="154"/>
      <c r="K1219" s="30" t="str">
        <f>IF(H1219="","",IF($C$30="간이법","",FPR(H1219,I1219,J1219)))</f>
        <v/>
      </c>
      <c r="L1219" s="30" t="str">
        <f>IF(H1219="","",IF($C$30="상세법",FPV(H1219,K1219),IF(H1219="EI",4,IF(H1219="EO",5.2,IF(H1219="EQ",3.9,IF(H1219="ILF",7.5,IF(H1219="EIF",5.4)))))))</f>
        <v/>
      </c>
      <c r="M1219" s="30" t="str">
        <f t="shared" si="128"/>
        <v/>
      </c>
      <c r="N1219" s="134"/>
      <c r="O1219" s="29"/>
      <c r="P1219" s="37" t="str">
        <f t="shared" si="129"/>
        <v/>
      </c>
      <c r="Q1219" s="38" t="str">
        <f t="shared" si="130"/>
        <v/>
      </c>
      <c r="R1219" s="37" t="str">
        <f t="shared" si="131"/>
        <v/>
      </c>
      <c r="S1219" s="37" t="str">
        <f t="shared" si="132"/>
        <v/>
      </c>
      <c r="T1219" s="38" t="str">
        <f t="shared" si="133"/>
        <v/>
      </c>
      <c r="U1219" s="37" t="str">
        <f t="shared" si="134"/>
        <v/>
      </c>
    </row>
    <row r="1220" spans="2:21" ht="17.25">
      <c r="B1220" s="156"/>
      <c r="C1220" s="156"/>
      <c r="D1220" s="157"/>
      <c r="E1220" s="155"/>
      <c r="F1220" s="151"/>
      <c r="G1220" s="152"/>
      <c r="H1220" s="153"/>
      <c r="I1220" s="154"/>
      <c r="J1220" s="154"/>
      <c r="K1220" s="30" t="str">
        <f>IF(H1220="","",IF($C$30="간이법","",FPR(H1220,I1220,J1220)))</f>
        <v/>
      </c>
      <c r="L1220" s="30" t="str">
        <f>IF(H1220="","",IF($C$30="상세법",FPV(H1220,K1220),IF(H1220="EI",4,IF(H1220="EO",5.2,IF(H1220="EQ",3.9,IF(H1220="ILF",7.5,IF(H1220="EIF",5.4)))))))</f>
        <v/>
      </c>
      <c r="M1220" s="30" t="str">
        <f t="shared" si="128"/>
        <v/>
      </c>
      <c r="N1220" s="134"/>
      <c r="O1220" s="29"/>
      <c r="P1220" s="37" t="str">
        <f t="shared" si="129"/>
        <v/>
      </c>
      <c r="Q1220" s="38" t="str">
        <f t="shared" si="130"/>
        <v/>
      </c>
      <c r="R1220" s="37" t="str">
        <f t="shared" si="131"/>
        <v/>
      </c>
      <c r="S1220" s="37" t="str">
        <f t="shared" si="132"/>
        <v/>
      </c>
      <c r="T1220" s="38" t="str">
        <f t="shared" si="133"/>
        <v/>
      </c>
      <c r="U1220" s="37" t="str">
        <f t="shared" si="134"/>
        <v/>
      </c>
    </row>
    <row r="1221" spans="2:21" ht="17.25">
      <c r="B1221" s="156"/>
      <c r="C1221" s="156"/>
      <c r="D1221" s="157"/>
      <c r="E1221" s="155"/>
      <c r="F1221" s="151"/>
      <c r="G1221" s="152"/>
      <c r="H1221" s="153"/>
      <c r="I1221" s="154"/>
      <c r="J1221" s="154"/>
      <c r="K1221" s="30" t="str">
        <f>IF(H1221="","",IF($C$30="간이법","",FPR(H1221,I1221,J1221)))</f>
        <v/>
      </c>
      <c r="L1221" s="30" t="str">
        <f>IF(H1221="","",IF($C$30="상세법",FPV(H1221,K1221),IF(H1221="EI",4,IF(H1221="EO",5.2,IF(H1221="EQ",3.9,IF(H1221="ILF",7.5,IF(H1221="EIF",5.4)))))))</f>
        <v/>
      </c>
      <c r="M1221" s="30" t="str">
        <f t="shared" si="128"/>
        <v/>
      </c>
      <c r="N1221" s="134"/>
      <c r="O1221" s="29"/>
      <c r="P1221" s="37" t="str">
        <f t="shared" si="129"/>
        <v/>
      </c>
      <c r="Q1221" s="38" t="str">
        <f t="shared" si="130"/>
        <v/>
      </c>
      <c r="R1221" s="37" t="str">
        <f t="shared" si="131"/>
        <v/>
      </c>
      <c r="S1221" s="37" t="str">
        <f t="shared" si="132"/>
        <v/>
      </c>
      <c r="T1221" s="38" t="str">
        <f t="shared" si="133"/>
        <v/>
      </c>
      <c r="U1221" s="37" t="str">
        <f t="shared" si="134"/>
        <v/>
      </c>
    </row>
    <row r="1222" spans="2:21" ht="17.25">
      <c r="B1222" s="156"/>
      <c r="C1222" s="156"/>
      <c r="D1222" s="157"/>
      <c r="E1222" s="155"/>
      <c r="F1222" s="151"/>
      <c r="G1222" s="152"/>
      <c r="H1222" s="153"/>
      <c r="I1222" s="154"/>
      <c r="J1222" s="154"/>
      <c r="K1222" s="30" t="str">
        <f>IF(H1222="","",IF($C$30="간이법","",FPR(H1222,I1222,J1222)))</f>
        <v/>
      </c>
      <c r="L1222" s="30" t="str">
        <f>IF(H1222="","",IF($C$30="상세법",FPV(H1222,K1222),IF(H1222="EI",4,IF(H1222="EO",5.2,IF(H1222="EQ",3.9,IF(H1222="ILF",7.5,IF(H1222="EIF",5.4)))))))</f>
        <v/>
      </c>
      <c r="M1222" s="30" t="str">
        <f t="shared" si="128"/>
        <v/>
      </c>
      <c r="N1222" s="134"/>
      <c r="O1222" s="29"/>
      <c r="P1222" s="37" t="str">
        <f t="shared" si="129"/>
        <v/>
      </c>
      <c r="Q1222" s="38" t="str">
        <f t="shared" si="130"/>
        <v/>
      </c>
      <c r="R1222" s="37" t="str">
        <f t="shared" si="131"/>
        <v/>
      </c>
      <c r="S1222" s="37" t="str">
        <f t="shared" si="132"/>
        <v/>
      </c>
      <c r="T1222" s="38" t="str">
        <f t="shared" si="133"/>
        <v/>
      </c>
      <c r="U1222" s="37" t="str">
        <f t="shared" si="134"/>
        <v/>
      </c>
    </row>
    <row r="1223" spans="2:21" ht="17.25">
      <c r="B1223" s="156"/>
      <c r="C1223" s="156"/>
      <c r="D1223" s="157"/>
      <c r="E1223" s="155"/>
      <c r="F1223" s="151"/>
      <c r="G1223" s="152"/>
      <c r="H1223" s="153"/>
      <c r="I1223" s="154"/>
      <c r="J1223" s="154"/>
      <c r="K1223" s="30" t="str">
        <f>IF(H1223="","",IF($C$30="간이법","",FPR(H1223,I1223,J1223)))</f>
        <v/>
      </c>
      <c r="L1223" s="30" t="str">
        <f>IF(H1223="","",IF($C$30="상세법",FPV(H1223,K1223),IF(H1223="EI",4,IF(H1223="EO",5.2,IF(H1223="EQ",3.9,IF(H1223="ILF",7.5,IF(H1223="EIF",5.4)))))))</f>
        <v/>
      </c>
      <c r="M1223" s="30" t="str">
        <f t="shared" si="128"/>
        <v/>
      </c>
      <c r="N1223" s="134"/>
      <c r="O1223" s="29"/>
      <c r="P1223" s="37" t="str">
        <f t="shared" si="129"/>
        <v/>
      </c>
      <c r="Q1223" s="38" t="str">
        <f t="shared" si="130"/>
        <v/>
      </c>
      <c r="R1223" s="37" t="str">
        <f t="shared" si="131"/>
        <v/>
      </c>
      <c r="S1223" s="37" t="str">
        <f t="shared" si="132"/>
        <v/>
      </c>
      <c r="T1223" s="38" t="str">
        <f t="shared" si="133"/>
        <v/>
      </c>
      <c r="U1223" s="37" t="str">
        <f t="shared" si="134"/>
        <v/>
      </c>
    </row>
    <row r="1224" spans="2:21" ht="17.25">
      <c r="B1224" s="156"/>
      <c r="C1224" s="156"/>
      <c r="D1224" s="157"/>
      <c r="E1224" s="155"/>
      <c r="F1224" s="151"/>
      <c r="G1224" s="152"/>
      <c r="H1224" s="153"/>
      <c r="I1224" s="154"/>
      <c r="J1224" s="154"/>
      <c r="K1224" s="30" t="str">
        <f>IF(H1224="","",IF($C$30="간이법","",FPR(H1224,I1224,J1224)))</f>
        <v/>
      </c>
      <c r="L1224" s="30" t="str">
        <f>IF(H1224="","",IF($C$30="상세법",FPV(H1224,K1224),IF(H1224="EI",4,IF(H1224="EO",5.2,IF(H1224="EQ",3.9,IF(H1224="ILF",7.5,IF(H1224="EIF",5.4)))))))</f>
        <v/>
      </c>
      <c r="M1224" s="30" t="str">
        <f t="shared" si="128"/>
        <v/>
      </c>
      <c r="N1224" s="134"/>
      <c r="O1224" s="29"/>
      <c r="P1224" s="37" t="str">
        <f t="shared" si="129"/>
        <v/>
      </c>
      <c r="Q1224" s="38" t="str">
        <f t="shared" si="130"/>
        <v/>
      </c>
      <c r="R1224" s="37" t="str">
        <f t="shared" si="131"/>
        <v/>
      </c>
      <c r="S1224" s="37" t="str">
        <f t="shared" si="132"/>
        <v/>
      </c>
      <c r="T1224" s="38" t="str">
        <f t="shared" si="133"/>
        <v/>
      </c>
      <c r="U1224" s="37" t="str">
        <f t="shared" si="134"/>
        <v/>
      </c>
    </row>
    <row r="1225" spans="2:21" ht="17.25">
      <c r="B1225" s="156"/>
      <c r="C1225" s="156"/>
      <c r="D1225" s="157"/>
      <c r="E1225" s="155"/>
      <c r="F1225" s="151"/>
      <c r="G1225" s="152"/>
      <c r="H1225" s="153"/>
      <c r="I1225" s="154"/>
      <c r="J1225" s="154"/>
      <c r="K1225" s="30" t="str">
        <f>IF(H1225="","",IF($C$30="간이법","",FPR(H1225,I1225,J1225)))</f>
        <v/>
      </c>
      <c r="L1225" s="30" t="str">
        <f>IF(H1225="","",IF($C$30="상세법",FPV(H1225,K1225),IF(H1225="EI",4,IF(H1225="EO",5.2,IF(H1225="EQ",3.9,IF(H1225="ILF",7.5,IF(H1225="EIF",5.4)))))))</f>
        <v/>
      </c>
      <c r="M1225" s="30" t="str">
        <f t="shared" si="128"/>
        <v/>
      </c>
      <c r="N1225" s="134"/>
      <c r="O1225" s="29"/>
      <c r="P1225" s="37" t="str">
        <f t="shared" si="129"/>
        <v/>
      </c>
      <c r="Q1225" s="38" t="str">
        <f t="shared" si="130"/>
        <v/>
      </c>
      <c r="R1225" s="37" t="str">
        <f t="shared" si="131"/>
        <v/>
      </c>
      <c r="S1225" s="37" t="str">
        <f t="shared" si="132"/>
        <v/>
      </c>
      <c r="T1225" s="38" t="str">
        <f t="shared" si="133"/>
        <v/>
      </c>
      <c r="U1225" s="37" t="str">
        <f t="shared" si="134"/>
        <v/>
      </c>
    </row>
    <row r="1226" spans="2:21" ht="17.25">
      <c r="B1226" s="156"/>
      <c r="C1226" s="156"/>
      <c r="D1226" s="157"/>
      <c r="E1226" s="155"/>
      <c r="F1226" s="151"/>
      <c r="G1226" s="152"/>
      <c r="H1226" s="153"/>
      <c r="I1226" s="154"/>
      <c r="J1226" s="154"/>
      <c r="K1226" s="30" t="str">
        <f>IF(H1226="","",IF($C$30="간이법","",FPR(H1226,I1226,J1226)))</f>
        <v/>
      </c>
      <c r="L1226" s="30" t="str">
        <f>IF(H1226="","",IF($C$30="상세법",FPV(H1226,K1226),IF(H1226="EI",4,IF(H1226="EO",5.2,IF(H1226="EQ",3.9,IF(H1226="ILF",7.5,IF(H1226="EIF",5.4)))))))</f>
        <v/>
      </c>
      <c r="M1226" s="30" t="str">
        <f t="shared" si="128"/>
        <v/>
      </c>
      <c r="N1226" s="134"/>
      <c r="O1226" s="29"/>
      <c r="P1226" s="37" t="str">
        <f t="shared" si="129"/>
        <v/>
      </c>
      <c r="Q1226" s="38" t="str">
        <f t="shared" si="130"/>
        <v/>
      </c>
      <c r="R1226" s="37" t="str">
        <f t="shared" si="131"/>
        <v/>
      </c>
      <c r="S1226" s="37" t="str">
        <f t="shared" si="132"/>
        <v/>
      </c>
      <c r="T1226" s="38" t="str">
        <f t="shared" si="133"/>
        <v/>
      </c>
      <c r="U1226" s="37" t="str">
        <f t="shared" si="134"/>
        <v/>
      </c>
    </row>
    <row r="1227" spans="2:21" ht="17.25">
      <c r="B1227" s="156"/>
      <c r="C1227" s="156"/>
      <c r="D1227" s="157"/>
      <c r="E1227" s="155"/>
      <c r="F1227" s="151"/>
      <c r="G1227" s="152"/>
      <c r="H1227" s="153"/>
      <c r="I1227" s="154"/>
      <c r="J1227" s="154"/>
      <c r="K1227" s="30" t="str">
        <f>IF(H1227="","",IF($C$30="간이법","",FPR(H1227,I1227,J1227)))</f>
        <v/>
      </c>
      <c r="L1227" s="30" t="str">
        <f>IF(H1227="","",IF($C$30="상세법",FPV(H1227,K1227),IF(H1227="EI",4,IF(H1227="EO",5.2,IF(H1227="EQ",3.9,IF(H1227="ILF",7.5,IF(H1227="EIF",5.4)))))))</f>
        <v/>
      </c>
      <c r="M1227" s="30" t="str">
        <f t="shared" si="128"/>
        <v/>
      </c>
      <c r="N1227" s="134"/>
      <c r="O1227" s="29"/>
      <c r="P1227" s="37" t="str">
        <f t="shared" si="129"/>
        <v/>
      </c>
      <c r="Q1227" s="38" t="str">
        <f t="shared" si="130"/>
        <v/>
      </c>
      <c r="R1227" s="37" t="str">
        <f t="shared" si="131"/>
        <v/>
      </c>
      <c r="S1227" s="37" t="str">
        <f t="shared" si="132"/>
        <v/>
      </c>
      <c r="T1227" s="38" t="str">
        <f t="shared" si="133"/>
        <v/>
      </c>
      <c r="U1227" s="37" t="str">
        <f t="shared" si="134"/>
        <v/>
      </c>
    </row>
    <row r="1228" spans="2:21" ht="17.25">
      <c r="B1228" s="156"/>
      <c r="C1228" s="156"/>
      <c r="D1228" s="157"/>
      <c r="E1228" s="155"/>
      <c r="F1228" s="151"/>
      <c r="G1228" s="152"/>
      <c r="H1228" s="153"/>
      <c r="I1228" s="154"/>
      <c r="J1228" s="154"/>
      <c r="K1228" s="30" t="str">
        <f>IF(H1228="","",IF($C$30="간이법","",FPR(H1228,I1228,J1228)))</f>
        <v/>
      </c>
      <c r="L1228" s="30" t="str">
        <f>IF(H1228="","",IF($C$30="상세법",FPV(H1228,K1228),IF(H1228="EI",4,IF(H1228="EO",5.2,IF(H1228="EQ",3.9,IF(H1228="ILF",7.5,IF(H1228="EIF",5.4)))))))</f>
        <v/>
      </c>
      <c r="M1228" s="30" t="str">
        <f t="shared" si="128"/>
        <v/>
      </c>
      <c r="N1228" s="134"/>
      <c r="O1228" s="29"/>
      <c r="P1228" s="37" t="str">
        <f t="shared" si="129"/>
        <v/>
      </c>
      <c r="Q1228" s="38" t="str">
        <f t="shared" si="130"/>
        <v/>
      </c>
      <c r="R1228" s="37" t="str">
        <f t="shared" si="131"/>
        <v/>
      </c>
      <c r="S1228" s="37" t="str">
        <f t="shared" si="132"/>
        <v/>
      </c>
      <c r="T1228" s="38" t="str">
        <f t="shared" si="133"/>
        <v/>
      </c>
      <c r="U1228" s="37" t="str">
        <f t="shared" si="134"/>
        <v/>
      </c>
    </row>
    <row r="1229" spans="2:21" ht="17.25">
      <c r="B1229" s="156"/>
      <c r="C1229" s="156"/>
      <c r="D1229" s="157"/>
      <c r="E1229" s="155"/>
      <c r="F1229" s="151"/>
      <c r="G1229" s="152"/>
      <c r="H1229" s="153"/>
      <c r="I1229" s="154"/>
      <c r="J1229" s="154"/>
      <c r="K1229" s="30" t="str">
        <f>IF(H1229="","",IF($C$30="간이법","",FPR(H1229,I1229,J1229)))</f>
        <v/>
      </c>
      <c r="L1229" s="30" t="str">
        <f>IF(H1229="","",IF($C$30="상세법",FPV(H1229,K1229),IF(H1229="EI",4,IF(H1229="EO",5.2,IF(H1229="EQ",3.9,IF(H1229="ILF",7.5,IF(H1229="EIF",5.4)))))))</f>
        <v/>
      </c>
      <c r="M1229" s="30" t="str">
        <f t="shared" si="128"/>
        <v/>
      </c>
      <c r="N1229" s="134"/>
      <c r="O1229" s="29"/>
      <c r="P1229" s="37" t="str">
        <f t="shared" si="129"/>
        <v/>
      </c>
      <c r="Q1229" s="38" t="str">
        <f t="shared" si="130"/>
        <v/>
      </c>
      <c r="R1229" s="37" t="str">
        <f t="shared" si="131"/>
        <v/>
      </c>
      <c r="S1229" s="37" t="str">
        <f t="shared" si="132"/>
        <v/>
      </c>
      <c r="T1229" s="38" t="str">
        <f t="shared" si="133"/>
        <v/>
      </c>
      <c r="U1229" s="37" t="str">
        <f t="shared" si="134"/>
        <v/>
      </c>
    </row>
    <row r="1230" spans="2:21" ht="17.25">
      <c r="B1230" s="156"/>
      <c r="C1230" s="156"/>
      <c r="D1230" s="157"/>
      <c r="E1230" s="155"/>
      <c r="F1230" s="151"/>
      <c r="G1230" s="152"/>
      <c r="H1230" s="153"/>
      <c r="I1230" s="154"/>
      <c r="J1230" s="154"/>
      <c r="K1230" s="30" t="str">
        <f>IF(H1230="","",IF($C$30="간이법","",FPR(H1230,I1230,J1230)))</f>
        <v/>
      </c>
      <c r="L1230" s="30" t="str">
        <f>IF(H1230="","",IF($C$30="상세법",FPV(H1230,K1230),IF(H1230="EI",4,IF(H1230="EO",5.2,IF(H1230="EQ",3.9,IF(H1230="ILF",7.5,IF(H1230="EIF",5.4)))))))</f>
        <v/>
      </c>
      <c r="M1230" s="30" t="str">
        <f t="shared" si="128"/>
        <v/>
      </c>
      <c r="N1230" s="134"/>
      <c r="O1230" s="29"/>
      <c r="P1230" s="37" t="str">
        <f t="shared" si="129"/>
        <v/>
      </c>
      <c r="Q1230" s="38" t="str">
        <f t="shared" si="130"/>
        <v/>
      </c>
      <c r="R1230" s="37" t="str">
        <f t="shared" si="131"/>
        <v/>
      </c>
      <c r="S1230" s="37" t="str">
        <f t="shared" si="132"/>
        <v/>
      </c>
      <c r="T1230" s="38" t="str">
        <f t="shared" si="133"/>
        <v/>
      </c>
      <c r="U1230" s="37" t="str">
        <f t="shared" si="134"/>
        <v/>
      </c>
    </row>
    <row r="1231" spans="2:21" ht="17.25">
      <c r="B1231" s="156"/>
      <c r="C1231" s="156"/>
      <c r="D1231" s="157"/>
      <c r="E1231" s="155"/>
      <c r="F1231" s="151"/>
      <c r="G1231" s="152"/>
      <c r="H1231" s="153"/>
      <c r="I1231" s="154"/>
      <c r="J1231" s="154"/>
      <c r="K1231" s="30" t="str">
        <f>IF(H1231="","",IF($C$30="간이법","",FPR(H1231,I1231,J1231)))</f>
        <v/>
      </c>
      <c r="L1231" s="30" t="str">
        <f>IF(H1231="","",IF($C$30="상세법",FPV(H1231,K1231),IF(H1231="EI",4,IF(H1231="EO",5.2,IF(H1231="EQ",3.9,IF(H1231="ILF",7.5,IF(H1231="EIF",5.4)))))))</f>
        <v/>
      </c>
      <c r="M1231" s="30" t="str">
        <f t="shared" si="128"/>
        <v/>
      </c>
      <c r="N1231" s="134"/>
      <c r="O1231" s="29"/>
      <c r="P1231" s="37" t="str">
        <f t="shared" si="129"/>
        <v/>
      </c>
      <c r="Q1231" s="38" t="str">
        <f t="shared" si="130"/>
        <v/>
      </c>
      <c r="R1231" s="37" t="str">
        <f t="shared" si="131"/>
        <v/>
      </c>
      <c r="S1231" s="37" t="str">
        <f t="shared" si="132"/>
        <v/>
      </c>
      <c r="T1231" s="38" t="str">
        <f t="shared" si="133"/>
        <v/>
      </c>
      <c r="U1231" s="37" t="str">
        <f t="shared" si="134"/>
        <v/>
      </c>
    </row>
    <row r="1232" spans="2:21" ht="17.25">
      <c r="B1232" s="156"/>
      <c r="C1232" s="156"/>
      <c r="D1232" s="157"/>
      <c r="E1232" s="155"/>
      <c r="F1232" s="151"/>
      <c r="G1232" s="152"/>
      <c r="H1232" s="153"/>
      <c r="I1232" s="154"/>
      <c r="J1232" s="154"/>
      <c r="K1232" s="30" t="str">
        <f>IF(H1232="","",IF($C$30="간이법","",FPR(H1232,I1232,J1232)))</f>
        <v/>
      </c>
      <c r="L1232" s="30" t="str">
        <f>IF(H1232="","",IF($C$30="상세법",FPV(H1232,K1232),IF(H1232="EI",4,IF(H1232="EO",5.2,IF(H1232="EQ",3.9,IF(H1232="ILF",7.5,IF(H1232="EIF",5.4)))))))</f>
        <v/>
      </c>
      <c r="M1232" s="30" t="str">
        <f t="shared" si="128"/>
        <v/>
      </c>
      <c r="N1232" s="134"/>
      <c r="O1232" s="29"/>
      <c r="P1232" s="37" t="str">
        <f t="shared" si="129"/>
        <v/>
      </c>
      <c r="Q1232" s="38" t="str">
        <f t="shared" si="130"/>
        <v/>
      </c>
      <c r="R1232" s="37" t="str">
        <f t="shared" si="131"/>
        <v/>
      </c>
      <c r="S1232" s="37" t="str">
        <f t="shared" si="132"/>
        <v/>
      </c>
      <c r="T1232" s="38" t="str">
        <f t="shared" si="133"/>
        <v/>
      </c>
      <c r="U1232" s="37" t="str">
        <f t="shared" si="134"/>
        <v/>
      </c>
    </row>
    <row r="1233" spans="2:21" ht="17.25">
      <c r="B1233" s="156"/>
      <c r="C1233" s="156"/>
      <c r="D1233" s="157"/>
      <c r="E1233" s="155"/>
      <c r="F1233" s="151"/>
      <c r="G1233" s="152"/>
      <c r="H1233" s="153"/>
      <c r="I1233" s="154"/>
      <c r="J1233" s="154"/>
      <c r="K1233" s="30" t="str">
        <f>IF(H1233="","",IF($C$30="간이법","",FPR(H1233,I1233,J1233)))</f>
        <v/>
      </c>
      <c r="L1233" s="30" t="str">
        <f>IF(H1233="","",IF($C$30="상세법",FPV(H1233,K1233),IF(H1233="EI",4,IF(H1233="EO",5.2,IF(H1233="EQ",3.9,IF(H1233="ILF",7.5,IF(H1233="EIF",5.4)))))))</f>
        <v/>
      </c>
      <c r="M1233" s="30" t="str">
        <f t="shared" si="128"/>
        <v/>
      </c>
      <c r="N1233" s="134"/>
      <c r="O1233" s="29"/>
      <c r="P1233" s="37" t="str">
        <f t="shared" si="129"/>
        <v/>
      </c>
      <c r="Q1233" s="38" t="str">
        <f t="shared" si="130"/>
        <v/>
      </c>
      <c r="R1233" s="37" t="str">
        <f t="shared" si="131"/>
        <v/>
      </c>
      <c r="S1233" s="37" t="str">
        <f t="shared" si="132"/>
        <v/>
      </c>
      <c r="T1233" s="38" t="str">
        <f t="shared" si="133"/>
        <v/>
      </c>
      <c r="U1233" s="37" t="str">
        <f t="shared" si="134"/>
        <v/>
      </c>
    </row>
    <row r="1234" spans="2:21" ht="17.25">
      <c r="B1234" s="156"/>
      <c r="C1234" s="156"/>
      <c r="D1234" s="157"/>
      <c r="E1234" s="155"/>
      <c r="F1234" s="151"/>
      <c r="G1234" s="152"/>
      <c r="H1234" s="153"/>
      <c r="I1234" s="154"/>
      <c r="J1234" s="154"/>
      <c r="K1234" s="30" t="str">
        <f>IF(H1234="","",IF($C$30="간이법","",FPR(H1234,I1234,J1234)))</f>
        <v/>
      </c>
      <c r="L1234" s="30" t="str">
        <f>IF(H1234="","",IF($C$30="상세법",FPV(H1234,K1234),IF(H1234="EI",4,IF(H1234="EO",5.2,IF(H1234="EQ",3.9,IF(H1234="ILF",7.5,IF(H1234="EIF",5.4)))))))</f>
        <v/>
      </c>
      <c r="M1234" s="30" t="str">
        <f t="shared" si="128"/>
        <v/>
      </c>
      <c r="N1234" s="134"/>
      <c r="O1234" s="29"/>
      <c r="P1234" s="37" t="str">
        <f t="shared" si="129"/>
        <v/>
      </c>
      <c r="Q1234" s="38" t="str">
        <f t="shared" si="130"/>
        <v/>
      </c>
      <c r="R1234" s="37" t="str">
        <f t="shared" si="131"/>
        <v/>
      </c>
      <c r="S1234" s="37" t="str">
        <f t="shared" si="132"/>
        <v/>
      </c>
      <c r="T1234" s="38" t="str">
        <f t="shared" si="133"/>
        <v/>
      </c>
      <c r="U1234" s="37" t="str">
        <f t="shared" si="134"/>
        <v/>
      </c>
    </row>
    <row r="1235" spans="2:21" ht="17.25">
      <c r="B1235" s="156"/>
      <c r="C1235" s="156"/>
      <c r="D1235" s="157"/>
      <c r="E1235" s="155"/>
      <c r="F1235" s="151"/>
      <c r="G1235" s="152"/>
      <c r="H1235" s="153"/>
      <c r="I1235" s="154"/>
      <c r="J1235" s="154"/>
      <c r="K1235" s="30" t="str">
        <f>IF(H1235="","",IF($C$30="간이법","",FPR(H1235,I1235,J1235)))</f>
        <v/>
      </c>
      <c r="L1235" s="30" t="str">
        <f>IF(H1235="","",IF($C$30="상세법",FPV(H1235,K1235),IF(H1235="EI",4,IF(H1235="EO",5.2,IF(H1235="EQ",3.9,IF(H1235="ILF",7.5,IF(H1235="EIF",5.4)))))))</f>
        <v/>
      </c>
      <c r="M1235" s="30" t="str">
        <f t="shared" si="128"/>
        <v/>
      </c>
      <c r="N1235" s="134"/>
      <c r="O1235" s="29"/>
      <c r="P1235" s="37" t="str">
        <f t="shared" si="129"/>
        <v/>
      </c>
      <c r="Q1235" s="38" t="str">
        <f t="shared" si="130"/>
        <v/>
      </c>
      <c r="R1235" s="37" t="str">
        <f t="shared" si="131"/>
        <v/>
      </c>
      <c r="S1235" s="37" t="str">
        <f t="shared" si="132"/>
        <v/>
      </c>
      <c r="T1235" s="38" t="str">
        <f t="shared" si="133"/>
        <v/>
      </c>
      <c r="U1235" s="37" t="str">
        <f t="shared" si="134"/>
        <v/>
      </c>
    </row>
    <row r="1236" spans="2:21" ht="17.25">
      <c r="B1236" s="156"/>
      <c r="C1236" s="156"/>
      <c r="D1236" s="157"/>
      <c r="E1236" s="155"/>
      <c r="F1236" s="151"/>
      <c r="G1236" s="152"/>
      <c r="H1236" s="153"/>
      <c r="I1236" s="154"/>
      <c r="J1236" s="154"/>
      <c r="K1236" s="30" t="str">
        <f>IF(H1236="","",IF($C$30="간이법","",FPR(H1236,I1236,J1236)))</f>
        <v/>
      </c>
      <c r="L1236" s="30" t="str">
        <f>IF(H1236="","",IF($C$30="상세법",FPV(H1236,K1236),IF(H1236="EI",4,IF(H1236="EO",5.2,IF(H1236="EQ",3.9,IF(H1236="ILF",7.5,IF(H1236="EIF",5.4)))))))</f>
        <v/>
      </c>
      <c r="M1236" s="30" t="str">
        <f t="shared" si="128"/>
        <v/>
      </c>
      <c r="N1236" s="134"/>
      <c r="O1236" s="29"/>
      <c r="P1236" s="37" t="str">
        <f t="shared" si="129"/>
        <v/>
      </c>
      <c r="Q1236" s="38" t="str">
        <f t="shared" si="130"/>
        <v/>
      </c>
      <c r="R1236" s="37" t="str">
        <f t="shared" si="131"/>
        <v/>
      </c>
      <c r="S1236" s="37" t="str">
        <f t="shared" si="132"/>
        <v/>
      </c>
      <c r="T1236" s="38" t="str">
        <f t="shared" si="133"/>
        <v/>
      </c>
      <c r="U1236" s="37" t="str">
        <f t="shared" si="134"/>
        <v/>
      </c>
    </row>
    <row r="1237" spans="2:21" ht="17.25">
      <c r="B1237" s="156"/>
      <c r="C1237" s="156"/>
      <c r="D1237" s="157"/>
      <c r="E1237" s="155"/>
      <c r="F1237" s="151"/>
      <c r="G1237" s="152"/>
      <c r="H1237" s="153"/>
      <c r="I1237" s="154"/>
      <c r="J1237" s="154"/>
      <c r="K1237" s="30" t="str">
        <f>IF(H1237="","",IF($C$30="간이법","",FPR(H1237,I1237,J1237)))</f>
        <v/>
      </c>
      <c r="L1237" s="30" t="str">
        <f>IF(H1237="","",IF($C$30="상세법",FPV(H1237,K1237),IF(H1237="EI",4,IF(H1237="EO",5.2,IF(H1237="EQ",3.9,IF(H1237="ILF",7.5,IF(H1237="EIF",5.4)))))))</f>
        <v/>
      </c>
      <c r="M1237" s="30" t="str">
        <f t="shared" si="128"/>
        <v/>
      </c>
      <c r="N1237" s="134"/>
      <c r="O1237" s="29"/>
      <c r="P1237" s="37" t="str">
        <f t="shared" si="129"/>
        <v/>
      </c>
      <c r="Q1237" s="38" t="str">
        <f t="shared" si="130"/>
        <v/>
      </c>
      <c r="R1237" s="37" t="str">
        <f t="shared" si="131"/>
        <v/>
      </c>
      <c r="S1237" s="37" t="str">
        <f t="shared" si="132"/>
        <v/>
      </c>
      <c r="T1237" s="38" t="str">
        <f t="shared" si="133"/>
        <v/>
      </c>
      <c r="U1237" s="37" t="str">
        <f t="shared" si="134"/>
        <v/>
      </c>
    </row>
    <row r="1238" spans="2:21" ht="17.25">
      <c r="B1238" s="156"/>
      <c r="C1238" s="156"/>
      <c r="D1238" s="157"/>
      <c r="E1238" s="155"/>
      <c r="F1238" s="151"/>
      <c r="G1238" s="152"/>
      <c r="H1238" s="153"/>
      <c r="I1238" s="154"/>
      <c r="J1238" s="154"/>
      <c r="K1238" s="30" t="str">
        <f>IF(H1238="","",IF($C$30="간이법","",FPR(H1238,I1238,J1238)))</f>
        <v/>
      </c>
      <c r="L1238" s="30" t="str">
        <f>IF(H1238="","",IF($C$30="상세법",FPV(H1238,K1238),IF(H1238="EI",4,IF(H1238="EO",5.2,IF(H1238="EQ",3.9,IF(H1238="ILF",7.5,IF(H1238="EIF",5.4)))))))</f>
        <v/>
      </c>
      <c r="M1238" s="30" t="str">
        <f t="shared" si="128"/>
        <v/>
      </c>
      <c r="N1238" s="134"/>
      <c r="O1238" s="29"/>
      <c r="P1238" s="37" t="str">
        <f t="shared" si="129"/>
        <v/>
      </c>
      <c r="Q1238" s="38" t="str">
        <f t="shared" si="130"/>
        <v/>
      </c>
      <c r="R1238" s="37" t="str">
        <f t="shared" si="131"/>
        <v/>
      </c>
      <c r="S1238" s="37" t="str">
        <f t="shared" si="132"/>
        <v/>
      </c>
      <c r="T1238" s="38" t="str">
        <f t="shared" si="133"/>
        <v/>
      </c>
      <c r="U1238" s="37" t="str">
        <f t="shared" si="134"/>
        <v/>
      </c>
    </row>
    <row r="1239" spans="2:21" ht="17.25">
      <c r="B1239" s="156"/>
      <c r="C1239" s="156"/>
      <c r="D1239" s="157"/>
      <c r="E1239" s="155"/>
      <c r="F1239" s="151"/>
      <c r="G1239" s="152"/>
      <c r="H1239" s="153"/>
      <c r="I1239" s="154"/>
      <c r="J1239" s="154"/>
      <c r="K1239" s="30" t="str">
        <f>IF(H1239="","",IF($C$30="간이법","",FPR(H1239,I1239,J1239)))</f>
        <v/>
      </c>
      <c r="L1239" s="30" t="str">
        <f>IF(H1239="","",IF($C$30="상세법",FPV(H1239,K1239),IF(H1239="EI",4,IF(H1239="EO",5.2,IF(H1239="EQ",3.9,IF(H1239="ILF",7.5,IF(H1239="EIF",5.4)))))))</f>
        <v/>
      </c>
      <c r="M1239" s="30" t="str">
        <f t="shared" si="128"/>
        <v/>
      </c>
      <c r="N1239" s="134"/>
      <c r="O1239" s="29"/>
      <c r="P1239" s="37" t="str">
        <f t="shared" si="129"/>
        <v/>
      </c>
      <c r="Q1239" s="38" t="str">
        <f t="shared" si="130"/>
        <v/>
      </c>
      <c r="R1239" s="37" t="str">
        <f t="shared" si="131"/>
        <v/>
      </c>
      <c r="S1239" s="37" t="str">
        <f t="shared" si="132"/>
        <v/>
      </c>
      <c r="T1239" s="38" t="str">
        <f t="shared" si="133"/>
        <v/>
      </c>
      <c r="U1239" s="37" t="str">
        <f t="shared" si="134"/>
        <v/>
      </c>
    </row>
    <row r="1240" spans="2:21" ht="17.25">
      <c r="B1240" s="156"/>
      <c r="C1240" s="156"/>
      <c r="D1240" s="157"/>
      <c r="E1240" s="155"/>
      <c r="F1240" s="151"/>
      <c r="G1240" s="152"/>
      <c r="H1240" s="153"/>
      <c r="I1240" s="154"/>
      <c r="J1240" s="154"/>
      <c r="K1240" s="30" t="str">
        <f>IF(H1240="","",IF($C$30="간이법","",FPR(H1240,I1240,J1240)))</f>
        <v/>
      </c>
      <c r="L1240" s="30" t="str">
        <f>IF(H1240="","",IF($C$30="상세법",FPV(H1240,K1240),IF(H1240="EI",4,IF(H1240="EO",5.2,IF(H1240="EQ",3.9,IF(H1240="ILF",7.5,IF(H1240="EIF",5.4)))))))</f>
        <v/>
      </c>
      <c r="M1240" s="30" t="str">
        <f t="shared" si="128"/>
        <v/>
      </c>
      <c r="N1240" s="134"/>
      <c r="O1240" s="29"/>
      <c r="P1240" s="37" t="str">
        <f t="shared" si="129"/>
        <v/>
      </c>
      <c r="Q1240" s="38" t="str">
        <f t="shared" si="130"/>
        <v/>
      </c>
      <c r="R1240" s="37" t="str">
        <f t="shared" si="131"/>
        <v/>
      </c>
      <c r="S1240" s="37" t="str">
        <f t="shared" si="132"/>
        <v/>
      </c>
      <c r="T1240" s="38" t="str">
        <f t="shared" si="133"/>
        <v/>
      </c>
      <c r="U1240" s="37" t="str">
        <f t="shared" si="134"/>
        <v/>
      </c>
    </row>
    <row r="1241" spans="2:21" ht="17.25">
      <c r="B1241" s="156"/>
      <c r="C1241" s="156"/>
      <c r="D1241" s="157"/>
      <c r="E1241" s="155"/>
      <c r="F1241" s="151"/>
      <c r="G1241" s="152"/>
      <c r="H1241" s="153"/>
      <c r="I1241" s="154"/>
      <c r="J1241" s="154"/>
      <c r="K1241" s="30" t="str">
        <f>IF(H1241="","",IF($C$30="간이법","",FPR(H1241,I1241,J1241)))</f>
        <v/>
      </c>
      <c r="L1241" s="30" t="str">
        <f>IF(H1241="","",IF($C$30="상세법",FPV(H1241,K1241),IF(H1241="EI",4,IF(H1241="EO",5.2,IF(H1241="EQ",3.9,IF(H1241="ILF",7.5,IF(H1241="EIF",5.4)))))))</f>
        <v/>
      </c>
      <c r="M1241" s="30" t="str">
        <f t="shared" si="128"/>
        <v/>
      </c>
      <c r="N1241" s="134"/>
      <c r="O1241" s="29"/>
      <c r="P1241" s="37" t="str">
        <f t="shared" si="129"/>
        <v/>
      </c>
      <c r="Q1241" s="38" t="str">
        <f t="shared" si="130"/>
        <v/>
      </c>
      <c r="R1241" s="37" t="str">
        <f t="shared" si="131"/>
        <v/>
      </c>
      <c r="S1241" s="37" t="str">
        <f t="shared" si="132"/>
        <v/>
      </c>
      <c r="T1241" s="38" t="str">
        <f t="shared" si="133"/>
        <v/>
      </c>
      <c r="U1241" s="37" t="str">
        <f t="shared" si="134"/>
        <v/>
      </c>
    </row>
    <row r="1242" spans="2:21" ht="17.25">
      <c r="B1242" s="156"/>
      <c r="C1242" s="156"/>
      <c r="D1242" s="157"/>
      <c r="E1242" s="155"/>
      <c r="F1242" s="151"/>
      <c r="G1242" s="152"/>
      <c r="H1242" s="153"/>
      <c r="I1242" s="154"/>
      <c r="J1242" s="154"/>
      <c r="K1242" s="30" t="str">
        <f>IF(H1242="","",IF($C$30="간이법","",FPR(H1242,I1242,J1242)))</f>
        <v/>
      </c>
      <c r="L1242" s="30" t="str">
        <f>IF(H1242="","",IF($C$30="상세법",FPV(H1242,K1242),IF(H1242="EI",4,IF(H1242="EO",5.2,IF(H1242="EQ",3.9,IF(H1242="ILF",7.5,IF(H1242="EIF",5.4)))))))</f>
        <v/>
      </c>
      <c r="M1242" s="30" t="str">
        <f t="shared" si="128"/>
        <v/>
      </c>
      <c r="N1242" s="134"/>
      <c r="O1242" s="29"/>
      <c r="P1242" s="37" t="str">
        <f t="shared" si="129"/>
        <v/>
      </c>
      <c r="Q1242" s="38" t="str">
        <f t="shared" si="130"/>
        <v/>
      </c>
      <c r="R1242" s="37" t="str">
        <f t="shared" si="131"/>
        <v/>
      </c>
      <c r="S1242" s="37" t="str">
        <f t="shared" si="132"/>
        <v/>
      </c>
      <c r="T1242" s="38" t="str">
        <f t="shared" si="133"/>
        <v/>
      </c>
      <c r="U1242" s="37" t="str">
        <f t="shared" si="134"/>
        <v/>
      </c>
    </row>
    <row r="1243" spans="2:21" ht="17.25">
      <c r="B1243" s="156"/>
      <c r="C1243" s="156"/>
      <c r="D1243" s="157"/>
      <c r="E1243" s="155"/>
      <c r="F1243" s="151"/>
      <c r="G1243" s="152"/>
      <c r="H1243" s="153"/>
      <c r="I1243" s="154"/>
      <c r="J1243" s="154"/>
      <c r="K1243" s="30" t="str">
        <f>IF(H1243="","",IF($C$30="간이법","",FPR(H1243,I1243,J1243)))</f>
        <v/>
      </c>
      <c r="L1243" s="30" t="str">
        <f>IF(H1243="","",IF($C$30="상세법",FPV(H1243,K1243),IF(H1243="EI",4,IF(H1243="EO",5.2,IF(H1243="EQ",3.9,IF(H1243="ILF",7.5,IF(H1243="EIF",5.4)))))))</f>
        <v/>
      </c>
      <c r="M1243" s="30" t="str">
        <f t="shared" si="128"/>
        <v/>
      </c>
      <c r="N1243" s="134"/>
      <c r="O1243" s="29"/>
      <c r="P1243" s="37" t="str">
        <f t="shared" si="129"/>
        <v/>
      </c>
      <c r="Q1243" s="38" t="str">
        <f t="shared" si="130"/>
        <v/>
      </c>
      <c r="R1243" s="37" t="str">
        <f t="shared" si="131"/>
        <v/>
      </c>
      <c r="S1243" s="37" t="str">
        <f t="shared" si="132"/>
        <v/>
      </c>
      <c r="T1243" s="38" t="str">
        <f t="shared" si="133"/>
        <v/>
      </c>
      <c r="U1243" s="37" t="str">
        <f t="shared" si="134"/>
        <v/>
      </c>
    </row>
    <row r="1244" spans="2:21" ht="17.25">
      <c r="B1244" s="156"/>
      <c r="C1244" s="156"/>
      <c r="D1244" s="157"/>
      <c r="E1244" s="155"/>
      <c r="F1244" s="151"/>
      <c r="G1244" s="152"/>
      <c r="H1244" s="153"/>
      <c r="I1244" s="154"/>
      <c r="J1244" s="154"/>
      <c r="K1244" s="30" t="str">
        <f>IF(H1244="","",IF($C$30="간이법","",FPR(H1244,I1244,J1244)))</f>
        <v/>
      </c>
      <c r="L1244" s="30" t="str">
        <f>IF(H1244="","",IF($C$30="상세법",FPV(H1244,K1244),IF(H1244="EI",4,IF(H1244="EO",5.2,IF(H1244="EQ",3.9,IF(H1244="ILF",7.5,IF(H1244="EIF",5.4)))))))</f>
        <v/>
      </c>
      <c r="M1244" s="30" t="str">
        <f t="shared" si="128"/>
        <v/>
      </c>
      <c r="N1244" s="134"/>
      <c r="O1244" s="29"/>
      <c r="P1244" s="37" t="str">
        <f t="shared" si="129"/>
        <v/>
      </c>
      <c r="Q1244" s="38" t="str">
        <f t="shared" si="130"/>
        <v/>
      </c>
      <c r="R1244" s="37" t="str">
        <f t="shared" si="131"/>
        <v/>
      </c>
      <c r="S1244" s="37" t="str">
        <f t="shared" si="132"/>
        <v/>
      </c>
      <c r="T1244" s="38" t="str">
        <f t="shared" si="133"/>
        <v/>
      </c>
      <c r="U1244" s="37" t="str">
        <f t="shared" si="134"/>
        <v/>
      </c>
    </row>
    <row r="1245" spans="2:21" ht="17.25">
      <c r="B1245" s="156"/>
      <c r="C1245" s="156"/>
      <c r="D1245" s="157"/>
      <c r="E1245" s="155"/>
      <c r="F1245" s="151"/>
      <c r="G1245" s="152"/>
      <c r="H1245" s="153"/>
      <c r="I1245" s="154"/>
      <c r="J1245" s="154"/>
      <c r="K1245" s="30" t="str">
        <f>IF(H1245="","",IF($C$30="간이법","",FPR(H1245,I1245,J1245)))</f>
        <v/>
      </c>
      <c r="L1245" s="30" t="str">
        <f>IF(H1245="","",IF($C$30="상세법",FPV(H1245,K1245),IF(H1245="EI",4,IF(H1245="EO",5.2,IF(H1245="EQ",3.9,IF(H1245="ILF",7.5,IF(H1245="EIF",5.4)))))))</f>
        <v/>
      </c>
      <c r="M1245" s="30" t="str">
        <f t="shared" si="128"/>
        <v/>
      </c>
      <c r="N1245" s="134"/>
      <c r="O1245" s="29"/>
      <c r="P1245" s="37" t="str">
        <f t="shared" si="129"/>
        <v/>
      </c>
      <c r="Q1245" s="38" t="str">
        <f t="shared" si="130"/>
        <v/>
      </c>
      <c r="R1245" s="37" t="str">
        <f t="shared" si="131"/>
        <v/>
      </c>
      <c r="S1245" s="37" t="str">
        <f t="shared" si="132"/>
        <v/>
      </c>
      <c r="T1245" s="38" t="str">
        <f t="shared" si="133"/>
        <v/>
      </c>
      <c r="U1245" s="37" t="str">
        <f t="shared" si="134"/>
        <v/>
      </c>
    </row>
    <row r="1246" spans="2:21" ht="17.25">
      <c r="B1246" s="156"/>
      <c r="C1246" s="156"/>
      <c r="D1246" s="157"/>
      <c r="E1246" s="155"/>
      <c r="F1246" s="151"/>
      <c r="G1246" s="152"/>
      <c r="H1246" s="153"/>
      <c r="I1246" s="154"/>
      <c r="J1246" s="154"/>
      <c r="K1246" s="30" t="str">
        <f>IF(H1246="","",IF($C$30="간이법","",FPR(H1246,I1246,J1246)))</f>
        <v/>
      </c>
      <c r="L1246" s="30" t="str">
        <f>IF(H1246="","",IF($C$30="상세법",FPV(H1246,K1246),IF(H1246="EI",4,IF(H1246="EO",5.2,IF(H1246="EQ",3.9,IF(H1246="ILF",7.5,IF(H1246="EIF",5.4)))))))</f>
        <v/>
      </c>
      <c r="M1246" s="30" t="str">
        <f t="shared" si="128"/>
        <v/>
      </c>
      <c r="N1246" s="134"/>
      <c r="O1246" s="29"/>
      <c r="P1246" s="37" t="str">
        <f t="shared" si="129"/>
        <v/>
      </c>
      <c r="Q1246" s="38" t="str">
        <f t="shared" si="130"/>
        <v/>
      </c>
      <c r="R1246" s="37" t="str">
        <f t="shared" si="131"/>
        <v/>
      </c>
      <c r="S1246" s="37" t="str">
        <f t="shared" si="132"/>
        <v/>
      </c>
      <c r="T1246" s="38" t="str">
        <f t="shared" si="133"/>
        <v/>
      </c>
      <c r="U1246" s="37" t="str">
        <f t="shared" si="134"/>
        <v/>
      </c>
    </row>
    <row r="1247" spans="2:21" ht="17.25">
      <c r="B1247" s="156"/>
      <c r="C1247" s="156"/>
      <c r="D1247" s="157"/>
      <c r="E1247" s="155"/>
      <c r="F1247" s="151"/>
      <c r="G1247" s="152"/>
      <c r="H1247" s="153"/>
      <c r="I1247" s="154"/>
      <c r="J1247" s="154"/>
      <c r="K1247" s="30" t="str">
        <f>IF(H1247="","",IF($C$30="간이법","",FPR(H1247,I1247,J1247)))</f>
        <v/>
      </c>
      <c r="L1247" s="30" t="str">
        <f>IF(H1247="","",IF($C$30="상세법",FPV(H1247,K1247),IF(H1247="EI",4,IF(H1247="EO",5.2,IF(H1247="EQ",3.9,IF(H1247="ILF",7.5,IF(H1247="EIF",5.4)))))))</f>
        <v/>
      </c>
      <c r="M1247" s="30" t="str">
        <f t="shared" si="128"/>
        <v/>
      </c>
      <c r="N1247" s="134"/>
      <c r="O1247" s="29"/>
      <c r="P1247" s="37" t="str">
        <f t="shared" si="129"/>
        <v/>
      </c>
      <c r="Q1247" s="38" t="str">
        <f t="shared" si="130"/>
        <v/>
      </c>
      <c r="R1247" s="37" t="str">
        <f t="shared" si="131"/>
        <v/>
      </c>
      <c r="S1247" s="37" t="str">
        <f t="shared" si="132"/>
        <v/>
      </c>
      <c r="T1247" s="38" t="str">
        <f t="shared" si="133"/>
        <v/>
      </c>
      <c r="U1247" s="37" t="str">
        <f t="shared" si="134"/>
        <v/>
      </c>
    </row>
    <row r="1248" spans="2:21" ht="17.25">
      <c r="B1248" s="156"/>
      <c r="C1248" s="156"/>
      <c r="D1248" s="157"/>
      <c r="E1248" s="155"/>
      <c r="F1248" s="151"/>
      <c r="G1248" s="152"/>
      <c r="H1248" s="153"/>
      <c r="I1248" s="154"/>
      <c r="J1248" s="154"/>
      <c r="K1248" s="30" t="str">
        <f>IF(H1248="","",IF($C$30="간이법","",FPR(H1248,I1248,J1248)))</f>
        <v/>
      </c>
      <c r="L1248" s="30" t="str">
        <f>IF(H1248="","",IF($C$30="상세법",FPV(H1248,K1248),IF(H1248="EI",4,IF(H1248="EO",5.2,IF(H1248="EQ",3.9,IF(H1248="ILF",7.5,IF(H1248="EIF",5.4)))))))</f>
        <v/>
      </c>
      <c r="M1248" s="30" t="str">
        <f t="shared" si="128"/>
        <v/>
      </c>
      <c r="N1248" s="134"/>
      <c r="O1248" s="29"/>
      <c r="P1248" s="37" t="str">
        <f t="shared" si="129"/>
        <v/>
      </c>
      <c r="Q1248" s="38" t="str">
        <f t="shared" si="130"/>
        <v/>
      </c>
      <c r="R1248" s="37" t="str">
        <f t="shared" si="131"/>
        <v/>
      </c>
      <c r="S1248" s="37" t="str">
        <f t="shared" si="132"/>
        <v/>
      </c>
      <c r="T1248" s="38" t="str">
        <f t="shared" si="133"/>
        <v/>
      </c>
      <c r="U1248" s="37" t="str">
        <f t="shared" si="134"/>
        <v/>
      </c>
    </row>
    <row r="1249" spans="2:21" ht="17.25">
      <c r="B1249" s="156"/>
      <c r="C1249" s="156"/>
      <c r="D1249" s="157"/>
      <c r="E1249" s="155"/>
      <c r="F1249" s="151"/>
      <c r="G1249" s="152"/>
      <c r="H1249" s="153"/>
      <c r="I1249" s="154"/>
      <c r="J1249" s="154"/>
      <c r="K1249" s="30" t="str">
        <f>IF(H1249="","",IF($C$30="간이법","",FPR(H1249,I1249,J1249)))</f>
        <v/>
      </c>
      <c r="L1249" s="30" t="str">
        <f>IF(H1249="","",IF($C$30="상세법",FPV(H1249,K1249),IF(H1249="EI",4,IF(H1249="EO",5.2,IF(H1249="EQ",3.9,IF(H1249="ILF",7.5,IF(H1249="EIF",5.4)))))))</f>
        <v/>
      </c>
      <c r="M1249" s="30" t="str">
        <f t="shared" si="128"/>
        <v/>
      </c>
      <c r="N1249" s="134"/>
      <c r="O1249" s="29"/>
      <c r="P1249" s="37" t="str">
        <f t="shared" si="129"/>
        <v/>
      </c>
      <c r="Q1249" s="38" t="str">
        <f t="shared" si="130"/>
        <v/>
      </c>
      <c r="R1249" s="37" t="str">
        <f t="shared" si="131"/>
        <v/>
      </c>
      <c r="S1249" s="37" t="str">
        <f t="shared" si="132"/>
        <v/>
      </c>
      <c r="T1249" s="38" t="str">
        <f t="shared" si="133"/>
        <v/>
      </c>
      <c r="U1249" s="37" t="str">
        <f t="shared" si="134"/>
        <v/>
      </c>
    </row>
    <row r="1250" spans="2:21" ht="17.25">
      <c r="B1250" s="156"/>
      <c r="C1250" s="156"/>
      <c r="D1250" s="157"/>
      <c r="E1250" s="155"/>
      <c r="F1250" s="151"/>
      <c r="G1250" s="152"/>
      <c r="H1250" s="153"/>
      <c r="I1250" s="154"/>
      <c r="J1250" s="154"/>
      <c r="K1250" s="30" t="str">
        <f>IF(H1250="","",IF($C$30="간이법","",FPR(H1250,I1250,J1250)))</f>
        <v/>
      </c>
      <c r="L1250" s="30" t="str">
        <f>IF(H1250="","",IF($C$30="상세법",FPV(H1250,K1250),IF(H1250="EI",4,IF(H1250="EO",5.2,IF(H1250="EQ",3.9,IF(H1250="ILF",7.5,IF(H1250="EIF",5.4)))))))</f>
        <v/>
      </c>
      <c r="M1250" s="30" t="str">
        <f t="shared" si="128"/>
        <v/>
      </c>
      <c r="N1250" s="134"/>
      <c r="O1250" s="29"/>
      <c r="P1250" s="37" t="str">
        <f t="shared" si="129"/>
        <v/>
      </c>
      <c r="Q1250" s="38" t="str">
        <f t="shared" si="130"/>
        <v/>
      </c>
      <c r="R1250" s="37" t="str">
        <f t="shared" si="131"/>
        <v/>
      </c>
      <c r="S1250" s="37" t="str">
        <f t="shared" si="132"/>
        <v/>
      </c>
      <c r="T1250" s="38" t="str">
        <f t="shared" si="133"/>
        <v/>
      </c>
      <c r="U1250" s="37" t="str">
        <f t="shared" si="134"/>
        <v/>
      </c>
    </row>
    <row r="1251" spans="2:21" ht="17.25">
      <c r="B1251" s="156"/>
      <c r="C1251" s="156"/>
      <c r="D1251" s="157"/>
      <c r="E1251" s="155"/>
      <c r="F1251" s="151"/>
      <c r="G1251" s="152"/>
      <c r="H1251" s="153"/>
      <c r="I1251" s="154"/>
      <c r="J1251" s="154"/>
      <c r="K1251" s="30" t="str">
        <f>IF(H1251="","",IF($C$30="간이법","",FPR(H1251,I1251,J1251)))</f>
        <v/>
      </c>
      <c r="L1251" s="30" t="str">
        <f>IF(H1251="","",IF($C$30="상세법",FPV(H1251,K1251),IF(H1251="EI",4,IF(H1251="EO",5.2,IF(H1251="EQ",3.9,IF(H1251="ILF",7.5,IF(H1251="EIF",5.4)))))))</f>
        <v/>
      </c>
      <c r="M1251" s="30" t="str">
        <f t="shared" si="128"/>
        <v/>
      </c>
      <c r="N1251" s="134"/>
      <c r="O1251" s="29"/>
      <c r="P1251" s="37" t="str">
        <f t="shared" si="129"/>
        <v/>
      </c>
      <c r="Q1251" s="38" t="str">
        <f t="shared" si="130"/>
        <v/>
      </c>
      <c r="R1251" s="37" t="str">
        <f t="shared" si="131"/>
        <v/>
      </c>
      <c r="S1251" s="37" t="str">
        <f t="shared" si="132"/>
        <v/>
      </c>
      <c r="T1251" s="38" t="str">
        <f t="shared" si="133"/>
        <v/>
      </c>
      <c r="U1251" s="37" t="str">
        <f t="shared" si="134"/>
        <v/>
      </c>
    </row>
    <row r="1252" spans="2:21" ht="17.25">
      <c r="B1252" s="156"/>
      <c r="C1252" s="156"/>
      <c r="D1252" s="157"/>
      <c r="E1252" s="155"/>
      <c r="F1252" s="151"/>
      <c r="G1252" s="152"/>
      <c r="H1252" s="153"/>
      <c r="I1252" s="154"/>
      <c r="J1252" s="154"/>
      <c r="K1252" s="30" t="str">
        <f>IF(H1252="","",IF($C$30="간이법","",FPR(H1252,I1252,J1252)))</f>
        <v/>
      </c>
      <c r="L1252" s="30" t="str">
        <f>IF(H1252="","",IF($C$30="상세법",FPV(H1252,K1252),IF(H1252="EI",4,IF(H1252="EO",5.2,IF(H1252="EQ",3.9,IF(H1252="ILF",7.5,IF(H1252="EIF",5.4)))))))</f>
        <v/>
      </c>
      <c r="M1252" s="30" t="str">
        <f t="shared" si="128"/>
        <v/>
      </c>
      <c r="N1252" s="134"/>
      <c r="O1252" s="29"/>
      <c r="P1252" s="37" t="str">
        <f t="shared" si="129"/>
        <v/>
      </c>
      <c r="Q1252" s="38" t="str">
        <f t="shared" si="130"/>
        <v/>
      </c>
      <c r="R1252" s="37" t="str">
        <f t="shared" si="131"/>
        <v/>
      </c>
      <c r="S1252" s="37" t="str">
        <f t="shared" si="132"/>
        <v/>
      </c>
      <c r="T1252" s="38" t="str">
        <f t="shared" si="133"/>
        <v/>
      </c>
      <c r="U1252" s="37" t="str">
        <f t="shared" si="134"/>
        <v/>
      </c>
    </row>
    <row r="1253" spans="2:21" ht="17.25">
      <c r="B1253" s="156"/>
      <c r="C1253" s="156"/>
      <c r="D1253" s="157"/>
      <c r="E1253" s="155"/>
      <c r="F1253" s="151"/>
      <c r="G1253" s="152"/>
      <c r="H1253" s="153"/>
      <c r="I1253" s="154"/>
      <c r="J1253" s="154"/>
      <c r="K1253" s="30" t="str">
        <f>IF(H1253="","",IF($C$30="간이법","",FPR(H1253,I1253,J1253)))</f>
        <v/>
      </c>
      <c r="L1253" s="30" t="str">
        <f>IF(H1253="","",IF($C$30="상세법",FPV(H1253,K1253),IF(H1253="EI",4,IF(H1253="EO",5.2,IF(H1253="EQ",3.9,IF(H1253="ILF",7.5,IF(H1253="EIF",5.4)))))))</f>
        <v/>
      </c>
      <c r="M1253" s="30" t="str">
        <f t="shared" si="128"/>
        <v/>
      </c>
      <c r="N1253" s="134"/>
      <c r="O1253" s="29"/>
      <c r="P1253" s="37" t="str">
        <f t="shared" si="129"/>
        <v/>
      </c>
      <c r="Q1253" s="38" t="str">
        <f t="shared" si="130"/>
        <v/>
      </c>
      <c r="R1253" s="37" t="str">
        <f t="shared" si="131"/>
        <v/>
      </c>
      <c r="S1253" s="37" t="str">
        <f t="shared" si="132"/>
        <v/>
      </c>
      <c r="T1253" s="38" t="str">
        <f t="shared" si="133"/>
        <v/>
      </c>
      <c r="U1253" s="37" t="str">
        <f t="shared" si="134"/>
        <v/>
      </c>
    </row>
    <row r="1254" spans="2:21" ht="17.25">
      <c r="B1254" s="156"/>
      <c r="C1254" s="156"/>
      <c r="D1254" s="157"/>
      <c r="E1254" s="155"/>
      <c r="F1254" s="151"/>
      <c r="G1254" s="152"/>
      <c r="H1254" s="153"/>
      <c r="I1254" s="154"/>
      <c r="J1254" s="154"/>
      <c r="K1254" s="30" t="str">
        <f>IF(H1254="","",IF($C$30="간이법","",FPR(H1254,I1254,J1254)))</f>
        <v/>
      </c>
      <c r="L1254" s="30" t="str">
        <f>IF(H1254="","",IF($C$30="상세법",FPV(H1254,K1254),IF(H1254="EI",4,IF(H1254="EO",5.2,IF(H1254="EQ",3.9,IF(H1254="ILF",7.5,IF(H1254="EIF",5.4)))))))</f>
        <v/>
      </c>
      <c r="M1254" s="30" t="str">
        <f t="shared" si="128"/>
        <v/>
      </c>
      <c r="N1254" s="134"/>
      <c r="O1254" s="29"/>
      <c r="P1254" s="37" t="str">
        <f t="shared" si="129"/>
        <v/>
      </c>
      <c r="Q1254" s="38" t="str">
        <f t="shared" si="130"/>
        <v/>
      </c>
      <c r="R1254" s="37" t="str">
        <f t="shared" si="131"/>
        <v/>
      </c>
      <c r="S1254" s="37" t="str">
        <f t="shared" si="132"/>
        <v/>
      </c>
      <c r="T1254" s="38" t="str">
        <f t="shared" si="133"/>
        <v/>
      </c>
      <c r="U1254" s="37" t="str">
        <f t="shared" si="134"/>
        <v/>
      </c>
    </row>
    <row r="1255" spans="2:21" ht="17.25">
      <c r="B1255" s="156"/>
      <c r="C1255" s="156"/>
      <c r="D1255" s="157"/>
      <c r="E1255" s="155"/>
      <c r="F1255" s="151"/>
      <c r="G1255" s="152"/>
      <c r="H1255" s="153"/>
      <c r="I1255" s="154"/>
      <c r="J1255" s="154"/>
      <c r="K1255" s="30" t="str">
        <f>IF(H1255="","",IF($C$30="간이법","",FPR(H1255,I1255,J1255)))</f>
        <v/>
      </c>
      <c r="L1255" s="30" t="str">
        <f>IF(H1255="","",IF($C$30="상세법",FPV(H1255,K1255),IF(H1255="EI",4,IF(H1255="EO",5.2,IF(H1255="EQ",3.9,IF(H1255="ILF",7.5,IF(H1255="EIF",5.4)))))))</f>
        <v/>
      </c>
      <c r="M1255" s="30" t="str">
        <f t="shared" si="128"/>
        <v/>
      </c>
      <c r="N1255" s="134"/>
      <c r="O1255" s="29"/>
      <c r="P1255" s="37" t="str">
        <f t="shared" si="129"/>
        <v/>
      </c>
      <c r="Q1255" s="38" t="str">
        <f t="shared" si="130"/>
        <v/>
      </c>
      <c r="R1255" s="37" t="str">
        <f t="shared" si="131"/>
        <v/>
      </c>
      <c r="S1255" s="37" t="str">
        <f t="shared" si="132"/>
        <v/>
      </c>
      <c r="T1255" s="38" t="str">
        <f t="shared" si="133"/>
        <v/>
      </c>
      <c r="U1255" s="37" t="str">
        <f t="shared" si="134"/>
        <v/>
      </c>
    </row>
    <row r="1256" spans="2:21" ht="17.25">
      <c r="B1256" s="156"/>
      <c r="C1256" s="156"/>
      <c r="D1256" s="157"/>
      <c r="E1256" s="155"/>
      <c r="F1256" s="151"/>
      <c r="G1256" s="152"/>
      <c r="H1256" s="153"/>
      <c r="I1256" s="154"/>
      <c r="J1256" s="154"/>
      <c r="K1256" s="30" t="str">
        <f>IF(H1256="","",IF($C$30="간이법","",FPR(H1256,I1256,J1256)))</f>
        <v/>
      </c>
      <c r="L1256" s="30" t="str">
        <f>IF(H1256="","",IF($C$30="상세법",FPV(H1256,K1256),IF(H1256="EI",4,IF(H1256="EO",5.2,IF(H1256="EQ",3.9,IF(H1256="ILF",7.5,IF(H1256="EIF",5.4)))))))</f>
        <v/>
      </c>
      <c r="M1256" s="30" t="str">
        <f t="shared" si="128"/>
        <v/>
      </c>
      <c r="N1256" s="134"/>
      <c r="O1256" s="29"/>
      <c r="P1256" s="37" t="str">
        <f t="shared" si="129"/>
        <v/>
      </c>
      <c r="Q1256" s="38" t="str">
        <f t="shared" si="130"/>
        <v/>
      </c>
      <c r="R1256" s="37" t="str">
        <f t="shared" si="131"/>
        <v/>
      </c>
      <c r="S1256" s="37" t="str">
        <f t="shared" si="132"/>
        <v/>
      </c>
      <c r="T1256" s="38" t="str">
        <f t="shared" si="133"/>
        <v/>
      </c>
      <c r="U1256" s="37" t="str">
        <f t="shared" si="134"/>
        <v/>
      </c>
    </row>
    <row r="1257" spans="2:21" ht="17.25">
      <c r="B1257" s="156"/>
      <c r="C1257" s="156"/>
      <c r="D1257" s="157"/>
      <c r="E1257" s="155"/>
      <c r="F1257" s="151"/>
      <c r="G1257" s="152"/>
      <c r="H1257" s="153"/>
      <c r="I1257" s="154"/>
      <c r="J1257" s="154"/>
      <c r="K1257" s="30" t="str">
        <f>IF(H1257="","",IF($C$30="간이법","",FPR(H1257,I1257,J1257)))</f>
        <v/>
      </c>
      <c r="L1257" s="30" t="str">
        <f>IF(H1257="","",IF($C$30="상세법",FPV(H1257,K1257),IF(H1257="EI",4,IF(H1257="EO",5.2,IF(H1257="EQ",3.9,IF(H1257="ILF",7.5,IF(H1257="EIF",5.4)))))))</f>
        <v/>
      </c>
      <c r="M1257" s="30" t="str">
        <f t="shared" si="128"/>
        <v/>
      </c>
      <c r="N1257" s="134"/>
      <c r="O1257" s="29"/>
      <c r="P1257" s="37" t="str">
        <f t="shared" si="129"/>
        <v/>
      </c>
      <c r="Q1257" s="38" t="str">
        <f t="shared" si="130"/>
        <v/>
      </c>
      <c r="R1257" s="37" t="str">
        <f t="shared" si="131"/>
        <v/>
      </c>
      <c r="S1257" s="37" t="str">
        <f t="shared" si="132"/>
        <v/>
      </c>
      <c r="T1257" s="38" t="str">
        <f t="shared" si="133"/>
        <v/>
      </c>
      <c r="U1257" s="37" t="str">
        <f t="shared" si="134"/>
        <v/>
      </c>
    </row>
    <row r="1258" spans="2:21" ht="17.25">
      <c r="B1258" s="156"/>
      <c r="C1258" s="156"/>
      <c r="D1258" s="157"/>
      <c r="E1258" s="155"/>
      <c r="F1258" s="151"/>
      <c r="G1258" s="152"/>
      <c r="H1258" s="153"/>
      <c r="I1258" s="154"/>
      <c r="J1258" s="154"/>
      <c r="K1258" s="30" t="str">
        <f>IF(H1258="","",IF($C$30="간이법","",FPR(H1258,I1258,J1258)))</f>
        <v/>
      </c>
      <c r="L1258" s="30" t="str">
        <f>IF(H1258="","",IF($C$30="상세법",FPV(H1258,K1258),IF(H1258="EI",4,IF(H1258="EO",5.2,IF(H1258="EQ",3.9,IF(H1258="ILF",7.5,IF(H1258="EIF",5.4)))))))</f>
        <v/>
      </c>
      <c r="M1258" s="30" t="str">
        <f t="shared" si="128"/>
        <v/>
      </c>
      <c r="N1258" s="134"/>
      <c r="O1258" s="29"/>
      <c r="P1258" s="37" t="str">
        <f t="shared" si="129"/>
        <v/>
      </c>
      <c r="Q1258" s="38" t="str">
        <f t="shared" si="130"/>
        <v/>
      </c>
      <c r="R1258" s="37" t="str">
        <f t="shared" si="131"/>
        <v/>
      </c>
      <c r="S1258" s="37" t="str">
        <f t="shared" si="132"/>
        <v/>
      </c>
      <c r="T1258" s="38" t="str">
        <f t="shared" si="133"/>
        <v/>
      </c>
      <c r="U1258" s="37" t="str">
        <f t="shared" si="134"/>
        <v/>
      </c>
    </row>
    <row r="1259" spans="2:21" ht="17.25">
      <c r="B1259" s="156"/>
      <c r="C1259" s="156"/>
      <c r="D1259" s="157"/>
      <c r="E1259" s="155"/>
      <c r="F1259" s="151"/>
      <c r="G1259" s="152"/>
      <c r="H1259" s="153"/>
      <c r="I1259" s="154"/>
      <c r="J1259" s="154"/>
      <c r="K1259" s="30" t="str">
        <f>IF(H1259="","",IF($C$30="간이법","",FPR(H1259,I1259,J1259)))</f>
        <v/>
      </c>
      <c r="L1259" s="30" t="str">
        <f>IF(H1259="","",IF($C$30="상세법",FPV(H1259,K1259),IF(H1259="EI",4,IF(H1259="EO",5.2,IF(H1259="EQ",3.9,IF(H1259="ILF",7.5,IF(H1259="EIF",5.4)))))))</f>
        <v/>
      </c>
      <c r="M1259" s="30" t="str">
        <f t="shared" si="128"/>
        <v/>
      </c>
      <c r="N1259" s="134"/>
      <c r="O1259" s="29"/>
      <c r="P1259" s="37" t="str">
        <f t="shared" si="129"/>
        <v/>
      </c>
      <c r="Q1259" s="38" t="str">
        <f t="shared" si="130"/>
        <v/>
      </c>
      <c r="R1259" s="37" t="str">
        <f t="shared" si="131"/>
        <v/>
      </c>
      <c r="S1259" s="37" t="str">
        <f t="shared" si="132"/>
        <v/>
      </c>
      <c r="T1259" s="38" t="str">
        <f t="shared" si="133"/>
        <v/>
      </c>
      <c r="U1259" s="37" t="str">
        <f t="shared" si="134"/>
        <v/>
      </c>
    </row>
    <row r="1260" spans="2:21" ht="17.25">
      <c r="B1260" s="156"/>
      <c r="C1260" s="156"/>
      <c r="D1260" s="157"/>
      <c r="E1260" s="155"/>
      <c r="F1260" s="151"/>
      <c r="G1260" s="152"/>
      <c r="H1260" s="153"/>
      <c r="I1260" s="154"/>
      <c r="J1260" s="154"/>
      <c r="K1260" s="30" t="str">
        <f>IF(H1260="","",IF($C$30="간이법","",FPR(H1260,I1260,J1260)))</f>
        <v/>
      </c>
      <c r="L1260" s="30" t="str">
        <f>IF(H1260="","",IF($C$30="상세법",FPV(H1260,K1260),IF(H1260="EI",4,IF(H1260="EO",5.2,IF(H1260="EQ",3.9,IF(H1260="ILF",7.5,IF(H1260="EIF",5.4)))))))</f>
        <v/>
      </c>
      <c r="M1260" s="30" t="str">
        <f t="shared" si="128"/>
        <v/>
      </c>
      <c r="N1260" s="134"/>
      <c r="O1260" s="29"/>
      <c r="P1260" s="37" t="str">
        <f t="shared" si="129"/>
        <v/>
      </c>
      <c r="Q1260" s="38" t="str">
        <f t="shared" si="130"/>
        <v/>
      </c>
      <c r="R1260" s="37" t="str">
        <f t="shared" si="131"/>
        <v/>
      </c>
      <c r="S1260" s="37" t="str">
        <f t="shared" si="132"/>
        <v/>
      </c>
      <c r="T1260" s="38" t="str">
        <f t="shared" si="133"/>
        <v/>
      </c>
      <c r="U1260" s="37" t="str">
        <f t="shared" si="134"/>
        <v/>
      </c>
    </row>
    <row r="1261" spans="2:21" ht="17.25">
      <c r="B1261" s="156"/>
      <c r="C1261" s="156"/>
      <c r="D1261" s="157"/>
      <c r="E1261" s="155"/>
      <c r="F1261" s="151"/>
      <c r="G1261" s="152"/>
      <c r="H1261" s="153"/>
      <c r="I1261" s="154"/>
      <c r="J1261" s="154"/>
      <c r="K1261" s="30" t="str">
        <f>IF(H1261="","",IF($C$30="간이법","",FPR(H1261,I1261,J1261)))</f>
        <v/>
      </c>
      <c r="L1261" s="30" t="str">
        <f>IF(H1261="","",IF($C$30="상세법",FPV(H1261,K1261),IF(H1261="EI",4,IF(H1261="EO",5.2,IF(H1261="EQ",3.9,IF(H1261="ILF",7.5,IF(H1261="EIF",5.4)))))))</f>
        <v/>
      </c>
      <c r="M1261" s="30" t="str">
        <f t="shared" si="128"/>
        <v/>
      </c>
      <c r="N1261" s="134"/>
      <c r="O1261" s="29"/>
      <c r="P1261" s="37" t="str">
        <f t="shared" si="129"/>
        <v/>
      </c>
      <c r="Q1261" s="38" t="str">
        <f t="shared" si="130"/>
        <v/>
      </c>
      <c r="R1261" s="37" t="str">
        <f t="shared" si="131"/>
        <v/>
      </c>
      <c r="S1261" s="37" t="str">
        <f t="shared" si="132"/>
        <v/>
      </c>
      <c r="T1261" s="38" t="str">
        <f t="shared" si="133"/>
        <v/>
      </c>
      <c r="U1261" s="37" t="str">
        <f t="shared" si="134"/>
        <v/>
      </c>
    </row>
    <row r="1262" spans="2:21" ht="17.25">
      <c r="B1262" s="156"/>
      <c r="C1262" s="156"/>
      <c r="D1262" s="157"/>
      <c r="E1262" s="155"/>
      <c r="F1262" s="151"/>
      <c r="G1262" s="152"/>
      <c r="H1262" s="153"/>
      <c r="I1262" s="154"/>
      <c r="J1262" s="154"/>
      <c r="K1262" s="30" t="str">
        <f>IF(H1262="","",IF($C$30="간이법","",FPR(H1262,I1262,J1262)))</f>
        <v/>
      </c>
      <c r="L1262" s="30" t="str">
        <f>IF(H1262="","",IF($C$30="상세법",FPV(H1262,K1262),IF(H1262="EI",4,IF(H1262="EO",5.2,IF(H1262="EQ",3.9,IF(H1262="ILF",7.5,IF(H1262="EIF",5.4)))))))</f>
        <v/>
      </c>
      <c r="M1262" s="30" t="str">
        <f t="shared" si="128"/>
        <v/>
      </c>
      <c r="N1262" s="134"/>
      <c r="O1262" s="29"/>
      <c r="P1262" s="37" t="str">
        <f t="shared" si="129"/>
        <v/>
      </c>
      <c r="Q1262" s="38" t="str">
        <f t="shared" si="130"/>
        <v/>
      </c>
      <c r="R1262" s="37" t="str">
        <f t="shared" si="131"/>
        <v/>
      </c>
      <c r="S1262" s="37" t="str">
        <f t="shared" si="132"/>
        <v/>
      </c>
      <c r="T1262" s="38" t="str">
        <f t="shared" si="133"/>
        <v/>
      </c>
      <c r="U1262" s="37" t="str">
        <f t="shared" si="134"/>
        <v/>
      </c>
    </row>
    <row r="1263" spans="2:21" ht="17.25">
      <c r="B1263" s="156"/>
      <c r="C1263" s="156"/>
      <c r="D1263" s="157"/>
      <c r="E1263" s="155"/>
      <c r="F1263" s="151"/>
      <c r="G1263" s="152"/>
      <c r="H1263" s="153"/>
      <c r="I1263" s="154"/>
      <c r="J1263" s="154"/>
      <c r="K1263" s="30" t="str">
        <f>IF(H1263="","",IF($C$30="간이법","",FPR(H1263,I1263,J1263)))</f>
        <v/>
      </c>
      <c r="L1263" s="30" t="str">
        <f>IF(H1263="","",IF($C$30="상세법",FPV(H1263,K1263),IF(H1263="EI",4,IF(H1263="EO",5.2,IF(H1263="EQ",3.9,IF(H1263="ILF",7.5,IF(H1263="EIF",5.4)))))))</f>
        <v/>
      </c>
      <c r="M1263" s="30" t="str">
        <f t="shared" si="128"/>
        <v/>
      </c>
      <c r="N1263" s="134"/>
      <c r="O1263" s="29"/>
      <c r="P1263" s="37" t="str">
        <f t="shared" si="129"/>
        <v/>
      </c>
      <c r="Q1263" s="38" t="str">
        <f t="shared" si="130"/>
        <v/>
      </c>
      <c r="R1263" s="37" t="str">
        <f t="shared" si="131"/>
        <v/>
      </c>
      <c r="S1263" s="37" t="str">
        <f t="shared" si="132"/>
        <v/>
      </c>
      <c r="T1263" s="38" t="str">
        <f t="shared" si="133"/>
        <v/>
      </c>
      <c r="U1263" s="37" t="str">
        <f t="shared" si="134"/>
        <v/>
      </c>
    </row>
    <row r="1264" spans="2:21" ht="17.25">
      <c r="B1264" s="156"/>
      <c r="C1264" s="156"/>
      <c r="D1264" s="157"/>
      <c r="E1264" s="155"/>
      <c r="F1264" s="151"/>
      <c r="G1264" s="152"/>
      <c r="H1264" s="153"/>
      <c r="I1264" s="154"/>
      <c r="J1264" s="154"/>
      <c r="K1264" s="30" t="str">
        <f>IF(H1264="","",IF($C$30="간이법","",FPR(H1264,I1264,J1264)))</f>
        <v/>
      </c>
      <c r="L1264" s="30" t="str">
        <f>IF(H1264="","",IF($C$30="상세법",FPV(H1264,K1264),IF(H1264="EI",4,IF(H1264="EO",5.2,IF(H1264="EQ",3.9,IF(H1264="ILF",7.5,IF(H1264="EIF",5.4)))))))</f>
        <v/>
      </c>
      <c r="M1264" s="30" t="str">
        <f t="shared" si="128"/>
        <v/>
      </c>
      <c r="N1264" s="134"/>
      <c r="O1264" s="29"/>
      <c r="P1264" s="37" t="str">
        <f t="shared" si="129"/>
        <v/>
      </c>
      <c r="Q1264" s="38" t="str">
        <f t="shared" si="130"/>
        <v/>
      </c>
      <c r="R1264" s="37" t="str">
        <f t="shared" si="131"/>
        <v/>
      </c>
      <c r="S1264" s="37" t="str">
        <f t="shared" si="132"/>
        <v/>
      </c>
      <c r="T1264" s="38" t="str">
        <f t="shared" si="133"/>
        <v/>
      </c>
      <c r="U1264" s="37" t="str">
        <f t="shared" si="134"/>
        <v/>
      </c>
    </row>
    <row r="1265" spans="2:21" ht="17.25">
      <c r="B1265" s="156"/>
      <c r="C1265" s="156"/>
      <c r="D1265" s="157"/>
      <c r="E1265" s="155"/>
      <c r="F1265" s="151"/>
      <c r="G1265" s="152"/>
      <c r="H1265" s="153"/>
      <c r="I1265" s="154"/>
      <c r="J1265" s="154"/>
      <c r="K1265" s="30" t="str">
        <f>IF(H1265="","",IF($C$30="간이법","",FPR(H1265,I1265,J1265)))</f>
        <v/>
      </c>
      <c r="L1265" s="30" t="str">
        <f>IF(H1265="","",IF($C$30="상세법",FPV(H1265,K1265),IF(H1265="EI",4,IF(H1265="EO",5.2,IF(H1265="EQ",3.9,IF(H1265="ILF",7.5,IF(H1265="EIF",5.4)))))))</f>
        <v/>
      </c>
      <c r="M1265" s="30" t="str">
        <f t="shared" si="128"/>
        <v/>
      </c>
      <c r="N1265" s="134"/>
      <c r="O1265" s="29"/>
      <c r="P1265" s="37" t="str">
        <f t="shared" si="129"/>
        <v/>
      </c>
      <c r="Q1265" s="38" t="str">
        <f t="shared" si="130"/>
        <v/>
      </c>
      <c r="R1265" s="37" t="str">
        <f t="shared" si="131"/>
        <v/>
      </c>
      <c r="S1265" s="37" t="str">
        <f t="shared" si="132"/>
        <v/>
      </c>
      <c r="T1265" s="38" t="str">
        <f t="shared" si="133"/>
        <v/>
      </c>
      <c r="U1265" s="37" t="str">
        <f t="shared" si="134"/>
        <v/>
      </c>
    </row>
    <row r="1266" spans="2:21" ht="17.25">
      <c r="B1266" s="156"/>
      <c r="C1266" s="156"/>
      <c r="D1266" s="157"/>
      <c r="E1266" s="155"/>
      <c r="F1266" s="151"/>
      <c r="G1266" s="152"/>
      <c r="H1266" s="153"/>
      <c r="I1266" s="154"/>
      <c r="J1266" s="154"/>
      <c r="K1266" s="30" t="str">
        <f>IF(H1266="","",IF($C$30="간이법","",FPR(H1266,I1266,J1266)))</f>
        <v/>
      </c>
      <c r="L1266" s="30" t="str">
        <f>IF(H1266="","",IF($C$30="상세법",FPV(H1266,K1266),IF(H1266="EI",4,IF(H1266="EO",5.2,IF(H1266="EQ",3.9,IF(H1266="ILF",7.5,IF(H1266="EIF",5.4)))))))</f>
        <v/>
      </c>
      <c r="M1266" s="30" t="str">
        <f t="shared" si="128"/>
        <v/>
      </c>
      <c r="N1266" s="134"/>
      <c r="O1266" s="29"/>
      <c r="P1266" s="37" t="str">
        <f t="shared" si="129"/>
        <v/>
      </c>
      <c r="Q1266" s="38" t="str">
        <f t="shared" si="130"/>
        <v/>
      </c>
      <c r="R1266" s="37" t="str">
        <f t="shared" si="131"/>
        <v/>
      </c>
      <c r="S1266" s="37" t="str">
        <f t="shared" si="132"/>
        <v/>
      </c>
      <c r="T1266" s="38" t="str">
        <f t="shared" si="133"/>
        <v/>
      </c>
      <c r="U1266" s="37" t="str">
        <f t="shared" si="134"/>
        <v/>
      </c>
    </row>
    <row r="1267" spans="2:21" ht="17.25">
      <c r="B1267" s="156"/>
      <c r="C1267" s="156"/>
      <c r="D1267" s="157"/>
      <c r="E1267" s="155"/>
      <c r="F1267" s="151"/>
      <c r="G1267" s="152"/>
      <c r="H1267" s="153"/>
      <c r="I1267" s="154"/>
      <c r="J1267" s="154"/>
      <c r="K1267" s="30" t="str">
        <f>IF(H1267="","",IF($C$30="간이법","",FPR(H1267,I1267,J1267)))</f>
        <v/>
      </c>
      <c r="L1267" s="30" t="str">
        <f>IF(H1267="","",IF($C$30="상세법",FPV(H1267,K1267),IF(H1267="EI",4,IF(H1267="EO",5.2,IF(H1267="EQ",3.9,IF(H1267="ILF",7.5,IF(H1267="EIF",5.4)))))))</f>
        <v/>
      </c>
      <c r="M1267" s="30" t="str">
        <f t="shared" si="128"/>
        <v/>
      </c>
      <c r="N1267" s="134"/>
      <c r="O1267" s="29"/>
      <c r="P1267" s="37" t="str">
        <f t="shared" si="129"/>
        <v/>
      </c>
      <c r="Q1267" s="38" t="str">
        <f t="shared" si="130"/>
        <v/>
      </c>
      <c r="R1267" s="37" t="str">
        <f t="shared" si="131"/>
        <v/>
      </c>
      <c r="S1267" s="37" t="str">
        <f t="shared" si="132"/>
        <v/>
      </c>
      <c r="T1267" s="38" t="str">
        <f t="shared" si="133"/>
        <v/>
      </c>
      <c r="U1267" s="37" t="str">
        <f t="shared" si="134"/>
        <v/>
      </c>
    </row>
    <row r="1268" spans="2:21" ht="17.25">
      <c r="B1268" s="156"/>
      <c r="C1268" s="156"/>
      <c r="D1268" s="157"/>
      <c r="E1268" s="155"/>
      <c r="F1268" s="151"/>
      <c r="G1268" s="152"/>
      <c r="H1268" s="153"/>
      <c r="I1268" s="154"/>
      <c r="J1268" s="154"/>
      <c r="K1268" s="30" t="str">
        <f>IF(H1268="","",IF($C$30="간이법","",FPR(H1268,I1268,J1268)))</f>
        <v/>
      </c>
      <c r="L1268" s="30" t="str">
        <f>IF(H1268="","",IF($C$30="상세법",FPV(H1268,K1268),IF(H1268="EI",4,IF(H1268="EO",5.2,IF(H1268="EQ",3.9,IF(H1268="ILF",7.5,IF(H1268="EIF",5.4)))))))</f>
        <v/>
      </c>
      <c r="M1268" s="30" t="str">
        <f t="shared" si="128"/>
        <v/>
      </c>
      <c r="N1268" s="134"/>
      <c r="O1268" s="29"/>
      <c r="P1268" s="37" t="str">
        <f t="shared" si="129"/>
        <v/>
      </c>
      <c r="Q1268" s="38" t="str">
        <f t="shared" si="130"/>
        <v/>
      </c>
      <c r="R1268" s="37" t="str">
        <f t="shared" si="131"/>
        <v/>
      </c>
      <c r="S1268" s="37" t="str">
        <f t="shared" si="132"/>
        <v/>
      </c>
      <c r="T1268" s="38" t="str">
        <f t="shared" si="133"/>
        <v/>
      </c>
      <c r="U1268" s="37" t="str">
        <f t="shared" si="134"/>
        <v/>
      </c>
    </row>
    <row r="1269" spans="2:21" ht="17.25">
      <c r="B1269" s="156"/>
      <c r="C1269" s="156"/>
      <c r="D1269" s="157"/>
      <c r="E1269" s="155"/>
      <c r="F1269" s="151"/>
      <c r="G1269" s="152"/>
      <c r="H1269" s="153"/>
      <c r="I1269" s="154"/>
      <c r="J1269" s="154"/>
      <c r="K1269" s="30" t="str">
        <f>IF(H1269="","",IF($C$30="간이법","",FPR(H1269,I1269,J1269)))</f>
        <v/>
      </c>
      <c r="L1269" s="30" t="str">
        <f>IF(H1269="","",IF($C$30="상세법",FPV(H1269,K1269),IF(H1269="EI",4,IF(H1269="EO",5.2,IF(H1269="EQ",3.9,IF(H1269="ILF",7.5,IF(H1269="EIF",5.4)))))))</f>
        <v/>
      </c>
      <c r="M1269" s="30" t="str">
        <f t="shared" si="128"/>
        <v/>
      </c>
      <c r="N1269" s="134"/>
      <c r="O1269" s="29"/>
      <c r="P1269" s="37" t="str">
        <f t="shared" si="129"/>
        <v/>
      </c>
      <c r="Q1269" s="38" t="str">
        <f t="shared" si="130"/>
        <v/>
      </c>
      <c r="R1269" s="37" t="str">
        <f t="shared" si="131"/>
        <v/>
      </c>
      <c r="S1269" s="37" t="str">
        <f t="shared" si="132"/>
        <v/>
      </c>
      <c r="T1269" s="38" t="str">
        <f t="shared" si="133"/>
        <v/>
      </c>
      <c r="U1269" s="37" t="str">
        <f t="shared" si="134"/>
        <v/>
      </c>
    </row>
    <row r="1270" spans="2:21" ht="17.25">
      <c r="B1270" s="156"/>
      <c r="C1270" s="156"/>
      <c r="D1270" s="157"/>
      <c r="E1270" s="155"/>
      <c r="F1270" s="151"/>
      <c r="G1270" s="152"/>
      <c r="H1270" s="153"/>
      <c r="I1270" s="154"/>
      <c r="J1270" s="154"/>
      <c r="K1270" s="30" t="str">
        <f>IF(H1270="","",IF($C$30="간이법","",FPR(H1270,I1270,J1270)))</f>
        <v/>
      </c>
      <c r="L1270" s="30" t="str">
        <f>IF(H1270="","",IF($C$30="상세법",FPV(H1270,K1270),IF(H1270="EI",4,IF(H1270="EO",5.2,IF(H1270="EQ",3.9,IF(H1270="ILF",7.5,IF(H1270="EIF",5.4)))))))</f>
        <v/>
      </c>
      <c r="M1270" s="30" t="str">
        <f t="shared" si="128"/>
        <v/>
      </c>
      <c r="N1270" s="134"/>
      <c r="O1270" s="29"/>
      <c r="P1270" s="37" t="str">
        <f t="shared" si="129"/>
        <v/>
      </c>
      <c r="Q1270" s="38" t="str">
        <f t="shared" si="130"/>
        <v/>
      </c>
      <c r="R1270" s="37" t="str">
        <f t="shared" si="131"/>
        <v/>
      </c>
      <c r="S1270" s="37" t="str">
        <f t="shared" si="132"/>
        <v/>
      </c>
      <c r="T1270" s="38" t="str">
        <f t="shared" si="133"/>
        <v/>
      </c>
      <c r="U1270" s="37" t="str">
        <f t="shared" si="134"/>
        <v/>
      </c>
    </row>
    <row r="1271" spans="2:21" ht="17.25">
      <c r="B1271" s="156"/>
      <c r="C1271" s="156"/>
      <c r="D1271" s="157"/>
      <c r="E1271" s="155"/>
      <c r="F1271" s="151"/>
      <c r="G1271" s="152"/>
      <c r="H1271" s="153"/>
      <c r="I1271" s="154"/>
      <c r="J1271" s="154"/>
      <c r="K1271" s="30" t="str">
        <f>IF(H1271="","",IF($C$30="간이법","",FPR(H1271,I1271,J1271)))</f>
        <v/>
      </c>
      <c r="L1271" s="30" t="str">
        <f>IF(H1271="","",IF($C$30="상세법",FPV(H1271,K1271),IF(H1271="EI",4,IF(H1271="EO",5.2,IF(H1271="EQ",3.9,IF(H1271="ILF",7.5,IF(H1271="EIF",5.4)))))))</f>
        <v/>
      </c>
      <c r="M1271" s="30" t="str">
        <f t="shared" si="128"/>
        <v/>
      </c>
      <c r="N1271" s="134"/>
      <c r="O1271" s="29"/>
      <c r="P1271" s="37" t="str">
        <f t="shared" si="129"/>
        <v/>
      </c>
      <c r="Q1271" s="38" t="str">
        <f t="shared" si="130"/>
        <v/>
      </c>
      <c r="R1271" s="37" t="str">
        <f t="shared" si="131"/>
        <v/>
      </c>
      <c r="S1271" s="37" t="str">
        <f t="shared" si="132"/>
        <v/>
      </c>
      <c r="T1271" s="38" t="str">
        <f t="shared" si="133"/>
        <v/>
      </c>
      <c r="U1271" s="37" t="str">
        <f t="shared" si="134"/>
        <v/>
      </c>
    </row>
    <row r="1272" spans="2:21" ht="17.25">
      <c r="B1272" s="156"/>
      <c r="C1272" s="156"/>
      <c r="D1272" s="157"/>
      <c r="E1272" s="155"/>
      <c r="F1272" s="151"/>
      <c r="G1272" s="152"/>
      <c r="H1272" s="153"/>
      <c r="I1272" s="154"/>
      <c r="J1272" s="154"/>
      <c r="K1272" s="30" t="str">
        <f>IF(H1272="","",IF($C$30="간이법","",FPR(H1272,I1272,J1272)))</f>
        <v/>
      </c>
      <c r="L1272" s="30" t="str">
        <f>IF(H1272="","",IF($C$30="상세법",FPV(H1272,K1272),IF(H1272="EI",4,IF(H1272="EO",5.2,IF(H1272="EQ",3.9,IF(H1272="ILF",7.5,IF(H1272="EIF",5.4)))))))</f>
        <v/>
      </c>
      <c r="M1272" s="30" t="str">
        <f t="shared" si="128"/>
        <v/>
      </c>
      <c r="N1272" s="134"/>
      <c r="O1272" s="29"/>
      <c r="P1272" s="37" t="str">
        <f t="shared" si="129"/>
        <v/>
      </c>
      <c r="Q1272" s="38" t="str">
        <f t="shared" si="130"/>
        <v/>
      </c>
      <c r="R1272" s="37" t="str">
        <f t="shared" si="131"/>
        <v/>
      </c>
      <c r="S1272" s="37" t="str">
        <f t="shared" si="132"/>
        <v/>
      </c>
      <c r="T1272" s="38" t="str">
        <f t="shared" si="133"/>
        <v/>
      </c>
      <c r="U1272" s="37" t="str">
        <f t="shared" si="134"/>
        <v/>
      </c>
    </row>
    <row r="1273" spans="2:21" ht="17.25">
      <c r="B1273" s="156"/>
      <c r="C1273" s="156"/>
      <c r="D1273" s="157"/>
      <c r="E1273" s="155"/>
      <c r="F1273" s="151"/>
      <c r="G1273" s="152"/>
      <c r="H1273" s="153"/>
      <c r="I1273" s="154"/>
      <c r="J1273" s="154"/>
      <c r="K1273" s="30" t="str">
        <f>IF(H1273="","",IF($C$30="간이법","",FPR(H1273,I1273,J1273)))</f>
        <v/>
      </c>
      <c r="L1273" s="30" t="str">
        <f>IF(H1273="","",IF($C$30="상세법",FPV(H1273,K1273),IF(H1273="EI",4,IF(H1273="EO",5.2,IF(H1273="EQ",3.9,IF(H1273="ILF",7.5,IF(H1273="EIF",5.4)))))))</f>
        <v/>
      </c>
      <c r="M1273" s="30" t="str">
        <f t="shared" si="128"/>
        <v/>
      </c>
      <c r="N1273" s="134"/>
      <c r="O1273" s="29"/>
      <c r="P1273" s="37" t="str">
        <f t="shared" si="129"/>
        <v/>
      </c>
      <c r="Q1273" s="38" t="str">
        <f t="shared" si="130"/>
        <v/>
      </c>
      <c r="R1273" s="37" t="str">
        <f t="shared" si="131"/>
        <v/>
      </c>
      <c r="S1273" s="37" t="str">
        <f t="shared" si="132"/>
        <v/>
      </c>
      <c r="T1273" s="38" t="str">
        <f t="shared" si="133"/>
        <v/>
      </c>
      <c r="U1273" s="37" t="str">
        <f t="shared" si="134"/>
        <v/>
      </c>
    </row>
    <row r="1274" spans="2:21" ht="17.25">
      <c r="B1274" s="156"/>
      <c r="C1274" s="156"/>
      <c r="D1274" s="157"/>
      <c r="E1274" s="155"/>
      <c r="F1274" s="151"/>
      <c r="G1274" s="152"/>
      <c r="H1274" s="153"/>
      <c r="I1274" s="154"/>
      <c r="J1274" s="154"/>
      <c r="K1274" s="30" t="str">
        <f>IF(H1274="","",IF($C$30="간이법","",FPR(H1274,I1274,J1274)))</f>
        <v/>
      </c>
      <c r="L1274" s="30" t="str">
        <f>IF(H1274="","",IF($C$30="상세법",FPV(H1274,K1274),IF(H1274="EI",4,IF(H1274="EO",5.2,IF(H1274="EQ",3.9,IF(H1274="ILF",7.5,IF(H1274="EIF",5.4)))))))</f>
        <v/>
      </c>
      <c r="M1274" s="30" t="str">
        <f t="shared" si="128"/>
        <v/>
      </c>
      <c r="N1274" s="134"/>
      <c r="O1274" s="29"/>
      <c r="P1274" s="37" t="str">
        <f t="shared" si="129"/>
        <v/>
      </c>
      <c r="Q1274" s="38" t="str">
        <f t="shared" si="130"/>
        <v/>
      </c>
      <c r="R1274" s="37" t="str">
        <f t="shared" si="131"/>
        <v/>
      </c>
      <c r="S1274" s="37" t="str">
        <f t="shared" si="132"/>
        <v/>
      </c>
      <c r="T1274" s="38" t="str">
        <f t="shared" si="133"/>
        <v/>
      </c>
      <c r="U1274" s="37" t="str">
        <f t="shared" si="134"/>
        <v/>
      </c>
    </row>
    <row r="1275" spans="2:21" ht="17.25">
      <c r="B1275" s="156"/>
      <c r="C1275" s="156"/>
      <c r="D1275" s="157"/>
      <c r="E1275" s="155"/>
      <c r="F1275" s="151"/>
      <c r="G1275" s="152"/>
      <c r="H1275" s="153"/>
      <c r="I1275" s="154"/>
      <c r="J1275" s="154"/>
      <c r="K1275" s="30" t="str">
        <f>IF(H1275="","",IF($C$30="간이법","",FPR(H1275,I1275,J1275)))</f>
        <v/>
      </c>
      <c r="L1275" s="30" t="str">
        <f>IF(H1275="","",IF($C$30="상세법",FPV(H1275,K1275),IF(H1275="EI",4,IF(H1275="EO",5.2,IF(H1275="EQ",3.9,IF(H1275="ILF",7.5,IF(H1275="EIF",5.4)))))))</f>
        <v/>
      </c>
      <c r="M1275" s="30" t="str">
        <f t="shared" si="128"/>
        <v/>
      </c>
      <c r="N1275" s="134"/>
      <c r="O1275" s="29"/>
      <c r="P1275" s="37" t="str">
        <f t="shared" si="129"/>
        <v/>
      </c>
      <c r="Q1275" s="38" t="str">
        <f t="shared" si="130"/>
        <v/>
      </c>
      <c r="R1275" s="37" t="str">
        <f t="shared" si="131"/>
        <v/>
      </c>
      <c r="S1275" s="37" t="str">
        <f t="shared" si="132"/>
        <v/>
      </c>
      <c r="T1275" s="38" t="str">
        <f t="shared" si="133"/>
        <v/>
      </c>
      <c r="U1275" s="37" t="str">
        <f t="shared" si="134"/>
        <v/>
      </c>
    </row>
    <row r="1276" spans="2:21" ht="17.25">
      <c r="B1276" s="156"/>
      <c r="C1276" s="156"/>
      <c r="D1276" s="157"/>
      <c r="E1276" s="155"/>
      <c r="F1276" s="151"/>
      <c r="G1276" s="152"/>
      <c r="H1276" s="153"/>
      <c r="I1276" s="154"/>
      <c r="J1276" s="154"/>
      <c r="K1276" s="30" t="str">
        <f>IF(H1276="","",IF($C$30="간이법","",FPR(H1276,I1276,J1276)))</f>
        <v/>
      </c>
      <c r="L1276" s="30" t="str">
        <f>IF(H1276="","",IF($C$30="상세법",FPV(H1276,K1276),IF(H1276="EI",4,IF(H1276="EO",5.2,IF(H1276="EQ",3.9,IF(H1276="ILF",7.5,IF(H1276="EIF",5.4)))))))</f>
        <v/>
      </c>
      <c r="M1276" s="30" t="str">
        <f t="shared" ref="M1276:M1339" si="135">IF(OR(G1276="",$E$36="(선택)",$E$40="(선택)",$E$41="(선택)",F1276="신규 개발",F1276="수정 없이 재사용"),"",(IF(F1276="수정 후 재사용",IF($E$50&lt;=0.5,L1276*($E$36+$E$50*100*(1+0.02*($E$40*$E$41)))/100,L1276*($E$36+$E$50*100+($E$40*$E$41))/100))))</f>
        <v/>
      </c>
      <c r="N1276" s="134"/>
      <c r="O1276" s="29"/>
      <c r="P1276" s="37" t="str">
        <f t="shared" ref="P1276:P1339" si="136">IF(F1276="수정 후 재사용",IF(H1276="ILF",G1276,IF(H1276="EIF",G1276,"")),"")</f>
        <v/>
      </c>
      <c r="Q1276" s="38" t="str">
        <f t="shared" ref="Q1276:Q1339" si="137">IF(P1276&lt;&gt;"",IF(H1276="ILF", L1276/$E$46,IF(H1276="EIF", L1276/$E$46,"")),"")</f>
        <v/>
      </c>
      <c r="R1276" s="37" t="str">
        <f t="shared" ref="R1276:R1339" si="138">IF(P1276&lt;&gt;"",P1276*Q1276,"")</f>
        <v/>
      </c>
      <c r="S1276" s="37" t="str">
        <f t="shared" ref="S1276:S1339" si="139">IF(F1276="수정 후 재사용",IF(H1276="EI",G1276,IF(H1276="EO",G1276,IF(H1276="EQ",G1276,""))),"")</f>
        <v/>
      </c>
      <c r="T1276" s="38" t="str">
        <f t="shared" ref="T1276:T1339" si="140">IF(S1276&lt;&gt;"",IF(H1276="EI",L1276/$E$47,IF(H1276="EO",L1276/$E$47,IF(H1276="EQ",L1276/$E$47,""))),"")</f>
        <v/>
      </c>
      <c r="U1276" s="37" t="str">
        <f t="shared" ref="U1276:U1339" si="141">IF(S1276&lt;&gt;"",S1276*T1276,"")</f>
        <v/>
      </c>
    </row>
    <row r="1277" spans="2:21" ht="17.25">
      <c r="B1277" s="156"/>
      <c r="C1277" s="156"/>
      <c r="D1277" s="157"/>
      <c r="E1277" s="155"/>
      <c r="F1277" s="151"/>
      <c r="G1277" s="152"/>
      <c r="H1277" s="153"/>
      <c r="I1277" s="154"/>
      <c r="J1277" s="154"/>
      <c r="K1277" s="30" t="str">
        <f>IF(H1277="","",IF($C$30="간이법","",FPR(H1277,I1277,J1277)))</f>
        <v/>
      </c>
      <c r="L1277" s="30" t="str">
        <f>IF(H1277="","",IF($C$30="상세법",FPV(H1277,K1277),IF(H1277="EI",4,IF(H1277="EO",5.2,IF(H1277="EQ",3.9,IF(H1277="ILF",7.5,IF(H1277="EIF",5.4)))))))</f>
        <v/>
      </c>
      <c r="M1277" s="30" t="str">
        <f t="shared" si="135"/>
        <v/>
      </c>
      <c r="N1277" s="134"/>
      <c r="O1277" s="29"/>
      <c r="P1277" s="37" t="str">
        <f t="shared" si="136"/>
        <v/>
      </c>
      <c r="Q1277" s="38" t="str">
        <f t="shared" si="137"/>
        <v/>
      </c>
      <c r="R1277" s="37" t="str">
        <f t="shared" si="138"/>
        <v/>
      </c>
      <c r="S1277" s="37" t="str">
        <f t="shared" si="139"/>
        <v/>
      </c>
      <c r="T1277" s="38" t="str">
        <f t="shared" si="140"/>
        <v/>
      </c>
      <c r="U1277" s="37" t="str">
        <f t="shared" si="141"/>
        <v/>
      </c>
    </row>
    <row r="1278" spans="2:21" ht="17.25">
      <c r="B1278" s="156"/>
      <c r="C1278" s="156"/>
      <c r="D1278" s="157"/>
      <c r="E1278" s="155"/>
      <c r="F1278" s="151"/>
      <c r="G1278" s="152"/>
      <c r="H1278" s="153"/>
      <c r="I1278" s="154"/>
      <c r="J1278" s="154"/>
      <c r="K1278" s="30" t="str">
        <f>IF(H1278="","",IF($C$30="간이법","",FPR(H1278,I1278,J1278)))</f>
        <v/>
      </c>
      <c r="L1278" s="30" t="str">
        <f>IF(H1278="","",IF($C$30="상세법",FPV(H1278,K1278),IF(H1278="EI",4,IF(H1278="EO",5.2,IF(H1278="EQ",3.9,IF(H1278="ILF",7.5,IF(H1278="EIF",5.4)))))))</f>
        <v/>
      </c>
      <c r="M1278" s="30" t="str">
        <f t="shared" si="135"/>
        <v/>
      </c>
      <c r="N1278" s="134"/>
      <c r="O1278" s="29"/>
      <c r="P1278" s="37" t="str">
        <f t="shared" si="136"/>
        <v/>
      </c>
      <c r="Q1278" s="38" t="str">
        <f t="shared" si="137"/>
        <v/>
      </c>
      <c r="R1278" s="37" t="str">
        <f t="shared" si="138"/>
        <v/>
      </c>
      <c r="S1278" s="37" t="str">
        <f t="shared" si="139"/>
        <v/>
      </c>
      <c r="T1278" s="38" t="str">
        <f t="shared" si="140"/>
        <v/>
      </c>
      <c r="U1278" s="37" t="str">
        <f t="shared" si="141"/>
        <v/>
      </c>
    </row>
    <row r="1279" spans="2:21" ht="17.25">
      <c r="B1279" s="156"/>
      <c r="C1279" s="156"/>
      <c r="D1279" s="157"/>
      <c r="E1279" s="155"/>
      <c r="F1279" s="151"/>
      <c r="G1279" s="152"/>
      <c r="H1279" s="153"/>
      <c r="I1279" s="154"/>
      <c r="J1279" s="154"/>
      <c r="K1279" s="30" t="str">
        <f>IF(H1279="","",IF($C$30="간이법","",FPR(H1279,I1279,J1279)))</f>
        <v/>
      </c>
      <c r="L1279" s="30" t="str">
        <f>IF(H1279="","",IF($C$30="상세법",FPV(H1279,K1279),IF(H1279="EI",4,IF(H1279="EO",5.2,IF(H1279="EQ",3.9,IF(H1279="ILF",7.5,IF(H1279="EIF",5.4)))))))</f>
        <v/>
      </c>
      <c r="M1279" s="30" t="str">
        <f t="shared" si="135"/>
        <v/>
      </c>
      <c r="N1279" s="134"/>
      <c r="O1279" s="29"/>
      <c r="P1279" s="37" t="str">
        <f t="shared" si="136"/>
        <v/>
      </c>
      <c r="Q1279" s="38" t="str">
        <f t="shared" si="137"/>
        <v/>
      </c>
      <c r="R1279" s="37" t="str">
        <f t="shared" si="138"/>
        <v/>
      </c>
      <c r="S1279" s="37" t="str">
        <f t="shared" si="139"/>
        <v/>
      </c>
      <c r="T1279" s="38" t="str">
        <f t="shared" si="140"/>
        <v/>
      </c>
      <c r="U1279" s="37" t="str">
        <f t="shared" si="141"/>
        <v/>
      </c>
    </row>
    <row r="1280" spans="2:21" ht="17.25">
      <c r="B1280" s="156"/>
      <c r="C1280" s="156"/>
      <c r="D1280" s="157"/>
      <c r="E1280" s="155"/>
      <c r="F1280" s="151"/>
      <c r="G1280" s="152"/>
      <c r="H1280" s="153"/>
      <c r="I1280" s="154"/>
      <c r="J1280" s="154"/>
      <c r="K1280" s="30" t="str">
        <f>IF(H1280="","",IF($C$30="간이법","",FPR(H1280,I1280,J1280)))</f>
        <v/>
      </c>
      <c r="L1280" s="30" t="str">
        <f>IF(H1280="","",IF($C$30="상세법",FPV(H1280,K1280),IF(H1280="EI",4,IF(H1280="EO",5.2,IF(H1280="EQ",3.9,IF(H1280="ILF",7.5,IF(H1280="EIF",5.4)))))))</f>
        <v/>
      </c>
      <c r="M1280" s="30" t="str">
        <f t="shared" si="135"/>
        <v/>
      </c>
      <c r="N1280" s="134"/>
      <c r="O1280" s="29"/>
      <c r="P1280" s="37" t="str">
        <f t="shared" si="136"/>
        <v/>
      </c>
      <c r="Q1280" s="38" t="str">
        <f t="shared" si="137"/>
        <v/>
      </c>
      <c r="R1280" s="37" t="str">
        <f t="shared" si="138"/>
        <v/>
      </c>
      <c r="S1280" s="37" t="str">
        <f t="shared" si="139"/>
        <v/>
      </c>
      <c r="T1280" s="38" t="str">
        <f t="shared" si="140"/>
        <v/>
      </c>
      <c r="U1280" s="37" t="str">
        <f t="shared" si="141"/>
        <v/>
      </c>
    </row>
    <row r="1281" spans="2:21" ht="17.25">
      <c r="B1281" s="156"/>
      <c r="C1281" s="156"/>
      <c r="D1281" s="157"/>
      <c r="E1281" s="155"/>
      <c r="F1281" s="151"/>
      <c r="G1281" s="152"/>
      <c r="H1281" s="153"/>
      <c r="I1281" s="154"/>
      <c r="J1281" s="154"/>
      <c r="K1281" s="30" t="str">
        <f>IF(H1281="","",IF($C$30="간이법","",FPR(H1281,I1281,J1281)))</f>
        <v/>
      </c>
      <c r="L1281" s="30" t="str">
        <f>IF(H1281="","",IF($C$30="상세법",FPV(H1281,K1281),IF(H1281="EI",4,IF(H1281="EO",5.2,IF(H1281="EQ",3.9,IF(H1281="ILF",7.5,IF(H1281="EIF",5.4)))))))</f>
        <v/>
      </c>
      <c r="M1281" s="30" t="str">
        <f t="shared" si="135"/>
        <v/>
      </c>
      <c r="N1281" s="134"/>
      <c r="O1281" s="29"/>
      <c r="P1281" s="37" t="str">
        <f t="shared" si="136"/>
        <v/>
      </c>
      <c r="Q1281" s="38" t="str">
        <f t="shared" si="137"/>
        <v/>
      </c>
      <c r="R1281" s="37" t="str">
        <f t="shared" si="138"/>
        <v/>
      </c>
      <c r="S1281" s="37" t="str">
        <f t="shared" si="139"/>
        <v/>
      </c>
      <c r="T1281" s="38" t="str">
        <f t="shared" si="140"/>
        <v/>
      </c>
      <c r="U1281" s="37" t="str">
        <f t="shared" si="141"/>
        <v/>
      </c>
    </row>
    <row r="1282" spans="2:21" ht="17.25">
      <c r="B1282" s="156"/>
      <c r="C1282" s="156"/>
      <c r="D1282" s="157"/>
      <c r="E1282" s="155"/>
      <c r="F1282" s="151"/>
      <c r="G1282" s="152"/>
      <c r="H1282" s="153"/>
      <c r="I1282" s="154"/>
      <c r="J1282" s="154"/>
      <c r="K1282" s="30" t="str">
        <f>IF(H1282="","",IF($C$30="간이법","",FPR(H1282,I1282,J1282)))</f>
        <v/>
      </c>
      <c r="L1282" s="30" t="str">
        <f>IF(H1282="","",IF($C$30="상세법",FPV(H1282,K1282),IF(H1282="EI",4,IF(H1282="EO",5.2,IF(H1282="EQ",3.9,IF(H1282="ILF",7.5,IF(H1282="EIF",5.4)))))))</f>
        <v/>
      </c>
      <c r="M1282" s="30" t="str">
        <f t="shared" si="135"/>
        <v/>
      </c>
      <c r="N1282" s="134"/>
      <c r="O1282" s="29"/>
      <c r="P1282" s="37" t="str">
        <f t="shared" si="136"/>
        <v/>
      </c>
      <c r="Q1282" s="38" t="str">
        <f t="shared" si="137"/>
        <v/>
      </c>
      <c r="R1282" s="37" t="str">
        <f t="shared" si="138"/>
        <v/>
      </c>
      <c r="S1282" s="37" t="str">
        <f t="shared" si="139"/>
        <v/>
      </c>
      <c r="T1282" s="38" t="str">
        <f t="shared" si="140"/>
        <v/>
      </c>
      <c r="U1282" s="37" t="str">
        <f t="shared" si="141"/>
        <v/>
      </c>
    </row>
    <row r="1283" spans="2:21" ht="17.25">
      <c r="B1283" s="156"/>
      <c r="C1283" s="156"/>
      <c r="D1283" s="157"/>
      <c r="E1283" s="155"/>
      <c r="F1283" s="151"/>
      <c r="G1283" s="152"/>
      <c r="H1283" s="153"/>
      <c r="I1283" s="154"/>
      <c r="J1283" s="154"/>
      <c r="K1283" s="30" t="str">
        <f>IF(H1283="","",IF($C$30="간이법","",FPR(H1283,I1283,J1283)))</f>
        <v/>
      </c>
      <c r="L1283" s="30" t="str">
        <f>IF(H1283="","",IF($C$30="상세법",FPV(H1283,K1283),IF(H1283="EI",4,IF(H1283="EO",5.2,IF(H1283="EQ",3.9,IF(H1283="ILF",7.5,IF(H1283="EIF",5.4)))))))</f>
        <v/>
      </c>
      <c r="M1283" s="30" t="str">
        <f t="shared" si="135"/>
        <v/>
      </c>
      <c r="N1283" s="134"/>
      <c r="O1283" s="29"/>
      <c r="P1283" s="37" t="str">
        <f t="shared" si="136"/>
        <v/>
      </c>
      <c r="Q1283" s="38" t="str">
        <f t="shared" si="137"/>
        <v/>
      </c>
      <c r="R1283" s="37" t="str">
        <f t="shared" si="138"/>
        <v/>
      </c>
      <c r="S1283" s="37" t="str">
        <f t="shared" si="139"/>
        <v/>
      </c>
      <c r="T1283" s="38" t="str">
        <f t="shared" si="140"/>
        <v/>
      </c>
      <c r="U1283" s="37" t="str">
        <f t="shared" si="141"/>
        <v/>
      </c>
    </row>
    <row r="1284" spans="2:21" ht="17.25">
      <c r="B1284" s="156"/>
      <c r="C1284" s="156"/>
      <c r="D1284" s="157"/>
      <c r="E1284" s="155"/>
      <c r="F1284" s="151"/>
      <c r="G1284" s="152"/>
      <c r="H1284" s="153"/>
      <c r="I1284" s="154"/>
      <c r="J1284" s="154"/>
      <c r="K1284" s="30" t="str">
        <f>IF(H1284="","",IF($C$30="간이법","",FPR(H1284,I1284,J1284)))</f>
        <v/>
      </c>
      <c r="L1284" s="30" t="str">
        <f>IF(H1284="","",IF($C$30="상세법",FPV(H1284,K1284),IF(H1284="EI",4,IF(H1284="EO",5.2,IF(H1284="EQ",3.9,IF(H1284="ILF",7.5,IF(H1284="EIF",5.4)))))))</f>
        <v/>
      </c>
      <c r="M1284" s="30" t="str">
        <f t="shared" si="135"/>
        <v/>
      </c>
      <c r="N1284" s="134"/>
      <c r="O1284" s="29"/>
      <c r="P1284" s="37" t="str">
        <f t="shared" si="136"/>
        <v/>
      </c>
      <c r="Q1284" s="38" t="str">
        <f t="shared" si="137"/>
        <v/>
      </c>
      <c r="R1284" s="37" t="str">
        <f t="shared" si="138"/>
        <v/>
      </c>
      <c r="S1284" s="37" t="str">
        <f t="shared" si="139"/>
        <v/>
      </c>
      <c r="T1284" s="38" t="str">
        <f t="shared" si="140"/>
        <v/>
      </c>
      <c r="U1284" s="37" t="str">
        <f t="shared" si="141"/>
        <v/>
      </c>
    </row>
    <row r="1285" spans="2:21" ht="17.25">
      <c r="B1285" s="156"/>
      <c r="C1285" s="156"/>
      <c r="D1285" s="157"/>
      <c r="E1285" s="155"/>
      <c r="F1285" s="151"/>
      <c r="G1285" s="152"/>
      <c r="H1285" s="153"/>
      <c r="I1285" s="154"/>
      <c r="J1285" s="154"/>
      <c r="K1285" s="30" t="str">
        <f>IF(H1285="","",IF($C$30="간이법","",FPR(H1285,I1285,J1285)))</f>
        <v/>
      </c>
      <c r="L1285" s="30" t="str">
        <f>IF(H1285="","",IF($C$30="상세법",FPV(H1285,K1285),IF(H1285="EI",4,IF(H1285="EO",5.2,IF(H1285="EQ",3.9,IF(H1285="ILF",7.5,IF(H1285="EIF",5.4)))))))</f>
        <v/>
      </c>
      <c r="M1285" s="30" t="str">
        <f t="shared" si="135"/>
        <v/>
      </c>
      <c r="N1285" s="134"/>
      <c r="O1285" s="29"/>
      <c r="P1285" s="37" t="str">
        <f t="shared" si="136"/>
        <v/>
      </c>
      <c r="Q1285" s="38" t="str">
        <f t="shared" si="137"/>
        <v/>
      </c>
      <c r="R1285" s="37" t="str">
        <f t="shared" si="138"/>
        <v/>
      </c>
      <c r="S1285" s="37" t="str">
        <f t="shared" si="139"/>
        <v/>
      </c>
      <c r="T1285" s="38" t="str">
        <f t="shared" si="140"/>
        <v/>
      </c>
      <c r="U1285" s="37" t="str">
        <f t="shared" si="141"/>
        <v/>
      </c>
    </row>
    <row r="1286" spans="2:21" ht="17.25">
      <c r="B1286" s="156"/>
      <c r="C1286" s="156"/>
      <c r="D1286" s="157"/>
      <c r="E1286" s="155"/>
      <c r="F1286" s="151"/>
      <c r="G1286" s="152"/>
      <c r="H1286" s="153"/>
      <c r="I1286" s="154"/>
      <c r="J1286" s="154"/>
      <c r="K1286" s="30" t="str">
        <f>IF(H1286="","",IF($C$30="간이법","",FPR(H1286,I1286,J1286)))</f>
        <v/>
      </c>
      <c r="L1286" s="30" t="str">
        <f>IF(H1286="","",IF($C$30="상세법",FPV(H1286,K1286),IF(H1286="EI",4,IF(H1286="EO",5.2,IF(H1286="EQ",3.9,IF(H1286="ILF",7.5,IF(H1286="EIF",5.4)))))))</f>
        <v/>
      </c>
      <c r="M1286" s="30" t="str">
        <f t="shared" si="135"/>
        <v/>
      </c>
      <c r="N1286" s="134"/>
      <c r="O1286" s="29"/>
      <c r="P1286" s="37" t="str">
        <f t="shared" si="136"/>
        <v/>
      </c>
      <c r="Q1286" s="38" t="str">
        <f t="shared" si="137"/>
        <v/>
      </c>
      <c r="R1286" s="37" t="str">
        <f t="shared" si="138"/>
        <v/>
      </c>
      <c r="S1286" s="37" t="str">
        <f t="shared" si="139"/>
        <v/>
      </c>
      <c r="T1286" s="38" t="str">
        <f t="shared" si="140"/>
        <v/>
      </c>
      <c r="U1286" s="37" t="str">
        <f t="shared" si="141"/>
        <v/>
      </c>
    </row>
    <row r="1287" spans="2:21" ht="17.25">
      <c r="B1287" s="156"/>
      <c r="C1287" s="156"/>
      <c r="D1287" s="157"/>
      <c r="E1287" s="155"/>
      <c r="F1287" s="151"/>
      <c r="G1287" s="152"/>
      <c r="H1287" s="153"/>
      <c r="I1287" s="154"/>
      <c r="J1287" s="154"/>
      <c r="K1287" s="30" t="str">
        <f>IF(H1287="","",IF($C$30="간이법","",FPR(H1287,I1287,J1287)))</f>
        <v/>
      </c>
      <c r="L1287" s="30" t="str">
        <f>IF(H1287="","",IF($C$30="상세법",FPV(H1287,K1287),IF(H1287="EI",4,IF(H1287="EO",5.2,IF(H1287="EQ",3.9,IF(H1287="ILF",7.5,IF(H1287="EIF",5.4)))))))</f>
        <v/>
      </c>
      <c r="M1287" s="30" t="str">
        <f t="shared" si="135"/>
        <v/>
      </c>
      <c r="N1287" s="134"/>
      <c r="O1287" s="29"/>
      <c r="P1287" s="37" t="str">
        <f t="shared" si="136"/>
        <v/>
      </c>
      <c r="Q1287" s="38" t="str">
        <f t="shared" si="137"/>
        <v/>
      </c>
      <c r="R1287" s="37" t="str">
        <f t="shared" si="138"/>
        <v/>
      </c>
      <c r="S1287" s="37" t="str">
        <f t="shared" si="139"/>
        <v/>
      </c>
      <c r="T1287" s="38" t="str">
        <f t="shared" si="140"/>
        <v/>
      </c>
      <c r="U1287" s="37" t="str">
        <f t="shared" si="141"/>
        <v/>
      </c>
    </row>
    <row r="1288" spans="2:21" ht="17.25">
      <c r="B1288" s="156"/>
      <c r="C1288" s="156"/>
      <c r="D1288" s="157"/>
      <c r="E1288" s="155"/>
      <c r="F1288" s="151"/>
      <c r="G1288" s="152"/>
      <c r="H1288" s="153"/>
      <c r="I1288" s="154"/>
      <c r="J1288" s="154"/>
      <c r="K1288" s="30" t="str">
        <f>IF(H1288="","",IF($C$30="간이법","",FPR(H1288,I1288,J1288)))</f>
        <v/>
      </c>
      <c r="L1288" s="30" t="str">
        <f>IF(H1288="","",IF($C$30="상세법",FPV(H1288,K1288),IF(H1288="EI",4,IF(H1288="EO",5.2,IF(H1288="EQ",3.9,IF(H1288="ILF",7.5,IF(H1288="EIF",5.4)))))))</f>
        <v/>
      </c>
      <c r="M1288" s="30" t="str">
        <f t="shared" si="135"/>
        <v/>
      </c>
      <c r="N1288" s="134"/>
      <c r="O1288" s="29"/>
      <c r="P1288" s="37" t="str">
        <f t="shared" si="136"/>
        <v/>
      </c>
      <c r="Q1288" s="38" t="str">
        <f t="shared" si="137"/>
        <v/>
      </c>
      <c r="R1288" s="37" t="str">
        <f t="shared" si="138"/>
        <v/>
      </c>
      <c r="S1288" s="37" t="str">
        <f t="shared" si="139"/>
        <v/>
      </c>
      <c r="T1288" s="38" t="str">
        <f t="shared" si="140"/>
        <v/>
      </c>
      <c r="U1288" s="37" t="str">
        <f t="shared" si="141"/>
        <v/>
      </c>
    </row>
    <row r="1289" spans="2:21" ht="17.25">
      <c r="B1289" s="156"/>
      <c r="C1289" s="156"/>
      <c r="D1289" s="157"/>
      <c r="E1289" s="155"/>
      <c r="F1289" s="151"/>
      <c r="G1289" s="152"/>
      <c r="H1289" s="153"/>
      <c r="I1289" s="154"/>
      <c r="J1289" s="154"/>
      <c r="K1289" s="30" t="str">
        <f>IF(H1289="","",IF($C$30="간이법","",FPR(H1289,I1289,J1289)))</f>
        <v/>
      </c>
      <c r="L1289" s="30" t="str">
        <f>IF(H1289="","",IF($C$30="상세법",FPV(H1289,K1289),IF(H1289="EI",4,IF(H1289="EO",5.2,IF(H1289="EQ",3.9,IF(H1289="ILF",7.5,IF(H1289="EIF",5.4)))))))</f>
        <v/>
      </c>
      <c r="M1289" s="30" t="str">
        <f t="shared" si="135"/>
        <v/>
      </c>
      <c r="N1289" s="134"/>
      <c r="O1289" s="29"/>
      <c r="P1289" s="37" t="str">
        <f t="shared" si="136"/>
        <v/>
      </c>
      <c r="Q1289" s="38" t="str">
        <f t="shared" si="137"/>
        <v/>
      </c>
      <c r="R1289" s="37" t="str">
        <f t="shared" si="138"/>
        <v/>
      </c>
      <c r="S1289" s="37" t="str">
        <f t="shared" si="139"/>
        <v/>
      </c>
      <c r="T1289" s="38" t="str">
        <f t="shared" si="140"/>
        <v/>
      </c>
      <c r="U1289" s="37" t="str">
        <f t="shared" si="141"/>
        <v/>
      </c>
    </row>
    <row r="1290" spans="2:21" ht="17.25">
      <c r="B1290" s="156"/>
      <c r="C1290" s="156"/>
      <c r="D1290" s="157"/>
      <c r="E1290" s="155"/>
      <c r="F1290" s="151"/>
      <c r="G1290" s="152"/>
      <c r="H1290" s="153"/>
      <c r="I1290" s="154"/>
      <c r="J1290" s="154"/>
      <c r="K1290" s="30" t="str">
        <f>IF(H1290="","",IF($C$30="간이법","",FPR(H1290,I1290,J1290)))</f>
        <v/>
      </c>
      <c r="L1290" s="30" t="str">
        <f>IF(H1290="","",IF($C$30="상세법",FPV(H1290,K1290),IF(H1290="EI",4,IF(H1290="EO",5.2,IF(H1290="EQ",3.9,IF(H1290="ILF",7.5,IF(H1290="EIF",5.4)))))))</f>
        <v/>
      </c>
      <c r="M1290" s="30" t="str">
        <f t="shared" si="135"/>
        <v/>
      </c>
      <c r="N1290" s="134"/>
      <c r="O1290" s="29"/>
      <c r="P1290" s="37" t="str">
        <f t="shared" si="136"/>
        <v/>
      </c>
      <c r="Q1290" s="38" t="str">
        <f t="shared" si="137"/>
        <v/>
      </c>
      <c r="R1290" s="37" t="str">
        <f t="shared" si="138"/>
        <v/>
      </c>
      <c r="S1290" s="37" t="str">
        <f t="shared" si="139"/>
        <v/>
      </c>
      <c r="T1290" s="38" t="str">
        <f t="shared" si="140"/>
        <v/>
      </c>
      <c r="U1290" s="37" t="str">
        <f t="shared" si="141"/>
        <v/>
      </c>
    </row>
    <row r="1291" spans="2:21" ht="17.25">
      <c r="B1291" s="156"/>
      <c r="C1291" s="156"/>
      <c r="D1291" s="157"/>
      <c r="E1291" s="155"/>
      <c r="F1291" s="151"/>
      <c r="G1291" s="152"/>
      <c r="H1291" s="153"/>
      <c r="I1291" s="154"/>
      <c r="J1291" s="154"/>
      <c r="K1291" s="30" t="str">
        <f>IF(H1291="","",IF($C$30="간이법","",FPR(H1291,I1291,J1291)))</f>
        <v/>
      </c>
      <c r="L1291" s="30" t="str">
        <f>IF(H1291="","",IF($C$30="상세법",FPV(H1291,K1291),IF(H1291="EI",4,IF(H1291="EO",5.2,IF(H1291="EQ",3.9,IF(H1291="ILF",7.5,IF(H1291="EIF",5.4)))))))</f>
        <v/>
      </c>
      <c r="M1291" s="30" t="str">
        <f t="shared" si="135"/>
        <v/>
      </c>
      <c r="N1291" s="134"/>
      <c r="O1291" s="29"/>
      <c r="P1291" s="37" t="str">
        <f t="shared" si="136"/>
        <v/>
      </c>
      <c r="Q1291" s="38" t="str">
        <f t="shared" si="137"/>
        <v/>
      </c>
      <c r="R1291" s="37" t="str">
        <f t="shared" si="138"/>
        <v/>
      </c>
      <c r="S1291" s="37" t="str">
        <f t="shared" si="139"/>
        <v/>
      </c>
      <c r="T1291" s="38" t="str">
        <f t="shared" si="140"/>
        <v/>
      </c>
      <c r="U1291" s="37" t="str">
        <f t="shared" si="141"/>
        <v/>
      </c>
    </row>
    <row r="1292" spans="2:21" ht="17.25">
      <c r="B1292" s="156"/>
      <c r="C1292" s="156"/>
      <c r="D1292" s="157"/>
      <c r="E1292" s="155"/>
      <c r="F1292" s="151"/>
      <c r="G1292" s="152"/>
      <c r="H1292" s="153"/>
      <c r="I1292" s="154"/>
      <c r="J1292" s="154"/>
      <c r="K1292" s="30" t="str">
        <f>IF(H1292="","",IF($C$30="간이법","",FPR(H1292,I1292,J1292)))</f>
        <v/>
      </c>
      <c r="L1292" s="30" t="str">
        <f>IF(H1292="","",IF($C$30="상세법",FPV(H1292,K1292),IF(H1292="EI",4,IF(H1292="EO",5.2,IF(H1292="EQ",3.9,IF(H1292="ILF",7.5,IF(H1292="EIF",5.4)))))))</f>
        <v/>
      </c>
      <c r="M1292" s="30" t="str">
        <f t="shared" si="135"/>
        <v/>
      </c>
      <c r="N1292" s="134"/>
      <c r="O1292" s="29"/>
      <c r="P1292" s="37" t="str">
        <f t="shared" si="136"/>
        <v/>
      </c>
      <c r="Q1292" s="38" t="str">
        <f t="shared" si="137"/>
        <v/>
      </c>
      <c r="R1292" s="37" t="str">
        <f t="shared" si="138"/>
        <v/>
      </c>
      <c r="S1292" s="37" t="str">
        <f t="shared" si="139"/>
        <v/>
      </c>
      <c r="T1292" s="38" t="str">
        <f t="shared" si="140"/>
        <v/>
      </c>
      <c r="U1292" s="37" t="str">
        <f t="shared" si="141"/>
        <v/>
      </c>
    </row>
    <row r="1293" spans="2:21" ht="17.25">
      <c r="B1293" s="156"/>
      <c r="C1293" s="156"/>
      <c r="D1293" s="157"/>
      <c r="E1293" s="155"/>
      <c r="F1293" s="151"/>
      <c r="G1293" s="152"/>
      <c r="H1293" s="153"/>
      <c r="I1293" s="154"/>
      <c r="J1293" s="154"/>
      <c r="K1293" s="30" t="str">
        <f>IF(H1293="","",IF($C$30="간이법","",FPR(H1293,I1293,J1293)))</f>
        <v/>
      </c>
      <c r="L1293" s="30" t="str">
        <f>IF(H1293="","",IF($C$30="상세법",FPV(H1293,K1293),IF(H1293="EI",4,IF(H1293="EO",5.2,IF(H1293="EQ",3.9,IF(H1293="ILF",7.5,IF(H1293="EIF",5.4)))))))</f>
        <v/>
      </c>
      <c r="M1293" s="30" t="str">
        <f t="shared" si="135"/>
        <v/>
      </c>
      <c r="N1293" s="134"/>
      <c r="O1293" s="29"/>
      <c r="P1293" s="37" t="str">
        <f t="shared" si="136"/>
        <v/>
      </c>
      <c r="Q1293" s="38" t="str">
        <f t="shared" si="137"/>
        <v/>
      </c>
      <c r="R1293" s="37" t="str">
        <f t="shared" si="138"/>
        <v/>
      </c>
      <c r="S1293" s="37" t="str">
        <f t="shared" si="139"/>
        <v/>
      </c>
      <c r="T1293" s="38" t="str">
        <f t="shared" si="140"/>
        <v/>
      </c>
      <c r="U1293" s="37" t="str">
        <f t="shared" si="141"/>
        <v/>
      </c>
    </row>
    <row r="1294" spans="2:21" ht="17.25">
      <c r="B1294" s="156"/>
      <c r="C1294" s="156"/>
      <c r="D1294" s="157"/>
      <c r="E1294" s="155"/>
      <c r="F1294" s="151"/>
      <c r="G1294" s="152"/>
      <c r="H1294" s="153"/>
      <c r="I1294" s="154"/>
      <c r="J1294" s="154"/>
      <c r="K1294" s="30" t="str">
        <f>IF(H1294="","",IF($C$30="간이법","",FPR(H1294,I1294,J1294)))</f>
        <v/>
      </c>
      <c r="L1294" s="30" t="str">
        <f>IF(H1294="","",IF($C$30="상세법",FPV(H1294,K1294),IF(H1294="EI",4,IF(H1294="EO",5.2,IF(H1294="EQ",3.9,IF(H1294="ILF",7.5,IF(H1294="EIF",5.4)))))))</f>
        <v/>
      </c>
      <c r="M1294" s="30" t="str">
        <f t="shared" si="135"/>
        <v/>
      </c>
      <c r="N1294" s="134"/>
      <c r="O1294" s="29"/>
      <c r="P1294" s="37" t="str">
        <f t="shared" si="136"/>
        <v/>
      </c>
      <c r="Q1294" s="38" t="str">
        <f t="shared" si="137"/>
        <v/>
      </c>
      <c r="R1294" s="37" t="str">
        <f t="shared" si="138"/>
        <v/>
      </c>
      <c r="S1294" s="37" t="str">
        <f t="shared" si="139"/>
        <v/>
      </c>
      <c r="T1294" s="38" t="str">
        <f t="shared" si="140"/>
        <v/>
      </c>
      <c r="U1294" s="37" t="str">
        <f t="shared" si="141"/>
        <v/>
      </c>
    </row>
    <row r="1295" spans="2:21" ht="17.25">
      <c r="B1295" s="156"/>
      <c r="C1295" s="156"/>
      <c r="D1295" s="157"/>
      <c r="E1295" s="155"/>
      <c r="F1295" s="151"/>
      <c r="G1295" s="152"/>
      <c r="H1295" s="153"/>
      <c r="I1295" s="154"/>
      <c r="J1295" s="154"/>
      <c r="K1295" s="30" t="str">
        <f>IF(H1295="","",IF($C$30="간이법","",FPR(H1295,I1295,J1295)))</f>
        <v/>
      </c>
      <c r="L1295" s="30" t="str">
        <f>IF(H1295="","",IF($C$30="상세법",FPV(H1295,K1295),IF(H1295="EI",4,IF(H1295="EO",5.2,IF(H1295="EQ",3.9,IF(H1295="ILF",7.5,IF(H1295="EIF",5.4)))))))</f>
        <v/>
      </c>
      <c r="M1295" s="30" t="str">
        <f t="shared" si="135"/>
        <v/>
      </c>
      <c r="N1295" s="134"/>
      <c r="O1295" s="29"/>
      <c r="P1295" s="37" t="str">
        <f t="shared" si="136"/>
        <v/>
      </c>
      <c r="Q1295" s="38" t="str">
        <f t="shared" si="137"/>
        <v/>
      </c>
      <c r="R1295" s="37" t="str">
        <f t="shared" si="138"/>
        <v/>
      </c>
      <c r="S1295" s="37" t="str">
        <f t="shared" si="139"/>
        <v/>
      </c>
      <c r="T1295" s="38" t="str">
        <f t="shared" si="140"/>
        <v/>
      </c>
      <c r="U1295" s="37" t="str">
        <f t="shared" si="141"/>
        <v/>
      </c>
    </row>
    <row r="1296" spans="2:21" ht="17.25">
      <c r="B1296" s="156"/>
      <c r="C1296" s="156"/>
      <c r="D1296" s="157"/>
      <c r="E1296" s="155"/>
      <c r="F1296" s="151"/>
      <c r="G1296" s="152"/>
      <c r="H1296" s="153"/>
      <c r="I1296" s="154"/>
      <c r="J1296" s="154"/>
      <c r="K1296" s="30" t="str">
        <f>IF(H1296="","",IF($C$30="간이법","",FPR(H1296,I1296,J1296)))</f>
        <v/>
      </c>
      <c r="L1296" s="30" t="str">
        <f>IF(H1296="","",IF($C$30="상세법",FPV(H1296,K1296),IF(H1296="EI",4,IF(H1296="EO",5.2,IF(H1296="EQ",3.9,IF(H1296="ILF",7.5,IF(H1296="EIF",5.4)))))))</f>
        <v/>
      </c>
      <c r="M1296" s="30" t="str">
        <f t="shared" si="135"/>
        <v/>
      </c>
      <c r="N1296" s="134"/>
      <c r="O1296" s="29"/>
      <c r="P1296" s="37" t="str">
        <f t="shared" si="136"/>
        <v/>
      </c>
      <c r="Q1296" s="38" t="str">
        <f t="shared" si="137"/>
        <v/>
      </c>
      <c r="R1296" s="37" t="str">
        <f t="shared" si="138"/>
        <v/>
      </c>
      <c r="S1296" s="37" t="str">
        <f t="shared" si="139"/>
        <v/>
      </c>
      <c r="T1296" s="38" t="str">
        <f t="shared" si="140"/>
        <v/>
      </c>
      <c r="U1296" s="37" t="str">
        <f t="shared" si="141"/>
        <v/>
      </c>
    </row>
    <row r="1297" spans="2:21" ht="17.25">
      <c r="B1297" s="156"/>
      <c r="C1297" s="156"/>
      <c r="D1297" s="157"/>
      <c r="E1297" s="155"/>
      <c r="F1297" s="151"/>
      <c r="G1297" s="152"/>
      <c r="H1297" s="153"/>
      <c r="I1297" s="154"/>
      <c r="J1297" s="154"/>
      <c r="K1297" s="30" t="str">
        <f>IF(H1297="","",IF($C$30="간이법","",FPR(H1297,I1297,J1297)))</f>
        <v/>
      </c>
      <c r="L1297" s="30" t="str">
        <f>IF(H1297="","",IF($C$30="상세법",FPV(H1297,K1297),IF(H1297="EI",4,IF(H1297="EO",5.2,IF(H1297="EQ",3.9,IF(H1297="ILF",7.5,IF(H1297="EIF",5.4)))))))</f>
        <v/>
      </c>
      <c r="M1297" s="30" t="str">
        <f t="shared" si="135"/>
        <v/>
      </c>
      <c r="N1297" s="134"/>
      <c r="O1297" s="29"/>
      <c r="P1297" s="37" t="str">
        <f t="shared" si="136"/>
        <v/>
      </c>
      <c r="Q1297" s="38" t="str">
        <f t="shared" si="137"/>
        <v/>
      </c>
      <c r="R1297" s="37" t="str">
        <f t="shared" si="138"/>
        <v/>
      </c>
      <c r="S1297" s="37" t="str">
        <f t="shared" si="139"/>
        <v/>
      </c>
      <c r="T1297" s="38" t="str">
        <f t="shared" si="140"/>
        <v/>
      </c>
      <c r="U1297" s="37" t="str">
        <f t="shared" si="141"/>
        <v/>
      </c>
    </row>
    <row r="1298" spans="2:21" ht="17.25">
      <c r="B1298" s="156"/>
      <c r="C1298" s="156"/>
      <c r="D1298" s="157"/>
      <c r="E1298" s="155"/>
      <c r="F1298" s="151"/>
      <c r="G1298" s="152"/>
      <c r="H1298" s="153"/>
      <c r="I1298" s="154"/>
      <c r="J1298" s="154"/>
      <c r="K1298" s="30" t="str">
        <f>IF(H1298="","",IF($C$30="간이법","",FPR(H1298,I1298,J1298)))</f>
        <v/>
      </c>
      <c r="L1298" s="30" t="str">
        <f>IF(H1298="","",IF($C$30="상세법",FPV(H1298,K1298),IF(H1298="EI",4,IF(H1298="EO",5.2,IF(H1298="EQ",3.9,IF(H1298="ILF",7.5,IF(H1298="EIF",5.4)))))))</f>
        <v/>
      </c>
      <c r="M1298" s="30" t="str">
        <f t="shared" si="135"/>
        <v/>
      </c>
      <c r="N1298" s="134"/>
      <c r="O1298" s="29"/>
      <c r="P1298" s="37" t="str">
        <f t="shared" si="136"/>
        <v/>
      </c>
      <c r="Q1298" s="38" t="str">
        <f t="shared" si="137"/>
        <v/>
      </c>
      <c r="R1298" s="37" t="str">
        <f t="shared" si="138"/>
        <v/>
      </c>
      <c r="S1298" s="37" t="str">
        <f t="shared" si="139"/>
        <v/>
      </c>
      <c r="T1298" s="38" t="str">
        <f t="shared" si="140"/>
        <v/>
      </c>
      <c r="U1298" s="37" t="str">
        <f t="shared" si="141"/>
        <v/>
      </c>
    </row>
    <row r="1299" spans="2:21" ht="17.25">
      <c r="B1299" s="156"/>
      <c r="C1299" s="156"/>
      <c r="D1299" s="157"/>
      <c r="E1299" s="155"/>
      <c r="F1299" s="151"/>
      <c r="G1299" s="152"/>
      <c r="H1299" s="153"/>
      <c r="I1299" s="154"/>
      <c r="J1299" s="154"/>
      <c r="K1299" s="30" t="str">
        <f>IF(H1299="","",IF($C$30="간이법","",FPR(H1299,I1299,J1299)))</f>
        <v/>
      </c>
      <c r="L1299" s="30" t="str">
        <f>IF(H1299="","",IF($C$30="상세법",FPV(H1299,K1299),IF(H1299="EI",4,IF(H1299="EO",5.2,IF(H1299="EQ",3.9,IF(H1299="ILF",7.5,IF(H1299="EIF",5.4)))))))</f>
        <v/>
      </c>
      <c r="M1299" s="30" t="str">
        <f t="shared" si="135"/>
        <v/>
      </c>
      <c r="N1299" s="134"/>
      <c r="O1299" s="29"/>
      <c r="P1299" s="37" t="str">
        <f t="shared" si="136"/>
        <v/>
      </c>
      <c r="Q1299" s="38" t="str">
        <f t="shared" si="137"/>
        <v/>
      </c>
      <c r="R1299" s="37" t="str">
        <f t="shared" si="138"/>
        <v/>
      </c>
      <c r="S1299" s="37" t="str">
        <f t="shared" si="139"/>
        <v/>
      </c>
      <c r="T1299" s="38" t="str">
        <f t="shared" si="140"/>
        <v/>
      </c>
      <c r="U1299" s="37" t="str">
        <f t="shared" si="141"/>
        <v/>
      </c>
    </row>
    <row r="1300" spans="2:21" ht="17.25">
      <c r="B1300" s="156"/>
      <c r="C1300" s="156"/>
      <c r="D1300" s="157"/>
      <c r="E1300" s="155"/>
      <c r="F1300" s="151"/>
      <c r="G1300" s="152"/>
      <c r="H1300" s="153"/>
      <c r="I1300" s="154"/>
      <c r="J1300" s="154"/>
      <c r="K1300" s="30" t="str">
        <f>IF(H1300="","",IF($C$30="간이법","",FPR(H1300,I1300,J1300)))</f>
        <v/>
      </c>
      <c r="L1300" s="30" t="str">
        <f>IF(H1300="","",IF($C$30="상세법",FPV(H1300,K1300),IF(H1300="EI",4,IF(H1300="EO",5.2,IF(H1300="EQ",3.9,IF(H1300="ILF",7.5,IF(H1300="EIF",5.4)))))))</f>
        <v/>
      </c>
      <c r="M1300" s="30" t="str">
        <f t="shared" si="135"/>
        <v/>
      </c>
      <c r="N1300" s="134"/>
      <c r="O1300" s="29"/>
      <c r="P1300" s="37" t="str">
        <f t="shared" si="136"/>
        <v/>
      </c>
      <c r="Q1300" s="38" t="str">
        <f t="shared" si="137"/>
        <v/>
      </c>
      <c r="R1300" s="37" t="str">
        <f t="shared" si="138"/>
        <v/>
      </c>
      <c r="S1300" s="37" t="str">
        <f t="shared" si="139"/>
        <v/>
      </c>
      <c r="T1300" s="38" t="str">
        <f t="shared" si="140"/>
        <v/>
      </c>
      <c r="U1300" s="37" t="str">
        <f t="shared" si="141"/>
        <v/>
      </c>
    </row>
    <row r="1301" spans="2:21" ht="17.25">
      <c r="B1301" s="156"/>
      <c r="C1301" s="156"/>
      <c r="D1301" s="157"/>
      <c r="E1301" s="155"/>
      <c r="F1301" s="151"/>
      <c r="G1301" s="152"/>
      <c r="H1301" s="153"/>
      <c r="I1301" s="154"/>
      <c r="J1301" s="154"/>
      <c r="K1301" s="30" t="str">
        <f>IF(H1301="","",IF($C$30="간이법","",FPR(H1301,I1301,J1301)))</f>
        <v/>
      </c>
      <c r="L1301" s="30" t="str">
        <f>IF(H1301="","",IF($C$30="상세법",FPV(H1301,K1301),IF(H1301="EI",4,IF(H1301="EO",5.2,IF(H1301="EQ",3.9,IF(H1301="ILF",7.5,IF(H1301="EIF",5.4)))))))</f>
        <v/>
      </c>
      <c r="M1301" s="30" t="str">
        <f t="shared" si="135"/>
        <v/>
      </c>
      <c r="N1301" s="134"/>
      <c r="O1301" s="29"/>
      <c r="P1301" s="37" t="str">
        <f t="shared" si="136"/>
        <v/>
      </c>
      <c r="Q1301" s="38" t="str">
        <f t="shared" si="137"/>
        <v/>
      </c>
      <c r="R1301" s="37" t="str">
        <f t="shared" si="138"/>
        <v/>
      </c>
      <c r="S1301" s="37" t="str">
        <f t="shared" si="139"/>
        <v/>
      </c>
      <c r="T1301" s="38" t="str">
        <f t="shared" si="140"/>
        <v/>
      </c>
      <c r="U1301" s="37" t="str">
        <f t="shared" si="141"/>
        <v/>
      </c>
    </row>
    <row r="1302" spans="2:21" ht="17.25">
      <c r="B1302" s="156"/>
      <c r="C1302" s="156"/>
      <c r="D1302" s="157"/>
      <c r="E1302" s="155"/>
      <c r="F1302" s="151"/>
      <c r="G1302" s="152"/>
      <c r="H1302" s="153"/>
      <c r="I1302" s="154"/>
      <c r="J1302" s="154"/>
      <c r="K1302" s="30" t="str">
        <f>IF(H1302="","",IF($C$30="간이법","",FPR(H1302,I1302,J1302)))</f>
        <v/>
      </c>
      <c r="L1302" s="30" t="str">
        <f>IF(H1302="","",IF($C$30="상세법",FPV(H1302,K1302),IF(H1302="EI",4,IF(H1302="EO",5.2,IF(H1302="EQ",3.9,IF(H1302="ILF",7.5,IF(H1302="EIF",5.4)))))))</f>
        <v/>
      </c>
      <c r="M1302" s="30" t="str">
        <f t="shared" si="135"/>
        <v/>
      </c>
      <c r="N1302" s="134"/>
      <c r="O1302" s="29"/>
      <c r="P1302" s="37" t="str">
        <f t="shared" si="136"/>
        <v/>
      </c>
      <c r="Q1302" s="38" t="str">
        <f t="shared" si="137"/>
        <v/>
      </c>
      <c r="R1302" s="37" t="str">
        <f t="shared" si="138"/>
        <v/>
      </c>
      <c r="S1302" s="37" t="str">
        <f t="shared" si="139"/>
        <v/>
      </c>
      <c r="T1302" s="38" t="str">
        <f t="shared" si="140"/>
        <v/>
      </c>
      <c r="U1302" s="37" t="str">
        <f t="shared" si="141"/>
        <v/>
      </c>
    </row>
    <row r="1303" spans="2:21" ht="17.25">
      <c r="B1303" s="156"/>
      <c r="C1303" s="156"/>
      <c r="D1303" s="157"/>
      <c r="E1303" s="155"/>
      <c r="F1303" s="151"/>
      <c r="G1303" s="152"/>
      <c r="H1303" s="153"/>
      <c r="I1303" s="154"/>
      <c r="J1303" s="154"/>
      <c r="K1303" s="30" t="str">
        <f>IF(H1303="","",IF($C$30="간이법","",FPR(H1303,I1303,J1303)))</f>
        <v/>
      </c>
      <c r="L1303" s="30" t="str">
        <f>IF(H1303="","",IF($C$30="상세법",FPV(H1303,K1303),IF(H1303="EI",4,IF(H1303="EO",5.2,IF(H1303="EQ",3.9,IF(H1303="ILF",7.5,IF(H1303="EIF",5.4)))))))</f>
        <v/>
      </c>
      <c r="M1303" s="30" t="str">
        <f t="shared" si="135"/>
        <v/>
      </c>
      <c r="N1303" s="134"/>
      <c r="O1303" s="29"/>
      <c r="P1303" s="37" t="str">
        <f t="shared" si="136"/>
        <v/>
      </c>
      <c r="Q1303" s="38" t="str">
        <f t="shared" si="137"/>
        <v/>
      </c>
      <c r="R1303" s="37" t="str">
        <f t="shared" si="138"/>
        <v/>
      </c>
      <c r="S1303" s="37" t="str">
        <f t="shared" si="139"/>
        <v/>
      </c>
      <c r="T1303" s="38" t="str">
        <f t="shared" si="140"/>
        <v/>
      </c>
      <c r="U1303" s="37" t="str">
        <f t="shared" si="141"/>
        <v/>
      </c>
    </row>
    <row r="1304" spans="2:21" ht="17.25">
      <c r="B1304" s="156"/>
      <c r="C1304" s="156"/>
      <c r="D1304" s="157"/>
      <c r="E1304" s="155"/>
      <c r="F1304" s="151"/>
      <c r="G1304" s="152"/>
      <c r="H1304" s="153"/>
      <c r="I1304" s="154"/>
      <c r="J1304" s="154"/>
      <c r="K1304" s="30" t="str">
        <f>IF(H1304="","",IF($C$30="간이법","",FPR(H1304,I1304,J1304)))</f>
        <v/>
      </c>
      <c r="L1304" s="30" t="str">
        <f>IF(H1304="","",IF($C$30="상세법",FPV(H1304,K1304),IF(H1304="EI",4,IF(H1304="EO",5.2,IF(H1304="EQ",3.9,IF(H1304="ILF",7.5,IF(H1304="EIF",5.4)))))))</f>
        <v/>
      </c>
      <c r="M1304" s="30" t="str">
        <f t="shared" si="135"/>
        <v/>
      </c>
      <c r="N1304" s="134"/>
      <c r="O1304" s="29"/>
      <c r="P1304" s="37" t="str">
        <f t="shared" si="136"/>
        <v/>
      </c>
      <c r="Q1304" s="38" t="str">
        <f t="shared" si="137"/>
        <v/>
      </c>
      <c r="R1304" s="37" t="str">
        <f t="shared" si="138"/>
        <v/>
      </c>
      <c r="S1304" s="37" t="str">
        <f t="shared" si="139"/>
        <v/>
      </c>
      <c r="T1304" s="38" t="str">
        <f t="shared" si="140"/>
        <v/>
      </c>
      <c r="U1304" s="37" t="str">
        <f t="shared" si="141"/>
        <v/>
      </c>
    </row>
    <row r="1305" spans="2:21" ht="17.25">
      <c r="B1305" s="156"/>
      <c r="C1305" s="156"/>
      <c r="D1305" s="157"/>
      <c r="E1305" s="155"/>
      <c r="F1305" s="151"/>
      <c r="G1305" s="152"/>
      <c r="H1305" s="153"/>
      <c r="I1305" s="154"/>
      <c r="J1305" s="154"/>
      <c r="K1305" s="30" t="str">
        <f>IF(H1305="","",IF($C$30="간이법","",FPR(H1305,I1305,J1305)))</f>
        <v/>
      </c>
      <c r="L1305" s="30" t="str">
        <f>IF(H1305="","",IF($C$30="상세법",FPV(H1305,K1305),IF(H1305="EI",4,IF(H1305="EO",5.2,IF(H1305="EQ",3.9,IF(H1305="ILF",7.5,IF(H1305="EIF",5.4)))))))</f>
        <v/>
      </c>
      <c r="M1305" s="30" t="str">
        <f t="shared" si="135"/>
        <v/>
      </c>
      <c r="N1305" s="134"/>
      <c r="O1305" s="29"/>
      <c r="P1305" s="37" t="str">
        <f t="shared" si="136"/>
        <v/>
      </c>
      <c r="Q1305" s="38" t="str">
        <f t="shared" si="137"/>
        <v/>
      </c>
      <c r="R1305" s="37" t="str">
        <f t="shared" si="138"/>
        <v/>
      </c>
      <c r="S1305" s="37" t="str">
        <f t="shared" si="139"/>
        <v/>
      </c>
      <c r="T1305" s="38" t="str">
        <f t="shared" si="140"/>
        <v/>
      </c>
      <c r="U1305" s="37" t="str">
        <f t="shared" si="141"/>
        <v/>
      </c>
    </row>
    <row r="1306" spans="2:21" ht="17.25">
      <c r="B1306" s="156"/>
      <c r="C1306" s="156"/>
      <c r="D1306" s="157"/>
      <c r="E1306" s="155"/>
      <c r="F1306" s="151"/>
      <c r="G1306" s="152"/>
      <c r="H1306" s="153"/>
      <c r="I1306" s="154"/>
      <c r="J1306" s="154"/>
      <c r="K1306" s="30" t="str">
        <f>IF(H1306="","",IF($C$30="간이법","",FPR(H1306,I1306,J1306)))</f>
        <v/>
      </c>
      <c r="L1306" s="30" t="str">
        <f>IF(H1306="","",IF($C$30="상세법",FPV(H1306,K1306),IF(H1306="EI",4,IF(H1306="EO",5.2,IF(H1306="EQ",3.9,IF(H1306="ILF",7.5,IF(H1306="EIF",5.4)))))))</f>
        <v/>
      </c>
      <c r="M1306" s="30" t="str">
        <f t="shared" si="135"/>
        <v/>
      </c>
      <c r="N1306" s="134"/>
      <c r="O1306" s="29"/>
      <c r="P1306" s="37" t="str">
        <f t="shared" si="136"/>
        <v/>
      </c>
      <c r="Q1306" s="38" t="str">
        <f t="shared" si="137"/>
        <v/>
      </c>
      <c r="R1306" s="37" t="str">
        <f t="shared" si="138"/>
        <v/>
      </c>
      <c r="S1306" s="37" t="str">
        <f t="shared" si="139"/>
        <v/>
      </c>
      <c r="T1306" s="38" t="str">
        <f t="shared" si="140"/>
        <v/>
      </c>
      <c r="U1306" s="37" t="str">
        <f t="shared" si="141"/>
        <v/>
      </c>
    </row>
    <row r="1307" spans="2:21" ht="17.25">
      <c r="B1307" s="156"/>
      <c r="C1307" s="156"/>
      <c r="D1307" s="157"/>
      <c r="E1307" s="155"/>
      <c r="F1307" s="151"/>
      <c r="G1307" s="152"/>
      <c r="H1307" s="153"/>
      <c r="I1307" s="154"/>
      <c r="J1307" s="154"/>
      <c r="K1307" s="30" t="str">
        <f>IF(H1307="","",IF($C$30="간이법","",FPR(H1307,I1307,J1307)))</f>
        <v/>
      </c>
      <c r="L1307" s="30" t="str">
        <f>IF(H1307="","",IF($C$30="상세법",FPV(H1307,K1307),IF(H1307="EI",4,IF(H1307="EO",5.2,IF(H1307="EQ",3.9,IF(H1307="ILF",7.5,IF(H1307="EIF",5.4)))))))</f>
        <v/>
      </c>
      <c r="M1307" s="30" t="str">
        <f t="shared" si="135"/>
        <v/>
      </c>
      <c r="N1307" s="134"/>
      <c r="O1307" s="29"/>
      <c r="P1307" s="37" t="str">
        <f t="shared" si="136"/>
        <v/>
      </c>
      <c r="Q1307" s="38" t="str">
        <f t="shared" si="137"/>
        <v/>
      </c>
      <c r="R1307" s="37" t="str">
        <f t="shared" si="138"/>
        <v/>
      </c>
      <c r="S1307" s="37" t="str">
        <f t="shared" si="139"/>
        <v/>
      </c>
      <c r="T1307" s="38" t="str">
        <f t="shared" si="140"/>
        <v/>
      </c>
      <c r="U1307" s="37" t="str">
        <f t="shared" si="141"/>
        <v/>
      </c>
    </row>
    <row r="1308" spans="2:21" ht="17.25">
      <c r="B1308" s="156"/>
      <c r="C1308" s="156"/>
      <c r="D1308" s="157"/>
      <c r="E1308" s="155"/>
      <c r="F1308" s="151"/>
      <c r="G1308" s="152"/>
      <c r="H1308" s="153"/>
      <c r="I1308" s="154"/>
      <c r="J1308" s="154"/>
      <c r="K1308" s="30" t="str">
        <f>IF(H1308="","",IF($C$30="간이법","",FPR(H1308,I1308,J1308)))</f>
        <v/>
      </c>
      <c r="L1308" s="30" t="str">
        <f>IF(H1308="","",IF($C$30="상세법",FPV(H1308,K1308),IF(H1308="EI",4,IF(H1308="EO",5.2,IF(H1308="EQ",3.9,IF(H1308="ILF",7.5,IF(H1308="EIF",5.4)))))))</f>
        <v/>
      </c>
      <c r="M1308" s="30" t="str">
        <f t="shared" si="135"/>
        <v/>
      </c>
      <c r="N1308" s="134"/>
      <c r="O1308" s="29"/>
      <c r="P1308" s="37" t="str">
        <f t="shared" si="136"/>
        <v/>
      </c>
      <c r="Q1308" s="38" t="str">
        <f t="shared" si="137"/>
        <v/>
      </c>
      <c r="R1308" s="37" t="str">
        <f t="shared" si="138"/>
        <v/>
      </c>
      <c r="S1308" s="37" t="str">
        <f t="shared" si="139"/>
        <v/>
      </c>
      <c r="T1308" s="38" t="str">
        <f t="shared" si="140"/>
        <v/>
      </c>
      <c r="U1308" s="37" t="str">
        <f t="shared" si="141"/>
        <v/>
      </c>
    </row>
    <row r="1309" spans="2:21" ht="17.25">
      <c r="B1309" s="156"/>
      <c r="C1309" s="156"/>
      <c r="D1309" s="157"/>
      <c r="E1309" s="155"/>
      <c r="F1309" s="151"/>
      <c r="G1309" s="152"/>
      <c r="H1309" s="153"/>
      <c r="I1309" s="154"/>
      <c r="J1309" s="154"/>
      <c r="K1309" s="30" t="str">
        <f>IF(H1309="","",IF($C$30="간이법","",FPR(H1309,I1309,J1309)))</f>
        <v/>
      </c>
      <c r="L1309" s="30" t="str">
        <f>IF(H1309="","",IF($C$30="상세법",FPV(H1309,K1309),IF(H1309="EI",4,IF(H1309="EO",5.2,IF(H1309="EQ",3.9,IF(H1309="ILF",7.5,IF(H1309="EIF",5.4)))))))</f>
        <v/>
      </c>
      <c r="M1309" s="30" t="str">
        <f t="shared" si="135"/>
        <v/>
      </c>
      <c r="N1309" s="134"/>
      <c r="O1309" s="29"/>
      <c r="P1309" s="37" t="str">
        <f t="shared" si="136"/>
        <v/>
      </c>
      <c r="Q1309" s="38" t="str">
        <f t="shared" si="137"/>
        <v/>
      </c>
      <c r="R1309" s="37" t="str">
        <f t="shared" si="138"/>
        <v/>
      </c>
      <c r="S1309" s="37" t="str">
        <f t="shared" si="139"/>
        <v/>
      </c>
      <c r="T1309" s="38" t="str">
        <f t="shared" si="140"/>
        <v/>
      </c>
      <c r="U1309" s="37" t="str">
        <f t="shared" si="141"/>
        <v/>
      </c>
    </row>
    <row r="1310" spans="2:21" ht="17.25">
      <c r="B1310" s="156"/>
      <c r="C1310" s="156"/>
      <c r="D1310" s="157"/>
      <c r="E1310" s="155"/>
      <c r="F1310" s="151"/>
      <c r="G1310" s="152"/>
      <c r="H1310" s="153"/>
      <c r="I1310" s="154"/>
      <c r="J1310" s="154"/>
      <c r="K1310" s="30" t="str">
        <f>IF(H1310="","",IF($C$30="간이법","",FPR(H1310,I1310,J1310)))</f>
        <v/>
      </c>
      <c r="L1310" s="30" t="str">
        <f>IF(H1310="","",IF($C$30="상세법",FPV(H1310,K1310),IF(H1310="EI",4,IF(H1310="EO",5.2,IF(H1310="EQ",3.9,IF(H1310="ILF",7.5,IF(H1310="EIF",5.4)))))))</f>
        <v/>
      </c>
      <c r="M1310" s="30" t="str">
        <f t="shared" si="135"/>
        <v/>
      </c>
      <c r="N1310" s="134"/>
      <c r="O1310" s="29"/>
      <c r="P1310" s="37" t="str">
        <f t="shared" si="136"/>
        <v/>
      </c>
      <c r="Q1310" s="38" t="str">
        <f t="shared" si="137"/>
        <v/>
      </c>
      <c r="R1310" s="37" t="str">
        <f t="shared" si="138"/>
        <v/>
      </c>
      <c r="S1310" s="37" t="str">
        <f t="shared" si="139"/>
        <v/>
      </c>
      <c r="T1310" s="38" t="str">
        <f t="shared" si="140"/>
        <v/>
      </c>
      <c r="U1310" s="37" t="str">
        <f t="shared" si="141"/>
        <v/>
      </c>
    </row>
    <row r="1311" spans="2:21" ht="17.25">
      <c r="B1311" s="156"/>
      <c r="C1311" s="156"/>
      <c r="D1311" s="157"/>
      <c r="E1311" s="155"/>
      <c r="F1311" s="151"/>
      <c r="G1311" s="152"/>
      <c r="H1311" s="153"/>
      <c r="I1311" s="154"/>
      <c r="J1311" s="154"/>
      <c r="K1311" s="30" t="str">
        <f>IF(H1311="","",IF($C$30="간이법","",FPR(H1311,I1311,J1311)))</f>
        <v/>
      </c>
      <c r="L1311" s="30" t="str">
        <f>IF(H1311="","",IF($C$30="상세법",FPV(H1311,K1311),IF(H1311="EI",4,IF(H1311="EO",5.2,IF(H1311="EQ",3.9,IF(H1311="ILF",7.5,IF(H1311="EIF",5.4)))))))</f>
        <v/>
      </c>
      <c r="M1311" s="30" t="str">
        <f t="shared" si="135"/>
        <v/>
      </c>
      <c r="N1311" s="134"/>
      <c r="O1311" s="29"/>
      <c r="P1311" s="37" t="str">
        <f t="shared" si="136"/>
        <v/>
      </c>
      <c r="Q1311" s="38" t="str">
        <f t="shared" si="137"/>
        <v/>
      </c>
      <c r="R1311" s="37" t="str">
        <f t="shared" si="138"/>
        <v/>
      </c>
      <c r="S1311" s="37" t="str">
        <f t="shared" si="139"/>
        <v/>
      </c>
      <c r="T1311" s="38" t="str">
        <f t="shared" si="140"/>
        <v/>
      </c>
      <c r="U1311" s="37" t="str">
        <f t="shared" si="141"/>
        <v/>
      </c>
    </row>
    <row r="1312" spans="2:21" ht="17.25">
      <c r="B1312" s="156"/>
      <c r="C1312" s="156"/>
      <c r="D1312" s="157"/>
      <c r="E1312" s="155"/>
      <c r="F1312" s="151"/>
      <c r="G1312" s="152"/>
      <c r="H1312" s="153"/>
      <c r="I1312" s="154"/>
      <c r="J1312" s="154"/>
      <c r="K1312" s="30" t="str">
        <f>IF(H1312="","",IF($C$30="간이법","",FPR(H1312,I1312,J1312)))</f>
        <v/>
      </c>
      <c r="L1312" s="30" t="str">
        <f>IF(H1312="","",IF($C$30="상세법",FPV(H1312,K1312),IF(H1312="EI",4,IF(H1312="EO",5.2,IF(H1312="EQ",3.9,IF(H1312="ILF",7.5,IF(H1312="EIF",5.4)))))))</f>
        <v/>
      </c>
      <c r="M1312" s="30" t="str">
        <f t="shared" si="135"/>
        <v/>
      </c>
      <c r="N1312" s="134"/>
      <c r="O1312" s="29"/>
      <c r="P1312" s="37" t="str">
        <f t="shared" si="136"/>
        <v/>
      </c>
      <c r="Q1312" s="38" t="str">
        <f t="shared" si="137"/>
        <v/>
      </c>
      <c r="R1312" s="37" t="str">
        <f t="shared" si="138"/>
        <v/>
      </c>
      <c r="S1312" s="37" t="str">
        <f t="shared" si="139"/>
        <v/>
      </c>
      <c r="T1312" s="38" t="str">
        <f t="shared" si="140"/>
        <v/>
      </c>
      <c r="U1312" s="37" t="str">
        <f t="shared" si="141"/>
        <v/>
      </c>
    </row>
    <row r="1313" spans="2:21" ht="17.25">
      <c r="B1313" s="156"/>
      <c r="C1313" s="156"/>
      <c r="D1313" s="157"/>
      <c r="E1313" s="155"/>
      <c r="F1313" s="151"/>
      <c r="G1313" s="152"/>
      <c r="H1313" s="153"/>
      <c r="I1313" s="154"/>
      <c r="J1313" s="154"/>
      <c r="K1313" s="30" t="str">
        <f>IF(H1313="","",IF($C$30="간이법","",FPR(H1313,I1313,J1313)))</f>
        <v/>
      </c>
      <c r="L1313" s="30" t="str">
        <f>IF(H1313="","",IF($C$30="상세법",FPV(H1313,K1313),IF(H1313="EI",4,IF(H1313="EO",5.2,IF(H1313="EQ",3.9,IF(H1313="ILF",7.5,IF(H1313="EIF",5.4)))))))</f>
        <v/>
      </c>
      <c r="M1313" s="30" t="str">
        <f t="shared" si="135"/>
        <v/>
      </c>
      <c r="N1313" s="134"/>
      <c r="O1313" s="29"/>
      <c r="P1313" s="37" t="str">
        <f t="shared" si="136"/>
        <v/>
      </c>
      <c r="Q1313" s="38" t="str">
        <f t="shared" si="137"/>
        <v/>
      </c>
      <c r="R1313" s="37" t="str">
        <f t="shared" si="138"/>
        <v/>
      </c>
      <c r="S1313" s="37" t="str">
        <f t="shared" si="139"/>
        <v/>
      </c>
      <c r="T1313" s="38" t="str">
        <f t="shared" si="140"/>
        <v/>
      </c>
      <c r="U1313" s="37" t="str">
        <f t="shared" si="141"/>
        <v/>
      </c>
    </row>
    <row r="1314" spans="2:21" ht="17.25">
      <c r="B1314" s="156"/>
      <c r="C1314" s="156"/>
      <c r="D1314" s="157"/>
      <c r="E1314" s="155"/>
      <c r="F1314" s="151"/>
      <c r="G1314" s="152"/>
      <c r="H1314" s="153"/>
      <c r="I1314" s="154"/>
      <c r="J1314" s="154"/>
      <c r="K1314" s="30" t="str">
        <f>IF(H1314="","",IF($C$30="간이법","",FPR(H1314,I1314,J1314)))</f>
        <v/>
      </c>
      <c r="L1314" s="30" t="str">
        <f>IF(H1314="","",IF($C$30="상세법",FPV(H1314,K1314),IF(H1314="EI",4,IF(H1314="EO",5.2,IF(H1314="EQ",3.9,IF(H1314="ILF",7.5,IF(H1314="EIF",5.4)))))))</f>
        <v/>
      </c>
      <c r="M1314" s="30" t="str">
        <f t="shared" si="135"/>
        <v/>
      </c>
      <c r="N1314" s="134"/>
      <c r="O1314" s="29"/>
      <c r="P1314" s="37" t="str">
        <f t="shared" si="136"/>
        <v/>
      </c>
      <c r="Q1314" s="38" t="str">
        <f t="shared" si="137"/>
        <v/>
      </c>
      <c r="R1314" s="37" t="str">
        <f t="shared" si="138"/>
        <v/>
      </c>
      <c r="S1314" s="37" t="str">
        <f t="shared" si="139"/>
        <v/>
      </c>
      <c r="T1314" s="38" t="str">
        <f t="shared" si="140"/>
        <v/>
      </c>
      <c r="U1314" s="37" t="str">
        <f t="shared" si="141"/>
        <v/>
      </c>
    </row>
    <row r="1315" spans="2:21" ht="17.25">
      <c r="B1315" s="156"/>
      <c r="C1315" s="156"/>
      <c r="D1315" s="157"/>
      <c r="E1315" s="155"/>
      <c r="F1315" s="151"/>
      <c r="G1315" s="152"/>
      <c r="H1315" s="153"/>
      <c r="I1315" s="154"/>
      <c r="J1315" s="154"/>
      <c r="K1315" s="30" t="str">
        <f>IF(H1315="","",IF($C$30="간이법","",FPR(H1315,I1315,J1315)))</f>
        <v/>
      </c>
      <c r="L1315" s="30" t="str">
        <f>IF(H1315="","",IF($C$30="상세법",FPV(H1315,K1315),IF(H1315="EI",4,IF(H1315="EO",5.2,IF(H1315="EQ",3.9,IF(H1315="ILF",7.5,IF(H1315="EIF",5.4)))))))</f>
        <v/>
      </c>
      <c r="M1315" s="30" t="str">
        <f t="shared" si="135"/>
        <v/>
      </c>
      <c r="N1315" s="134"/>
      <c r="O1315" s="29"/>
      <c r="P1315" s="37" t="str">
        <f t="shared" si="136"/>
        <v/>
      </c>
      <c r="Q1315" s="38" t="str">
        <f t="shared" si="137"/>
        <v/>
      </c>
      <c r="R1315" s="37" t="str">
        <f t="shared" si="138"/>
        <v/>
      </c>
      <c r="S1315" s="37" t="str">
        <f t="shared" si="139"/>
        <v/>
      </c>
      <c r="T1315" s="38" t="str">
        <f t="shared" si="140"/>
        <v/>
      </c>
      <c r="U1315" s="37" t="str">
        <f t="shared" si="141"/>
        <v/>
      </c>
    </row>
    <row r="1316" spans="2:21" ht="17.25">
      <c r="B1316" s="156"/>
      <c r="C1316" s="156"/>
      <c r="D1316" s="157"/>
      <c r="E1316" s="155"/>
      <c r="F1316" s="151"/>
      <c r="G1316" s="152"/>
      <c r="H1316" s="153"/>
      <c r="I1316" s="154"/>
      <c r="J1316" s="154"/>
      <c r="K1316" s="30" t="str">
        <f>IF(H1316="","",IF($C$30="간이법","",FPR(H1316,I1316,J1316)))</f>
        <v/>
      </c>
      <c r="L1316" s="30" t="str">
        <f>IF(H1316="","",IF($C$30="상세법",FPV(H1316,K1316),IF(H1316="EI",4,IF(H1316="EO",5.2,IF(H1316="EQ",3.9,IF(H1316="ILF",7.5,IF(H1316="EIF",5.4)))))))</f>
        <v/>
      </c>
      <c r="M1316" s="30" t="str">
        <f t="shared" si="135"/>
        <v/>
      </c>
      <c r="N1316" s="134"/>
      <c r="O1316" s="29"/>
      <c r="P1316" s="37" t="str">
        <f t="shared" si="136"/>
        <v/>
      </c>
      <c r="Q1316" s="38" t="str">
        <f t="shared" si="137"/>
        <v/>
      </c>
      <c r="R1316" s="37" t="str">
        <f t="shared" si="138"/>
        <v/>
      </c>
      <c r="S1316" s="37" t="str">
        <f t="shared" si="139"/>
        <v/>
      </c>
      <c r="T1316" s="38" t="str">
        <f t="shared" si="140"/>
        <v/>
      </c>
      <c r="U1316" s="37" t="str">
        <f t="shared" si="141"/>
        <v/>
      </c>
    </row>
    <row r="1317" spans="2:21" ht="17.25">
      <c r="B1317" s="156"/>
      <c r="C1317" s="156"/>
      <c r="D1317" s="157"/>
      <c r="E1317" s="155"/>
      <c r="F1317" s="151"/>
      <c r="G1317" s="152"/>
      <c r="H1317" s="153"/>
      <c r="I1317" s="154"/>
      <c r="J1317" s="154"/>
      <c r="K1317" s="30" t="str">
        <f>IF(H1317="","",IF($C$30="간이법","",FPR(H1317,I1317,J1317)))</f>
        <v/>
      </c>
      <c r="L1317" s="30" t="str">
        <f>IF(H1317="","",IF($C$30="상세법",FPV(H1317,K1317),IF(H1317="EI",4,IF(H1317="EO",5.2,IF(H1317="EQ",3.9,IF(H1317="ILF",7.5,IF(H1317="EIF",5.4)))))))</f>
        <v/>
      </c>
      <c r="M1317" s="30" t="str">
        <f t="shared" si="135"/>
        <v/>
      </c>
      <c r="N1317" s="134"/>
      <c r="O1317" s="29"/>
      <c r="P1317" s="37" t="str">
        <f t="shared" si="136"/>
        <v/>
      </c>
      <c r="Q1317" s="38" t="str">
        <f t="shared" si="137"/>
        <v/>
      </c>
      <c r="R1317" s="37" t="str">
        <f t="shared" si="138"/>
        <v/>
      </c>
      <c r="S1317" s="37" t="str">
        <f t="shared" si="139"/>
        <v/>
      </c>
      <c r="T1317" s="38" t="str">
        <f t="shared" si="140"/>
        <v/>
      </c>
      <c r="U1317" s="37" t="str">
        <f t="shared" si="141"/>
        <v/>
      </c>
    </row>
    <row r="1318" spans="2:21" ht="17.25">
      <c r="B1318" s="156"/>
      <c r="C1318" s="156"/>
      <c r="D1318" s="157"/>
      <c r="E1318" s="155"/>
      <c r="F1318" s="151"/>
      <c r="G1318" s="152"/>
      <c r="H1318" s="153"/>
      <c r="I1318" s="154"/>
      <c r="J1318" s="154"/>
      <c r="K1318" s="30" t="str">
        <f>IF(H1318="","",IF($C$30="간이법","",FPR(H1318,I1318,J1318)))</f>
        <v/>
      </c>
      <c r="L1318" s="30" t="str">
        <f>IF(H1318="","",IF($C$30="상세법",FPV(H1318,K1318),IF(H1318="EI",4,IF(H1318="EO",5.2,IF(H1318="EQ",3.9,IF(H1318="ILF",7.5,IF(H1318="EIF",5.4)))))))</f>
        <v/>
      </c>
      <c r="M1318" s="30" t="str">
        <f t="shared" si="135"/>
        <v/>
      </c>
      <c r="N1318" s="134"/>
      <c r="O1318" s="29"/>
      <c r="P1318" s="37" t="str">
        <f t="shared" si="136"/>
        <v/>
      </c>
      <c r="Q1318" s="38" t="str">
        <f t="shared" si="137"/>
        <v/>
      </c>
      <c r="R1318" s="37" t="str">
        <f t="shared" si="138"/>
        <v/>
      </c>
      <c r="S1318" s="37" t="str">
        <f t="shared" si="139"/>
        <v/>
      </c>
      <c r="T1318" s="38" t="str">
        <f t="shared" si="140"/>
        <v/>
      </c>
      <c r="U1318" s="37" t="str">
        <f t="shared" si="141"/>
        <v/>
      </c>
    </row>
    <row r="1319" spans="2:21" ht="17.25">
      <c r="B1319" s="156"/>
      <c r="C1319" s="156"/>
      <c r="D1319" s="157"/>
      <c r="E1319" s="155"/>
      <c r="F1319" s="151"/>
      <c r="G1319" s="152"/>
      <c r="H1319" s="153"/>
      <c r="I1319" s="154"/>
      <c r="J1319" s="154"/>
      <c r="K1319" s="30" t="str">
        <f>IF(H1319="","",IF($C$30="간이법","",FPR(H1319,I1319,J1319)))</f>
        <v/>
      </c>
      <c r="L1319" s="30" t="str">
        <f>IF(H1319="","",IF($C$30="상세법",FPV(H1319,K1319),IF(H1319="EI",4,IF(H1319="EO",5.2,IF(H1319="EQ",3.9,IF(H1319="ILF",7.5,IF(H1319="EIF",5.4)))))))</f>
        <v/>
      </c>
      <c r="M1319" s="30" t="str">
        <f t="shared" si="135"/>
        <v/>
      </c>
      <c r="N1319" s="134"/>
      <c r="O1319" s="29"/>
      <c r="P1319" s="37" t="str">
        <f t="shared" si="136"/>
        <v/>
      </c>
      <c r="Q1319" s="38" t="str">
        <f t="shared" si="137"/>
        <v/>
      </c>
      <c r="R1319" s="37" t="str">
        <f t="shared" si="138"/>
        <v/>
      </c>
      <c r="S1319" s="37" t="str">
        <f t="shared" si="139"/>
        <v/>
      </c>
      <c r="T1319" s="38" t="str">
        <f t="shared" si="140"/>
        <v/>
      </c>
      <c r="U1319" s="37" t="str">
        <f t="shared" si="141"/>
        <v/>
      </c>
    </row>
    <row r="1320" spans="2:21" ht="17.25">
      <c r="B1320" s="156"/>
      <c r="C1320" s="156"/>
      <c r="D1320" s="157"/>
      <c r="E1320" s="155"/>
      <c r="F1320" s="151"/>
      <c r="G1320" s="152"/>
      <c r="H1320" s="153"/>
      <c r="I1320" s="154"/>
      <c r="J1320" s="154"/>
      <c r="K1320" s="30" t="str">
        <f>IF(H1320="","",IF($C$30="간이법","",FPR(H1320,I1320,J1320)))</f>
        <v/>
      </c>
      <c r="L1320" s="30" t="str">
        <f>IF(H1320="","",IF($C$30="상세법",FPV(H1320,K1320),IF(H1320="EI",4,IF(H1320="EO",5.2,IF(H1320="EQ",3.9,IF(H1320="ILF",7.5,IF(H1320="EIF",5.4)))))))</f>
        <v/>
      </c>
      <c r="M1320" s="30" t="str">
        <f t="shared" si="135"/>
        <v/>
      </c>
      <c r="N1320" s="134"/>
      <c r="O1320" s="29"/>
      <c r="P1320" s="37" t="str">
        <f t="shared" si="136"/>
        <v/>
      </c>
      <c r="Q1320" s="38" t="str">
        <f t="shared" si="137"/>
        <v/>
      </c>
      <c r="R1320" s="37" t="str">
        <f t="shared" si="138"/>
        <v/>
      </c>
      <c r="S1320" s="37" t="str">
        <f t="shared" si="139"/>
        <v/>
      </c>
      <c r="T1320" s="38" t="str">
        <f t="shared" si="140"/>
        <v/>
      </c>
      <c r="U1320" s="37" t="str">
        <f t="shared" si="141"/>
        <v/>
      </c>
    </row>
    <row r="1321" spans="2:21" ht="17.25">
      <c r="B1321" s="156"/>
      <c r="C1321" s="156"/>
      <c r="D1321" s="157"/>
      <c r="E1321" s="155"/>
      <c r="F1321" s="151"/>
      <c r="G1321" s="152"/>
      <c r="H1321" s="153"/>
      <c r="I1321" s="154"/>
      <c r="J1321" s="154"/>
      <c r="K1321" s="30" t="str">
        <f>IF(H1321="","",IF($C$30="간이법","",FPR(H1321,I1321,J1321)))</f>
        <v/>
      </c>
      <c r="L1321" s="30" t="str">
        <f>IF(H1321="","",IF($C$30="상세법",FPV(H1321,K1321),IF(H1321="EI",4,IF(H1321="EO",5.2,IF(H1321="EQ",3.9,IF(H1321="ILF",7.5,IF(H1321="EIF",5.4)))))))</f>
        <v/>
      </c>
      <c r="M1321" s="30" t="str">
        <f t="shared" si="135"/>
        <v/>
      </c>
      <c r="N1321" s="134"/>
      <c r="O1321" s="29"/>
      <c r="P1321" s="37" t="str">
        <f t="shared" si="136"/>
        <v/>
      </c>
      <c r="Q1321" s="38" t="str">
        <f t="shared" si="137"/>
        <v/>
      </c>
      <c r="R1321" s="37" t="str">
        <f t="shared" si="138"/>
        <v/>
      </c>
      <c r="S1321" s="37" t="str">
        <f t="shared" si="139"/>
        <v/>
      </c>
      <c r="T1321" s="38" t="str">
        <f t="shared" si="140"/>
        <v/>
      </c>
      <c r="U1321" s="37" t="str">
        <f t="shared" si="141"/>
        <v/>
      </c>
    </row>
    <row r="1322" spans="2:21" ht="17.25">
      <c r="B1322" s="156"/>
      <c r="C1322" s="156"/>
      <c r="D1322" s="157"/>
      <c r="E1322" s="155"/>
      <c r="F1322" s="151"/>
      <c r="G1322" s="152"/>
      <c r="H1322" s="153"/>
      <c r="I1322" s="154"/>
      <c r="J1322" s="154"/>
      <c r="K1322" s="30" t="str">
        <f>IF(H1322="","",IF($C$30="간이법","",FPR(H1322,I1322,J1322)))</f>
        <v/>
      </c>
      <c r="L1322" s="30" t="str">
        <f>IF(H1322="","",IF($C$30="상세법",FPV(H1322,K1322),IF(H1322="EI",4,IF(H1322="EO",5.2,IF(H1322="EQ",3.9,IF(H1322="ILF",7.5,IF(H1322="EIF",5.4)))))))</f>
        <v/>
      </c>
      <c r="M1322" s="30" t="str">
        <f t="shared" si="135"/>
        <v/>
      </c>
      <c r="N1322" s="134"/>
      <c r="O1322" s="29"/>
      <c r="P1322" s="37" t="str">
        <f t="shared" si="136"/>
        <v/>
      </c>
      <c r="Q1322" s="38" t="str">
        <f t="shared" si="137"/>
        <v/>
      </c>
      <c r="R1322" s="37" t="str">
        <f t="shared" si="138"/>
        <v/>
      </c>
      <c r="S1322" s="37" t="str">
        <f t="shared" si="139"/>
        <v/>
      </c>
      <c r="T1322" s="38" t="str">
        <f t="shared" si="140"/>
        <v/>
      </c>
      <c r="U1322" s="37" t="str">
        <f t="shared" si="141"/>
        <v/>
      </c>
    </row>
    <row r="1323" spans="2:21" ht="17.25">
      <c r="B1323" s="156"/>
      <c r="C1323" s="156"/>
      <c r="D1323" s="157"/>
      <c r="E1323" s="155"/>
      <c r="F1323" s="151"/>
      <c r="G1323" s="152"/>
      <c r="H1323" s="153"/>
      <c r="I1323" s="154"/>
      <c r="J1323" s="154"/>
      <c r="K1323" s="30" t="str">
        <f>IF(H1323="","",IF($C$30="간이법","",FPR(H1323,I1323,J1323)))</f>
        <v/>
      </c>
      <c r="L1323" s="30" t="str">
        <f>IF(H1323="","",IF($C$30="상세법",FPV(H1323,K1323),IF(H1323="EI",4,IF(H1323="EO",5.2,IF(H1323="EQ",3.9,IF(H1323="ILF",7.5,IF(H1323="EIF",5.4)))))))</f>
        <v/>
      </c>
      <c r="M1323" s="30" t="str">
        <f t="shared" si="135"/>
        <v/>
      </c>
      <c r="N1323" s="134"/>
      <c r="O1323" s="29"/>
      <c r="P1323" s="37" t="str">
        <f t="shared" si="136"/>
        <v/>
      </c>
      <c r="Q1323" s="38" t="str">
        <f t="shared" si="137"/>
        <v/>
      </c>
      <c r="R1323" s="37" t="str">
        <f t="shared" si="138"/>
        <v/>
      </c>
      <c r="S1323" s="37" t="str">
        <f t="shared" si="139"/>
        <v/>
      </c>
      <c r="T1323" s="38" t="str">
        <f t="shared" si="140"/>
        <v/>
      </c>
      <c r="U1323" s="37" t="str">
        <f t="shared" si="141"/>
        <v/>
      </c>
    </row>
    <row r="1324" spans="2:21" ht="17.25">
      <c r="B1324" s="156"/>
      <c r="C1324" s="156"/>
      <c r="D1324" s="157"/>
      <c r="E1324" s="155"/>
      <c r="F1324" s="151"/>
      <c r="G1324" s="152"/>
      <c r="H1324" s="153"/>
      <c r="I1324" s="154"/>
      <c r="J1324" s="154"/>
      <c r="K1324" s="30" t="str">
        <f>IF(H1324="","",IF($C$30="간이법","",FPR(H1324,I1324,J1324)))</f>
        <v/>
      </c>
      <c r="L1324" s="30" t="str">
        <f>IF(H1324="","",IF($C$30="상세법",FPV(H1324,K1324),IF(H1324="EI",4,IF(H1324="EO",5.2,IF(H1324="EQ",3.9,IF(H1324="ILF",7.5,IF(H1324="EIF",5.4)))))))</f>
        <v/>
      </c>
      <c r="M1324" s="30" t="str">
        <f t="shared" si="135"/>
        <v/>
      </c>
      <c r="N1324" s="134"/>
      <c r="O1324" s="29"/>
      <c r="P1324" s="37" t="str">
        <f t="shared" si="136"/>
        <v/>
      </c>
      <c r="Q1324" s="38" t="str">
        <f t="shared" si="137"/>
        <v/>
      </c>
      <c r="R1324" s="37" t="str">
        <f t="shared" si="138"/>
        <v/>
      </c>
      <c r="S1324" s="37" t="str">
        <f t="shared" si="139"/>
        <v/>
      </c>
      <c r="T1324" s="38" t="str">
        <f t="shared" si="140"/>
        <v/>
      </c>
      <c r="U1324" s="37" t="str">
        <f t="shared" si="141"/>
        <v/>
      </c>
    </row>
    <row r="1325" spans="2:21" ht="17.25">
      <c r="B1325" s="156"/>
      <c r="C1325" s="156"/>
      <c r="D1325" s="157"/>
      <c r="E1325" s="155"/>
      <c r="F1325" s="151"/>
      <c r="G1325" s="152"/>
      <c r="H1325" s="153"/>
      <c r="I1325" s="154"/>
      <c r="J1325" s="154"/>
      <c r="K1325" s="30" t="str">
        <f>IF(H1325="","",IF($C$30="간이법","",FPR(H1325,I1325,J1325)))</f>
        <v/>
      </c>
      <c r="L1325" s="30" t="str">
        <f>IF(H1325="","",IF($C$30="상세법",FPV(H1325,K1325),IF(H1325="EI",4,IF(H1325="EO",5.2,IF(H1325="EQ",3.9,IF(H1325="ILF",7.5,IF(H1325="EIF",5.4)))))))</f>
        <v/>
      </c>
      <c r="M1325" s="30" t="str">
        <f t="shared" si="135"/>
        <v/>
      </c>
      <c r="N1325" s="134"/>
      <c r="O1325" s="29"/>
      <c r="P1325" s="37" t="str">
        <f t="shared" si="136"/>
        <v/>
      </c>
      <c r="Q1325" s="38" t="str">
        <f t="shared" si="137"/>
        <v/>
      </c>
      <c r="R1325" s="37" t="str">
        <f t="shared" si="138"/>
        <v/>
      </c>
      <c r="S1325" s="37" t="str">
        <f t="shared" si="139"/>
        <v/>
      </c>
      <c r="T1325" s="38" t="str">
        <f t="shared" si="140"/>
        <v/>
      </c>
      <c r="U1325" s="37" t="str">
        <f t="shared" si="141"/>
        <v/>
      </c>
    </row>
    <row r="1326" spans="2:21" ht="17.25">
      <c r="B1326" s="156"/>
      <c r="C1326" s="156"/>
      <c r="D1326" s="157"/>
      <c r="E1326" s="155"/>
      <c r="F1326" s="151"/>
      <c r="G1326" s="152"/>
      <c r="H1326" s="153"/>
      <c r="I1326" s="154"/>
      <c r="J1326" s="154"/>
      <c r="K1326" s="30" t="str">
        <f>IF(H1326="","",IF($C$30="간이법","",FPR(H1326,I1326,J1326)))</f>
        <v/>
      </c>
      <c r="L1326" s="30" t="str">
        <f>IF(H1326="","",IF($C$30="상세법",FPV(H1326,K1326),IF(H1326="EI",4,IF(H1326="EO",5.2,IF(H1326="EQ",3.9,IF(H1326="ILF",7.5,IF(H1326="EIF",5.4)))))))</f>
        <v/>
      </c>
      <c r="M1326" s="30" t="str">
        <f t="shared" si="135"/>
        <v/>
      </c>
      <c r="N1326" s="134"/>
      <c r="O1326" s="29"/>
      <c r="P1326" s="37" t="str">
        <f t="shared" si="136"/>
        <v/>
      </c>
      <c r="Q1326" s="38" t="str">
        <f t="shared" si="137"/>
        <v/>
      </c>
      <c r="R1326" s="37" t="str">
        <f t="shared" si="138"/>
        <v/>
      </c>
      <c r="S1326" s="37" t="str">
        <f t="shared" si="139"/>
        <v/>
      </c>
      <c r="T1326" s="38" t="str">
        <f t="shared" si="140"/>
        <v/>
      </c>
      <c r="U1326" s="37" t="str">
        <f t="shared" si="141"/>
        <v/>
      </c>
    </row>
    <row r="1327" spans="2:21" ht="17.25">
      <c r="B1327" s="156"/>
      <c r="C1327" s="156"/>
      <c r="D1327" s="157"/>
      <c r="E1327" s="155"/>
      <c r="F1327" s="151"/>
      <c r="G1327" s="152"/>
      <c r="H1327" s="153"/>
      <c r="I1327" s="154"/>
      <c r="J1327" s="154"/>
      <c r="K1327" s="30" t="str">
        <f>IF(H1327="","",IF($C$30="간이법","",FPR(H1327,I1327,J1327)))</f>
        <v/>
      </c>
      <c r="L1327" s="30" t="str">
        <f>IF(H1327="","",IF($C$30="상세법",FPV(H1327,K1327),IF(H1327="EI",4,IF(H1327="EO",5.2,IF(H1327="EQ",3.9,IF(H1327="ILF",7.5,IF(H1327="EIF",5.4)))))))</f>
        <v/>
      </c>
      <c r="M1327" s="30" t="str">
        <f t="shared" si="135"/>
        <v/>
      </c>
      <c r="N1327" s="134"/>
      <c r="O1327" s="29"/>
      <c r="P1327" s="37" t="str">
        <f t="shared" si="136"/>
        <v/>
      </c>
      <c r="Q1327" s="38" t="str">
        <f t="shared" si="137"/>
        <v/>
      </c>
      <c r="R1327" s="37" t="str">
        <f t="shared" si="138"/>
        <v/>
      </c>
      <c r="S1327" s="37" t="str">
        <f t="shared" si="139"/>
        <v/>
      </c>
      <c r="T1327" s="38" t="str">
        <f t="shared" si="140"/>
        <v/>
      </c>
      <c r="U1327" s="37" t="str">
        <f t="shared" si="141"/>
        <v/>
      </c>
    </row>
    <row r="1328" spans="2:21" ht="17.25">
      <c r="B1328" s="156"/>
      <c r="C1328" s="156"/>
      <c r="D1328" s="157"/>
      <c r="E1328" s="155"/>
      <c r="F1328" s="151"/>
      <c r="G1328" s="152"/>
      <c r="H1328" s="153"/>
      <c r="I1328" s="154"/>
      <c r="J1328" s="154"/>
      <c r="K1328" s="30" t="str">
        <f>IF(H1328="","",IF($C$30="간이법","",FPR(H1328,I1328,J1328)))</f>
        <v/>
      </c>
      <c r="L1328" s="30" t="str">
        <f>IF(H1328="","",IF($C$30="상세법",FPV(H1328,K1328),IF(H1328="EI",4,IF(H1328="EO",5.2,IF(H1328="EQ",3.9,IF(H1328="ILF",7.5,IF(H1328="EIF",5.4)))))))</f>
        <v/>
      </c>
      <c r="M1328" s="30" t="str">
        <f t="shared" si="135"/>
        <v/>
      </c>
      <c r="N1328" s="134"/>
      <c r="O1328" s="29"/>
      <c r="P1328" s="37" t="str">
        <f t="shared" si="136"/>
        <v/>
      </c>
      <c r="Q1328" s="38" t="str">
        <f t="shared" si="137"/>
        <v/>
      </c>
      <c r="R1328" s="37" t="str">
        <f t="shared" si="138"/>
        <v/>
      </c>
      <c r="S1328" s="37" t="str">
        <f t="shared" si="139"/>
        <v/>
      </c>
      <c r="T1328" s="38" t="str">
        <f t="shared" si="140"/>
        <v/>
      </c>
      <c r="U1328" s="37" t="str">
        <f t="shared" si="141"/>
        <v/>
      </c>
    </row>
    <row r="1329" spans="2:21" ht="17.25">
      <c r="B1329" s="156"/>
      <c r="C1329" s="156"/>
      <c r="D1329" s="157"/>
      <c r="E1329" s="155"/>
      <c r="F1329" s="151"/>
      <c r="G1329" s="152"/>
      <c r="H1329" s="153"/>
      <c r="I1329" s="154"/>
      <c r="J1329" s="154"/>
      <c r="K1329" s="30" t="str">
        <f>IF(H1329="","",IF($C$30="간이법","",FPR(H1329,I1329,J1329)))</f>
        <v/>
      </c>
      <c r="L1329" s="30" t="str">
        <f>IF(H1329="","",IF($C$30="상세법",FPV(H1329,K1329),IF(H1329="EI",4,IF(H1329="EO",5.2,IF(H1329="EQ",3.9,IF(H1329="ILF",7.5,IF(H1329="EIF",5.4)))))))</f>
        <v/>
      </c>
      <c r="M1329" s="30" t="str">
        <f t="shared" si="135"/>
        <v/>
      </c>
      <c r="N1329" s="134"/>
      <c r="O1329" s="29"/>
      <c r="P1329" s="37" t="str">
        <f t="shared" si="136"/>
        <v/>
      </c>
      <c r="Q1329" s="38" t="str">
        <f t="shared" si="137"/>
        <v/>
      </c>
      <c r="R1329" s="37" t="str">
        <f t="shared" si="138"/>
        <v/>
      </c>
      <c r="S1329" s="37" t="str">
        <f t="shared" si="139"/>
        <v/>
      </c>
      <c r="T1329" s="38" t="str">
        <f t="shared" si="140"/>
        <v/>
      </c>
      <c r="U1329" s="37" t="str">
        <f t="shared" si="141"/>
        <v/>
      </c>
    </row>
    <row r="1330" spans="2:21" ht="17.25">
      <c r="B1330" s="156"/>
      <c r="C1330" s="156"/>
      <c r="D1330" s="157"/>
      <c r="E1330" s="155"/>
      <c r="F1330" s="151"/>
      <c r="G1330" s="152"/>
      <c r="H1330" s="153"/>
      <c r="I1330" s="154"/>
      <c r="J1330" s="154"/>
      <c r="K1330" s="30" t="str">
        <f>IF(H1330="","",IF($C$30="간이법","",FPR(H1330,I1330,J1330)))</f>
        <v/>
      </c>
      <c r="L1330" s="30" t="str">
        <f>IF(H1330="","",IF($C$30="상세법",FPV(H1330,K1330),IF(H1330="EI",4,IF(H1330="EO",5.2,IF(H1330="EQ",3.9,IF(H1330="ILF",7.5,IF(H1330="EIF",5.4)))))))</f>
        <v/>
      </c>
      <c r="M1330" s="30" t="str">
        <f t="shared" si="135"/>
        <v/>
      </c>
      <c r="N1330" s="134"/>
      <c r="O1330" s="29"/>
      <c r="P1330" s="37" t="str">
        <f t="shared" si="136"/>
        <v/>
      </c>
      <c r="Q1330" s="38" t="str">
        <f t="shared" si="137"/>
        <v/>
      </c>
      <c r="R1330" s="37" t="str">
        <f t="shared" si="138"/>
        <v/>
      </c>
      <c r="S1330" s="37" t="str">
        <f t="shared" si="139"/>
        <v/>
      </c>
      <c r="T1330" s="38" t="str">
        <f t="shared" si="140"/>
        <v/>
      </c>
      <c r="U1330" s="37" t="str">
        <f t="shared" si="141"/>
        <v/>
      </c>
    </row>
    <row r="1331" spans="2:21" ht="17.25">
      <c r="B1331" s="156"/>
      <c r="C1331" s="156"/>
      <c r="D1331" s="157"/>
      <c r="E1331" s="155"/>
      <c r="F1331" s="151"/>
      <c r="G1331" s="152"/>
      <c r="H1331" s="153"/>
      <c r="I1331" s="154"/>
      <c r="J1331" s="154"/>
      <c r="K1331" s="30" t="str">
        <f>IF(H1331="","",IF($C$30="간이법","",FPR(H1331,I1331,J1331)))</f>
        <v/>
      </c>
      <c r="L1331" s="30" t="str">
        <f>IF(H1331="","",IF($C$30="상세법",FPV(H1331,K1331),IF(H1331="EI",4,IF(H1331="EO",5.2,IF(H1331="EQ",3.9,IF(H1331="ILF",7.5,IF(H1331="EIF",5.4)))))))</f>
        <v/>
      </c>
      <c r="M1331" s="30" t="str">
        <f t="shared" si="135"/>
        <v/>
      </c>
      <c r="N1331" s="134"/>
      <c r="O1331" s="29"/>
      <c r="P1331" s="37" t="str">
        <f t="shared" si="136"/>
        <v/>
      </c>
      <c r="Q1331" s="38" t="str">
        <f t="shared" si="137"/>
        <v/>
      </c>
      <c r="R1331" s="37" t="str">
        <f t="shared" si="138"/>
        <v/>
      </c>
      <c r="S1331" s="37" t="str">
        <f t="shared" si="139"/>
        <v/>
      </c>
      <c r="T1331" s="38" t="str">
        <f t="shared" si="140"/>
        <v/>
      </c>
      <c r="U1331" s="37" t="str">
        <f t="shared" si="141"/>
        <v/>
      </c>
    </row>
    <row r="1332" spans="2:21" ht="17.25">
      <c r="B1332" s="156"/>
      <c r="C1332" s="156"/>
      <c r="D1332" s="157"/>
      <c r="E1332" s="155"/>
      <c r="F1332" s="151"/>
      <c r="G1332" s="152"/>
      <c r="H1332" s="153"/>
      <c r="I1332" s="154"/>
      <c r="J1332" s="154"/>
      <c r="K1332" s="30" t="str">
        <f>IF(H1332="","",IF($C$30="간이법","",FPR(H1332,I1332,J1332)))</f>
        <v/>
      </c>
      <c r="L1332" s="30" t="str">
        <f>IF(H1332="","",IF($C$30="상세법",FPV(H1332,K1332),IF(H1332="EI",4,IF(H1332="EO",5.2,IF(H1332="EQ",3.9,IF(H1332="ILF",7.5,IF(H1332="EIF",5.4)))))))</f>
        <v/>
      </c>
      <c r="M1332" s="30" t="str">
        <f t="shared" si="135"/>
        <v/>
      </c>
      <c r="N1332" s="134"/>
      <c r="O1332" s="29"/>
      <c r="P1332" s="37" t="str">
        <f t="shared" si="136"/>
        <v/>
      </c>
      <c r="Q1332" s="38" t="str">
        <f t="shared" si="137"/>
        <v/>
      </c>
      <c r="R1332" s="37" t="str">
        <f t="shared" si="138"/>
        <v/>
      </c>
      <c r="S1332" s="37" t="str">
        <f t="shared" si="139"/>
        <v/>
      </c>
      <c r="T1332" s="38" t="str">
        <f t="shared" si="140"/>
        <v/>
      </c>
      <c r="U1332" s="37" t="str">
        <f t="shared" si="141"/>
        <v/>
      </c>
    </row>
    <row r="1333" spans="2:21" ht="17.25">
      <c r="B1333" s="156"/>
      <c r="C1333" s="156"/>
      <c r="D1333" s="157"/>
      <c r="E1333" s="155"/>
      <c r="F1333" s="151"/>
      <c r="G1333" s="152"/>
      <c r="H1333" s="153"/>
      <c r="I1333" s="154"/>
      <c r="J1333" s="154"/>
      <c r="K1333" s="30" t="str">
        <f>IF(H1333="","",IF($C$30="간이법","",FPR(H1333,I1333,J1333)))</f>
        <v/>
      </c>
      <c r="L1333" s="30" t="str">
        <f>IF(H1333="","",IF($C$30="상세법",FPV(H1333,K1333),IF(H1333="EI",4,IF(H1333="EO",5.2,IF(H1333="EQ",3.9,IF(H1333="ILF",7.5,IF(H1333="EIF",5.4)))))))</f>
        <v/>
      </c>
      <c r="M1333" s="30" t="str">
        <f t="shared" si="135"/>
        <v/>
      </c>
      <c r="N1333" s="134"/>
      <c r="O1333" s="29"/>
      <c r="P1333" s="37" t="str">
        <f t="shared" si="136"/>
        <v/>
      </c>
      <c r="Q1333" s="38" t="str">
        <f t="shared" si="137"/>
        <v/>
      </c>
      <c r="R1333" s="37" t="str">
        <f t="shared" si="138"/>
        <v/>
      </c>
      <c r="S1333" s="37" t="str">
        <f t="shared" si="139"/>
        <v/>
      </c>
      <c r="T1333" s="38" t="str">
        <f t="shared" si="140"/>
        <v/>
      </c>
      <c r="U1333" s="37" t="str">
        <f t="shared" si="141"/>
        <v/>
      </c>
    </row>
    <row r="1334" spans="2:21" ht="17.25">
      <c r="B1334" s="156"/>
      <c r="C1334" s="156"/>
      <c r="D1334" s="157"/>
      <c r="E1334" s="155"/>
      <c r="F1334" s="151"/>
      <c r="G1334" s="152"/>
      <c r="H1334" s="153"/>
      <c r="I1334" s="154"/>
      <c r="J1334" s="154"/>
      <c r="K1334" s="30" t="str">
        <f>IF(H1334="","",IF($C$30="간이법","",FPR(H1334,I1334,J1334)))</f>
        <v/>
      </c>
      <c r="L1334" s="30" t="str">
        <f>IF(H1334="","",IF($C$30="상세법",FPV(H1334,K1334),IF(H1334="EI",4,IF(H1334="EO",5.2,IF(H1334="EQ",3.9,IF(H1334="ILF",7.5,IF(H1334="EIF",5.4)))))))</f>
        <v/>
      </c>
      <c r="M1334" s="30" t="str">
        <f t="shared" si="135"/>
        <v/>
      </c>
      <c r="N1334" s="134"/>
      <c r="O1334" s="29"/>
      <c r="P1334" s="37" t="str">
        <f t="shared" si="136"/>
        <v/>
      </c>
      <c r="Q1334" s="38" t="str">
        <f t="shared" si="137"/>
        <v/>
      </c>
      <c r="R1334" s="37" t="str">
        <f t="shared" si="138"/>
        <v/>
      </c>
      <c r="S1334" s="37" t="str">
        <f t="shared" si="139"/>
        <v/>
      </c>
      <c r="T1334" s="38" t="str">
        <f t="shared" si="140"/>
        <v/>
      </c>
      <c r="U1334" s="37" t="str">
        <f t="shared" si="141"/>
        <v/>
      </c>
    </row>
    <row r="1335" spans="2:21" ht="17.25">
      <c r="B1335" s="156"/>
      <c r="C1335" s="156"/>
      <c r="D1335" s="157"/>
      <c r="E1335" s="155"/>
      <c r="F1335" s="151"/>
      <c r="G1335" s="152"/>
      <c r="H1335" s="153"/>
      <c r="I1335" s="154"/>
      <c r="J1335" s="154"/>
      <c r="K1335" s="30" t="str">
        <f>IF(H1335="","",IF($C$30="간이법","",FPR(H1335,I1335,J1335)))</f>
        <v/>
      </c>
      <c r="L1335" s="30" t="str">
        <f>IF(H1335="","",IF($C$30="상세법",FPV(H1335,K1335),IF(H1335="EI",4,IF(H1335="EO",5.2,IF(H1335="EQ",3.9,IF(H1335="ILF",7.5,IF(H1335="EIF",5.4)))))))</f>
        <v/>
      </c>
      <c r="M1335" s="30" t="str">
        <f t="shared" si="135"/>
        <v/>
      </c>
      <c r="N1335" s="134"/>
      <c r="O1335" s="29"/>
      <c r="P1335" s="37" t="str">
        <f t="shared" si="136"/>
        <v/>
      </c>
      <c r="Q1335" s="38" t="str">
        <f t="shared" si="137"/>
        <v/>
      </c>
      <c r="R1335" s="37" t="str">
        <f t="shared" si="138"/>
        <v/>
      </c>
      <c r="S1335" s="37" t="str">
        <f t="shared" si="139"/>
        <v/>
      </c>
      <c r="T1335" s="38" t="str">
        <f t="shared" si="140"/>
        <v/>
      </c>
      <c r="U1335" s="37" t="str">
        <f t="shared" si="141"/>
        <v/>
      </c>
    </row>
    <row r="1336" spans="2:21" ht="17.25">
      <c r="B1336" s="156"/>
      <c r="C1336" s="156"/>
      <c r="D1336" s="157"/>
      <c r="E1336" s="155"/>
      <c r="F1336" s="151"/>
      <c r="G1336" s="152"/>
      <c r="H1336" s="153"/>
      <c r="I1336" s="154"/>
      <c r="J1336" s="154"/>
      <c r="K1336" s="30" t="str">
        <f>IF(H1336="","",IF($C$30="간이법","",FPR(H1336,I1336,J1336)))</f>
        <v/>
      </c>
      <c r="L1336" s="30" t="str">
        <f>IF(H1336="","",IF($C$30="상세법",FPV(H1336,K1336),IF(H1336="EI",4,IF(H1336="EO",5.2,IF(H1336="EQ",3.9,IF(H1336="ILF",7.5,IF(H1336="EIF",5.4)))))))</f>
        <v/>
      </c>
      <c r="M1336" s="30" t="str">
        <f t="shared" si="135"/>
        <v/>
      </c>
      <c r="N1336" s="134"/>
      <c r="O1336" s="29"/>
      <c r="P1336" s="37" t="str">
        <f t="shared" si="136"/>
        <v/>
      </c>
      <c r="Q1336" s="38" t="str">
        <f t="shared" si="137"/>
        <v/>
      </c>
      <c r="R1336" s="37" t="str">
        <f t="shared" si="138"/>
        <v/>
      </c>
      <c r="S1336" s="37" t="str">
        <f t="shared" si="139"/>
        <v/>
      </c>
      <c r="T1336" s="38" t="str">
        <f t="shared" si="140"/>
        <v/>
      </c>
      <c r="U1336" s="37" t="str">
        <f t="shared" si="141"/>
        <v/>
      </c>
    </row>
    <row r="1337" spans="2:21" ht="17.25">
      <c r="B1337" s="156"/>
      <c r="C1337" s="156"/>
      <c r="D1337" s="157"/>
      <c r="E1337" s="155"/>
      <c r="F1337" s="151"/>
      <c r="G1337" s="152"/>
      <c r="H1337" s="153"/>
      <c r="I1337" s="154"/>
      <c r="J1337" s="154"/>
      <c r="K1337" s="30" t="str">
        <f>IF(H1337="","",IF($C$30="간이법","",FPR(H1337,I1337,J1337)))</f>
        <v/>
      </c>
      <c r="L1337" s="30" t="str">
        <f>IF(H1337="","",IF($C$30="상세법",FPV(H1337,K1337),IF(H1337="EI",4,IF(H1337="EO",5.2,IF(H1337="EQ",3.9,IF(H1337="ILF",7.5,IF(H1337="EIF",5.4)))))))</f>
        <v/>
      </c>
      <c r="M1337" s="30" t="str">
        <f t="shared" si="135"/>
        <v/>
      </c>
      <c r="N1337" s="134"/>
      <c r="O1337" s="29"/>
      <c r="P1337" s="37" t="str">
        <f t="shared" si="136"/>
        <v/>
      </c>
      <c r="Q1337" s="38" t="str">
        <f t="shared" si="137"/>
        <v/>
      </c>
      <c r="R1337" s="37" t="str">
        <f t="shared" si="138"/>
        <v/>
      </c>
      <c r="S1337" s="37" t="str">
        <f t="shared" si="139"/>
        <v/>
      </c>
      <c r="T1337" s="38" t="str">
        <f t="shared" si="140"/>
        <v/>
      </c>
      <c r="U1337" s="37" t="str">
        <f t="shared" si="141"/>
        <v/>
      </c>
    </row>
    <row r="1338" spans="2:21" ht="17.25">
      <c r="B1338" s="156"/>
      <c r="C1338" s="156"/>
      <c r="D1338" s="157"/>
      <c r="E1338" s="155"/>
      <c r="F1338" s="151"/>
      <c r="G1338" s="152"/>
      <c r="H1338" s="153"/>
      <c r="I1338" s="154"/>
      <c r="J1338" s="154"/>
      <c r="K1338" s="30" t="str">
        <f>IF(H1338="","",IF($C$30="간이법","",FPR(H1338,I1338,J1338)))</f>
        <v/>
      </c>
      <c r="L1338" s="30" t="str">
        <f>IF(H1338="","",IF($C$30="상세법",FPV(H1338,K1338),IF(H1338="EI",4,IF(H1338="EO",5.2,IF(H1338="EQ",3.9,IF(H1338="ILF",7.5,IF(H1338="EIF",5.4)))))))</f>
        <v/>
      </c>
      <c r="M1338" s="30" t="str">
        <f t="shared" si="135"/>
        <v/>
      </c>
      <c r="N1338" s="134"/>
      <c r="O1338" s="29"/>
      <c r="P1338" s="37" t="str">
        <f t="shared" si="136"/>
        <v/>
      </c>
      <c r="Q1338" s="38" t="str">
        <f t="shared" si="137"/>
        <v/>
      </c>
      <c r="R1338" s="37" t="str">
        <f t="shared" si="138"/>
        <v/>
      </c>
      <c r="S1338" s="37" t="str">
        <f t="shared" si="139"/>
        <v/>
      </c>
      <c r="T1338" s="38" t="str">
        <f t="shared" si="140"/>
        <v/>
      </c>
      <c r="U1338" s="37" t="str">
        <f t="shared" si="141"/>
        <v/>
      </c>
    </row>
    <row r="1339" spans="2:21" ht="17.25">
      <c r="B1339" s="156"/>
      <c r="C1339" s="156"/>
      <c r="D1339" s="157"/>
      <c r="E1339" s="155"/>
      <c r="F1339" s="151"/>
      <c r="G1339" s="152"/>
      <c r="H1339" s="153"/>
      <c r="I1339" s="154"/>
      <c r="J1339" s="154"/>
      <c r="K1339" s="30" t="str">
        <f>IF(H1339="","",IF($C$30="간이법","",FPR(H1339,I1339,J1339)))</f>
        <v/>
      </c>
      <c r="L1339" s="30" t="str">
        <f>IF(H1339="","",IF($C$30="상세법",FPV(H1339,K1339),IF(H1339="EI",4,IF(H1339="EO",5.2,IF(H1339="EQ",3.9,IF(H1339="ILF",7.5,IF(H1339="EIF",5.4)))))))</f>
        <v/>
      </c>
      <c r="M1339" s="30" t="str">
        <f t="shared" si="135"/>
        <v/>
      </c>
      <c r="N1339" s="134"/>
      <c r="O1339" s="29"/>
      <c r="P1339" s="37" t="str">
        <f t="shared" si="136"/>
        <v/>
      </c>
      <c r="Q1339" s="38" t="str">
        <f t="shared" si="137"/>
        <v/>
      </c>
      <c r="R1339" s="37" t="str">
        <f t="shared" si="138"/>
        <v/>
      </c>
      <c r="S1339" s="37" t="str">
        <f t="shared" si="139"/>
        <v/>
      </c>
      <c r="T1339" s="38" t="str">
        <f t="shared" si="140"/>
        <v/>
      </c>
      <c r="U1339" s="37" t="str">
        <f t="shared" si="141"/>
        <v/>
      </c>
    </row>
    <row r="1340" spans="2:21" ht="17.25">
      <c r="B1340" s="156"/>
      <c r="C1340" s="156"/>
      <c r="D1340" s="157"/>
      <c r="E1340" s="155"/>
      <c r="F1340" s="151"/>
      <c r="G1340" s="152"/>
      <c r="H1340" s="153"/>
      <c r="I1340" s="154"/>
      <c r="J1340" s="154"/>
      <c r="K1340" s="30" t="str">
        <f>IF(H1340="","",IF($C$30="간이법","",FPR(H1340,I1340,J1340)))</f>
        <v/>
      </c>
      <c r="L1340" s="30" t="str">
        <f>IF(H1340="","",IF($C$30="상세법",FPV(H1340,K1340),IF(H1340="EI",4,IF(H1340="EO",5.2,IF(H1340="EQ",3.9,IF(H1340="ILF",7.5,IF(H1340="EIF",5.4)))))))</f>
        <v/>
      </c>
      <c r="M1340" s="30" t="str">
        <f t="shared" ref="M1340:M1403" si="142">IF(OR(G1340="",$E$36="(선택)",$E$40="(선택)",$E$41="(선택)",F1340="신규 개발",F1340="수정 없이 재사용"),"",(IF(F1340="수정 후 재사용",IF($E$50&lt;=0.5,L1340*($E$36+$E$50*100*(1+0.02*($E$40*$E$41)))/100,L1340*($E$36+$E$50*100+($E$40*$E$41))/100))))</f>
        <v/>
      </c>
      <c r="N1340" s="134"/>
      <c r="O1340" s="29"/>
      <c r="P1340" s="37" t="str">
        <f t="shared" ref="P1340:P1403" si="143">IF(F1340="수정 후 재사용",IF(H1340="ILF",G1340,IF(H1340="EIF",G1340,"")),"")</f>
        <v/>
      </c>
      <c r="Q1340" s="38" t="str">
        <f t="shared" ref="Q1340:Q1403" si="144">IF(P1340&lt;&gt;"",IF(H1340="ILF", L1340/$E$46,IF(H1340="EIF", L1340/$E$46,"")),"")</f>
        <v/>
      </c>
      <c r="R1340" s="37" t="str">
        <f t="shared" ref="R1340:R1403" si="145">IF(P1340&lt;&gt;"",P1340*Q1340,"")</f>
        <v/>
      </c>
      <c r="S1340" s="37" t="str">
        <f t="shared" ref="S1340:S1403" si="146">IF(F1340="수정 후 재사용",IF(H1340="EI",G1340,IF(H1340="EO",G1340,IF(H1340="EQ",G1340,""))),"")</f>
        <v/>
      </c>
      <c r="T1340" s="38" t="str">
        <f t="shared" ref="T1340:T1403" si="147">IF(S1340&lt;&gt;"",IF(H1340="EI",L1340/$E$47,IF(H1340="EO",L1340/$E$47,IF(H1340="EQ",L1340/$E$47,""))),"")</f>
        <v/>
      </c>
      <c r="U1340" s="37" t="str">
        <f t="shared" ref="U1340:U1403" si="148">IF(S1340&lt;&gt;"",S1340*T1340,"")</f>
        <v/>
      </c>
    </row>
    <row r="1341" spans="2:21" ht="17.25">
      <c r="B1341" s="156"/>
      <c r="C1341" s="156"/>
      <c r="D1341" s="157"/>
      <c r="E1341" s="155"/>
      <c r="F1341" s="151"/>
      <c r="G1341" s="152"/>
      <c r="H1341" s="153"/>
      <c r="I1341" s="154"/>
      <c r="J1341" s="154"/>
      <c r="K1341" s="30" t="str">
        <f>IF(H1341="","",IF($C$30="간이법","",FPR(H1341,I1341,J1341)))</f>
        <v/>
      </c>
      <c r="L1341" s="30" t="str">
        <f>IF(H1341="","",IF($C$30="상세법",FPV(H1341,K1341),IF(H1341="EI",4,IF(H1341="EO",5.2,IF(H1341="EQ",3.9,IF(H1341="ILF",7.5,IF(H1341="EIF",5.4)))))))</f>
        <v/>
      </c>
      <c r="M1341" s="30" t="str">
        <f t="shared" si="142"/>
        <v/>
      </c>
      <c r="N1341" s="134"/>
      <c r="O1341" s="29"/>
      <c r="P1341" s="37" t="str">
        <f t="shared" si="143"/>
        <v/>
      </c>
      <c r="Q1341" s="38" t="str">
        <f t="shared" si="144"/>
        <v/>
      </c>
      <c r="R1341" s="37" t="str">
        <f t="shared" si="145"/>
        <v/>
      </c>
      <c r="S1341" s="37" t="str">
        <f t="shared" si="146"/>
        <v/>
      </c>
      <c r="T1341" s="38" t="str">
        <f t="shared" si="147"/>
        <v/>
      </c>
      <c r="U1341" s="37" t="str">
        <f t="shared" si="148"/>
        <v/>
      </c>
    </row>
    <row r="1342" spans="2:21" ht="17.25">
      <c r="B1342" s="156"/>
      <c r="C1342" s="156"/>
      <c r="D1342" s="157"/>
      <c r="E1342" s="155"/>
      <c r="F1342" s="151"/>
      <c r="G1342" s="152"/>
      <c r="H1342" s="153"/>
      <c r="I1342" s="154"/>
      <c r="J1342" s="154"/>
      <c r="K1342" s="30" t="str">
        <f>IF(H1342="","",IF($C$30="간이법","",FPR(H1342,I1342,J1342)))</f>
        <v/>
      </c>
      <c r="L1342" s="30" t="str">
        <f>IF(H1342="","",IF($C$30="상세법",FPV(H1342,K1342),IF(H1342="EI",4,IF(H1342="EO",5.2,IF(H1342="EQ",3.9,IF(H1342="ILF",7.5,IF(H1342="EIF",5.4)))))))</f>
        <v/>
      </c>
      <c r="M1342" s="30" t="str">
        <f t="shared" si="142"/>
        <v/>
      </c>
      <c r="N1342" s="134"/>
      <c r="O1342" s="29"/>
      <c r="P1342" s="37" t="str">
        <f t="shared" si="143"/>
        <v/>
      </c>
      <c r="Q1342" s="38" t="str">
        <f t="shared" si="144"/>
        <v/>
      </c>
      <c r="R1342" s="37" t="str">
        <f t="shared" si="145"/>
        <v/>
      </c>
      <c r="S1342" s="37" t="str">
        <f t="shared" si="146"/>
        <v/>
      </c>
      <c r="T1342" s="38" t="str">
        <f t="shared" si="147"/>
        <v/>
      </c>
      <c r="U1342" s="37" t="str">
        <f t="shared" si="148"/>
        <v/>
      </c>
    </row>
    <row r="1343" spans="2:21" ht="17.25">
      <c r="B1343" s="156"/>
      <c r="C1343" s="156"/>
      <c r="D1343" s="157"/>
      <c r="E1343" s="155"/>
      <c r="F1343" s="151"/>
      <c r="G1343" s="152"/>
      <c r="H1343" s="153"/>
      <c r="I1343" s="154"/>
      <c r="J1343" s="154"/>
      <c r="K1343" s="30" t="str">
        <f>IF(H1343="","",IF($C$30="간이법","",FPR(H1343,I1343,J1343)))</f>
        <v/>
      </c>
      <c r="L1343" s="30" t="str">
        <f>IF(H1343="","",IF($C$30="상세법",FPV(H1343,K1343),IF(H1343="EI",4,IF(H1343="EO",5.2,IF(H1343="EQ",3.9,IF(H1343="ILF",7.5,IF(H1343="EIF",5.4)))))))</f>
        <v/>
      </c>
      <c r="M1343" s="30" t="str">
        <f t="shared" si="142"/>
        <v/>
      </c>
      <c r="N1343" s="134"/>
      <c r="O1343" s="29"/>
      <c r="P1343" s="37" t="str">
        <f t="shared" si="143"/>
        <v/>
      </c>
      <c r="Q1343" s="38" t="str">
        <f t="shared" si="144"/>
        <v/>
      </c>
      <c r="R1343" s="37" t="str">
        <f t="shared" si="145"/>
        <v/>
      </c>
      <c r="S1343" s="37" t="str">
        <f t="shared" si="146"/>
        <v/>
      </c>
      <c r="T1343" s="38" t="str">
        <f t="shared" si="147"/>
        <v/>
      </c>
      <c r="U1343" s="37" t="str">
        <f t="shared" si="148"/>
        <v/>
      </c>
    </row>
    <row r="1344" spans="2:21" ht="17.25">
      <c r="B1344" s="156"/>
      <c r="C1344" s="156"/>
      <c r="D1344" s="157"/>
      <c r="E1344" s="155"/>
      <c r="F1344" s="151"/>
      <c r="G1344" s="152"/>
      <c r="H1344" s="153"/>
      <c r="I1344" s="154"/>
      <c r="J1344" s="154"/>
      <c r="K1344" s="30" t="str">
        <f>IF(H1344="","",IF($C$30="간이법","",FPR(H1344,I1344,J1344)))</f>
        <v/>
      </c>
      <c r="L1344" s="30" t="str">
        <f>IF(H1344="","",IF($C$30="상세법",FPV(H1344,K1344),IF(H1344="EI",4,IF(H1344="EO",5.2,IF(H1344="EQ",3.9,IF(H1344="ILF",7.5,IF(H1344="EIF",5.4)))))))</f>
        <v/>
      </c>
      <c r="M1344" s="30" t="str">
        <f t="shared" si="142"/>
        <v/>
      </c>
      <c r="N1344" s="134"/>
      <c r="O1344" s="29"/>
      <c r="P1344" s="37" t="str">
        <f t="shared" si="143"/>
        <v/>
      </c>
      <c r="Q1344" s="38" t="str">
        <f t="shared" si="144"/>
        <v/>
      </c>
      <c r="R1344" s="37" t="str">
        <f t="shared" si="145"/>
        <v/>
      </c>
      <c r="S1344" s="37" t="str">
        <f t="shared" si="146"/>
        <v/>
      </c>
      <c r="T1344" s="38" t="str">
        <f t="shared" si="147"/>
        <v/>
      </c>
      <c r="U1344" s="37" t="str">
        <f t="shared" si="148"/>
        <v/>
      </c>
    </row>
    <row r="1345" spans="2:21" ht="17.25">
      <c r="B1345" s="156"/>
      <c r="C1345" s="156"/>
      <c r="D1345" s="157"/>
      <c r="E1345" s="155"/>
      <c r="F1345" s="151"/>
      <c r="G1345" s="152"/>
      <c r="H1345" s="153"/>
      <c r="I1345" s="154"/>
      <c r="J1345" s="154"/>
      <c r="K1345" s="30" t="str">
        <f>IF(H1345="","",IF($C$30="간이법","",FPR(H1345,I1345,J1345)))</f>
        <v/>
      </c>
      <c r="L1345" s="30" t="str">
        <f>IF(H1345="","",IF($C$30="상세법",FPV(H1345,K1345),IF(H1345="EI",4,IF(H1345="EO",5.2,IF(H1345="EQ",3.9,IF(H1345="ILF",7.5,IF(H1345="EIF",5.4)))))))</f>
        <v/>
      </c>
      <c r="M1345" s="30" t="str">
        <f t="shared" si="142"/>
        <v/>
      </c>
      <c r="N1345" s="134"/>
      <c r="O1345" s="29"/>
      <c r="P1345" s="37" t="str">
        <f t="shared" si="143"/>
        <v/>
      </c>
      <c r="Q1345" s="38" t="str">
        <f t="shared" si="144"/>
        <v/>
      </c>
      <c r="R1345" s="37" t="str">
        <f t="shared" si="145"/>
        <v/>
      </c>
      <c r="S1345" s="37" t="str">
        <f t="shared" si="146"/>
        <v/>
      </c>
      <c r="T1345" s="38" t="str">
        <f t="shared" si="147"/>
        <v/>
      </c>
      <c r="U1345" s="37" t="str">
        <f t="shared" si="148"/>
        <v/>
      </c>
    </row>
    <row r="1346" spans="2:21" ht="17.25">
      <c r="B1346" s="156"/>
      <c r="C1346" s="156"/>
      <c r="D1346" s="157"/>
      <c r="E1346" s="155"/>
      <c r="F1346" s="151"/>
      <c r="G1346" s="152"/>
      <c r="H1346" s="153"/>
      <c r="I1346" s="154"/>
      <c r="J1346" s="154"/>
      <c r="K1346" s="30" t="str">
        <f>IF(H1346="","",IF($C$30="간이법","",FPR(H1346,I1346,J1346)))</f>
        <v/>
      </c>
      <c r="L1346" s="30" t="str">
        <f>IF(H1346="","",IF($C$30="상세법",FPV(H1346,K1346),IF(H1346="EI",4,IF(H1346="EO",5.2,IF(H1346="EQ",3.9,IF(H1346="ILF",7.5,IF(H1346="EIF",5.4)))))))</f>
        <v/>
      </c>
      <c r="M1346" s="30" t="str">
        <f t="shared" si="142"/>
        <v/>
      </c>
      <c r="N1346" s="134"/>
      <c r="O1346" s="29"/>
      <c r="P1346" s="37" t="str">
        <f t="shared" si="143"/>
        <v/>
      </c>
      <c r="Q1346" s="38" t="str">
        <f t="shared" si="144"/>
        <v/>
      </c>
      <c r="R1346" s="37" t="str">
        <f t="shared" si="145"/>
        <v/>
      </c>
      <c r="S1346" s="37" t="str">
        <f t="shared" si="146"/>
        <v/>
      </c>
      <c r="T1346" s="38" t="str">
        <f t="shared" si="147"/>
        <v/>
      </c>
      <c r="U1346" s="37" t="str">
        <f t="shared" si="148"/>
        <v/>
      </c>
    </row>
    <row r="1347" spans="2:21" ht="17.25">
      <c r="B1347" s="156"/>
      <c r="C1347" s="156"/>
      <c r="D1347" s="157"/>
      <c r="E1347" s="155"/>
      <c r="F1347" s="151"/>
      <c r="G1347" s="152"/>
      <c r="H1347" s="153"/>
      <c r="I1347" s="154"/>
      <c r="J1347" s="154"/>
      <c r="K1347" s="30" t="str">
        <f>IF(H1347="","",IF($C$30="간이법","",FPR(H1347,I1347,J1347)))</f>
        <v/>
      </c>
      <c r="L1347" s="30" t="str">
        <f>IF(H1347="","",IF($C$30="상세법",FPV(H1347,K1347),IF(H1347="EI",4,IF(H1347="EO",5.2,IF(H1347="EQ",3.9,IF(H1347="ILF",7.5,IF(H1347="EIF",5.4)))))))</f>
        <v/>
      </c>
      <c r="M1347" s="30" t="str">
        <f t="shared" si="142"/>
        <v/>
      </c>
      <c r="N1347" s="134"/>
      <c r="O1347" s="29"/>
      <c r="P1347" s="37" t="str">
        <f t="shared" si="143"/>
        <v/>
      </c>
      <c r="Q1347" s="38" t="str">
        <f t="shared" si="144"/>
        <v/>
      </c>
      <c r="R1347" s="37" t="str">
        <f t="shared" si="145"/>
        <v/>
      </c>
      <c r="S1347" s="37" t="str">
        <f t="shared" si="146"/>
        <v/>
      </c>
      <c r="T1347" s="38" t="str">
        <f t="shared" si="147"/>
        <v/>
      </c>
      <c r="U1347" s="37" t="str">
        <f t="shared" si="148"/>
        <v/>
      </c>
    </row>
    <row r="1348" spans="2:21" ht="17.25">
      <c r="B1348" s="156"/>
      <c r="C1348" s="156"/>
      <c r="D1348" s="157"/>
      <c r="E1348" s="155"/>
      <c r="F1348" s="151"/>
      <c r="G1348" s="152"/>
      <c r="H1348" s="153"/>
      <c r="I1348" s="154"/>
      <c r="J1348" s="154"/>
      <c r="K1348" s="30" t="str">
        <f>IF(H1348="","",IF($C$30="간이법","",FPR(H1348,I1348,J1348)))</f>
        <v/>
      </c>
      <c r="L1348" s="30" t="str">
        <f>IF(H1348="","",IF($C$30="상세법",FPV(H1348,K1348),IF(H1348="EI",4,IF(H1348="EO",5.2,IF(H1348="EQ",3.9,IF(H1348="ILF",7.5,IF(H1348="EIF",5.4)))))))</f>
        <v/>
      </c>
      <c r="M1348" s="30" t="str">
        <f t="shared" si="142"/>
        <v/>
      </c>
      <c r="N1348" s="134"/>
      <c r="O1348" s="29"/>
      <c r="P1348" s="37" t="str">
        <f t="shared" si="143"/>
        <v/>
      </c>
      <c r="Q1348" s="38" t="str">
        <f t="shared" si="144"/>
        <v/>
      </c>
      <c r="R1348" s="37" t="str">
        <f t="shared" si="145"/>
        <v/>
      </c>
      <c r="S1348" s="37" t="str">
        <f t="shared" si="146"/>
        <v/>
      </c>
      <c r="T1348" s="38" t="str">
        <f t="shared" si="147"/>
        <v/>
      </c>
      <c r="U1348" s="37" t="str">
        <f t="shared" si="148"/>
        <v/>
      </c>
    </row>
    <row r="1349" spans="2:21" ht="17.25">
      <c r="B1349" s="156"/>
      <c r="C1349" s="156"/>
      <c r="D1349" s="157"/>
      <c r="E1349" s="155"/>
      <c r="F1349" s="151"/>
      <c r="G1349" s="152"/>
      <c r="H1349" s="153"/>
      <c r="I1349" s="154"/>
      <c r="J1349" s="154"/>
      <c r="K1349" s="30" t="str">
        <f>IF(H1349="","",IF($C$30="간이법","",FPR(H1349,I1349,J1349)))</f>
        <v/>
      </c>
      <c r="L1349" s="30" t="str">
        <f>IF(H1349="","",IF($C$30="상세법",FPV(H1349,K1349),IF(H1349="EI",4,IF(H1349="EO",5.2,IF(H1349="EQ",3.9,IF(H1349="ILF",7.5,IF(H1349="EIF",5.4)))))))</f>
        <v/>
      </c>
      <c r="M1349" s="30" t="str">
        <f t="shared" si="142"/>
        <v/>
      </c>
      <c r="N1349" s="134"/>
      <c r="O1349" s="29"/>
      <c r="P1349" s="37" t="str">
        <f t="shared" si="143"/>
        <v/>
      </c>
      <c r="Q1349" s="38" t="str">
        <f t="shared" si="144"/>
        <v/>
      </c>
      <c r="R1349" s="37" t="str">
        <f t="shared" si="145"/>
        <v/>
      </c>
      <c r="S1349" s="37" t="str">
        <f t="shared" si="146"/>
        <v/>
      </c>
      <c r="T1349" s="38" t="str">
        <f t="shared" si="147"/>
        <v/>
      </c>
      <c r="U1349" s="37" t="str">
        <f t="shared" si="148"/>
        <v/>
      </c>
    </row>
    <row r="1350" spans="2:21" ht="17.25">
      <c r="B1350" s="156"/>
      <c r="C1350" s="156"/>
      <c r="D1350" s="157"/>
      <c r="E1350" s="155"/>
      <c r="F1350" s="151"/>
      <c r="G1350" s="152"/>
      <c r="H1350" s="153"/>
      <c r="I1350" s="154"/>
      <c r="J1350" s="154"/>
      <c r="K1350" s="30" t="str">
        <f>IF(H1350="","",IF($C$30="간이법","",FPR(H1350,I1350,J1350)))</f>
        <v/>
      </c>
      <c r="L1350" s="30" t="str">
        <f>IF(H1350="","",IF($C$30="상세법",FPV(H1350,K1350),IF(H1350="EI",4,IF(H1350="EO",5.2,IF(H1350="EQ",3.9,IF(H1350="ILF",7.5,IF(H1350="EIF",5.4)))))))</f>
        <v/>
      </c>
      <c r="M1350" s="30" t="str">
        <f t="shared" si="142"/>
        <v/>
      </c>
      <c r="N1350" s="134"/>
      <c r="O1350" s="29"/>
      <c r="P1350" s="37" t="str">
        <f t="shared" si="143"/>
        <v/>
      </c>
      <c r="Q1350" s="38" t="str">
        <f t="shared" si="144"/>
        <v/>
      </c>
      <c r="R1350" s="37" t="str">
        <f t="shared" si="145"/>
        <v/>
      </c>
      <c r="S1350" s="37" t="str">
        <f t="shared" si="146"/>
        <v/>
      </c>
      <c r="T1350" s="38" t="str">
        <f t="shared" si="147"/>
        <v/>
      </c>
      <c r="U1350" s="37" t="str">
        <f t="shared" si="148"/>
        <v/>
      </c>
    </row>
    <row r="1351" spans="2:21" ht="17.25">
      <c r="B1351" s="156"/>
      <c r="C1351" s="156"/>
      <c r="D1351" s="157"/>
      <c r="E1351" s="155"/>
      <c r="F1351" s="151"/>
      <c r="G1351" s="152"/>
      <c r="H1351" s="153"/>
      <c r="I1351" s="154"/>
      <c r="J1351" s="154"/>
      <c r="K1351" s="30" t="str">
        <f>IF(H1351="","",IF($C$30="간이법","",FPR(H1351,I1351,J1351)))</f>
        <v/>
      </c>
      <c r="L1351" s="30" t="str">
        <f>IF(H1351="","",IF($C$30="상세법",FPV(H1351,K1351),IF(H1351="EI",4,IF(H1351="EO",5.2,IF(H1351="EQ",3.9,IF(H1351="ILF",7.5,IF(H1351="EIF",5.4)))))))</f>
        <v/>
      </c>
      <c r="M1351" s="30" t="str">
        <f t="shared" si="142"/>
        <v/>
      </c>
      <c r="N1351" s="134"/>
      <c r="O1351" s="29"/>
      <c r="P1351" s="37" t="str">
        <f t="shared" si="143"/>
        <v/>
      </c>
      <c r="Q1351" s="38" t="str">
        <f t="shared" si="144"/>
        <v/>
      </c>
      <c r="R1351" s="37" t="str">
        <f t="shared" si="145"/>
        <v/>
      </c>
      <c r="S1351" s="37" t="str">
        <f t="shared" si="146"/>
        <v/>
      </c>
      <c r="T1351" s="38" t="str">
        <f t="shared" si="147"/>
        <v/>
      </c>
      <c r="U1351" s="37" t="str">
        <f t="shared" si="148"/>
        <v/>
      </c>
    </row>
    <row r="1352" spans="2:21" ht="17.25">
      <c r="B1352" s="156"/>
      <c r="C1352" s="156"/>
      <c r="D1352" s="157"/>
      <c r="E1352" s="155"/>
      <c r="F1352" s="151"/>
      <c r="G1352" s="152"/>
      <c r="H1352" s="153"/>
      <c r="I1352" s="154"/>
      <c r="J1352" s="154"/>
      <c r="K1352" s="30" t="str">
        <f>IF(H1352="","",IF($C$30="간이법","",FPR(H1352,I1352,J1352)))</f>
        <v/>
      </c>
      <c r="L1352" s="30" t="str">
        <f>IF(H1352="","",IF($C$30="상세법",FPV(H1352,K1352),IF(H1352="EI",4,IF(H1352="EO",5.2,IF(H1352="EQ",3.9,IF(H1352="ILF",7.5,IF(H1352="EIF",5.4)))))))</f>
        <v/>
      </c>
      <c r="M1352" s="30" t="str">
        <f t="shared" si="142"/>
        <v/>
      </c>
      <c r="N1352" s="134"/>
      <c r="O1352" s="29"/>
      <c r="P1352" s="37" t="str">
        <f t="shared" si="143"/>
        <v/>
      </c>
      <c r="Q1352" s="38" t="str">
        <f t="shared" si="144"/>
        <v/>
      </c>
      <c r="R1352" s="37" t="str">
        <f t="shared" si="145"/>
        <v/>
      </c>
      <c r="S1352" s="37" t="str">
        <f t="shared" si="146"/>
        <v/>
      </c>
      <c r="T1352" s="38" t="str">
        <f t="shared" si="147"/>
        <v/>
      </c>
      <c r="U1352" s="37" t="str">
        <f t="shared" si="148"/>
        <v/>
      </c>
    </row>
    <row r="1353" spans="2:21" ht="17.25">
      <c r="B1353" s="156"/>
      <c r="C1353" s="156"/>
      <c r="D1353" s="157"/>
      <c r="E1353" s="155"/>
      <c r="F1353" s="151"/>
      <c r="G1353" s="152"/>
      <c r="H1353" s="153"/>
      <c r="I1353" s="154"/>
      <c r="J1353" s="154"/>
      <c r="K1353" s="30" t="str">
        <f>IF(H1353="","",IF($C$30="간이법","",FPR(H1353,I1353,J1353)))</f>
        <v/>
      </c>
      <c r="L1353" s="30" t="str">
        <f>IF(H1353="","",IF($C$30="상세법",FPV(H1353,K1353),IF(H1353="EI",4,IF(H1353="EO",5.2,IF(H1353="EQ",3.9,IF(H1353="ILF",7.5,IF(H1353="EIF",5.4)))))))</f>
        <v/>
      </c>
      <c r="M1353" s="30" t="str">
        <f t="shared" si="142"/>
        <v/>
      </c>
      <c r="N1353" s="134"/>
      <c r="O1353" s="29"/>
      <c r="P1353" s="37" t="str">
        <f t="shared" si="143"/>
        <v/>
      </c>
      <c r="Q1353" s="38" t="str">
        <f t="shared" si="144"/>
        <v/>
      </c>
      <c r="R1353" s="37" t="str">
        <f t="shared" si="145"/>
        <v/>
      </c>
      <c r="S1353" s="37" t="str">
        <f t="shared" si="146"/>
        <v/>
      </c>
      <c r="T1353" s="38" t="str">
        <f t="shared" si="147"/>
        <v/>
      </c>
      <c r="U1353" s="37" t="str">
        <f t="shared" si="148"/>
        <v/>
      </c>
    </row>
    <row r="1354" spans="2:21" ht="17.25">
      <c r="B1354" s="156"/>
      <c r="C1354" s="156"/>
      <c r="D1354" s="157"/>
      <c r="E1354" s="155"/>
      <c r="F1354" s="151"/>
      <c r="G1354" s="152"/>
      <c r="H1354" s="153"/>
      <c r="I1354" s="154"/>
      <c r="J1354" s="154"/>
      <c r="K1354" s="30" t="str">
        <f>IF(H1354="","",IF($C$30="간이법","",FPR(H1354,I1354,J1354)))</f>
        <v/>
      </c>
      <c r="L1354" s="30" t="str">
        <f>IF(H1354="","",IF($C$30="상세법",FPV(H1354,K1354),IF(H1354="EI",4,IF(H1354="EO",5.2,IF(H1354="EQ",3.9,IF(H1354="ILF",7.5,IF(H1354="EIF",5.4)))))))</f>
        <v/>
      </c>
      <c r="M1354" s="30" t="str">
        <f t="shared" si="142"/>
        <v/>
      </c>
      <c r="N1354" s="134"/>
      <c r="O1354" s="29"/>
      <c r="P1354" s="37" t="str">
        <f t="shared" si="143"/>
        <v/>
      </c>
      <c r="Q1354" s="38" t="str">
        <f t="shared" si="144"/>
        <v/>
      </c>
      <c r="R1354" s="37" t="str">
        <f t="shared" si="145"/>
        <v/>
      </c>
      <c r="S1354" s="37" t="str">
        <f t="shared" si="146"/>
        <v/>
      </c>
      <c r="T1354" s="38" t="str">
        <f t="shared" si="147"/>
        <v/>
      </c>
      <c r="U1354" s="37" t="str">
        <f t="shared" si="148"/>
        <v/>
      </c>
    </row>
    <row r="1355" spans="2:21" ht="17.25">
      <c r="B1355" s="156"/>
      <c r="C1355" s="156"/>
      <c r="D1355" s="157"/>
      <c r="E1355" s="155"/>
      <c r="F1355" s="151"/>
      <c r="G1355" s="152"/>
      <c r="H1355" s="153"/>
      <c r="I1355" s="154"/>
      <c r="J1355" s="154"/>
      <c r="K1355" s="30" t="str">
        <f>IF(H1355="","",IF($C$30="간이법","",FPR(H1355,I1355,J1355)))</f>
        <v/>
      </c>
      <c r="L1355" s="30" t="str">
        <f>IF(H1355="","",IF($C$30="상세법",FPV(H1355,K1355),IF(H1355="EI",4,IF(H1355="EO",5.2,IF(H1355="EQ",3.9,IF(H1355="ILF",7.5,IF(H1355="EIF",5.4)))))))</f>
        <v/>
      </c>
      <c r="M1355" s="30" t="str">
        <f t="shared" si="142"/>
        <v/>
      </c>
      <c r="N1355" s="134"/>
      <c r="O1355" s="29"/>
      <c r="P1355" s="37" t="str">
        <f t="shared" si="143"/>
        <v/>
      </c>
      <c r="Q1355" s="38" t="str">
        <f t="shared" si="144"/>
        <v/>
      </c>
      <c r="R1355" s="37" t="str">
        <f t="shared" si="145"/>
        <v/>
      </c>
      <c r="S1355" s="37" t="str">
        <f t="shared" si="146"/>
        <v/>
      </c>
      <c r="T1355" s="38" t="str">
        <f t="shared" si="147"/>
        <v/>
      </c>
      <c r="U1355" s="37" t="str">
        <f t="shared" si="148"/>
        <v/>
      </c>
    </row>
    <row r="1356" spans="2:21" ht="17.25">
      <c r="B1356" s="156"/>
      <c r="C1356" s="156"/>
      <c r="D1356" s="157"/>
      <c r="E1356" s="155"/>
      <c r="F1356" s="151"/>
      <c r="G1356" s="152"/>
      <c r="H1356" s="153"/>
      <c r="I1356" s="154"/>
      <c r="J1356" s="154"/>
      <c r="K1356" s="30" t="str">
        <f>IF(H1356="","",IF($C$30="간이법","",FPR(H1356,I1356,J1356)))</f>
        <v/>
      </c>
      <c r="L1356" s="30" t="str">
        <f>IF(H1356="","",IF($C$30="상세법",FPV(H1356,K1356),IF(H1356="EI",4,IF(H1356="EO",5.2,IF(H1356="EQ",3.9,IF(H1356="ILF",7.5,IF(H1356="EIF",5.4)))))))</f>
        <v/>
      </c>
      <c r="M1356" s="30" t="str">
        <f t="shared" si="142"/>
        <v/>
      </c>
      <c r="N1356" s="134"/>
      <c r="O1356" s="29"/>
      <c r="P1356" s="37" t="str">
        <f t="shared" si="143"/>
        <v/>
      </c>
      <c r="Q1356" s="38" t="str">
        <f t="shared" si="144"/>
        <v/>
      </c>
      <c r="R1356" s="37" t="str">
        <f t="shared" si="145"/>
        <v/>
      </c>
      <c r="S1356" s="37" t="str">
        <f t="shared" si="146"/>
        <v/>
      </c>
      <c r="T1356" s="38" t="str">
        <f t="shared" si="147"/>
        <v/>
      </c>
      <c r="U1356" s="37" t="str">
        <f t="shared" si="148"/>
        <v/>
      </c>
    </row>
    <row r="1357" spans="2:21" ht="17.25">
      <c r="B1357" s="156"/>
      <c r="C1357" s="156"/>
      <c r="D1357" s="157"/>
      <c r="E1357" s="155"/>
      <c r="F1357" s="151"/>
      <c r="G1357" s="152"/>
      <c r="H1357" s="153"/>
      <c r="I1357" s="154"/>
      <c r="J1357" s="154"/>
      <c r="K1357" s="30" t="str">
        <f>IF(H1357="","",IF($C$30="간이법","",FPR(H1357,I1357,J1357)))</f>
        <v/>
      </c>
      <c r="L1357" s="30" t="str">
        <f>IF(H1357="","",IF($C$30="상세법",FPV(H1357,K1357),IF(H1357="EI",4,IF(H1357="EO",5.2,IF(H1357="EQ",3.9,IF(H1357="ILF",7.5,IF(H1357="EIF",5.4)))))))</f>
        <v/>
      </c>
      <c r="M1357" s="30" t="str">
        <f t="shared" si="142"/>
        <v/>
      </c>
      <c r="N1357" s="134"/>
      <c r="O1357" s="29"/>
      <c r="P1357" s="37" t="str">
        <f t="shared" si="143"/>
        <v/>
      </c>
      <c r="Q1357" s="38" t="str">
        <f t="shared" si="144"/>
        <v/>
      </c>
      <c r="R1357" s="37" t="str">
        <f t="shared" si="145"/>
        <v/>
      </c>
      <c r="S1357" s="37" t="str">
        <f t="shared" si="146"/>
        <v/>
      </c>
      <c r="T1357" s="38" t="str">
        <f t="shared" si="147"/>
        <v/>
      </c>
      <c r="U1357" s="37" t="str">
        <f t="shared" si="148"/>
        <v/>
      </c>
    </row>
    <row r="1358" spans="2:21" ht="17.25">
      <c r="B1358" s="156"/>
      <c r="C1358" s="156"/>
      <c r="D1358" s="157"/>
      <c r="E1358" s="155"/>
      <c r="F1358" s="151"/>
      <c r="G1358" s="152"/>
      <c r="H1358" s="153"/>
      <c r="I1358" s="154"/>
      <c r="J1358" s="154"/>
      <c r="K1358" s="30" t="str">
        <f>IF(H1358="","",IF($C$30="간이법","",FPR(H1358,I1358,J1358)))</f>
        <v/>
      </c>
      <c r="L1358" s="30" t="str">
        <f>IF(H1358="","",IF($C$30="상세법",FPV(H1358,K1358),IF(H1358="EI",4,IF(H1358="EO",5.2,IF(H1358="EQ",3.9,IF(H1358="ILF",7.5,IF(H1358="EIF",5.4)))))))</f>
        <v/>
      </c>
      <c r="M1358" s="30" t="str">
        <f t="shared" si="142"/>
        <v/>
      </c>
      <c r="N1358" s="134"/>
      <c r="O1358" s="29"/>
      <c r="P1358" s="37" t="str">
        <f t="shared" si="143"/>
        <v/>
      </c>
      <c r="Q1358" s="38" t="str">
        <f t="shared" si="144"/>
        <v/>
      </c>
      <c r="R1358" s="37" t="str">
        <f t="shared" si="145"/>
        <v/>
      </c>
      <c r="S1358" s="37" t="str">
        <f t="shared" si="146"/>
        <v/>
      </c>
      <c r="T1358" s="38" t="str">
        <f t="shared" si="147"/>
        <v/>
      </c>
      <c r="U1358" s="37" t="str">
        <f t="shared" si="148"/>
        <v/>
      </c>
    </row>
    <row r="1359" spans="2:21" ht="17.25">
      <c r="B1359" s="156"/>
      <c r="C1359" s="156"/>
      <c r="D1359" s="157"/>
      <c r="E1359" s="155"/>
      <c r="F1359" s="151"/>
      <c r="G1359" s="152"/>
      <c r="H1359" s="153"/>
      <c r="I1359" s="154"/>
      <c r="J1359" s="154"/>
      <c r="K1359" s="30" t="str">
        <f>IF(H1359="","",IF($C$30="간이법","",FPR(H1359,I1359,J1359)))</f>
        <v/>
      </c>
      <c r="L1359" s="30" t="str">
        <f>IF(H1359="","",IF($C$30="상세법",FPV(H1359,K1359),IF(H1359="EI",4,IF(H1359="EO",5.2,IF(H1359="EQ",3.9,IF(H1359="ILF",7.5,IF(H1359="EIF",5.4)))))))</f>
        <v/>
      </c>
      <c r="M1359" s="30" t="str">
        <f t="shared" si="142"/>
        <v/>
      </c>
      <c r="N1359" s="134"/>
      <c r="O1359" s="29"/>
      <c r="P1359" s="37" t="str">
        <f t="shared" si="143"/>
        <v/>
      </c>
      <c r="Q1359" s="38" t="str">
        <f t="shared" si="144"/>
        <v/>
      </c>
      <c r="R1359" s="37" t="str">
        <f t="shared" si="145"/>
        <v/>
      </c>
      <c r="S1359" s="37" t="str">
        <f t="shared" si="146"/>
        <v/>
      </c>
      <c r="T1359" s="38" t="str">
        <f t="shared" si="147"/>
        <v/>
      </c>
      <c r="U1359" s="37" t="str">
        <f t="shared" si="148"/>
        <v/>
      </c>
    </row>
    <row r="1360" spans="2:21" ht="17.25">
      <c r="B1360" s="156"/>
      <c r="C1360" s="156"/>
      <c r="D1360" s="157"/>
      <c r="E1360" s="155"/>
      <c r="F1360" s="151"/>
      <c r="G1360" s="152"/>
      <c r="H1360" s="153"/>
      <c r="I1360" s="154"/>
      <c r="J1360" s="154"/>
      <c r="K1360" s="30" t="str">
        <f>IF(H1360="","",IF($C$30="간이법","",FPR(H1360,I1360,J1360)))</f>
        <v/>
      </c>
      <c r="L1360" s="30" t="str">
        <f>IF(H1360="","",IF($C$30="상세법",FPV(H1360,K1360),IF(H1360="EI",4,IF(H1360="EO",5.2,IF(H1360="EQ",3.9,IF(H1360="ILF",7.5,IF(H1360="EIF",5.4)))))))</f>
        <v/>
      </c>
      <c r="M1360" s="30" t="str">
        <f t="shared" si="142"/>
        <v/>
      </c>
      <c r="N1360" s="134"/>
      <c r="O1360" s="29"/>
      <c r="P1360" s="37" t="str">
        <f t="shared" si="143"/>
        <v/>
      </c>
      <c r="Q1360" s="38" t="str">
        <f t="shared" si="144"/>
        <v/>
      </c>
      <c r="R1360" s="37" t="str">
        <f t="shared" si="145"/>
        <v/>
      </c>
      <c r="S1360" s="37" t="str">
        <f t="shared" si="146"/>
        <v/>
      </c>
      <c r="T1360" s="38" t="str">
        <f t="shared" si="147"/>
        <v/>
      </c>
      <c r="U1360" s="37" t="str">
        <f t="shared" si="148"/>
        <v/>
      </c>
    </row>
    <row r="1361" spans="2:21" ht="17.25">
      <c r="B1361" s="156"/>
      <c r="C1361" s="156"/>
      <c r="D1361" s="157"/>
      <c r="E1361" s="155"/>
      <c r="F1361" s="151"/>
      <c r="G1361" s="152"/>
      <c r="H1361" s="153"/>
      <c r="I1361" s="154"/>
      <c r="J1361" s="154"/>
      <c r="K1361" s="30" t="str">
        <f>IF(H1361="","",IF($C$30="간이법","",FPR(H1361,I1361,J1361)))</f>
        <v/>
      </c>
      <c r="L1361" s="30" t="str">
        <f>IF(H1361="","",IF($C$30="상세법",FPV(H1361,K1361),IF(H1361="EI",4,IF(H1361="EO",5.2,IF(H1361="EQ",3.9,IF(H1361="ILF",7.5,IF(H1361="EIF",5.4)))))))</f>
        <v/>
      </c>
      <c r="M1361" s="30" t="str">
        <f t="shared" si="142"/>
        <v/>
      </c>
      <c r="N1361" s="134"/>
      <c r="O1361" s="29"/>
      <c r="P1361" s="37" t="str">
        <f t="shared" si="143"/>
        <v/>
      </c>
      <c r="Q1361" s="38" t="str">
        <f t="shared" si="144"/>
        <v/>
      </c>
      <c r="R1361" s="37" t="str">
        <f t="shared" si="145"/>
        <v/>
      </c>
      <c r="S1361" s="37" t="str">
        <f t="shared" si="146"/>
        <v/>
      </c>
      <c r="T1361" s="38" t="str">
        <f t="shared" si="147"/>
        <v/>
      </c>
      <c r="U1361" s="37" t="str">
        <f t="shared" si="148"/>
        <v/>
      </c>
    </row>
    <row r="1362" spans="2:21" ht="17.25">
      <c r="B1362" s="156"/>
      <c r="C1362" s="156"/>
      <c r="D1362" s="157"/>
      <c r="E1362" s="155"/>
      <c r="F1362" s="151"/>
      <c r="G1362" s="152"/>
      <c r="H1362" s="153"/>
      <c r="I1362" s="154"/>
      <c r="J1362" s="154"/>
      <c r="K1362" s="30" t="str">
        <f>IF(H1362="","",IF($C$30="간이법","",FPR(H1362,I1362,J1362)))</f>
        <v/>
      </c>
      <c r="L1362" s="30" t="str">
        <f>IF(H1362="","",IF($C$30="상세법",FPV(H1362,K1362),IF(H1362="EI",4,IF(H1362="EO",5.2,IF(H1362="EQ",3.9,IF(H1362="ILF",7.5,IF(H1362="EIF",5.4)))))))</f>
        <v/>
      </c>
      <c r="M1362" s="30" t="str">
        <f t="shared" si="142"/>
        <v/>
      </c>
      <c r="N1362" s="134"/>
      <c r="O1362" s="29"/>
      <c r="P1362" s="37" t="str">
        <f t="shared" si="143"/>
        <v/>
      </c>
      <c r="Q1362" s="38" t="str">
        <f t="shared" si="144"/>
        <v/>
      </c>
      <c r="R1362" s="37" t="str">
        <f t="shared" si="145"/>
        <v/>
      </c>
      <c r="S1362" s="37" t="str">
        <f t="shared" si="146"/>
        <v/>
      </c>
      <c r="T1362" s="38" t="str">
        <f t="shared" si="147"/>
        <v/>
      </c>
      <c r="U1362" s="37" t="str">
        <f t="shared" si="148"/>
        <v/>
      </c>
    </row>
    <row r="1363" spans="2:21" ht="17.25">
      <c r="B1363" s="156"/>
      <c r="C1363" s="156"/>
      <c r="D1363" s="157"/>
      <c r="E1363" s="155"/>
      <c r="F1363" s="151"/>
      <c r="G1363" s="152"/>
      <c r="H1363" s="153"/>
      <c r="I1363" s="154"/>
      <c r="J1363" s="154"/>
      <c r="K1363" s="30" t="str">
        <f>IF(H1363="","",IF($C$30="간이법","",FPR(H1363,I1363,J1363)))</f>
        <v/>
      </c>
      <c r="L1363" s="30" t="str">
        <f>IF(H1363="","",IF($C$30="상세법",FPV(H1363,K1363),IF(H1363="EI",4,IF(H1363="EO",5.2,IF(H1363="EQ",3.9,IF(H1363="ILF",7.5,IF(H1363="EIF",5.4)))))))</f>
        <v/>
      </c>
      <c r="M1363" s="30" t="str">
        <f t="shared" si="142"/>
        <v/>
      </c>
      <c r="N1363" s="134"/>
      <c r="O1363" s="29"/>
      <c r="P1363" s="37" t="str">
        <f t="shared" si="143"/>
        <v/>
      </c>
      <c r="Q1363" s="38" t="str">
        <f t="shared" si="144"/>
        <v/>
      </c>
      <c r="R1363" s="37" t="str">
        <f t="shared" si="145"/>
        <v/>
      </c>
      <c r="S1363" s="37" t="str">
        <f t="shared" si="146"/>
        <v/>
      </c>
      <c r="T1363" s="38" t="str">
        <f t="shared" si="147"/>
        <v/>
      </c>
      <c r="U1363" s="37" t="str">
        <f t="shared" si="148"/>
        <v/>
      </c>
    </row>
    <row r="1364" spans="2:21" ht="17.25">
      <c r="B1364" s="156"/>
      <c r="C1364" s="156"/>
      <c r="D1364" s="157"/>
      <c r="E1364" s="155"/>
      <c r="F1364" s="151"/>
      <c r="G1364" s="152"/>
      <c r="H1364" s="153"/>
      <c r="I1364" s="154"/>
      <c r="J1364" s="154"/>
      <c r="K1364" s="30" t="str">
        <f>IF(H1364="","",IF($C$30="간이법","",FPR(H1364,I1364,J1364)))</f>
        <v/>
      </c>
      <c r="L1364" s="30" t="str">
        <f>IF(H1364="","",IF($C$30="상세법",FPV(H1364,K1364),IF(H1364="EI",4,IF(H1364="EO",5.2,IF(H1364="EQ",3.9,IF(H1364="ILF",7.5,IF(H1364="EIF",5.4)))))))</f>
        <v/>
      </c>
      <c r="M1364" s="30" t="str">
        <f t="shared" si="142"/>
        <v/>
      </c>
      <c r="N1364" s="134"/>
      <c r="O1364" s="29"/>
      <c r="P1364" s="37" t="str">
        <f t="shared" si="143"/>
        <v/>
      </c>
      <c r="Q1364" s="38" t="str">
        <f t="shared" si="144"/>
        <v/>
      </c>
      <c r="R1364" s="37" t="str">
        <f t="shared" si="145"/>
        <v/>
      </c>
      <c r="S1364" s="37" t="str">
        <f t="shared" si="146"/>
        <v/>
      </c>
      <c r="T1364" s="38" t="str">
        <f t="shared" si="147"/>
        <v/>
      </c>
      <c r="U1364" s="37" t="str">
        <f t="shared" si="148"/>
        <v/>
      </c>
    </row>
    <row r="1365" spans="2:21" ht="17.25">
      <c r="B1365" s="156"/>
      <c r="C1365" s="156"/>
      <c r="D1365" s="157"/>
      <c r="E1365" s="155"/>
      <c r="F1365" s="151"/>
      <c r="G1365" s="152"/>
      <c r="H1365" s="153"/>
      <c r="I1365" s="154"/>
      <c r="J1365" s="154"/>
      <c r="K1365" s="30" t="str">
        <f>IF(H1365="","",IF($C$30="간이법","",FPR(H1365,I1365,J1365)))</f>
        <v/>
      </c>
      <c r="L1365" s="30" t="str">
        <f>IF(H1365="","",IF($C$30="상세법",FPV(H1365,K1365),IF(H1365="EI",4,IF(H1365="EO",5.2,IF(H1365="EQ",3.9,IF(H1365="ILF",7.5,IF(H1365="EIF",5.4)))))))</f>
        <v/>
      </c>
      <c r="M1365" s="30" t="str">
        <f t="shared" si="142"/>
        <v/>
      </c>
      <c r="N1365" s="134"/>
      <c r="O1365" s="29"/>
      <c r="P1365" s="37" t="str">
        <f t="shared" si="143"/>
        <v/>
      </c>
      <c r="Q1365" s="38" t="str">
        <f t="shared" si="144"/>
        <v/>
      </c>
      <c r="R1365" s="37" t="str">
        <f t="shared" si="145"/>
        <v/>
      </c>
      <c r="S1365" s="37" t="str">
        <f t="shared" si="146"/>
        <v/>
      </c>
      <c r="T1365" s="38" t="str">
        <f t="shared" si="147"/>
        <v/>
      </c>
      <c r="U1365" s="37" t="str">
        <f t="shared" si="148"/>
        <v/>
      </c>
    </row>
    <row r="1366" spans="2:21" ht="17.25">
      <c r="B1366" s="156"/>
      <c r="C1366" s="156"/>
      <c r="D1366" s="157"/>
      <c r="E1366" s="155"/>
      <c r="F1366" s="151"/>
      <c r="G1366" s="152"/>
      <c r="H1366" s="153"/>
      <c r="I1366" s="154"/>
      <c r="J1366" s="154"/>
      <c r="K1366" s="30" t="str">
        <f>IF(H1366="","",IF($C$30="간이법","",FPR(H1366,I1366,J1366)))</f>
        <v/>
      </c>
      <c r="L1366" s="30" t="str">
        <f>IF(H1366="","",IF($C$30="상세법",FPV(H1366,K1366),IF(H1366="EI",4,IF(H1366="EO",5.2,IF(H1366="EQ",3.9,IF(H1366="ILF",7.5,IF(H1366="EIF",5.4)))))))</f>
        <v/>
      </c>
      <c r="M1366" s="30" t="str">
        <f t="shared" si="142"/>
        <v/>
      </c>
      <c r="N1366" s="134"/>
      <c r="O1366" s="29"/>
      <c r="P1366" s="37" t="str">
        <f t="shared" si="143"/>
        <v/>
      </c>
      <c r="Q1366" s="38" t="str">
        <f t="shared" si="144"/>
        <v/>
      </c>
      <c r="R1366" s="37" t="str">
        <f t="shared" si="145"/>
        <v/>
      </c>
      <c r="S1366" s="37" t="str">
        <f t="shared" si="146"/>
        <v/>
      </c>
      <c r="T1366" s="38" t="str">
        <f t="shared" si="147"/>
        <v/>
      </c>
      <c r="U1366" s="37" t="str">
        <f t="shared" si="148"/>
        <v/>
      </c>
    </row>
    <row r="1367" spans="2:21" ht="17.25">
      <c r="B1367" s="156"/>
      <c r="C1367" s="156"/>
      <c r="D1367" s="157"/>
      <c r="E1367" s="155"/>
      <c r="F1367" s="151"/>
      <c r="G1367" s="152"/>
      <c r="H1367" s="153"/>
      <c r="I1367" s="154"/>
      <c r="J1367" s="154"/>
      <c r="K1367" s="30" t="str">
        <f>IF(H1367="","",IF($C$30="간이법","",FPR(H1367,I1367,J1367)))</f>
        <v/>
      </c>
      <c r="L1367" s="30" t="str">
        <f>IF(H1367="","",IF($C$30="상세법",FPV(H1367,K1367),IF(H1367="EI",4,IF(H1367="EO",5.2,IF(H1367="EQ",3.9,IF(H1367="ILF",7.5,IF(H1367="EIF",5.4)))))))</f>
        <v/>
      </c>
      <c r="M1367" s="30" t="str">
        <f t="shared" si="142"/>
        <v/>
      </c>
      <c r="N1367" s="134"/>
      <c r="O1367" s="29"/>
      <c r="P1367" s="37" t="str">
        <f t="shared" si="143"/>
        <v/>
      </c>
      <c r="Q1367" s="38" t="str">
        <f t="shared" si="144"/>
        <v/>
      </c>
      <c r="R1367" s="37" t="str">
        <f t="shared" si="145"/>
        <v/>
      </c>
      <c r="S1367" s="37" t="str">
        <f t="shared" si="146"/>
        <v/>
      </c>
      <c r="T1367" s="38" t="str">
        <f t="shared" si="147"/>
        <v/>
      </c>
      <c r="U1367" s="37" t="str">
        <f t="shared" si="148"/>
        <v/>
      </c>
    </row>
    <row r="1368" spans="2:21" ht="17.25">
      <c r="B1368" s="156"/>
      <c r="C1368" s="156"/>
      <c r="D1368" s="157"/>
      <c r="E1368" s="155"/>
      <c r="F1368" s="151"/>
      <c r="G1368" s="152"/>
      <c r="H1368" s="153"/>
      <c r="I1368" s="154"/>
      <c r="J1368" s="154"/>
      <c r="K1368" s="30" t="str">
        <f>IF(H1368="","",IF($C$30="간이법","",FPR(H1368,I1368,J1368)))</f>
        <v/>
      </c>
      <c r="L1368" s="30" t="str">
        <f>IF(H1368="","",IF($C$30="상세법",FPV(H1368,K1368),IF(H1368="EI",4,IF(H1368="EO",5.2,IF(H1368="EQ",3.9,IF(H1368="ILF",7.5,IF(H1368="EIF",5.4)))))))</f>
        <v/>
      </c>
      <c r="M1368" s="30" t="str">
        <f t="shared" si="142"/>
        <v/>
      </c>
      <c r="N1368" s="134"/>
      <c r="O1368" s="29"/>
      <c r="P1368" s="37" t="str">
        <f t="shared" si="143"/>
        <v/>
      </c>
      <c r="Q1368" s="38" t="str">
        <f t="shared" si="144"/>
        <v/>
      </c>
      <c r="R1368" s="37" t="str">
        <f t="shared" si="145"/>
        <v/>
      </c>
      <c r="S1368" s="37" t="str">
        <f t="shared" si="146"/>
        <v/>
      </c>
      <c r="T1368" s="38" t="str">
        <f t="shared" si="147"/>
        <v/>
      </c>
      <c r="U1368" s="37" t="str">
        <f t="shared" si="148"/>
        <v/>
      </c>
    </row>
    <row r="1369" spans="2:21" ht="17.25">
      <c r="B1369" s="156"/>
      <c r="C1369" s="156"/>
      <c r="D1369" s="157"/>
      <c r="E1369" s="155"/>
      <c r="F1369" s="151"/>
      <c r="G1369" s="152"/>
      <c r="H1369" s="153"/>
      <c r="I1369" s="154"/>
      <c r="J1369" s="154"/>
      <c r="K1369" s="30" t="str">
        <f>IF(H1369="","",IF($C$30="간이법","",FPR(H1369,I1369,J1369)))</f>
        <v/>
      </c>
      <c r="L1369" s="30" t="str">
        <f>IF(H1369="","",IF($C$30="상세법",FPV(H1369,K1369),IF(H1369="EI",4,IF(H1369="EO",5.2,IF(H1369="EQ",3.9,IF(H1369="ILF",7.5,IF(H1369="EIF",5.4)))))))</f>
        <v/>
      </c>
      <c r="M1369" s="30" t="str">
        <f t="shared" si="142"/>
        <v/>
      </c>
      <c r="N1369" s="134"/>
      <c r="O1369" s="29"/>
      <c r="P1369" s="37" t="str">
        <f t="shared" si="143"/>
        <v/>
      </c>
      <c r="Q1369" s="38" t="str">
        <f t="shared" si="144"/>
        <v/>
      </c>
      <c r="R1369" s="37" t="str">
        <f t="shared" si="145"/>
        <v/>
      </c>
      <c r="S1369" s="37" t="str">
        <f t="shared" si="146"/>
        <v/>
      </c>
      <c r="T1369" s="38" t="str">
        <f t="shared" si="147"/>
        <v/>
      </c>
      <c r="U1369" s="37" t="str">
        <f t="shared" si="148"/>
        <v/>
      </c>
    </row>
    <row r="1370" spans="2:21" ht="17.25">
      <c r="B1370" s="156"/>
      <c r="C1370" s="156"/>
      <c r="D1370" s="157"/>
      <c r="E1370" s="155"/>
      <c r="F1370" s="151"/>
      <c r="G1370" s="152"/>
      <c r="H1370" s="153"/>
      <c r="I1370" s="154"/>
      <c r="J1370" s="154"/>
      <c r="K1370" s="30" t="str">
        <f>IF(H1370="","",IF($C$30="간이법","",FPR(H1370,I1370,J1370)))</f>
        <v/>
      </c>
      <c r="L1370" s="30" t="str">
        <f>IF(H1370="","",IF($C$30="상세법",FPV(H1370,K1370),IF(H1370="EI",4,IF(H1370="EO",5.2,IF(H1370="EQ",3.9,IF(H1370="ILF",7.5,IF(H1370="EIF",5.4)))))))</f>
        <v/>
      </c>
      <c r="M1370" s="30" t="str">
        <f t="shared" si="142"/>
        <v/>
      </c>
      <c r="N1370" s="134"/>
      <c r="O1370" s="29"/>
      <c r="P1370" s="37" t="str">
        <f t="shared" si="143"/>
        <v/>
      </c>
      <c r="Q1370" s="38" t="str">
        <f t="shared" si="144"/>
        <v/>
      </c>
      <c r="R1370" s="37" t="str">
        <f t="shared" si="145"/>
        <v/>
      </c>
      <c r="S1370" s="37" t="str">
        <f t="shared" si="146"/>
        <v/>
      </c>
      <c r="T1370" s="38" t="str">
        <f t="shared" si="147"/>
        <v/>
      </c>
      <c r="U1370" s="37" t="str">
        <f t="shared" si="148"/>
        <v/>
      </c>
    </row>
    <row r="1371" spans="2:21" ht="17.25">
      <c r="B1371" s="156"/>
      <c r="C1371" s="156"/>
      <c r="D1371" s="157"/>
      <c r="E1371" s="155"/>
      <c r="F1371" s="151"/>
      <c r="G1371" s="152"/>
      <c r="H1371" s="153"/>
      <c r="I1371" s="154"/>
      <c r="J1371" s="154"/>
      <c r="K1371" s="30" t="str">
        <f>IF(H1371="","",IF($C$30="간이법","",FPR(H1371,I1371,J1371)))</f>
        <v/>
      </c>
      <c r="L1371" s="30" t="str">
        <f>IF(H1371="","",IF($C$30="상세법",FPV(H1371,K1371),IF(H1371="EI",4,IF(H1371="EO",5.2,IF(H1371="EQ",3.9,IF(H1371="ILF",7.5,IF(H1371="EIF",5.4)))))))</f>
        <v/>
      </c>
      <c r="M1371" s="30" t="str">
        <f t="shared" si="142"/>
        <v/>
      </c>
      <c r="N1371" s="134"/>
      <c r="O1371" s="29"/>
      <c r="P1371" s="37" t="str">
        <f t="shared" si="143"/>
        <v/>
      </c>
      <c r="Q1371" s="38" t="str">
        <f t="shared" si="144"/>
        <v/>
      </c>
      <c r="R1371" s="37" t="str">
        <f t="shared" si="145"/>
        <v/>
      </c>
      <c r="S1371" s="37" t="str">
        <f t="shared" si="146"/>
        <v/>
      </c>
      <c r="T1371" s="38" t="str">
        <f t="shared" si="147"/>
        <v/>
      </c>
      <c r="U1371" s="37" t="str">
        <f t="shared" si="148"/>
        <v/>
      </c>
    </row>
    <row r="1372" spans="2:21" ht="17.25">
      <c r="B1372" s="156"/>
      <c r="C1372" s="156"/>
      <c r="D1372" s="157"/>
      <c r="E1372" s="155"/>
      <c r="F1372" s="151"/>
      <c r="G1372" s="152"/>
      <c r="H1372" s="153"/>
      <c r="I1372" s="154"/>
      <c r="J1372" s="154"/>
      <c r="K1372" s="30" t="str">
        <f>IF(H1372="","",IF($C$30="간이법","",FPR(H1372,I1372,J1372)))</f>
        <v/>
      </c>
      <c r="L1372" s="30" t="str">
        <f>IF(H1372="","",IF($C$30="상세법",FPV(H1372,K1372),IF(H1372="EI",4,IF(H1372="EO",5.2,IF(H1372="EQ",3.9,IF(H1372="ILF",7.5,IF(H1372="EIF",5.4)))))))</f>
        <v/>
      </c>
      <c r="M1372" s="30" t="str">
        <f t="shared" si="142"/>
        <v/>
      </c>
      <c r="N1372" s="134"/>
      <c r="O1372" s="29"/>
      <c r="P1372" s="37" t="str">
        <f t="shared" si="143"/>
        <v/>
      </c>
      <c r="Q1372" s="38" t="str">
        <f t="shared" si="144"/>
        <v/>
      </c>
      <c r="R1372" s="37" t="str">
        <f t="shared" si="145"/>
        <v/>
      </c>
      <c r="S1372" s="37" t="str">
        <f t="shared" si="146"/>
        <v/>
      </c>
      <c r="T1372" s="38" t="str">
        <f t="shared" si="147"/>
        <v/>
      </c>
      <c r="U1372" s="37" t="str">
        <f t="shared" si="148"/>
        <v/>
      </c>
    </row>
    <row r="1373" spans="2:21" ht="17.25">
      <c r="B1373" s="156"/>
      <c r="C1373" s="156"/>
      <c r="D1373" s="157"/>
      <c r="E1373" s="155"/>
      <c r="F1373" s="151"/>
      <c r="G1373" s="152"/>
      <c r="H1373" s="153"/>
      <c r="I1373" s="154"/>
      <c r="J1373" s="154"/>
      <c r="K1373" s="30" t="str">
        <f>IF(H1373="","",IF($C$30="간이법","",FPR(H1373,I1373,J1373)))</f>
        <v/>
      </c>
      <c r="L1373" s="30" t="str">
        <f>IF(H1373="","",IF($C$30="상세법",FPV(H1373,K1373),IF(H1373="EI",4,IF(H1373="EO",5.2,IF(H1373="EQ",3.9,IF(H1373="ILF",7.5,IF(H1373="EIF",5.4)))))))</f>
        <v/>
      </c>
      <c r="M1373" s="30" t="str">
        <f t="shared" si="142"/>
        <v/>
      </c>
      <c r="N1373" s="134"/>
      <c r="O1373" s="29"/>
      <c r="P1373" s="37" t="str">
        <f t="shared" si="143"/>
        <v/>
      </c>
      <c r="Q1373" s="38" t="str">
        <f t="shared" si="144"/>
        <v/>
      </c>
      <c r="R1373" s="37" t="str">
        <f t="shared" si="145"/>
        <v/>
      </c>
      <c r="S1373" s="37" t="str">
        <f t="shared" si="146"/>
        <v/>
      </c>
      <c r="T1373" s="38" t="str">
        <f t="shared" si="147"/>
        <v/>
      </c>
      <c r="U1373" s="37" t="str">
        <f t="shared" si="148"/>
        <v/>
      </c>
    </row>
    <row r="1374" spans="2:21" ht="17.25">
      <c r="B1374" s="156"/>
      <c r="C1374" s="156"/>
      <c r="D1374" s="157"/>
      <c r="E1374" s="155"/>
      <c r="F1374" s="151"/>
      <c r="G1374" s="152"/>
      <c r="H1374" s="153"/>
      <c r="I1374" s="154"/>
      <c r="J1374" s="154"/>
      <c r="K1374" s="30" t="str">
        <f>IF(H1374="","",IF($C$30="간이법","",FPR(H1374,I1374,J1374)))</f>
        <v/>
      </c>
      <c r="L1374" s="30" t="str">
        <f>IF(H1374="","",IF($C$30="상세법",FPV(H1374,K1374),IF(H1374="EI",4,IF(H1374="EO",5.2,IF(H1374="EQ",3.9,IF(H1374="ILF",7.5,IF(H1374="EIF",5.4)))))))</f>
        <v/>
      </c>
      <c r="M1374" s="30" t="str">
        <f t="shared" si="142"/>
        <v/>
      </c>
      <c r="N1374" s="134"/>
      <c r="O1374" s="29"/>
      <c r="P1374" s="37" t="str">
        <f t="shared" si="143"/>
        <v/>
      </c>
      <c r="Q1374" s="38" t="str">
        <f t="shared" si="144"/>
        <v/>
      </c>
      <c r="R1374" s="37" t="str">
        <f t="shared" si="145"/>
        <v/>
      </c>
      <c r="S1374" s="37" t="str">
        <f t="shared" si="146"/>
        <v/>
      </c>
      <c r="T1374" s="38" t="str">
        <f t="shared" si="147"/>
        <v/>
      </c>
      <c r="U1374" s="37" t="str">
        <f t="shared" si="148"/>
        <v/>
      </c>
    </row>
    <row r="1375" spans="2:21" ht="17.25">
      <c r="B1375" s="156"/>
      <c r="C1375" s="156"/>
      <c r="D1375" s="157"/>
      <c r="E1375" s="155"/>
      <c r="F1375" s="151"/>
      <c r="G1375" s="152"/>
      <c r="H1375" s="153"/>
      <c r="I1375" s="154"/>
      <c r="J1375" s="154"/>
      <c r="K1375" s="30" t="str">
        <f>IF(H1375="","",IF($C$30="간이법","",FPR(H1375,I1375,J1375)))</f>
        <v/>
      </c>
      <c r="L1375" s="30" t="str">
        <f>IF(H1375="","",IF($C$30="상세법",FPV(H1375,K1375),IF(H1375="EI",4,IF(H1375="EO",5.2,IF(H1375="EQ",3.9,IF(H1375="ILF",7.5,IF(H1375="EIF",5.4)))))))</f>
        <v/>
      </c>
      <c r="M1375" s="30" t="str">
        <f t="shared" si="142"/>
        <v/>
      </c>
      <c r="N1375" s="134"/>
      <c r="O1375" s="29"/>
      <c r="P1375" s="37" t="str">
        <f t="shared" si="143"/>
        <v/>
      </c>
      <c r="Q1375" s="38" t="str">
        <f t="shared" si="144"/>
        <v/>
      </c>
      <c r="R1375" s="37" t="str">
        <f t="shared" si="145"/>
        <v/>
      </c>
      <c r="S1375" s="37" t="str">
        <f t="shared" si="146"/>
        <v/>
      </c>
      <c r="T1375" s="38" t="str">
        <f t="shared" si="147"/>
        <v/>
      </c>
      <c r="U1375" s="37" t="str">
        <f t="shared" si="148"/>
        <v/>
      </c>
    </row>
    <row r="1376" spans="2:21" ht="17.25">
      <c r="B1376" s="156"/>
      <c r="C1376" s="156"/>
      <c r="D1376" s="157"/>
      <c r="E1376" s="155"/>
      <c r="F1376" s="151"/>
      <c r="G1376" s="152"/>
      <c r="H1376" s="153"/>
      <c r="I1376" s="154"/>
      <c r="J1376" s="154"/>
      <c r="K1376" s="30" t="str">
        <f>IF(H1376="","",IF($C$30="간이법","",FPR(H1376,I1376,J1376)))</f>
        <v/>
      </c>
      <c r="L1376" s="30" t="str">
        <f>IF(H1376="","",IF($C$30="상세법",FPV(H1376,K1376),IF(H1376="EI",4,IF(H1376="EO",5.2,IF(H1376="EQ",3.9,IF(H1376="ILF",7.5,IF(H1376="EIF",5.4)))))))</f>
        <v/>
      </c>
      <c r="M1376" s="30" t="str">
        <f t="shared" si="142"/>
        <v/>
      </c>
      <c r="N1376" s="134"/>
      <c r="O1376" s="29"/>
      <c r="P1376" s="37" t="str">
        <f t="shared" si="143"/>
        <v/>
      </c>
      <c r="Q1376" s="38" t="str">
        <f t="shared" si="144"/>
        <v/>
      </c>
      <c r="R1376" s="37" t="str">
        <f t="shared" si="145"/>
        <v/>
      </c>
      <c r="S1376" s="37" t="str">
        <f t="shared" si="146"/>
        <v/>
      </c>
      <c r="T1376" s="38" t="str">
        <f t="shared" si="147"/>
        <v/>
      </c>
      <c r="U1376" s="37" t="str">
        <f t="shared" si="148"/>
        <v/>
      </c>
    </row>
    <row r="1377" spans="2:21" ht="17.25">
      <c r="B1377" s="156"/>
      <c r="C1377" s="156"/>
      <c r="D1377" s="157"/>
      <c r="E1377" s="155"/>
      <c r="F1377" s="151"/>
      <c r="G1377" s="152"/>
      <c r="H1377" s="153"/>
      <c r="I1377" s="154"/>
      <c r="J1377" s="154"/>
      <c r="K1377" s="30" t="str">
        <f>IF(H1377="","",IF($C$30="간이법","",FPR(H1377,I1377,J1377)))</f>
        <v/>
      </c>
      <c r="L1377" s="30" t="str">
        <f>IF(H1377="","",IF($C$30="상세법",FPV(H1377,K1377),IF(H1377="EI",4,IF(H1377="EO",5.2,IF(H1377="EQ",3.9,IF(H1377="ILF",7.5,IF(H1377="EIF",5.4)))))))</f>
        <v/>
      </c>
      <c r="M1377" s="30" t="str">
        <f t="shared" si="142"/>
        <v/>
      </c>
      <c r="N1377" s="134"/>
      <c r="O1377" s="29"/>
      <c r="P1377" s="37" t="str">
        <f t="shared" si="143"/>
        <v/>
      </c>
      <c r="Q1377" s="38" t="str">
        <f t="shared" si="144"/>
        <v/>
      </c>
      <c r="R1377" s="37" t="str">
        <f t="shared" si="145"/>
        <v/>
      </c>
      <c r="S1377" s="37" t="str">
        <f t="shared" si="146"/>
        <v/>
      </c>
      <c r="T1377" s="38" t="str">
        <f t="shared" si="147"/>
        <v/>
      </c>
      <c r="U1377" s="37" t="str">
        <f t="shared" si="148"/>
        <v/>
      </c>
    </row>
    <row r="1378" spans="2:21" ht="17.25">
      <c r="B1378" s="156"/>
      <c r="C1378" s="156"/>
      <c r="D1378" s="157"/>
      <c r="E1378" s="155"/>
      <c r="F1378" s="151"/>
      <c r="G1378" s="152"/>
      <c r="H1378" s="153"/>
      <c r="I1378" s="154"/>
      <c r="J1378" s="154"/>
      <c r="K1378" s="30" t="str">
        <f>IF(H1378="","",IF($C$30="간이법","",FPR(H1378,I1378,J1378)))</f>
        <v/>
      </c>
      <c r="L1378" s="30" t="str">
        <f>IF(H1378="","",IF($C$30="상세법",FPV(H1378,K1378),IF(H1378="EI",4,IF(H1378="EO",5.2,IF(H1378="EQ",3.9,IF(H1378="ILF",7.5,IF(H1378="EIF",5.4)))))))</f>
        <v/>
      </c>
      <c r="M1378" s="30" t="str">
        <f t="shared" si="142"/>
        <v/>
      </c>
      <c r="N1378" s="134"/>
      <c r="O1378" s="29"/>
      <c r="P1378" s="37" t="str">
        <f t="shared" si="143"/>
        <v/>
      </c>
      <c r="Q1378" s="38" t="str">
        <f t="shared" si="144"/>
        <v/>
      </c>
      <c r="R1378" s="37" t="str">
        <f t="shared" si="145"/>
        <v/>
      </c>
      <c r="S1378" s="37" t="str">
        <f t="shared" si="146"/>
        <v/>
      </c>
      <c r="T1378" s="38" t="str">
        <f t="shared" si="147"/>
        <v/>
      </c>
      <c r="U1378" s="37" t="str">
        <f t="shared" si="148"/>
        <v/>
      </c>
    </row>
    <row r="1379" spans="2:21" ht="17.25">
      <c r="B1379" s="156"/>
      <c r="C1379" s="156"/>
      <c r="D1379" s="157"/>
      <c r="E1379" s="155"/>
      <c r="F1379" s="151"/>
      <c r="G1379" s="152"/>
      <c r="H1379" s="153"/>
      <c r="I1379" s="154"/>
      <c r="J1379" s="154"/>
      <c r="K1379" s="30" t="str">
        <f>IF(H1379="","",IF($C$30="간이법","",FPR(H1379,I1379,J1379)))</f>
        <v/>
      </c>
      <c r="L1379" s="30" t="str">
        <f>IF(H1379="","",IF($C$30="상세법",FPV(H1379,K1379),IF(H1379="EI",4,IF(H1379="EO",5.2,IF(H1379="EQ",3.9,IF(H1379="ILF",7.5,IF(H1379="EIF",5.4)))))))</f>
        <v/>
      </c>
      <c r="M1379" s="30" t="str">
        <f t="shared" si="142"/>
        <v/>
      </c>
      <c r="N1379" s="134"/>
      <c r="O1379" s="29"/>
      <c r="P1379" s="37" t="str">
        <f t="shared" si="143"/>
        <v/>
      </c>
      <c r="Q1379" s="38" t="str">
        <f t="shared" si="144"/>
        <v/>
      </c>
      <c r="R1379" s="37" t="str">
        <f t="shared" si="145"/>
        <v/>
      </c>
      <c r="S1379" s="37" t="str">
        <f t="shared" si="146"/>
        <v/>
      </c>
      <c r="T1379" s="38" t="str">
        <f t="shared" si="147"/>
        <v/>
      </c>
      <c r="U1379" s="37" t="str">
        <f t="shared" si="148"/>
        <v/>
      </c>
    </row>
    <row r="1380" spans="2:21" ht="17.25">
      <c r="B1380" s="156"/>
      <c r="C1380" s="156"/>
      <c r="D1380" s="157"/>
      <c r="E1380" s="155"/>
      <c r="F1380" s="151"/>
      <c r="G1380" s="152"/>
      <c r="H1380" s="153"/>
      <c r="I1380" s="154"/>
      <c r="J1380" s="154"/>
      <c r="K1380" s="30" t="str">
        <f>IF(H1380="","",IF($C$30="간이법","",FPR(H1380,I1380,J1380)))</f>
        <v/>
      </c>
      <c r="L1380" s="30" t="str">
        <f>IF(H1380="","",IF($C$30="상세법",FPV(H1380,K1380),IF(H1380="EI",4,IF(H1380="EO",5.2,IF(H1380="EQ",3.9,IF(H1380="ILF",7.5,IF(H1380="EIF",5.4)))))))</f>
        <v/>
      </c>
      <c r="M1380" s="30" t="str">
        <f t="shared" si="142"/>
        <v/>
      </c>
      <c r="N1380" s="134"/>
      <c r="O1380" s="29"/>
      <c r="P1380" s="37" t="str">
        <f t="shared" si="143"/>
        <v/>
      </c>
      <c r="Q1380" s="38" t="str">
        <f t="shared" si="144"/>
        <v/>
      </c>
      <c r="R1380" s="37" t="str">
        <f t="shared" si="145"/>
        <v/>
      </c>
      <c r="S1380" s="37" t="str">
        <f t="shared" si="146"/>
        <v/>
      </c>
      <c r="T1380" s="38" t="str">
        <f t="shared" si="147"/>
        <v/>
      </c>
      <c r="U1380" s="37" t="str">
        <f t="shared" si="148"/>
        <v/>
      </c>
    </row>
    <row r="1381" spans="2:21" ht="17.25">
      <c r="B1381" s="156"/>
      <c r="C1381" s="156"/>
      <c r="D1381" s="157"/>
      <c r="E1381" s="155"/>
      <c r="F1381" s="151"/>
      <c r="G1381" s="152"/>
      <c r="H1381" s="153"/>
      <c r="I1381" s="154"/>
      <c r="J1381" s="154"/>
      <c r="K1381" s="30" t="str">
        <f>IF(H1381="","",IF($C$30="간이법","",FPR(H1381,I1381,J1381)))</f>
        <v/>
      </c>
      <c r="L1381" s="30" t="str">
        <f>IF(H1381="","",IF($C$30="상세법",FPV(H1381,K1381),IF(H1381="EI",4,IF(H1381="EO",5.2,IF(H1381="EQ",3.9,IF(H1381="ILF",7.5,IF(H1381="EIF",5.4)))))))</f>
        <v/>
      </c>
      <c r="M1381" s="30" t="str">
        <f t="shared" si="142"/>
        <v/>
      </c>
      <c r="N1381" s="134"/>
      <c r="O1381" s="29"/>
      <c r="P1381" s="37" t="str">
        <f t="shared" si="143"/>
        <v/>
      </c>
      <c r="Q1381" s="38" t="str">
        <f t="shared" si="144"/>
        <v/>
      </c>
      <c r="R1381" s="37" t="str">
        <f t="shared" si="145"/>
        <v/>
      </c>
      <c r="S1381" s="37" t="str">
        <f t="shared" si="146"/>
        <v/>
      </c>
      <c r="T1381" s="38" t="str">
        <f t="shared" si="147"/>
        <v/>
      </c>
      <c r="U1381" s="37" t="str">
        <f t="shared" si="148"/>
        <v/>
      </c>
    </row>
    <row r="1382" spans="2:21" ht="17.25">
      <c r="B1382" s="156"/>
      <c r="C1382" s="156"/>
      <c r="D1382" s="157"/>
      <c r="E1382" s="155"/>
      <c r="F1382" s="151"/>
      <c r="G1382" s="152"/>
      <c r="H1382" s="153"/>
      <c r="I1382" s="154"/>
      <c r="J1382" s="154"/>
      <c r="K1382" s="30" t="str">
        <f>IF(H1382="","",IF($C$30="간이법","",FPR(H1382,I1382,J1382)))</f>
        <v/>
      </c>
      <c r="L1382" s="30" t="str">
        <f>IF(H1382="","",IF($C$30="상세법",FPV(H1382,K1382),IF(H1382="EI",4,IF(H1382="EO",5.2,IF(H1382="EQ",3.9,IF(H1382="ILF",7.5,IF(H1382="EIF",5.4)))))))</f>
        <v/>
      </c>
      <c r="M1382" s="30" t="str">
        <f t="shared" si="142"/>
        <v/>
      </c>
      <c r="N1382" s="134"/>
      <c r="O1382" s="29"/>
      <c r="P1382" s="37" t="str">
        <f t="shared" si="143"/>
        <v/>
      </c>
      <c r="Q1382" s="38" t="str">
        <f t="shared" si="144"/>
        <v/>
      </c>
      <c r="R1382" s="37" t="str">
        <f t="shared" si="145"/>
        <v/>
      </c>
      <c r="S1382" s="37" t="str">
        <f t="shared" si="146"/>
        <v/>
      </c>
      <c r="T1382" s="38" t="str">
        <f t="shared" si="147"/>
        <v/>
      </c>
      <c r="U1382" s="37" t="str">
        <f t="shared" si="148"/>
        <v/>
      </c>
    </row>
    <row r="1383" spans="2:21" ht="17.25">
      <c r="B1383" s="156"/>
      <c r="C1383" s="156"/>
      <c r="D1383" s="157"/>
      <c r="E1383" s="155"/>
      <c r="F1383" s="151"/>
      <c r="G1383" s="152"/>
      <c r="H1383" s="153"/>
      <c r="I1383" s="154"/>
      <c r="J1383" s="154"/>
      <c r="K1383" s="30" t="str">
        <f>IF(H1383="","",IF($C$30="간이법","",FPR(H1383,I1383,J1383)))</f>
        <v/>
      </c>
      <c r="L1383" s="30" t="str">
        <f>IF(H1383="","",IF($C$30="상세법",FPV(H1383,K1383),IF(H1383="EI",4,IF(H1383="EO",5.2,IF(H1383="EQ",3.9,IF(H1383="ILF",7.5,IF(H1383="EIF",5.4)))))))</f>
        <v/>
      </c>
      <c r="M1383" s="30" t="str">
        <f t="shared" si="142"/>
        <v/>
      </c>
      <c r="N1383" s="134"/>
      <c r="O1383" s="29"/>
      <c r="P1383" s="37" t="str">
        <f t="shared" si="143"/>
        <v/>
      </c>
      <c r="Q1383" s="38" t="str">
        <f t="shared" si="144"/>
        <v/>
      </c>
      <c r="R1383" s="37" t="str">
        <f t="shared" si="145"/>
        <v/>
      </c>
      <c r="S1383" s="37" t="str">
        <f t="shared" si="146"/>
        <v/>
      </c>
      <c r="T1383" s="38" t="str">
        <f t="shared" si="147"/>
        <v/>
      </c>
      <c r="U1383" s="37" t="str">
        <f t="shared" si="148"/>
        <v/>
      </c>
    </row>
    <row r="1384" spans="2:21" ht="17.25">
      <c r="B1384" s="156"/>
      <c r="C1384" s="156"/>
      <c r="D1384" s="157"/>
      <c r="E1384" s="155"/>
      <c r="F1384" s="151"/>
      <c r="G1384" s="152"/>
      <c r="H1384" s="153"/>
      <c r="I1384" s="154"/>
      <c r="J1384" s="154"/>
      <c r="K1384" s="30" t="str">
        <f>IF(H1384="","",IF($C$30="간이법","",FPR(H1384,I1384,J1384)))</f>
        <v/>
      </c>
      <c r="L1384" s="30" t="str">
        <f>IF(H1384="","",IF($C$30="상세법",FPV(H1384,K1384),IF(H1384="EI",4,IF(H1384="EO",5.2,IF(H1384="EQ",3.9,IF(H1384="ILF",7.5,IF(H1384="EIF",5.4)))))))</f>
        <v/>
      </c>
      <c r="M1384" s="30" t="str">
        <f t="shared" si="142"/>
        <v/>
      </c>
      <c r="N1384" s="134"/>
      <c r="O1384" s="29"/>
      <c r="P1384" s="37" t="str">
        <f t="shared" si="143"/>
        <v/>
      </c>
      <c r="Q1384" s="38" t="str">
        <f t="shared" si="144"/>
        <v/>
      </c>
      <c r="R1384" s="37" t="str">
        <f t="shared" si="145"/>
        <v/>
      </c>
      <c r="S1384" s="37" t="str">
        <f t="shared" si="146"/>
        <v/>
      </c>
      <c r="T1384" s="38" t="str">
        <f t="shared" si="147"/>
        <v/>
      </c>
      <c r="U1384" s="37" t="str">
        <f t="shared" si="148"/>
        <v/>
      </c>
    </row>
    <row r="1385" spans="2:21" ht="17.25">
      <c r="B1385" s="156"/>
      <c r="C1385" s="156"/>
      <c r="D1385" s="157"/>
      <c r="E1385" s="155"/>
      <c r="F1385" s="151"/>
      <c r="G1385" s="152"/>
      <c r="H1385" s="153"/>
      <c r="I1385" s="154"/>
      <c r="J1385" s="154"/>
      <c r="K1385" s="30" t="str">
        <f>IF(H1385="","",IF($C$30="간이법","",FPR(H1385,I1385,J1385)))</f>
        <v/>
      </c>
      <c r="L1385" s="30" t="str">
        <f>IF(H1385="","",IF($C$30="상세법",FPV(H1385,K1385),IF(H1385="EI",4,IF(H1385="EO",5.2,IF(H1385="EQ",3.9,IF(H1385="ILF",7.5,IF(H1385="EIF",5.4)))))))</f>
        <v/>
      </c>
      <c r="M1385" s="30" t="str">
        <f t="shared" si="142"/>
        <v/>
      </c>
      <c r="N1385" s="134"/>
      <c r="O1385" s="29"/>
      <c r="P1385" s="37" t="str">
        <f t="shared" si="143"/>
        <v/>
      </c>
      <c r="Q1385" s="38" t="str">
        <f t="shared" si="144"/>
        <v/>
      </c>
      <c r="R1385" s="37" t="str">
        <f t="shared" si="145"/>
        <v/>
      </c>
      <c r="S1385" s="37" t="str">
        <f t="shared" si="146"/>
        <v/>
      </c>
      <c r="T1385" s="38" t="str">
        <f t="shared" si="147"/>
        <v/>
      </c>
      <c r="U1385" s="37" t="str">
        <f t="shared" si="148"/>
        <v/>
      </c>
    </row>
    <row r="1386" spans="2:21" ht="17.25">
      <c r="B1386" s="156"/>
      <c r="C1386" s="156"/>
      <c r="D1386" s="157"/>
      <c r="E1386" s="155"/>
      <c r="F1386" s="151"/>
      <c r="G1386" s="152"/>
      <c r="H1386" s="153"/>
      <c r="I1386" s="154"/>
      <c r="J1386" s="154"/>
      <c r="K1386" s="30" t="str">
        <f>IF(H1386="","",IF($C$30="간이법","",FPR(H1386,I1386,J1386)))</f>
        <v/>
      </c>
      <c r="L1386" s="30" t="str">
        <f>IF(H1386="","",IF($C$30="상세법",FPV(H1386,K1386),IF(H1386="EI",4,IF(H1386="EO",5.2,IF(H1386="EQ",3.9,IF(H1386="ILF",7.5,IF(H1386="EIF",5.4)))))))</f>
        <v/>
      </c>
      <c r="M1386" s="30" t="str">
        <f t="shared" si="142"/>
        <v/>
      </c>
      <c r="N1386" s="134"/>
      <c r="O1386" s="29"/>
      <c r="P1386" s="37" t="str">
        <f t="shared" si="143"/>
        <v/>
      </c>
      <c r="Q1386" s="38" t="str">
        <f t="shared" si="144"/>
        <v/>
      </c>
      <c r="R1386" s="37" t="str">
        <f t="shared" si="145"/>
        <v/>
      </c>
      <c r="S1386" s="37" t="str">
        <f t="shared" si="146"/>
        <v/>
      </c>
      <c r="T1386" s="38" t="str">
        <f t="shared" si="147"/>
        <v/>
      </c>
      <c r="U1386" s="37" t="str">
        <f t="shared" si="148"/>
        <v/>
      </c>
    </row>
    <row r="1387" spans="2:21" ht="17.25">
      <c r="B1387" s="156"/>
      <c r="C1387" s="156"/>
      <c r="D1387" s="157"/>
      <c r="E1387" s="155"/>
      <c r="F1387" s="151"/>
      <c r="G1387" s="152"/>
      <c r="H1387" s="153"/>
      <c r="I1387" s="154"/>
      <c r="J1387" s="154"/>
      <c r="K1387" s="30" t="str">
        <f>IF(H1387="","",IF($C$30="간이법","",FPR(H1387,I1387,J1387)))</f>
        <v/>
      </c>
      <c r="L1387" s="30" t="str">
        <f>IF(H1387="","",IF($C$30="상세법",FPV(H1387,K1387),IF(H1387="EI",4,IF(H1387="EO",5.2,IF(H1387="EQ",3.9,IF(H1387="ILF",7.5,IF(H1387="EIF",5.4)))))))</f>
        <v/>
      </c>
      <c r="M1387" s="30" t="str">
        <f t="shared" si="142"/>
        <v/>
      </c>
      <c r="N1387" s="134"/>
      <c r="O1387" s="29"/>
      <c r="P1387" s="37" t="str">
        <f t="shared" si="143"/>
        <v/>
      </c>
      <c r="Q1387" s="38" t="str">
        <f t="shared" si="144"/>
        <v/>
      </c>
      <c r="R1387" s="37" t="str">
        <f t="shared" si="145"/>
        <v/>
      </c>
      <c r="S1387" s="37" t="str">
        <f t="shared" si="146"/>
        <v/>
      </c>
      <c r="T1387" s="38" t="str">
        <f t="shared" si="147"/>
        <v/>
      </c>
      <c r="U1387" s="37" t="str">
        <f t="shared" si="148"/>
        <v/>
      </c>
    </row>
    <row r="1388" spans="2:21" ht="17.25">
      <c r="B1388" s="156"/>
      <c r="C1388" s="156"/>
      <c r="D1388" s="157"/>
      <c r="E1388" s="155"/>
      <c r="F1388" s="151"/>
      <c r="G1388" s="152"/>
      <c r="H1388" s="153"/>
      <c r="I1388" s="154"/>
      <c r="J1388" s="154"/>
      <c r="K1388" s="30" t="str">
        <f>IF(H1388="","",IF($C$30="간이법","",FPR(H1388,I1388,J1388)))</f>
        <v/>
      </c>
      <c r="L1388" s="30" t="str">
        <f>IF(H1388="","",IF($C$30="상세법",FPV(H1388,K1388),IF(H1388="EI",4,IF(H1388="EO",5.2,IF(H1388="EQ",3.9,IF(H1388="ILF",7.5,IF(H1388="EIF",5.4)))))))</f>
        <v/>
      </c>
      <c r="M1388" s="30" t="str">
        <f t="shared" si="142"/>
        <v/>
      </c>
      <c r="N1388" s="134"/>
      <c r="O1388" s="29"/>
      <c r="P1388" s="37" t="str">
        <f t="shared" si="143"/>
        <v/>
      </c>
      <c r="Q1388" s="38" t="str">
        <f t="shared" si="144"/>
        <v/>
      </c>
      <c r="R1388" s="37" t="str">
        <f t="shared" si="145"/>
        <v/>
      </c>
      <c r="S1388" s="37" t="str">
        <f t="shared" si="146"/>
        <v/>
      </c>
      <c r="T1388" s="38" t="str">
        <f t="shared" si="147"/>
        <v/>
      </c>
      <c r="U1388" s="37" t="str">
        <f t="shared" si="148"/>
        <v/>
      </c>
    </row>
    <row r="1389" spans="2:21" ht="17.25">
      <c r="B1389" s="156"/>
      <c r="C1389" s="156"/>
      <c r="D1389" s="157"/>
      <c r="E1389" s="155"/>
      <c r="F1389" s="151"/>
      <c r="G1389" s="152"/>
      <c r="H1389" s="153"/>
      <c r="I1389" s="154"/>
      <c r="J1389" s="154"/>
      <c r="K1389" s="30" t="str">
        <f>IF(H1389="","",IF($C$30="간이법","",FPR(H1389,I1389,J1389)))</f>
        <v/>
      </c>
      <c r="L1389" s="30" t="str">
        <f>IF(H1389="","",IF($C$30="상세법",FPV(H1389,K1389),IF(H1389="EI",4,IF(H1389="EO",5.2,IF(H1389="EQ",3.9,IF(H1389="ILF",7.5,IF(H1389="EIF",5.4)))))))</f>
        <v/>
      </c>
      <c r="M1389" s="30" t="str">
        <f t="shared" si="142"/>
        <v/>
      </c>
      <c r="N1389" s="134"/>
      <c r="O1389" s="29"/>
      <c r="P1389" s="37" t="str">
        <f t="shared" si="143"/>
        <v/>
      </c>
      <c r="Q1389" s="38" t="str">
        <f t="shared" si="144"/>
        <v/>
      </c>
      <c r="R1389" s="37" t="str">
        <f t="shared" si="145"/>
        <v/>
      </c>
      <c r="S1389" s="37" t="str">
        <f t="shared" si="146"/>
        <v/>
      </c>
      <c r="T1389" s="38" t="str">
        <f t="shared" si="147"/>
        <v/>
      </c>
      <c r="U1389" s="37" t="str">
        <f t="shared" si="148"/>
        <v/>
      </c>
    </row>
    <row r="1390" spans="2:21" ht="17.25">
      <c r="B1390" s="156"/>
      <c r="C1390" s="156"/>
      <c r="D1390" s="157"/>
      <c r="E1390" s="155"/>
      <c r="F1390" s="151"/>
      <c r="G1390" s="152"/>
      <c r="H1390" s="153"/>
      <c r="I1390" s="154"/>
      <c r="J1390" s="154"/>
      <c r="K1390" s="30" t="str">
        <f>IF(H1390="","",IF($C$30="간이법","",FPR(H1390,I1390,J1390)))</f>
        <v/>
      </c>
      <c r="L1390" s="30" t="str">
        <f>IF(H1390="","",IF($C$30="상세법",FPV(H1390,K1390),IF(H1390="EI",4,IF(H1390="EO",5.2,IF(H1390="EQ",3.9,IF(H1390="ILF",7.5,IF(H1390="EIF",5.4)))))))</f>
        <v/>
      </c>
      <c r="M1390" s="30" t="str">
        <f t="shared" si="142"/>
        <v/>
      </c>
      <c r="N1390" s="134"/>
      <c r="O1390" s="29"/>
      <c r="P1390" s="37" t="str">
        <f t="shared" si="143"/>
        <v/>
      </c>
      <c r="Q1390" s="38" t="str">
        <f t="shared" si="144"/>
        <v/>
      </c>
      <c r="R1390" s="37" t="str">
        <f t="shared" si="145"/>
        <v/>
      </c>
      <c r="S1390" s="37" t="str">
        <f t="shared" si="146"/>
        <v/>
      </c>
      <c r="T1390" s="38" t="str">
        <f t="shared" si="147"/>
        <v/>
      </c>
      <c r="U1390" s="37" t="str">
        <f t="shared" si="148"/>
        <v/>
      </c>
    </row>
    <row r="1391" spans="2:21" ht="17.25">
      <c r="B1391" s="156"/>
      <c r="C1391" s="156"/>
      <c r="D1391" s="157"/>
      <c r="E1391" s="155"/>
      <c r="F1391" s="151"/>
      <c r="G1391" s="152"/>
      <c r="H1391" s="153"/>
      <c r="I1391" s="154"/>
      <c r="J1391" s="154"/>
      <c r="K1391" s="30" t="str">
        <f>IF(H1391="","",IF($C$30="간이법","",FPR(H1391,I1391,J1391)))</f>
        <v/>
      </c>
      <c r="L1391" s="30" t="str">
        <f>IF(H1391="","",IF($C$30="상세법",FPV(H1391,K1391),IF(H1391="EI",4,IF(H1391="EO",5.2,IF(H1391="EQ",3.9,IF(H1391="ILF",7.5,IF(H1391="EIF",5.4)))))))</f>
        <v/>
      </c>
      <c r="M1391" s="30" t="str">
        <f t="shared" si="142"/>
        <v/>
      </c>
      <c r="N1391" s="134"/>
      <c r="O1391" s="29"/>
      <c r="P1391" s="37" t="str">
        <f t="shared" si="143"/>
        <v/>
      </c>
      <c r="Q1391" s="38" t="str">
        <f t="shared" si="144"/>
        <v/>
      </c>
      <c r="R1391" s="37" t="str">
        <f t="shared" si="145"/>
        <v/>
      </c>
      <c r="S1391" s="37" t="str">
        <f t="shared" si="146"/>
        <v/>
      </c>
      <c r="T1391" s="38" t="str">
        <f t="shared" si="147"/>
        <v/>
      </c>
      <c r="U1391" s="37" t="str">
        <f t="shared" si="148"/>
        <v/>
      </c>
    </row>
    <row r="1392" spans="2:21" ht="17.25">
      <c r="B1392" s="156"/>
      <c r="C1392" s="156"/>
      <c r="D1392" s="157"/>
      <c r="E1392" s="155"/>
      <c r="F1392" s="151"/>
      <c r="G1392" s="152"/>
      <c r="H1392" s="153"/>
      <c r="I1392" s="154"/>
      <c r="J1392" s="154"/>
      <c r="K1392" s="30" t="str">
        <f>IF(H1392="","",IF($C$30="간이법","",FPR(H1392,I1392,J1392)))</f>
        <v/>
      </c>
      <c r="L1392" s="30" t="str">
        <f>IF(H1392="","",IF($C$30="상세법",FPV(H1392,K1392),IF(H1392="EI",4,IF(H1392="EO",5.2,IF(H1392="EQ",3.9,IF(H1392="ILF",7.5,IF(H1392="EIF",5.4)))))))</f>
        <v/>
      </c>
      <c r="M1392" s="30" t="str">
        <f t="shared" si="142"/>
        <v/>
      </c>
      <c r="N1392" s="134"/>
      <c r="O1392" s="29"/>
      <c r="P1392" s="37" t="str">
        <f t="shared" si="143"/>
        <v/>
      </c>
      <c r="Q1392" s="38" t="str">
        <f t="shared" si="144"/>
        <v/>
      </c>
      <c r="R1392" s="37" t="str">
        <f t="shared" si="145"/>
        <v/>
      </c>
      <c r="S1392" s="37" t="str">
        <f t="shared" si="146"/>
        <v/>
      </c>
      <c r="T1392" s="38" t="str">
        <f t="shared" si="147"/>
        <v/>
      </c>
      <c r="U1392" s="37" t="str">
        <f t="shared" si="148"/>
        <v/>
      </c>
    </row>
    <row r="1393" spans="2:21" ht="17.25">
      <c r="B1393" s="156"/>
      <c r="C1393" s="156"/>
      <c r="D1393" s="157"/>
      <c r="E1393" s="155"/>
      <c r="F1393" s="151"/>
      <c r="G1393" s="152"/>
      <c r="H1393" s="153"/>
      <c r="I1393" s="154"/>
      <c r="J1393" s="154"/>
      <c r="K1393" s="30" t="str">
        <f>IF(H1393="","",IF($C$30="간이법","",FPR(H1393,I1393,J1393)))</f>
        <v/>
      </c>
      <c r="L1393" s="30" t="str">
        <f>IF(H1393="","",IF($C$30="상세법",FPV(H1393,K1393),IF(H1393="EI",4,IF(H1393="EO",5.2,IF(H1393="EQ",3.9,IF(H1393="ILF",7.5,IF(H1393="EIF",5.4)))))))</f>
        <v/>
      </c>
      <c r="M1393" s="30" t="str">
        <f t="shared" si="142"/>
        <v/>
      </c>
      <c r="N1393" s="134"/>
      <c r="O1393" s="29"/>
      <c r="P1393" s="37" t="str">
        <f t="shared" si="143"/>
        <v/>
      </c>
      <c r="Q1393" s="38" t="str">
        <f t="shared" si="144"/>
        <v/>
      </c>
      <c r="R1393" s="37" t="str">
        <f t="shared" si="145"/>
        <v/>
      </c>
      <c r="S1393" s="37" t="str">
        <f t="shared" si="146"/>
        <v/>
      </c>
      <c r="T1393" s="38" t="str">
        <f t="shared" si="147"/>
        <v/>
      </c>
      <c r="U1393" s="37" t="str">
        <f t="shared" si="148"/>
        <v/>
      </c>
    </row>
    <row r="1394" spans="2:21" ht="17.25">
      <c r="B1394" s="156"/>
      <c r="C1394" s="156"/>
      <c r="D1394" s="157"/>
      <c r="E1394" s="155"/>
      <c r="F1394" s="151"/>
      <c r="G1394" s="152"/>
      <c r="H1394" s="153"/>
      <c r="I1394" s="154"/>
      <c r="J1394" s="154"/>
      <c r="K1394" s="30" t="str">
        <f>IF(H1394="","",IF($C$30="간이법","",FPR(H1394,I1394,J1394)))</f>
        <v/>
      </c>
      <c r="L1394" s="30" t="str">
        <f>IF(H1394="","",IF($C$30="상세법",FPV(H1394,K1394),IF(H1394="EI",4,IF(H1394="EO",5.2,IF(H1394="EQ",3.9,IF(H1394="ILF",7.5,IF(H1394="EIF",5.4)))))))</f>
        <v/>
      </c>
      <c r="M1394" s="30" t="str">
        <f t="shared" si="142"/>
        <v/>
      </c>
      <c r="N1394" s="134"/>
      <c r="O1394" s="29"/>
      <c r="P1394" s="37" t="str">
        <f t="shared" si="143"/>
        <v/>
      </c>
      <c r="Q1394" s="38" t="str">
        <f t="shared" si="144"/>
        <v/>
      </c>
      <c r="R1394" s="37" t="str">
        <f t="shared" si="145"/>
        <v/>
      </c>
      <c r="S1394" s="37" t="str">
        <f t="shared" si="146"/>
        <v/>
      </c>
      <c r="T1394" s="38" t="str">
        <f t="shared" si="147"/>
        <v/>
      </c>
      <c r="U1394" s="37" t="str">
        <f t="shared" si="148"/>
        <v/>
      </c>
    </row>
    <row r="1395" spans="2:21" ht="17.25">
      <c r="B1395" s="156"/>
      <c r="C1395" s="156"/>
      <c r="D1395" s="157"/>
      <c r="E1395" s="155"/>
      <c r="F1395" s="151"/>
      <c r="G1395" s="152"/>
      <c r="H1395" s="153"/>
      <c r="I1395" s="154"/>
      <c r="J1395" s="154"/>
      <c r="K1395" s="30" t="str">
        <f>IF(H1395="","",IF($C$30="간이법","",FPR(H1395,I1395,J1395)))</f>
        <v/>
      </c>
      <c r="L1395" s="30" t="str">
        <f>IF(H1395="","",IF($C$30="상세법",FPV(H1395,K1395),IF(H1395="EI",4,IF(H1395="EO",5.2,IF(H1395="EQ",3.9,IF(H1395="ILF",7.5,IF(H1395="EIF",5.4)))))))</f>
        <v/>
      </c>
      <c r="M1395" s="30" t="str">
        <f t="shared" si="142"/>
        <v/>
      </c>
      <c r="N1395" s="134"/>
      <c r="O1395" s="29"/>
      <c r="P1395" s="37" t="str">
        <f t="shared" si="143"/>
        <v/>
      </c>
      <c r="Q1395" s="38" t="str">
        <f t="shared" si="144"/>
        <v/>
      </c>
      <c r="R1395" s="37" t="str">
        <f t="shared" si="145"/>
        <v/>
      </c>
      <c r="S1395" s="37" t="str">
        <f t="shared" si="146"/>
        <v/>
      </c>
      <c r="T1395" s="38" t="str">
        <f t="shared" si="147"/>
        <v/>
      </c>
      <c r="U1395" s="37" t="str">
        <f t="shared" si="148"/>
        <v/>
      </c>
    </row>
    <row r="1396" spans="2:21" ht="17.25">
      <c r="B1396" s="156"/>
      <c r="C1396" s="156"/>
      <c r="D1396" s="157"/>
      <c r="E1396" s="155"/>
      <c r="F1396" s="151"/>
      <c r="G1396" s="152"/>
      <c r="H1396" s="153"/>
      <c r="I1396" s="154"/>
      <c r="J1396" s="154"/>
      <c r="K1396" s="30" t="str">
        <f>IF(H1396="","",IF($C$30="간이법","",FPR(H1396,I1396,J1396)))</f>
        <v/>
      </c>
      <c r="L1396" s="30" t="str">
        <f>IF(H1396="","",IF($C$30="상세법",FPV(H1396,K1396),IF(H1396="EI",4,IF(H1396="EO",5.2,IF(H1396="EQ",3.9,IF(H1396="ILF",7.5,IF(H1396="EIF",5.4)))))))</f>
        <v/>
      </c>
      <c r="M1396" s="30" t="str">
        <f t="shared" si="142"/>
        <v/>
      </c>
      <c r="N1396" s="134"/>
      <c r="O1396" s="29"/>
      <c r="P1396" s="37" t="str">
        <f t="shared" si="143"/>
        <v/>
      </c>
      <c r="Q1396" s="38" t="str">
        <f t="shared" si="144"/>
        <v/>
      </c>
      <c r="R1396" s="37" t="str">
        <f t="shared" si="145"/>
        <v/>
      </c>
      <c r="S1396" s="37" t="str">
        <f t="shared" si="146"/>
        <v/>
      </c>
      <c r="T1396" s="38" t="str">
        <f t="shared" si="147"/>
        <v/>
      </c>
      <c r="U1396" s="37" t="str">
        <f t="shared" si="148"/>
        <v/>
      </c>
    </row>
    <row r="1397" spans="2:21" ht="17.25">
      <c r="B1397" s="156"/>
      <c r="C1397" s="156"/>
      <c r="D1397" s="157"/>
      <c r="E1397" s="155"/>
      <c r="F1397" s="151"/>
      <c r="G1397" s="152"/>
      <c r="H1397" s="153"/>
      <c r="I1397" s="154"/>
      <c r="J1397" s="154"/>
      <c r="K1397" s="30" t="str">
        <f>IF(H1397="","",IF($C$30="간이법","",FPR(H1397,I1397,J1397)))</f>
        <v/>
      </c>
      <c r="L1397" s="30" t="str">
        <f>IF(H1397="","",IF($C$30="상세법",FPV(H1397,K1397),IF(H1397="EI",4,IF(H1397="EO",5.2,IF(H1397="EQ",3.9,IF(H1397="ILF",7.5,IF(H1397="EIF",5.4)))))))</f>
        <v/>
      </c>
      <c r="M1397" s="30" t="str">
        <f t="shared" si="142"/>
        <v/>
      </c>
      <c r="N1397" s="134"/>
      <c r="O1397" s="29"/>
      <c r="P1397" s="37" t="str">
        <f t="shared" si="143"/>
        <v/>
      </c>
      <c r="Q1397" s="38" t="str">
        <f t="shared" si="144"/>
        <v/>
      </c>
      <c r="R1397" s="37" t="str">
        <f t="shared" si="145"/>
        <v/>
      </c>
      <c r="S1397" s="37" t="str">
        <f t="shared" si="146"/>
        <v/>
      </c>
      <c r="T1397" s="38" t="str">
        <f t="shared" si="147"/>
        <v/>
      </c>
      <c r="U1397" s="37" t="str">
        <f t="shared" si="148"/>
        <v/>
      </c>
    </row>
    <row r="1398" spans="2:21" ht="17.25">
      <c r="B1398" s="156"/>
      <c r="C1398" s="156"/>
      <c r="D1398" s="157"/>
      <c r="E1398" s="155"/>
      <c r="F1398" s="151"/>
      <c r="G1398" s="152"/>
      <c r="H1398" s="153"/>
      <c r="I1398" s="154"/>
      <c r="J1398" s="154"/>
      <c r="K1398" s="30" t="str">
        <f>IF(H1398="","",IF($C$30="간이법","",FPR(H1398,I1398,J1398)))</f>
        <v/>
      </c>
      <c r="L1398" s="30" t="str">
        <f>IF(H1398="","",IF($C$30="상세법",FPV(H1398,K1398),IF(H1398="EI",4,IF(H1398="EO",5.2,IF(H1398="EQ",3.9,IF(H1398="ILF",7.5,IF(H1398="EIF",5.4)))))))</f>
        <v/>
      </c>
      <c r="M1398" s="30" t="str">
        <f t="shared" si="142"/>
        <v/>
      </c>
      <c r="N1398" s="134"/>
      <c r="O1398" s="29"/>
      <c r="P1398" s="37" t="str">
        <f t="shared" si="143"/>
        <v/>
      </c>
      <c r="Q1398" s="38" t="str">
        <f t="shared" si="144"/>
        <v/>
      </c>
      <c r="R1398" s="37" t="str">
        <f t="shared" si="145"/>
        <v/>
      </c>
      <c r="S1398" s="37" t="str">
        <f t="shared" si="146"/>
        <v/>
      </c>
      <c r="T1398" s="38" t="str">
        <f t="shared" si="147"/>
        <v/>
      </c>
      <c r="U1398" s="37" t="str">
        <f t="shared" si="148"/>
        <v/>
      </c>
    </row>
    <row r="1399" spans="2:21" ht="17.25">
      <c r="B1399" s="156"/>
      <c r="C1399" s="156"/>
      <c r="D1399" s="157"/>
      <c r="E1399" s="155"/>
      <c r="F1399" s="151"/>
      <c r="G1399" s="152"/>
      <c r="H1399" s="153"/>
      <c r="I1399" s="154"/>
      <c r="J1399" s="154"/>
      <c r="K1399" s="30" t="str">
        <f>IF(H1399="","",IF($C$30="간이법","",FPR(H1399,I1399,J1399)))</f>
        <v/>
      </c>
      <c r="L1399" s="30" t="str">
        <f>IF(H1399="","",IF($C$30="상세법",FPV(H1399,K1399),IF(H1399="EI",4,IF(H1399="EO",5.2,IF(H1399="EQ",3.9,IF(H1399="ILF",7.5,IF(H1399="EIF",5.4)))))))</f>
        <v/>
      </c>
      <c r="M1399" s="30" t="str">
        <f t="shared" si="142"/>
        <v/>
      </c>
      <c r="N1399" s="134"/>
      <c r="O1399" s="29"/>
      <c r="P1399" s="37" t="str">
        <f t="shared" si="143"/>
        <v/>
      </c>
      <c r="Q1399" s="38" t="str">
        <f t="shared" si="144"/>
        <v/>
      </c>
      <c r="R1399" s="37" t="str">
        <f t="shared" si="145"/>
        <v/>
      </c>
      <c r="S1399" s="37" t="str">
        <f t="shared" si="146"/>
        <v/>
      </c>
      <c r="T1399" s="38" t="str">
        <f t="shared" si="147"/>
        <v/>
      </c>
      <c r="U1399" s="37" t="str">
        <f t="shared" si="148"/>
        <v/>
      </c>
    </row>
    <row r="1400" spans="2:21" ht="17.25">
      <c r="B1400" s="156"/>
      <c r="C1400" s="156"/>
      <c r="D1400" s="157"/>
      <c r="E1400" s="155"/>
      <c r="F1400" s="151"/>
      <c r="G1400" s="152"/>
      <c r="H1400" s="153"/>
      <c r="I1400" s="154"/>
      <c r="J1400" s="154"/>
      <c r="K1400" s="30" t="str">
        <f>IF(H1400="","",IF($C$30="간이법","",FPR(H1400,I1400,J1400)))</f>
        <v/>
      </c>
      <c r="L1400" s="30" t="str">
        <f>IF(H1400="","",IF($C$30="상세법",FPV(H1400,K1400),IF(H1400="EI",4,IF(H1400="EO",5.2,IF(H1400="EQ",3.9,IF(H1400="ILF",7.5,IF(H1400="EIF",5.4)))))))</f>
        <v/>
      </c>
      <c r="M1400" s="30" t="str">
        <f t="shared" si="142"/>
        <v/>
      </c>
      <c r="N1400" s="134"/>
      <c r="O1400" s="29"/>
      <c r="P1400" s="37" t="str">
        <f t="shared" si="143"/>
        <v/>
      </c>
      <c r="Q1400" s="38" t="str">
        <f t="shared" si="144"/>
        <v/>
      </c>
      <c r="R1400" s="37" t="str">
        <f t="shared" si="145"/>
        <v/>
      </c>
      <c r="S1400" s="37" t="str">
        <f t="shared" si="146"/>
        <v/>
      </c>
      <c r="T1400" s="38" t="str">
        <f t="shared" si="147"/>
        <v/>
      </c>
      <c r="U1400" s="37" t="str">
        <f t="shared" si="148"/>
        <v/>
      </c>
    </row>
    <row r="1401" spans="2:21" ht="17.25">
      <c r="B1401" s="156"/>
      <c r="C1401" s="156"/>
      <c r="D1401" s="157"/>
      <c r="E1401" s="155"/>
      <c r="F1401" s="151"/>
      <c r="G1401" s="152"/>
      <c r="H1401" s="153"/>
      <c r="I1401" s="154"/>
      <c r="J1401" s="154"/>
      <c r="K1401" s="30" t="str">
        <f>IF(H1401="","",IF($C$30="간이법","",FPR(H1401,I1401,J1401)))</f>
        <v/>
      </c>
      <c r="L1401" s="30" t="str">
        <f>IF(H1401="","",IF($C$30="상세법",FPV(H1401,K1401),IF(H1401="EI",4,IF(H1401="EO",5.2,IF(H1401="EQ",3.9,IF(H1401="ILF",7.5,IF(H1401="EIF",5.4)))))))</f>
        <v/>
      </c>
      <c r="M1401" s="30" t="str">
        <f t="shared" si="142"/>
        <v/>
      </c>
      <c r="N1401" s="134"/>
      <c r="O1401" s="29"/>
      <c r="P1401" s="37" t="str">
        <f t="shared" si="143"/>
        <v/>
      </c>
      <c r="Q1401" s="38" t="str">
        <f t="shared" si="144"/>
        <v/>
      </c>
      <c r="R1401" s="37" t="str">
        <f t="shared" si="145"/>
        <v/>
      </c>
      <c r="S1401" s="37" t="str">
        <f t="shared" si="146"/>
        <v/>
      </c>
      <c r="T1401" s="38" t="str">
        <f t="shared" si="147"/>
        <v/>
      </c>
      <c r="U1401" s="37" t="str">
        <f t="shared" si="148"/>
        <v/>
      </c>
    </row>
    <row r="1402" spans="2:21" ht="17.25">
      <c r="B1402" s="156"/>
      <c r="C1402" s="156"/>
      <c r="D1402" s="157"/>
      <c r="E1402" s="155"/>
      <c r="F1402" s="151"/>
      <c r="G1402" s="152"/>
      <c r="H1402" s="153"/>
      <c r="I1402" s="154"/>
      <c r="J1402" s="154"/>
      <c r="K1402" s="30" t="str">
        <f>IF(H1402="","",IF($C$30="간이법","",FPR(H1402,I1402,J1402)))</f>
        <v/>
      </c>
      <c r="L1402" s="30" t="str">
        <f>IF(H1402="","",IF($C$30="상세법",FPV(H1402,K1402),IF(H1402="EI",4,IF(H1402="EO",5.2,IF(H1402="EQ",3.9,IF(H1402="ILF",7.5,IF(H1402="EIF",5.4)))))))</f>
        <v/>
      </c>
      <c r="M1402" s="30" t="str">
        <f t="shared" si="142"/>
        <v/>
      </c>
      <c r="N1402" s="134"/>
      <c r="O1402" s="29"/>
      <c r="P1402" s="37" t="str">
        <f t="shared" si="143"/>
        <v/>
      </c>
      <c r="Q1402" s="38" t="str">
        <f t="shared" si="144"/>
        <v/>
      </c>
      <c r="R1402" s="37" t="str">
        <f t="shared" si="145"/>
        <v/>
      </c>
      <c r="S1402" s="37" t="str">
        <f t="shared" si="146"/>
        <v/>
      </c>
      <c r="T1402" s="38" t="str">
        <f t="shared" si="147"/>
        <v/>
      </c>
      <c r="U1402" s="37" t="str">
        <f t="shared" si="148"/>
        <v/>
      </c>
    </row>
    <row r="1403" spans="2:21" ht="17.25">
      <c r="B1403" s="156"/>
      <c r="C1403" s="156"/>
      <c r="D1403" s="157"/>
      <c r="E1403" s="155"/>
      <c r="F1403" s="151"/>
      <c r="G1403" s="152"/>
      <c r="H1403" s="153"/>
      <c r="I1403" s="154"/>
      <c r="J1403" s="154"/>
      <c r="K1403" s="30" t="str">
        <f>IF(H1403="","",IF($C$30="간이법","",FPR(H1403,I1403,J1403)))</f>
        <v/>
      </c>
      <c r="L1403" s="30" t="str">
        <f>IF(H1403="","",IF($C$30="상세법",FPV(H1403,K1403),IF(H1403="EI",4,IF(H1403="EO",5.2,IF(H1403="EQ",3.9,IF(H1403="ILF",7.5,IF(H1403="EIF",5.4)))))))</f>
        <v/>
      </c>
      <c r="M1403" s="30" t="str">
        <f t="shared" si="142"/>
        <v/>
      </c>
      <c r="N1403" s="134"/>
      <c r="O1403" s="29"/>
      <c r="P1403" s="37" t="str">
        <f t="shared" si="143"/>
        <v/>
      </c>
      <c r="Q1403" s="38" t="str">
        <f t="shared" si="144"/>
        <v/>
      </c>
      <c r="R1403" s="37" t="str">
        <f t="shared" si="145"/>
        <v/>
      </c>
      <c r="S1403" s="37" t="str">
        <f t="shared" si="146"/>
        <v/>
      </c>
      <c r="T1403" s="38" t="str">
        <f t="shared" si="147"/>
        <v/>
      </c>
      <c r="U1403" s="37" t="str">
        <f t="shared" si="148"/>
        <v/>
      </c>
    </row>
    <row r="1404" spans="2:21" ht="17.25">
      <c r="B1404" s="156"/>
      <c r="C1404" s="156"/>
      <c r="D1404" s="157"/>
      <c r="E1404" s="155"/>
      <c r="F1404" s="151"/>
      <c r="G1404" s="152"/>
      <c r="H1404" s="153"/>
      <c r="I1404" s="154"/>
      <c r="J1404" s="154"/>
      <c r="K1404" s="30" t="str">
        <f>IF(H1404="","",IF($C$30="간이법","",FPR(H1404,I1404,J1404)))</f>
        <v/>
      </c>
      <c r="L1404" s="30" t="str">
        <f>IF(H1404="","",IF($C$30="상세법",FPV(H1404,K1404),IF(H1404="EI",4,IF(H1404="EO",5.2,IF(H1404="EQ",3.9,IF(H1404="ILF",7.5,IF(H1404="EIF",5.4)))))))</f>
        <v/>
      </c>
      <c r="M1404" s="30" t="str">
        <f t="shared" ref="M1404:M1467" si="149">IF(OR(G1404="",$E$36="(선택)",$E$40="(선택)",$E$41="(선택)",F1404="신규 개발",F1404="수정 없이 재사용"),"",(IF(F1404="수정 후 재사용",IF($E$50&lt;=0.5,L1404*($E$36+$E$50*100*(1+0.02*($E$40*$E$41)))/100,L1404*($E$36+$E$50*100+($E$40*$E$41))/100))))</f>
        <v/>
      </c>
      <c r="N1404" s="134"/>
      <c r="O1404" s="29"/>
      <c r="P1404" s="37" t="str">
        <f t="shared" ref="P1404:P1467" si="150">IF(F1404="수정 후 재사용",IF(H1404="ILF",G1404,IF(H1404="EIF",G1404,"")),"")</f>
        <v/>
      </c>
      <c r="Q1404" s="38" t="str">
        <f t="shared" ref="Q1404:Q1467" si="151">IF(P1404&lt;&gt;"",IF(H1404="ILF", L1404/$E$46,IF(H1404="EIF", L1404/$E$46,"")),"")</f>
        <v/>
      </c>
      <c r="R1404" s="37" t="str">
        <f t="shared" ref="R1404:R1467" si="152">IF(P1404&lt;&gt;"",P1404*Q1404,"")</f>
        <v/>
      </c>
      <c r="S1404" s="37" t="str">
        <f t="shared" ref="S1404:S1467" si="153">IF(F1404="수정 후 재사용",IF(H1404="EI",G1404,IF(H1404="EO",G1404,IF(H1404="EQ",G1404,""))),"")</f>
        <v/>
      </c>
      <c r="T1404" s="38" t="str">
        <f t="shared" ref="T1404:T1467" si="154">IF(S1404&lt;&gt;"",IF(H1404="EI",L1404/$E$47,IF(H1404="EO",L1404/$E$47,IF(H1404="EQ",L1404/$E$47,""))),"")</f>
        <v/>
      </c>
      <c r="U1404" s="37" t="str">
        <f t="shared" ref="U1404:U1467" si="155">IF(S1404&lt;&gt;"",S1404*T1404,"")</f>
        <v/>
      </c>
    </row>
    <row r="1405" spans="2:21" ht="17.25">
      <c r="B1405" s="156"/>
      <c r="C1405" s="156"/>
      <c r="D1405" s="157"/>
      <c r="E1405" s="155"/>
      <c r="F1405" s="151"/>
      <c r="G1405" s="152"/>
      <c r="H1405" s="153"/>
      <c r="I1405" s="154"/>
      <c r="J1405" s="154"/>
      <c r="K1405" s="30" t="str">
        <f>IF(H1405="","",IF($C$30="간이법","",FPR(H1405,I1405,J1405)))</f>
        <v/>
      </c>
      <c r="L1405" s="30" t="str">
        <f>IF(H1405="","",IF($C$30="상세법",FPV(H1405,K1405),IF(H1405="EI",4,IF(H1405="EO",5.2,IF(H1405="EQ",3.9,IF(H1405="ILF",7.5,IF(H1405="EIF",5.4)))))))</f>
        <v/>
      </c>
      <c r="M1405" s="30" t="str">
        <f t="shared" si="149"/>
        <v/>
      </c>
      <c r="N1405" s="134"/>
      <c r="O1405" s="29"/>
      <c r="P1405" s="37" t="str">
        <f t="shared" si="150"/>
        <v/>
      </c>
      <c r="Q1405" s="38" t="str">
        <f t="shared" si="151"/>
        <v/>
      </c>
      <c r="R1405" s="37" t="str">
        <f t="shared" si="152"/>
        <v/>
      </c>
      <c r="S1405" s="37" t="str">
        <f t="shared" si="153"/>
        <v/>
      </c>
      <c r="T1405" s="38" t="str">
        <f t="shared" si="154"/>
        <v/>
      </c>
      <c r="U1405" s="37" t="str">
        <f t="shared" si="155"/>
        <v/>
      </c>
    </row>
    <row r="1406" spans="2:21" ht="17.25">
      <c r="B1406" s="156"/>
      <c r="C1406" s="156"/>
      <c r="D1406" s="157"/>
      <c r="E1406" s="155"/>
      <c r="F1406" s="151"/>
      <c r="G1406" s="152"/>
      <c r="H1406" s="153"/>
      <c r="I1406" s="154"/>
      <c r="J1406" s="154"/>
      <c r="K1406" s="30" t="str">
        <f>IF(H1406="","",IF($C$30="간이법","",FPR(H1406,I1406,J1406)))</f>
        <v/>
      </c>
      <c r="L1406" s="30" t="str">
        <f>IF(H1406="","",IF($C$30="상세법",FPV(H1406,K1406),IF(H1406="EI",4,IF(H1406="EO",5.2,IF(H1406="EQ",3.9,IF(H1406="ILF",7.5,IF(H1406="EIF",5.4)))))))</f>
        <v/>
      </c>
      <c r="M1406" s="30" t="str">
        <f t="shared" si="149"/>
        <v/>
      </c>
      <c r="N1406" s="134"/>
      <c r="O1406" s="29"/>
      <c r="P1406" s="37" t="str">
        <f t="shared" si="150"/>
        <v/>
      </c>
      <c r="Q1406" s="38" t="str">
        <f t="shared" si="151"/>
        <v/>
      </c>
      <c r="R1406" s="37" t="str">
        <f t="shared" si="152"/>
        <v/>
      </c>
      <c r="S1406" s="37" t="str">
        <f t="shared" si="153"/>
        <v/>
      </c>
      <c r="T1406" s="38" t="str">
        <f t="shared" si="154"/>
        <v/>
      </c>
      <c r="U1406" s="37" t="str">
        <f t="shared" si="155"/>
        <v/>
      </c>
    </row>
    <row r="1407" spans="2:21" ht="17.25">
      <c r="B1407" s="156"/>
      <c r="C1407" s="156"/>
      <c r="D1407" s="157"/>
      <c r="E1407" s="155"/>
      <c r="F1407" s="151"/>
      <c r="G1407" s="152"/>
      <c r="H1407" s="153"/>
      <c r="I1407" s="154"/>
      <c r="J1407" s="154"/>
      <c r="K1407" s="30" t="str">
        <f>IF(H1407="","",IF($C$30="간이법","",FPR(H1407,I1407,J1407)))</f>
        <v/>
      </c>
      <c r="L1407" s="30" t="str">
        <f>IF(H1407="","",IF($C$30="상세법",FPV(H1407,K1407),IF(H1407="EI",4,IF(H1407="EO",5.2,IF(H1407="EQ",3.9,IF(H1407="ILF",7.5,IF(H1407="EIF",5.4)))))))</f>
        <v/>
      </c>
      <c r="M1407" s="30" t="str">
        <f t="shared" si="149"/>
        <v/>
      </c>
      <c r="N1407" s="134"/>
      <c r="O1407" s="29"/>
      <c r="P1407" s="37" t="str">
        <f t="shared" si="150"/>
        <v/>
      </c>
      <c r="Q1407" s="38" t="str">
        <f t="shared" si="151"/>
        <v/>
      </c>
      <c r="R1407" s="37" t="str">
        <f t="shared" si="152"/>
        <v/>
      </c>
      <c r="S1407" s="37" t="str">
        <f t="shared" si="153"/>
        <v/>
      </c>
      <c r="T1407" s="38" t="str">
        <f t="shared" si="154"/>
        <v/>
      </c>
      <c r="U1407" s="37" t="str">
        <f t="shared" si="155"/>
        <v/>
      </c>
    </row>
    <row r="1408" spans="2:21" ht="17.25">
      <c r="B1408" s="156"/>
      <c r="C1408" s="156"/>
      <c r="D1408" s="157"/>
      <c r="E1408" s="155"/>
      <c r="F1408" s="151"/>
      <c r="G1408" s="152"/>
      <c r="H1408" s="153"/>
      <c r="I1408" s="154"/>
      <c r="J1408" s="154"/>
      <c r="K1408" s="30" t="str">
        <f>IF(H1408="","",IF($C$30="간이법","",FPR(H1408,I1408,J1408)))</f>
        <v/>
      </c>
      <c r="L1408" s="30" t="str">
        <f>IF(H1408="","",IF($C$30="상세법",FPV(H1408,K1408),IF(H1408="EI",4,IF(H1408="EO",5.2,IF(H1408="EQ",3.9,IF(H1408="ILF",7.5,IF(H1408="EIF",5.4)))))))</f>
        <v/>
      </c>
      <c r="M1408" s="30" t="str">
        <f t="shared" si="149"/>
        <v/>
      </c>
      <c r="N1408" s="134"/>
      <c r="O1408" s="29"/>
      <c r="P1408" s="37" t="str">
        <f t="shared" si="150"/>
        <v/>
      </c>
      <c r="Q1408" s="38" t="str">
        <f t="shared" si="151"/>
        <v/>
      </c>
      <c r="R1408" s="37" t="str">
        <f t="shared" si="152"/>
        <v/>
      </c>
      <c r="S1408" s="37" t="str">
        <f t="shared" si="153"/>
        <v/>
      </c>
      <c r="T1408" s="38" t="str">
        <f t="shared" si="154"/>
        <v/>
      </c>
      <c r="U1408" s="37" t="str">
        <f t="shared" si="155"/>
        <v/>
      </c>
    </row>
    <row r="1409" spans="2:21" ht="17.25">
      <c r="B1409" s="156"/>
      <c r="C1409" s="156"/>
      <c r="D1409" s="157"/>
      <c r="E1409" s="155"/>
      <c r="F1409" s="151"/>
      <c r="G1409" s="152"/>
      <c r="H1409" s="153"/>
      <c r="I1409" s="154"/>
      <c r="J1409" s="154"/>
      <c r="K1409" s="30" t="str">
        <f>IF(H1409="","",IF($C$30="간이법","",FPR(H1409,I1409,J1409)))</f>
        <v/>
      </c>
      <c r="L1409" s="30" t="str">
        <f>IF(H1409="","",IF($C$30="상세법",FPV(H1409,K1409),IF(H1409="EI",4,IF(H1409="EO",5.2,IF(H1409="EQ",3.9,IF(H1409="ILF",7.5,IF(H1409="EIF",5.4)))))))</f>
        <v/>
      </c>
      <c r="M1409" s="30" t="str">
        <f t="shared" si="149"/>
        <v/>
      </c>
      <c r="N1409" s="134"/>
      <c r="O1409" s="29"/>
      <c r="P1409" s="37" t="str">
        <f t="shared" si="150"/>
        <v/>
      </c>
      <c r="Q1409" s="38" t="str">
        <f t="shared" si="151"/>
        <v/>
      </c>
      <c r="R1409" s="37" t="str">
        <f t="shared" si="152"/>
        <v/>
      </c>
      <c r="S1409" s="37" t="str">
        <f t="shared" si="153"/>
        <v/>
      </c>
      <c r="T1409" s="38" t="str">
        <f t="shared" si="154"/>
        <v/>
      </c>
      <c r="U1409" s="37" t="str">
        <f t="shared" si="155"/>
        <v/>
      </c>
    </row>
    <row r="1410" spans="2:21" ht="17.25">
      <c r="B1410" s="156"/>
      <c r="C1410" s="156"/>
      <c r="D1410" s="157"/>
      <c r="E1410" s="155"/>
      <c r="F1410" s="151"/>
      <c r="G1410" s="152"/>
      <c r="H1410" s="153"/>
      <c r="I1410" s="154"/>
      <c r="J1410" s="154"/>
      <c r="K1410" s="30" t="str">
        <f>IF(H1410="","",IF($C$30="간이법","",FPR(H1410,I1410,J1410)))</f>
        <v/>
      </c>
      <c r="L1410" s="30" t="str">
        <f>IF(H1410="","",IF($C$30="상세법",FPV(H1410,K1410),IF(H1410="EI",4,IF(H1410="EO",5.2,IF(H1410="EQ",3.9,IF(H1410="ILF",7.5,IF(H1410="EIF",5.4)))))))</f>
        <v/>
      </c>
      <c r="M1410" s="30" t="str">
        <f t="shared" si="149"/>
        <v/>
      </c>
      <c r="N1410" s="134"/>
      <c r="O1410" s="29"/>
      <c r="P1410" s="37" t="str">
        <f t="shared" si="150"/>
        <v/>
      </c>
      <c r="Q1410" s="38" t="str">
        <f t="shared" si="151"/>
        <v/>
      </c>
      <c r="R1410" s="37" t="str">
        <f t="shared" si="152"/>
        <v/>
      </c>
      <c r="S1410" s="37" t="str">
        <f t="shared" si="153"/>
        <v/>
      </c>
      <c r="T1410" s="38" t="str">
        <f t="shared" si="154"/>
        <v/>
      </c>
      <c r="U1410" s="37" t="str">
        <f t="shared" si="155"/>
        <v/>
      </c>
    </row>
    <row r="1411" spans="2:21" ht="17.25">
      <c r="B1411" s="156"/>
      <c r="C1411" s="156"/>
      <c r="D1411" s="157"/>
      <c r="E1411" s="155"/>
      <c r="F1411" s="151"/>
      <c r="G1411" s="152"/>
      <c r="H1411" s="153"/>
      <c r="I1411" s="154"/>
      <c r="J1411" s="154"/>
      <c r="K1411" s="30" t="str">
        <f>IF(H1411="","",IF($C$30="간이법","",FPR(H1411,I1411,J1411)))</f>
        <v/>
      </c>
      <c r="L1411" s="30" t="str">
        <f>IF(H1411="","",IF($C$30="상세법",FPV(H1411,K1411),IF(H1411="EI",4,IF(H1411="EO",5.2,IF(H1411="EQ",3.9,IF(H1411="ILF",7.5,IF(H1411="EIF",5.4)))))))</f>
        <v/>
      </c>
      <c r="M1411" s="30" t="str">
        <f t="shared" si="149"/>
        <v/>
      </c>
      <c r="N1411" s="134"/>
      <c r="O1411" s="29"/>
      <c r="P1411" s="37" t="str">
        <f t="shared" si="150"/>
        <v/>
      </c>
      <c r="Q1411" s="38" t="str">
        <f t="shared" si="151"/>
        <v/>
      </c>
      <c r="R1411" s="37" t="str">
        <f t="shared" si="152"/>
        <v/>
      </c>
      <c r="S1411" s="37" t="str">
        <f t="shared" si="153"/>
        <v/>
      </c>
      <c r="T1411" s="38" t="str">
        <f t="shared" si="154"/>
        <v/>
      </c>
      <c r="U1411" s="37" t="str">
        <f t="shared" si="155"/>
        <v/>
      </c>
    </row>
    <row r="1412" spans="2:21" ht="17.25">
      <c r="B1412" s="156"/>
      <c r="C1412" s="156"/>
      <c r="D1412" s="157"/>
      <c r="E1412" s="155"/>
      <c r="F1412" s="151"/>
      <c r="G1412" s="152"/>
      <c r="H1412" s="153"/>
      <c r="I1412" s="154"/>
      <c r="J1412" s="154"/>
      <c r="K1412" s="30" t="str">
        <f>IF(H1412="","",IF($C$30="간이법","",FPR(H1412,I1412,J1412)))</f>
        <v/>
      </c>
      <c r="L1412" s="30" t="str">
        <f>IF(H1412="","",IF($C$30="상세법",FPV(H1412,K1412),IF(H1412="EI",4,IF(H1412="EO",5.2,IF(H1412="EQ",3.9,IF(H1412="ILF",7.5,IF(H1412="EIF",5.4)))))))</f>
        <v/>
      </c>
      <c r="M1412" s="30" t="str">
        <f t="shared" si="149"/>
        <v/>
      </c>
      <c r="N1412" s="134"/>
      <c r="O1412" s="29"/>
      <c r="P1412" s="37" t="str">
        <f t="shared" si="150"/>
        <v/>
      </c>
      <c r="Q1412" s="38" t="str">
        <f t="shared" si="151"/>
        <v/>
      </c>
      <c r="R1412" s="37" t="str">
        <f t="shared" si="152"/>
        <v/>
      </c>
      <c r="S1412" s="37" t="str">
        <f t="shared" si="153"/>
        <v/>
      </c>
      <c r="T1412" s="38" t="str">
        <f t="shared" si="154"/>
        <v/>
      </c>
      <c r="U1412" s="37" t="str">
        <f t="shared" si="155"/>
        <v/>
      </c>
    </row>
    <row r="1413" spans="2:21" ht="17.25">
      <c r="B1413" s="156"/>
      <c r="C1413" s="156"/>
      <c r="D1413" s="157"/>
      <c r="E1413" s="155"/>
      <c r="F1413" s="151"/>
      <c r="G1413" s="152"/>
      <c r="H1413" s="153"/>
      <c r="I1413" s="154"/>
      <c r="J1413" s="154"/>
      <c r="K1413" s="30" t="str">
        <f>IF(H1413="","",IF($C$30="간이법","",FPR(H1413,I1413,J1413)))</f>
        <v/>
      </c>
      <c r="L1413" s="30" t="str">
        <f>IF(H1413="","",IF($C$30="상세법",FPV(H1413,K1413),IF(H1413="EI",4,IF(H1413="EO",5.2,IF(H1413="EQ",3.9,IF(H1413="ILF",7.5,IF(H1413="EIF",5.4)))))))</f>
        <v/>
      </c>
      <c r="M1413" s="30" t="str">
        <f t="shared" si="149"/>
        <v/>
      </c>
      <c r="N1413" s="134"/>
      <c r="O1413" s="29"/>
      <c r="P1413" s="37" t="str">
        <f t="shared" si="150"/>
        <v/>
      </c>
      <c r="Q1413" s="38" t="str">
        <f t="shared" si="151"/>
        <v/>
      </c>
      <c r="R1413" s="37" t="str">
        <f t="shared" si="152"/>
        <v/>
      </c>
      <c r="S1413" s="37" t="str">
        <f t="shared" si="153"/>
        <v/>
      </c>
      <c r="T1413" s="38" t="str">
        <f t="shared" si="154"/>
        <v/>
      </c>
      <c r="U1413" s="37" t="str">
        <f t="shared" si="155"/>
        <v/>
      </c>
    </row>
    <row r="1414" spans="2:21" ht="17.25">
      <c r="B1414" s="156"/>
      <c r="C1414" s="156"/>
      <c r="D1414" s="157"/>
      <c r="E1414" s="155"/>
      <c r="F1414" s="151"/>
      <c r="G1414" s="152"/>
      <c r="H1414" s="153"/>
      <c r="I1414" s="154"/>
      <c r="J1414" s="154"/>
      <c r="K1414" s="30" t="str">
        <f>IF(H1414="","",IF($C$30="간이법","",FPR(H1414,I1414,J1414)))</f>
        <v/>
      </c>
      <c r="L1414" s="30" t="str">
        <f>IF(H1414="","",IF($C$30="상세법",FPV(H1414,K1414),IF(H1414="EI",4,IF(H1414="EO",5.2,IF(H1414="EQ",3.9,IF(H1414="ILF",7.5,IF(H1414="EIF",5.4)))))))</f>
        <v/>
      </c>
      <c r="M1414" s="30" t="str">
        <f t="shared" si="149"/>
        <v/>
      </c>
      <c r="N1414" s="134"/>
      <c r="O1414" s="29"/>
      <c r="P1414" s="37" t="str">
        <f t="shared" si="150"/>
        <v/>
      </c>
      <c r="Q1414" s="38" t="str">
        <f t="shared" si="151"/>
        <v/>
      </c>
      <c r="R1414" s="37" t="str">
        <f t="shared" si="152"/>
        <v/>
      </c>
      <c r="S1414" s="37" t="str">
        <f t="shared" si="153"/>
        <v/>
      </c>
      <c r="T1414" s="38" t="str">
        <f t="shared" si="154"/>
        <v/>
      </c>
      <c r="U1414" s="37" t="str">
        <f t="shared" si="155"/>
        <v/>
      </c>
    </row>
    <row r="1415" spans="2:21" ht="17.25">
      <c r="B1415" s="156"/>
      <c r="C1415" s="156"/>
      <c r="D1415" s="157"/>
      <c r="E1415" s="155"/>
      <c r="F1415" s="151"/>
      <c r="G1415" s="152"/>
      <c r="H1415" s="153"/>
      <c r="I1415" s="154"/>
      <c r="J1415" s="154"/>
      <c r="K1415" s="30" t="str">
        <f>IF(H1415="","",IF($C$30="간이법","",FPR(H1415,I1415,J1415)))</f>
        <v/>
      </c>
      <c r="L1415" s="30" t="str">
        <f>IF(H1415="","",IF($C$30="상세법",FPV(H1415,K1415),IF(H1415="EI",4,IF(H1415="EO",5.2,IF(H1415="EQ",3.9,IF(H1415="ILF",7.5,IF(H1415="EIF",5.4)))))))</f>
        <v/>
      </c>
      <c r="M1415" s="30" t="str">
        <f t="shared" si="149"/>
        <v/>
      </c>
      <c r="N1415" s="134"/>
      <c r="O1415" s="29"/>
      <c r="P1415" s="37" t="str">
        <f t="shared" si="150"/>
        <v/>
      </c>
      <c r="Q1415" s="38" t="str">
        <f t="shared" si="151"/>
        <v/>
      </c>
      <c r="R1415" s="37" t="str">
        <f t="shared" si="152"/>
        <v/>
      </c>
      <c r="S1415" s="37" t="str">
        <f t="shared" si="153"/>
        <v/>
      </c>
      <c r="T1415" s="38" t="str">
        <f t="shared" si="154"/>
        <v/>
      </c>
      <c r="U1415" s="37" t="str">
        <f t="shared" si="155"/>
        <v/>
      </c>
    </row>
    <row r="1416" spans="2:21" ht="17.25">
      <c r="B1416" s="156"/>
      <c r="C1416" s="156"/>
      <c r="D1416" s="157"/>
      <c r="E1416" s="155"/>
      <c r="F1416" s="151"/>
      <c r="G1416" s="152"/>
      <c r="H1416" s="153"/>
      <c r="I1416" s="154"/>
      <c r="J1416" s="154"/>
      <c r="K1416" s="30" t="str">
        <f>IF(H1416="","",IF($C$30="간이법","",FPR(H1416,I1416,J1416)))</f>
        <v/>
      </c>
      <c r="L1416" s="30" t="str">
        <f>IF(H1416="","",IF($C$30="상세법",FPV(H1416,K1416),IF(H1416="EI",4,IF(H1416="EO",5.2,IF(H1416="EQ",3.9,IF(H1416="ILF",7.5,IF(H1416="EIF",5.4)))))))</f>
        <v/>
      </c>
      <c r="M1416" s="30" t="str">
        <f t="shared" si="149"/>
        <v/>
      </c>
      <c r="N1416" s="134"/>
      <c r="O1416" s="29"/>
      <c r="P1416" s="37" t="str">
        <f t="shared" si="150"/>
        <v/>
      </c>
      <c r="Q1416" s="38" t="str">
        <f t="shared" si="151"/>
        <v/>
      </c>
      <c r="R1416" s="37" t="str">
        <f t="shared" si="152"/>
        <v/>
      </c>
      <c r="S1416" s="37" t="str">
        <f t="shared" si="153"/>
        <v/>
      </c>
      <c r="T1416" s="38" t="str">
        <f t="shared" si="154"/>
        <v/>
      </c>
      <c r="U1416" s="37" t="str">
        <f t="shared" si="155"/>
        <v/>
      </c>
    </row>
    <row r="1417" spans="2:21" ht="17.25">
      <c r="B1417" s="156"/>
      <c r="C1417" s="156"/>
      <c r="D1417" s="157"/>
      <c r="E1417" s="155"/>
      <c r="F1417" s="151"/>
      <c r="G1417" s="152"/>
      <c r="H1417" s="153"/>
      <c r="I1417" s="154"/>
      <c r="J1417" s="154"/>
      <c r="K1417" s="30" t="str">
        <f>IF(H1417="","",IF($C$30="간이법","",FPR(H1417,I1417,J1417)))</f>
        <v/>
      </c>
      <c r="L1417" s="30" t="str">
        <f>IF(H1417="","",IF($C$30="상세법",FPV(H1417,K1417),IF(H1417="EI",4,IF(H1417="EO",5.2,IF(H1417="EQ",3.9,IF(H1417="ILF",7.5,IF(H1417="EIF",5.4)))))))</f>
        <v/>
      </c>
      <c r="M1417" s="30" t="str">
        <f t="shared" si="149"/>
        <v/>
      </c>
      <c r="N1417" s="134"/>
      <c r="O1417" s="29"/>
      <c r="P1417" s="37" t="str">
        <f t="shared" si="150"/>
        <v/>
      </c>
      <c r="Q1417" s="38" t="str">
        <f t="shared" si="151"/>
        <v/>
      </c>
      <c r="R1417" s="37" t="str">
        <f t="shared" si="152"/>
        <v/>
      </c>
      <c r="S1417" s="37" t="str">
        <f t="shared" si="153"/>
        <v/>
      </c>
      <c r="T1417" s="38" t="str">
        <f t="shared" si="154"/>
        <v/>
      </c>
      <c r="U1417" s="37" t="str">
        <f t="shared" si="155"/>
        <v/>
      </c>
    </row>
    <row r="1418" spans="2:21" ht="17.25">
      <c r="B1418" s="156"/>
      <c r="C1418" s="156"/>
      <c r="D1418" s="157"/>
      <c r="E1418" s="155"/>
      <c r="F1418" s="151"/>
      <c r="G1418" s="152"/>
      <c r="H1418" s="153"/>
      <c r="I1418" s="154"/>
      <c r="J1418" s="154"/>
      <c r="K1418" s="30" t="str">
        <f>IF(H1418="","",IF($C$30="간이법","",FPR(H1418,I1418,J1418)))</f>
        <v/>
      </c>
      <c r="L1418" s="30" t="str">
        <f>IF(H1418="","",IF($C$30="상세법",FPV(H1418,K1418),IF(H1418="EI",4,IF(H1418="EO",5.2,IF(H1418="EQ",3.9,IF(H1418="ILF",7.5,IF(H1418="EIF",5.4)))))))</f>
        <v/>
      </c>
      <c r="M1418" s="30" t="str">
        <f t="shared" si="149"/>
        <v/>
      </c>
      <c r="N1418" s="134"/>
      <c r="O1418" s="29"/>
      <c r="P1418" s="37" t="str">
        <f t="shared" si="150"/>
        <v/>
      </c>
      <c r="Q1418" s="38" t="str">
        <f t="shared" si="151"/>
        <v/>
      </c>
      <c r="R1418" s="37" t="str">
        <f t="shared" si="152"/>
        <v/>
      </c>
      <c r="S1418" s="37" t="str">
        <f t="shared" si="153"/>
        <v/>
      </c>
      <c r="T1418" s="38" t="str">
        <f t="shared" si="154"/>
        <v/>
      </c>
      <c r="U1418" s="37" t="str">
        <f t="shared" si="155"/>
        <v/>
      </c>
    </row>
    <row r="1419" spans="2:21" ht="17.25">
      <c r="B1419" s="156"/>
      <c r="C1419" s="156"/>
      <c r="D1419" s="157"/>
      <c r="E1419" s="155"/>
      <c r="F1419" s="151"/>
      <c r="G1419" s="152"/>
      <c r="H1419" s="153"/>
      <c r="I1419" s="154"/>
      <c r="J1419" s="154"/>
      <c r="K1419" s="30" t="str">
        <f>IF(H1419="","",IF($C$30="간이법","",FPR(H1419,I1419,J1419)))</f>
        <v/>
      </c>
      <c r="L1419" s="30" t="str">
        <f>IF(H1419="","",IF($C$30="상세법",FPV(H1419,K1419),IF(H1419="EI",4,IF(H1419="EO",5.2,IF(H1419="EQ",3.9,IF(H1419="ILF",7.5,IF(H1419="EIF",5.4)))))))</f>
        <v/>
      </c>
      <c r="M1419" s="30" t="str">
        <f t="shared" si="149"/>
        <v/>
      </c>
      <c r="N1419" s="134"/>
      <c r="O1419" s="29"/>
      <c r="P1419" s="37" t="str">
        <f t="shared" si="150"/>
        <v/>
      </c>
      <c r="Q1419" s="38" t="str">
        <f t="shared" si="151"/>
        <v/>
      </c>
      <c r="R1419" s="37" t="str">
        <f t="shared" si="152"/>
        <v/>
      </c>
      <c r="S1419" s="37" t="str">
        <f t="shared" si="153"/>
        <v/>
      </c>
      <c r="T1419" s="38" t="str">
        <f t="shared" si="154"/>
        <v/>
      </c>
      <c r="U1419" s="37" t="str">
        <f t="shared" si="155"/>
        <v/>
      </c>
    </row>
    <row r="1420" spans="2:21" ht="17.25">
      <c r="B1420" s="156"/>
      <c r="C1420" s="156"/>
      <c r="D1420" s="157"/>
      <c r="E1420" s="155"/>
      <c r="F1420" s="151"/>
      <c r="G1420" s="152"/>
      <c r="H1420" s="153"/>
      <c r="I1420" s="154"/>
      <c r="J1420" s="154"/>
      <c r="K1420" s="30" t="str">
        <f>IF(H1420="","",IF($C$30="간이법","",FPR(H1420,I1420,J1420)))</f>
        <v/>
      </c>
      <c r="L1420" s="30" t="str">
        <f>IF(H1420="","",IF($C$30="상세법",FPV(H1420,K1420),IF(H1420="EI",4,IF(H1420="EO",5.2,IF(H1420="EQ",3.9,IF(H1420="ILF",7.5,IF(H1420="EIF",5.4)))))))</f>
        <v/>
      </c>
      <c r="M1420" s="30" t="str">
        <f t="shared" si="149"/>
        <v/>
      </c>
      <c r="N1420" s="134"/>
      <c r="O1420" s="29"/>
      <c r="P1420" s="37" t="str">
        <f t="shared" si="150"/>
        <v/>
      </c>
      <c r="Q1420" s="38" t="str">
        <f t="shared" si="151"/>
        <v/>
      </c>
      <c r="R1420" s="37" t="str">
        <f t="shared" si="152"/>
        <v/>
      </c>
      <c r="S1420" s="37" t="str">
        <f t="shared" si="153"/>
        <v/>
      </c>
      <c r="T1420" s="38" t="str">
        <f t="shared" si="154"/>
        <v/>
      </c>
      <c r="U1420" s="37" t="str">
        <f t="shared" si="155"/>
        <v/>
      </c>
    </row>
    <row r="1421" spans="2:21" ht="17.25">
      <c r="B1421" s="156"/>
      <c r="C1421" s="156"/>
      <c r="D1421" s="157"/>
      <c r="E1421" s="155"/>
      <c r="F1421" s="151"/>
      <c r="G1421" s="152"/>
      <c r="H1421" s="153"/>
      <c r="I1421" s="154"/>
      <c r="J1421" s="154"/>
      <c r="K1421" s="30" t="str">
        <f>IF(H1421="","",IF($C$30="간이법","",FPR(H1421,I1421,J1421)))</f>
        <v/>
      </c>
      <c r="L1421" s="30" t="str">
        <f>IF(H1421="","",IF($C$30="상세법",FPV(H1421,K1421),IF(H1421="EI",4,IF(H1421="EO",5.2,IF(H1421="EQ",3.9,IF(H1421="ILF",7.5,IF(H1421="EIF",5.4)))))))</f>
        <v/>
      </c>
      <c r="M1421" s="30" t="str">
        <f t="shared" si="149"/>
        <v/>
      </c>
      <c r="N1421" s="134"/>
      <c r="O1421" s="29"/>
      <c r="P1421" s="37" t="str">
        <f t="shared" si="150"/>
        <v/>
      </c>
      <c r="Q1421" s="38" t="str">
        <f t="shared" si="151"/>
        <v/>
      </c>
      <c r="R1421" s="37" t="str">
        <f t="shared" si="152"/>
        <v/>
      </c>
      <c r="S1421" s="37" t="str">
        <f t="shared" si="153"/>
        <v/>
      </c>
      <c r="T1421" s="38" t="str">
        <f t="shared" si="154"/>
        <v/>
      </c>
      <c r="U1421" s="37" t="str">
        <f t="shared" si="155"/>
        <v/>
      </c>
    </row>
    <row r="1422" spans="2:21" ht="17.25">
      <c r="B1422" s="156"/>
      <c r="C1422" s="156"/>
      <c r="D1422" s="157"/>
      <c r="E1422" s="155"/>
      <c r="F1422" s="151"/>
      <c r="G1422" s="152"/>
      <c r="H1422" s="153"/>
      <c r="I1422" s="154"/>
      <c r="J1422" s="154"/>
      <c r="K1422" s="30" t="str">
        <f>IF(H1422="","",IF($C$30="간이법","",FPR(H1422,I1422,J1422)))</f>
        <v/>
      </c>
      <c r="L1422" s="30" t="str">
        <f>IF(H1422="","",IF($C$30="상세법",FPV(H1422,K1422),IF(H1422="EI",4,IF(H1422="EO",5.2,IF(H1422="EQ",3.9,IF(H1422="ILF",7.5,IF(H1422="EIF",5.4)))))))</f>
        <v/>
      </c>
      <c r="M1422" s="30" t="str">
        <f t="shared" si="149"/>
        <v/>
      </c>
      <c r="N1422" s="134"/>
      <c r="O1422" s="29"/>
      <c r="P1422" s="37" t="str">
        <f t="shared" si="150"/>
        <v/>
      </c>
      <c r="Q1422" s="38" t="str">
        <f t="shared" si="151"/>
        <v/>
      </c>
      <c r="R1422" s="37" t="str">
        <f t="shared" si="152"/>
        <v/>
      </c>
      <c r="S1422" s="37" t="str">
        <f t="shared" si="153"/>
        <v/>
      </c>
      <c r="T1422" s="38" t="str">
        <f t="shared" si="154"/>
        <v/>
      </c>
      <c r="U1422" s="37" t="str">
        <f t="shared" si="155"/>
        <v/>
      </c>
    </row>
    <row r="1423" spans="2:21" ht="17.25">
      <c r="B1423" s="156"/>
      <c r="C1423" s="156"/>
      <c r="D1423" s="157"/>
      <c r="E1423" s="155"/>
      <c r="F1423" s="151"/>
      <c r="G1423" s="152"/>
      <c r="H1423" s="153"/>
      <c r="I1423" s="154"/>
      <c r="J1423" s="154"/>
      <c r="K1423" s="30" t="str">
        <f>IF(H1423="","",IF($C$30="간이법","",FPR(H1423,I1423,J1423)))</f>
        <v/>
      </c>
      <c r="L1423" s="30" t="str">
        <f>IF(H1423="","",IF($C$30="상세법",FPV(H1423,K1423),IF(H1423="EI",4,IF(H1423="EO",5.2,IF(H1423="EQ",3.9,IF(H1423="ILF",7.5,IF(H1423="EIF",5.4)))))))</f>
        <v/>
      </c>
      <c r="M1423" s="30" t="str">
        <f t="shared" si="149"/>
        <v/>
      </c>
      <c r="N1423" s="134"/>
      <c r="O1423" s="29"/>
      <c r="P1423" s="37" t="str">
        <f t="shared" si="150"/>
        <v/>
      </c>
      <c r="Q1423" s="38" t="str">
        <f t="shared" si="151"/>
        <v/>
      </c>
      <c r="R1423" s="37" t="str">
        <f t="shared" si="152"/>
        <v/>
      </c>
      <c r="S1423" s="37" t="str">
        <f t="shared" si="153"/>
        <v/>
      </c>
      <c r="T1423" s="38" t="str">
        <f t="shared" si="154"/>
        <v/>
      </c>
      <c r="U1423" s="37" t="str">
        <f t="shared" si="155"/>
        <v/>
      </c>
    </row>
    <row r="1424" spans="2:21" ht="17.25">
      <c r="B1424" s="156"/>
      <c r="C1424" s="156"/>
      <c r="D1424" s="157"/>
      <c r="E1424" s="155"/>
      <c r="F1424" s="151"/>
      <c r="G1424" s="152"/>
      <c r="H1424" s="153"/>
      <c r="I1424" s="154"/>
      <c r="J1424" s="154"/>
      <c r="K1424" s="30" t="str">
        <f>IF(H1424="","",IF($C$30="간이법","",FPR(H1424,I1424,J1424)))</f>
        <v/>
      </c>
      <c r="L1424" s="30" t="str">
        <f>IF(H1424="","",IF($C$30="상세법",FPV(H1424,K1424),IF(H1424="EI",4,IF(H1424="EO",5.2,IF(H1424="EQ",3.9,IF(H1424="ILF",7.5,IF(H1424="EIF",5.4)))))))</f>
        <v/>
      </c>
      <c r="M1424" s="30" t="str">
        <f t="shared" si="149"/>
        <v/>
      </c>
      <c r="N1424" s="134"/>
      <c r="O1424" s="29"/>
      <c r="P1424" s="37" t="str">
        <f t="shared" si="150"/>
        <v/>
      </c>
      <c r="Q1424" s="38" t="str">
        <f t="shared" si="151"/>
        <v/>
      </c>
      <c r="R1424" s="37" t="str">
        <f t="shared" si="152"/>
        <v/>
      </c>
      <c r="S1424" s="37" t="str">
        <f t="shared" si="153"/>
        <v/>
      </c>
      <c r="T1424" s="38" t="str">
        <f t="shared" si="154"/>
        <v/>
      </c>
      <c r="U1424" s="37" t="str">
        <f t="shared" si="155"/>
        <v/>
      </c>
    </row>
    <row r="1425" spans="2:21" ht="17.25">
      <c r="B1425" s="156"/>
      <c r="C1425" s="156"/>
      <c r="D1425" s="157"/>
      <c r="E1425" s="155"/>
      <c r="F1425" s="151"/>
      <c r="G1425" s="152"/>
      <c r="H1425" s="153"/>
      <c r="I1425" s="154"/>
      <c r="J1425" s="154"/>
      <c r="K1425" s="30" t="str">
        <f>IF(H1425="","",IF($C$30="간이법","",FPR(H1425,I1425,J1425)))</f>
        <v/>
      </c>
      <c r="L1425" s="30" t="str">
        <f>IF(H1425="","",IF($C$30="상세법",FPV(H1425,K1425),IF(H1425="EI",4,IF(H1425="EO",5.2,IF(H1425="EQ",3.9,IF(H1425="ILF",7.5,IF(H1425="EIF",5.4)))))))</f>
        <v/>
      </c>
      <c r="M1425" s="30" t="str">
        <f t="shared" si="149"/>
        <v/>
      </c>
      <c r="N1425" s="134"/>
      <c r="O1425" s="29"/>
      <c r="P1425" s="37" t="str">
        <f t="shared" si="150"/>
        <v/>
      </c>
      <c r="Q1425" s="38" t="str">
        <f t="shared" si="151"/>
        <v/>
      </c>
      <c r="R1425" s="37" t="str">
        <f t="shared" si="152"/>
        <v/>
      </c>
      <c r="S1425" s="37" t="str">
        <f t="shared" si="153"/>
        <v/>
      </c>
      <c r="T1425" s="38" t="str">
        <f t="shared" si="154"/>
        <v/>
      </c>
      <c r="U1425" s="37" t="str">
        <f t="shared" si="155"/>
        <v/>
      </c>
    </row>
    <row r="1426" spans="2:21" ht="17.25">
      <c r="B1426" s="156"/>
      <c r="C1426" s="156"/>
      <c r="D1426" s="157"/>
      <c r="E1426" s="155"/>
      <c r="F1426" s="151"/>
      <c r="G1426" s="152"/>
      <c r="H1426" s="153"/>
      <c r="I1426" s="154"/>
      <c r="J1426" s="154"/>
      <c r="K1426" s="30" t="str">
        <f>IF(H1426="","",IF($C$30="간이법","",FPR(H1426,I1426,J1426)))</f>
        <v/>
      </c>
      <c r="L1426" s="30" t="str">
        <f>IF(H1426="","",IF($C$30="상세법",FPV(H1426,K1426),IF(H1426="EI",4,IF(H1426="EO",5.2,IF(H1426="EQ",3.9,IF(H1426="ILF",7.5,IF(H1426="EIF",5.4)))))))</f>
        <v/>
      </c>
      <c r="M1426" s="30" t="str">
        <f t="shared" si="149"/>
        <v/>
      </c>
      <c r="N1426" s="134"/>
      <c r="O1426" s="29"/>
      <c r="P1426" s="37" t="str">
        <f t="shared" si="150"/>
        <v/>
      </c>
      <c r="Q1426" s="38" t="str">
        <f t="shared" si="151"/>
        <v/>
      </c>
      <c r="R1426" s="37" t="str">
        <f t="shared" si="152"/>
        <v/>
      </c>
      <c r="S1426" s="37" t="str">
        <f t="shared" si="153"/>
        <v/>
      </c>
      <c r="T1426" s="38" t="str">
        <f t="shared" si="154"/>
        <v/>
      </c>
      <c r="U1426" s="37" t="str">
        <f t="shared" si="155"/>
        <v/>
      </c>
    </row>
    <row r="1427" spans="2:21" ht="17.25">
      <c r="B1427" s="156"/>
      <c r="C1427" s="156"/>
      <c r="D1427" s="157"/>
      <c r="E1427" s="155"/>
      <c r="F1427" s="151"/>
      <c r="G1427" s="152"/>
      <c r="H1427" s="153"/>
      <c r="I1427" s="154"/>
      <c r="J1427" s="154"/>
      <c r="K1427" s="30" t="str">
        <f>IF(H1427="","",IF($C$30="간이법","",FPR(H1427,I1427,J1427)))</f>
        <v/>
      </c>
      <c r="L1427" s="30" t="str">
        <f>IF(H1427="","",IF($C$30="상세법",FPV(H1427,K1427),IF(H1427="EI",4,IF(H1427="EO",5.2,IF(H1427="EQ",3.9,IF(H1427="ILF",7.5,IF(H1427="EIF",5.4)))))))</f>
        <v/>
      </c>
      <c r="M1427" s="30" t="str">
        <f t="shared" si="149"/>
        <v/>
      </c>
      <c r="N1427" s="134"/>
      <c r="O1427" s="29"/>
      <c r="P1427" s="37" t="str">
        <f t="shared" si="150"/>
        <v/>
      </c>
      <c r="Q1427" s="38" t="str">
        <f t="shared" si="151"/>
        <v/>
      </c>
      <c r="R1427" s="37" t="str">
        <f t="shared" si="152"/>
        <v/>
      </c>
      <c r="S1427" s="37" t="str">
        <f t="shared" si="153"/>
        <v/>
      </c>
      <c r="T1427" s="38" t="str">
        <f t="shared" si="154"/>
        <v/>
      </c>
      <c r="U1427" s="37" t="str">
        <f t="shared" si="155"/>
        <v/>
      </c>
    </row>
    <row r="1428" spans="2:21" ht="17.25">
      <c r="B1428" s="156"/>
      <c r="C1428" s="156"/>
      <c r="D1428" s="157"/>
      <c r="E1428" s="155"/>
      <c r="F1428" s="151"/>
      <c r="G1428" s="152"/>
      <c r="H1428" s="153"/>
      <c r="I1428" s="154"/>
      <c r="J1428" s="154"/>
      <c r="K1428" s="30" t="str">
        <f>IF(H1428="","",IF($C$30="간이법","",FPR(H1428,I1428,J1428)))</f>
        <v/>
      </c>
      <c r="L1428" s="30" t="str">
        <f>IF(H1428="","",IF($C$30="상세법",FPV(H1428,K1428),IF(H1428="EI",4,IF(H1428="EO",5.2,IF(H1428="EQ",3.9,IF(H1428="ILF",7.5,IF(H1428="EIF",5.4)))))))</f>
        <v/>
      </c>
      <c r="M1428" s="30" t="str">
        <f t="shared" si="149"/>
        <v/>
      </c>
      <c r="N1428" s="134"/>
      <c r="O1428" s="29"/>
      <c r="P1428" s="37" t="str">
        <f t="shared" si="150"/>
        <v/>
      </c>
      <c r="Q1428" s="38" t="str">
        <f t="shared" si="151"/>
        <v/>
      </c>
      <c r="R1428" s="37" t="str">
        <f t="shared" si="152"/>
        <v/>
      </c>
      <c r="S1428" s="37" t="str">
        <f t="shared" si="153"/>
        <v/>
      </c>
      <c r="T1428" s="38" t="str">
        <f t="shared" si="154"/>
        <v/>
      </c>
      <c r="U1428" s="37" t="str">
        <f t="shared" si="155"/>
        <v/>
      </c>
    </row>
    <row r="1429" spans="2:21" ht="17.25">
      <c r="B1429" s="156"/>
      <c r="C1429" s="156"/>
      <c r="D1429" s="157"/>
      <c r="E1429" s="155"/>
      <c r="F1429" s="151"/>
      <c r="G1429" s="152"/>
      <c r="H1429" s="153"/>
      <c r="I1429" s="154"/>
      <c r="J1429" s="154"/>
      <c r="K1429" s="30" t="str">
        <f>IF(H1429="","",IF($C$30="간이법","",FPR(H1429,I1429,J1429)))</f>
        <v/>
      </c>
      <c r="L1429" s="30" t="str">
        <f>IF(H1429="","",IF($C$30="상세법",FPV(H1429,K1429),IF(H1429="EI",4,IF(H1429="EO",5.2,IF(H1429="EQ",3.9,IF(H1429="ILF",7.5,IF(H1429="EIF",5.4)))))))</f>
        <v/>
      </c>
      <c r="M1429" s="30" t="str">
        <f t="shared" si="149"/>
        <v/>
      </c>
      <c r="N1429" s="134"/>
      <c r="O1429" s="29"/>
      <c r="P1429" s="37" t="str">
        <f t="shared" si="150"/>
        <v/>
      </c>
      <c r="Q1429" s="38" t="str">
        <f t="shared" si="151"/>
        <v/>
      </c>
      <c r="R1429" s="37" t="str">
        <f t="shared" si="152"/>
        <v/>
      </c>
      <c r="S1429" s="37" t="str">
        <f t="shared" si="153"/>
        <v/>
      </c>
      <c r="T1429" s="38" t="str">
        <f t="shared" si="154"/>
        <v/>
      </c>
      <c r="U1429" s="37" t="str">
        <f t="shared" si="155"/>
        <v/>
      </c>
    </row>
    <row r="1430" spans="2:21" ht="17.25">
      <c r="B1430" s="156"/>
      <c r="C1430" s="156"/>
      <c r="D1430" s="157"/>
      <c r="E1430" s="155"/>
      <c r="F1430" s="151"/>
      <c r="G1430" s="152"/>
      <c r="H1430" s="153"/>
      <c r="I1430" s="154"/>
      <c r="J1430" s="154"/>
      <c r="K1430" s="30" t="str">
        <f>IF(H1430="","",IF($C$30="간이법","",FPR(H1430,I1430,J1430)))</f>
        <v/>
      </c>
      <c r="L1430" s="30" t="str">
        <f>IF(H1430="","",IF($C$30="상세법",FPV(H1430,K1430),IF(H1430="EI",4,IF(H1430="EO",5.2,IF(H1430="EQ",3.9,IF(H1430="ILF",7.5,IF(H1430="EIF",5.4)))))))</f>
        <v/>
      </c>
      <c r="M1430" s="30" t="str">
        <f t="shared" si="149"/>
        <v/>
      </c>
      <c r="N1430" s="134"/>
      <c r="O1430" s="29"/>
      <c r="P1430" s="37" t="str">
        <f t="shared" si="150"/>
        <v/>
      </c>
      <c r="Q1430" s="38" t="str">
        <f t="shared" si="151"/>
        <v/>
      </c>
      <c r="R1430" s="37" t="str">
        <f t="shared" si="152"/>
        <v/>
      </c>
      <c r="S1430" s="37" t="str">
        <f t="shared" si="153"/>
        <v/>
      </c>
      <c r="T1430" s="38" t="str">
        <f t="shared" si="154"/>
        <v/>
      </c>
      <c r="U1430" s="37" t="str">
        <f t="shared" si="155"/>
        <v/>
      </c>
    </row>
    <row r="1431" spans="2:21" ht="17.25">
      <c r="B1431" s="156"/>
      <c r="C1431" s="156"/>
      <c r="D1431" s="157"/>
      <c r="E1431" s="155"/>
      <c r="F1431" s="151"/>
      <c r="G1431" s="152"/>
      <c r="H1431" s="153"/>
      <c r="I1431" s="154"/>
      <c r="J1431" s="154"/>
      <c r="K1431" s="30" t="str">
        <f>IF(H1431="","",IF($C$30="간이법","",FPR(H1431,I1431,J1431)))</f>
        <v/>
      </c>
      <c r="L1431" s="30" t="str">
        <f>IF(H1431="","",IF($C$30="상세법",FPV(H1431,K1431),IF(H1431="EI",4,IF(H1431="EO",5.2,IF(H1431="EQ",3.9,IF(H1431="ILF",7.5,IF(H1431="EIF",5.4)))))))</f>
        <v/>
      </c>
      <c r="M1431" s="30" t="str">
        <f t="shared" si="149"/>
        <v/>
      </c>
      <c r="N1431" s="134"/>
      <c r="O1431" s="29"/>
      <c r="P1431" s="37" t="str">
        <f t="shared" si="150"/>
        <v/>
      </c>
      <c r="Q1431" s="38" t="str">
        <f t="shared" si="151"/>
        <v/>
      </c>
      <c r="R1431" s="37" t="str">
        <f t="shared" si="152"/>
        <v/>
      </c>
      <c r="S1431" s="37" t="str">
        <f t="shared" si="153"/>
        <v/>
      </c>
      <c r="T1431" s="38" t="str">
        <f t="shared" si="154"/>
        <v/>
      </c>
      <c r="U1431" s="37" t="str">
        <f t="shared" si="155"/>
        <v/>
      </c>
    </row>
    <row r="1432" spans="2:21" ht="17.25">
      <c r="B1432" s="156"/>
      <c r="C1432" s="156"/>
      <c r="D1432" s="157"/>
      <c r="E1432" s="155"/>
      <c r="F1432" s="151"/>
      <c r="G1432" s="152"/>
      <c r="H1432" s="153"/>
      <c r="I1432" s="154"/>
      <c r="J1432" s="154"/>
      <c r="K1432" s="30" t="str">
        <f>IF(H1432="","",IF($C$30="간이법","",FPR(H1432,I1432,J1432)))</f>
        <v/>
      </c>
      <c r="L1432" s="30" t="str">
        <f>IF(H1432="","",IF($C$30="상세법",FPV(H1432,K1432),IF(H1432="EI",4,IF(H1432="EO",5.2,IF(H1432="EQ",3.9,IF(H1432="ILF",7.5,IF(H1432="EIF",5.4)))))))</f>
        <v/>
      </c>
      <c r="M1432" s="30" t="str">
        <f t="shared" si="149"/>
        <v/>
      </c>
      <c r="N1432" s="134"/>
      <c r="O1432" s="29"/>
      <c r="P1432" s="37" t="str">
        <f t="shared" si="150"/>
        <v/>
      </c>
      <c r="Q1432" s="38" t="str">
        <f t="shared" si="151"/>
        <v/>
      </c>
      <c r="R1432" s="37" t="str">
        <f t="shared" si="152"/>
        <v/>
      </c>
      <c r="S1432" s="37" t="str">
        <f t="shared" si="153"/>
        <v/>
      </c>
      <c r="T1432" s="38" t="str">
        <f t="shared" si="154"/>
        <v/>
      </c>
      <c r="U1432" s="37" t="str">
        <f t="shared" si="155"/>
        <v/>
      </c>
    </row>
    <row r="1433" spans="2:21" ht="17.25">
      <c r="B1433" s="156"/>
      <c r="C1433" s="156"/>
      <c r="D1433" s="157"/>
      <c r="E1433" s="155"/>
      <c r="F1433" s="151"/>
      <c r="G1433" s="152"/>
      <c r="H1433" s="153"/>
      <c r="I1433" s="154"/>
      <c r="J1433" s="154"/>
      <c r="K1433" s="30" t="str">
        <f>IF(H1433="","",IF($C$30="간이법","",FPR(H1433,I1433,J1433)))</f>
        <v/>
      </c>
      <c r="L1433" s="30" t="str">
        <f>IF(H1433="","",IF($C$30="상세법",FPV(H1433,K1433),IF(H1433="EI",4,IF(H1433="EO",5.2,IF(H1433="EQ",3.9,IF(H1433="ILF",7.5,IF(H1433="EIF",5.4)))))))</f>
        <v/>
      </c>
      <c r="M1433" s="30" t="str">
        <f t="shared" si="149"/>
        <v/>
      </c>
      <c r="N1433" s="134"/>
      <c r="O1433" s="29"/>
      <c r="P1433" s="37" t="str">
        <f t="shared" si="150"/>
        <v/>
      </c>
      <c r="Q1433" s="38" t="str">
        <f t="shared" si="151"/>
        <v/>
      </c>
      <c r="R1433" s="37" t="str">
        <f t="shared" si="152"/>
        <v/>
      </c>
      <c r="S1433" s="37" t="str">
        <f t="shared" si="153"/>
        <v/>
      </c>
      <c r="T1433" s="38" t="str">
        <f t="shared" si="154"/>
        <v/>
      </c>
      <c r="U1433" s="37" t="str">
        <f t="shared" si="155"/>
        <v/>
      </c>
    </row>
    <row r="1434" spans="2:21" ht="17.25">
      <c r="B1434" s="156"/>
      <c r="C1434" s="156"/>
      <c r="D1434" s="157"/>
      <c r="E1434" s="155"/>
      <c r="F1434" s="151"/>
      <c r="G1434" s="152"/>
      <c r="H1434" s="153"/>
      <c r="I1434" s="154"/>
      <c r="J1434" s="154"/>
      <c r="K1434" s="30" t="str">
        <f>IF(H1434="","",IF($C$30="간이법","",FPR(H1434,I1434,J1434)))</f>
        <v/>
      </c>
      <c r="L1434" s="30" t="str">
        <f>IF(H1434="","",IF($C$30="상세법",FPV(H1434,K1434),IF(H1434="EI",4,IF(H1434="EO",5.2,IF(H1434="EQ",3.9,IF(H1434="ILF",7.5,IF(H1434="EIF",5.4)))))))</f>
        <v/>
      </c>
      <c r="M1434" s="30" t="str">
        <f t="shared" si="149"/>
        <v/>
      </c>
      <c r="N1434" s="134"/>
      <c r="O1434" s="29"/>
      <c r="P1434" s="37" t="str">
        <f t="shared" si="150"/>
        <v/>
      </c>
      <c r="Q1434" s="38" t="str">
        <f t="shared" si="151"/>
        <v/>
      </c>
      <c r="R1434" s="37" t="str">
        <f t="shared" si="152"/>
        <v/>
      </c>
      <c r="S1434" s="37" t="str">
        <f t="shared" si="153"/>
        <v/>
      </c>
      <c r="T1434" s="38" t="str">
        <f t="shared" si="154"/>
        <v/>
      </c>
      <c r="U1434" s="37" t="str">
        <f t="shared" si="155"/>
        <v/>
      </c>
    </row>
    <row r="1435" spans="2:21" ht="17.25">
      <c r="B1435" s="156"/>
      <c r="C1435" s="156"/>
      <c r="D1435" s="157"/>
      <c r="E1435" s="155"/>
      <c r="F1435" s="151"/>
      <c r="G1435" s="152"/>
      <c r="H1435" s="153"/>
      <c r="I1435" s="154"/>
      <c r="J1435" s="154"/>
      <c r="K1435" s="30" t="str">
        <f>IF(H1435="","",IF($C$30="간이법","",FPR(H1435,I1435,J1435)))</f>
        <v/>
      </c>
      <c r="L1435" s="30" t="str">
        <f>IF(H1435="","",IF($C$30="상세법",FPV(H1435,K1435),IF(H1435="EI",4,IF(H1435="EO",5.2,IF(H1435="EQ",3.9,IF(H1435="ILF",7.5,IF(H1435="EIF",5.4)))))))</f>
        <v/>
      </c>
      <c r="M1435" s="30" t="str">
        <f t="shared" si="149"/>
        <v/>
      </c>
      <c r="N1435" s="134"/>
      <c r="O1435" s="29"/>
      <c r="P1435" s="37" t="str">
        <f t="shared" si="150"/>
        <v/>
      </c>
      <c r="Q1435" s="38" t="str">
        <f t="shared" si="151"/>
        <v/>
      </c>
      <c r="R1435" s="37" t="str">
        <f t="shared" si="152"/>
        <v/>
      </c>
      <c r="S1435" s="37" t="str">
        <f t="shared" si="153"/>
        <v/>
      </c>
      <c r="T1435" s="38" t="str">
        <f t="shared" si="154"/>
        <v/>
      </c>
      <c r="U1435" s="37" t="str">
        <f t="shared" si="155"/>
        <v/>
      </c>
    </row>
    <row r="1436" spans="2:21" ht="17.25">
      <c r="B1436" s="156"/>
      <c r="C1436" s="156"/>
      <c r="D1436" s="157"/>
      <c r="E1436" s="155"/>
      <c r="F1436" s="151"/>
      <c r="G1436" s="152"/>
      <c r="H1436" s="153"/>
      <c r="I1436" s="154"/>
      <c r="J1436" s="154"/>
      <c r="K1436" s="30" t="str">
        <f>IF(H1436="","",IF($C$30="간이법","",FPR(H1436,I1436,J1436)))</f>
        <v/>
      </c>
      <c r="L1436" s="30" t="str">
        <f>IF(H1436="","",IF($C$30="상세법",FPV(H1436,K1436),IF(H1436="EI",4,IF(H1436="EO",5.2,IF(H1436="EQ",3.9,IF(H1436="ILF",7.5,IF(H1436="EIF",5.4)))))))</f>
        <v/>
      </c>
      <c r="M1436" s="30" t="str">
        <f t="shared" si="149"/>
        <v/>
      </c>
      <c r="N1436" s="134"/>
      <c r="O1436" s="29"/>
      <c r="P1436" s="37" t="str">
        <f t="shared" si="150"/>
        <v/>
      </c>
      <c r="Q1436" s="38" t="str">
        <f t="shared" si="151"/>
        <v/>
      </c>
      <c r="R1436" s="37" t="str">
        <f t="shared" si="152"/>
        <v/>
      </c>
      <c r="S1436" s="37" t="str">
        <f t="shared" si="153"/>
        <v/>
      </c>
      <c r="T1436" s="38" t="str">
        <f t="shared" si="154"/>
        <v/>
      </c>
      <c r="U1436" s="37" t="str">
        <f t="shared" si="155"/>
        <v/>
      </c>
    </row>
    <row r="1437" spans="2:21" ht="17.25">
      <c r="B1437" s="156"/>
      <c r="C1437" s="156"/>
      <c r="D1437" s="157"/>
      <c r="E1437" s="155"/>
      <c r="F1437" s="151"/>
      <c r="G1437" s="152"/>
      <c r="H1437" s="153"/>
      <c r="I1437" s="154"/>
      <c r="J1437" s="154"/>
      <c r="K1437" s="30" t="str">
        <f>IF(H1437="","",IF($C$30="간이법","",FPR(H1437,I1437,J1437)))</f>
        <v/>
      </c>
      <c r="L1437" s="30" t="str">
        <f>IF(H1437="","",IF($C$30="상세법",FPV(H1437,K1437),IF(H1437="EI",4,IF(H1437="EO",5.2,IF(H1437="EQ",3.9,IF(H1437="ILF",7.5,IF(H1437="EIF",5.4)))))))</f>
        <v/>
      </c>
      <c r="M1437" s="30" t="str">
        <f t="shared" si="149"/>
        <v/>
      </c>
      <c r="N1437" s="134"/>
      <c r="O1437" s="29"/>
      <c r="P1437" s="37" t="str">
        <f t="shared" si="150"/>
        <v/>
      </c>
      <c r="Q1437" s="38" t="str">
        <f t="shared" si="151"/>
        <v/>
      </c>
      <c r="R1437" s="37" t="str">
        <f t="shared" si="152"/>
        <v/>
      </c>
      <c r="S1437" s="37" t="str">
        <f t="shared" si="153"/>
        <v/>
      </c>
      <c r="T1437" s="38" t="str">
        <f t="shared" si="154"/>
        <v/>
      </c>
      <c r="U1437" s="37" t="str">
        <f t="shared" si="155"/>
        <v/>
      </c>
    </row>
    <row r="1438" spans="2:21" ht="17.25">
      <c r="B1438" s="156"/>
      <c r="C1438" s="156"/>
      <c r="D1438" s="157"/>
      <c r="E1438" s="155"/>
      <c r="F1438" s="151"/>
      <c r="G1438" s="152"/>
      <c r="H1438" s="153"/>
      <c r="I1438" s="154"/>
      <c r="J1438" s="154"/>
      <c r="K1438" s="30" t="str">
        <f>IF(H1438="","",IF($C$30="간이법","",FPR(H1438,I1438,J1438)))</f>
        <v/>
      </c>
      <c r="L1438" s="30" t="str">
        <f>IF(H1438="","",IF($C$30="상세법",FPV(H1438,K1438),IF(H1438="EI",4,IF(H1438="EO",5.2,IF(H1438="EQ",3.9,IF(H1438="ILF",7.5,IF(H1438="EIF",5.4)))))))</f>
        <v/>
      </c>
      <c r="M1438" s="30" t="str">
        <f t="shared" si="149"/>
        <v/>
      </c>
      <c r="N1438" s="134"/>
      <c r="O1438" s="29"/>
      <c r="P1438" s="37" t="str">
        <f t="shared" si="150"/>
        <v/>
      </c>
      <c r="Q1438" s="38" t="str">
        <f t="shared" si="151"/>
        <v/>
      </c>
      <c r="R1438" s="37" t="str">
        <f t="shared" si="152"/>
        <v/>
      </c>
      <c r="S1438" s="37" t="str">
        <f t="shared" si="153"/>
        <v/>
      </c>
      <c r="T1438" s="38" t="str">
        <f t="shared" si="154"/>
        <v/>
      </c>
      <c r="U1438" s="37" t="str">
        <f t="shared" si="155"/>
        <v/>
      </c>
    </row>
    <row r="1439" spans="2:21" ht="17.25">
      <c r="B1439" s="156"/>
      <c r="C1439" s="156"/>
      <c r="D1439" s="157"/>
      <c r="E1439" s="155"/>
      <c r="F1439" s="151"/>
      <c r="G1439" s="152"/>
      <c r="H1439" s="153"/>
      <c r="I1439" s="154"/>
      <c r="J1439" s="154"/>
      <c r="K1439" s="30" t="str">
        <f>IF(H1439="","",IF($C$30="간이법","",FPR(H1439,I1439,J1439)))</f>
        <v/>
      </c>
      <c r="L1439" s="30" t="str">
        <f>IF(H1439="","",IF($C$30="상세법",FPV(H1439,K1439),IF(H1439="EI",4,IF(H1439="EO",5.2,IF(H1439="EQ",3.9,IF(H1439="ILF",7.5,IF(H1439="EIF",5.4)))))))</f>
        <v/>
      </c>
      <c r="M1439" s="30" t="str">
        <f t="shared" si="149"/>
        <v/>
      </c>
      <c r="N1439" s="134"/>
      <c r="O1439" s="29"/>
      <c r="P1439" s="37" t="str">
        <f t="shared" si="150"/>
        <v/>
      </c>
      <c r="Q1439" s="38" t="str">
        <f t="shared" si="151"/>
        <v/>
      </c>
      <c r="R1439" s="37" t="str">
        <f t="shared" si="152"/>
        <v/>
      </c>
      <c r="S1439" s="37" t="str">
        <f t="shared" si="153"/>
        <v/>
      </c>
      <c r="T1439" s="38" t="str">
        <f t="shared" si="154"/>
        <v/>
      </c>
      <c r="U1439" s="37" t="str">
        <f t="shared" si="155"/>
        <v/>
      </c>
    </row>
    <row r="1440" spans="2:21" ht="17.25">
      <c r="B1440" s="156"/>
      <c r="C1440" s="156"/>
      <c r="D1440" s="157"/>
      <c r="E1440" s="155"/>
      <c r="F1440" s="151"/>
      <c r="G1440" s="152"/>
      <c r="H1440" s="153"/>
      <c r="I1440" s="154"/>
      <c r="J1440" s="154"/>
      <c r="K1440" s="30" t="str">
        <f>IF(H1440="","",IF($C$30="간이법","",FPR(H1440,I1440,J1440)))</f>
        <v/>
      </c>
      <c r="L1440" s="30" t="str">
        <f>IF(H1440="","",IF($C$30="상세법",FPV(H1440,K1440),IF(H1440="EI",4,IF(H1440="EO",5.2,IF(H1440="EQ",3.9,IF(H1440="ILF",7.5,IF(H1440="EIF",5.4)))))))</f>
        <v/>
      </c>
      <c r="M1440" s="30" t="str">
        <f t="shared" si="149"/>
        <v/>
      </c>
      <c r="N1440" s="134"/>
      <c r="O1440" s="29"/>
      <c r="P1440" s="37" t="str">
        <f t="shared" si="150"/>
        <v/>
      </c>
      <c r="Q1440" s="38" t="str">
        <f t="shared" si="151"/>
        <v/>
      </c>
      <c r="R1440" s="37" t="str">
        <f t="shared" si="152"/>
        <v/>
      </c>
      <c r="S1440" s="37" t="str">
        <f t="shared" si="153"/>
        <v/>
      </c>
      <c r="T1440" s="38" t="str">
        <f t="shared" si="154"/>
        <v/>
      </c>
      <c r="U1440" s="37" t="str">
        <f t="shared" si="155"/>
        <v/>
      </c>
    </row>
    <row r="1441" spans="2:21" ht="17.25">
      <c r="B1441" s="156"/>
      <c r="C1441" s="156"/>
      <c r="D1441" s="157"/>
      <c r="E1441" s="155"/>
      <c r="F1441" s="151"/>
      <c r="G1441" s="152"/>
      <c r="H1441" s="153"/>
      <c r="I1441" s="154"/>
      <c r="J1441" s="154"/>
      <c r="K1441" s="30" t="str">
        <f>IF(H1441="","",IF($C$30="간이법","",FPR(H1441,I1441,J1441)))</f>
        <v/>
      </c>
      <c r="L1441" s="30" t="str">
        <f>IF(H1441="","",IF($C$30="상세법",FPV(H1441,K1441),IF(H1441="EI",4,IF(H1441="EO",5.2,IF(H1441="EQ",3.9,IF(H1441="ILF",7.5,IF(H1441="EIF",5.4)))))))</f>
        <v/>
      </c>
      <c r="M1441" s="30" t="str">
        <f t="shared" si="149"/>
        <v/>
      </c>
      <c r="N1441" s="134"/>
      <c r="O1441" s="29"/>
      <c r="P1441" s="37" t="str">
        <f t="shared" si="150"/>
        <v/>
      </c>
      <c r="Q1441" s="38" t="str">
        <f t="shared" si="151"/>
        <v/>
      </c>
      <c r="R1441" s="37" t="str">
        <f t="shared" si="152"/>
        <v/>
      </c>
      <c r="S1441" s="37" t="str">
        <f t="shared" si="153"/>
        <v/>
      </c>
      <c r="T1441" s="38" t="str">
        <f t="shared" si="154"/>
        <v/>
      </c>
      <c r="U1441" s="37" t="str">
        <f t="shared" si="155"/>
        <v/>
      </c>
    </row>
    <row r="1442" spans="2:21" ht="17.25">
      <c r="B1442" s="156"/>
      <c r="C1442" s="156"/>
      <c r="D1442" s="157"/>
      <c r="E1442" s="155"/>
      <c r="F1442" s="151"/>
      <c r="G1442" s="152"/>
      <c r="H1442" s="153"/>
      <c r="I1442" s="154"/>
      <c r="J1442" s="154"/>
      <c r="K1442" s="30" t="str">
        <f>IF(H1442="","",IF($C$30="간이법","",FPR(H1442,I1442,J1442)))</f>
        <v/>
      </c>
      <c r="L1442" s="30" t="str">
        <f>IF(H1442="","",IF($C$30="상세법",FPV(H1442,K1442),IF(H1442="EI",4,IF(H1442="EO",5.2,IF(H1442="EQ",3.9,IF(H1442="ILF",7.5,IF(H1442="EIF",5.4)))))))</f>
        <v/>
      </c>
      <c r="M1442" s="30" t="str">
        <f t="shared" si="149"/>
        <v/>
      </c>
      <c r="N1442" s="134"/>
      <c r="O1442" s="29"/>
      <c r="P1442" s="37" t="str">
        <f t="shared" si="150"/>
        <v/>
      </c>
      <c r="Q1442" s="38" t="str">
        <f t="shared" si="151"/>
        <v/>
      </c>
      <c r="R1442" s="37" t="str">
        <f t="shared" si="152"/>
        <v/>
      </c>
      <c r="S1442" s="37" t="str">
        <f t="shared" si="153"/>
        <v/>
      </c>
      <c r="T1442" s="38" t="str">
        <f t="shared" si="154"/>
        <v/>
      </c>
      <c r="U1442" s="37" t="str">
        <f t="shared" si="155"/>
        <v/>
      </c>
    </row>
    <row r="1443" spans="2:21" ht="17.25">
      <c r="B1443" s="156"/>
      <c r="C1443" s="156"/>
      <c r="D1443" s="157"/>
      <c r="E1443" s="155"/>
      <c r="F1443" s="151"/>
      <c r="G1443" s="152"/>
      <c r="H1443" s="153"/>
      <c r="I1443" s="154"/>
      <c r="J1443" s="154"/>
      <c r="K1443" s="30" t="str">
        <f>IF(H1443="","",IF($C$30="간이법","",FPR(H1443,I1443,J1443)))</f>
        <v/>
      </c>
      <c r="L1443" s="30" t="str">
        <f>IF(H1443="","",IF($C$30="상세법",FPV(H1443,K1443),IF(H1443="EI",4,IF(H1443="EO",5.2,IF(H1443="EQ",3.9,IF(H1443="ILF",7.5,IF(H1443="EIF",5.4)))))))</f>
        <v/>
      </c>
      <c r="M1443" s="30" t="str">
        <f t="shared" si="149"/>
        <v/>
      </c>
      <c r="N1443" s="134"/>
      <c r="O1443" s="29"/>
      <c r="P1443" s="37" t="str">
        <f t="shared" si="150"/>
        <v/>
      </c>
      <c r="Q1443" s="38" t="str">
        <f t="shared" si="151"/>
        <v/>
      </c>
      <c r="R1443" s="37" t="str">
        <f t="shared" si="152"/>
        <v/>
      </c>
      <c r="S1443" s="37" t="str">
        <f t="shared" si="153"/>
        <v/>
      </c>
      <c r="T1443" s="38" t="str">
        <f t="shared" si="154"/>
        <v/>
      </c>
      <c r="U1443" s="37" t="str">
        <f t="shared" si="155"/>
        <v/>
      </c>
    </row>
    <row r="1444" spans="2:21" ht="17.25">
      <c r="B1444" s="156"/>
      <c r="C1444" s="156"/>
      <c r="D1444" s="157"/>
      <c r="E1444" s="155"/>
      <c r="F1444" s="151"/>
      <c r="G1444" s="152"/>
      <c r="H1444" s="153"/>
      <c r="I1444" s="154"/>
      <c r="J1444" s="154"/>
      <c r="K1444" s="30" t="str">
        <f>IF(H1444="","",IF($C$30="간이법","",FPR(H1444,I1444,J1444)))</f>
        <v/>
      </c>
      <c r="L1444" s="30" t="str">
        <f>IF(H1444="","",IF($C$30="상세법",FPV(H1444,K1444),IF(H1444="EI",4,IF(H1444="EO",5.2,IF(H1444="EQ",3.9,IF(H1444="ILF",7.5,IF(H1444="EIF",5.4)))))))</f>
        <v/>
      </c>
      <c r="M1444" s="30" t="str">
        <f t="shared" si="149"/>
        <v/>
      </c>
      <c r="N1444" s="134"/>
      <c r="O1444" s="29"/>
      <c r="P1444" s="37" t="str">
        <f t="shared" si="150"/>
        <v/>
      </c>
      <c r="Q1444" s="38" t="str">
        <f t="shared" si="151"/>
        <v/>
      </c>
      <c r="R1444" s="37" t="str">
        <f t="shared" si="152"/>
        <v/>
      </c>
      <c r="S1444" s="37" t="str">
        <f t="shared" si="153"/>
        <v/>
      </c>
      <c r="T1444" s="38" t="str">
        <f t="shared" si="154"/>
        <v/>
      </c>
      <c r="U1444" s="37" t="str">
        <f t="shared" si="155"/>
        <v/>
      </c>
    </row>
    <row r="1445" spans="2:21" ht="17.25">
      <c r="B1445" s="156"/>
      <c r="C1445" s="156"/>
      <c r="D1445" s="157"/>
      <c r="E1445" s="155"/>
      <c r="F1445" s="151"/>
      <c r="G1445" s="152"/>
      <c r="H1445" s="153"/>
      <c r="I1445" s="154"/>
      <c r="J1445" s="154"/>
      <c r="K1445" s="30" t="str">
        <f>IF(H1445="","",IF($C$30="간이법","",FPR(H1445,I1445,J1445)))</f>
        <v/>
      </c>
      <c r="L1445" s="30" t="str">
        <f>IF(H1445="","",IF($C$30="상세법",FPV(H1445,K1445),IF(H1445="EI",4,IF(H1445="EO",5.2,IF(H1445="EQ",3.9,IF(H1445="ILF",7.5,IF(H1445="EIF",5.4)))))))</f>
        <v/>
      </c>
      <c r="M1445" s="30" t="str">
        <f t="shared" si="149"/>
        <v/>
      </c>
      <c r="N1445" s="134"/>
      <c r="O1445" s="29"/>
      <c r="P1445" s="37" t="str">
        <f t="shared" si="150"/>
        <v/>
      </c>
      <c r="Q1445" s="38" t="str">
        <f t="shared" si="151"/>
        <v/>
      </c>
      <c r="R1445" s="37" t="str">
        <f t="shared" si="152"/>
        <v/>
      </c>
      <c r="S1445" s="37" t="str">
        <f t="shared" si="153"/>
        <v/>
      </c>
      <c r="T1445" s="38" t="str">
        <f t="shared" si="154"/>
        <v/>
      </c>
      <c r="U1445" s="37" t="str">
        <f t="shared" si="155"/>
        <v/>
      </c>
    </row>
    <row r="1446" spans="2:21" ht="17.25">
      <c r="B1446" s="156"/>
      <c r="C1446" s="156"/>
      <c r="D1446" s="157"/>
      <c r="E1446" s="155"/>
      <c r="F1446" s="151"/>
      <c r="G1446" s="152"/>
      <c r="H1446" s="153"/>
      <c r="I1446" s="154"/>
      <c r="J1446" s="154"/>
      <c r="K1446" s="30" t="str">
        <f>IF(H1446="","",IF($C$30="간이법","",FPR(H1446,I1446,J1446)))</f>
        <v/>
      </c>
      <c r="L1446" s="30" t="str">
        <f>IF(H1446="","",IF($C$30="상세법",FPV(H1446,K1446),IF(H1446="EI",4,IF(H1446="EO",5.2,IF(H1446="EQ",3.9,IF(H1446="ILF",7.5,IF(H1446="EIF",5.4)))))))</f>
        <v/>
      </c>
      <c r="M1446" s="30" t="str">
        <f t="shared" si="149"/>
        <v/>
      </c>
      <c r="N1446" s="134"/>
      <c r="O1446" s="29"/>
      <c r="P1446" s="37" t="str">
        <f t="shared" si="150"/>
        <v/>
      </c>
      <c r="Q1446" s="38" t="str">
        <f t="shared" si="151"/>
        <v/>
      </c>
      <c r="R1446" s="37" t="str">
        <f t="shared" si="152"/>
        <v/>
      </c>
      <c r="S1446" s="37" t="str">
        <f t="shared" si="153"/>
        <v/>
      </c>
      <c r="T1446" s="38" t="str">
        <f t="shared" si="154"/>
        <v/>
      </c>
      <c r="U1446" s="37" t="str">
        <f t="shared" si="155"/>
        <v/>
      </c>
    </row>
    <row r="1447" spans="2:21" ht="17.25">
      <c r="B1447" s="156"/>
      <c r="C1447" s="156"/>
      <c r="D1447" s="157"/>
      <c r="E1447" s="155"/>
      <c r="F1447" s="151"/>
      <c r="G1447" s="152"/>
      <c r="H1447" s="153"/>
      <c r="I1447" s="154"/>
      <c r="J1447" s="154"/>
      <c r="K1447" s="30" t="str">
        <f>IF(H1447="","",IF($C$30="간이법","",FPR(H1447,I1447,J1447)))</f>
        <v/>
      </c>
      <c r="L1447" s="30" t="str">
        <f>IF(H1447="","",IF($C$30="상세법",FPV(H1447,K1447),IF(H1447="EI",4,IF(H1447="EO",5.2,IF(H1447="EQ",3.9,IF(H1447="ILF",7.5,IF(H1447="EIF",5.4)))))))</f>
        <v/>
      </c>
      <c r="M1447" s="30" t="str">
        <f t="shared" si="149"/>
        <v/>
      </c>
      <c r="N1447" s="134"/>
      <c r="O1447" s="29"/>
      <c r="P1447" s="37" t="str">
        <f t="shared" si="150"/>
        <v/>
      </c>
      <c r="Q1447" s="38" t="str">
        <f t="shared" si="151"/>
        <v/>
      </c>
      <c r="R1447" s="37" t="str">
        <f t="shared" si="152"/>
        <v/>
      </c>
      <c r="S1447" s="37" t="str">
        <f t="shared" si="153"/>
        <v/>
      </c>
      <c r="T1447" s="38" t="str">
        <f t="shared" si="154"/>
        <v/>
      </c>
      <c r="U1447" s="37" t="str">
        <f t="shared" si="155"/>
        <v/>
      </c>
    </row>
    <row r="1448" spans="2:21" ht="17.25">
      <c r="B1448" s="156"/>
      <c r="C1448" s="156"/>
      <c r="D1448" s="157"/>
      <c r="E1448" s="155"/>
      <c r="F1448" s="151"/>
      <c r="G1448" s="152"/>
      <c r="H1448" s="153"/>
      <c r="I1448" s="154"/>
      <c r="J1448" s="154"/>
      <c r="K1448" s="30" t="str">
        <f>IF(H1448="","",IF($C$30="간이법","",FPR(H1448,I1448,J1448)))</f>
        <v/>
      </c>
      <c r="L1448" s="30" t="str">
        <f>IF(H1448="","",IF($C$30="상세법",FPV(H1448,K1448),IF(H1448="EI",4,IF(H1448="EO",5.2,IF(H1448="EQ",3.9,IF(H1448="ILF",7.5,IF(H1448="EIF",5.4)))))))</f>
        <v/>
      </c>
      <c r="M1448" s="30" t="str">
        <f t="shared" si="149"/>
        <v/>
      </c>
      <c r="N1448" s="134"/>
      <c r="O1448" s="29"/>
      <c r="P1448" s="37" t="str">
        <f t="shared" si="150"/>
        <v/>
      </c>
      <c r="Q1448" s="38" t="str">
        <f t="shared" si="151"/>
        <v/>
      </c>
      <c r="R1448" s="37" t="str">
        <f t="shared" si="152"/>
        <v/>
      </c>
      <c r="S1448" s="37" t="str">
        <f t="shared" si="153"/>
        <v/>
      </c>
      <c r="T1448" s="38" t="str">
        <f t="shared" si="154"/>
        <v/>
      </c>
      <c r="U1448" s="37" t="str">
        <f t="shared" si="155"/>
        <v/>
      </c>
    </row>
    <row r="1449" spans="2:21" ht="17.25">
      <c r="B1449" s="156"/>
      <c r="C1449" s="156"/>
      <c r="D1449" s="157"/>
      <c r="E1449" s="155"/>
      <c r="F1449" s="151"/>
      <c r="G1449" s="152"/>
      <c r="H1449" s="153"/>
      <c r="I1449" s="154"/>
      <c r="J1449" s="154"/>
      <c r="K1449" s="30" t="str">
        <f>IF(H1449="","",IF($C$30="간이법","",FPR(H1449,I1449,J1449)))</f>
        <v/>
      </c>
      <c r="L1449" s="30" t="str">
        <f>IF(H1449="","",IF($C$30="상세법",FPV(H1449,K1449),IF(H1449="EI",4,IF(H1449="EO",5.2,IF(H1449="EQ",3.9,IF(H1449="ILF",7.5,IF(H1449="EIF",5.4)))))))</f>
        <v/>
      </c>
      <c r="M1449" s="30" t="str">
        <f t="shared" si="149"/>
        <v/>
      </c>
      <c r="N1449" s="134"/>
      <c r="O1449" s="29"/>
      <c r="P1449" s="37" t="str">
        <f t="shared" si="150"/>
        <v/>
      </c>
      <c r="Q1449" s="38" t="str">
        <f t="shared" si="151"/>
        <v/>
      </c>
      <c r="R1449" s="37" t="str">
        <f t="shared" si="152"/>
        <v/>
      </c>
      <c r="S1449" s="37" t="str">
        <f t="shared" si="153"/>
        <v/>
      </c>
      <c r="T1449" s="38" t="str">
        <f t="shared" si="154"/>
        <v/>
      </c>
      <c r="U1449" s="37" t="str">
        <f t="shared" si="155"/>
        <v/>
      </c>
    </row>
    <row r="1450" spans="2:21" ht="17.25">
      <c r="B1450" s="156"/>
      <c r="C1450" s="156"/>
      <c r="D1450" s="157"/>
      <c r="E1450" s="155"/>
      <c r="F1450" s="151"/>
      <c r="G1450" s="152"/>
      <c r="H1450" s="153"/>
      <c r="I1450" s="154"/>
      <c r="J1450" s="154"/>
      <c r="K1450" s="30" t="str">
        <f>IF(H1450="","",IF($C$30="간이법","",FPR(H1450,I1450,J1450)))</f>
        <v/>
      </c>
      <c r="L1450" s="30" t="str">
        <f>IF(H1450="","",IF($C$30="상세법",FPV(H1450,K1450),IF(H1450="EI",4,IF(H1450="EO",5.2,IF(H1450="EQ",3.9,IF(H1450="ILF",7.5,IF(H1450="EIF",5.4)))))))</f>
        <v/>
      </c>
      <c r="M1450" s="30" t="str">
        <f t="shared" si="149"/>
        <v/>
      </c>
      <c r="N1450" s="134"/>
      <c r="O1450" s="29"/>
      <c r="P1450" s="37" t="str">
        <f t="shared" si="150"/>
        <v/>
      </c>
      <c r="Q1450" s="38" t="str">
        <f t="shared" si="151"/>
        <v/>
      </c>
      <c r="R1450" s="37" t="str">
        <f t="shared" si="152"/>
        <v/>
      </c>
      <c r="S1450" s="37" t="str">
        <f t="shared" si="153"/>
        <v/>
      </c>
      <c r="T1450" s="38" t="str">
        <f t="shared" si="154"/>
        <v/>
      </c>
      <c r="U1450" s="37" t="str">
        <f t="shared" si="155"/>
        <v/>
      </c>
    </row>
    <row r="1451" spans="2:21" ht="17.25">
      <c r="B1451" s="156"/>
      <c r="C1451" s="156"/>
      <c r="D1451" s="157"/>
      <c r="E1451" s="155"/>
      <c r="F1451" s="151"/>
      <c r="G1451" s="152"/>
      <c r="H1451" s="153"/>
      <c r="I1451" s="154"/>
      <c r="J1451" s="154"/>
      <c r="K1451" s="30" t="str">
        <f>IF(H1451="","",IF($C$30="간이법","",FPR(H1451,I1451,J1451)))</f>
        <v/>
      </c>
      <c r="L1451" s="30" t="str">
        <f>IF(H1451="","",IF($C$30="상세법",FPV(H1451,K1451),IF(H1451="EI",4,IF(H1451="EO",5.2,IF(H1451="EQ",3.9,IF(H1451="ILF",7.5,IF(H1451="EIF",5.4)))))))</f>
        <v/>
      </c>
      <c r="M1451" s="30" t="str">
        <f t="shared" si="149"/>
        <v/>
      </c>
      <c r="N1451" s="134"/>
      <c r="O1451" s="29"/>
      <c r="P1451" s="37" t="str">
        <f t="shared" si="150"/>
        <v/>
      </c>
      <c r="Q1451" s="38" t="str">
        <f t="shared" si="151"/>
        <v/>
      </c>
      <c r="R1451" s="37" t="str">
        <f t="shared" si="152"/>
        <v/>
      </c>
      <c r="S1451" s="37" t="str">
        <f t="shared" si="153"/>
        <v/>
      </c>
      <c r="T1451" s="38" t="str">
        <f t="shared" si="154"/>
        <v/>
      </c>
      <c r="U1451" s="37" t="str">
        <f t="shared" si="155"/>
        <v/>
      </c>
    </row>
    <row r="1452" spans="2:21" ht="17.25">
      <c r="B1452" s="156"/>
      <c r="C1452" s="156"/>
      <c r="D1452" s="157"/>
      <c r="E1452" s="155"/>
      <c r="F1452" s="151"/>
      <c r="G1452" s="152"/>
      <c r="H1452" s="153"/>
      <c r="I1452" s="154"/>
      <c r="J1452" s="154"/>
      <c r="K1452" s="30" t="str">
        <f>IF(H1452="","",IF($C$30="간이법","",FPR(H1452,I1452,J1452)))</f>
        <v/>
      </c>
      <c r="L1452" s="30" t="str">
        <f>IF(H1452="","",IF($C$30="상세법",FPV(H1452,K1452),IF(H1452="EI",4,IF(H1452="EO",5.2,IF(H1452="EQ",3.9,IF(H1452="ILF",7.5,IF(H1452="EIF",5.4)))))))</f>
        <v/>
      </c>
      <c r="M1452" s="30" t="str">
        <f t="shared" si="149"/>
        <v/>
      </c>
      <c r="N1452" s="134"/>
      <c r="O1452" s="29"/>
      <c r="P1452" s="37" t="str">
        <f t="shared" si="150"/>
        <v/>
      </c>
      <c r="Q1452" s="38" t="str">
        <f t="shared" si="151"/>
        <v/>
      </c>
      <c r="R1452" s="37" t="str">
        <f t="shared" si="152"/>
        <v/>
      </c>
      <c r="S1452" s="37" t="str">
        <f t="shared" si="153"/>
        <v/>
      </c>
      <c r="T1452" s="38" t="str">
        <f t="shared" si="154"/>
        <v/>
      </c>
      <c r="U1452" s="37" t="str">
        <f t="shared" si="155"/>
        <v/>
      </c>
    </row>
    <row r="1453" spans="2:21" ht="17.25">
      <c r="B1453" s="156"/>
      <c r="C1453" s="156"/>
      <c r="D1453" s="157"/>
      <c r="E1453" s="155"/>
      <c r="F1453" s="151"/>
      <c r="G1453" s="152"/>
      <c r="H1453" s="153"/>
      <c r="I1453" s="154"/>
      <c r="J1453" s="154"/>
      <c r="K1453" s="30" t="str">
        <f>IF(H1453="","",IF($C$30="간이법","",FPR(H1453,I1453,J1453)))</f>
        <v/>
      </c>
      <c r="L1453" s="30" t="str">
        <f>IF(H1453="","",IF($C$30="상세법",FPV(H1453,K1453),IF(H1453="EI",4,IF(H1453="EO",5.2,IF(H1453="EQ",3.9,IF(H1453="ILF",7.5,IF(H1453="EIF",5.4)))))))</f>
        <v/>
      </c>
      <c r="M1453" s="30" t="str">
        <f t="shared" si="149"/>
        <v/>
      </c>
      <c r="N1453" s="134"/>
      <c r="O1453" s="29"/>
      <c r="P1453" s="37" t="str">
        <f t="shared" si="150"/>
        <v/>
      </c>
      <c r="Q1453" s="38" t="str">
        <f t="shared" si="151"/>
        <v/>
      </c>
      <c r="R1453" s="37" t="str">
        <f t="shared" si="152"/>
        <v/>
      </c>
      <c r="S1453" s="37" t="str">
        <f t="shared" si="153"/>
        <v/>
      </c>
      <c r="T1453" s="38" t="str">
        <f t="shared" si="154"/>
        <v/>
      </c>
      <c r="U1453" s="37" t="str">
        <f t="shared" si="155"/>
        <v/>
      </c>
    </row>
    <row r="1454" spans="2:21" ht="17.25">
      <c r="B1454" s="156"/>
      <c r="C1454" s="156"/>
      <c r="D1454" s="157"/>
      <c r="E1454" s="155"/>
      <c r="F1454" s="151"/>
      <c r="G1454" s="152"/>
      <c r="H1454" s="153"/>
      <c r="I1454" s="154"/>
      <c r="J1454" s="154"/>
      <c r="K1454" s="30" t="str">
        <f>IF(H1454="","",IF($C$30="간이법","",FPR(H1454,I1454,J1454)))</f>
        <v/>
      </c>
      <c r="L1454" s="30" t="str">
        <f>IF(H1454="","",IF($C$30="상세법",FPV(H1454,K1454),IF(H1454="EI",4,IF(H1454="EO",5.2,IF(H1454="EQ",3.9,IF(H1454="ILF",7.5,IF(H1454="EIF",5.4)))))))</f>
        <v/>
      </c>
      <c r="M1454" s="30" t="str">
        <f t="shared" si="149"/>
        <v/>
      </c>
      <c r="N1454" s="134"/>
      <c r="O1454" s="29"/>
      <c r="P1454" s="37" t="str">
        <f t="shared" si="150"/>
        <v/>
      </c>
      <c r="Q1454" s="38" t="str">
        <f t="shared" si="151"/>
        <v/>
      </c>
      <c r="R1454" s="37" t="str">
        <f t="shared" si="152"/>
        <v/>
      </c>
      <c r="S1454" s="37" t="str">
        <f t="shared" si="153"/>
        <v/>
      </c>
      <c r="T1454" s="38" t="str">
        <f t="shared" si="154"/>
        <v/>
      </c>
      <c r="U1454" s="37" t="str">
        <f t="shared" si="155"/>
        <v/>
      </c>
    </row>
    <row r="1455" spans="2:21" ht="17.25">
      <c r="B1455" s="156"/>
      <c r="C1455" s="156"/>
      <c r="D1455" s="157"/>
      <c r="E1455" s="155"/>
      <c r="F1455" s="151"/>
      <c r="G1455" s="152"/>
      <c r="H1455" s="153"/>
      <c r="I1455" s="154"/>
      <c r="J1455" s="154"/>
      <c r="K1455" s="30" t="str">
        <f>IF(H1455="","",IF($C$30="간이법","",FPR(H1455,I1455,J1455)))</f>
        <v/>
      </c>
      <c r="L1455" s="30" t="str">
        <f>IF(H1455="","",IF($C$30="상세법",FPV(H1455,K1455),IF(H1455="EI",4,IF(H1455="EO",5.2,IF(H1455="EQ",3.9,IF(H1455="ILF",7.5,IF(H1455="EIF",5.4)))))))</f>
        <v/>
      </c>
      <c r="M1455" s="30" t="str">
        <f t="shared" si="149"/>
        <v/>
      </c>
      <c r="N1455" s="134"/>
      <c r="O1455" s="29"/>
      <c r="P1455" s="37" t="str">
        <f t="shared" si="150"/>
        <v/>
      </c>
      <c r="Q1455" s="38" t="str">
        <f t="shared" si="151"/>
        <v/>
      </c>
      <c r="R1455" s="37" t="str">
        <f t="shared" si="152"/>
        <v/>
      </c>
      <c r="S1455" s="37" t="str">
        <f t="shared" si="153"/>
        <v/>
      </c>
      <c r="T1455" s="38" t="str">
        <f t="shared" si="154"/>
        <v/>
      </c>
      <c r="U1455" s="37" t="str">
        <f t="shared" si="155"/>
        <v/>
      </c>
    </row>
    <row r="1456" spans="2:21" ht="17.25">
      <c r="B1456" s="156"/>
      <c r="C1456" s="156"/>
      <c r="D1456" s="157"/>
      <c r="E1456" s="155"/>
      <c r="F1456" s="151"/>
      <c r="G1456" s="152"/>
      <c r="H1456" s="153"/>
      <c r="I1456" s="154"/>
      <c r="J1456" s="154"/>
      <c r="K1456" s="30" t="str">
        <f>IF(H1456="","",IF($C$30="간이법","",FPR(H1456,I1456,J1456)))</f>
        <v/>
      </c>
      <c r="L1456" s="30" t="str">
        <f>IF(H1456="","",IF($C$30="상세법",FPV(H1456,K1456),IF(H1456="EI",4,IF(H1456="EO",5.2,IF(H1456="EQ",3.9,IF(H1456="ILF",7.5,IF(H1456="EIF",5.4)))))))</f>
        <v/>
      </c>
      <c r="M1456" s="30" t="str">
        <f t="shared" si="149"/>
        <v/>
      </c>
      <c r="N1456" s="134"/>
      <c r="O1456" s="29"/>
      <c r="P1456" s="37" t="str">
        <f t="shared" si="150"/>
        <v/>
      </c>
      <c r="Q1456" s="38" t="str">
        <f t="shared" si="151"/>
        <v/>
      </c>
      <c r="R1456" s="37" t="str">
        <f t="shared" si="152"/>
        <v/>
      </c>
      <c r="S1456" s="37" t="str">
        <f t="shared" si="153"/>
        <v/>
      </c>
      <c r="T1456" s="38" t="str">
        <f t="shared" si="154"/>
        <v/>
      </c>
      <c r="U1456" s="37" t="str">
        <f t="shared" si="155"/>
        <v/>
      </c>
    </row>
    <row r="1457" spans="2:21" ht="17.25">
      <c r="B1457" s="156"/>
      <c r="C1457" s="156"/>
      <c r="D1457" s="157"/>
      <c r="E1457" s="155"/>
      <c r="F1457" s="151"/>
      <c r="G1457" s="152"/>
      <c r="H1457" s="153"/>
      <c r="I1457" s="154"/>
      <c r="J1457" s="154"/>
      <c r="K1457" s="30" t="str">
        <f>IF(H1457="","",IF($C$30="간이법","",FPR(H1457,I1457,J1457)))</f>
        <v/>
      </c>
      <c r="L1457" s="30" t="str">
        <f>IF(H1457="","",IF($C$30="상세법",FPV(H1457,K1457),IF(H1457="EI",4,IF(H1457="EO",5.2,IF(H1457="EQ",3.9,IF(H1457="ILF",7.5,IF(H1457="EIF",5.4)))))))</f>
        <v/>
      </c>
      <c r="M1457" s="30" t="str">
        <f t="shared" si="149"/>
        <v/>
      </c>
      <c r="N1457" s="134"/>
      <c r="O1457" s="29"/>
      <c r="P1457" s="37" t="str">
        <f t="shared" si="150"/>
        <v/>
      </c>
      <c r="Q1457" s="38" t="str">
        <f t="shared" si="151"/>
        <v/>
      </c>
      <c r="R1457" s="37" t="str">
        <f t="shared" si="152"/>
        <v/>
      </c>
      <c r="S1457" s="37" t="str">
        <f t="shared" si="153"/>
        <v/>
      </c>
      <c r="T1457" s="38" t="str">
        <f t="shared" si="154"/>
        <v/>
      </c>
      <c r="U1457" s="37" t="str">
        <f t="shared" si="155"/>
        <v/>
      </c>
    </row>
    <row r="1458" spans="2:21" ht="17.25">
      <c r="B1458" s="156"/>
      <c r="C1458" s="156"/>
      <c r="D1458" s="157"/>
      <c r="E1458" s="155"/>
      <c r="F1458" s="151"/>
      <c r="G1458" s="152"/>
      <c r="H1458" s="153"/>
      <c r="I1458" s="154"/>
      <c r="J1458" s="154"/>
      <c r="K1458" s="30" t="str">
        <f>IF(H1458="","",IF($C$30="간이법","",FPR(H1458,I1458,J1458)))</f>
        <v/>
      </c>
      <c r="L1458" s="30" t="str">
        <f>IF(H1458="","",IF($C$30="상세법",FPV(H1458,K1458),IF(H1458="EI",4,IF(H1458="EO",5.2,IF(H1458="EQ",3.9,IF(H1458="ILF",7.5,IF(H1458="EIF",5.4)))))))</f>
        <v/>
      </c>
      <c r="M1458" s="30" t="str">
        <f t="shared" si="149"/>
        <v/>
      </c>
      <c r="N1458" s="134"/>
      <c r="O1458" s="29"/>
      <c r="P1458" s="37" t="str">
        <f t="shared" si="150"/>
        <v/>
      </c>
      <c r="Q1458" s="38" t="str">
        <f t="shared" si="151"/>
        <v/>
      </c>
      <c r="R1458" s="37" t="str">
        <f t="shared" si="152"/>
        <v/>
      </c>
      <c r="S1458" s="37" t="str">
        <f t="shared" si="153"/>
        <v/>
      </c>
      <c r="T1458" s="38" t="str">
        <f t="shared" si="154"/>
        <v/>
      </c>
      <c r="U1458" s="37" t="str">
        <f t="shared" si="155"/>
        <v/>
      </c>
    </row>
    <row r="1459" spans="2:21" ht="17.25">
      <c r="B1459" s="156"/>
      <c r="C1459" s="156"/>
      <c r="D1459" s="157"/>
      <c r="E1459" s="155"/>
      <c r="F1459" s="151"/>
      <c r="G1459" s="152"/>
      <c r="H1459" s="153"/>
      <c r="I1459" s="154"/>
      <c r="J1459" s="154"/>
      <c r="K1459" s="30" t="str">
        <f>IF(H1459="","",IF($C$30="간이법","",FPR(H1459,I1459,J1459)))</f>
        <v/>
      </c>
      <c r="L1459" s="30" t="str">
        <f>IF(H1459="","",IF($C$30="상세법",FPV(H1459,K1459),IF(H1459="EI",4,IF(H1459="EO",5.2,IF(H1459="EQ",3.9,IF(H1459="ILF",7.5,IF(H1459="EIF",5.4)))))))</f>
        <v/>
      </c>
      <c r="M1459" s="30" t="str">
        <f t="shared" si="149"/>
        <v/>
      </c>
      <c r="N1459" s="134"/>
      <c r="O1459" s="29"/>
      <c r="P1459" s="37" t="str">
        <f t="shared" si="150"/>
        <v/>
      </c>
      <c r="Q1459" s="38" t="str">
        <f t="shared" si="151"/>
        <v/>
      </c>
      <c r="R1459" s="37" t="str">
        <f t="shared" si="152"/>
        <v/>
      </c>
      <c r="S1459" s="37" t="str">
        <f t="shared" si="153"/>
        <v/>
      </c>
      <c r="T1459" s="38" t="str">
        <f t="shared" si="154"/>
        <v/>
      </c>
      <c r="U1459" s="37" t="str">
        <f t="shared" si="155"/>
        <v/>
      </c>
    </row>
    <row r="1460" spans="2:21" ht="17.25">
      <c r="B1460" s="156"/>
      <c r="C1460" s="156"/>
      <c r="D1460" s="157"/>
      <c r="E1460" s="155"/>
      <c r="F1460" s="151"/>
      <c r="G1460" s="152"/>
      <c r="H1460" s="153"/>
      <c r="I1460" s="154"/>
      <c r="J1460" s="154"/>
      <c r="K1460" s="30" t="str">
        <f>IF(H1460="","",IF($C$30="간이법","",FPR(H1460,I1460,J1460)))</f>
        <v/>
      </c>
      <c r="L1460" s="30" t="str">
        <f>IF(H1460="","",IF($C$30="상세법",FPV(H1460,K1460),IF(H1460="EI",4,IF(H1460="EO",5.2,IF(H1460="EQ",3.9,IF(H1460="ILF",7.5,IF(H1460="EIF",5.4)))))))</f>
        <v/>
      </c>
      <c r="M1460" s="30" t="str">
        <f t="shared" si="149"/>
        <v/>
      </c>
      <c r="N1460" s="134"/>
      <c r="O1460" s="29"/>
      <c r="P1460" s="37" t="str">
        <f t="shared" si="150"/>
        <v/>
      </c>
      <c r="Q1460" s="38" t="str">
        <f t="shared" si="151"/>
        <v/>
      </c>
      <c r="R1460" s="37" t="str">
        <f t="shared" si="152"/>
        <v/>
      </c>
      <c r="S1460" s="37" t="str">
        <f t="shared" si="153"/>
        <v/>
      </c>
      <c r="T1460" s="38" t="str">
        <f t="shared" si="154"/>
        <v/>
      </c>
      <c r="U1460" s="37" t="str">
        <f t="shared" si="155"/>
        <v/>
      </c>
    </row>
    <row r="1461" spans="2:21" ht="17.25">
      <c r="B1461" s="156"/>
      <c r="C1461" s="156"/>
      <c r="D1461" s="157"/>
      <c r="E1461" s="155"/>
      <c r="F1461" s="151"/>
      <c r="G1461" s="152"/>
      <c r="H1461" s="153"/>
      <c r="I1461" s="154"/>
      <c r="J1461" s="154"/>
      <c r="K1461" s="30" t="str">
        <f>IF(H1461="","",IF($C$30="간이법","",FPR(H1461,I1461,J1461)))</f>
        <v/>
      </c>
      <c r="L1461" s="30" t="str">
        <f>IF(H1461="","",IF($C$30="상세법",FPV(H1461,K1461),IF(H1461="EI",4,IF(H1461="EO",5.2,IF(H1461="EQ",3.9,IF(H1461="ILF",7.5,IF(H1461="EIF",5.4)))))))</f>
        <v/>
      </c>
      <c r="M1461" s="30" t="str">
        <f t="shared" si="149"/>
        <v/>
      </c>
      <c r="N1461" s="134"/>
      <c r="O1461" s="29"/>
      <c r="P1461" s="37" t="str">
        <f t="shared" si="150"/>
        <v/>
      </c>
      <c r="Q1461" s="38" t="str">
        <f t="shared" si="151"/>
        <v/>
      </c>
      <c r="R1461" s="37" t="str">
        <f t="shared" si="152"/>
        <v/>
      </c>
      <c r="S1461" s="37" t="str">
        <f t="shared" si="153"/>
        <v/>
      </c>
      <c r="T1461" s="38" t="str">
        <f t="shared" si="154"/>
        <v/>
      </c>
      <c r="U1461" s="37" t="str">
        <f t="shared" si="155"/>
        <v/>
      </c>
    </row>
    <row r="1462" spans="2:21" ht="17.25">
      <c r="B1462" s="156"/>
      <c r="C1462" s="156"/>
      <c r="D1462" s="157"/>
      <c r="E1462" s="155"/>
      <c r="F1462" s="151"/>
      <c r="G1462" s="152"/>
      <c r="H1462" s="153"/>
      <c r="I1462" s="154"/>
      <c r="J1462" s="154"/>
      <c r="K1462" s="30" t="str">
        <f>IF(H1462="","",IF($C$30="간이법","",FPR(H1462,I1462,J1462)))</f>
        <v/>
      </c>
      <c r="L1462" s="30" t="str">
        <f>IF(H1462="","",IF($C$30="상세법",FPV(H1462,K1462),IF(H1462="EI",4,IF(H1462="EO",5.2,IF(H1462="EQ",3.9,IF(H1462="ILF",7.5,IF(H1462="EIF",5.4)))))))</f>
        <v/>
      </c>
      <c r="M1462" s="30" t="str">
        <f t="shared" si="149"/>
        <v/>
      </c>
      <c r="N1462" s="134"/>
      <c r="O1462" s="29"/>
      <c r="P1462" s="37" t="str">
        <f t="shared" si="150"/>
        <v/>
      </c>
      <c r="Q1462" s="38" t="str">
        <f t="shared" si="151"/>
        <v/>
      </c>
      <c r="R1462" s="37" t="str">
        <f t="shared" si="152"/>
        <v/>
      </c>
      <c r="S1462" s="37" t="str">
        <f t="shared" si="153"/>
        <v/>
      </c>
      <c r="T1462" s="38" t="str">
        <f t="shared" si="154"/>
        <v/>
      </c>
      <c r="U1462" s="37" t="str">
        <f t="shared" si="155"/>
        <v/>
      </c>
    </row>
    <row r="1463" spans="2:21" ht="17.25">
      <c r="B1463" s="156"/>
      <c r="C1463" s="156"/>
      <c r="D1463" s="157"/>
      <c r="E1463" s="155"/>
      <c r="F1463" s="151"/>
      <c r="G1463" s="152"/>
      <c r="H1463" s="153"/>
      <c r="I1463" s="154"/>
      <c r="J1463" s="154"/>
      <c r="K1463" s="30" t="str">
        <f>IF(H1463="","",IF($C$30="간이법","",FPR(H1463,I1463,J1463)))</f>
        <v/>
      </c>
      <c r="L1463" s="30" t="str">
        <f>IF(H1463="","",IF($C$30="상세법",FPV(H1463,K1463),IF(H1463="EI",4,IF(H1463="EO",5.2,IF(H1463="EQ",3.9,IF(H1463="ILF",7.5,IF(H1463="EIF",5.4)))))))</f>
        <v/>
      </c>
      <c r="M1463" s="30" t="str">
        <f t="shared" si="149"/>
        <v/>
      </c>
      <c r="N1463" s="134"/>
      <c r="O1463" s="29"/>
      <c r="P1463" s="37" t="str">
        <f t="shared" si="150"/>
        <v/>
      </c>
      <c r="Q1463" s="38" t="str">
        <f t="shared" si="151"/>
        <v/>
      </c>
      <c r="R1463" s="37" t="str">
        <f t="shared" si="152"/>
        <v/>
      </c>
      <c r="S1463" s="37" t="str">
        <f t="shared" si="153"/>
        <v/>
      </c>
      <c r="T1463" s="38" t="str">
        <f t="shared" si="154"/>
        <v/>
      </c>
      <c r="U1463" s="37" t="str">
        <f t="shared" si="155"/>
        <v/>
      </c>
    </row>
    <row r="1464" spans="2:21" ht="17.25">
      <c r="B1464" s="156"/>
      <c r="C1464" s="156"/>
      <c r="D1464" s="157"/>
      <c r="E1464" s="155"/>
      <c r="F1464" s="151"/>
      <c r="G1464" s="152"/>
      <c r="H1464" s="153"/>
      <c r="I1464" s="154"/>
      <c r="J1464" s="154"/>
      <c r="K1464" s="30" t="str">
        <f>IF(H1464="","",IF($C$30="간이법","",FPR(H1464,I1464,J1464)))</f>
        <v/>
      </c>
      <c r="L1464" s="30" t="str">
        <f>IF(H1464="","",IF($C$30="상세법",FPV(H1464,K1464),IF(H1464="EI",4,IF(H1464="EO",5.2,IF(H1464="EQ",3.9,IF(H1464="ILF",7.5,IF(H1464="EIF",5.4)))))))</f>
        <v/>
      </c>
      <c r="M1464" s="30" t="str">
        <f t="shared" si="149"/>
        <v/>
      </c>
      <c r="N1464" s="134"/>
      <c r="O1464" s="29"/>
      <c r="P1464" s="37" t="str">
        <f t="shared" si="150"/>
        <v/>
      </c>
      <c r="Q1464" s="38" t="str">
        <f t="shared" si="151"/>
        <v/>
      </c>
      <c r="R1464" s="37" t="str">
        <f t="shared" si="152"/>
        <v/>
      </c>
      <c r="S1464" s="37" t="str">
        <f t="shared" si="153"/>
        <v/>
      </c>
      <c r="T1464" s="38" t="str">
        <f t="shared" si="154"/>
        <v/>
      </c>
      <c r="U1464" s="37" t="str">
        <f t="shared" si="155"/>
        <v/>
      </c>
    </row>
    <row r="1465" spans="2:21" ht="17.25">
      <c r="B1465" s="156"/>
      <c r="C1465" s="156"/>
      <c r="D1465" s="157"/>
      <c r="E1465" s="155"/>
      <c r="F1465" s="151"/>
      <c r="G1465" s="152"/>
      <c r="H1465" s="153"/>
      <c r="I1465" s="154"/>
      <c r="J1465" s="154"/>
      <c r="K1465" s="30" t="str">
        <f>IF(H1465="","",IF($C$30="간이법","",FPR(H1465,I1465,J1465)))</f>
        <v/>
      </c>
      <c r="L1465" s="30" t="str">
        <f>IF(H1465="","",IF($C$30="상세법",FPV(H1465,K1465),IF(H1465="EI",4,IF(H1465="EO",5.2,IF(H1465="EQ",3.9,IF(H1465="ILF",7.5,IF(H1465="EIF",5.4)))))))</f>
        <v/>
      </c>
      <c r="M1465" s="30" t="str">
        <f t="shared" si="149"/>
        <v/>
      </c>
      <c r="N1465" s="134"/>
      <c r="O1465" s="29"/>
      <c r="P1465" s="37" t="str">
        <f t="shared" si="150"/>
        <v/>
      </c>
      <c r="Q1465" s="38" t="str">
        <f t="shared" si="151"/>
        <v/>
      </c>
      <c r="R1465" s="37" t="str">
        <f t="shared" si="152"/>
        <v/>
      </c>
      <c r="S1465" s="37" t="str">
        <f t="shared" si="153"/>
        <v/>
      </c>
      <c r="T1465" s="38" t="str">
        <f t="shared" si="154"/>
        <v/>
      </c>
      <c r="U1465" s="37" t="str">
        <f t="shared" si="155"/>
        <v/>
      </c>
    </row>
    <row r="1466" spans="2:21" ht="17.25">
      <c r="B1466" s="156"/>
      <c r="C1466" s="156"/>
      <c r="D1466" s="157"/>
      <c r="E1466" s="155"/>
      <c r="F1466" s="151"/>
      <c r="G1466" s="152"/>
      <c r="H1466" s="153"/>
      <c r="I1466" s="154"/>
      <c r="J1466" s="154"/>
      <c r="K1466" s="30" t="str">
        <f>IF(H1466="","",IF($C$30="간이법","",FPR(H1466,I1466,J1466)))</f>
        <v/>
      </c>
      <c r="L1466" s="30" t="str">
        <f>IF(H1466="","",IF($C$30="상세법",FPV(H1466,K1466),IF(H1466="EI",4,IF(H1466="EO",5.2,IF(H1466="EQ",3.9,IF(H1466="ILF",7.5,IF(H1466="EIF",5.4)))))))</f>
        <v/>
      </c>
      <c r="M1466" s="30" t="str">
        <f t="shared" si="149"/>
        <v/>
      </c>
      <c r="N1466" s="134"/>
      <c r="O1466" s="29"/>
      <c r="P1466" s="37" t="str">
        <f t="shared" si="150"/>
        <v/>
      </c>
      <c r="Q1466" s="38" t="str">
        <f t="shared" si="151"/>
        <v/>
      </c>
      <c r="R1466" s="37" t="str">
        <f t="shared" si="152"/>
        <v/>
      </c>
      <c r="S1466" s="37" t="str">
        <f t="shared" si="153"/>
        <v/>
      </c>
      <c r="T1466" s="38" t="str">
        <f t="shared" si="154"/>
        <v/>
      </c>
      <c r="U1466" s="37" t="str">
        <f t="shared" si="155"/>
        <v/>
      </c>
    </row>
    <row r="1467" spans="2:21" ht="17.25">
      <c r="B1467" s="156"/>
      <c r="C1467" s="156"/>
      <c r="D1467" s="157"/>
      <c r="E1467" s="155"/>
      <c r="F1467" s="151"/>
      <c r="G1467" s="152"/>
      <c r="H1467" s="153"/>
      <c r="I1467" s="154"/>
      <c r="J1467" s="154"/>
      <c r="K1467" s="30" t="str">
        <f>IF(H1467="","",IF($C$30="간이법","",FPR(H1467,I1467,J1467)))</f>
        <v/>
      </c>
      <c r="L1467" s="30" t="str">
        <f>IF(H1467="","",IF($C$30="상세법",FPV(H1467,K1467),IF(H1467="EI",4,IF(H1467="EO",5.2,IF(H1467="EQ",3.9,IF(H1467="ILF",7.5,IF(H1467="EIF",5.4)))))))</f>
        <v/>
      </c>
      <c r="M1467" s="30" t="str">
        <f t="shared" si="149"/>
        <v/>
      </c>
      <c r="N1467" s="134"/>
      <c r="O1467" s="29"/>
      <c r="P1467" s="37" t="str">
        <f t="shared" si="150"/>
        <v/>
      </c>
      <c r="Q1467" s="38" t="str">
        <f t="shared" si="151"/>
        <v/>
      </c>
      <c r="R1467" s="37" t="str">
        <f t="shared" si="152"/>
        <v/>
      </c>
      <c r="S1467" s="37" t="str">
        <f t="shared" si="153"/>
        <v/>
      </c>
      <c r="T1467" s="38" t="str">
        <f t="shared" si="154"/>
        <v/>
      </c>
      <c r="U1467" s="37" t="str">
        <f t="shared" si="155"/>
        <v/>
      </c>
    </row>
    <row r="1468" spans="2:21" ht="17.25">
      <c r="B1468" s="156"/>
      <c r="C1468" s="156"/>
      <c r="D1468" s="157"/>
      <c r="E1468" s="155"/>
      <c r="F1468" s="151"/>
      <c r="G1468" s="152"/>
      <c r="H1468" s="153"/>
      <c r="I1468" s="154"/>
      <c r="J1468" s="154"/>
      <c r="K1468" s="30" t="str">
        <f>IF(H1468="","",IF($C$30="간이법","",FPR(H1468,I1468,J1468)))</f>
        <v/>
      </c>
      <c r="L1468" s="30" t="str">
        <f>IF(H1468="","",IF($C$30="상세법",FPV(H1468,K1468),IF(H1468="EI",4,IF(H1468="EO",5.2,IF(H1468="EQ",3.9,IF(H1468="ILF",7.5,IF(H1468="EIF",5.4)))))))</f>
        <v/>
      </c>
      <c r="M1468" s="30" t="str">
        <f t="shared" ref="M1468:M1531" si="156">IF(OR(G1468="",$E$36="(선택)",$E$40="(선택)",$E$41="(선택)",F1468="신규 개발",F1468="수정 없이 재사용"),"",(IF(F1468="수정 후 재사용",IF($E$50&lt;=0.5,L1468*($E$36+$E$50*100*(1+0.02*($E$40*$E$41)))/100,L1468*($E$36+$E$50*100+($E$40*$E$41))/100))))</f>
        <v/>
      </c>
      <c r="N1468" s="134"/>
      <c r="O1468" s="29"/>
      <c r="P1468" s="37" t="str">
        <f t="shared" ref="P1468:P1531" si="157">IF(F1468="수정 후 재사용",IF(H1468="ILF",G1468,IF(H1468="EIF",G1468,"")),"")</f>
        <v/>
      </c>
      <c r="Q1468" s="38" t="str">
        <f t="shared" ref="Q1468:Q1531" si="158">IF(P1468&lt;&gt;"",IF(H1468="ILF", L1468/$E$46,IF(H1468="EIF", L1468/$E$46,"")),"")</f>
        <v/>
      </c>
      <c r="R1468" s="37" t="str">
        <f t="shared" ref="R1468:R1531" si="159">IF(P1468&lt;&gt;"",P1468*Q1468,"")</f>
        <v/>
      </c>
      <c r="S1468" s="37" t="str">
        <f t="shared" ref="S1468:S1531" si="160">IF(F1468="수정 후 재사용",IF(H1468="EI",G1468,IF(H1468="EO",G1468,IF(H1468="EQ",G1468,""))),"")</f>
        <v/>
      </c>
      <c r="T1468" s="38" t="str">
        <f t="shared" ref="T1468:T1531" si="161">IF(S1468&lt;&gt;"",IF(H1468="EI",L1468/$E$47,IF(H1468="EO",L1468/$E$47,IF(H1468="EQ",L1468/$E$47,""))),"")</f>
        <v/>
      </c>
      <c r="U1468" s="37" t="str">
        <f t="shared" ref="U1468:U1531" si="162">IF(S1468&lt;&gt;"",S1468*T1468,"")</f>
        <v/>
      </c>
    </row>
    <row r="1469" spans="2:21" ht="17.25">
      <c r="B1469" s="156"/>
      <c r="C1469" s="156"/>
      <c r="D1469" s="157"/>
      <c r="E1469" s="155"/>
      <c r="F1469" s="151"/>
      <c r="G1469" s="152"/>
      <c r="H1469" s="153"/>
      <c r="I1469" s="154"/>
      <c r="J1469" s="154"/>
      <c r="K1469" s="30" t="str">
        <f>IF(H1469="","",IF($C$30="간이법","",FPR(H1469,I1469,J1469)))</f>
        <v/>
      </c>
      <c r="L1469" s="30" t="str">
        <f>IF(H1469="","",IF($C$30="상세법",FPV(H1469,K1469),IF(H1469="EI",4,IF(H1469="EO",5.2,IF(H1469="EQ",3.9,IF(H1469="ILF",7.5,IF(H1469="EIF",5.4)))))))</f>
        <v/>
      </c>
      <c r="M1469" s="30" t="str">
        <f t="shared" si="156"/>
        <v/>
      </c>
      <c r="N1469" s="134"/>
      <c r="O1469" s="29"/>
      <c r="P1469" s="37" t="str">
        <f t="shared" si="157"/>
        <v/>
      </c>
      <c r="Q1469" s="38" t="str">
        <f t="shared" si="158"/>
        <v/>
      </c>
      <c r="R1469" s="37" t="str">
        <f t="shared" si="159"/>
        <v/>
      </c>
      <c r="S1469" s="37" t="str">
        <f t="shared" si="160"/>
        <v/>
      </c>
      <c r="T1469" s="38" t="str">
        <f t="shared" si="161"/>
        <v/>
      </c>
      <c r="U1469" s="37" t="str">
        <f t="shared" si="162"/>
        <v/>
      </c>
    </row>
    <row r="1470" spans="2:21" ht="17.25">
      <c r="B1470" s="156"/>
      <c r="C1470" s="156"/>
      <c r="D1470" s="157"/>
      <c r="E1470" s="155"/>
      <c r="F1470" s="151"/>
      <c r="G1470" s="152"/>
      <c r="H1470" s="153"/>
      <c r="I1470" s="154"/>
      <c r="J1470" s="154"/>
      <c r="K1470" s="30" t="str">
        <f>IF(H1470="","",IF($C$30="간이법","",FPR(H1470,I1470,J1470)))</f>
        <v/>
      </c>
      <c r="L1470" s="30" t="str">
        <f>IF(H1470="","",IF($C$30="상세법",FPV(H1470,K1470),IF(H1470="EI",4,IF(H1470="EO",5.2,IF(H1470="EQ",3.9,IF(H1470="ILF",7.5,IF(H1470="EIF",5.4)))))))</f>
        <v/>
      </c>
      <c r="M1470" s="30" t="str">
        <f t="shared" si="156"/>
        <v/>
      </c>
      <c r="N1470" s="134"/>
      <c r="O1470" s="29"/>
      <c r="P1470" s="37" t="str">
        <f t="shared" si="157"/>
        <v/>
      </c>
      <c r="Q1470" s="38" t="str">
        <f t="shared" si="158"/>
        <v/>
      </c>
      <c r="R1470" s="37" t="str">
        <f t="shared" si="159"/>
        <v/>
      </c>
      <c r="S1470" s="37" t="str">
        <f t="shared" si="160"/>
        <v/>
      </c>
      <c r="T1470" s="38" t="str">
        <f t="shared" si="161"/>
        <v/>
      </c>
      <c r="U1470" s="37" t="str">
        <f t="shared" si="162"/>
        <v/>
      </c>
    </row>
    <row r="1471" spans="2:21" ht="17.25">
      <c r="B1471" s="156"/>
      <c r="C1471" s="156"/>
      <c r="D1471" s="157"/>
      <c r="E1471" s="155"/>
      <c r="F1471" s="151"/>
      <c r="G1471" s="152"/>
      <c r="H1471" s="153"/>
      <c r="I1471" s="154"/>
      <c r="J1471" s="154"/>
      <c r="K1471" s="30" t="str">
        <f>IF(H1471="","",IF($C$30="간이법","",FPR(H1471,I1471,J1471)))</f>
        <v/>
      </c>
      <c r="L1471" s="30" t="str">
        <f>IF(H1471="","",IF($C$30="상세법",FPV(H1471,K1471),IF(H1471="EI",4,IF(H1471="EO",5.2,IF(H1471="EQ",3.9,IF(H1471="ILF",7.5,IF(H1471="EIF",5.4)))))))</f>
        <v/>
      </c>
      <c r="M1471" s="30" t="str">
        <f t="shared" si="156"/>
        <v/>
      </c>
      <c r="N1471" s="134"/>
      <c r="O1471" s="29"/>
      <c r="P1471" s="37" t="str">
        <f t="shared" si="157"/>
        <v/>
      </c>
      <c r="Q1471" s="38" t="str">
        <f t="shared" si="158"/>
        <v/>
      </c>
      <c r="R1471" s="37" t="str">
        <f t="shared" si="159"/>
        <v/>
      </c>
      <c r="S1471" s="37" t="str">
        <f t="shared" si="160"/>
        <v/>
      </c>
      <c r="T1471" s="38" t="str">
        <f t="shared" si="161"/>
        <v/>
      </c>
      <c r="U1471" s="37" t="str">
        <f t="shared" si="162"/>
        <v/>
      </c>
    </row>
    <row r="1472" spans="2:21" ht="17.25">
      <c r="B1472" s="156"/>
      <c r="C1472" s="156"/>
      <c r="D1472" s="157"/>
      <c r="E1472" s="155"/>
      <c r="F1472" s="151"/>
      <c r="G1472" s="152"/>
      <c r="H1472" s="153"/>
      <c r="I1472" s="154"/>
      <c r="J1472" s="154"/>
      <c r="K1472" s="30" t="str">
        <f>IF(H1472="","",IF($C$30="간이법","",FPR(H1472,I1472,J1472)))</f>
        <v/>
      </c>
      <c r="L1472" s="30" t="str">
        <f>IF(H1472="","",IF($C$30="상세법",FPV(H1472,K1472),IF(H1472="EI",4,IF(H1472="EO",5.2,IF(H1472="EQ",3.9,IF(H1472="ILF",7.5,IF(H1472="EIF",5.4)))))))</f>
        <v/>
      </c>
      <c r="M1472" s="30" t="str">
        <f t="shared" si="156"/>
        <v/>
      </c>
      <c r="N1472" s="134"/>
      <c r="O1472" s="29"/>
      <c r="P1472" s="37" t="str">
        <f t="shared" si="157"/>
        <v/>
      </c>
      <c r="Q1472" s="38" t="str">
        <f t="shared" si="158"/>
        <v/>
      </c>
      <c r="R1472" s="37" t="str">
        <f t="shared" si="159"/>
        <v/>
      </c>
      <c r="S1472" s="37" t="str">
        <f t="shared" si="160"/>
        <v/>
      </c>
      <c r="T1472" s="38" t="str">
        <f t="shared" si="161"/>
        <v/>
      </c>
      <c r="U1472" s="37" t="str">
        <f t="shared" si="162"/>
        <v/>
      </c>
    </row>
    <row r="1473" spans="2:21" ht="17.25">
      <c r="B1473" s="156"/>
      <c r="C1473" s="156"/>
      <c r="D1473" s="157"/>
      <c r="E1473" s="155"/>
      <c r="F1473" s="151"/>
      <c r="G1473" s="152"/>
      <c r="H1473" s="153"/>
      <c r="I1473" s="154"/>
      <c r="J1473" s="154"/>
      <c r="K1473" s="30" t="str">
        <f>IF(H1473="","",IF($C$30="간이법","",FPR(H1473,I1473,J1473)))</f>
        <v/>
      </c>
      <c r="L1473" s="30" t="str">
        <f>IF(H1473="","",IF($C$30="상세법",FPV(H1473,K1473),IF(H1473="EI",4,IF(H1473="EO",5.2,IF(H1473="EQ",3.9,IF(H1473="ILF",7.5,IF(H1473="EIF",5.4)))))))</f>
        <v/>
      </c>
      <c r="M1473" s="30" t="str">
        <f t="shared" si="156"/>
        <v/>
      </c>
      <c r="N1473" s="134"/>
      <c r="O1473" s="29"/>
      <c r="P1473" s="37" t="str">
        <f t="shared" si="157"/>
        <v/>
      </c>
      <c r="Q1473" s="38" t="str">
        <f t="shared" si="158"/>
        <v/>
      </c>
      <c r="R1473" s="37" t="str">
        <f t="shared" si="159"/>
        <v/>
      </c>
      <c r="S1473" s="37" t="str">
        <f t="shared" si="160"/>
        <v/>
      </c>
      <c r="T1473" s="38" t="str">
        <f t="shared" si="161"/>
        <v/>
      </c>
      <c r="U1473" s="37" t="str">
        <f t="shared" si="162"/>
        <v/>
      </c>
    </row>
    <row r="1474" spans="2:21" ht="17.25">
      <c r="B1474" s="156"/>
      <c r="C1474" s="156"/>
      <c r="D1474" s="157"/>
      <c r="E1474" s="155"/>
      <c r="F1474" s="151"/>
      <c r="G1474" s="152"/>
      <c r="H1474" s="153"/>
      <c r="I1474" s="154"/>
      <c r="J1474" s="154"/>
      <c r="K1474" s="30" t="str">
        <f>IF(H1474="","",IF($C$30="간이법","",FPR(H1474,I1474,J1474)))</f>
        <v/>
      </c>
      <c r="L1474" s="30" t="str">
        <f>IF(H1474="","",IF($C$30="상세법",FPV(H1474,K1474),IF(H1474="EI",4,IF(H1474="EO",5.2,IF(H1474="EQ",3.9,IF(H1474="ILF",7.5,IF(H1474="EIF",5.4)))))))</f>
        <v/>
      </c>
      <c r="M1474" s="30" t="str">
        <f t="shared" si="156"/>
        <v/>
      </c>
      <c r="N1474" s="134"/>
      <c r="O1474" s="29"/>
      <c r="P1474" s="37" t="str">
        <f t="shared" si="157"/>
        <v/>
      </c>
      <c r="Q1474" s="38" t="str">
        <f t="shared" si="158"/>
        <v/>
      </c>
      <c r="R1474" s="37" t="str">
        <f t="shared" si="159"/>
        <v/>
      </c>
      <c r="S1474" s="37" t="str">
        <f t="shared" si="160"/>
        <v/>
      </c>
      <c r="T1474" s="38" t="str">
        <f t="shared" si="161"/>
        <v/>
      </c>
      <c r="U1474" s="37" t="str">
        <f t="shared" si="162"/>
        <v/>
      </c>
    </row>
    <row r="1475" spans="2:21" ht="17.25">
      <c r="B1475" s="156"/>
      <c r="C1475" s="156"/>
      <c r="D1475" s="157"/>
      <c r="E1475" s="155"/>
      <c r="F1475" s="151"/>
      <c r="G1475" s="152"/>
      <c r="H1475" s="153"/>
      <c r="I1475" s="154"/>
      <c r="J1475" s="154"/>
      <c r="K1475" s="30" t="str">
        <f>IF(H1475="","",IF($C$30="간이법","",FPR(H1475,I1475,J1475)))</f>
        <v/>
      </c>
      <c r="L1475" s="30" t="str">
        <f>IF(H1475="","",IF($C$30="상세법",FPV(H1475,K1475),IF(H1475="EI",4,IF(H1475="EO",5.2,IF(H1475="EQ",3.9,IF(H1475="ILF",7.5,IF(H1475="EIF",5.4)))))))</f>
        <v/>
      </c>
      <c r="M1475" s="30" t="str">
        <f t="shared" si="156"/>
        <v/>
      </c>
      <c r="N1475" s="134"/>
      <c r="O1475" s="29"/>
      <c r="P1475" s="37" t="str">
        <f t="shared" si="157"/>
        <v/>
      </c>
      <c r="Q1475" s="38" t="str">
        <f t="shared" si="158"/>
        <v/>
      </c>
      <c r="R1475" s="37" t="str">
        <f t="shared" si="159"/>
        <v/>
      </c>
      <c r="S1475" s="37" t="str">
        <f t="shared" si="160"/>
        <v/>
      </c>
      <c r="T1475" s="38" t="str">
        <f t="shared" si="161"/>
        <v/>
      </c>
      <c r="U1475" s="37" t="str">
        <f t="shared" si="162"/>
        <v/>
      </c>
    </row>
    <row r="1476" spans="2:21" ht="17.25">
      <c r="B1476" s="156"/>
      <c r="C1476" s="156"/>
      <c r="D1476" s="157"/>
      <c r="E1476" s="155"/>
      <c r="F1476" s="151"/>
      <c r="G1476" s="152"/>
      <c r="H1476" s="153"/>
      <c r="I1476" s="154"/>
      <c r="J1476" s="154"/>
      <c r="K1476" s="30" t="str">
        <f>IF(H1476="","",IF($C$30="간이법","",FPR(H1476,I1476,J1476)))</f>
        <v/>
      </c>
      <c r="L1476" s="30" t="str">
        <f>IF(H1476="","",IF($C$30="상세법",FPV(H1476,K1476),IF(H1476="EI",4,IF(H1476="EO",5.2,IF(H1476="EQ",3.9,IF(H1476="ILF",7.5,IF(H1476="EIF",5.4)))))))</f>
        <v/>
      </c>
      <c r="M1476" s="30" t="str">
        <f t="shared" si="156"/>
        <v/>
      </c>
      <c r="N1476" s="134"/>
      <c r="O1476" s="29"/>
      <c r="P1476" s="37" t="str">
        <f t="shared" si="157"/>
        <v/>
      </c>
      <c r="Q1476" s="38" t="str">
        <f t="shared" si="158"/>
        <v/>
      </c>
      <c r="R1476" s="37" t="str">
        <f t="shared" si="159"/>
        <v/>
      </c>
      <c r="S1476" s="37" t="str">
        <f t="shared" si="160"/>
        <v/>
      </c>
      <c r="T1476" s="38" t="str">
        <f t="shared" si="161"/>
        <v/>
      </c>
      <c r="U1476" s="37" t="str">
        <f t="shared" si="162"/>
        <v/>
      </c>
    </row>
    <row r="1477" spans="2:21" ht="17.25">
      <c r="B1477" s="156"/>
      <c r="C1477" s="156"/>
      <c r="D1477" s="157"/>
      <c r="E1477" s="155"/>
      <c r="F1477" s="151"/>
      <c r="G1477" s="152"/>
      <c r="H1477" s="153"/>
      <c r="I1477" s="154"/>
      <c r="J1477" s="154"/>
      <c r="K1477" s="30" t="str">
        <f>IF(H1477="","",IF($C$30="간이법","",FPR(H1477,I1477,J1477)))</f>
        <v/>
      </c>
      <c r="L1477" s="30" t="str">
        <f>IF(H1477="","",IF($C$30="상세법",FPV(H1477,K1477),IF(H1477="EI",4,IF(H1477="EO",5.2,IF(H1477="EQ",3.9,IF(H1477="ILF",7.5,IF(H1477="EIF",5.4)))))))</f>
        <v/>
      </c>
      <c r="M1477" s="30" t="str">
        <f t="shared" si="156"/>
        <v/>
      </c>
      <c r="N1477" s="134"/>
      <c r="O1477" s="29"/>
      <c r="P1477" s="37" t="str">
        <f t="shared" si="157"/>
        <v/>
      </c>
      <c r="Q1477" s="38" t="str">
        <f t="shared" si="158"/>
        <v/>
      </c>
      <c r="R1477" s="37" t="str">
        <f t="shared" si="159"/>
        <v/>
      </c>
      <c r="S1477" s="37" t="str">
        <f t="shared" si="160"/>
        <v/>
      </c>
      <c r="T1477" s="38" t="str">
        <f t="shared" si="161"/>
        <v/>
      </c>
      <c r="U1477" s="37" t="str">
        <f t="shared" si="162"/>
        <v/>
      </c>
    </row>
    <row r="1478" spans="2:21" ht="17.25">
      <c r="B1478" s="156"/>
      <c r="C1478" s="156"/>
      <c r="D1478" s="157"/>
      <c r="E1478" s="155"/>
      <c r="F1478" s="151"/>
      <c r="G1478" s="152"/>
      <c r="H1478" s="153"/>
      <c r="I1478" s="154"/>
      <c r="J1478" s="154"/>
      <c r="K1478" s="30" t="str">
        <f>IF(H1478="","",IF($C$30="간이법","",FPR(H1478,I1478,J1478)))</f>
        <v/>
      </c>
      <c r="L1478" s="30" t="str">
        <f>IF(H1478="","",IF($C$30="상세법",FPV(H1478,K1478),IF(H1478="EI",4,IF(H1478="EO",5.2,IF(H1478="EQ",3.9,IF(H1478="ILF",7.5,IF(H1478="EIF",5.4)))))))</f>
        <v/>
      </c>
      <c r="M1478" s="30" t="str">
        <f t="shared" si="156"/>
        <v/>
      </c>
      <c r="N1478" s="134"/>
      <c r="O1478" s="29"/>
      <c r="P1478" s="37" t="str">
        <f t="shared" si="157"/>
        <v/>
      </c>
      <c r="Q1478" s="38" t="str">
        <f t="shared" si="158"/>
        <v/>
      </c>
      <c r="R1478" s="37" t="str">
        <f t="shared" si="159"/>
        <v/>
      </c>
      <c r="S1478" s="37" t="str">
        <f t="shared" si="160"/>
        <v/>
      </c>
      <c r="T1478" s="38" t="str">
        <f t="shared" si="161"/>
        <v/>
      </c>
      <c r="U1478" s="37" t="str">
        <f t="shared" si="162"/>
        <v/>
      </c>
    </row>
    <row r="1479" spans="2:21" ht="17.25">
      <c r="B1479" s="156"/>
      <c r="C1479" s="156"/>
      <c r="D1479" s="157"/>
      <c r="E1479" s="155"/>
      <c r="F1479" s="151"/>
      <c r="G1479" s="152"/>
      <c r="H1479" s="153"/>
      <c r="I1479" s="154"/>
      <c r="J1479" s="154"/>
      <c r="K1479" s="30" t="str">
        <f>IF(H1479="","",IF($C$30="간이법","",FPR(H1479,I1479,J1479)))</f>
        <v/>
      </c>
      <c r="L1479" s="30" t="str">
        <f>IF(H1479="","",IF($C$30="상세법",FPV(H1479,K1479),IF(H1479="EI",4,IF(H1479="EO",5.2,IF(H1479="EQ",3.9,IF(H1479="ILF",7.5,IF(H1479="EIF",5.4)))))))</f>
        <v/>
      </c>
      <c r="M1479" s="30" t="str">
        <f t="shared" si="156"/>
        <v/>
      </c>
      <c r="N1479" s="134"/>
      <c r="O1479" s="29"/>
      <c r="P1479" s="37" t="str">
        <f t="shared" si="157"/>
        <v/>
      </c>
      <c r="Q1479" s="38" t="str">
        <f t="shared" si="158"/>
        <v/>
      </c>
      <c r="R1479" s="37" t="str">
        <f t="shared" si="159"/>
        <v/>
      </c>
      <c r="S1479" s="37" t="str">
        <f t="shared" si="160"/>
        <v/>
      </c>
      <c r="T1479" s="38" t="str">
        <f t="shared" si="161"/>
        <v/>
      </c>
      <c r="U1479" s="37" t="str">
        <f t="shared" si="162"/>
        <v/>
      </c>
    </row>
    <row r="1480" spans="2:21" ht="17.25">
      <c r="B1480" s="156"/>
      <c r="C1480" s="156"/>
      <c r="D1480" s="157"/>
      <c r="E1480" s="155"/>
      <c r="F1480" s="151"/>
      <c r="G1480" s="152"/>
      <c r="H1480" s="153"/>
      <c r="I1480" s="154"/>
      <c r="J1480" s="154"/>
      <c r="K1480" s="30" t="str">
        <f>IF(H1480="","",IF($C$30="간이법","",FPR(H1480,I1480,J1480)))</f>
        <v/>
      </c>
      <c r="L1480" s="30" t="str">
        <f>IF(H1480="","",IF($C$30="상세법",FPV(H1480,K1480),IF(H1480="EI",4,IF(H1480="EO",5.2,IF(H1480="EQ",3.9,IF(H1480="ILF",7.5,IF(H1480="EIF",5.4)))))))</f>
        <v/>
      </c>
      <c r="M1480" s="30" t="str">
        <f t="shared" si="156"/>
        <v/>
      </c>
      <c r="N1480" s="134"/>
      <c r="O1480" s="29"/>
      <c r="P1480" s="37" t="str">
        <f t="shared" si="157"/>
        <v/>
      </c>
      <c r="Q1480" s="38" t="str">
        <f t="shared" si="158"/>
        <v/>
      </c>
      <c r="R1480" s="37" t="str">
        <f t="shared" si="159"/>
        <v/>
      </c>
      <c r="S1480" s="37" t="str">
        <f t="shared" si="160"/>
        <v/>
      </c>
      <c r="T1480" s="38" t="str">
        <f t="shared" si="161"/>
        <v/>
      </c>
      <c r="U1480" s="37" t="str">
        <f t="shared" si="162"/>
        <v/>
      </c>
    </row>
    <row r="1481" spans="2:21" ht="17.25">
      <c r="B1481" s="156"/>
      <c r="C1481" s="156"/>
      <c r="D1481" s="157"/>
      <c r="E1481" s="155"/>
      <c r="F1481" s="151"/>
      <c r="G1481" s="152"/>
      <c r="H1481" s="153"/>
      <c r="I1481" s="154"/>
      <c r="J1481" s="154"/>
      <c r="K1481" s="30" t="str">
        <f>IF(H1481="","",IF($C$30="간이법","",FPR(H1481,I1481,J1481)))</f>
        <v/>
      </c>
      <c r="L1481" s="30" t="str">
        <f>IF(H1481="","",IF($C$30="상세법",FPV(H1481,K1481),IF(H1481="EI",4,IF(H1481="EO",5.2,IF(H1481="EQ",3.9,IF(H1481="ILF",7.5,IF(H1481="EIF",5.4)))))))</f>
        <v/>
      </c>
      <c r="M1481" s="30" t="str">
        <f t="shared" si="156"/>
        <v/>
      </c>
      <c r="N1481" s="134"/>
      <c r="O1481" s="29"/>
      <c r="P1481" s="37" t="str">
        <f t="shared" si="157"/>
        <v/>
      </c>
      <c r="Q1481" s="38" t="str">
        <f t="shared" si="158"/>
        <v/>
      </c>
      <c r="R1481" s="37" t="str">
        <f t="shared" si="159"/>
        <v/>
      </c>
      <c r="S1481" s="37" t="str">
        <f t="shared" si="160"/>
        <v/>
      </c>
      <c r="T1481" s="38" t="str">
        <f t="shared" si="161"/>
        <v/>
      </c>
      <c r="U1481" s="37" t="str">
        <f t="shared" si="162"/>
        <v/>
      </c>
    </row>
    <row r="1482" spans="2:21" ht="17.25">
      <c r="B1482" s="156"/>
      <c r="C1482" s="156"/>
      <c r="D1482" s="157"/>
      <c r="E1482" s="155"/>
      <c r="F1482" s="151"/>
      <c r="G1482" s="152"/>
      <c r="H1482" s="153"/>
      <c r="I1482" s="154"/>
      <c r="J1482" s="154"/>
      <c r="K1482" s="30" t="str">
        <f>IF(H1482="","",IF($C$30="간이법","",FPR(H1482,I1482,J1482)))</f>
        <v/>
      </c>
      <c r="L1482" s="30" t="str">
        <f>IF(H1482="","",IF($C$30="상세법",FPV(H1482,K1482),IF(H1482="EI",4,IF(H1482="EO",5.2,IF(H1482="EQ",3.9,IF(H1482="ILF",7.5,IF(H1482="EIF",5.4)))))))</f>
        <v/>
      </c>
      <c r="M1482" s="30" t="str">
        <f t="shared" si="156"/>
        <v/>
      </c>
      <c r="N1482" s="134"/>
      <c r="O1482" s="29"/>
      <c r="P1482" s="37" t="str">
        <f t="shared" si="157"/>
        <v/>
      </c>
      <c r="Q1482" s="38" t="str">
        <f t="shared" si="158"/>
        <v/>
      </c>
      <c r="R1482" s="37" t="str">
        <f t="shared" si="159"/>
        <v/>
      </c>
      <c r="S1482" s="37" t="str">
        <f t="shared" si="160"/>
        <v/>
      </c>
      <c r="T1482" s="38" t="str">
        <f t="shared" si="161"/>
        <v/>
      </c>
      <c r="U1482" s="37" t="str">
        <f t="shared" si="162"/>
        <v/>
      </c>
    </row>
    <row r="1483" spans="2:21" ht="17.25">
      <c r="B1483" s="156"/>
      <c r="C1483" s="156"/>
      <c r="D1483" s="157"/>
      <c r="E1483" s="155"/>
      <c r="F1483" s="151"/>
      <c r="G1483" s="152"/>
      <c r="H1483" s="153"/>
      <c r="I1483" s="154"/>
      <c r="J1483" s="154"/>
      <c r="K1483" s="30" t="str">
        <f>IF(H1483="","",IF($C$30="간이법","",FPR(H1483,I1483,J1483)))</f>
        <v/>
      </c>
      <c r="L1483" s="30" t="str">
        <f>IF(H1483="","",IF($C$30="상세법",FPV(H1483,K1483),IF(H1483="EI",4,IF(H1483="EO",5.2,IF(H1483="EQ",3.9,IF(H1483="ILF",7.5,IF(H1483="EIF",5.4)))))))</f>
        <v/>
      </c>
      <c r="M1483" s="30" t="str">
        <f t="shared" si="156"/>
        <v/>
      </c>
      <c r="N1483" s="134"/>
      <c r="O1483" s="29"/>
      <c r="P1483" s="37" t="str">
        <f t="shared" si="157"/>
        <v/>
      </c>
      <c r="Q1483" s="38" t="str">
        <f t="shared" si="158"/>
        <v/>
      </c>
      <c r="R1483" s="37" t="str">
        <f t="shared" si="159"/>
        <v/>
      </c>
      <c r="S1483" s="37" t="str">
        <f t="shared" si="160"/>
        <v/>
      </c>
      <c r="T1483" s="38" t="str">
        <f t="shared" si="161"/>
        <v/>
      </c>
      <c r="U1483" s="37" t="str">
        <f t="shared" si="162"/>
        <v/>
      </c>
    </row>
    <row r="1484" spans="2:21" ht="17.25">
      <c r="B1484" s="156"/>
      <c r="C1484" s="156"/>
      <c r="D1484" s="157"/>
      <c r="E1484" s="155"/>
      <c r="F1484" s="151"/>
      <c r="G1484" s="152"/>
      <c r="H1484" s="153"/>
      <c r="I1484" s="154"/>
      <c r="J1484" s="154"/>
      <c r="K1484" s="30" t="str">
        <f>IF(H1484="","",IF($C$30="간이법","",FPR(H1484,I1484,J1484)))</f>
        <v/>
      </c>
      <c r="L1484" s="30" t="str">
        <f>IF(H1484="","",IF($C$30="상세법",FPV(H1484,K1484),IF(H1484="EI",4,IF(H1484="EO",5.2,IF(H1484="EQ",3.9,IF(H1484="ILF",7.5,IF(H1484="EIF",5.4)))))))</f>
        <v/>
      </c>
      <c r="M1484" s="30" t="str">
        <f t="shared" si="156"/>
        <v/>
      </c>
      <c r="N1484" s="134"/>
      <c r="O1484" s="29"/>
      <c r="P1484" s="37" t="str">
        <f t="shared" si="157"/>
        <v/>
      </c>
      <c r="Q1484" s="38" t="str">
        <f t="shared" si="158"/>
        <v/>
      </c>
      <c r="R1484" s="37" t="str">
        <f t="shared" si="159"/>
        <v/>
      </c>
      <c r="S1484" s="37" t="str">
        <f t="shared" si="160"/>
        <v/>
      </c>
      <c r="T1484" s="38" t="str">
        <f t="shared" si="161"/>
        <v/>
      </c>
      <c r="U1484" s="37" t="str">
        <f t="shared" si="162"/>
        <v/>
      </c>
    </row>
    <row r="1485" spans="2:21" ht="17.25">
      <c r="B1485" s="156"/>
      <c r="C1485" s="156"/>
      <c r="D1485" s="157"/>
      <c r="E1485" s="155"/>
      <c r="F1485" s="151"/>
      <c r="G1485" s="152"/>
      <c r="H1485" s="153"/>
      <c r="I1485" s="154"/>
      <c r="J1485" s="154"/>
      <c r="K1485" s="30" t="str">
        <f>IF(H1485="","",IF($C$30="간이법","",FPR(H1485,I1485,J1485)))</f>
        <v/>
      </c>
      <c r="L1485" s="30" t="str">
        <f>IF(H1485="","",IF($C$30="상세법",FPV(H1485,K1485),IF(H1485="EI",4,IF(H1485="EO",5.2,IF(H1485="EQ",3.9,IF(H1485="ILF",7.5,IF(H1485="EIF",5.4)))))))</f>
        <v/>
      </c>
      <c r="M1485" s="30" t="str">
        <f t="shared" si="156"/>
        <v/>
      </c>
      <c r="N1485" s="134"/>
      <c r="O1485" s="29"/>
      <c r="P1485" s="37" t="str">
        <f t="shared" si="157"/>
        <v/>
      </c>
      <c r="Q1485" s="38" t="str">
        <f t="shared" si="158"/>
        <v/>
      </c>
      <c r="R1485" s="37" t="str">
        <f t="shared" si="159"/>
        <v/>
      </c>
      <c r="S1485" s="37" t="str">
        <f t="shared" si="160"/>
        <v/>
      </c>
      <c r="T1485" s="38" t="str">
        <f t="shared" si="161"/>
        <v/>
      </c>
      <c r="U1485" s="37" t="str">
        <f t="shared" si="162"/>
        <v/>
      </c>
    </row>
    <row r="1486" spans="2:21" ht="17.25">
      <c r="B1486" s="156"/>
      <c r="C1486" s="156"/>
      <c r="D1486" s="157"/>
      <c r="E1486" s="155"/>
      <c r="F1486" s="151"/>
      <c r="G1486" s="152"/>
      <c r="H1486" s="153"/>
      <c r="I1486" s="154"/>
      <c r="J1486" s="154"/>
      <c r="K1486" s="30" t="str">
        <f>IF(H1486="","",IF($C$30="간이법","",FPR(H1486,I1486,J1486)))</f>
        <v/>
      </c>
      <c r="L1486" s="30" t="str">
        <f>IF(H1486="","",IF($C$30="상세법",FPV(H1486,K1486),IF(H1486="EI",4,IF(H1486="EO",5.2,IF(H1486="EQ",3.9,IF(H1486="ILF",7.5,IF(H1486="EIF",5.4)))))))</f>
        <v/>
      </c>
      <c r="M1486" s="30" t="str">
        <f t="shared" si="156"/>
        <v/>
      </c>
      <c r="N1486" s="134"/>
      <c r="O1486" s="29"/>
      <c r="P1486" s="37" t="str">
        <f t="shared" si="157"/>
        <v/>
      </c>
      <c r="Q1486" s="38" t="str">
        <f t="shared" si="158"/>
        <v/>
      </c>
      <c r="R1486" s="37" t="str">
        <f t="shared" si="159"/>
        <v/>
      </c>
      <c r="S1486" s="37" t="str">
        <f t="shared" si="160"/>
        <v/>
      </c>
      <c r="T1486" s="38" t="str">
        <f t="shared" si="161"/>
        <v/>
      </c>
      <c r="U1486" s="37" t="str">
        <f t="shared" si="162"/>
        <v/>
      </c>
    </row>
    <row r="1487" spans="2:21" ht="17.25">
      <c r="B1487" s="156"/>
      <c r="C1487" s="156"/>
      <c r="D1487" s="157"/>
      <c r="E1487" s="155"/>
      <c r="F1487" s="151"/>
      <c r="G1487" s="152"/>
      <c r="H1487" s="153"/>
      <c r="I1487" s="154"/>
      <c r="J1487" s="154"/>
      <c r="K1487" s="30" t="str">
        <f>IF(H1487="","",IF($C$30="간이법","",FPR(H1487,I1487,J1487)))</f>
        <v/>
      </c>
      <c r="L1487" s="30" t="str">
        <f>IF(H1487="","",IF($C$30="상세법",FPV(H1487,K1487),IF(H1487="EI",4,IF(H1487="EO",5.2,IF(H1487="EQ",3.9,IF(H1487="ILF",7.5,IF(H1487="EIF",5.4)))))))</f>
        <v/>
      </c>
      <c r="M1487" s="30" t="str">
        <f t="shared" si="156"/>
        <v/>
      </c>
      <c r="N1487" s="134"/>
      <c r="O1487" s="29"/>
      <c r="P1487" s="37" t="str">
        <f t="shared" si="157"/>
        <v/>
      </c>
      <c r="Q1487" s="38" t="str">
        <f t="shared" si="158"/>
        <v/>
      </c>
      <c r="R1487" s="37" t="str">
        <f t="shared" si="159"/>
        <v/>
      </c>
      <c r="S1487" s="37" t="str">
        <f t="shared" si="160"/>
        <v/>
      </c>
      <c r="T1487" s="38" t="str">
        <f t="shared" si="161"/>
        <v/>
      </c>
      <c r="U1487" s="37" t="str">
        <f t="shared" si="162"/>
        <v/>
      </c>
    </row>
    <row r="1488" spans="2:21" ht="17.25">
      <c r="B1488" s="156"/>
      <c r="C1488" s="156"/>
      <c r="D1488" s="157"/>
      <c r="E1488" s="155"/>
      <c r="F1488" s="151"/>
      <c r="G1488" s="152"/>
      <c r="H1488" s="153"/>
      <c r="I1488" s="154"/>
      <c r="J1488" s="154"/>
      <c r="K1488" s="30" t="str">
        <f>IF(H1488="","",IF($C$30="간이법","",FPR(H1488,I1488,J1488)))</f>
        <v/>
      </c>
      <c r="L1488" s="30" t="str">
        <f>IF(H1488="","",IF($C$30="상세법",FPV(H1488,K1488),IF(H1488="EI",4,IF(H1488="EO",5.2,IF(H1488="EQ",3.9,IF(H1488="ILF",7.5,IF(H1488="EIF",5.4)))))))</f>
        <v/>
      </c>
      <c r="M1488" s="30" t="str">
        <f t="shared" si="156"/>
        <v/>
      </c>
      <c r="N1488" s="134"/>
      <c r="O1488" s="29"/>
      <c r="P1488" s="37" t="str">
        <f t="shared" si="157"/>
        <v/>
      </c>
      <c r="Q1488" s="38" t="str">
        <f t="shared" si="158"/>
        <v/>
      </c>
      <c r="R1488" s="37" t="str">
        <f t="shared" si="159"/>
        <v/>
      </c>
      <c r="S1488" s="37" t="str">
        <f t="shared" si="160"/>
        <v/>
      </c>
      <c r="T1488" s="38" t="str">
        <f t="shared" si="161"/>
        <v/>
      </c>
      <c r="U1488" s="37" t="str">
        <f t="shared" si="162"/>
        <v/>
      </c>
    </row>
    <row r="1489" spans="2:21" ht="17.25">
      <c r="B1489" s="156"/>
      <c r="C1489" s="156"/>
      <c r="D1489" s="157"/>
      <c r="E1489" s="155"/>
      <c r="F1489" s="151"/>
      <c r="G1489" s="152"/>
      <c r="H1489" s="153"/>
      <c r="I1489" s="154"/>
      <c r="J1489" s="154"/>
      <c r="K1489" s="30" t="str">
        <f>IF(H1489="","",IF($C$30="간이법","",FPR(H1489,I1489,J1489)))</f>
        <v/>
      </c>
      <c r="L1489" s="30" t="str">
        <f>IF(H1489="","",IF($C$30="상세법",FPV(H1489,K1489),IF(H1489="EI",4,IF(H1489="EO",5.2,IF(H1489="EQ",3.9,IF(H1489="ILF",7.5,IF(H1489="EIF",5.4)))))))</f>
        <v/>
      </c>
      <c r="M1489" s="30" t="str">
        <f t="shared" si="156"/>
        <v/>
      </c>
      <c r="N1489" s="134"/>
      <c r="O1489" s="29"/>
      <c r="P1489" s="37" t="str">
        <f t="shared" si="157"/>
        <v/>
      </c>
      <c r="Q1489" s="38" t="str">
        <f t="shared" si="158"/>
        <v/>
      </c>
      <c r="R1489" s="37" t="str">
        <f t="shared" si="159"/>
        <v/>
      </c>
      <c r="S1489" s="37" t="str">
        <f t="shared" si="160"/>
        <v/>
      </c>
      <c r="T1489" s="38" t="str">
        <f t="shared" si="161"/>
        <v/>
      </c>
      <c r="U1489" s="37" t="str">
        <f t="shared" si="162"/>
        <v/>
      </c>
    </row>
    <row r="1490" spans="2:21" ht="17.25">
      <c r="B1490" s="156"/>
      <c r="C1490" s="156"/>
      <c r="D1490" s="157"/>
      <c r="E1490" s="155"/>
      <c r="F1490" s="151"/>
      <c r="G1490" s="152"/>
      <c r="H1490" s="153"/>
      <c r="I1490" s="154"/>
      <c r="J1490" s="154"/>
      <c r="K1490" s="30" t="str">
        <f>IF(H1490="","",IF($C$30="간이법","",FPR(H1490,I1490,J1490)))</f>
        <v/>
      </c>
      <c r="L1490" s="30" t="str">
        <f>IF(H1490="","",IF($C$30="상세법",FPV(H1490,K1490),IF(H1490="EI",4,IF(H1490="EO",5.2,IF(H1490="EQ",3.9,IF(H1490="ILF",7.5,IF(H1490="EIF",5.4)))))))</f>
        <v/>
      </c>
      <c r="M1490" s="30" t="str">
        <f t="shared" si="156"/>
        <v/>
      </c>
      <c r="N1490" s="134"/>
      <c r="O1490" s="29"/>
      <c r="P1490" s="37" t="str">
        <f t="shared" si="157"/>
        <v/>
      </c>
      <c r="Q1490" s="38" t="str">
        <f t="shared" si="158"/>
        <v/>
      </c>
      <c r="R1490" s="37" t="str">
        <f t="shared" si="159"/>
        <v/>
      </c>
      <c r="S1490" s="37" t="str">
        <f t="shared" si="160"/>
        <v/>
      </c>
      <c r="T1490" s="38" t="str">
        <f t="shared" si="161"/>
        <v/>
      </c>
      <c r="U1490" s="37" t="str">
        <f t="shared" si="162"/>
        <v/>
      </c>
    </row>
    <row r="1491" spans="2:21" ht="17.25">
      <c r="B1491" s="156"/>
      <c r="C1491" s="156"/>
      <c r="D1491" s="157"/>
      <c r="E1491" s="155"/>
      <c r="F1491" s="151"/>
      <c r="G1491" s="152"/>
      <c r="H1491" s="153"/>
      <c r="I1491" s="154"/>
      <c r="J1491" s="154"/>
      <c r="K1491" s="30" t="str">
        <f>IF(H1491="","",IF($C$30="간이법","",FPR(H1491,I1491,J1491)))</f>
        <v/>
      </c>
      <c r="L1491" s="30" t="str">
        <f>IF(H1491="","",IF($C$30="상세법",FPV(H1491,K1491),IF(H1491="EI",4,IF(H1491="EO",5.2,IF(H1491="EQ",3.9,IF(H1491="ILF",7.5,IF(H1491="EIF",5.4)))))))</f>
        <v/>
      </c>
      <c r="M1491" s="30" t="str">
        <f t="shared" si="156"/>
        <v/>
      </c>
      <c r="N1491" s="134"/>
      <c r="O1491" s="29"/>
      <c r="P1491" s="37" t="str">
        <f t="shared" si="157"/>
        <v/>
      </c>
      <c r="Q1491" s="38" t="str">
        <f t="shared" si="158"/>
        <v/>
      </c>
      <c r="R1491" s="37" t="str">
        <f t="shared" si="159"/>
        <v/>
      </c>
      <c r="S1491" s="37" t="str">
        <f t="shared" si="160"/>
        <v/>
      </c>
      <c r="T1491" s="38" t="str">
        <f t="shared" si="161"/>
        <v/>
      </c>
      <c r="U1491" s="37" t="str">
        <f t="shared" si="162"/>
        <v/>
      </c>
    </row>
    <row r="1492" spans="2:21" ht="17.25">
      <c r="B1492" s="156"/>
      <c r="C1492" s="156"/>
      <c r="D1492" s="157"/>
      <c r="E1492" s="155"/>
      <c r="F1492" s="151"/>
      <c r="G1492" s="152"/>
      <c r="H1492" s="153"/>
      <c r="I1492" s="154"/>
      <c r="J1492" s="154"/>
      <c r="K1492" s="30" t="str">
        <f>IF(H1492="","",IF($C$30="간이법","",FPR(H1492,I1492,J1492)))</f>
        <v/>
      </c>
      <c r="L1492" s="30" t="str">
        <f>IF(H1492="","",IF($C$30="상세법",FPV(H1492,K1492),IF(H1492="EI",4,IF(H1492="EO",5.2,IF(H1492="EQ",3.9,IF(H1492="ILF",7.5,IF(H1492="EIF",5.4)))))))</f>
        <v/>
      </c>
      <c r="M1492" s="30" t="str">
        <f t="shared" si="156"/>
        <v/>
      </c>
      <c r="N1492" s="134"/>
      <c r="O1492" s="29"/>
      <c r="P1492" s="37" t="str">
        <f t="shared" si="157"/>
        <v/>
      </c>
      <c r="Q1492" s="38" t="str">
        <f t="shared" si="158"/>
        <v/>
      </c>
      <c r="R1492" s="37" t="str">
        <f t="shared" si="159"/>
        <v/>
      </c>
      <c r="S1492" s="37" t="str">
        <f t="shared" si="160"/>
        <v/>
      </c>
      <c r="T1492" s="38" t="str">
        <f t="shared" si="161"/>
        <v/>
      </c>
      <c r="U1492" s="37" t="str">
        <f t="shared" si="162"/>
        <v/>
      </c>
    </row>
    <row r="1493" spans="2:21" ht="17.25">
      <c r="B1493" s="156"/>
      <c r="C1493" s="156"/>
      <c r="D1493" s="157"/>
      <c r="E1493" s="155"/>
      <c r="F1493" s="151"/>
      <c r="G1493" s="152"/>
      <c r="H1493" s="153"/>
      <c r="I1493" s="154"/>
      <c r="J1493" s="154"/>
      <c r="K1493" s="30" t="str">
        <f>IF(H1493="","",IF($C$30="간이법","",FPR(H1493,I1493,J1493)))</f>
        <v/>
      </c>
      <c r="L1493" s="30" t="str">
        <f>IF(H1493="","",IF($C$30="상세법",FPV(H1493,K1493),IF(H1493="EI",4,IF(H1493="EO",5.2,IF(H1493="EQ",3.9,IF(H1493="ILF",7.5,IF(H1493="EIF",5.4)))))))</f>
        <v/>
      </c>
      <c r="M1493" s="30" t="str">
        <f t="shared" si="156"/>
        <v/>
      </c>
      <c r="N1493" s="134"/>
      <c r="O1493" s="29"/>
      <c r="P1493" s="37" t="str">
        <f t="shared" si="157"/>
        <v/>
      </c>
      <c r="Q1493" s="38" t="str">
        <f t="shared" si="158"/>
        <v/>
      </c>
      <c r="R1493" s="37" t="str">
        <f t="shared" si="159"/>
        <v/>
      </c>
      <c r="S1493" s="37" t="str">
        <f t="shared" si="160"/>
        <v/>
      </c>
      <c r="T1493" s="38" t="str">
        <f t="shared" si="161"/>
        <v/>
      </c>
      <c r="U1493" s="37" t="str">
        <f t="shared" si="162"/>
        <v/>
      </c>
    </row>
    <row r="1494" spans="2:21" ht="17.25">
      <c r="B1494" s="156"/>
      <c r="C1494" s="156"/>
      <c r="D1494" s="157"/>
      <c r="E1494" s="155"/>
      <c r="F1494" s="151"/>
      <c r="G1494" s="152"/>
      <c r="H1494" s="153"/>
      <c r="I1494" s="154"/>
      <c r="J1494" s="154"/>
      <c r="K1494" s="30" t="str">
        <f>IF(H1494="","",IF($C$30="간이법","",FPR(H1494,I1494,J1494)))</f>
        <v/>
      </c>
      <c r="L1494" s="30" t="str">
        <f>IF(H1494="","",IF($C$30="상세법",FPV(H1494,K1494),IF(H1494="EI",4,IF(H1494="EO",5.2,IF(H1494="EQ",3.9,IF(H1494="ILF",7.5,IF(H1494="EIF",5.4)))))))</f>
        <v/>
      </c>
      <c r="M1494" s="30" t="str">
        <f t="shared" si="156"/>
        <v/>
      </c>
      <c r="N1494" s="134"/>
      <c r="O1494" s="29"/>
      <c r="P1494" s="37" t="str">
        <f t="shared" si="157"/>
        <v/>
      </c>
      <c r="Q1494" s="38" t="str">
        <f t="shared" si="158"/>
        <v/>
      </c>
      <c r="R1494" s="37" t="str">
        <f t="shared" si="159"/>
        <v/>
      </c>
      <c r="S1494" s="37" t="str">
        <f t="shared" si="160"/>
        <v/>
      </c>
      <c r="T1494" s="38" t="str">
        <f t="shared" si="161"/>
        <v/>
      </c>
      <c r="U1494" s="37" t="str">
        <f t="shared" si="162"/>
        <v/>
      </c>
    </row>
    <row r="1495" spans="2:21" ht="17.25">
      <c r="B1495" s="156"/>
      <c r="C1495" s="156"/>
      <c r="D1495" s="157"/>
      <c r="E1495" s="155"/>
      <c r="F1495" s="151"/>
      <c r="G1495" s="152"/>
      <c r="H1495" s="153"/>
      <c r="I1495" s="154"/>
      <c r="J1495" s="154"/>
      <c r="K1495" s="30" t="str">
        <f>IF(H1495="","",IF($C$30="간이법","",FPR(H1495,I1495,J1495)))</f>
        <v/>
      </c>
      <c r="L1495" s="30" t="str">
        <f>IF(H1495="","",IF($C$30="상세법",FPV(H1495,K1495),IF(H1495="EI",4,IF(H1495="EO",5.2,IF(H1495="EQ",3.9,IF(H1495="ILF",7.5,IF(H1495="EIF",5.4)))))))</f>
        <v/>
      </c>
      <c r="M1495" s="30" t="str">
        <f t="shared" si="156"/>
        <v/>
      </c>
      <c r="N1495" s="134"/>
      <c r="O1495" s="29"/>
      <c r="P1495" s="37" t="str">
        <f t="shared" si="157"/>
        <v/>
      </c>
      <c r="Q1495" s="38" t="str">
        <f t="shared" si="158"/>
        <v/>
      </c>
      <c r="R1495" s="37" t="str">
        <f t="shared" si="159"/>
        <v/>
      </c>
      <c r="S1495" s="37" t="str">
        <f t="shared" si="160"/>
        <v/>
      </c>
      <c r="T1495" s="38" t="str">
        <f t="shared" si="161"/>
        <v/>
      </c>
      <c r="U1495" s="37" t="str">
        <f t="shared" si="162"/>
        <v/>
      </c>
    </row>
    <row r="1496" spans="2:21" ht="17.25">
      <c r="B1496" s="156"/>
      <c r="C1496" s="156"/>
      <c r="D1496" s="157"/>
      <c r="E1496" s="155"/>
      <c r="F1496" s="151"/>
      <c r="G1496" s="152"/>
      <c r="H1496" s="153"/>
      <c r="I1496" s="154"/>
      <c r="J1496" s="154"/>
      <c r="K1496" s="30" t="str">
        <f>IF(H1496="","",IF($C$30="간이법","",FPR(H1496,I1496,J1496)))</f>
        <v/>
      </c>
      <c r="L1496" s="30" t="str">
        <f>IF(H1496="","",IF($C$30="상세법",FPV(H1496,K1496),IF(H1496="EI",4,IF(H1496="EO",5.2,IF(H1496="EQ",3.9,IF(H1496="ILF",7.5,IF(H1496="EIF",5.4)))))))</f>
        <v/>
      </c>
      <c r="M1496" s="30" t="str">
        <f t="shared" si="156"/>
        <v/>
      </c>
      <c r="N1496" s="134"/>
      <c r="O1496" s="29"/>
      <c r="P1496" s="37" t="str">
        <f t="shared" si="157"/>
        <v/>
      </c>
      <c r="Q1496" s="38" t="str">
        <f t="shared" si="158"/>
        <v/>
      </c>
      <c r="R1496" s="37" t="str">
        <f t="shared" si="159"/>
        <v/>
      </c>
      <c r="S1496" s="37" t="str">
        <f t="shared" si="160"/>
        <v/>
      </c>
      <c r="T1496" s="38" t="str">
        <f t="shared" si="161"/>
        <v/>
      </c>
      <c r="U1496" s="37" t="str">
        <f t="shared" si="162"/>
        <v/>
      </c>
    </row>
    <row r="1497" spans="2:21" ht="17.25">
      <c r="B1497" s="156"/>
      <c r="C1497" s="156"/>
      <c r="D1497" s="157"/>
      <c r="E1497" s="155"/>
      <c r="F1497" s="151"/>
      <c r="G1497" s="152"/>
      <c r="H1497" s="153"/>
      <c r="I1497" s="154"/>
      <c r="J1497" s="154"/>
      <c r="K1497" s="30" t="str">
        <f>IF(H1497="","",IF($C$30="간이법","",FPR(H1497,I1497,J1497)))</f>
        <v/>
      </c>
      <c r="L1497" s="30" t="str">
        <f>IF(H1497="","",IF($C$30="상세법",FPV(H1497,K1497),IF(H1497="EI",4,IF(H1497="EO",5.2,IF(H1497="EQ",3.9,IF(H1497="ILF",7.5,IF(H1497="EIF",5.4)))))))</f>
        <v/>
      </c>
      <c r="M1497" s="30" t="str">
        <f t="shared" si="156"/>
        <v/>
      </c>
      <c r="N1497" s="134"/>
      <c r="O1497" s="29"/>
      <c r="P1497" s="37" t="str">
        <f t="shared" si="157"/>
        <v/>
      </c>
      <c r="Q1497" s="38" t="str">
        <f t="shared" si="158"/>
        <v/>
      </c>
      <c r="R1497" s="37" t="str">
        <f t="shared" si="159"/>
        <v/>
      </c>
      <c r="S1497" s="37" t="str">
        <f t="shared" si="160"/>
        <v/>
      </c>
      <c r="T1497" s="38" t="str">
        <f t="shared" si="161"/>
        <v/>
      </c>
      <c r="U1497" s="37" t="str">
        <f t="shared" si="162"/>
        <v/>
      </c>
    </row>
    <row r="1498" spans="2:21" ht="17.25">
      <c r="B1498" s="156"/>
      <c r="C1498" s="156"/>
      <c r="D1498" s="157"/>
      <c r="E1498" s="155"/>
      <c r="F1498" s="151"/>
      <c r="G1498" s="152"/>
      <c r="H1498" s="153"/>
      <c r="I1498" s="154"/>
      <c r="J1498" s="154"/>
      <c r="K1498" s="30" t="str">
        <f>IF(H1498="","",IF($C$30="간이법","",FPR(H1498,I1498,J1498)))</f>
        <v/>
      </c>
      <c r="L1498" s="30" t="str">
        <f>IF(H1498="","",IF($C$30="상세법",FPV(H1498,K1498),IF(H1498="EI",4,IF(H1498="EO",5.2,IF(H1498="EQ",3.9,IF(H1498="ILF",7.5,IF(H1498="EIF",5.4)))))))</f>
        <v/>
      </c>
      <c r="M1498" s="30" t="str">
        <f t="shared" si="156"/>
        <v/>
      </c>
      <c r="N1498" s="134"/>
      <c r="O1498" s="29"/>
      <c r="P1498" s="37" t="str">
        <f t="shared" si="157"/>
        <v/>
      </c>
      <c r="Q1498" s="38" t="str">
        <f t="shared" si="158"/>
        <v/>
      </c>
      <c r="R1498" s="37" t="str">
        <f t="shared" si="159"/>
        <v/>
      </c>
      <c r="S1498" s="37" t="str">
        <f t="shared" si="160"/>
        <v/>
      </c>
      <c r="T1498" s="38" t="str">
        <f t="shared" si="161"/>
        <v/>
      </c>
      <c r="U1498" s="37" t="str">
        <f t="shared" si="162"/>
        <v/>
      </c>
    </row>
    <row r="1499" spans="2:21" ht="17.25">
      <c r="B1499" s="156"/>
      <c r="C1499" s="156"/>
      <c r="D1499" s="157"/>
      <c r="E1499" s="155"/>
      <c r="F1499" s="151"/>
      <c r="G1499" s="152"/>
      <c r="H1499" s="153"/>
      <c r="I1499" s="154"/>
      <c r="J1499" s="154"/>
      <c r="K1499" s="30" t="str">
        <f>IF(H1499="","",IF($C$30="간이법","",FPR(H1499,I1499,J1499)))</f>
        <v/>
      </c>
      <c r="L1499" s="30" t="str">
        <f>IF(H1499="","",IF($C$30="상세법",FPV(H1499,K1499),IF(H1499="EI",4,IF(H1499="EO",5.2,IF(H1499="EQ",3.9,IF(H1499="ILF",7.5,IF(H1499="EIF",5.4)))))))</f>
        <v/>
      </c>
      <c r="M1499" s="30" t="str">
        <f t="shared" si="156"/>
        <v/>
      </c>
      <c r="N1499" s="134"/>
      <c r="O1499" s="29"/>
      <c r="P1499" s="37" t="str">
        <f t="shared" si="157"/>
        <v/>
      </c>
      <c r="Q1499" s="38" t="str">
        <f t="shared" si="158"/>
        <v/>
      </c>
      <c r="R1499" s="37" t="str">
        <f t="shared" si="159"/>
        <v/>
      </c>
      <c r="S1499" s="37" t="str">
        <f t="shared" si="160"/>
        <v/>
      </c>
      <c r="T1499" s="38" t="str">
        <f t="shared" si="161"/>
        <v/>
      </c>
      <c r="U1499" s="37" t="str">
        <f t="shared" si="162"/>
        <v/>
      </c>
    </row>
    <row r="1500" spans="2:21" ht="17.25">
      <c r="B1500" s="156"/>
      <c r="C1500" s="156"/>
      <c r="D1500" s="157"/>
      <c r="E1500" s="155"/>
      <c r="F1500" s="151"/>
      <c r="G1500" s="152"/>
      <c r="H1500" s="153"/>
      <c r="I1500" s="154"/>
      <c r="J1500" s="154"/>
      <c r="K1500" s="30" t="str">
        <f>IF(H1500="","",IF($C$30="간이법","",FPR(H1500,I1500,J1500)))</f>
        <v/>
      </c>
      <c r="L1500" s="30" t="str">
        <f>IF(H1500="","",IF($C$30="상세법",FPV(H1500,K1500),IF(H1500="EI",4,IF(H1500="EO",5.2,IF(H1500="EQ",3.9,IF(H1500="ILF",7.5,IF(H1500="EIF",5.4)))))))</f>
        <v/>
      </c>
      <c r="M1500" s="30" t="str">
        <f t="shared" si="156"/>
        <v/>
      </c>
      <c r="N1500" s="134"/>
      <c r="O1500" s="29"/>
      <c r="P1500" s="37" t="str">
        <f t="shared" si="157"/>
        <v/>
      </c>
      <c r="Q1500" s="38" t="str">
        <f t="shared" si="158"/>
        <v/>
      </c>
      <c r="R1500" s="37" t="str">
        <f t="shared" si="159"/>
        <v/>
      </c>
      <c r="S1500" s="37" t="str">
        <f t="shared" si="160"/>
        <v/>
      </c>
      <c r="T1500" s="38" t="str">
        <f t="shared" si="161"/>
        <v/>
      </c>
      <c r="U1500" s="37" t="str">
        <f t="shared" si="162"/>
        <v/>
      </c>
    </row>
    <row r="1501" spans="2:21" ht="17.25">
      <c r="B1501" s="156"/>
      <c r="C1501" s="156"/>
      <c r="D1501" s="157"/>
      <c r="E1501" s="155"/>
      <c r="F1501" s="151"/>
      <c r="G1501" s="152"/>
      <c r="H1501" s="153"/>
      <c r="I1501" s="154"/>
      <c r="J1501" s="154"/>
      <c r="K1501" s="30" t="str">
        <f>IF(H1501="","",IF($C$30="간이법","",FPR(H1501,I1501,J1501)))</f>
        <v/>
      </c>
      <c r="L1501" s="30" t="str">
        <f>IF(H1501="","",IF($C$30="상세법",FPV(H1501,K1501),IF(H1501="EI",4,IF(H1501="EO",5.2,IF(H1501="EQ",3.9,IF(H1501="ILF",7.5,IF(H1501="EIF",5.4)))))))</f>
        <v/>
      </c>
      <c r="M1501" s="30" t="str">
        <f t="shared" si="156"/>
        <v/>
      </c>
      <c r="N1501" s="134"/>
      <c r="O1501" s="29"/>
      <c r="P1501" s="37" t="str">
        <f t="shared" si="157"/>
        <v/>
      </c>
      <c r="Q1501" s="38" t="str">
        <f t="shared" si="158"/>
        <v/>
      </c>
      <c r="R1501" s="37" t="str">
        <f t="shared" si="159"/>
        <v/>
      </c>
      <c r="S1501" s="37" t="str">
        <f t="shared" si="160"/>
        <v/>
      </c>
      <c r="T1501" s="38" t="str">
        <f t="shared" si="161"/>
        <v/>
      </c>
      <c r="U1501" s="37" t="str">
        <f t="shared" si="162"/>
        <v/>
      </c>
    </row>
    <row r="1502" spans="2:21" ht="17.25">
      <c r="B1502" s="156"/>
      <c r="C1502" s="156"/>
      <c r="D1502" s="157"/>
      <c r="E1502" s="155"/>
      <c r="F1502" s="151"/>
      <c r="G1502" s="152"/>
      <c r="H1502" s="153"/>
      <c r="I1502" s="154"/>
      <c r="J1502" s="154"/>
      <c r="K1502" s="30" t="str">
        <f>IF(H1502="","",IF($C$30="간이법","",FPR(H1502,I1502,J1502)))</f>
        <v/>
      </c>
      <c r="L1502" s="30" t="str">
        <f>IF(H1502="","",IF($C$30="상세법",FPV(H1502,K1502),IF(H1502="EI",4,IF(H1502="EO",5.2,IF(H1502="EQ",3.9,IF(H1502="ILF",7.5,IF(H1502="EIF",5.4)))))))</f>
        <v/>
      </c>
      <c r="M1502" s="30" t="str">
        <f t="shared" si="156"/>
        <v/>
      </c>
      <c r="N1502" s="134"/>
      <c r="O1502" s="29"/>
      <c r="P1502" s="37" t="str">
        <f t="shared" si="157"/>
        <v/>
      </c>
      <c r="Q1502" s="38" t="str">
        <f t="shared" si="158"/>
        <v/>
      </c>
      <c r="R1502" s="37" t="str">
        <f t="shared" si="159"/>
        <v/>
      </c>
      <c r="S1502" s="37" t="str">
        <f t="shared" si="160"/>
        <v/>
      </c>
      <c r="T1502" s="38" t="str">
        <f t="shared" si="161"/>
        <v/>
      </c>
      <c r="U1502" s="37" t="str">
        <f t="shared" si="162"/>
        <v/>
      </c>
    </row>
    <row r="1503" spans="2:21" ht="17.25">
      <c r="B1503" s="156"/>
      <c r="C1503" s="156"/>
      <c r="D1503" s="157"/>
      <c r="E1503" s="155"/>
      <c r="F1503" s="151"/>
      <c r="G1503" s="152"/>
      <c r="H1503" s="153"/>
      <c r="I1503" s="154"/>
      <c r="J1503" s="154"/>
      <c r="K1503" s="30" t="str">
        <f>IF(H1503="","",IF($C$30="간이법","",FPR(H1503,I1503,J1503)))</f>
        <v/>
      </c>
      <c r="L1503" s="30" t="str">
        <f>IF(H1503="","",IF($C$30="상세법",FPV(H1503,K1503),IF(H1503="EI",4,IF(H1503="EO",5.2,IF(H1503="EQ",3.9,IF(H1503="ILF",7.5,IF(H1503="EIF",5.4)))))))</f>
        <v/>
      </c>
      <c r="M1503" s="30" t="str">
        <f t="shared" si="156"/>
        <v/>
      </c>
      <c r="N1503" s="134"/>
      <c r="O1503" s="29"/>
      <c r="P1503" s="37" t="str">
        <f t="shared" si="157"/>
        <v/>
      </c>
      <c r="Q1503" s="38" t="str">
        <f t="shared" si="158"/>
        <v/>
      </c>
      <c r="R1503" s="37" t="str">
        <f t="shared" si="159"/>
        <v/>
      </c>
      <c r="S1503" s="37" t="str">
        <f t="shared" si="160"/>
        <v/>
      </c>
      <c r="T1503" s="38" t="str">
        <f t="shared" si="161"/>
        <v/>
      </c>
      <c r="U1503" s="37" t="str">
        <f t="shared" si="162"/>
        <v/>
      </c>
    </row>
    <row r="1504" spans="2:21" ht="17.25">
      <c r="B1504" s="156"/>
      <c r="C1504" s="156"/>
      <c r="D1504" s="157"/>
      <c r="E1504" s="155"/>
      <c r="F1504" s="151"/>
      <c r="G1504" s="152"/>
      <c r="H1504" s="153"/>
      <c r="I1504" s="154"/>
      <c r="J1504" s="154"/>
      <c r="K1504" s="30" t="str">
        <f>IF(H1504="","",IF($C$30="간이법","",FPR(H1504,I1504,J1504)))</f>
        <v/>
      </c>
      <c r="L1504" s="30" t="str">
        <f>IF(H1504="","",IF($C$30="상세법",FPV(H1504,K1504),IF(H1504="EI",4,IF(H1504="EO",5.2,IF(H1504="EQ",3.9,IF(H1504="ILF",7.5,IF(H1504="EIF",5.4)))))))</f>
        <v/>
      </c>
      <c r="M1504" s="30" t="str">
        <f t="shared" si="156"/>
        <v/>
      </c>
      <c r="N1504" s="134"/>
      <c r="O1504" s="29"/>
      <c r="P1504" s="37" t="str">
        <f t="shared" si="157"/>
        <v/>
      </c>
      <c r="Q1504" s="38" t="str">
        <f t="shared" si="158"/>
        <v/>
      </c>
      <c r="R1504" s="37" t="str">
        <f t="shared" si="159"/>
        <v/>
      </c>
      <c r="S1504" s="37" t="str">
        <f t="shared" si="160"/>
        <v/>
      </c>
      <c r="T1504" s="38" t="str">
        <f t="shared" si="161"/>
        <v/>
      </c>
      <c r="U1504" s="37" t="str">
        <f t="shared" si="162"/>
        <v/>
      </c>
    </row>
    <row r="1505" spans="2:21" ht="17.25">
      <c r="B1505" s="156"/>
      <c r="C1505" s="156"/>
      <c r="D1505" s="157"/>
      <c r="E1505" s="155"/>
      <c r="F1505" s="151"/>
      <c r="G1505" s="152"/>
      <c r="H1505" s="153"/>
      <c r="I1505" s="154"/>
      <c r="J1505" s="154"/>
      <c r="K1505" s="30" t="str">
        <f>IF(H1505="","",IF($C$30="간이법","",FPR(H1505,I1505,J1505)))</f>
        <v/>
      </c>
      <c r="L1505" s="30" t="str">
        <f>IF(H1505="","",IF($C$30="상세법",FPV(H1505,K1505),IF(H1505="EI",4,IF(H1505="EO",5.2,IF(H1505="EQ",3.9,IF(H1505="ILF",7.5,IF(H1505="EIF",5.4)))))))</f>
        <v/>
      </c>
      <c r="M1505" s="30" t="str">
        <f t="shared" si="156"/>
        <v/>
      </c>
      <c r="N1505" s="134"/>
      <c r="O1505" s="29"/>
      <c r="P1505" s="37" t="str">
        <f t="shared" si="157"/>
        <v/>
      </c>
      <c r="Q1505" s="38" t="str">
        <f t="shared" si="158"/>
        <v/>
      </c>
      <c r="R1505" s="37" t="str">
        <f t="shared" si="159"/>
        <v/>
      </c>
      <c r="S1505" s="37" t="str">
        <f t="shared" si="160"/>
        <v/>
      </c>
      <c r="T1505" s="38" t="str">
        <f t="shared" si="161"/>
        <v/>
      </c>
      <c r="U1505" s="37" t="str">
        <f t="shared" si="162"/>
        <v/>
      </c>
    </row>
    <row r="1506" spans="2:21" ht="17.25">
      <c r="B1506" s="156"/>
      <c r="C1506" s="156"/>
      <c r="D1506" s="157"/>
      <c r="E1506" s="155"/>
      <c r="F1506" s="151"/>
      <c r="G1506" s="152"/>
      <c r="H1506" s="153"/>
      <c r="I1506" s="154"/>
      <c r="J1506" s="154"/>
      <c r="K1506" s="30" t="str">
        <f>IF(H1506="","",IF($C$30="간이법","",FPR(H1506,I1506,J1506)))</f>
        <v/>
      </c>
      <c r="L1506" s="30" t="str">
        <f>IF(H1506="","",IF($C$30="상세법",FPV(H1506,K1506),IF(H1506="EI",4,IF(H1506="EO",5.2,IF(H1506="EQ",3.9,IF(H1506="ILF",7.5,IF(H1506="EIF",5.4)))))))</f>
        <v/>
      </c>
      <c r="M1506" s="30" t="str">
        <f t="shared" si="156"/>
        <v/>
      </c>
      <c r="N1506" s="134"/>
      <c r="O1506" s="29"/>
      <c r="P1506" s="37" t="str">
        <f t="shared" si="157"/>
        <v/>
      </c>
      <c r="Q1506" s="38" t="str">
        <f t="shared" si="158"/>
        <v/>
      </c>
      <c r="R1506" s="37" t="str">
        <f t="shared" si="159"/>
        <v/>
      </c>
      <c r="S1506" s="37" t="str">
        <f t="shared" si="160"/>
        <v/>
      </c>
      <c r="T1506" s="38" t="str">
        <f t="shared" si="161"/>
        <v/>
      </c>
      <c r="U1506" s="37" t="str">
        <f t="shared" si="162"/>
        <v/>
      </c>
    </row>
    <row r="1507" spans="2:21" ht="17.25">
      <c r="B1507" s="156"/>
      <c r="C1507" s="156"/>
      <c r="D1507" s="157"/>
      <c r="E1507" s="155"/>
      <c r="F1507" s="151"/>
      <c r="G1507" s="152"/>
      <c r="H1507" s="153"/>
      <c r="I1507" s="154"/>
      <c r="J1507" s="154"/>
      <c r="K1507" s="30" t="str">
        <f>IF(H1507="","",IF($C$30="간이법","",FPR(H1507,I1507,J1507)))</f>
        <v/>
      </c>
      <c r="L1507" s="30" t="str">
        <f>IF(H1507="","",IF($C$30="상세법",FPV(H1507,K1507),IF(H1507="EI",4,IF(H1507="EO",5.2,IF(H1507="EQ",3.9,IF(H1507="ILF",7.5,IF(H1507="EIF",5.4)))))))</f>
        <v/>
      </c>
      <c r="M1507" s="30" t="str">
        <f t="shared" si="156"/>
        <v/>
      </c>
      <c r="N1507" s="134"/>
      <c r="O1507" s="29"/>
      <c r="P1507" s="37" t="str">
        <f t="shared" si="157"/>
        <v/>
      </c>
      <c r="Q1507" s="38" t="str">
        <f t="shared" si="158"/>
        <v/>
      </c>
      <c r="R1507" s="37" t="str">
        <f t="shared" si="159"/>
        <v/>
      </c>
      <c r="S1507" s="37" t="str">
        <f t="shared" si="160"/>
        <v/>
      </c>
      <c r="T1507" s="38" t="str">
        <f t="shared" si="161"/>
        <v/>
      </c>
      <c r="U1507" s="37" t="str">
        <f t="shared" si="162"/>
        <v/>
      </c>
    </row>
    <row r="1508" spans="2:21" ht="17.25">
      <c r="B1508" s="156"/>
      <c r="C1508" s="156"/>
      <c r="D1508" s="157"/>
      <c r="E1508" s="155"/>
      <c r="F1508" s="151"/>
      <c r="G1508" s="152"/>
      <c r="H1508" s="153"/>
      <c r="I1508" s="154"/>
      <c r="J1508" s="154"/>
      <c r="K1508" s="30" t="str">
        <f>IF(H1508="","",IF($C$30="간이법","",FPR(H1508,I1508,J1508)))</f>
        <v/>
      </c>
      <c r="L1508" s="30" t="str">
        <f>IF(H1508="","",IF($C$30="상세법",FPV(H1508,K1508),IF(H1508="EI",4,IF(H1508="EO",5.2,IF(H1508="EQ",3.9,IF(H1508="ILF",7.5,IF(H1508="EIF",5.4)))))))</f>
        <v/>
      </c>
      <c r="M1508" s="30" t="str">
        <f t="shared" si="156"/>
        <v/>
      </c>
      <c r="N1508" s="134"/>
      <c r="O1508" s="29"/>
      <c r="P1508" s="37" t="str">
        <f t="shared" si="157"/>
        <v/>
      </c>
      <c r="Q1508" s="38" t="str">
        <f t="shared" si="158"/>
        <v/>
      </c>
      <c r="R1508" s="37" t="str">
        <f t="shared" si="159"/>
        <v/>
      </c>
      <c r="S1508" s="37" t="str">
        <f t="shared" si="160"/>
        <v/>
      </c>
      <c r="T1508" s="38" t="str">
        <f t="shared" si="161"/>
        <v/>
      </c>
      <c r="U1508" s="37" t="str">
        <f t="shared" si="162"/>
        <v/>
      </c>
    </row>
    <row r="1509" spans="2:21" ht="17.25">
      <c r="B1509" s="156"/>
      <c r="C1509" s="156"/>
      <c r="D1509" s="157"/>
      <c r="E1509" s="155"/>
      <c r="F1509" s="151"/>
      <c r="G1509" s="152"/>
      <c r="H1509" s="153"/>
      <c r="I1509" s="154"/>
      <c r="J1509" s="154"/>
      <c r="K1509" s="30" t="str">
        <f>IF(H1509="","",IF($C$30="간이법","",FPR(H1509,I1509,J1509)))</f>
        <v/>
      </c>
      <c r="L1509" s="30" t="str">
        <f>IF(H1509="","",IF($C$30="상세법",FPV(H1509,K1509),IF(H1509="EI",4,IF(H1509="EO",5.2,IF(H1509="EQ",3.9,IF(H1509="ILF",7.5,IF(H1509="EIF",5.4)))))))</f>
        <v/>
      </c>
      <c r="M1509" s="30" t="str">
        <f t="shared" si="156"/>
        <v/>
      </c>
      <c r="N1509" s="134"/>
      <c r="O1509" s="29"/>
      <c r="P1509" s="37" t="str">
        <f t="shared" si="157"/>
        <v/>
      </c>
      <c r="Q1509" s="38" t="str">
        <f t="shared" si="158"/>
        <v/>
      </c>
      <c r="R1509" s="37" t="str">
        <f t="shared" si="159"/>
        <v/>
      </c>
      <c r="S1509" s="37" t="str">
        <f t="shared" si="160"/>
        <v/>
      </c>
      <c r="T1509" s="38" t="str">
        <f t="shared" si="161"/>
        <v/>
      </c>
      <c r="U1509" s="37" t="str">
        <f t="shared" si="162"/>
        <v/>
      </c>
    </row>
    <row r="1510" spans="2:21" ht="17.25">
      <c r="B1510" s="156"/>
      <c r="C1510" s="156"/>
      <c r="D1510" s="157"/>
      <c r="E1510" s="155"/>
      <c r="F1510" s="151"/>
      <c r="G1510" s="152"/>
      <c r="H1510" s="153"/>
      <c r="I1510" s="154"/>
      <c r="J1510" s="154"/>
      <c r="K1510" s="30" t="str">
        <f>IF(H1510="","",IF($C$30="간이법","",FPR(H1510,I1510,J1510)))</f>
        <v/>
      </c>
      <c r="L1510" s="30" t="str">
        <f>IF(H1510="","",IF($C$30="상세법",FPV(H1510,K1510),IF(H1510="EI",4,IF(H1510="EO",5.2,IF(H1510="EQ",3.9,IF(H1510="ILF",7.5,IF(H1510="EIF",5.4)))))))</f>
        <v/>
      </c>
      <c r="M1510" s="30" t="str">
        <f t="shared" si="156"/>
        <v/>
      </c>
      <c r="N1510" s="134"/>
      <c r="O1510" s="29"/>
      <c r="P1510" s="37" t="str">
        <f t="shared" si="157"/>
        <v/>
      </c>
      <c r="Q1510" s="38" t="str">
        <f t="shared" si="158"/>
        <v/>
      </c>
      <c r="R1510" s="37" t="str">
        <f t="shared" si="159"/>
        <v/>
      </c>
      <c r="S1510" s="37" t="str">
        <f t="shared" si="160"/>
        <v/>
      </c>
      <c r="T1510" s="38" t="str">
        <f t="shared" si="161"/>
        <v/>
      </c>
      <c r="U1510" s="37" t="str">
        <f t="shared" si="162"/>
        <v/>
      </c>
    </row>
    <row r="1511" spans="2:21" ht="17.25">
      <c r="B1511" s="156"/>
      <c r="C1511" s="156"/>
      <c r="D1511" s="157"/>
      <c r="E1511" s="155"/>
      <c r="F1511" s="151"/>
      <c r="G1511" s="152"/>
      <c r="H1511" s="153"/>
      <c r="I1511" s="154"/>
      <c r="J1511" s="154"/>
      <c r="K1511" s="30" t="str">
        <f>IF(H1511="","",IF($C$30="간이법","",FPR(H1511,I1511,J1511)))</f>
        <v/>
      </c>
      <c r="L1511" s="30" t="str">
        <f>IF(H1511="","",IF($C$30="상세법",FPV(H1511,K1511),IF(H1511="EI",4,IF(H1511="EO",5.2,IF(H1511="EQ",3.9,IF(H1511="ILF",7.5,IF(H1511="EIF",5.4)))))))</f>
        <v/>
      </c>
      <c r="M1511" s="30" t="str">
        <f t="shared" si="156"/>
        <v/>
      </c>
      <c r="N1511" s="134"/>
      <c r="O1511" s="29"/>
      <c r="P1511" s="37" t="str">
        <f t="shared" si="157"/>
        <v/>
      </c>
      <c r="Q1511" s="38" t="str">
        <f t="shared" si="158"/>
        <v/>
      </c>
      <c r="R1511" s="37" t="str">
        <f t="shared" si="159"/>
        <v/>
      </c>
      <c r="S1511" s="37" t="str">
        <f t="shared" si="160"/>
        <v/>
      </c>
      <c r="T1511" s="38" t="str">
        <f t="shared" si="161"/>
        <v/>
      </c>
      <c r="U1511" s="37" t="str">
        <f t="shared" si="162"/>
        <v/>
      </c>
    </row>
    <row r="1512" spans="2:21" ht="17.25">
      <c r="B1512" s="156"/>
      <c r="C1512" s="156"/>
      <c r="D1512" s="157"/>
      <c r="E1512" s="155"/>
      <c r="F1512" s="151"/>
      <c r="G1512" s="152"/>
      <c r="H1512" s="153"/>
      <c r="I1512" s="154"/>
      <c r="J1512" s="154"/>
      <c r="K1512" s="30" t="str">
        <f>IF(H1512="","",IF($C$30="간이법","",FPR(H1512,I1512,J1512)))</f>
        <v/>
      </c>
      <c r="L1512" s="30" t="str">
        <f>IF(H1512="","",IF($C$30="상세법",FPV(H1512,K1512),IF(H1512="EI",4,IF(H1512="EO",5.2,IF(H1512="EQ",3.9,IF(H1512="ILF",7.5,IF(H1512="EIF",5.4)))))))</f>
        <v/>
      </c>
      <c r="M1512" s="30" t="str">
        <f t="shared" si="156"/>
        <v/>
      </c>
      <c r="N1512" s="134"/>
      <c r="O1512" s="29"/>
      <c r="P1512" s="37" t="str">
        <f t="shared" si="157"/>
        <v/>
      </c>
      <c r="Q1512" s="38" t="str">
        <f t="shared" si="158"/>
        <v/>
      </c>
      <c r="R1512" s="37" t="str">
        <f t="shared" si="159"/>
        <v/>
      </c>
      <c r="S1512" s="37" t="str">
        <f t="shared" si="160"/>
        <v/>
      </c>
      <c r="T1512" s="38" t="str">
        <f t="shared" si="161"/>
        <v/>
      </c>
      <c r="U1512" s="37" t="str">
        <f t="shared" si="162"/>
        <v/>
      </c>
    </row>
    <row r="1513" spans="2:21" ht="17.25">
      <c r="B1513" s="156"/>
      <c r="C1513" s="156"/>
      <c r="D1513" s="157"/>
      <c r="E1513" s="155"/>
      <c r="F1513" s="151"/>
      <c r="G1513" s="152"/>
      <c r="H1513" s="153"/>
      <c r="I1513" s="154"/>
      <c r="J1513" s="154"/>
      <c r="K1513" s="30" t="str">
        <f>IF(H1513="","",IF($C$30="간이법","",FPR(H1513,I1513,J1513)))</f>
        <v/>
      </c>
      <c r="L1513" s="30" t="str">
        <f>IF(H1513="","",IF($C$30="상세법",FPV(H1513,K1513),IF(H1513="EI",4,IF(H1513="EO",5.2,IF(H1513="EQ",3.9,IF(H1513="ILF",7.5,IF(H1513="EIF",5.4)))))))</f>
        <v/>
      </c>
      <c r="M1513" s="30" t="str">
        <f t="shared" si="156"/>
        <v/>
      </c>
      <c r="N1513" s="134"/>
      <c r="O1513" s="29"/>
      <c r="P1513" s="37" t="str">
        <f t="shared" si="157"/>
        <v/>
      </c>
      <c r="Q1513" s="38" t="str">
        <f t="shared" si="158"/>
        <v/>
      </c>
      <c r="R1513" s="37" t="str">
        <f t="shared" si="159"/>
        <v/>
      </c>
      <c r="S1513" s="37" t="str">
        <f t="shared" si="160"/>
        <v/>
      </c>
      <c r="T1513" s="38" t="str">
        <f t="shared" si="161"/>
        <v/>
      </c>
      <c r="U1513" s="37" t="str">
        <f t="shared" si="162"/>
        <v/>
      </c>
    </row>
    <row r="1514" spans="2:21" ht="17.25">
      <c r="B1514" s="156"/>
      <c r="C1514" s="156"/>
      <c r="D1514" s="157"/>
      <c r="E1514" s="155"/>
      <c r="F1514" s="151"/>
      <c r="G1514" s="152"/>
      <c r="H1514" s="153"/>
      <c r="I1514" s="154"/>
      <c r="J1514" s="154"/>
      <c r="K1514" s="30" t="str">
        <f>IF(H1514="","",IF($C$30="간이법","",FPR(H1514,I1514,J1514)))</f>
        <v/>
      </c>
      <c r="L1514" s="30" t="str">
        <f>IF(H1514="","",IF($C$30="상세법",FPV(H1514,K1514),IF(H1514="EI",4,IF(H1514="EO",5.2,IF(H1514="EQ",3.9,IF(H1514="ILF",7.5,IF(H1514="EIF",5.4)))))))</f>
        <v/>
      </c>
      <c r="M1514" s="30" t="str">
        <f t="shared" si="156"/>
        <v/>
      </c>
      <c r="N1514" s="134"/>
      <c r="O1514" s="29"/>
      <c r="P1514" s="37" t="str">
        <f t="shared" si="157"/>
        <v/>
      </c>
      <c r="Q1514" s="38" t="str">
        <f t="shared" si="158"/>
        <v/>
      </c>
      <c r="R1514" s="37" t="str">
        <f t="shared" si="159"/>
        <v/>
      </c>
      <c r="S1514" s="37" t="str">
        <f t="shared" si="160"/>
        <v/>
      </c>
      <c r="T1514" s="38" t="str">
        <f t="shared" si="161"/>
        <v/>
      </c>
      <c r="U1514" s="37" t="str">
        <f t="shared" si="162"/>
        <v/>
      </c>
    </row>
    <row r="1515" spans="2:21" ht="17.25">
      <c r="B1515" s="156"/>
      <c r="C1515" s="156"/>
      <c r="D1515" s="157"/>
      <c r="E1515" s="155"/>
      <c r="F1515" s="151"/>
      <c r="G1515" s="152"/>
      <c r="H1515" s="153"/>
      <c r="I1515" s="154"/>
      <c r="J1515" s="154"/>
      <c r="K1515" s="30" t="str">
        <f>IF(H1515="","",IF($C$30="간이법","",FPR(H1515,I1515,J1515)))</f>
        <v/>
      </c>
      <c r="L1515" s="30" t="str">
        <f>IF(H1515="","",IF($C$30="상세법",FPV(H1515,K1515),IF(H1515="EI",4,IF(H1515="EO",5.2,IF(H1515="EQ",3.9,IF(H1515="ILF",7.5,IF(H1515="EIF",5.4)))))))</f>
        <v/>
      </c>
      <c r="M1515" s="30" t="str">
        <f t="shared" si="156"/>
        <v/>
      </c>
      <c r="N1515" s="134"/>
      <c r="O1515" s="29"/>
      <c r="P1515" s="37" t="str">
        <f t="shared" si="157"/>
        <v/>
      </c>
      <c r="Q1515" s="38" t="str">
        <f t="shared" si="158"/>
        <v/>
      </c>
      <c r="R1515" s="37" t="str">
        <f t="shared" si="159"/>
        <v/>
      </c>
      <c r="S1515" s="37" t="str">
        <f t="shared" si="160"/>
        <v/>
      </c>
      <c r="T1515" s="38" t="str">
        <f t="shared" si="161"/>
        <v/>
      </c>
      <c r="U1515" s="37" t="str">
        <f t="shared" si="162"/>
        <v/>
      </c>
    </row>
    <row r="1516" spans="2:21" ht="17.25">
      <c r="B1516" s="156"/>
      <c r="C1516" s="156"/>
      <c r="D1516" s="157"/>
      <c r="E1516" s="155"/>
      <c r="F1516" s="151"/>
      <c r="G1516" s="152"/>
      <c r="H1516" s="153"/>
      <c r="I1516" s="154"/>
      <c r="J1516" s="154"/>
      <c r="K1516" s="30" t="str">
        <f>IF(H1516="","",IF($C$30="간이법","",FPR(H1516,I1516,J1516)))</f>
        <v/>
      </c>
      <c r="L1516" s="30" t="str">
        <f>IF(H1516="","",IF($C$30="상세법",FPV(H1516,K1516),IF(H1516="EI",4,IF(H1516="EO",5.2,IF(H1516="EQ",3.9,IF(H1516="ILF",7.5,IF(H1516="EIF",5.4)))))))</f>
        <v/>
      </c>
      <c r="M1516" s="30" t="str">
        <f t="shared" si="156"/>
        <v/>
      </c>
      <c r="N1516" s="134"/>
      <c r="O1516" s="29"/>
      <c r="P1516" s="37" t="str">
        <f t="shared" si="157"/>
        <v/>
      </c>
      <c r="Q1516" s="38" t="str">
        <f t="shared" si="158"/>
        <v/>
      </c>
      <c r="R1516" s="37" t="str">
        <f t="shared" si="159"/>
        <v/>
      </c>
      <c r="S1516" s="37" t="str">
        <f t="shared" si="160"/>
        <v/>
      </c>
      <c r="T1516" s="38" t="str">
        <f t="shared" si="161"/>
        <v/>
      </c>
      <c r="U1516" s="37" t="str">
        <f t="shared" si="162"/>
        <v/>
      </c>
    </row>
    <row r="1517" spans="2:21" ht="17.25">
      <c r="B1517" s="156"/>
      <c r="C1517" s="156"/>
      <c r="D1517" s="157"/>
      <c r="E1517" s="155"/>
      <c r="F1517" s="151"/>
      <c r="G1517" s="152"/>
      <c r="H1517" s="153"/>
      <c r="I1517" s="154"/>
      <c r="J1517" s="154"/>
      <c r="K1517" s="30" t="str">
        <f>IF(H1517="","",IF($C$30="간이법","",FPR(H1517,I1517,J1517)))</f>
        <v/>
      </c>
      <c r="L1517" s="30" t="str">
        <f>IF(H1517="","",IF($C$30="상세법",FPV(H1517,K1517),IF(H1517="EI",4,IF(H1517="EO",5.2,IF(H1517="EQ",3.9,IF(H1517="ILF",7.5,IF(H1517="EIF",5.4)))))))</f>
        <v/>
      </c>
      <c r="M1517" s="30" t="str">
        <f t="shared" si="156"/>
        <v/>
      </c>
      <c r="N1517" s="134"/>
      <c r="O1517" s="29"/>
      <c r="P1517" s="37" t="str">
        <f t="shared" si="157"/>
        <v/>
      </c>
      <c r="Q1517" s="38" t="str">
        <f t="shared" si="158"/>
        <v/>
      </c>
      <c r="R1517" s="37" t="str">
        <f t="shared" si="159"/>
        <v/>
      </c>
      <c r="S1517" s="37" t="str">
        <f t="shared" si="160"/>
        <v/>
      </c>
      <c r="T1517" s="38" t="str">
        <f t="shared" si="161"/>
        <v/>
      </c>
      <c r="U1517" s="37" t="str">
        <f t="shared" si="162"/>
        <v/>
      </c>
    </row>
    <row r="1518" spans="2:21" ht="17.25">
      <c r="B1518" s="156"/>
      <c r="C1518" s="156"/>
      <c r="D1518" s="157"/>
      <c r="E1518" s="155"/>
      <c r="F1518" s="151"/>
      <c r="G1518" s="152"/>
      <c r="H1518" s="153"/>
      <c r="I1518" s="154"/>
      <c r="J1518" s="154"/>
      <c r="K1518" s="30" t="str">
        <f>IF(H1518="","",IF($C$30="간이법","",FPR(H1518,I1518,J1518)))</f>
        <v/>
      </c>
      <c r="L1518" s="30" t="str">
        <f>IF(H1518="","",IF($C$30="상세법",FPV(H1518,K1518),IF(H1518="EI",4,IF(H1518="EO",5.2,IF(H1518="EQ",3.9,IF(H1518="ILF",7.5,IF(H1518="EIF",5.4)))))))</f>
        <v/>
      </c>
      <c r="M1518" s="30" t="str">
        <f t="shared" si="156"/>
        <v/>
      </c>
      <c r="N1518" s="134"/>
      <c r="O1518" s="29"/>
      <c r="P1518" s="37" t="str">
        <f t="shared" si="157"/>
        <v/>
      </c>
      <c r="Q1518" s="38" t="str">
        <f t="shared" si="158"/>
        <v/>
      </c>
      <c r="R1518" s="37" t="str">
        <f t="shared" si="159"/>
        <v/>
      </c>
      <c r="S1518" s="37" t="str">
        <f t="shared" si="160"/>
        <v/>
      </c>
      <c r="T1518" s="38" t="str">
        <f t="shared" si="161"/>
        <v/>
      </c>
      <c r="U1518" s="37" t="str">
        <f t="shared" si="162"/>
        <v/>
      </c>
    </row>
    <row r="1519" spans="2:21" ht="17.25">
      <c r="B1519" s="156"/>
      <c r="C1519" s="156"/>
      <c r="D1519" s="157"/>
      <c r="E1519" s="155"/>
      <c r="F1519" s="151"/>
      <c r="G1519" s="152"/>
      <c r="H1519" s="153"/>
      <c r="I1519" s="154"/>
      <c r="J1519" s="154"/>
      <c r="K1519" s="30" t="str">
        <f>IF(H1519="","",IF($C$30="간이법","",FPR(H1519,I1519,J1519)))</f>
        <v/>
      </c>
      <c r="L1519" s="30" t="str">
        <f>IF(H1519="","",IF($C$30="상세법",FPV(H1519,K1519),IF(H1519="EI",4,IF(H1519="EO",5.2,IF(H1519="EQ",3.9,IF(H1519="ILF",7.5,IF(H1519="EIF",5.4)))))))</f>
        <v/>
      </c>
      <c r="M1519" s="30" t="str">
        <f t="shared" si="156"/>
        <v/>
      </c>
      <c r="N1519" s="134"/>
      <c r="O1519" s="29"/>
      <c r="P1519" s="37" t="str">
        <f t="shared" si="157"/>
        <v/>
      </c>
      <c r="Q1519" s="38" t="str">
        <f t="shared" si="158"/>
        <v/>
      </c>
      <c r="R1519" s="37" t="str">
        <f t="shared" si="159"/>
        <v/>
      </c>
      <c r="S1519" s="37" t="str">
        <f t="shared" si="160"/>
        <v/>
      </c>
      <c r="T1519" s="38" t="str">
        <f t="shared" si="161"/>
        <v/>
      </c>
      <c r="U1519" s="37" t="str">
        <f t="shared" si="162"/>
        <v/>
      </c>
    </row>
    <row r="1520" spans="2:21" ht="17.25">
      <c r="B1520" s="156"/>
      <c r="C1520" s="156"/>
      <c r="D1520" s="157"/>
      <c r="E1520" s="155"/>
      <c r="F1520" s="151"/>
      <c r="G1520" s="152"/>
      <c r="H1520" s="153"/>
      <c r="I1520" s="154"/>
      <c r="J1520" s="154"/>
      <c r="K1520" s="30" t="str">
        <f>IF(H1520="","",IF($C$30="간이법","",FPR(H1520,I1520,J1520)))</f>
        <v/>
      </c>
      <c r="L1520" s="30" t="str">
        <f>IF(H1520="","",IF($C$30="상세법",FPV(H1520,K1520),IF(H1520="EI",4,IF(H1520="EO",5.2,IF(H1520="EQ",3.9,IF(H1520="ILF",7.5,IF(H1520="EIF",5.4)))))))</f>
        <v/>
      </c>
      <c r="M1520" s="30" t="str">
        <f t="shared" si="156"/>
        <v/>
      </c>
      <c r="N1520" s="134"/>
      <c r="O1520" s="29"/>
      <c r="P1520" s="37" t="str">
        <f t="shared" si="157"/>
        <v/>
      </c>
      <c r="Q1520" s="38" t="str">
        <f t="shared" si="158"/>
        <v/>
      </c>
      <c r="R1520" s="37" t="str">
        <f t="shared" si="159"/>
        <v/>
      </c>
      <c r="S1520" s="37" t="str">
        <f t="shared" si="160"/>
        <v/>
      </c>
      <c r="T1520" s="38" t="str">
        <f t="shared" si="161"/>
        <v/>
      </c>
      <c r="U1520" s="37" t="str">
        <f t="shared" si="162"/>
        <v/>
      </c>
    </row>
    <row r="1521" spans="2:21" ht="17.25">
      <c r="B1521" s="156"/>
      <c r="C1521" s="156"/>
      <c r="D1521" s="157"/>
      <c r="E1521" s="155"/>
      <c r="F1521" s="151"/>
      <c r="G1521" s="152"/>
      <c r="H1521" s="153"/>
      <c r="I1521" s="154"/>
      <c r="J1521" s="154"/>
      <c r="K1521" s="30" t="str">
        <f>IF(H1521="","",IF($C$30="간이법","",FPR(H1521,I1521,J1521)))</f>
        <v/>
      </c>
      <c r="L1521" s="30" t="str">
        <f>IF(H1521="","",IF($C$30="상세법",FPV(H1521,K1521),IF(H1521="EI",4,IF(H1521="EO",5.2,IF(H1521="EQ",3.9,IF(H1521="ILF",7.5,IF(H1521="EIF",5.4)))))))</f>
        <v/>
      </c>
      <c r="M1521" s="30" t="str">
        <f t="shared" si="156"/>
        <v/>
      </c>
      <c r="N1521" s="134"/>
      <c r="O1521" s="29"/>
      <c r="P1521" s="37" t="str">
        <f t="shared" si="157"/>
        <v/>
      </c>
      <c r="Q1521" s="38" t="str">
        <f t="shared" si="158"/>
        <v/>
      </c>
      <c r="R1521" s="37" t="str">
        <f t="shared" si="159"/>
        <v/>
      </c>
      <c r="S1521" s="37" t="str">
        <f t="shared" si="160"/>
        <v/>
      </c>
      <c r="T1521" s="38" t="str">
        <f t="shared" si="161"/>
        <v/>
      </c>
      <c r="U1521" s="37" t="str">
        <f t="shared" si="162"/>
        <v/>
      </c>
    </row>
    <row r="1522" spans="2:21" ht="17.25">
      <c r="B1522" s="156"/>
      <c r="C1522" s="156"/>
      <c r="D1522" s="157"/>
      <c r="E1522" s="155"/>
      <c r="F1522" s="151"/>
      <c r="G1522" s="152"/>
      <c r="H1522" s="153"/>
      <c r="I1522" s="154"/>
      <c r="J1522" s="154"/>
      <c r="K1522" s="30" t="str">
        <f>IF(H1522="","",IF($C$30="간이법","",FPR(H1522,I1522,J1522)))</f>
        <v/>
      </c>
      <c r="L1522" s="30" t="str">
        <f>IF(H1522="","",IF($C$30="상세법",FPV(H1522,K1522),IF(H1522="EI",4,IF(H1522="EO",5.2,IF(H1522="EQ",3.9,IF(H1522="ILF",7.5,IF(H1522="EIF",5.4)))))))</f>
        <v/>
      </c>
      <c r="M1522" s="30" t="str">
        <f t="shared" si="156"/>
        <v/>
      </c>
      <c r="N1522" s="134"/>
      <c r="O1522" s="29"/>
      <c r="P1522" s="37" t="str">
        <f t="shared" si="157"/>
        <v/>
      </c>
      <c r="Q1522" s="38" t="str">
        <f t="shared" si="158"/>
        <v/>
      </c>
      <c r="R1522" s="37" t="str">
        <f t="shared" si="159"/>
        <v/>
      </c>
      <c r="S1522" s="37" t="str">
        <f t="shared" si="160"/>
        <v/>
      </c>
      <c r="T1522" s="38" t="str">
        <f t="shared" si="161"/>
        <v/>
      </c>
      <c r="U1522" s="37" t="str">
        <f t="shared" si="162"/>
        <v/>
      </c>
    </row>
    <row r="1523" spans="2:21" ht="17.25">
      <c r="B1523" s="156"/>
      <c r="C1523" s="156"/>
      <c r="D1523" s="157"/>
      <c r="E1523" s="155"/>
      <c r="F1523" s="151"/>
      <c r="G1523" s="152"/>
      <c r="H1523" s="153"/>
      <c r="I1523" s="154"/>
      <c r="J1523" s="154"/>
      <c r="K1523" s="30" t="str">
        <f>IF(H1523="","",IF($C$30="간이법","",FPR(H1523,I1523,J1523)))</f>
        <v/>
      </c>
      <c r="L1523" s="30" t="str">
        <f>IF(H1523="","",IF($C$30="상세법",FPV(H1523,K1523),IF(H1523="EI",4,IF(H1523="EO",5.2,IF(H1523="EQ",3.9,IF(H1523="ILF",7.5,IF(H1523="EIF",5.4)))))))</f>
        <v/>
      </c>
      <c r="M1523" s="30" t="str">
        <f t="shared" si="156"/>
        <v/>
      </c>
      <c r="N1523" s="134"/>
      <c r="O1523" s="29"/>
      <c r="P1523" s="37" t="str">
        <f t="shared" si="157"/>
        <v/>
      </c>
      <c r="Q1523" s="38" t="str">
        <f t="shared" si="158"/>
        <v/>
      </c>
      <c r="R1523" s="37" t="str">
        <f t="shared" si="159"/>
        <v/>
      </c>
      <c r="S1523" s="37" t="str">
        <f t="shared" si="160"/>
        <v/>
      </c>
      <c r="T1523" s="38" t="str">
        <f t="shared" si="161"/>
        <v/>
      </c>
      <c r="U1523" s="37" t="str">
        <f t="shared" si="162"/>
        <v/>
      </c>
    </row>
    <row r="1524" spans="2:21" ht="17.25">
      <c r="B1524" s="156"/>
      <c r="C1524" s="156"/>
      <c r="D1524" s="157"/>
      <c r="E1524" s="155"/>
      <c r="F1524" s="151"/>
      <c r="G1524" s="152"/>
      <c r="H1524" s="153"/>
      <c r="I1524" s="154"/>
      <c r="J1524" s="154"/>
      <c r="K1524" s="30" t="str">
        <f>IF(H1524="","",IF($C$30="간이법","",FPR(H1524,I1524,J1524)))</f>
        <v/>
      </c>
      <c r="L1524" s="30" t="str">
        <f>IF(H1524="","",IF($C$30="상세법",FPV(H1524,K1524),IF(H1524="EI",4,IF(H1524="EO",5.2,IF(H1524="EQ",3.9,IF(H1524="ILF",7.5,IF(H1524="EIF",5.4)))))))</f>
        <v/>
      </c>
      <c r="M1524" s="30" t="str">
        <f t="shared" si="156"/>
        <v/>
      </c>
      <c r="N1524" s="134"/>
      <c r="O1524" s="29"/>
      <c r="P1524" s="37" t="str">
        <f t="shared" si="157"/>
        <v/>
      </c>
      <c r="Q1524" s="38" t="str">
        <f t="shared" si="158"/>
        <v/>
      </c>
      <c r="R1524" s="37" t="str">
        <f t="shared" si="159"/>
        <v/>
      </c>
      <c r="S1524" s="37" t="str">
        <f t="shared" si="160"/>
        <v/>
      </c>
      <c r="T1524" s="38" t="str">
        <f t="shared" si="161"/>
        <v/>
      </c>
      <c r="U1524" s="37" t="str">
        <f t="shared" si="162"/>
        <v/>
      </c>
    </row>
    <row r="1525" spans="2:21" ht="17.25">
      <c r="B1525" s="156"/>
      <c r="C1525" s="156"/>
      <c r="D1525" s="157"/>
      <c r="E1525" s="155"/>
      <c r="F1525" s="151"/>
      <c r="G1525" s="152"/>
      <c r="H1525" s="153"/>
      <c r="I1525" s="154"/>
      <c r="J1525" s="154"/>
      <c r="K1525" s="30" t="str">
        <f>IF(H1525="","",IF($C$30="간이법","",FPR(H1525,I1525,J1525)))</f>
        <v/>
      </c>
      <c r="L1525" s="30" t="str">
        <f>IF(H1525="","",IF($C$30="상세법",FPV(H1525,K1525),IF(H1525="EI",4,IF(H1525="EO",5.2,IF(H1525="EQ",3.9,IF(H1525="ILF",7.5,IF(H1525="EIF",5.4)))))))</f>
        <v/>
      </c>
      <c r="M1525" s="30" t="str">
        <f t="shared" si="156"/>
        <v/>
      </c>
      <c r="N1525" s="134"/>
      <c r="O1525" s="29"/>
      <c r="P1525" s="37" t="str">
        <f t="shared" si="157"/>
        <v/>
      </c>
      <c r="Q1525" s="38" t="str">
        <f t="shared" si="158"/>
        <v/>
      </c>
      <c r="R1525" s="37" t="str">
        <f t="shared" si="159"/>
        <v/>
      </c>
      <c r="S1525" s="37" t="str">
        <f t="shared" si="160"/>
        <v/>
      </c>
      <c r="T1525" s="38" t="str">
        <f t="shared" si="161"/>
        <v/>
      </c>
      <c r="U1525" s="37" t="str">
        <f t="shared" si="162"/>
        <v/>
      </c>
    </row>
    <row r="1526" spans="2:21" ht="17.25">
      <c r="B1526" s="156"/>
      <c r="C1526" s="156"/>
      <c r="D1526" s="157"/>
      <c r="E1526" s="155"/>
      <c r="F1526" s="151"/>
      <c r="G1526" s="152"/>
      <c r="H1526" s="153"/>
      <c r="I1526" s="154"/>
      <c r="J1526" s="154"/>
      <c r="K1526" s="30" t="str">
        <f>IF(H1526="","",IF($C$30="간이법","",FPR(H1526,I1526,J1526)))</f>
        <v/>
      </c>
      <c r="L1526" s="30" t="str">
        <f>IF(H1526="","",IF($C$30="상세법",FPV(H1526,K1526),IF(H1526="EI",4,IF(H1526="EO",5.2,IF(H1526="EQ",3.9,IF(H1526="ILF",7.5,IF(H1526="EIF",5.4)))))))</f>
        <v/>
      </c>
      <c r="M1526" s="30" t="str">
        <f t="shared" si="156"/>
        <v/>
      </c>
      <c r="N1526" s="134"/>
      <c r="O1526" s="29"/>
      <c r="P1526" s="37" t="str">
        <f t="shared" si="157"/>
        <v/>
      </c>
      <c r="Q1526" s="38" t="str">
        <f t="shared" si="158"/>
        <v/>
      </c>
      <c r="R1526" s="37" t="str">
        <f t="shared" si="159"/>
        <v/>
      </c>
      <c r="S1526" s="37" t="str">
        <f t="shared" si="160"/>
        <v/>
      </c>
      <c r="T1526" s="38" t="str">
        <f t="shared" si="161"/>
        <v/>
      </c>
      <c r="U1526" s="37" t="str">
        <f t="shared" si="162"/>
        <v/>
      </c>
    </row>
    <row r="1527" spans="2:21" ht="17.25">
      <c r="B1527" s="156"/>
      <c r="C1527" s="156"/>
      <c r="D1527" s="157"/>
      <c r="E1527" s="155"/>
      <c r="F1527" s="151"/>
      <c r="G1527" s="152"/>
      <c r="H1527" s="153"/>
      <c r="I1527" s="154"/>
      <c r="J1527" s="154"/>
      <c r="K1527" s="30" t="str">
        <f>IF(H1527="","",IF($C$30="간이법","",FPR(H1527,I1527,J1527)))</f>
        <v/>
      </c>
      <c r="L1527" s="30" t="str">
        <f>IF(H1527="","",IF($C$30="상세법",FPV(H1527,K1527),IF(H1527="EI",4,IF(H1527="EO",5.2,IF(H1527="EQ",3.9,IF(H1527="ILF",7.5,IF(H1527="EIF",5.4)))))))</f>
        <v/>
      </c>
      <c r="M1527" s="30" t="str">
        <f t="shared" si="156"/>
        <v/>
      </c>
      <c r="N1527" s="134"/>
      <c r="O1527" s="29"/>
      <c r="P1527" s="37" t="str">
        <f t="shared" si="157"/>
        <v/>
      </c>
      <c r="Q1527" s="38" t="str">
        <f t="shared" si="158"/>
        <v/>
      </c>
      <c r="R1527" s="37" t="str">
        <f t="shared" si="159"/>
        <v/>
      </c>
      <c r="S1527" s="37" t="str">
        <f t="shared" si="160"/>
        <v/>
      </c>
      <c r="T1527" s="38" t="str">
        <f t="shared" si="161"/>
        <v/>
      </c>
      <c r="U1527" s="37" t="str">
        <f t="shared" si="162"/>
        <v/>
      </c>
    </row>
    <row r="1528" spans="2:21" ht="17.25">
      <c r="B1528" s="156"/>
      <c r="C1528" s="156"/>
      <c r="D1528" s="157"/>
      <c r="E1528" s="155"/>
      <c r="F1528" s="151"/>
      <c r="G1528" s="152"/>
      <c r="H1528" s="153"/>
      <c r="I1528" s="154"/>
      <c r="J1528" s="154"/>
      <c r="K1528" s="30" t="str">
        <f>IF(H1528="","",IF($C$30="간이법","",FPR(H1528,I1528,J1528)))</f>
        <v/>
      </c>
      <c r="L1528" s="30" t="str">
        <f>IF(H1528="","",IF($C$30="상세법",FPV(H1528,K1528),IF(H1528="EI",4,IF(H1528="EO",5.2,IF(H1528="EQ",3.9,IF(H1528="ILF",7.5,IF(H1528="EIF",5.4)))))))</f>
        <v/>
      </c>
      <c r="M1528" s="30" t="str">
        <f t="shared" si="156"/>
        <v/>
      </c>
      <c r="N1528" s="134"/>
      <c r="O1528" s="29"/>
      <c r="P1528" s="37" t="str">
        <f t="shared" si="157"/>
        <v/>
      </c>
      <c r="Q1528" s="38" t="str">
        <f t="shared" si="158"/>
        <v/>
      </c>
      <c r="R1528" s="37" t="str">
        <f t="shared" si="159"/>
        <v/>
      </c>
      <c r="S1528" s="37" t="str">
        <f t="shared" si="160"/>
        <v/>
      </c>
      <c r="T1528" s="38" t="str">
        <f t="shared" si="161"/>
        <v/>
      </c>
      <c r="U1528" s="37" t="str">
        <f t="shared" si="162"/>
        <v/>
      </c>
    </row>
    <row r="1529" spans="2:21" ht="17.25">
      <c r="B1529" s="156"/>
      <c r="C1529" s="156"/>
      <c r="D1529" s="157"/>
      <c r="E1529" s="155"/>
      <c r="F1529" s="151"/>
      <c r="G1529" s="152"/>
      <c r="H1529" s="153"/>
      <c r="I1529" s="154"/>
      <c r="J1529" s="154"/>
      <c r="K1529" s="30" t="str">
        <f>IF(H1529="","",IF($C$30="간이법","",FPR(H1529,I1529,J1529)))</f>
        <v/>
      </c>
      <c r="L1529" s="30" t="str">
        <f>IF(H1529="","",IF($C$30="상세법",FPV(H1529,K1529),IF(H1529="EI",4,IF(H1529="EO",5.2,IF(H1529="EQ",3.9,IF(H1529="ILF",7.5,IF(H1529="EIF",5.4)))))))</f>
        <v/>
      </c>
      <c r="M1529" s="30" t="str">
        <f t="shared" si="156"/>
        <v/>
      </c>
      <c r="N1529" s="134"/>
      <c r="O1529" s="29"/>
      <c r="P1529" s="37" t="str">
        <f t="shared" si="157"/>
        <v/>
      </c>
      <c r="Q1529" s="38" t="str">
        <f t="shared" si="158"/>
        <v/>
      </c>
      <c r="R1529" s="37" t="str">
        <f t="shared" si="159"/>
        <v/>
      </c>
      <c r="S1529" s="37" t="str">
        <f t="shared" si="160"/>
        <v/>
      </c>
      <c r="T1529" s="38" t="str">
        <f t="shared" si="161"/>
        <v/>
      </c>
      <c r="U1529" s="37" t="str">
        <f t="shared" si="162"/>
        <v/>
      </c>
    </row>
    <row r="1530" spans="2:21" ht="17.25">
      <c r="B1530" s="156"/>
      <c r="C1530" s="156"/>
      <c r="D1530" s="157"/>
      <c r="E1530" s="155"/>
      <c r="F1530" s="151"/>
      <c r="G1530" s="152"/>
      <c r="H1530" s="153"/>
      <c r="I1530" s="154"/>
      <c r="J1530" s="154"/>
      <c r="K1530" s="30" t="str">
        <f>IF(H1530="","",IF($C$30="간이법","",FPR(H1530,I1530,J1530)))</f>
        <v/>
      </c>
      <c r="L1530" s="30" t="str">
        <f>IF(H1530="","",IF($C$30="상세법",FPV(H1530,K1530),IF(H1530="EI",4,IF(H1530="EO",5.2,IF(H1530="EQ",3.9,IF(H1530="ILF",7.5,IF(H1530="EIF",5.4)))))))</f>
        <v/>
      </c>
      <c r="M1530" s="30" t="str">
        <f t="shared" si="156"/>
        <v/>
      </c>
      <c r="N1530" s="134"/>
      <c r="O1530" s="29"/>
      <c r="P1530" s="37" t="str">
        <f t="shared" si="157"/>
        <v/>
      </c>
      <c r="Q1530" s="38" t="str">
        <f t="shared" si="158"/>
        <v/>
      </c>
      <c r="R1530" s="37" t="str">
        <f t="shared" si="159"/>
        <v/>
      </c>
      <c r="S1530" s="37" t="str">
        <f t="shared" si="160"/>
        <v/>
      </c>
      <c r="T1530" s="38" t="str">
        <f t="shared" si="161"/>
        <v/>
      </c>
      <c r="U1530" s="37" t="str">
        <f t="shared" si="162"/>
        <v/>
      </c>
    </row>
    <row r="1531" spans="2:21" ht="17.25">
      <c r="B1531" s="156"/>
      <c r="C1531" s="156"/>
      <c r="D1531" s="157"/>
      <c r="E1531" s="155"/>
      <c r="F1531" s="151"/>
      <c r="G1531" s="152"/>
      <c r="H1531" s="153"/>
      <c r="I1531" s="154"/>
      <c r="J1531" s="154"/>
      <c r="K1531" s="30" t="str">
        <f>IF(H1531="","",IF($C$30="간이법","",FPR(H1531,I1531,J1531)))</f>
        <v/>
      </c>
      <c r="L1531" s="30" t="str">
        <f>IF(H1531="","",IF($C$30="상세법",FPV(H1531,K1531),IF(H1531="EI",4,IF(H1531="EO",5.2,IF(H1531="EQ",3.9,IF(H1531="ILF",7.5,IF(H1531="EIF",5.4)))))))</f>
        <v/>
      </c>
      <c r="M1531" s="30" t="str">
        <f t="shared" si="156"/>
        <v/>
      </c>
      <c r="N1531" s="134"/>
      <c r="O1531" s="29"/>
      <c r="P1531" s="37" t="str">
        <f t="shared" si="157"/>
        <v/>
      </c>
      <c r="Q1531" s="38" t="str">
        <f t="shared" si="158"/>
        <v/>
      </c>
      <c r="R1531" s="37" t="str">
        <f t="shared" si="159"/>
        <v/>
      </c>
      <c r="S1531" s="37" t="str">
        <f t="shared" si="160"/>
        <v/>
      </c>
      <c r="T1531" s="38" t="str">
        <f t="shared" si="161"/>
        <v/>
      </c>
      <c r="U1531" s="37" t="str">
        <f t="shared" si="162"/>
        <v/>
      </c>
    </row>
    <row r="1532" spans="2:21" ht="17.25">
      <c r="B1532" s="156"/>
      <c r="C1532" s="156"/>
      <c r="D1532" s="157"/>
      <c r="E1532" s="155"/>
      <c r="F1532" s="151"/>
      <c r="G1532" s="152"/>
      <c r="H1532" s="153"/>
      <c r="I1532" s="154"/>
      <c r="J1532" s="154"/>
      <c r="K1532" s="30" t="str">
        <f>IF(H1532="","",IF($C$30="간이법","",FPR(H1532,I1532,J1532)))</f>
        <v/>
      </c>
      <c r="L1532" s="30" t="str">
        <f>IF(H1532="","",IF($C$30="상세법",FPV(H1532,K1532),IF(H1532="EI",4,IF(H1532="EO",5.2,IF(H1532="EQ",3.9,IF(H1532="ILF",7.5,IF(H1532="EIF",5.4)))))))</f>
        <v/>
      </c>
      <c r="M1532" s="30" t="str">
        <f t="shared" ref="M1532:M1595" si="163">IF(OR(G1532="",$E$36="(선택)",$E$40="(선택)",$E$41="(선택)",F1532="신규 개발",F1532="수정 없이 재사용"),"",(IF(F1532="수정 후 재사용",IF($E$50&lt;=0.5,L1532*($E$36+$E$50*100*(1+0.02*($E$40*$E$41)))/100,L1532*($E$36+$E$50*100+($E$40*$E$41))/100))))</f>
        <v/>
      </c>
      <c r="N1532" s="134"/>
      <c r="O1532" s="29"/>
      <c r="P1532" s="37" t="str">
        <f t="shared" ref="P1532:P1595" si="164">IF(F1532="수정 후 재사용",IF(H1532="ILF",G1532,IF(H1532="EIF",G1532,"")),"")</f>
        <v/>
      </c>
      <c r="Q1532" s="38" t="str">
        <f t="shared" ref="Q1532:Q1595" si="165">IF(P1532&lt;&gt;"",IF(H1532="ILF", L1532/$E$46,IF(H1532="EIF", L1532/$E$46,"")),"")</f>
        <v/>
      </c>
      <c r="R1532" s="37" t="str">
        <f t="shared" ref="R1532:R1595" si="166">IF(P1532&lt;&gt;"",P1532*Q1532,"")</f>
        <v/>
      </c>
      <c r="S1532" s="37" t="str">
        <f t="shared" ref="S1532:S1595" si="167">IF(F1532="수정 후 재사용",IF(H1532="EI",G1532,IF(H1532="EO",G1532,IF(H1532="EQ",G1532,""))),"")</f>
        <v/>
      </c>
      <c r="T1532" s="38" t="str">
        <f t="shared" ref="T1532:T1595" si="168">IF(S1532&lt;&gt;"",IF(H1532="EI",L1532/$E$47,IF(H1532="EO",L1532/$E$47,IF(H1532="EQ",L1532/$E$47,""))),"")</f>
        <v/>
      </c>
      <c r="U1532" s="37" t="str">
        <f t="shared" ref="U1532:U1595" si="169">IF(S1532&lt;&gt;"",S1532*T1532,"")</f>
        <v/>
      </c>
    </row>
    <row r="1533" spans="2:21" ht="17.25">
      <c r="B1533" s="156"/>
      <c r="C1533" s="156"/>
      <c r="D1533" s="157"/>
      <c r="E1533" s="155"/>
      <c r="F1533" s="151"/>
      <c r="G1533" s="152"/>
      <c r="H1533" s="153"/>
      <c r="I1533" s="154"/>
      <c r="J1533" s="154"/>
      <c r="K1533" s="30" t="str">
        <f>IF(H1533="","",IF($C$30="간이법","",FPR(H1533,I1533,J1533)))</f>
        <v/>
      </c>
      <c r="L1533" s="30" t="str">
        <f>IF(H1533="","",IF($C$30="상세법",FPV(H1533,K1533),IF(H1533="EI",4,IF(H1533="EO",5.2,IF(H1533="EQ",3.9,IF(H1533="ILF",7.5,IF(H1533="EIF",5.4)))))))</f>
        <v/>
      </c>
      <c r="M1533" s="30" t="str">
        <f t="shared" si="163"/>
        <v/>
      </c>
      <c r="N1533" s="134"/>
      <c r="O1533" s="29"/>
      <c r="P1533" s="37" t="str">
        <f t="shared" si="164"/>
        <v/>
      </c>
      <c r="Q1533" s="38" t="str">
        <f t="shared" si="165"/>
        <v/>
      </c>
      <c r="R1533" s="37" t="str">
        <f t="shared" si="166"/>
        <v/>
      </c>
      <c r="S1533" s="37" t="str">
        <f t="shared" si="167"/>
        <v/>
      </c>
      <c r="T1533" s="38" t="str">
        <f t="shared" si="168"/>
        <v/>
      </c>
      <c r="U1533" s="37" t="str">
        <f t="shared" si="169"/>
        <v/>
      </c>
    </row>
    <row r="1534" spans="2:21" ht="17.25">
      <c r="B1534" s="156"/>
      <c r="C1534" s="156"/>
      <c r="D1534" s="157"/>
      <c r="E1534" s="155"/>
      <c r="F1534" s="151"/>
      <c r="G1534" s="152"/>
      <c r="H1534" s="153"/>
      <c r="I1534" s="154"/>
      <c r="J1534" s="154"/>
      <c r="K1534" s="30" t="str">
        <f>IF(H1534="","",IF($C$30="간이법","",FPR(H1534,I1534,J1534)))</f>
        <v/>
      </c>
      <c r="L1534" s="30" t="str">
        <f>IF(H1534="","",IF($C$30="상세법",FPV(H1534,K1534),IF(H1534="EI",4,IF(H1534="EO",5.2,IF(H1534="EQ",3.9,IF(H1534="ILF",7.5,IF(H1534="EIF",5.4)))))))</f>
        <v/>
      </c>
      <c r="M1534" s="30" t="str">
        <f t="shared" si="163"/>
        <v/>
      </c>
      <c r="N1534" s="134"/>
      <c r="O1534" s="29"/>
      <c r="P1534" s="37" t="str">
        <f t="shared" si="164"/>
        <v/>
      </c>
      <c r="Q1534" s="38" t="str">
        <f t="shared" si="165"/>
        <v/>
      </c>
      <c r="R1534" s="37" t="str">
        <f t="shared" si="166"/>
        <v/>
      </c>
      <c r="S1534" s="37" t="str">
        <f t="shared" si="167"/>
        <v/>
      </c>
      <c r="T1534" s="38" t="str">
        <f t="shared" si="168"/>
        <v/>
      </c>
      <c r="U1534" s="37" t="str">
        <f t="shared" si="169"/>
        <v/>
      </c>
    </row>
    <row r="1535" spans="2:21" ht="17.25">
      <c r="B1535" s="156"/>
      <c r="C1535" s="156"/>
      <c r="D1535" s="157"/>
      <c r="E1535" s="155"/>
      <c r="F1535" s="151"/>
      <c r="G1535" s="152"/>
      <c r="H1535" s="153"/>
      <c r="I1535" s="154"/>
      <c r="J1535" s="154"/>
      <c r="K1535" s="30" t="str">
        <f>IF(H1535="","",IF($C$30="간이법","",FPR(H1535,I1535,J1535)))</f>
        <v/>
      </c>
      <c r="L1535" s="30" t="str">
        <f>IF(H1535="","",IF($C$30="상세법",FPV(H1535,K1535),IF(H1535="EI",4,IF(H1535="EO",5.2,IF(H1535="EQ",3.9,IF(H1535="ILF",7.5,IF(H1535="EIF",5.4)))))))</f>
        <v/>
      </c>
      <c r="M1535" s="30" t="str">
        <f t="shared" si="163"/>
        <v/>
      </c>
      <c r="N1535" s="134"/>
      <c r="O1535" s="29"/>
      <c r="P1535" s="37" t="str">
        <f t="shared" si="164"/>
        <v/>
      </c>
      <c r="Q1535" s="38" t="str">
        <f t="shared" si="165"/>
        <v/>
      </c>
      <c r="R1535" s="37" t="str">
        <f t="shared" si="166"/>
        <v/>
      </c>
      <c r="S1535" s="37" t="str">
        <f t="shared" si="167"/>
        <v/>
      </c>
      <c r="T1535" s="38" t="str">
        <f t="shared" si="168"/>
        <v/>
      </c>
      <c r="U1535" s="37" t="str">
        <f t="shared" si="169"/>
        <v/>
      </c>
    </row>
    <row r="1536" spans="2:21" ht="17.25">
      <c r="B1536" s="156"/>
      <c r="C1536" s="156"/>
      <c r="D1536" s="157"/>
      <c r="E1536" s="155"/>
      <c r="F1536" s="151"/>
      <c r="G1536" s="152"/>
      <c r="H1536" s="153"/>
      <c r="I1536" s="154"/>
      <c r="J1536" s="154"/>
      <c r="K1536" s="30" t="str">
        <f>IF(H1536="","",IF($C$30="간이법","",FPR(H1536,I1536,J1536)))</f>
        <v/>
      </c>
      <c r="L1536" s="30" t="str">
        <f>IF(H1536="","",IF($C$30="상세법",FPV(H1536,K1536),IF(H1536="EI",4,IF(H1536="EO",5.2,IF(H1536="EQ",3.9,IF(H1536="ILF",7.5,IF(H1536="EIF",5.4)))))))</f>
        <v/>
      </c>
      <c r="M1536" s="30" t="str">
        <f t="shared" si="163"/>
        <v/>
      </c>
      <c r="N1536" s="134"/>
      <c r="O1536" s="29"/>
      <c r="P1536" s="37" t="str">
        <f t="shared" si="164"/>
        <v/>
      </c>
      <c r="Q1536" s="38" t="str">
        <f t="shared" si="165"/>
        <v/>
      </c>
      <c r="R1536" s="37" t="str">
        <f t="shared" si="166"/>
        <v/>
      </c>
      <c r="S1536" s="37" t="str">
        <f t="shared" si="167"/>
        <v/>
      </c>
      <c r="T1536" s="38" t="str">
        <f t="shared" si="168"/>
        <v/>
      </c>
      <c r="U1536" s="37" t="str">
        <f t="shared" si="169"/>
        <v/>
      </c>
    </row>
    <row r="1537" spans="2:21" ht="17.25">
      <c r="B1537" s="156"/>
      <c r="C1537" s="156"/>
      <c r="D1537" s="157"/>
      <c r="E1537" s="155"/>
      <c r="F1537" s="151"/>
      <c r="G1537" s="152"/>
      <c r="H1537" s="153"/>
      <c r="I1537" s="154"/>
      <c r="J1537" s="154"/>
      <c r="K1537" s="30" t="str">
        <f>IF(H1537="","",IF($C$30="간이법","",FPR(H1537,I1537,J1537)))</f>
        <v/>
      </c>
      <c r="L1537" s="30" t="str">
        <f>IF(H1537="","",IF($C$30="상세법",FPV(H1537,K1537),IF(H1537="EI",4,IF(H1537="EO",5.2,IF(H1537="EQ",3.9,IF(H1537="ILF",7.5,IF(H1537="EIF",5.4)))))))</f>
        <v/>
      </c>
      <c r="M1537" s="30" t="str">
        <f t="shared" si="163"/>
        <v/>
      </c>
      <c r="N1537" s="134"/>
      <c r="O1537" s="29"/>
      <c r="P1537" s="37" t="str">
        <f t="shared" si="164"/>
        <v/>
      </c>
      <c r="Q1537" s="38" t="str">
        <f t="shared" si="165"/>
        <v/>
      </c>
      <c r="R1537" s="37" t="str">
        <f t="shared" si="166"/>
        <v/>
      </c>
      <c r="S1537" s="37" t="str">
        <f t="shared" si="167"/>
        <v/>
      </c>
      <c r="T1537" s="38" t="str">
        <f t="shared" si="168"/>
        <v/>
      </c>
      <c r="U1537" s="37" t="str">
        <f t="shared" si="169"/>
        <v/>
      </c>
    </row>
    <row r="1538" spans="2:21" ht="17.25">
      <c r="B1538" s="156"/>
      <c r="C1538" s="156"/>
      <c r="D1538" s="157"/>
      <c r="E1538" s="155"/>
      <c r="F1538" s="151"/>
      <c r="G1538" s="152"/>
      <c r="H1538" s="153"/>
      <c r="I1538" s="154"/>
      <c r="J1538" s="154"/>
      <c r="K1538" s="30" t="str">
        <f>IF(H1538="","",IF($C$30="간이법","",FPR(H1538,I1538,J1538)))</f>
        <v/>
      </c>
      <c r="L1538" s="30" t="str">
        <f>IF(H1538="","",IF($C$30="상세법",FPV(H1538,K1538),IF(H1538="EI",4,IF(H1538="EO",5.2,IF(H1538="EQ",3.9,IF(H1538="ILF",7.5,IF(H1538="EIF",5.4)))))))</f>
        <v/>
      </c>
      <c r="M1538" s="30" t="str">
        <f t="shared" si="163"/>
        <v/>
      </c>
      <c r="N1538" s="134"/>
      <c r="O1538" s="29"/>
      <c r="P1538" s="37" t="str">
        <f t="shared" si="164"/>
        <v/>
      </c>
      <c r="Q1538" s="38" t="str">
        <f t="shared" si="165"/>
        <v/>
      </c>
      <c r="R1538" s="37" t="str">
        <f t="shared" si="166"/>
        <v/>
      </c>
      <c r="S1538" s="37" t="str">
        <f t="shared" si="167"/>
        <v/>
      </c>
      <c r="T1538" s="38" t="str">
        <f t="shared" si="168"/>
        <v/>
      </c>
      <c r="U1538" s="37" t="str">
        <f t="shared" si="169"/>
        <v/>
      </c>
    </row>
    <row r="1539" spans="2:21" ht="17.25">
      <c r="B1539" s="156"/>
      <c r="C1539" s="156"/>
      <c r="D1539" s="157"/>
      <c r="E1539" s="155"/>
      <c r="F1539" s="151"/>
      <c r="G1539" s="152"/>
      <c r="H1539" s="153"/>
      <c r="I1539" s="154"/>
      <c r="J1539" s="154"/>
      <c r="K1539" s="30" t="str">
        <f>IF(H1539="","",IF($C$30="간이법","",FPR(H1539,I1539,J1539)))</f>
        <v/>
      </c>
      <c r="L1539" s="30" t="str">
        <f>IF(H1539="","",IF($C$30="상세법",FPV(H1539,K1539),IF(H1539="EI",4,IF(H1539="EO",5.2,IF(H1539="EQ",3.9,IF(H1539="ILF",7.5,IF(H1539="EIF",5.4)))))))</f>
        <v/>
      </c>
      <c r="M1539" s="30" t="str">
        <f t="shared" si="163"/>
        <v/>
      </c>
      <c r="N1539" s="134"/>
      <c r="O1539" s="29"/>
      <c r="P1539" s="37" t="str">
        <f t="shared" si="164"/>
        <v/>
      </c>
      <c r="Q1539" s="38" t="str">
        <f t="shared" si="165"/>
        <v/>
      </c>
      <c r="R1539" s="37" t="str">
        <f t="shared" si="166"/>
        <v/>
      </c>
      <c r="S1539" s="37" t="str">
        <f t="shared" si="167"/>
        <v/>
      </c>
      <c r="T1539" s="38" t="str">
        <f t="shared" si="168"/>
        <v/>
      </c>
      <c r="U1539" s="37" t="str">
        <f t="shared" si="169"/>
        <v/>
      </c>
    </row>
    <row r="1540" spans="2:21" ht="17.25">
      <c r="B1540" s="156"/>
      <c r="C1540" s="156"/>
      <c r="D1540" s="157"/>
      <c r="E1540" s="155"/>
      <c r="F1540" s="151"/>
      <c r="G1540" s="152"/>
      <c r="H1540" s="153"/>
      <c r="I1540" s="154"/>
      <c r="J1540" s="154"/>
      <c r="K1540" s="30" t="str">
        <f>IF(H1540="","",IF($C$30="간이법","",FPR(H1540,I1540,J1540)))</f>
        <v/>
      </c>
      <c r="L1540" s="30" t="str">
        <f>IF(H1540="","",IF($C$30="상세법",FPV(H1540,K1540),IF(H1540="EI",4,IF(H1540="EO",5.2,IF(H1540="EQ",3.9,IF(H1540="ILF",7.5,IF(H1540="EIF",5.4)))))))</f>
        <v/>
      </c>
      <c r="M1540" s="30" t="str">
        <f t="shared" si="163"/>
        <v/>
      </c>
      <c r="N1540" s="134"/>
      <c r="O1540" s="29"/>
      <c r="P1540" s="37" t="str">
        <f t="shared" si="164"/>
        <v/>
      </c>
      <c r="Q1540" s="38" t="str">
        <f t="shared" si="165"/>
        <v/>
      </c>
      <c r="R1540" s="37" t="str">
        <f t="shared" si="166"/>
        <v/>
      </c>
      <c r="S1540" s="37" t="str">
        <f t="shared" si="167"/>
        <v/>
      </c>
      <c r="T1540" s="38" t="str">
        <f t="shared" si="168"/>
        <v/>
      </c>
      <c r="U1540" s="37" t="str">
        <f t="shared" si="169"/>
        <v/>
      </c>
    </row>
    <row r="1541" spans="2:21" ht="17.25">
      <c r="B1541" s="156"/>
      <c r="C1541" s="156"/>
      <c r="D1541" s="157"/>
      <c r="E1541" s="155"/>
      <c r="F1541" s="151"/>
      <c r="G1541" s="152"/>
      <c r="H1541" s="153"/>
      <c r="I1541" s="154"/>
      <c r="J1541" s="154"/>
      <c r="K1541" s="30" t="str">
        <f>IF(H1541="","",IF($C$30="간이법","",FPR(H1541,I1541,J1541)))</f>
        <v/>
      </c>
      <c r="L1541" s="30" t="str">
        <f>IF(H1541="","",IF($C$30="상세법",FPV(H1541,K1541),IF(H1541="EI",4,IF(H1541="EO",5.2,IF(H1541="EQ",3.9,IF(H1541="ILF",7.5,IF(H1541="EIF",5.4)))))))</f>
        <v/>
      </c>
      <c r="M1541" s="30" t="str">
        <f t="shared" si="163"/>
        <v/>
      </c>
      <c r="N1541" s="134"/>
      <c r="O1541" s="29"/>
      <c r="P1541" s="37" t="str">
        <f t="shared" si="164"/>
        <v/>
      </c>
      <c r="Q1541" s="38" t="str">
        <f t="shared" si="165"/>
        <v/>
      </c>
      <c r="R1541" s="37" t="str">
        <f t="shared" si="166"/>
        <v/>
      </c>
      <c r="S1541" s="37" t="str">
        <f t="shared" si="167"/>
        <v/>
      </c>
      <c r="T1541" s="38" t="str">
        <f t="shared" si="168"/>
        <v/>
      </c>
      <c r="U1541" s="37" t="str">
        <f t="shared" si="169"/>
        <v/>
      </c>
    </row>
    <row r="1542" spans="2:21" ht="17.25">
      <c r="B1542" s="156"/>
      <c r="C1542" s="156"/>
      <c r="D1542" s="157"/>
      <c r="E1542" s="155"/>
      <c r="F1542" s="151"/>
      <c r="G1542" s="152"/>
      <c r="H1542" s="153"/>
      <c r="I1542" s="154"/>
      <c r="J1542" s="154"/>
      <c r="K1542" s="30" t="str">
        <f>IF(H1542="","",IF($C$30="간이법","",FPR(H1542,I1542,J1542)))</f>
        <v/>
      </c>
      <c r="L1542" s="30" t="str">
        <f>IF(H1542="","",IF($C$30="상세법",FPV(H1542,K1542),IF(H1542="EI",4,IF(H1542="EO",5.2,IF(H1542="EQ",3.9,IF(H1542="ILF",7.5,IF(H1542="EIF",5.4)))))))</f>
        <v/>
      </c>
      <c r="M1542" s="30" t="str">
        <f t="shared" si="163"/>
        <v/>
      </c>
      <c r="N1542" s="134"/>
      <c r="O1542" s="29"/>
      <c r="P1542" s="37" t="str">
        <f t="shared" si="164"/>
        <v/>
      </c>
      <c r="Q1542" s="38" t="str">
        <f t="shared" si="165"/>
        <v/>
      </c>
      <c r="R1542" s="37" t="str">
        <f t="shared" si="166"/>
        <v/>
      </c>
      <c r="S1542" s="37" t="str">
        <f t="shared" si="167"/>
        <v/>
      </c>
      <c r="T1542" s="38" t="str">
        <f t="shared" si="168"/>
        <v/>
      </c>
      <c r="U1542" s="37" t="str">
        <f t="shared" si="169"/>
        <v/>
      </c>
    </row>
    <row r="1543" spans="2:21" ht="17.25">
      <c r="B1543" s="156"/>
      <c r="C1543" s="156"/>
      <c r="D1543" s="157"/>
      <c r="E1543" s="155"/>
      <c r="F1543" s="151"/>
      <c r="G1543" s="152"/>
      <c r="H1543" s="153"/>
      <c r="I1543" s="154"/>
      <c r="J1543" s="154"/>
      <c r="K1543" s="30" t="str">
        <f>IF(H1543="","",IF($C$30="간이법","",FPR(H1543,I1543,J1543)))</f>
        <v/>
      </c>
      <c r="L1543" s="30" t="str">
        <f>IF(H1543="","",IF($C$30="상세법",FPV(H1543,K1543),IF(H1543="EI",4,IF(H1543="EO",5.2,IF(H1543="EQ",3.9,IF(H1543="ILF",7.5,IF(H1543="EIF",5.4)))))))</f>
        <v/>
      </c>
      <c r="M1543" s="30" t="str">
        <f t="shared" si="163"/>
        <v/>
      </c>
      <c r="N1543" s="134"/>
      <c r="O1543" s="29"/>
      <c r="P1543" s="37" t="str">
        <f t="shared" si="164"/>
        <v/>
      </c>
      <c r="Q1543" s="38" t="str">
        <f t="shared" si="165"/>
        <v/>
      </c>
      <c r="R1543" s="37" t="str">
        <f t="shared" si="166"/>
        <v/>
      </c>
      <c r="S1543" s="37" t="str">
        <f t="shared" si="167"/>
        <v/>
      </c>
      <c r="T1543" s="38" t="str">
        <f t="shared" si="168"/>
        <v/>
      </c>
      <c r="U1543" s="37" t="str">
        <f t="shared" si="169"/>
        <v/>
      </c>
    </row>
    <row r="1544" spans="2:21" ht="17.25">
      <c r="B1544" s="156"/>
      <c r="C1544" s="156"/>
      <c r="D1544" s="157"/>
      <c r="E1544" s="155"/>
      <c r="F1544" s="151"/>
      <c r="G1544" s="152"/>
      <c r="H1544" s="153"/>
      <c r="I1544" s="154"/>
      <c r="J1544" s="154"/>
      <c r="K1544" s="30" t="str">
        <f>IF(H1544="","",IF($C$30="간이법","",FPR(H1544,I1544,J1544)))</f>
        <v/>
      </c>
      <c r="L1544" s="30" t="str">
        <f>IF(H1544="","",IF($C$30="상세법",FPV(H1544,K1544),IF(H1544="EI",4,IF(H1544="EO",5.2,IF(H1544="EQ",3.9,IF(H1544="ILF",7.5,IF(H1544="EIF",5.4)))))))</f>
        <v/>
      </c>
      <c r="M1544" s="30" t="str">
        <f t="shared" si="163"/>
        <v/>
      </c>
      <c r="N1544" s="134"/>
      <c r="O1544" s="29"/>
      <c r="P1544" s="37" t="str">
        <f t="shared" si="164"/>
        <v/>
      </c>
      <c r="Q1544" s="38" t="str">
        <f t="shared" si="165"/>
        <v/>
      </c>
      <c r="R1544" s="37" t="str">
        <f t="shared" si="166"/>
        <v/>
      </c>
      <c r="S1544" s="37" t="str">
        <f t="shared" si="167"/>
        <v/>
      </c>
      <c r="T1544" s="38" t="str">
        <f t="shared" si="168"/>
        <v/>
      </c>
      <c r="U1544" s="37" t="str">
        <f t="shared" si="169"/>
        <v/>
      </c>
    </row>
    <row r="1545" spans="2:21" ht="17.25">
      <c r="B1545" s="156"/>
      <c r="C1545" s="156"/>
      <c r="D1545" s="157"/>
      <c r="E1545" s="155"/>
      <c r="F1545" s="151"/>
      <c r="G1545" s="152"/>
      <c r="H1545" s="153"/>
      <c r="I1545" s="154"/>
      <c r="J1545" s="154"/>
      <c r="K1545" s="30" t="str">
        <f>IF(H1545="","",IF($C$30="간이법","",FPR(H1545,I1545,J1545)))</f>
        <v/>
      </c>
      <c r="L1545" s="30" t="str">
        <f>IF(H1545="","",IF($C$30="상세법",FPV(H1545,K1545),IF(H1545="EI",4,IF(H1545="EO",5.2,IF(H1545="EQ",3.9,IF(H1545="ILF",7.5,IF(H1545="EIF",5.4)))))))</f>
        <v/>
      </c>
      <c r="M1545" s="30" t="str">
        <f t="shared" si="163"/>
        <v/>
      </c>
      <c r="N1545" s="134"/>
      <c r="O1545" s="29"/>
      <c r="P1545" s="37" t="str">
        <f t="shared" si="164"/>
        <v/>
      </c>
      <c r="Q1545" s="38" t="str">
        <f t="shared" si="165"/>
        <v/>
      </c>
      <c r="R1545" s="37" t="str">
        <f t="shared" si="166"/>
        <v/>
      </c>
      <c r="S1545" s="37" t="str">
        <f t="shared" si="167"/>
        <v/>
      </c>
      <c r="T1545" s="38" t="str">
        <f t="shared" si="168"/>
        <v/>
      </c>
      <c r="U1545" s="37" t="str">
        <f t="shared" si="169"/>
        <v/>
      </c>
    </row>
    <row r="1546" spans="2:21" ht="17.25">
      <c r="B1546" s="156"/>
      <c r="C1546" s="156"/>
      <c r="D1546" s="157"/>
      <c r="E1546" s="155"/>
      <c r="F1546" s="151"/>
      <c r="G1546" s="152"/>
      <c r="H1546" s="153"/>
      <c r="I1546" s="154"/>
      <c r="J1546" s="154"/>
      <c r="K1546" s="30" t="str">
        <f>IF(H1546="","",IF($C$30="간이법","",FPR(H1546,I1546,J1546)))</f>
        <v/>
      </c>
      <c r="L1546" s="30" t="str">
        <f>IF(H1546="","",IF($C$30="상세법",FPV(H1546,K1546),IF(H1546="EI",4,IF(H1546="EO",5.2,IF(H1546="EQ",3.9,IF(H1546="ILF",7.5,IF(H1546="EIF",5.4)))))))</f>
        <v/>
      </c>
      <c r="M1546" s="30" t="str">
        <f t="shared" si="163"/>
        <v/>
      </c>
      <c r="N1546" s="134"/>
      <c r="O1546" s="29"/>
      <c r="P1546" s="37" t="str">
        <f t="shared" si="164"/>
        <v/>
      </c>
      <c r="Q1546" s="38" t="str">
        <f t="shared" si="165"/>
        <v/>
      </c>
      <c r="R1546" s="37" t="str">
        <f t="shared" si="166"/>
        <v/>
      </c>
      <c r="S1546" s="37" t="str">
        <f t="shared" si="167"/>
        <v/>
      </c>
      <c r="T1546" s="38" t="str">
        <f t="shared" si="168"/>
        <v/>
      </c>
      <c r="U1546" s="37" t="str">
        <f t="shared" si="169"/>
        <v/>
      </c>
    </row>
    <row r="1547" spans="2:21" ht="17.25">
      <c r="B1547" s="156"/>
      <c r="C1547" s="156"/>
      <c r="D1547" s="157"/>
      <c r="E1547" s="155"/>
      <c r="F1547" s="151"/>
      <c r="G1547" s="152"/>
      <c r="H1547" s="153"/>
      <c r="I1547" s="154"/>
      <c r="J1547" s="154"/>
      <c r="K1547" s="30" t="str">
        <f>IF(H1547="","",IF($C$30="간이법","",FPR(H1547,I1547,J1547)))</f>
        <v/>
      </c>
      <c r="L1547" s="30" t="str">
        <f>IF(H1547="","",IF($C$30="상세법",FPV(H1547,K1547),IF(H1547="EI",4,IF(H1547="EO",5.2,IF(H1547="EQ",3.9,IF(H1547="ILF",7.5,IF(H1547="EIF",5.4)))))))</f>
        <v/>
      </c>
      <c r="M1547" s="30" t="str">
        <f t="shared" si="163"/>
        <v/>
      </c>
      <c r="N1547" s="134"/>
      <c r="O1547" s="29"/>
      <c r="P1547" s="37" t="str">
        <f t="shared" si="164"/>
        <v/>
      </c>
      <c r="Q1547" s="38" t="str">
        <f t="shared" si="165"/>
        <v/>
      </c>
      <c r="R1547" s="37" t="str">
        <f t="shared" si="166"/>
        <v/>
      </c>
      <c r="S1547" s="37" t="str">
        <f t="shared" si="167"/>
        <v/>
      </c>
      <c r="T1547" s="38" t="str">
        <f t="shared" si="168"/>
        <v/>
      </c>
      <c r="U1547" s="37" t="str">
        <f t="shared" si="169"/>
        <v/>
      </c>
    </row>
    <row r="1548" spans="2:21" ht="17.25">
      <c r="B1548" s="156"/>
      <c r="C1548" s="156"/>
      <c r="D1548" s="157"/>
      <c r="E1548" s="155"/>
      <c r="F1548" s="151"/>
      <c r="G1548" s="152"/>
      <c r="H1548" s="153"/>
      <c r="I1548" s="154"/>
      <c r="J1548" s="154"/>
      <c r="K1548" s="30" t="str">
        <f>IF(H1548="","",IF($C$30="간이법","",FPR(H1548,I1548,J1548)))</f>
        <v/>
      </c>
      <c r="L1548" s="30" t="str">
        <f>IF(H1548="","",IF($C$30="상세법",FPV(H1548,K1548),IF(H1548="EI",4,IF(H1548="EO",5.2,IF(H1548="EQ",3.9,IF(H1548="ILF",7.5,IF(H1548="EIF",5.4)))))))</f>
        <v/>
      </c>
      <c r="M1548" s="30" t="str">
        <f t="shared" si="163"/>
        <v/>
      </c>
      <c r="N1548" s="134"/>
      <c r="O1548" s="29"/>
      <c r="P1548" s="37" t="str">
        <f t="shared" si="164"/>
        <v/>
      </c>
      <c r="Q1548" s="38" t="str">
        <f t="shared" si="165"/>
        <v/>
      </c>
      <c r="R1548" s="37" t="str">
        <f t="shared" si="166"/>
        <v/>
      </c>
      <c r="S1548" s="37" t="str">
        <f t="shared" si="167"/>
        <v/>
      </c>
      <c r="T1548" s="38" t="str">
        <f t="shared" si="168"/>
        <v/>
      </c>
      <c r="U1548" s="37" t="str">
        <f t="shared" si="169"/>
        <v/>
      </c>
    </row>
    <row r="1549" spans="2:21" ht="17.25">
      <c r="B1549" s="156"/>
      <c r="C1549" s="156"/>
      <c r="D1549" s="157"/>
      <c r="E1549" s="155"/>
      <c r="F1549" s="151"/>
      <c r="G1549" s="152"/>
      <c r="H1549" s="153"/>
      <c r="I1549" s="154"/>
      <c r="J1549" s="154"/>
      <c r="K1549" s="30" t="str">
        <f>IF(H1549="","",IF($C$30="간이법","",FPR(H1549,I1549,J1549)))</f>
        <v/>
      </c>
      <c r="L1549" s="30" t="str">
        <f>IF(H1549="","",IF($C$30="상세법",FPV(H1549,K1549),IF(H1549="EI",4,IF(H1549="EO",5.2,IF(H1549="EQ",3.9,IF(H1549="ILF",7.5,IF(H1549="EIF",5.4)))))))</f>
        <v/>
      </c>
      <c r="M1549" s="30" t="str">
        <f t="shared" si="163"/>
        <v/>
      </c>
      <c r="N1549" s="134"/>
      <c r="O1549" s="29"/>
      <c r="P1549" s="37" t="str">
        <f t="shared" si="164"/>
        <v/>
      </c>
      <c r="Q1549" s="38" t="str">
        <f t="shared" si="165"/>
        <v/>
      </c>
      <c r="R1549" s="37" t="str">
        <f t="shared" si="166"/>
        <v/>
      </c>
      <c r="S1549" s="37" t="str">
        <f t="shared" si="167"/>
        <v/>
      </c>
      <c r="T1549" s="38" t="str">
        <f t="shared" si="168"/>
        <v/>
      </c>
      <c r="U1549" s="37" t="str">
        <f t="shared" si="169"/>
        <v/>
      </c>
    </row>
    <row r="1550" spans="2:21" ht="17.25">
      <c r="B1550" s="156"/>
      <c r="C1550" s="156"/>
      <c r="D1550" s="157"/>
      <c r="E1550" s="155"/>
      <c r="F1550" s="151"/>
      <c r="G1550" s="152"/>
      <c r="H1550" s="153"/>
      <c r="I1550" s="154"/>
      <c r="J1550" s="154"/>
      <c r="K1550" s="30" t="str">
        <f>IF(H1550="","",IF($C$30="간이법","",FPR(H1550,I1550,J1550)))</f>
        <v/>
      </c>
      <c r="L1550" s="30" t="str">
        <f>IF(H1550="","",IF($C$30="상세법",FPV(H1550,K1550),IF(H1550="EI",4,IF(H1550="EO",5.2,IF(H1550="EQ",3.9,IF(H1550="ILF",7.5,IF(H1550="EIF",5.4)))))))</f>
        <v/>
      </c>
      <c r="M1550" s="30" t="str">
        <f t="shared" si="163"/>
        <v/>
      </c>
      <c r="N1550" s="134"/>
      <c r="O1550" s="29"/>
      <c r="P1550" s="37" t="str">
        <f t="shared" si="164"/>
        <v/>
      </c>
      <c r="Q1550" s="38" t="str">
        <f t="shared" si="165"/>
        <v/>
      </c>
      <c r="R1550" s="37" t="str">
        <f t="shared" si="166"/>
        <v/>
      </c>
      <c r="S1550" s="37" t="str">
        <f t="shared" si="167"/>
        <v/>
      </c>
      <c r="T1550" s="38" t="str">
        <f t="shared" si="168"/>
        <v/>
      </c>
      <c r="U1550" s="37" t="str">
        <f t="shared" si="169"/>
        <v/>
      </c>
    </row>
    <row r="1551" spans="2:21" ht="17.25">
      <c r="B1551" s="156"/>
      <c r="C1551" s="156"/>
      <c r="D1551" s="157"/>
      <c r="E1551" s="155"/>
      <c r="F1551" s="151"/>
      <c r="G1551" s="152"/>
      <c r="H1551" s="153"/>
      <c r="I1551" s="154"/>
      <c r="J1551" s="154"/>
      <c r="K1551" s="30" t="str">
        <f>IF(H1551="","",IF($C$30="간이법","",FPR(H1551,I1551,J1551)))</f>
        <v/>
      </c>
      <c r="L1551" s="30" t="str">
        <f>IF(H1551="","",IF($C$30="상세법",FPV(H1551,K1551),IF(H1551="EI",4,IF(H1551="EO",5.2,IF(H1551="EQ",3.9,IF(H1551="ILF",7.5,IF(H1551="EIF",5.4)))))))</f>
        <v/>
      </c>
      <c r="M1551" s="30" t="str">
        <f t="shared" si="163"/>
        <v/>
      </c>
      <c r="N1551" s="134"/>
      <c r="O1551" s="29"/>
      <c r="P1551" s="37" t="str">
        <f t="shared" si="164"/>
        <v/>
      </c>
      <c r="Q1551" s="38" t="str">
        <f t="shared" si="165"/>
        <v/>
      </c>
      <c r="R1551" s="37" t="str">
        <f t="shared" si="166"/>
        <v/>
      </c>
      <c r="S1551" s="37" t="str">
        <f t="shared" si="167"/>
        <v/>
      </c>
      <c r="T1551" s="38" t="str">
        <f t="shared" si="168"/>
        <v/>
      </c>
      <c r="U1551" s="37" t="str">
        <f t="shared" si="169"/>
        <v/>
      </c>
    </row>
    <row r="1552" spans="2:21" ht="17.25">
      <c r="B1552" s="156"/>
      <c r="C1552" s="156"/>
      <c r="D1552" s="157"/>
      <c r="E1552" s="155"/>
      <c r="F1552" s="151"/>
      <c r="G1552" s="152"/>
      <c r="H1552" s="153"/>
      <c r="I1552" s="154"/>
      <c r="J1552" s="154"/>
      <c r="K1552" s="30" t="str">
        <f>IF(H1552="","",IF($C$30="간이법","",FPR(H1552,I1552,J1552)))</f>
        <v/>
      </c>
      <c r="L1552" s="30" t="str">
        <f>IF(H1552="","",IF($C$30="상세법",FPV(H1552,K1552),IF(H1552="EI",4,IF(H1552="EO",5.2,IF(H1552="EQ",3.9,IF(H1552="ILF",7.5,IF(H1552="EIF",5.4)))))))</f>
        <v/>
      </c>
      <c r="M1552" s="30" t="str">
        <f t="shared" si="163"/>
        <v/>
      </c>
      <c r="N1552" s="134"/>
      <c r="O1552" s="29"/>
      <c r="P1552" s="37" t="str">
        <f t="shared" si="164"/>
        <v/>
      </c>
      <c r="Q1552" s="38" t="str">
        <f t="shared" si="165"/>
        <v/>
      </c>
      <c r="R1552" s="37" t="str">
        <f t="shared" si="166"/>
        <v/>
      </c>
      <c r="S1552" s="37" t="str">
        <f t="shared" si="167"/>
        <v/>
      </c>
      <c r="T1552" s="38" t="str">
        <f t="shared" si="168"/>
        <v/>
      </c>
      <c r="U1552" s="37" t="str">
        <f t="shared" si="169"/>
        <v/>
      </c>
    </row>
    <row r="1553" spans="2:21" ht="17.25">
      <c r="B1553" s="156"/>
      <c r="C1553" s="156"/>
      <c r="D1553" s="157"/>
      <c r="E1553" s="155"/>
      <c r="F1553" s="151"/>
      <c r="G1553" s="152"/>
      <c r="H1553" s="153"/>
      <c r="I1553" s="154"/>
      <c r="J1553" s="154"/>
      <c r="K1553" s="30" t="str">
        <f>IF(H1553="","",IF($C$30="간이법","",FPR(H1553,I1553,J1553)))</f>
        <v/>
      </c>
      <c r="L1553" s="30" t="str">
        <f>IF(H1553="","",IF($C$30="상세법",FPV(H1553,K1553),IF(H1553="EI",4,IF(H1553="EO",5.2,IF(H1553="EQ",3.9,IF(H1553="ILF",7.5,IF(H1553="EIF",5.4)))))))</f>
        <v/>
      </c>
      <c r="M1553" s="30" t="str">
        <f t="shared" si="163"/>
        <v/>
      </c>
      <c r="N1553" s="134"/>
      <c r="O1553" s="29"/>
      <c r="P1553" s="37" t="str">
        <f t="shared" si="164"/>
        <v/>
      </c>
      <c r="Q1553" s="38" t="str">
        <f t="shared" si="165"/>
        <v/>
      </c>
      <c r="R1553" s="37" t="str">
        <f t="shared" si="166"/>
        <v/>
      </c>
      <c r="S1553" s="37" t="str">
        <f t="shared" si="167"/>
        <v/>
      </c>
      <c r="T1553" s="38" t="str">
        <f t="shared" si="168"/>
        <v/>
      </c>
      <c r="U1553" s="37" t="str">
        <f t="shared" si="169"/>
        <v/>
      </c>
    </row>
    <row r="1554" spans="2:21" ht="17.25">
      <c r="B1554" s="156"/>
      <c r="C1554" s="156"/>
      <c r="D1554" s="157"/>
      <c r="E1554" s="155"/>
      <c r="F1554" s="151"/>
      <c r="G1554" s="152"/>
      <c r="H1554" s="153"/>
      <c r="I1554" s="154"/>
      <c r="J1554" s="154"/>
      <c r="K1554" s="30" t="str">
        <f>IF(H1554="","",IF($C$30="간이법","",FPR(H1554,I1554,J1554)))</f>
        <v/>
      </c>
      <c r="L1554" s="30" t="str">
        <f>IF(H1554="","",IF($C$30="상세법",FPV(H1554,K1554),IF(H1554="EI",4,IF(H1554="EO",5.2,IF(H1554="EQ",3.9,IF(H1554="ILF",7.5,IF(H1554="EIF",5.4)))))))</f>
        <v/>
      </c>
      <c r="M1554" s="30" t="str">
        <f t="shared" si="163"/>
        <v/>
      </c>
      <c r="N1554" s="134"/>
      <c r="O1554" s="29"/>
      <c r="P1554" s="37" t="str">
        <f t="shared" si="164"/>
        <v/>
      </c>
      <c r="Q1554" s="38" t="str">
        <f t="shared" si="165"/>
        <v/>
      </c>
      <c r="R1554" s="37" t="str">
        <f t="shared" si="166"/>
        <v/>
      </c>
      <c r="S1554" s="37" t="str">
        <f t="shared" si="167"/>
        <v/>
      </c>
      <c r="T1554" s="38" t="str">
        <f t="shared" si="168"/>
        <v/>
      </c>
      <c r="U1554" s="37" t="str">
        <f t="shared" si="169"/>
        <v/>
      </c>
    </row>
    <row r="1555" spans="2:21" ht="17.25">
      <c r="B1555" s="156"/>
      <c r="C1555" s="156"/>
      <c r="D1555" s="157"/>
      <c r="E1555" s="155"/>
      <c r="F1555" s="151"/>
      <c r="G1555" s="152"/>
      <c r="H1555" s="153"/>
      <c r="I1555" s="154"/>
      <c r="J1555" s="154"/>
      <c r="K1555" s="30" t="str">
        <f>IF(H1555="","",IF($C$30="간이법","",FPR(H1555,I1555,J1555)))</f>
        <v/>
      </c>
      <c r="L1555" s="30" t="str">
        <f>IF(H1555="","",IF($C$30="상세법",FPV(H1555,K1555),IF(H1555="EI",4,IF(H1555="EO",5.2,IF(H1555="EQ",3.9,IF(H1555="ILF",7.5,IF(H1555="EIF",5.4)))))))</f>
        <v/>
      </c>
      <c r="M1555" s="30" t="str">
        <f t="shared" si="163"/>
        <v/>
      </c>
      <c r="N1555" s="134"/>
      <c r="O1555" s="29"/>
      <c r="P1555" s="37" t="str">
        <f t="shared" si="164"/>
        <v/>
      </c>
      <c r="Q1555" s="38" t="str">
        <f t="shared" si="165"/>
        <v/>
      </c>
      <c r="R1555" s="37" t="str">
        <f t="shared" si="166"/>
        <v/>
      </c>
      <c r="S1555" s="37" t="str">
        <f t="shared" si="167"/>
        <v/>
      </c>
      <c r="T1555" s="38" t="str">
        <f t="shared" si="168"/>
        <v/>
      </c>
      <c r="U1555" s="37" t="str">
        <f t="shared" si="169"/>
        <v/>
      </c>
    </row>
    <row r="1556" spans="2:21" ht="17.25">
      <c r="B1556" s="156"/>
      <c r="C1556" s="156"/>
      <c r="D1556" s="157"/>
      <c r="E1556" s="155"/>
      <c r="F1556" s="151"/>
      <c r="G1556" s="152"/>
      <c r="H1556" s="153"/>
      <c r="I1556" s="154"/>
      <c r="J1556" s="154"/>
      <c r="K1556" s="30" t="str">
        <f>IF(H1556="","",IF($C$30="간이법","",FPR(H1556,I1556,J1556)))</f>
        <v/>
      </c>
      <c r="L1556" s="30" t="str">
        <f>IF(H1556="","",IF($C$30="상세법",FPV(H1556,K1556),IF(H1556="EI",4,IF(H1556="EO",5.2,IF(H1556="EQ",3.9,IF(H1556="ILF",7.5,IF(H1556="EIF",5.4)))))))</f>
        <v/>
      </c>
      <c r="M1556" s="30" t="str">
        <f t="shared" si="163"/>
        <v/>
      </c>
      <c r="N1556" s="134"/>
      <c r="O1556" s="29"/>
      <c r="P1556" s="37" t="str">
        <f t="shared" si="164"/>
        <v/>
      </c>
      <c r="Q1556" s="38" t="str">
        <f t="shared" si="165"/>
        <v/>
      </c>
      <c r="R1556" s="37" t="str">
        <f t="shared" si="166"/>
        <v/>
      </c>
      <c r="S1556" s="37" t="str">
        <f t="shared" si="167"/>
        <v/>
      </c>
      <c r="T1556" s="38" t="str">
        <f t="shared" si="168"/>
        <v/>
      </c>
      <c r="U1556" s="37" t="str">
        <f t="shared" si="169"/>
        <v/>
      </c>
    </row>
    <row r="1557" spans="2:21" ht="17.25">
      <c r="B1557" s="156"/>
      <c r="C1557" s="156"/>
      <c r="D1557" s="157"/>
      <c r="E1557" s="155"/>
      <c r="F1557" s="151"/>
      <c r="G1557" s="152"/>
      <c r="H1557" s="153"/>
      <c r="I1557" s="154"/>
      <c r="J1557" s="154"/>
      <c r="K1557" s="30" t="str">
        <f>IF(H1557="","",IF($C$30="간이법","",FPR(H1557,I1557,J1557)))</f>
        <v/>
      </c>
      <c r="L1557" s="30" t="str">
        <f>IF(H1557="","",IF($C$30="상세법",FPV(H1557,K1557),IF(H1557="EI",4,IF(H1557="EO",5.2,IF(H1557="EQ",3.9,IF(H1557="ILF",7.5,IF(H1557="EIF",5.4)))))))</f>
        <v/>
      </c>
      <c r="M1557" s="30" t="str">
        <f t="shared" si="163"/>
        <v/>
      </c>
      <c r="N1557" s="134"/>
      <c r="O1557" s="29"/>
      <c r="P1557" s="37" t="str">
        <f t="shared" si="164"/>
        <v/>
      </c>
      <c r="Q1557" s="38" t="str">
        <f t="shared" si="165"/>
        <v/>
      </c>
      <c r="R1557" s="37" t="str">
        <f t="shared" si="166"/>
        <v/>
      </c>
      <c r="S1557" s="37" t="str">
        <f t="shared" si="167"/>
        <v/>
      </c>
      <c r="T1557" s="38" t="str">
        <f t="shared" si="168"/>
        <v/>
      </c>
      <c r="U1557" s="37" t="str">
        <f t="shared" si="169"/>
        <v/>
      </c>
    </row>
    <row r="1558" spans="2:21" ht="17.25">
      <c r="B1558" s="156"/>
      <c r="C1558" s="156"/>
      <c r="D1558" s="157"/>
      <c r="E1558" s="155"/>
      <c r="F1558" s="151"/>
      <c r="G1558" s="152"/>
      <c r="H1558" s="153"/>
      <c r="I1558" s="154"/>
      <c r="J1558" s="154"/>
      <c r="K1558" s="30" t="str">
        <f>IF(H1558="","",IF($C$30="간이법","",FPR(H1558,I1558,J1558)))</f>
        <v/>
      </c>
      <c r="L1558" s="30" t="str">
        <f>IF(H1558="","",IF($C$30="상세법",FPV(H1558,K1558),IF(H1558="EI",4,IF(H1558="EO",5.2,IF(H1558="EQ",3.9,IF(H1558="ILF",7.5,IF(H1558="EIF",5.4)))))))</f>
        <v/>
      </c>
      <c r="M1558" s="30" t="str">
        <f t="shared" si="163"/>
        <v/>
      </c>
      <c r="N1558" s="134"/>
      <c r="O1558" s="29"/>
      <c r="P1558" s="37" t="str">
        <f t="shared" si="164"/>
        <v/>
      </c>
      <c r="Q1558" s="38" t="str">
        <f t="shared" si="165"/>
        <v/>
      </c>
      <c r="R1558" s="37" t="str">
        <f t="shared" si="166"/>
        <v/>
      </c>
      <c r="S1558" s="37" t="str">
        <f t="shared" si="167"/>
        <v/>
      </c>
      <c r="T1558" s="38" t="str">
        <f t="shared" si="168"/>
        <v/>
      </c>
      <c r="U1558" s="37" t="str">
        <f t="shared" si="169"/>
        <v/>
      </c>
    </row>
    <row r="1559" spans="2:21" ht="17.25">
      <c r="B1559" s="156"/>
      <c r="C1559" s="156"/>
      <c r="D1559" s="157"/>
      <c r="E1559" s="155"/>
      <c r="F1559" s="151"/>
      <c r="G1559" s="152"/>
      <c r="H1559" s="153"/>
      <c r="I1559" s="154"/>
      <c r="J1559" s="154"/>
      <c r="K1559" s="30" t="str">
        <f>IF(H1559="","",IF($C$30="간이법","",FPR(H1559,I1559,J1559)))</f>
        <v/>
      </c>
      <c r="L1559" s="30" t="str">
        <f>IF(H1559="","",IF($C$30="상세법",FPV(H1559,K1559),IF(H1559="EI",4,IF(H1559="EO",5.2,IF(H1559="EQ",3.9,IF(H1559="ILF",7.5,IF(H1559="EIF",5.4)))))))</f>
        <v/>
      </c>
      <c r="M1559" s="30" t="str">
        <f t="shared" si="163"/>
        <v/>
      </c>
      <c r="N1559" s="134"/>
      <c r="O1559" s="29"/>
      <c r="P1559" s="37" t="str">
        <f t="shared" si="164"/>
        <v/>
      </c>
      <c r="Q1559" s="38" t="str">
        <f t="shared" si="165"/>
        <v/>
      </c>
      <c r="R1559" s="37" t="str">
        <f t="shared" si="166"/>
        <v/>
      </c>
      <c r="S1559" s="37" t="str">
        <f t="shared" si="167"/>
        <v/>
      </c>
      <c r="T1559" s="38" t="str">
        <f t="shared" si="168"/>
        <v/>
      </c>
      <c r="U1559" s="37" t="str">
        <f t="shared" si="169"/>
        <v/>
      </c>
    </row>
    <row r="1560" spans="2:21" ht="17.25">
      <c r="B1560" s="156"/>
      <c r="C1560" s="156"/>
      <c r="D1560" s="157"/>
      <c r="E1560" s="155"/>
      <c r="F1560" s="151"/>
      <c r="G1560" s="152"/>
      <c r="H1560" s="153"/>
      <c r="I1560" s="154"/>
      <c r="J1560" s="154"/>
      <c r="K1560" s="30" t="str">
        <f>IF(H1560="","",IF($C$30="간이법","",FPR(H1560,I1560,J1560)))</f>
        <v/>
      </c>
      <c r="L1560" s="30" t="str">
        <f>IF(H1560="","",IF($C$30="상세법",FPV(H1560,K1560),IF(H1560="EI",4,IF(H1560="EO",5.2,IF(H1560="EQ",3.9,IF(H1560="ILF",7.5,IF(H1560="EIF",5.4)))))))</f>
        <v/>
      </c>
      <c r="M1560" s="30" t="str">
        <f t="shared" si="163"/>
        <v/>
      </c>
      <c r="N1560" s="134"/>
      <c r="O1560" s="29"/>
      <c r="P1560" s="37" t="str">
        <f t="shared" si="164"/>
        <v/>
      </c>
      <c r="Q1560" s="38" t="str">
        <f t="shared" si="165"/>
        <v/>
      </c>
      <c r="R1560" s="37" t="str">
        <f t="shared" si="166"/>
        <v/>
      </c>
      <c r="S1560" s="37" t="str">
        <f t="shared" si="167"/>
        <v/>
      </c>
      <c r="T1560" s="38" t="str">
        <f t="shared" si="168"/>
        <v/>
      </c>
      <c r="U1560" s="37" t="str">
        <f t="shared" si="169"/>
        <v/>
      </c>
    </row>
    <row r="1561" spans="2:21" ht="17.25">
      <c r="B1561" s="156"/>
      <c r="C1561" s="156"/>
      <c r="D1561" s="157"/>
      <c r="E1561" s="155"/>
      <c r="F1561" s="151"/>
      <c r="G1561" s="152"/>
      <c r="H1561" s="153"/>
      <c r="I1561" s="154"/>
      <c r="J1561" s="154"/>
      <c r="K1561" s="30" t="str">
        <f>IF(H1561="","",IF($C$30="간이법","",FPR(H1561,I1561,J1561)))</f>
        <v/>
      </c>
      <c r="L1561" s="30" t="str">
        <f>IF(H1561="","",IF($C$30="상세법",FPV(H1561,K1561),IF(H1561="EI",4,IF(H1561="EO",5.2,IF(H1561="EQ",3.9,IF(H1561="ILF",7.5,IF(H1561="EIF",5.4)))))))</f>
        <v/>
      </c>
      <c r="M1561" s="30" t="str">
        <f t="shared" si="163"/>
        <v/>
      </c>
      <c r="N1561" s="134"/>
      <c r="O1561" s="29"/>
      <c r="P1561" s="37" t="str">
        <f t="shared" si="164"/>
        <v/>
      </c>
      <c r="Q1561" s="38" t="str">
        <f t="shared" si="165"/>
        <v/>
      </c>
      <c r="R1561" s="37" t="str">
        <f t="shared" si="166"/>
        <v/>
      </c>
      <c r="S1561" s="37" t="str">
        <f t="shared" si="167"/>
        <v/>
      </c>
      <c r="T1561" s="38" t="str">
        <f t="shared" si="168"/>
        <v/>
      </c>
      <c r="U1561" s="37" t="str">
        <f t="shared" si="169"/>
        <v/>
      </c>
    </row>
    <row r="1562" spans="2:21" ht="17.25">
      <c r="B1562" s="156"/>
      <c r="C1562" s="156"/>
      <c r="D1562" s="157"/>
      <c r="E1562" s="155"/>
      <c r="F1562" s="151"/>
      <c r="G1562" s="152"/>
      <c r="H1562" s="153"/>
      <c r="I1562" s="154"/>
      <c r="J1562" s="154"/>
      <c r="K1562" s="30" t="str">
        <f>IF(H1562="","",IF($C$30="간이법","",FPR(H1562,I1562,J1562)))</f>
        <v/>
      </c>
      <c r="L1562" s="30" t="str">
        <f>IF(H1562="","",IF($C$30="상세법",FPV(H1562,K1562),IF(H1562="EI",4,IF(H1562="EO",5.2,IF(H1562="EQ",3.9,IF(H1562="ILF",7.5,IF(H1562="EIF",5.4)))))))</f>
        <v/>
      </c>
      <c r="M1562" s="30" t="str">
        <f t="shared" si="163"/>
        <v/>
      </c>
      <c r="N1562" s="134"/>
      <c r="O1562" s="29"/>
      <c r="P1562" s="37" t="str">
        <f t="shared" si="164"/>
        <v/>
      </c>
      <c r="Q1562" s="38" t="str">
        <f t="shared" si="165"/>
        <v/>
      </c>
      <c r="R1562" s="37" t="str">
        <f t="shared" si="166"/>
        <v/>
      </c>
      <c r="S1562" s="37" t="str">
        <f t="shared" si="167"/>
        <v/>
      </c>
      <c r="T1562" s="38" t="str">
        <f t="shared" si="168"/>
        <v/>
      </c>
      <c r="U1562" s="37" t="str">
        <f t="shared" si="169"/>
        <v/>
      </c>
    </row>
    <row r="1563" spans="2:21" ht="17.25">
      <c r="B1563" s="156"/>
      <c r="C1563" s="156"/>
      <c r="D1563" s="157"/>
      <c r="E1563" s="155"/>
      <c r="F1563" s="151"/>
      <c r="G1563" s="152"/>
      <c r="H1563" s="153"/>
      <c r="I1563" s="154"/>
      <c r="J1563" s="154"/>
      <c r="K1563" s="30" t="str">
        <f>IF(H1563="","",IF($C$30="간이법","",FPR(H1563,I1563,J1563)))</f>
        <v/>
      </c>
      <c r="L1563" s="30" t="str">
        <f>IF(H1563="","",IF($C$30="상세법",FPV(H1563,K1563),IF(H1563="EI",4,IF(H1563="EO",5.2,IF(H1563="EQ",3.9,IF(H1563="ILF",7.5,IF(H1563="EIF",5.4)))))))</f>
        <v/>
      </c>
      <c r="M1563" s="30" t="str">
        <f t="shared" si="163"/>
        <v/>
      </c>
      <c r="N1563" s="134"/>
      <c r="O1563" s="29"/>
      <c r="P1563" s="37" t="str">
        <f t="shared" si="164"/>
        <v/>
      </c>
      <c r="Q1563" s="38" t="str">
        <f t="shared" si="165"/>
        <v/>
      </c>
      <c r="R1563" s="37" t="str">
        <f t="shared" si="166"/>
        <v/>
      </c>
      <c r="S1563" s="37" t="str">
        <f t="shared" si="167"/>
        <v/>
      </c>
      <c r="T1563" s="38" t="str">
        <f t="shared" si="168"/>
        <v/>
      </c>
      <c r="U1563" s="37" t="str">
        <f t="shared" si="169"/>
        <v/>
      </c>
    </row>
    <row r="1564" spans="2:21" ht="17.25">
      <c r="B1564" s="156"/>
      <c r="C1564" s="156"/>
      <c r="D1564" s="157"/>
      <c r="E1564" s="155"/>
      <c r="F1564" s="151"/>
      <c r="G1564" s="152"/>
      <c r="H1564" s="153"/>
      <c r="I1564" s="154"/>
      <c r="J1564" s="154"/>
      <c r="K1564" s="30" t="str">
        <f>IF(H1564="","",IF($C$30="간이법","",FPR(H1564,I1564,J1564)))</f>
        <v/>
      </c>
      <c r="L1564" s="30" t="str">
        <f>IF(H1564="","",IF($C$30="상세법",FPV(H1564,K1564),IF(H1564="EI",4,IF(H1564="EO",5.2,IF(H1564="EQ",3.9,IF(H1564="ILF",7.5,IF(H1564="EIF",5.4)))))))</f>
        <v/>
      </c>
      <c r="M1564" s="30" t="str">
        <f t="shared" si="163"/>
        <v/>
      </c>
      <c r="N1564" s="134"/>
      <c r="O1564" s="29"/>
      <c r="P1564" s="37" t="str">
        <f t="shared" si="164"/>
        <v/>
      </c>
      <c r="Q1564" s="38" t="str">
        <f t="shared" si="165"/>
        <v/>
      </c>
      <c r="R1564" s="37" t="str">
        <f t="shared" si="166"/>
        <v/>
      </c>
      <c r="S1564" s="37" t="str">
        <f t="shared" si="167"/>
        <v/>
      </c>
      <c r="T1564" s="38" t="str">
        <f t="shared" si="168"/>
        <v/>
      </c>
      <c r="U1564" s="37" t="str">
        <f t="shared" si="169"/>
        <v/>
      </c>
    </row>
    <row r="1565" spans="2:21" ht="17.25">
      <c r="B1565" s="156"/>
      <c r="C1565" s="156"/>
      <c r="D1565" s="157"/>
      <c r="E1565" s="155"/>
      <c r="F1565" s="151"/>
      <c r="G1565" s="152"/>
      <c r="H1565" s="153"/>
      <c r="I1565" s="154"/>
      <c r="J1565" s="154"/>
      <c r="K1565" s="30" t="str">
        <f>IF(H1565="","",IF($C$30="간이법","",FPR(H1565,I1565,J1565)))</f>
        <v/>
      </c>
      <c r="L1565" s="30" t="str">
        <f>IF(H1565="","",IF($C$30="상세법",FPV(H1565,K1565),IF(H1565="EI",4,IF(H1565="EO",5.2,IF(H1565="EQ",3.9,IF(H1565="ILF",7.5,IF(H1565="EIF",5.4)))))))</f>
        <v/>
      </c>
      <c r="M1565" s="30" t="str">
        <f t="shared" si="163"/>
        <v/>
      </c>
      <c r="N1565" s="134"/>
      <c r="O1565" s="29"/>
      <c r="P1565" s="37" t="str">
        <f t="shared" si="164"/>
        <v/>
      </c>
      <c r="Q1565" s="38" t="str">
        <f t="shared" si="165"/>
        <v/>
      </c>
      <c r="R1565" s="37" t="str">
        <f t="shared" si="166"/>
        <v/>
      </c>
      <c r="S1565" s="37" t="str">
        <f t="shared" si="167"/>
        <v/>
      </c>
      <c r="T1565" s="38" t="str">
        <f t="shared" si="168"/>
        <v/>
      </c>
      <c r="U1565" s="37" t="str">
        <f t="shared" si="169"/>
        <v/>
      </c>
    </row>
    <row r="1566" spans="2:21" ht="17.25">
      <c r="B1566" s="156"/>
      <c r="C1566" s="156"/>
      <c r="D1566" s="157"/>
      <c r="E1566" s="155"/>
      <c r="F1566" s="151"/>
      <c r="G1566" s="152"/>
      <c r="H1566" s="153"/>
      <c r="I1566" s="154"/>
      <c r="J1566" s="154"/>
      <c r="K1566" s="30" t="str">
        <f>IF(H1566="","",IF($C$30="간이법","",FPR(H1566,I1566,J1566)))</f>
        <v/>
      </c>
      <c r="L1566" s="30" t="str">
        <f>IF(H1566="","",IF($C$30="상세법",FPV(H1566,K1566),IF(H1566="EI",4,IF(H1566="EO",5.2,IF(H1566="EQ",3.9,IF(H1566="ILF",7.5,IF(H1566="EIF",5.4)))))))</f>
        <v/>
      </c>
      <c r="M1566" s="30" t="str">
        <f t="shared" si="163"/>
        <v/>
      </c>
      <c r="N1566" s="134"/>
      <c r="O1566" s="29"/>
      <c r="P1566" s="37" t="str">
        <f t="shared" si="164"/>
        <v/>
      </c>
      <c r="Q1566" s="38" t="str">
        <f t="shared" si="165"/>
        <v/>
      </c>
      <c r="R1566" s="37" t="str">
        <f t="shared" si="166"/>
        <v/>
      </c>
      <c r="S1566" s="37" t="str">
        <f t="shared" si="167"/>
        <v/>
      </c>
      <c r="T1566" s="38" t="str">
        <f t="shared" si="168"/>
        <v/>
      </c>
      <c r="U1566" s="37" t="str">
        <f t="shared" si="169"/>
        <v/>
      </c>
    </row>
    <row r="1567" spans="2:21" ht="17.25">
      <c r="B1567" s="156"/>
      <c r="C1567" s="156"/>
      <c r="D1567" s="157"/>
      <c r="E1567" s="155"/>
      <c r="F1567" s="151"/>
      <c r="G1567" s="152"/>
      <c r="H1567" s="153"/>
      <c r="I1567" s="154"/>
      <c r="J1567" s="154"/>
      <c r="K1567" s="30" t="str">
        <f>IF(H1567="","",IF($C$30="간이법","",FPR(H1567,I1567,J1567)))</f>
        <v/>
      </c>
      <c r="L1567" s="30" t="str">
        <f>IF(H1567="","",IF($C$30="상세법",FPV(H1567,K1567),IF(H1567="EI",4,IF(H1567="EO",5.2,IF(H1567="EQ",3.9,IF(H1567="ILF",7.5,IF(H1567="EIF",5.4)))))))</f>
        <v/>
      </c>
      <c r="M1567" s="30" t="str">
        <f t="shared" si="163"/>
        <v/>
      </c>
      <c r="N1567" s="134"/>
      <c r="O1567" s="29"/>
      <c r="P1567" s="37" t="str">
        <f t="shared" si="164"/>
        <v/>
      </c>
      <c r="Q1567" s="38" t="str">
        <f t="shared" si="165"/>
        <v/>
      </c>
      <c r="R1567" s="37" t="str">
        <f t="shared" si="166"/>
        <v/>
      </c>
      <c r="S1567" s="37" t="str">
        <f t="shared" si="167"/>
        <v/>
      </c>
      <c r="T1567" s="38" t="str">
        <f t="shared" si="168"/>
        <v/>
      </c>
      <c r="U1567" s="37" t="str">
        <f t="shared" si="169"/>
        <v/>
      </c>
    </row>
    <row r="1568" spans="2:21" ht="17.25">
      <c r="B1568" s="156"/>
      <c r="C1568" s="156"/>
      <c r="D1568" s="157"/>
      <c r="E1568" s="155"/>
      <c r="F1568" s="151"/>
      <c r="G1568" s="152"/>
      <c r="H1568" s="153"/>
      <c r="I1568" s="154"/>
      <c r="J1568" s="154"/>
      <c r="K1568" s="30" t="str">
        <f>IF(H1568="","",IF($C$30="간이법","",FPR(H1568,I1568,J1568)))</f>
        <v/>
      </c>
      <c r="L1568" s="30" t="str">
        <f>IF(H1568="","",IF($C$30="상세법",FPV(H1568,K1568),IF(H1568="EI",4,IF(H1568="EO",5.2,IF(H1568="EQ",3.9,IF(H1568="ILF",7.5,IF(H1568="EIF",5.4)))))))</f>
        <v/>
      </c>
      <c r="M1568" s="30" t="str">
        <f t="shared" si="163"/>
        <v/>
      </c>
      <c r="N1568" s="134"/>
      <c r="O1568" s="29"/>
      <c r="P1568" s="37" t="str">
        <f t="shared" si="164"/>
        <v/>
      </c>
      <c r="Q1568" s="38" t="str">
        <f t="shared" si="165"/>
        <v/>
      </c>
      <c r="R1568" s="37" t="str">
        <f t="shared" si="166"/>
        <v/>
      </c>
      <c r="S1568" s="37" t="str">
        <f t="shared" si="167"/>
        <v/>
      </c>
      <c r="T1568" s="38" t="str">
        <f t="shared" si="168"/>
        <v/>
      </c>
      <c r="U1568" s="37" t="str">
        <f t="shared" si="169"/>
        <v/>
      </c>
    </row>
    <row r="1569" spans="2:21" ht="17.25">
      <c r="B1569" s="156"/>
      <c r="C1569" s="156"/>
      <c r="D1569" s="157"/>
      <c r="E1569" s="155"/>
      <c r="F1569" s="151"/>
      <c r="G1569" s="152"/>
      <c r="H1569" s="153"/>
      <c r="I1569" s="154"/>
      <c r="J1569" s="154"/>
      <c r="K1569" s="30" t="str">
        <f>IF(H1569="","",IF($C$30="간이법","",FPR(H1569,I1569,J1569)))</f>
        <v/>
      </c>
      <c r="L1569" s="30" t="str">
        <f>IF(H1569="","",IF($C$30="상세법",FPV(H1569,K1569),IF(H1569="EI",4,IF(H1569="EO",5.2,IF(H1569="EQ",3.9,IF(H1569="ILF",7.5,IF(H1569="EIF",5.4)))))))</f>
        <v/>
      </c>
      <c r="M1569" s="30" t="str">
        <f t="shared" si="163"/>
        <v/>
      </c>
      <c r="N1569" s="134"/>
      <c r="O1569" s="29"/>
      <c r="P1569" s="37" t="str">
        <f t="shared" si="164"/>
        <v/>
      </c>
      <c r="Q1569" s="38" t="str">
        <f t="shared" si="165"/>
        <v/>
      </c>
      <c r="R1569" s="37" t="str">
        <f t="shared" si="166"/>
        <v/>
      </c>
      <c r="S1569" s="37" t="str">
        <f t="shared" si="167"/>
        <v/>
      </c>
      <c r="T1569" s="38" t="str">
        <f t="shared" si="168"/>
        <v/>
      </c>
      <c r="U1569" s="37" t="str">
        <f t="shared" si="169"/>
        <v/>
      </c>
    </row>
    <row r="1570" spans="2:21" ht="17.25">
      <c r="B1570" s="156"/>
      <c r="C1570" s="156"/>
      <c r="D1570" s="157"/>
      <c r="E1570" s="155"/>
      <c r="F1570" s="151"/>
      <c r="G1570" s="152"/>
      <c r="H1570" s="153"/>
      <c r="I1570" s="154"/>
      <c r="J1570" s="154"/>
      <c r="K1570" s="30" t="str">
        <f>IF(H1570="","",IF($C$30="간이법","",FPR(H1570,I1570,J1570)))</f>
        <v/>
      </c>
      <c r="L1570" s="30" t="str">
        <f>IF(H1570="","",IF($C$30="상세법",FPV(H1570,K1570),IF(H1570="EI",4,IF(H1570="EO",5.2,IF(H1570="EQ",3.9,IF(H1570="ILF",7.5,IF(H1570="EIF",5.4)))))))</f>
        <v/>
      </c>
      <c r="M1570" s="30" t="str">
        <f t="shared" si="163"/>
        <v/>
      </c>
      <c r="N1570" s="134"/>
      <c r="O1570" s="29"/>
      <c r="P1570" s="37" t="str">
        <f t="shared" si="164"/>
        <v/>
      </c>
      <c r="Q1570" s="38" t="str">
        <f t="shared" si="165"/>
        <v/>
      </c>
      <c r="R1570" s="37" t="str">
        <f t="shared" si="166"/>
        <v/>
      </c>
      <c r="S1570" s="37" t="str">
        <f t="shared" si="167"/>
        <v/>
      </c>
      <c r="T1570" s="38" t="str">
        <f t="shared" si="168"/>
        <v/>
      </c>
      <c r="U1570" s="37" t="str">
        <f t="shared" si="169"/>
        <v/>
      </c>
    </row>
    <row r="1571" spans="2:21" ht="17.25">
      <c r="B1571" s="156"/>
      <c r="C1571" s="156"/>
      <c r="D1571" s="157"/>
      <c r="E1571" s="155"/>
      <c r="F1571" s="151"/>
      <c r="G1571" s="152"/>
      <c r="H1571" s="153"/>
      <c r="I1571" s="154"/>
      <c r="J1571" s="154"/>
      <c r="K1571" s="30" t="str">
        <f>IF(H1571="","",IF($C$30="간이법","",FPR(H1571,I1571,J1571)))</f>
        <v/>
      </c>
      <c r="L1571" s="30" t="str">
        <f>IF(H1571="","",IF($C$30="상세법",FPV(H1571,K1571),IF(H1571="EI",4,IF(H1571="EO",5.2,IF(H1571="EQ",3.9,IF(H1571="ILF",7.5,IF(H1571="EIF",5.4)))))))</f>
        <v/>
      </c>
      <c r="M1571" s="30" t="str">
        <f t="shared" si="163"/>
        <v/>
      </c>
      <c r="N1571" s="134"/>
      <c r="O1571" s="29"/>
      <c r="P1571" s="37" t="str">
        <f t="shared" si="164"/>
        <v/>
      </c>
      <c r="Q1571" s="38" t="str">
        <f t="shared" si="165"/>
        <v/>
      </c>
      <c r="R1571" s="37" t="str">
        <f t="shared" si="166"/>
        <v/>
      </c>
      <c r="S1571" s="37" t="str">
        <f t="shared" si="167"/>
        <v/>
      </c>
      <c r="T1571" s="38" t="str">
        <f t="shared" si="168"/>
        <v/>
      </c>
      <c r="U1571" s="37" t="str">
        <f t="shared" si="169"/>
        <v/>
      </c>
    </row>
    <row r="1572" spans="2:21" ht="17.25">
      <c r="B1572" s="156"/>
      <c r="C1572" s="156"/>
      <c r="D1572" s="157"/>
      <c r="E1572" s="155"/>
      <c r="F1572" s="151"/>
      <c r="G1572" s="152"/>
      <c r="H1572" s="153"/>
      <c r="I1572" s="154"/>
      <c r="J1572" s="154"/>
      <c r="K1572" s="30" t="str">
        <f>IF(H1572="","",IF($C$30="간이법","",FPR(H1572,I1572,J1572)))</f>
        <v/>
      </c>
      <c r="L1572" s="30" t="str">
        <f>IF(H1572="","",IF($C$30="상세법",FPV(H1572,K1572),IF(H1572="EI",4,IF(H1572="EO",5.2,IF(H1572="EQ",3.9,IF(H1572="ILF",7.5,IF(H1572="EIF",5.4)))))))</f>
        <v/>
      </c>
      <c r="M1572" s="30" t="str">
        <f t="shared" si="163"/>
        <v/>
      </c>
      <c r="N1572" s="134"/>
      <c r="O1572" s="29"/>
      <c r="P1572" s="37" t="str">
        <f t="shared" si="164"/>
        <v/>
      </c>
      <c r="Q1572" s="38" t="str">
        <f t="shared" si="165"/>
        <v/>
      </c>
      <c r="R1572" s="37" t="str">
        <f t="shared" si="166"/>
        <v/>
      </c>
      <c r="S1572" s="37" t="str">
        <f t="shared" si="167"/>
        <v/>
      </c>
      <c r="T1572" s="38" t="str">
        <f t="shared" si="168"/>
        <v/>
      </c>
      <c r="U1572" s="37" t="str">
        <f t="shared" si="169"/>
        <v/>
      </c>
    </row>
    <row r="1573" spans="2:21" ht="17.25">
      <c r="B1573" s="156"/>
      <c r="C1573" s="156"/>
      <c r="D1573" s="157"/>
      <c r="E1573" s="155"/>
      <c r="F1573" s="151"/>
      <c r="G1573" s="152"/>
      <c r="H1573" s="153"/>
      <c r="I1573" s="154"/>
      <c r="J1573" s="154"/>
      <c r="K1573" s="30" t="str">
        <f>IF(H1573="","",IF($C$30="간이법","",FPR(H1573,I1573,J1573)))</f>
        <v/>
      </c>
      <c r="L1573" s="30" t="str">
        <f>IF(H1573="","",IF($C$30="상세법",FPV(H1573,K1573),IF(H1573="EI",4,IF(H1573="EO",5.2,IF(H1573="EQ",3.9,IF(H1573="ILF",7.5,IF(H1573="EIF",5.4)))))))</f>
        <v/>
      </c>
      <c r="M1573" s="30" t="str">
        <f t="shared" si="163"/>
        <v/>
      </c>
      <c r="N1573" s="134"/>
      <c r="O1573" s="29"/>
      <c r="P1573" s="37" t="str">
        <f t="shared" si="164"/>
        <v/>
      </c>
      <c r="Q1573" s="38" t="str">
        <f t="shared" si="165"/>
        <v/>
      </c>
      <c r="R1573" s="37" t="str">
        <f t="shared" si="166"/>
        <v/>
      </c>
      <c r="S1573" s="37" t="str">
        <f t="shared" si="167"/>
        <v/>
      </c>
      <c r="T1573" s="38" t="str">
        <f t="shared" si="168"/>
        <v/>
      </c>
      <c r="U1573" s="37" t="str">
        <f t="shared" si="169"/>
        <v/>
      </c>
    </row>
    <row r="1574" spans="2:21" ht="17.25">
      <c r="B1574" s="156"/>
      <c r="C1574" s="156"/>
      <c r="D1574" s="157"/>
      <c r="E1574" s="155"/>
      <c r="F1574" s="151"/>
      <c r="G1574" s="152"/>
      <c r="H1574" s="153"/>
      <c r="I1574" s="154"/>
      <c r="J1574" s="154"/>
      <c r="K1574" s="30" t="str">
        <f>IF(H1574="","",IF($C$30="간이법","",FPR(H1574,I1574,J1574)))</f>
        <v/>
      </c>
      <c r="L1574" s="30" t="str">
        <f>IF(H1574="","",IF($C$30="상세법",FPV(H1574,K1574),IF(H1574="EI",4,IF(H1574="EO",5.2,IF(H1574="EQ",3.9,IF(H1574="ILF",7.5,IF(H1574="EIF",5.4)))))))</f>
        <v/>
      </c>
      <c r="M1574" s="30" t="str">
        <f t="shared" si="163"/>
        <v/>
      </c>
      <c r="N1574" s="134"/>
      <c r="O1574" s="29"/>
      <c r="P1574" s="37" t="str">
        <f t="shared" si="164"/>
        <v/>
      </c>
      <c r="Q1574" s="38" t="str">
        <f t="shared" si="165"/>
        <v/>
      </c>
      <c r="R1574" s="37" t="str">
        <f t="shared" si="166"/>
        <v/>
      </c>
      <c r="S1574" s="37" t="str">
        <f t="shared" si="167"/>
        <v/>
      </c>
      <c r="T1574" s="38" t="str">
        <f t="shared" si="168"/>
        <v/>
      </c>
      <c r="U1574" s="37" t="str">
        <f t="shared" si="169"/>
        <v/>
      </c>
    </row>
    <row r="1575" spans="2:21" ht="17.25">
      <c r="B1575" s="156"/>
      <c r="C1575" s="156"/>
      <c r="D1575" s="157"/>
      <c r="E1575" s="155"/>
      <c r="F1575" s="151"/>
      <c r="G1575" s="152"/>
      <c r="H1575" s="153"/>
      <c r="I1575" s="154"/>
      <c r="J1575" s="154"/>
      <c r="K1575" s="30" t="str">
        <f>IF(H1575="","",IF($C$30="간이법","",FPR(H1575,I1575,J1575)))</f>
        <v/>
      </c>
      <c r="L1575" s="30" t="str">
        <f>IF(H1575="","",IF($C$30="상세법",FPV(H1575,K1575),IF(H1575="EI",4,IF(H1575="EO",5.2,IF(H1575="EQ",3.9,IF(H1575="ILF",7.5,IF(H1575="EIF",5.4)))))))</f>
        <v/>
      </c>
      <c r="M1575" s="30" t="str">
        <f t="shared" si="163"/>
        <v/>
      </c>
      <c r="N1575" s="134"/>
      <c r="O1575" s="29"/>
      <c r="P1575" s="37" t="str">
        <f t="shared" si="164"/>
        <v/>
      </c>
      <c r="Q1575" s="38" t="str">
        <f t="shared" si="165"/>
        <v/>
      </c>
      <c r="R1575" s="37" t="str">
        <f t="shared" si="166"/>
        <v/>
      </c>
      <c r="S1575" s="37" t="str">
        <f t="shared" si="167"/>
        <v/>
      </c>
      <c r="T1575" s="38" t="str">
        <f t="shared" si="168"/>
        <v/>
      </c>
      <c r="U1575" s="37" t="str">
        <f t="shared" si="169"/>
        <v/>
      </c>
    </row>
    <row r="1576" spans="2:21" ht="17.25">
      <c r="B1576" s="156"/>
      <c r="C1576" s="156"/>
      <c r="D1576" s="157"/>
      <c r="E1576" s="155"/>
      <c r="F1576" s="151"/>
      <c r="G1576" s="152"/>
      <c r="H1576" s="153"/>
      <c r="I1576" s="154"/>
      <c r="J1576" s="154"/>
      <c r="K1576" s="30" t="str">
        <f>IF(H1576="","",IF($C$30="간이법","",FPR(H1576,I1576,J1576)))</f>
        <v/>
      </c>
      <c r="L1576" s="30" t="str">
        <f>IF(H1576="","",IF($C$30="상세법",FPV(H1576,K1576),IF(H1576="EI",4,IF(H1576="EO",5.2,IF(H1576="EQ",3.9,IF(H1576="ILF",7.5,IF(H1576="EIF",5.4)))))))</f>
        <v/>
      </c>
      <c r="M1576" s="30" t="str">
        <f t="shared" si="163"/>
        <v/>
      </c>
      <c r="N1576" s="134"/>
      <c r="O1576" s="29"/>
      <c r="P1576" s="37" t="str">
        <f t="shared" si="164"/>
        <v/>
      </c>
      <c r="Q1576" s="38" t="str">
        <f t="shared" si="165"/>
        <v/>
      </c>
      <c r="R1576" s="37" t="str">
        <f t="shared" si="166"/>
        <v/>
      </c>
      <c r="S1576" s="37" t="str">
        <f t="shared" si="167"/>
        <v/>
      </c>
      <c r="T1576" s="38" t="str">
        <f t="shared" si="168"/>
        <v/>
      </c>
      <c r="U1576" s="37" t="str">
        <f t="shared" si="169"/>
        <v/>
      </c>
    </row>
    <row r="1577" spans="2:21" ht="17.25">
      <c r="B1577" s="156"/>
      <c r="C1577" s="156"/>
      <c r="D1577" s="157"/>
      <c r="E1577" s="155"/>
      <c r="F1577" s="151"/>
      <c r="G1577" s="152"/>
      <c r="H1577" s="153"/>
      <c r="I1577" s="154"/>
      <c r="J1577" s="154"/>
      <c r="K1577" s="30" t="str">
        <f>IF(H1577="","",IF($C$30="간이법","",FPR(H1577,I1577,J1577)))</f>
        <v/>
      </c>
      <c r="L1577" s="30" t="str">
        <f>IF(H1577="","",IF($C$30="상세법",FPV(H1577,K1577),IF(H1577="EI",4,IF(H1577="EO",5.2,IF(H1577="EQ",3.9,IF(H1577="ILF",7.5,IF(H1577="EIF",5.4)))))))</f>
        <v/>
      </c>
      <c r="M1577" s="30" t="str">
        <f t="shared" si="163"/>
        <v/>
      </c>
      <c r="N1577" s="134"/>
      <c r="O1577" s="29"/>
      <c r="P1577" s="37" t="str">
        <f t="shared" si="164"/>
        <v/>
      </c>
      <c r="Q1577" s="38" t="str">
        <f t="shared" si="165"/>
        <v/>
      </c>
      <c r="R1577" s="37" t="str">
        <f t="shared" si="166"/>
        <v/>
      </c>
      <c r="S1577" s="37" t="str">
        <f t="shared" si="167"/>
        <v/>
      </c>
      <c r="T1577" s="38" t="str">
        <f t="shared" si="168"/>
        <v/>
      </c>
      <c r="U1577" s="37" t="str">
        <f t="shared" si="169"/>
        <v/>
      </c>
    </row>
    <row r="1578" spans="2:21" ht="17.25">
      <c r="B1578" s="156"/>
      <c r="C1578" s="156"/>
      <c r="D1578" s="157"/>
      <c r="E1578" s="155"/>
      <c r="F1578" s="151"/>
      <c r="G1578" s="152"/>
      <c r="H1578" s="153"/>
      <c r="I1578" s="154"/>
      <c r="J1578" s="154"/>
      <c r="K1578" s="30" t="str">
        <f>IF(H1578="","",IF($C$30="간이법","",FPR(H1578,I1578,J1578)))</f>
        <v/>
      </c>
      <c r="L1578" s="30" t="str">
        <f>IF(H1578="","",IF($C$30="상세법",FPV(H1578,K1578),IF(H1578="EI",4,IF(H1578="EO",5.2,IF(H1578="EQ",3.9,IF(H1578="ILF",7.5,IF(H1578="EIF",5.4)))))))</f>
        <v/>
      </c>
      <c r="M1578" s="30" t="str">
        <f t="shared" si="163"/>
        <v/>
      </c>
      <c r="N1578" s="134"/>
      <c r="O1578" s="29"/>
      <c r="P1578" s="37" t="str">
        <f t="shared" si="164"/>
        <v/>
      </c>
      <c r="Q1578" s="38" t="str">
        <f t="shared" si="165"/>
        <v/>
      </c>
      <c r="R1578" s="37" t="str">
        <f t="shared" si="166"/>
        <v/>
      </c>
      <c r="S1578" s="37" t="str">
        <f t="shared" si="167"/>
        <v/>
      </c>
      <c r="T1578" s="38" t="str">
        <f t="shared" si="168"/>
        <v/>
      </c>
      <c r="U1578" s="37" t="str">
        <f t="shared" si="169"/>
        <v/>
      </c>
    </row>
    <row r="1579" spans="2:21" ht="17.25">
      <c r="B1579" s="156"/>
      <c r="C1579" s="156"/>
      <c r="D1579" s="157"/>
      <c r="E1579" s="155"/>
      <c r="F1579" s="151"/>
      <c r="G1579" s="152"/>
      <c r="H1579" s="153"/>
      <c r="I1579" s="154"/>
      <c r="J1579" s="154"/>
      <c r="K1579" s="30" t="str">
        <f>IF(H1579="","",IF($C$30="간이법","",FPR(H1579,I1579,J1579)))</f>
        <v/>
      </c>
      <c r="L1579" s="30" t="str">
        <f>IF(H1579="","",IF($C$30="상세법",FPV(H1579,K1579),IF(H1579="EI",4,IF(H1579="EO",5.2,IF(H1579="EQ",3.9,IF(H1579="ILF",7.5,IF(H1579="EIF",5.4)))))))</f>
        <v/>
      </c>
      <c r="M1579" s="30" t="str">
        <f t="shared" si="163"/>
        <v/>
      </c>
      <c r="N1579" s="134"/>
      <c r="O1579" s="29"/>
      <c r="P1579" s="37" t="str">
        <f t="shared" si="164"/>
        <v/>
      </c>
      <c r="Q1579" s="38" t="str">
        <f t="shared" si="165"/>
        <v/>
      </c>
      <c r="R1579" s="37" t="str">
        <f t="shared" si="166"/>
        <v/>
      </c>
      <c r="S1579" s="37" t="str">
        <f t="shared" si="167"/>
        <v/>
      </c>
      <c r="T1579" s="38" t="str">
        <f t="shared" si="168"/>
        <v/>
      </c>
      <c r="U1579" s="37" t="str">
        <f t="shared" si="169"/>
        <v/>
      </c>
    </row>
    <row r="1580" spans="2:21" ht="17.25">
      <c r="B1580" s="156"/>
      <c r="C1580" s="156"/>
      <c r="D1580" s="157"/>
      <c r="E1580" s="155"/>
      <c r="F1580" s="151"/>
      <c r="G1580" s="152"/>
      <c r="H1580" s="153"/>
      <c r="I1580" s="154"/>
      <c r="J1580" s="154"/>
      <c r="K1580" s="30" t="str">
        <f>IF(H1580="","",IF($C$30="간이법","",FPR(H1580,I1580,J1580)))</f>
        <v/>
      </c>
      <c r="L1580" s="30" t="str">
        <f>IF(H1580="","",IF($C$30="상세법",FPV(H1580,K1580),IF(H1580="EI",4,IF(H1580="EO",5.2,IF(H1580="EQ",3.9,IF(H1580="ILF",7.5,IF(H1580="EIF",5.4)))))))</f>
        <v/>
      </c>
      <c r="M1580" s="30" t="str">
        <f t="shared" si="163"/>
        <v/>
      </c>
      <c r="N1580" s="134"/>
      <c r="O1580" s="29"/>
      <c r="P1580" s="37" t="str">
        <f t="shared" si="164"/>
        <v/>
      </c>
      <c r="Q1580" s="38" t="str">
        <f t="shared" si="165"/>
        <v/>
      </c>
      <c r="R1580" s="37" t="str">
        <f t="shared" si="166"/>
        <v/>
      </c>
      <c r="S1580" s="37" t="str">
        <f t="shared" si="167"/>
        <v/>
      </c>
      <c r="T1580" s="38" t="str">
        <f t="shared" si="168"/>
        <v/>
      </c>
      <c r="U1580" s="37" t="str">
        <f t="shared" si="169"/>
        <v/>
      </c>
    </row>
    <row r="1581" spans="2:21" ht="17.25">
      <c r="B1581" s="156"/>
      <c r="C1581" s="156"/>
      <c r="D1581" s="157"/>
      <c r="E1581" s="155"/>
      <c r="F1581" s="151"/>
      <c r="G1581" s="152"/>
      <c r="H1581" s="153"/>
      <c r="I1581" s="154"/>
      <c r="J1581" s="154"/>
      <c r="K1581" s="30" t="str">
        <f>IF(H1581="","",IF($C$30="간이법","",FPR(H1581,I1581,J1581)))</f>
        <v/>
      </c>
      <c r="L1581" s="30" t="str">
        <f>IF(H1581="","",IF($C$30="상세법",FPV(H1581,K1581),IF(H1581="EI",4,IF(H1581="EO",5.2,IF(H1581="EQ",3.9,IF(H1581="ILF",7.5,IF(H1581="EIF",5.4)))))))</f>
        <v/>
      </c>
      <c r="M1581" s="30" t="str">
        <f t="shared" si="163"/>
        <v/>
      </c>
      <c r="N1581" s="134"/>
      <c r="O1581" s="29"/>
      <c r="P1581" s="37" t="str">
        <f t="shared" si="164"/>
        <v/>
      </c>
      <c r="Q1581" s="38" t="str">
        <f t="shared" si="165"/>
        <v/>
      </c>
      <c r="R1581" s="37" t="str">
        <f t="shared" si="166"/>
        <v/>
      </c>
      <c r="S1581" s="37" t="str">
        <f t="shared" si="167"/>
        <v/>
      </c>
      <c r="T1581" s="38" t="str">
        <f t="shared" si="168"/>
        <v/>
      </c>
      <c r="U1581" s="37" t="str">
        <f t="shared" si="169"/>
        <v/>
      </c>
    </row>
    <row r="1582" spans="2:21" ht="17.25">
      <c r="B1582" s="156"/>
      <c r="C1582" s="156"/>
      <c r="D1582" s="157"/>
      <c r="E1582" s="155"/>
      <c r="F1582" s="151"/>
      <c r="G1582" s="152"/>
      <c r="H1582" s="153"/>
      <c r="I1582" s="154"/>
      <c r="J1582" s="154"/>
      <c r="K1582" s="30" t="str">
        <f>IF(H1582="","",IF($C$30="간이법","",FPR(H1582,I1582,J1582)))</f>
        <v/>
      </c>
      <c r="L1582" s="30" t="str">
        <f>IF(H1582="","",IF($C$30="상세법",FPV(H1582,K1582),IF(H1582="EI",4,IF(H1582="EO",5.2,IF(H1582="EQ",3.9,IF(H1582="ILF",7.5,IF(H1582="EIF",5.4)))))))</f>
        <v/>
      </c>
      <c r="M1582" s="30" t="str">
        <f t="shared" si="163"/>
        <v/>
      </c>
      <c r="N1582" s="134"/>
      <c r="O1582" s="29"/>
      <c r="P1582" s="37" t="str">
        <f t="shared" si="164"/>
        <v/>
      </c>
      <c r="Q1582" s="38" t="str">
        <f t="shared" si="165"/>
        <v/>
      </c>
      <c r="R1582" s="37" t="str">
        <f t="shared" si="166"/>
        <v/>
      </c>
      <c r="S1582" s="37" t="str">
        <f t="shared" si="167"/>
        <v/>
      </c>
      <c r="T1582" s="38" t="str">
        <f t="shared" si="168"/>
        <v/>
      </c>
      <c r="U1582" s="37" t="str">
        <f t="shared" si="169"/>
        <v/>
      </c>
    </row>
    <row r="1583" spans="2:21" ht="17.25">
      <c r="B1583" s="156"/>
      <c r="C1583" s="156"/>
      <c r="D1583" s="157"/>
      <c r="E1583" s="155"/>
      <c r="F1583" s="151"/>
      <c r="G1583" s="152"/>
      <c r="H1583" s="153"/>
      <c r="I1583" s="154"/>
      <c r="J1583" s="154"/>
      <c r="K1583" s="30" t="str">
        <f>IF(H1583="","",IF($C$30="간이법","",FPR(H1583,I1583,J1583)))</f>
        <v/>
      </c>
      <c r="L1583" s="30" t="str">
        <f>IF(H1583="","",IF($C$30="상세법",FPV(H1583,K1583),IF(H1583="EI",4,IF(H1583="EO",5.2,IF(H1583="EQ",3.9,IF(H1583="ILF",7.5,IF(H1583="EIF",5.4)))))))</f>
        <v/>
      </c>
      <c r="M1583" s="30" t="str">
        <f t="shared" si="163"/>
        <v/>
      </c>
      <c r="N1583" s="134"/>
      <c r="O1583" s="29"/>
      <c r="P1583" s="37" t="str">
        <f t="shared" si="164"/>
        <v/>
      </c>
      <c r="Q1583" s="38" t="str">
        <f t="shared" si="165"/>
        <v/>
      </c>
      <c r="R1583" s="37" t="str">
        <f t="shared" si="166"/>
        <v/>
      </c>
      <c r="S1583" s="37" t="str">
        <f t="shared" si="167"/>
        <v/>
      </c>
      <c r="T1583" s="38" t="str">
        <f t="shared" si="168"/>
        <v/>
      </c>
      <c r="U1583" s="37" t="str">
        <f t="shared" si="169"/>
        <v/>
      </c>
    </row>
    <row r="1584" spans="2:21" ht="17.25">
      <c r="B1584" s="156"/>
      <c r="C1584" s="156"/>
      <c r="D1584" s="157"/>
      <c r="E1584" s="155"/>
      <c r="F1584" s="151"/>
      <c r="G1584" s="152"/>
      <c r="H1584" s="153"/>
      <c r="I1584" s="154"/>
      <c r="J1584" s="154"/>
      <c r="K1584" s="30" t="str">
        <f>IF(H1584="","",IF($C$30="간이법","",FPR(H1584,I1584,J1584)))</f>
        <v/>
      </c>
      <c r="L1584" s="30" t="str">
        <f>IF(H1584="","",IF($C$30="상세법",FPV(H1584,K1584),IF(H1584="EI",4,IF(H1584="EO",5.2,IF(H1584="EQ",3.9,IF(H1584="ILF",7.5,IF(H1584="EIF",5.4)))))))</f>
        <v/>
      </c>
      <c r="M1584" s="30" t="str">
        <f t="shared" si="163"/>
        <v/>
      </c>
      <c r="N1584" s="134"/>
      <c r="O1584" s="29"/>
      <c r="P1584" s="37" t="str">
        <f t="shared" si="164"/>
        <v/>
      </c>
      <c r="Q1584" s="38" t="str">
        <f t="shared" si="165"/>
        <v/>
      </c>
      <c r="R1584" s="37" t="str">
        <f t="shared" si="166"/>
        <v/>
      </c>
      <c r="S1584" s="37" t="str">
        <f t="shared" si="167"/>
        <v/>
      </c>
      <c r="T1584" s="38" t="str">
        <f t="shared" si="168"/>
        <v/>
      </c>
      <c r="U1584" s="37" t="str">
        <f t="shared" si="169"/>
        <v/>
      </c>
    </row>
    <row r="1585" spans="2:21" ht="17.25">
      <c r="B1585" s="156"/>
      <c r="C1585" s="156"/>
      <c r="D1585" s="157"/>
      <c r="E1585" s="155"/>
      <c r="F1585" s="151"/>
      <c r="G1585" s="152"/>
      <c r="H1585" s="153"/>
      <c r="I1585" s="154"/>
      <c r="J1585" s="154"/>
      <c r="K1585" s="30" t="str">
        <f>IF(H1585="","",IF($C$30="간이법","",FPR(H1585,I1585,J1585)))</f>
        <v/>
      </c>
      <c r="L1585" s="30" t="str">
        <f>IF(H1585="","",IF($C$30="상세법",FPV(H1585,K1585),IF(H1585="EI",4,IF(H1585="EO",5.2,IF(H1585="EQ",3.9,IF(H1585="ILF",7.5,IF(H1585="EIF",5.4)))))))</f>
        <v/>
      </c>
      <c r="M1585" s="30" t="str">
        <f t="shared" si="163"/>
        <v/>
      </c>
      <c r="N1585" s="134"/>
      <c r="O1585" s="29"/>
      <c r="P1585" s="37" t="str">
        <f t="shared" si="164"/>
        <v/>
      </c>
      <c r="Q1585" s="38" t="str">
        <f t="shared" si="165"/>
        <v/>
      </c>
      <c r="R1585" s="37" t="str">
        <f t="shared" si="166"/>
        <v/>
      </c>
      <c r="S1585" s="37" t="str">
        <f t="shared" si="167"/>
        <v/>
      </c>
      <c r="T1585" s="38" t="str">
        <f t="shared" si="168"/>
        <v/>
      </c>
      <c r="U1585" s="37" t="str">
        <f t="shared" si="169"/>
        <v/>
      </c>
    </row>
    <row r="1586" spans="2:21" ht="17.25">
      <c r="B1586" s="156"/>
      <c r="C1586" s="156"/>
      <c r="D1586" s="157"/>
      <c r="E1586" s="155"/>
      <c r="F1586" s="151"/>
      <c r="G1586" s="152"/>
      <c r="H1586" s="153"/>
      <c r="I1586" s="154"/>
      <c r="J1586" s="154"/>
      <c r="K1586" s="30" t="str">
        <f>IF(H1586="","",IF($C$30="간이법","",FPR(H1586,I1586,J1586)))</f>
        <v/>
      </c>
      <c r="L1586" s="30" t="str">
        <f>IF(H1586="","",IF($C$30="상세법",FPV(H1586,K1586),IF(H1586="EI",4,IF(H1586="EO",5.2,IF(H1586="EQ",3.9,IF(H1586="ILF",7.5,IF(H1586="EIF",5.4)))))))</f>
        <v/>
      </c>
      <c r="M1586" s="30" t="str">
        <f t="shared" si="163"/>
        <v/>
      </c>
      <c r="N1586" s="134"/>
      <c r="O1586" s="29"/>
      <c r="P1586" s="37" t="str">
        <f t="shared" si="164"/>
        <v/>
      </c>
      <c r="Q1586" s="38" t="str">
        <f t="shared" si="165"/>
        <v/>
      </c>
      <c r="R1586" s="37" t="str">
        <f t="shared" si="166"/>
        <v/>
      </c>
      <c r="S1586" s="37" t="str">
        <f t="shared" si="167"/>
        <v/>
      </c>
      <c r="T1586" s="38" t="str">
        <f t="shared" si="168"/>
        <v/>
      </c>
      <c r="U1586" s="37" t="str">
        <f t="shared" si="169"/>
        <v/>
      </c>
    </row>
    <row r="1587" spans="2:21" ht="17.25">
      <c r="B1587" s="156"/>
      <c r="C1587" s="156"/>
      <c r="D1587" s="157"/>
      <c r="E1587" s="155"/>
      <c r="F1587" s="151"/>
      <c r="G1587" s="152"/>
      <c r="H1587" s="153"/>
      <c r="I1587" s="154"/>
      <c r="J1587" s="154"/>
      <c r="K1587" s="30" t="str">
        <f>IF(H1587="","",IF($C$30="간이법","",FPR(H1587,I1587,J1587)))</f>
        <v/>
      </c>
      <c r="L1587" s="30" t="str">
        <f>IF(H1587="","",IF($C$30="상세법",FPV(H1587,K1587),IF(H1587="EI",4,IF(H1587="EO",5.2,IF(H1587="EQ",3.9,IF(H1587="ILF",7.5,IF(H1587="EIF",5.4)))))))</f>
        <v/>
      </c>
      <c r="M1587" s="30" t="str">
        <f t="shared" si="163"/>
        <v/>
      </c>
      <c r="N1587" s="134"/>
      <c r="O1587" s="29"/>
      <c r="P1587" s="37" t="str">
        <f t="shared" si="164"/>
        <v/>
      </c>
      <c r="Q1587" s="38" t="str">
        <f t="shared" si="165"/>
        <v/>
      </c>
      <c r="R1587" s="37" t="str">
        <f t="shared" si="166"/>
        <v/>
      </c>
      <c r="S1587" s="37" t="str">
        <f t="shared" si="167"/>
        <v/>
      </c>
      <c r="T1587" s="38" t="str">
        <f t="shared" si="168"/>
        <v/>
      </c>
      <c r="U1587" s="37" t="str">
        <f t="shared" si="169"/>
        <v/>
      </c>
    </row>
    <row r="1588" spans="2:21" ht="17.25">
      <c r="B1588" s="156"/>
      <c r="C1588" s="156"/>
      <c r="D1588" s="157"/>
      <c r="E1588" s="155"/>
      <c r="F1588" s="151"/>
      <c r="G1588" s="152"/>
      <c r="H1588" s="153"/>
      <c r="I1588" s="154"/>
      <c r="J1588" s="154"/>
      <c r="K1588" s="30" t="str">
        <f>IF(H1588="","",IF($C$30="간이법","",FPR(H1588,I1588,J1588)))</f>
        <v/>
      </c>
      <c r="L1588" s="30" t="str">
        <f>IF(H1588="","",IF($C$30="상세법",FPV(H1588,K1588),IF(H1588="EI",4,IF(H1588="EO",5.2,IF(H1588="EQ",3.9,IF(H1588="ILF",7.5,IF(H1588="EIF",5.4)))))))</f>
        <v/>
      </c>
      <c r="M1588" s="30" t="str">
        <f t="shared" si="163"/>
        <v/>
      </c>
      <c r="N1588" s="134"/>
      <c r="O1588" s="29"/>
      <c r="P1588" s="37" t="str">
        <f t="shared" si="164"/>
        <v/>
      </c>
      <c r="Q1588" s="38" t="str">
        <f t="shared" si="165"/>
        <v/>
      </c>
      <c r="R1588" s="37" t="str">
        <f t="shared" si="166"/>
        <v/>
      </c>
      <c r="S1588" s="37" t="str">
        <f t="shared" si="167"/>
        <v/>
      </c>
      <c r="T1588" s="38" t="str">
        <f t="shared" si="168"/>
        <v/>
      </c>
      <c r="U1588" s="37" t="str">
        <f t="shared" si="169"/>
        <v/>
      </c>
    </row>
    <row r="1589" spans="2:21" ht="17.25">
      <c r="B1589" s="156"/>
      <c r="C1589" s="156"/>
      <c r="D1589" s="157"/>
      <c r="E1589" s="155"/>
      <c r="F1589" s="151"/>
      <c r="G1589" s="152"/>
      <c r="H1589" s="153"/>
      <c r="I1589" s="154"/>
      <c r="J1589" s="154"/>
      <c r="K1589" s="30" t="str">
        <f>IF(H1589="","",IF($C$30="간이법","",FPR(H1589,I1589,J1589)))</f>
        <v/>
      </c>
      <c r="L1589" s="30" t="str">
        <f>IF(H1589="","",IF($C$30="상세법",FPV(H1589,K1589),IF(H1589="EI",4,IF(H1589="EO",5.2,IF(H1589="EQ",3.9,IF(H1589="ILF",7.5,IF(H1589="EIF",5.4)))))))</f>
        <v/>
      </c>
      <c r="M1589" s="30" t="str">
        <f t="shared" si="163"/>
        <v/>
      </c>
      <c r="N1589" s="134"/>
      <c r="O1589" s="29"/>
      <c r="P1589" s="37" t="str">
        <f t="shared" si="164"/>
        <v/>
      </c>
      <c r="Q1589" s="38" t="str">
        <f t="shared" si="165"/>
        <v/>
      </c>
      <c r="R1589" s="37" t="str">
        <f t="shared" si="166"/>
        <v/>
      </c>
      <c r="S1589" s="37" t="str">
        <f t="shared" si="167"/>
        <v/>
      </c>
      <c r="T1589" s="38" t="str">
        <f t="shared" si="168"/>
        <v/>
      </c>
      <c r="U1589" s="37" t="str">
        <f t="shared" si="169"/>
        <v/>
      </c>
    </row>
    <row r="1590" spans="2:21" ht="17.25">
      <c r="B1590" s="156"/>
      <c r="C1590" s="156"/>
      <c r="D1590" s="157"/>
      <c r="E1590" s="155"/>
      <c r="F1590" s="151"/>
      <c r="G1590" s="152"/>
      <c r="H1590" s="153"/>
      <c r="I1590" s="154"/>
      <c r="J1590" s="154"/>
      <c r="K1590" s="30" t="str">
        <f>IF(H1590="","",IF($C$30="간이법","",FPR(H1590,I1590,J1590)))</f>
        <v/>
      </c>
      <c r="L1590" s="30" t="str">
        <f>IF(H1590="","",IF($C$30="상세법",FPV(H1590,K1590),IF(H1590="EI",4,IF(H1590="EO",5.2,IF(H1590="EQ",3.9,IF(H1590="ILF",7.5,IF(H1590="EIF",5.4)))))))</f>
        <v/>
      </c>
      <c r="M1590" s="30" t="str">
        <f t="shared" si="163"/>
        <v/>
      </c>
      <c r="N1590" s="134"/>
      <c r="O1590" s="29"/>
      <c r="P1590" s="37" t="str">
        <f t="shared" si="164"/>
        <v/>
      </c>
      <c r="Q1590" s="38" t="str">
        <f t="shared" si="165"/>
        <v/>
      </c>
      <c r="R1590" s="37" t="str">
        <f t="shared" si="166"/>
        <v/>
      </c>
      <c r="S1590" s="37" t="str">
        <f t="shared" si="167"/>
        <v/>
      </c>
      <c r="T1590" s="38" t="str">
        <f t="shared" si="168"/>
        <v/>
      </c>
      <c r="U1590" s="37" t="str">
        <f t="shared" si="169"/>
        <v/>
      </c>
    </row>
    <row r="1591" spans="2:21" ht="17.25">
      <c r="B1591" s="156"/>
      <c r="C1591" s="156"/>
      <c r="D1591" s="157"/>
      <c r="E1591" s="155"/>
      <c r="F1591" s="151"/>
      <c r="G1591" s="152"/>
      <c r="H1591" s="153"/>
      <c r="I1591" s="154"/>
      <c r="J1591" s="154"/>
      <c r="K1591" s="30" t="str">
        <f>IF(H1591="","",IF($C$30="간이법","",FPR(H1591,I1591,J1591)))</f>
        <v/>
      </c>
      <c r="L1591" s="30" t="str">
        <f>IF(H1591="","",IF($C$30="상세법",FPV(H1591,K1591),IF(H1591="EI",4,IF(H1591="EO",5.2,IF(H1591="EQ",3.9,IF(H1591="ILF",7.5,IF(H1591="EIF",5.4)))))))</f>
        <v/>
      </c>
      <c r="M1591" s="30" t="str">
        <f t="shared" si="163"/>
        <v/>
      </c>
      <c r="N1591" s="134"/>
      <c r="O1591" s="29"/>
      <c r="P1591" s="37" t="str">
        <f t="shared" si="164"/>
        <v/>
      </c>
      <c r="Q1591" s="38" t="str">
        <f t="shared" si="165"/>
        <v/>
      </c>
      <c r="R1591" s="37" t="str">
        <f t="shared" si="166"/>
        <v/>
      </c>
      <c r="S1591" s="37" t="str">
        <f t="shared" si="167"/>
        <v/>
      </c>
      <c r="T1591" s="38" t="str">
        <f t="shared" si="168"/>
        <v/>
      </c>
      <c r="U1591" s="37" t="str">
        <f t="shared" si="169"/>
        <v/>
      </c>
    </row>
    <row r="1592" spans="2:21" ht="17.25">
      <c r="B1592" s="156"/>
      <c r="C1592" s="156"/>
      <c r="D1592" s="157"/>
      <c r="E1592" s="155"/>
      <c r="F1592" s="151"/>
      <c r="G1592" s="152"/>
      <c r="H1592" s="153"/>
      <c r="I1592" s="154"/>
      <c r="J1592" s="154"/>
      <c r="K1592" s="30" t="str">
        <f>IF(H1592="","",IF($C$30="간이법","",FPR(H1592,I1592,J1592)))</f>
        <v/>
      </c>
      <c r="L1592" s="30" t="str">
        <f>IF(H1592="","",IF($C$30="상세법",FPV(H1592,K1592),IF(H1592="EI",4,IF(H1592="EO",5.2,IF(H1592="EQ",3.9,IF(H1592="ILF",7.5,IF(H1592="EIF",5.4)))))))</f>
        <v/>
      </c>
      <c r="M1592" s="30" t="str">
        <f t="shared" si="163"/>
        <v/>
      </c>
      <c r="N1592" s="134"/>
      <c r="O1592" s="29"/>
      <c r="P1592" s="37" t="str">
        <f t="shared" si="164"/>
        <v/>
      </c>
      <c r="Q1592" s="38" t="str">
        <f t="shared" si="165"/>
        <v/>
      </c>
      <c r="R1592" s="37" t="str">
        <f t="shared" si="166"/>
        <v/>
      </c>
      <c r="S1592" s="37" t="str">
        <f t="shared" si="167"/>
        <v/>
      </c>
      <c r="T1592" s="38" t="str">
        <f t="shared" si="168"/>
        <v/>
      </c>
      <c r="U1592" s="37" t="str">
        <f t="shared" si="169"/>
        <v/>
      </c>
    </row>
    <row r="1593" spans="2:21" ht="17.25">
      <c r="B1593" s="156"/>
      <c r="C1593" s="156"/>
      <c r="D1593" s="157"/>
      <c r="E1593" s="155"/>
      <c r="F1593" s="151"/>
      <c r="G1593" s="152"/>
      <c r="H1593" s="153"/>
      <c r="I1593" s="154"/>
      <c r="J1593" s="154"/>
      <c r="K1593" s="30" t="str">
        <f>IF(H1593="","",IF($C$30="간이법","",FPR(H1593,I1593,J1593)))</f>
        <v/>
      </c>
      <c r="L1593" s="30" t="str">
        <f>IF(H1593="","",IF($C$30="상세법",FPV(H1593,K1593),IF(H1593="EI",4,IF(H1593="EO",5.2,IF(H1593="EQ",3.9,IF(H1593="ILF",7.5,IF(H1593="EIF",5.4)))))))</f>
        <v/>
      </c>
      <c r="M1593" s="30" t="str">
        <f t="shared" si="163"/>
        <v/>
      </c>
      <c r="N1593" s="134"/>
      <c r="O1593" s="29"/>
      <c r="P1593" s="37" t="str">
        <f t="shared" si="164"/>
        <v/>
      </c>
      <c r="Q1593" s="38" t="str">
        <f t="shared" si="165"/>
        <v/>
      </c>
      <c r="R1593" s="37" t="str">
        <f t="shared" si="166"/>
        <v/>
      </c>
      <c r="S1593" s="37" t="str">
        <f t="shared" si="167"/>
        <v/>
      </c>
      <c r="T1593" s="38" t="str">
        <f t="shared" si="168"/>
        <v/>
      </c>
      <c r="U1593" s="37" t="str">
        <f t="shared" si="169"/>
        <v/>
      </c>
    </row>
    <row r="1594" spans="2:21" ht="17.25">
      <c r="B1594" s="156"/>
      <c r="C1594" s="156"/>
      <c r="D1594" s="157"/>
      <c r="E1594" s="155"/>
      <c r="F1594" s="151"/>
      <c r="G1594" s="152"/>
      <c r="H1594" s="153"/>
      <c r="I1594" s="154"/>
      <c r="J1594" s="154"/>
      <c r="K1594" s="30" t="str">
        <f>IF(H1594="","",IF($C$30="간이법","",FPR(H1594,I1594,J1594)))</f>
        <v/>
      </c>
      <c r="L1594" s="30" t="str">
        <f>IF(H1594="","",IF($C$30="상세법",FPV(H1594,K1594),IF(H1594="EI",4,IF(H1594="EO",5.2,IF(H1594="EQ",3.9,IF(H1594="ILF",7.5,IF(H1594="EIF",5.4)))))))</f>
        <v/>
      </c>
      <c r="M1594" s="30" t="str">
        <f t="shared" si="163"/>
        <v/>
      </c>
      <c r="N1594" s="134"/>
      <c r="O1594" s="29"/>
      <c r="P1594" s="37" t="str">
        <f t="shared" si="164"/>
        <v/>
      </c>
      <c r="Q1594" s="38" t="str">
        <f t="shared" si="165"/>
        <v/>
      </c>
      <c r="R1594" s="37" t="str">
        <f t="shared" si="166"/>
        <v/>
      </c>
      <c r="S1594" s="37" t="str">
        <f t="shared" si="167"/>
        <v/>
      </c>
      <c r="T1594" s="38" t="str">
        <f t="shared" si="168"/>
        <v/>
      </c>
      <c r="U1594" s="37" t="str">
        <f t="shared" si="169"/>
        <v/>
      </c>
    </row>
    <row r="1595" spans="2:21" ht="17.25">
      <c r="B1595" s="156"/>
      <c r="C1595" s="156"/>
      <c r="D1595" s="157"/>
      <c r="E1595" s="155"/>
      <c r="F1595" s="151"/>
      <c r="G1595" s="152"/>
      <c r="H1595" s="153"/>
      <c r="I1595" s="154"/>
      <c r="J1595" s="154"/>
      <c r="K1595" s="30" t="str">
        <f>IF(H1595="","",IF($C$30="간이법","",FPR(H1595,I1595,J1595)))</f>
        <v/>
      </c>
      <c r="L1595" s="30" t="str">
        <f>IF(H1595="","",IF($C$30="상세법",FPV(H1595,K1595),IF(H1595="EI",4,IF(H1595="EO",5.2,IF(H1595="EQ",3.9,IF(H1595="ILF",7.5,IF(H1595="EIF",5.4)))))))</f>
        <v/>
      </c>
      <c r="M1595" s="30" t="str">
        <f t="shared" si="163"/>
        <v/>
      </c>
      <c r="N1595" s="134"/>
      <c r="O1595" s="29"/>
      <c r="P1595" s="37" t="str">
        <f t="shared" si="164"/>
        <v/>
      </c>
      <c r="Q1595" s="38" t="str">
        <f t="shared" si="165"/>
        <v/>
      </c>
      <c r="R1595" s="37" t="str">
        <f t="shared" si="166"/>
        <v/>
      </c>
      <c r="S1595" s="37" t="str">
        <f t="shared" si="167"/>
        <v/>
      </c>
      <c r="T1595" s="38" t="str">
        <f t="shared" si="168"/>
        <v/>
      </c>
      <c r="U1595" s="37" t="str">
        <f t="shared" si="169"/>
        <v/>
      </c>
    </row>
    <row r="1596" spans="2:21" ht="17.25">
      <c r="B1596" s="156"/>
      <c r="C1596" s="156"/>
      <c r="D1596" s="157"/>
      <c r="E1596" s="155"/>
      <c r="F1596" s="151"/>
      <c r="G1596" s="152"/>
      <c r="H1596" s="153"/>
      <c r="I1596" s="154"/>
      <c r="J1596" s="154"/>
      <c r="K1596" s="30" t="str">
        <f>IF(H1596="","",IF($C$30="간이법","",FPR(H1596,I1596,J1596)))</f>
        <v/>
      </c>
      <c r="L1596" s="30" t="str">
        <f>IF(H1596="","",IF($C$30="상세법",FPV(H1596,K1596),IF(H1596="EI",4,IF(H1596="EO",5.2,IF(H1596="EQ",3.9,IF(H1596="ILF",7.5,IF(H1596="EIF",5.4)))))))</f>
        <v/>
      </c>
      <c r="M1596" s="30" t="str">
        <f t="shared" ref="M1596:M1659" si="170">IF(OR(G1596="",$E$36="(선택)",$E$40="(선택)",$E$41="(선택)",F1596="신규 개발",F1596="수정 없이 재사용"),"",(IF(F1596="수정 후 재사용",IF($E$50&lt;=0.5,L1596*($E$36+$E$50*100*(1+0.02*($E$40*$E$41)))/100,L1596*($E$36+$E$50*100+($E$40*$E$41))/100))))</f>
        <v/>
      </c>
      <c r="N1596" s="134"/>
      <c r="O1596" s="29"/>
      <c r="P1596" s="37" t="str">
        <f t="shared" ref="P1596:P1659" si="171">IF(F1596="수정 후 재사용",IF(H1596="ILF",G1596,IF(H1596="EIF",G1596,"")),"")</f>
        <v/>
      </c>
      <c r="Q1596" s="38" t="str">
        <f t="shared" ref="Q1596:Q1659" si="172">IF(P1596&lt;&gt;"",IF(H1596="ILF", L1596/$E$46,IF(H1596="EIF", L1596/$E$46,"")),"")</f>
        <v/>
      </c>
      <c r="R1596" s="37" t="str">
        <f t="shared" ref="R1596:R1659" si="173">IF(P1596&lt;&gt;"",P1596*Q1596,"")</f>
        <v/>
      </c>
      <c r="S1596" s="37" t="str">
        <f t="shared" ref="S1596:S1659" si="174">IF(F1596="수정 후 재사용",IF(H1596="EI",G1596,IF(H1596="EO",G1596,IF(H1596="EQ",G1596,""))),"")</f>
        <v/>
      </c>
      <c r="T1596" s="38" t="str">
        <f t="shared" ref="T1596:T1659" si="175">IF(S1596&lt;&gt;"",IF(H1596="EI",L1596/$E$47,IF(H1596="EO",L1596/$E$47,IF(H1596="EQ",L1596/$E$47,""))),"")</f>
        <v/>
      </c>
      <c r="U1596" s="37" t="str">
        <f t="shared" ref="U1596:U1659" si="176">IF(S1596&lt;&gt;"",S1596*T1596,"")</f>
        <v/>
      </c>
    </row>
    <row r="1597" spans="2:21" ht="17.25">
      <c r="B1597" s="156"/>
      <c r="C1597" s="156"/>
      <c r="D1597" s="157"/>
      <c r="E1597" s="155"/>
      <c r="F1597" s="151"/>
      <c r="G1597" s="152"/>
      <c r="H1597" s="153"/>
      <c r="I1597" s="154"/>
      <c r="J1597" s="154"/>
      <c r="K1597" s="30" t="str">
        <f>IF(H1597="","",IF($C$30="간이법","",FPR(H1597,I1597,J1597)))</f>
        <v/>
      </c>
      <c r="L1597" s="30" t="str">
        <f>IF(H1597="","",IF($C$30="상세법",FPV(H1597,K1597),IF(H1597="EI",4,IF(H1597="EO",5.2,IF(H1597="EQ",3.9,IF(H1597="ILF",7.5,IF(H1597="EIF",5.4)))))))</f>
        <v/>
      </c>
      <c r="M1597" s="30" t="str">
        <f t="shared" si="170"/>
        <v/>
      </c>
      <c r="N1597" s="134"/>
      <c r="O1597" s="29"/>
      <c r="P1597" s="37" t="str">
        <f t="shared" si="171"/>
        <v/>
      </c>
      <c r="Q1597" s="38" t="str">
        <f t="shared" si="172"/>
        <v/>
      </c>
      <c r="R1597" s="37" t="str">
        <f t="shared" si="173"/>
        <v/>
      </c>
      <c r="S1597" s="37" t="str">
        <f t="shared" si="174"/>
        <v/>
      </c>
      <c r="T1597" s="38" t="str">
        <f t="shared" si="175"/>
        <v/>
      </c>
      <c r="U1597" s="37" t="str">
        <f t="shared" si="176"/>
        <v/>
      </c>
    </row>
    <row r="1598" spans="2:21" ht="17.25">
      <c r="B1598" s="156"/>
      <c r="C1598" s="156"/>
      <c r="D1598" s="157"/>
      <c r="E1598" s="155"/>
      <c r="F1598" s="151"/>
      <c r="G1598" s="152"/>
      <c r="H1598" s="153"/>
      <c r="I1598" s="154"/>
      <c r="J1598" s="154"/>
      <c r="K1598" s="30" t="str">
        <f>IF(H1598="","",IF($C$30="간이법","",FPR(H1598,I1598,J1598)))</f>
        <v/>
      </c>
      <c r="L1598" s="30" t="str">
        <f>IF(H1598="","",IF($C$30="상세법",FPV(H1598,K1598),IF(H1598="EI",4,IF(H1598="EO",5.2,IF(H1598="EQ",3.9,IF(H1598="ILF",7.5,IF(H1598="EIF",5.4)))))))</f>
        <v/>
      </c>
      <c r="M1598" s="30" t="str">
        <f t="shared" si="170"/>
        <v/>
      </c>
      <c r="N1598" s="134"/>
      <c r="O1598" s="29"/>
      <c r="P1598" s="37" t="str">
        <f t="shared" si="171"/>
        <v/>
      </c>
      <c r="Q1598" s="38" t="str">
        <f t="shared" si="172"/>
        <v/>
      </c>
      <c r="R1598" s="37" t="str">
        <f t="shared" si="173"/>
        <v/>
      </c>
      <c r="S1598" s="37" t="str">
        <f t="shared" si="174"/>
        <v/>
      </c>
      <c r="T1598" s="38" t="str">
        <f t="shared" si="175"/>
        <v/>
      </c>
      <c r="U1598" s="37" t="str">
        <f t="shared" si="176"/>
        <v/>
      </c>
    </row>
    <row r="1599" spans="2:21" ht="17.25">
      <c r="B1599" s="156"/>
      <c r="C1599" s="156"/>
      <c r="D1599" s="157"/>
      <c r="E1599" s="155"/>
      <c r="F1599" s="151"/>
      <c r="G1599" s="152"/>
      <c r="H1599" s="153"/>
      <c r="I1599" s="154"/>
      <c r="J1599" s="154"/>
      <c r="K1599" s="30" t="str">
        <f>IF(H1599="","",IF($C$30="간이법","",FPR(H1599,I1599,J1599)))</f>
        <v/>
      </c>
      <c r="L1599" s="30" t="str">
        <f>IF(H1599="","",IF($C$30="상세법",FPV(H1599,K1599),IF(H1599="EI",4,IF(H1599="EO",5.2,IF(H1599="EQ",3.9,IF(H1599="ILF",7.5,IF(H1599="EIF",5.4)))))))</f>
        <v/>
      </c>
      <c r="M1599" s="30" t="str">
        <f t="shared" si="170"/>
        <v/>
      </c>
      <c r="N1599" s="134"/>
      <c r="O1599" s="29"/>
      <c r="P1599" s="37" t="str">
        <f t="shared" si="171"/>
        <v/>
      </c>
      <c r="Q1599" s="38" t="str">
        <f t="shared" si="172"/>
        <v/>
      </c>
      <c r="R1599" s="37" t="str">
        <f t="shared" si="173"/>
        <v/>
      </c>
      <c r="S1599" s="37" t="str">
        <f t="shared" si="174"/>
        <v/>
      </c>
      <c r="T1599" s="38" t="str">
        <f t="shared" si="175"/>
        <v/>
      </c>
      <c r="U1599" s="37" t="str">
        <f t="shared" si="176"/>
        <v/>
      </c>
    </row>
    <row r="1600" spans="2:21" ht="17.25">
      <c r="B1600" s="156"/>
      <c r="C1600" s="156"/>
      <c r="D1600" s="157"/>
      <c r="E1600" s="155"/>
      <c r="F1600" s="151"/>
      <c r="G1600" s="152"/>
      <c r="H1600" s="153"/>
      <c r="I1600" s="154"/>
      <c r="J1600" s="154"/>
      <c r="K1600" s="30" t="str">
        <f>IF(H1600="","",IF($C$30="간이법","",FPR(H1600,I1600,J1600)))</f>
        <v/>
      </c>
      <c r="L1600" s="30" t="str">
        <f>IF(H1600="","",IF($C$30="상세법",FPV(H1600,K1600),IF(H1600="EI",4,IF(H1600="EO",5.2,IF(H1600="EQ",3.9,IF(H1600="ILF",7.5,IF(H1600="EIF",5.4)))))))</f>
        <v/>
      </c>
      <c r="M1600" s="30" t="str">
        <f t="shared" si="170"/>
        <v/>
      </c>
      <c r="N1600" s="134"/>
      <c r="O1600" s="29"/>
      <c r="P1600" s="37" t="str">
        <f t="shared" si="171"/>
        <v/>
      </c>
      <c r="Q1600" s="38" t="str">
        <f t="shared" si="172"/>
        <v/>
      </c>
      <c r="R1600" s="37" t="str">
        <f t="shared" si="173"/>
        <v/>
      </c>
      <c r="S1600" s="37" t="str">
        <f t="shared" si="174"/>
        <v/>
      </c>
      <c r="T1600" s="38" t="str">
        <f t="shared" si="175"/>
        <v/>
      </c>
      <c r="U1600" s="37" t="str">
        <f t="shared" si="176"/>
        <v/>
      </c>
    </row>
    <row r="1601" spans="2:21" ht="17.25">
      <c r="B1601" s="156"/>
      <c r="C1601" s="156"/>
      <c r="D1601" s="157"/>
      <c r="E1601" s="155"/>
      <c r="F1601" s="151"/>
      <c r="G1601" s="152"/>
      <c r="H1601" s="153"/>
      <c r="I1601" s="154"/>
      <c r="J1601" s="154"/>
      <c r="K1601" s="30" t="str">
        <f>IF(H1601="","",IF($C$30="간이법","",FPR(H1601,I1601,J1601)))</f>
        <v/>
      </c>
      <c r="L1601" s="30" t="str">
        <f>IF(H1601="","",IF($C$30="상세법",FPV(H1601,K1601),IF(H1601="EI",4,IF(H1601="EO",5.2,IF(H1601="EQ",3.9,IF(H1601="ILF",7.5,IF(H1601="EIF",5.4)))))))</f>
        <v/>
      </c>
      <c r="M1601" s="30" t="str">
        <f t="shared" si="170"/>
        <v/>
      </c>
      <c r="N1601" s="134"/>
      <c r="O1601" s="29"/>
      <c r="P1601" s="37" t="str">
        <f t="shared" si="171"/>
        <v/>
      </c>
      <c r="Q1601" s="38" t="str">
        <f t="shared" si="172"/>
        <v/>
      </c>
      <c r="R1601" s="37" t="str">
        <f t="shared" si="173"/>
        <v/>
      </c>
      <c r="S1601" s="37" t="str">
        <f t="shared" si="174"/>
        <v/>
      </c>
      <c r="T1601" s="38" t="str">
        <f t="shared" si="175"/>
        <v/>
      </c>
      <c r="U1601" s="37" t="str">
        <f t="shared" si="176"/>
        <v/>
      </c>
    </row>
    <row r="1602" spans="2:21" ht="17.25">
      <c r="B1602" s="156"/>
      <c r="C1602" s="156"/>
      <c r="D1602" s="157"/>
      <c r="E1602" s="155"/>
      <c r="F1602" s="151"/>
      <c r="G1602" s="152"/>
      <c r="H1602" s="153"/>
      <c r="I1602" s="154"/>
      <c r="J1602" s="154"/>
      <c r="K1602" s="30" t="str">
        <f>IF(H1602="","",IF($C$30="간이법","",FPR(H1602,I1602,J1602)))</f>
        <v/>
      </c>
      <c r="L1602" s="30" t="str">
        <f>IF(H1602="","",IF($C$30="상세법",FPV(H1602,K1602),IF(H1602="EI",4,IF(H1602="EO",5.2,IF(H1602="EQ",3.9,IF(H1602="ILF",7.5,IF(H1602="EIF",5.4)))))))</f>
        <v/>
      </c>
      <c r="M1602" s="30" t="str">
        <f t="shared" si="170"/>
        <v/>
      </c>
      <c r="N1602" s="134"/>
      <c r="O1602" s="29"/>
      <c r="P1602" s="37" t="str">
        <f t="shared" si="171"/>
        <v/>
      </c>
      <c r="Q1602" s="38" t="str">
        <f t="shared" si="172"/>
        <v/>
      </c>
      <c r="R1602" s="37" t="str">
        <f t="shared" si="173"/>
        <v/>
      </c>
      <c r="S1602" s="37" t="str">
        <f t="shared" si="174"/>
        <v/>
      </c>
      <c r="T1602" s="38" t="str">
        <f t="shared" si="175"/>
        <v/>
      </c>
      <c r="U1602" s="37" t="str">
        <f t="shared" si="176"/>
        <v/>
      </c>
    </row>
    <row r="1603" spans="2:21" ht="17.25">
      <c r="B1603" s="156"/>
      <c r="C1603" s="156"/>
      <c r="D1603" s="157"/>
      <c r="E1603" s="155"/>
      <c r="F1603" s="151"/>
      <c r="G1603" s="152"/>
      <c r="H1603" s="153"/>
      <c r="I1603" s="154"/>
      <c r="J1603" s="154"/>
      <c r="K1603" s="30" t="str">
        <f>IF(H1603="","",IF($C$30="간이법","",FPR(H1603,I1603,J1603)))</f>
        <v/>
      </c>
      <c r="L1603" s="30" t="str">
        <f>IF(H1603="","",IF($C$30="상세법",FPV(H1603,K1603),IF(H1603="EI",4,IF(H1603="EO",5.2,IF(H1603="EQ",3.9,IF(H1603="ILF",7.5,IF(H1603="EIF",5.4)))))))</f>
        <v/>
      </c>
      <c r="M1603" s="30" t="str">
        <f t="shared" si="170"/>
        <v/>
      </c>
      <c r="N1603" s="134"/>
      <c r="O1603" s="29"/>
      <c r="P1603" s="37" t="str">
        <f t="shared" si="171"/>
        <v/>
      </c>
      <c r="Q1603" s="38" t="str">
        <f t="shared" si="172"/>
        <v/>
      </c>
      <c r="R1603" s="37" t="str">
        <f t="shared" si="173"/>
        <v/>
      </c>
      <c r="S1603" s="37" t="str">
        <f t="shared" si="174"/>
        <v/>
      </c>
      <c r="T1603" s="38" t="str">
        <f t="shared" si="175"/>
        <v/>
      </c>
      <c r="U1603" s="37" t="str">
        <f t="shared" si="176"/>
        <v/>
      </c>
    </row>
    <row r="1604" spans="2:21" ht="17.25">
      <c r="B1604" s="156"/>
      <c r="C1604" s="156"/>
      <c r="D1604" s="157"/>
      <c r="E1604" s="155"/>
      <c r="F1604" s="151"/>
      <c r="G1604" s="152"/>
      <c r="H1604" s="153"/>
      <c r="I1604" s="154"/>
      <c r="J1604" s="154"/>
      <c r="K1604" s="30" t="str">
        <f>IF(H1604="","",IF($C$30="간이법","",FPR(H1604,I1604,J1604)))</f>
        <v/>
      </c>
      <c r="L1604" s="30" t="str">
        <f>IF(H1604="","",IF($C$30="상세법",FPV(H1604,K1604),IF(H1604="EI",4,IF(H1604="EO",5.2,IF(H1604="EQ",3.9,IF(H1604="ILF",7.5,IF(H1604="EIF",5.4)))))))</f>
        <v/>
      </c>
      <c r="M1604" s="30" t="str">
        <f t="shared" si="170"/>
        <v/>
      </c>
      <c r="N1604" s="134"/>
      <c r="O1604" s="29"/>
      <c r="P1604" s="37" t="str">
        <f t="shared" si="171"/>
        <v/>
      </c>
      <c r="Q1604" s="38" t="str">
        <f t="shared" si="172"/>
        <v/>
      </c>
      <c r="R1604" s="37" t="str">
        <f t="shared" si="173"/>
        <v/>
      </c>
      <c r="S1604" s="37" t="str">
        <f t="shared" si="174"/>
        <v/>
      </c>
      <c r="T1604" s="38" t="str">
        <f t="shared" si="175"/>
        <v/>
      </c>
      <c r="U1604" s="37" t="str">
        <f t="shared" si="176"/>
        <v/>
      </c>
    </row>
    <row r="1605" spans="2:21" ht="17.25">
      <c r="B1605" s="156"/>
      <c r="C1605" s="156"/>
      <c r="D1605" s="157"/>
      <c r="E1605" s="155"/>
      <c r="F1605" s="151"/>
      <c r="G1605" s="152"/>
      <c r="H1605" s="153"/>
      <c r="I1605" s="154"/>
      <c r="J1605" s="154"/>
      <c r="K1605" s="30" t="str">
        <f>IF(H1605="","",IF($C$30="간이법","",FPR(H1605,I1605,J1605)))</f>
        <v/>
      </c>
      <c r="L1605" s="30" t="str">
        <f>IF(H1605="","",IF($C$30="상세법",FPV(H1605,K1605),IF(H1605="EI",4,IF(H1605="EO",5.2,IF(H1605="EQ",3.9,IF(H1605="ILF",7.5,IF(H1605="EIF",5.4)))))))</f>
        <v/>
      </c>
      <c r="M1605" s="30" t="str">
        <f t="shared" si="170"/>
        <v/>
      </c>
      <c r="N1605" s="134"/>
      <c r="O1605" s="29"/>
      <c r="P1605" s="37" t="str">
        <f t="shared" si="171"/>
        <v/>
      </c>
      <c r="Q1605" s="38" t="str">
        <f t="shared" si="172"/>
        <v/>
      </c>
      <c r="R1605" s="37" t="str">
        <f t="shared" si="173"/>
        <v/>
      </c>
      <c r="S1605" s="37" t="str">
        <f t="shared" si="174"/>
        <v/>
      </c>
      <c r="T1605" s="38" t="str">
        <f t="shared" si="175"/>
        <v/>
      </c>
      <c r="U1605" s="37" t="str">
        <f t="shared" si="176"/>
        <v/>
      </c>
    </row>
    <row r="1606" spans="2:21" ht="17.25">
      <c r="B1606" s="156"/>
      <c r="C1606" s="156"/>
      <c r="D1606" s="157"/>
      <c r="E1606" s="155"/>
      <c r="F1606" s="151"/>
      <c r="G1606" s="152"/>
      <c r="H1606" s="153"/>
      <c r="I1606" s="154"/>
      <c r="J1606" s="154"/>
      <c r="K1606" s="30" t="str">
        <f>IF(H1606="","",IF($C$30="간이법","",FPR(H1606,I1606,J1606)))</f>
        <v/>
      </c>
      <c r="L1606" s="30" t="str">
        <f>IF(H1606="","",IF($C$30="상세법",FPV(H1606,K1606),IF(H1606="EI",4,IF(H1606="EO",5.2,IF(H1606="EQ",3.9,IF(H1606="ILF",7.5,IF(H1606="EIF",5.4)))))))</f>
        <v/>
      </c>
      <c r="M1606" s="30" t="str">
        <f t="shared" si="170"/>
        <v/>
      </c>
      <c r="N1606" s="134"/>
      <c r="O1606" s="29"/>
      <c r="P1606" s="37" t="str">
        <f t="shared" si="171"/>
        <v/>
      </c>
      <c r="Q1606" s="38" t="str">
        <f t="shared" si="172"/>
        <v/>
      </c>
      <c r="R1606" s="37" t="str">
        <f t="shared" si="173"/>
        <v/>
      </c>
      <c r="S1606" s="37" t="str">
        <f t="shared" si="174"/>
        <v/>
      </c>
      <c r="T1606" s="38" t="str">
        <f t="shared" si="175"/>
        <v/>
      </c>
      <c r="U1606" s="37" t="str">
        <f t="shared" si="176"/>
        <v/>
      </c>
    </row>
    <row r="1607" spans="2:21" ht="17.25">
      <c r="B1607" s="156"/>
      <c r="C1607" s="156"/>
      <c r="D1607" s="157"/>
      <c r="E1607" s="155"/>
      <c r="F1607" s="151"/>
      <c r="G1607" s="152"/>
      <c r="H1607" s="153"/>
      <c r="I1607" s="154"/>
      <c r="J1607" s="154"/>
      <c r="K1607" s="30" t="str">
        <f>IF(H1607="","",IF($C$30="간이법","",FPR(H1607,I1607,J1607)))</f>
        <v/>
      </c>
      <c r="L1607" s="30" t="str">
        <f>IF(H1607="","",IF($C$30="상세법",FPV(H1607,K1607),IF(H1607="EI",4,IF(H1607="EO",5.2,IF(H1607="EQ",3.9,IF(H1607="ILF",7.5,IF(H1607="EIF",5.4)))))))</f>
        <v/>
      </c>
      <c r="M1607" s="30" t="str">
        <f t="shared" si="170"/>
        <v/>
      </c>
      <c r="N1607" s="134"/>
      <c r="O1607" s="29"/>
      <c r="P1607" s="37" t="str">
        <f t="shared" si="171"/>
        <v/>
      </c>
      <c r="Q1607" s="38" t="str">
        <f t="shared" si="172"/>
        <v/>
      </c>
      <c r="R1607" s="37" t="str">
        <f t="shared" si="173"/>
        <v/>
      </c>
      <c r="S1607" s="37" t="str">
        <f t="shared" si="174"/>
        <v/>
      </c>
      <c r="T1607" s="38" t="str">
        <f t="shared" si="175"/>
        <v/>
      </c>
      <c r="U1607" s="37" t="str">
        <f t="shared" si="176"/>
        <v/>
      </c>
    </row>
    <row r="1608" spans="2:21" ht="17.25">
      <c r="B1608" s="156"/>
      <c r="C1608" s="156"/>
      <c r="D1608" s="157"/>
      <c r="E1608" s="155"/>
      <c r="F1608" s="151"/>
      <c r="G1608" s="152"/>
      <c r="H1608" s="153"/>
      <c r="I1608" s="154"/>
      <c r="J1608" s="154"/>
      <c r="K1608" s="30" t="str">
        <f>IF(H1608="","",IF($C$30="간이법","",FPR(H1608,I1608,J1608)))</f>
        <v/>
      </c>
      <c r="L1608" s="30" t="str">
        <f>IF(H1608="","",IF($C$30="상세법",FPV(H1608,K1608),IF(H1608="EI",4,IF(H1608="EO",5.2,IF(H1608="EQ",3.9,IF(H1608="ILF",7.5,IF(H1608="EIF",5.4)))))))</f>
        <v/>
      </c>
      <c r="M1608" s="30" t="str">
        <f t="shared" si="170"/>
        <v/>
      </c>
      <c r="N1608" s="134"/>
      <c r="O1608" s="29"/>
      <c r="P1608" s="37" t="str">
        <f t="shared" si="171"/>
        <v/>
      </c>
      <c r="Q1608" s="38" t="str">
        <f t="shared" si="172"/>
        <v/>
      </c>
      <c r="R1608" s="37" t="str">
        <f t="shared" si="173"/>
        <v/>
      </c>
      <c r="S1608" s="37" t="str">
        <f t="shared" si="174"/>
        <v/>
      </c>
      <c r="T1608" s="38" t="str">
        <f t="shared" si="175"/>
        <v/>
      </c>
      <c r="U1608" s="37" t="str">
        <f t="shared" si="176"/>
        <v/>
      </c>
    </row>
    <row r="1609" spans="2:21" ht="17.25">
      <c r="B1609" s="156"/>
      <c r="C1609" s="156"/>
      <c r="D1609" s="157"/>
      <c r="E1609" s="155"/>
      <c r="F1609" s="151"/>
      <c r="G1609" s="152"/>
      <c r="H1609" s="153"/>
      <c r="I1609" s="154"/>
      <c r="J1609" s="154"/>
      <c r="K1609" s="30" t="str">
        <f>IF(H1609="","",IF($C$30="간이법","",FPR(H1609,I1609,J1609)))</f>
        <v/>
      </c>
      <c r="L1609" s="30" t="str">
        <f>IF(H1609="","",IF($C$30="상세법",FPV(H1609,K1609),IF(H1609="EI",4,IF(H1609="EO",5.2,IF(H1609="EQ",3.9,IF(H1609="ILF",7.5,IF(H1609="EIF",5.4)))))))</f>
        <v/>
      </c>
      <c r="M1609" s="30" t="str">
        <f t="shared" si="170"/>
        <v/>
      </c>
      <c r="N1609" s="134"/>
      <c r="O1609" s="29"/>
      <c r="P1609" s="37" t="str">
        <f t="shared" si="171"/>
        <v/>
      </c>
      <c r="Q1609" s="38" t="str">
        <f t="shared" si="172"/>
        <v/>
      </c>
      <c r="R1609" s="37" t="str">
        <f t="shared" si="173"/>
        <v/>
      </c>
      <c r="S1609" s="37" t="str">
        <f t="shared" si="174"/>
        <v/>
      </c>
      <c r="T1609" s="38" t="str">
        <f t="shared" si="175"/>
        <v/>
      </c>
      <c r="U1609" s="37" t="str">
        <f t="shared" si="176"/>
        <v/>
      </c>
    </row>
    <row r="1610" spans="2:21" ht="17.25">
      <c r="B1610" s="156"/>
      <c r="C1610" s="156"/>
      <c r="D1610" s="157"/>
      <c r="E1610" s="155"/>
      <c r="F1610" s="151"/>
      <c r="G1610" s="152"/>
      <c r="H1610" s="153"/>
      <c r="I1610" s="154"/>
      <c r="J1610" s="154"/>
      <c r="K1610" s="30" t="str">
        <f>IF(H1610="","",IF($C$30="간이법","",FPR(H1610,I1610,J1610)))</f>
        <v/>
      </c>
      <c r="L1610" s="30" t="str">
        <f>IF(H1610="","",IF($C$30="상세법",FPV(H1610,K1610),IF(H1610="EI",4,IF(H1610="EO",5.2,IF(H1610="EQ",3.9,IF(H1610="ILF",7.5,IF(H1610="EIF",5.4)))))))</f>
        <v/>
      </c>
      <c r="M1610" s="30" t="str">
        <f t="shared" si="170"/>
        <v/>
      </c>
      <c r="N1610" s="134"/>
      <c r="O1610" s="29"/>
      <c r="P1610" s="37" t="str">
        <f t="shared" si="171"/>
        <v/>
      </c>
      <c r="Q1610" s="38" t="str">
        <f t="shared" si="172"/>
        <v/>
      </c>
      <c r="R1610" s="37" t="str">
        <f t="shared" si="173"/>
        <v/>
      </c>
      <c r="S1610" s="37" t="str">
        <f t="shared" si="174"/>
        <v/>
      </c>
      <c r="T1610" s="38" t="str">
        <f t="shared" si="175"/>
        <v/>
      </c>
      <c r="U1610" s="37" t="str">
        <f t="shared" si="176"/>
        <v/>
      </c>
    </row>
    <row r="1611" spans="2:21" ht="17.25">
      <c r="B1611" s="156"/>
      <c r="C1611" s="156"/>
      <c r="D1611" s="157"/>
      <c r="E1611" s="155"/>
      <c r="F1611" s="151"/>
      <c r="G1611" s="152"/>
      <c r="H1611" s="153"/>
      <c r="I1611" s="154"/>
      <c r="J1611" s="154"/>
      <c r="K1611" s="30" t="str">
        <f>IF(H1611="","",IF($C$30="간이법","",FPR(H1611,I1611,J1611)))</f>
        <v/>
      </c>
      <c r="L1611" s="30" t="str">
        <f>IF(H1611="","",IF($C$30="상세법",FPV(H1611,K1611),IF(H1611="EI",4,IF(H1611="EO",5.2,IF(H1611="EQ",3.9,IF(H1611="ILF",7.5,IF(H1611="EIF",5.4)))))))</f>
        <v/>
      </c>
      <c r="M1611" s="30" t="str">
        <f t="shared" si="170"/>
        <v/>
      </c>
      <c r="N1611" s="134"/>
      <c r="O1611" s="29"/>
      <c r="P1611" s="37" t="str">
        <f t="shared" si="171"/>
        <v/>
      </c>
      <c r="Q1611" s="38" t="str">
        <f t="shared" si="172"/>
        <v/>
      </c>
      <c r="R1611" s="37" t="str">
        <f t="shared" si="173"/>
        <v/>
      </c>
      <c r="S1611" s="37" t="str">
        <f t="shared" si="174"/>
        <v/>
      </c>
      <c r="T1611" s="38" t="str">
        <f t="shared" si="175"/>
        <v/>
      </c>
      <c r="U1611" s="37" t="str">
        <f t="shared" si="176"/>
        <v/>
      </c>
    </row>
    <row r="1612" spans="2:21" ht="17.25">
      <c r="B1612" s="156"/>
      <c r="C1612" s="156"/>
      <c r="D1612" s="157"/>
      <c r="E1612" s="155"/>
      <c r="F1612" s="151"/>
      <c r="G1612" s="152"/>
      <c r="H1612" s="153"/>
      <c r="I1612" s="154"/>
      <c r="J1612" s="154"/>
      <c r="K1612" s="30" t="str">
        <f>IF(H1612="","",IF($C$30="간이법","",FPR(H1612,I1612,J1612)))</f>
        <v/>
      </c>
      <c r="L1612" s="30" t="str">
        <f>IF(H1612="","",IF($C$30="상세법",FPV(H1612,K1612),IF(H1612="EI",4,IF(H1612="EO",5.2,IF(H1612="EQ",3.9,IF(H1612="ILF",7.5,IF(H1612="EIF",5.4)))))))</f>
        <v/>
      </c>
      <c r="M1612" s="30" t="str">
        <f t="shared" si="170"/>
        <v/>
      </c>
      <c r="N1612" s="134"/>
      <c r="O1612" s="29"/>
      <c r="P1612" s="37" t="str">
        <f t="shared" si="171"/>
        <v/>
      </c>
      <c r="Q1612" s="38" t="str">
        <f t="shared" si="172"/>
        <v/>
      </c>
      <c r="R1612" s="37" t="str">
        <f t="shared" si="173"/>
        <v/>
      </c>
      <c r="S1612" s="37" t="str">
        <f t="shared" si="174"/>
        <v/>
      </c>
      <c r="T1612" s="38" t="str">
        <f t="shared" si="175"/>
        <v/>
      </c>
      <c r="U1612" s="37" t="str">
        <f t="shared" si="176"/>
        <v/>
      </c>
    </row>
    <row r="1613" spans="2:21" ht="17.25">
      <c r="B1613" s="156"/>
      <c r="C1613" s="156"/>
      <c r="D1613" s="157"/>
      <c r="E1613" s="155"/>
      <c r="F1613" s="151"/>
      <c r="G1613" s="152"/>
      <c r="H1613" s="153"/>
      <c r="I1613" s="154"/>
      <c r="J1613" s="154"/>
      <c r="K1613" s="30" t="str">
        <f>IF(H1613="","",IF($C$30="간이법","",FPR(H1613,I1613,J1613)))</f>
        <v/>
      </c>
      <c r="L1613" s="30" t="str">
        <f>IF(H1613="","",IF($C$30="상세법",FPV(H1613,K1613),IF(H1613="EI",4,IF(H1613="EO",5.2,IF(H1613="EQ",3.9,IF(H1613="ILF",7.5,IF(H1613="EIF",5.4)))))))</f>
        <v/>
      </c>
      <c r="M1613" s="30" t="str">
        <f t="shared" si="170"/>
        <v/>
      </c>
      <c r="N1613" s="134"/>
      <c r="O1613" s="29"/>
      <c r="P1613" s="37" t="str">
        <f t="shared" si="171"/>
        <v/>
      </c>
      <c r="Q1613" s="38" t="str">
        <f t="shared" si="172"/>
        <v/>
      </c>
      <c r="R1613" s="37" t="str">
        <f t="shared" si="173"/>
        <v/>
      </c>
      <c r="S1613" s="37" t="str">
        <f t="shared" si="174"/>
        <v/>
      </c>
      <c r="T1613" s="38" t="str">
        <f t="shared" si="175"/>
        <v/>
      </c>
      <c r="U1613" s="37" t="str">
        <f t="shared" si="176"/>
        <v/>
      </c>
    </row>
    <row r="1614" spans="2:21" ht="17.25">
      <c r="B1614" s="156"/>
      <c r="C1614" s="156"/>
      <c r="D1614" s="157"/>
      <c r="E1614" s="155"/>
      <c r="F1614" s="151"/>
      <c r="G1614" s="152"/>
      <c r="H1614" s="153"/>
      <c r="I1614" s="154"/>
      <c r="J1614" s="154"/>
      <c r="K1614" s="30" t="str">
        <f>IF(H1614="","",IF($C$30="간이법","",FPR(H1614,I1614,J1614)))</f>
        <v/>
      </c>
      <c r="L1614" s="30" t="str">
        <f>IF(H1614="","",IF($C$30="상세법",FPV(H1614,K1614),IF(H1614="EI",4,IF(H1614="EO",5.2,IF(H1614="EQ",3.9,IF(H1614="ILF",7.5,IF(H1614="EIF",5.4)))))))</f>
        <v/>
      </c>
      <c r="M1614" s="30" t="str">
        <f t="shared" si="170"/>
        <v/>
      </c>
      <c r="N1614" s="134"/>
      <c r="O1614" s="29"/>
      <c r="P1614" s="37" t="str">
        <f t="shared" si="171"/>
        <v/>
      </c>
      <c r="Q1614" s="38" t="str">
        <f t="shared" si="172"/>
        <v/>
      </c>
      <c r="R1614" s="37" t="str">
        <f t="shared" si="173"/>
        <v/>
      </c>
      <c r="S1614" s="37" t="str">
        <f t="shared" si="174"/>
        <v/>
      </c>
      <c r="T1614" s="38" t="str">
        <f t="shared" si="175"/>
        <v/>
      </c>
      <c r="U1614" s="37" t="str">
        <f t="shared" si="176"/>
        <v/>
      </c>
    </row>
    <row r="1615" spans="2:21" ht="17.25">
      <c r="B1615" s="156"/>
      <c r="C1615" s="156"/>
      <c r="D1615" s="157"/>
      <c r="E1615" s="155"/>
      <c r="F1615" s="151"/>
      <c r="G1615" s="152"/>
      <c r="H1615" s="153"/>
      <c r="I1615" s="154"/>
      <c r="J1615" s="154"/>
      <c r="K1615" s="30" t="str">
        <f>IF(H1615="","",IF($C$30="간이법","",FPR(H1615,I1615,J1615)))</f>
        <v/>
      </c>
      <c r="L1615" s="30" t="str">
        <f>IF(H1615="","",IF($C$30="상세법",FPV(H1615,K1615),IF(H1615="EI",4,IF(H1615="EO",5.2,IF(H1615="EQ",3.9,IF(H1615="ILF",7.5,IF(H1615="EIF",5.4)))))))</f>
        <v/>
      </c>
      <c r="M1615" s="30" t="str">
        <f t="shared" si="170"/>
        <v/>
      </c>
      <c r="N1615" s="134"/>
      <c r="O1615" s="29"/>
      <c r="P1615" s="37" t="str">
        <f t="shared" si="171"/>
        <v/>
      </c>
      <c r="Q1615" s="38" t="str">
        <f t="shared" si="172"/>
        <v/>
      </c>
      <c r="R1615" s="37" t="str">
        <f t="shared" si="173"/>
        <v/>
      </c>
      <c r="S1615" s="37" t="str">
        <f t="shared" si="174"/>
        <v/>
      </c>
      <c r="T1615" s="38" t="str">
        <f t="shared" si="175"/>
        <v/>
      </c>
      <c r="U1615" s="37" t="str">
        <f t="shared" si="176"/>
        <v/>
      </c>
    </row>
    <row r="1616" spans="2:21" ht="17.25">
      <c r="B1616" s="156"/>
      <c r="C1616" s="156"/>
      <c r="D1616" s="157"/>
      <c r="E1616" s="155"/>
      <c r="F1616" s="151"/>
      <c r="G1616" s="152"/>
      <c r="H1616" s="153"/>
      <c r="I1616" s="154"/>
      <c r="J1616" s="154"/>
      <c r="K1616" s="30" t="str">
        <f>IF(H1616="","",IF($C$30="간이법","",FPR(H1616,I1616,J1616)))</f>
        <v/>
      </c>
      <c r="L1616" s="30" t="str">
        <f>IF(H1616="","",IF($C$30="상세법",FPV(H1616,K1616),IF(H1616="EI",4,IF(H1616="EO",5.2,IF(H1616="EQ",3.9,IF(H1616="ILF",7.5,IF(H1616="EIF",5.4)))))))</f>
        <v/>
      </c>
      <c r="M1616" s="30" t="str">
        <f t="shared" si="170"/>
        <v/>
      </c>
      <c r="N1616" s="134"/>
      <c r="O1616" s="29"/>
      <c r="P1616" s="37" t="str">
        <f t="shared" si="171"/>
        <v/>
      </c>
      <c r="Q1616" s="38" t="str">
        <f t="shared" si="172"/>
        <v/>
      </c>
      <c r="R1616" s="37" t="str">
        <f t="shared" si="173"/>
        <v/>
      </c>
      <c r="S1616" s="37" t="str">
        <f t="shared" si="174"/>
        <v/>
      </c>
      <c r="T1616" s="38" t="str">
        <f t="shared" si="175"/>
        <v/>
      </c>
      <c r="U1616" s="37" t="str">
        <f t="shared" si="176"/>
        <v/>
      </c>
    </row>
    <row r="1617" spans="2:21" ht="17.25">
      <c r="B1617" s="156"/>
      <c r="C1617" s="156"/>
      <c r="D1617" s="157"/>
      <c r="E1617" s="155"/>
      <c r="F1617" s="151"/>
      <c r="G1617" s="152"/>
      <c r="H1617" s="153"/>
      <c r="I1617" s="154"/>
      <c r="J1617" s="154"/>
      <c r="K1617" s="30" t="str">
        <f>IF(H1617="","",IF($C$30="간이법","",FPR(H1617,I1617,J1617)))</f>
        <v/>
      </c>
      <c r="L1617" s="30" t="str">
        <f>IF(H1617="","",IF($C$30="상세법",FPV(H1617,K1617),IF(H1617="EI",4,IF(H1617="EO",5.2,IF(H1617="EQ",3.9,IF(H1617="ILF",7.5,IF(H1617="EIF",5.4)))))))</f>
        <v/>
      </c>
      <c r="M1617" s="30" t="str">
        <f t="shared" si="170"/>
        <v/>
      </c>
      <c r="N1617" s="134"/>
      <c r="O1617" s="29"/>
      <c r="P1617" s="37" t="str">
        <f t="shared" si="171"/>
        <v/>
      </c>
      <c r="Q1617" s="38" t="str">
        <f t="shared" si="172"/>
        <v/>
      </c>
      <c r="R1617" s="37" t="str">
        <f t="shared" si="173"/>
        <v/>
      </c>
      <c r="S1617" s="37" t="str">
        <f t="shared" si="174"/>
        <v/>
      </c>
      <c r="T1617" s="38" t="str">
        <f t="shared" si="175"/>
        <v/>
      </c>
      <c r="U1617" s="37" t="str">
        <f t="shared" si="176"/>
        <v/>
      </c>
    </row>
    <row r="1618" spans="2:21" ht="17.25">
      <c r="B1618" s="156"/>
      <c r="C1618" s="156"/>
      <c r="D1618" s="157"/>
      <c r="E1618" s="155"/>
      <c r="F1618" s="151"/>
      <c r="G1618" s="152"/>
      <c r="H1618" s="153"/>
      <c r="I1618" s="154"/>
      <c r="J1618" s="154"/>
      <c r="K1618" s="30" t="str">
        <f>IF(H1618="","",IF($C$30="간이법","",FPR(H1618,I1618,J1618)))</f>
        <v/>
      </c>
      <c r="L1618" s="30" t="str">
        <f>IF(H1618="","",IF($C$30="상세법",FPV(H1618,K1618),IF(H1618="EI",4,IF(H1618="EO",5.2,IF(H1618="EQ",3.9,IF(H1618="ILF",7.5,IF(H1618="EIF",5.4)))))))</f>
        <v/>
      </c>
      <c r="M1618" s="30" t="str">
        <f t="shared" si="170"/>
        <v/>
      </c>
      <c r="N1618" s="134"/>
      <c r="O1618" s="29"/>
      <c r="P1618" s="37" t="str">
        <f t="shared" si="171"/>
        <v/>
      </c>
      <c r="Q1618" s="38" t="str">
        <f t="shared" si="172"/>
        <v/>
      </c>
      <c r="R1618" s="37" t="str">
        <f t="shared" si="173"/>
        <v/>
      </c>
      <c r="S1618" s="37" t="str">
        <f t="shared" si="174"/>
        <v/>
      </c>
      <c r="T1618" s="38" t="str">
        <f t="shared" si="175"/>
        <v/>
      </c>
      <c r="U1618" s="37" t="str">
        <f t="shared" si="176"/>
        <v/>
      </c>
    </row>
    <row r="1619" spans="2:21" ht="17.25">
      <c r="B1619" s="156"/>
      <c r="C1619" s="156"/>
      <c r="D1619" s="157"/>
      <c r="E1619" s="155"/>
      <c r="F1619" s="151"/>
      <c r="G1619" s="152"/>
      <c r="H1619" s="153"/>
      <c r="I1619" s="154"/>
      <c r="J1619" s="154"/>
      <c r="K1619" s="30" t="str">
        <f>IF(H1619="","",IF($C$30="간이법","",FPR(H1619,I1619,J1619)))</f>
        <v/>
      </c>
      <c r="L1619" s="30" t="str">
        <f>IF(H1619="","",IF($C$30="상세법",FPV(H1619,K1619),IF(H1619="EI",4,IF(H1619="EO",5.2,IF(H1619="EQ",3.9,IF(H1619="ILF",7.5,IF(H1619="EIF",5.4)))))))</f>
        <v/>
      </c>
      <c r="M1619" s="30" t="str">
        <f t="shared" si="170"/>
        <v/>
      </c>
      <c r="N1619" s="134"/>
      <c r="O1619" s="29"/>
      <c r="P1619" s="37" t="str">
        <f t="shared" si="171"/>
        <v/>
      </c>
      <c r="Q1619" s="38" t="str">
        <f t="shared" si="172"/>
        <v/>
      </c>
      <c r="R1619" s="37" t="str">
        <f t="shared" si="173"/>
        <v/>
      </c>
      <c r="S1619" s="37" t="str">
        <f t="shared" si="174"/>
        <v/>
      </c>
      <c r="T1619" s="38" t="str">
        <f t="shared" si="175"/>
        <v/>
      </c>
      <c r="U1619" s="37" t="str">
        <f t="shared" si="176"/>
        <v/>
      </c>
    </row>
    <row r="1620" spans="2:21" ht="17.25">
      <c r="B1620" s="156"/>
      <c r="C1620" s="156"/>
      <c r="D1620" s="157"/>
      <c r="E1620" s="155"/>
      <c r="F1620" s="151"/>
      <c r="G1620" s="152"/>
      <c r="H1620" s="153"/>
      <c r="I1620" s="154"/>
      <c r="J1620" s="154"/>
      <c r="K1620" s="30" t="str">
        <f>IF(H1620="","",IF($C$30="간이법","",FPR(H1620,I1620,J1620)))</f>
        <v/>
      </c>
      <c r="L1620" s="30" t="str">
        <f>IF(H1620="","",IF($C$30="상세법",FPV(H1620,K1620),IF(H1620="EI",4,IF(H1620="EO",5.2,IF(H1620="EQ",3.9,IF(H1620="ILF",7.5,IF(H1620="EIF",5.4)))))))</f>
        <v/>
      </c>
      <c r="M1620" s="30" t="str">
        <f t="shared" si="170"/>
        <v/>
      </c>
      <c r="N1620" s="134"/>
      <c r="O1620" s="29"/>
      <c r="P1620" s="37" t="str">
        <f t="shared" si="171"/>
        <v/>
      </c>
      <c r="Q1620" s="38" t="str">
        <f t="shared" si="172"/>
        <v/>
      </c>
      <c r="R1620" s="37" t="str">
        <f t="shared" si="173"/>
        <v/>
      </c>
      <c r="S1620" s="37" t="str">
        <f t="shared" si="174"/>
        <v/>
      </c>
      <c r="T1620" s="38" t="str">
        <f t="shared" si="175"/>
        <v/>
      </c>
      <c r="U1620" s="37" t="str">
        <f t="shared" si="176"/>
        <v/>
      </c>
    </row>
    <row r="1621" spans="2:21" ht="17.25">
      <c r="B1621" s="156"/>
      <c r="C1621" s="156"/>
      <c r="D1621" s="157"/>
      <c r="E1621" s="155"/>
      <c r="F1621" s="151"/>
      <c r="G1621" s="152"/>
      <c r="H1621" s="153"/>
      <c r="I1621" s="154"/>
      <c r="J1621" s="154"/>
      <c r="K1621" s="30" t="str">
        <f>IF(H1621="","",IF($C$30="간이법","",FPR(H1621,I1621,J1621)))</f>
        <v/>
      </c>
      <c r="L1621" s="30" t="str">
        <f>IF(H1621="","",IF($C$30="상세법",FPV(H1621,K1621),IF(H1621="EI",4,IF(H1621="EO",5.2,IF(H1621="EQ",3.9,IF(H1621="ILF",7.5,IF(H1621="EIF",5.4)))))))</f>
        <v/>
      </c>
      <c r="M1621" s="30" t="str">
        <f t="shared" si="170"/>
        <v/>
      </c>
      <c r="N1621" s="134"/>
      <c r="O1621" s="29"/>
      <c r="P1621" s="37" t="str">
        <f t="shared" si="171"/>
        <v/>
      </c>
      <c r="Q1621" s="38" t="str">
        <f t="shared" si="172"/>
        <v/>
      </c>
      <c r="R1621" s="37" t="str">
        <f t="shared" si="173"/>
        <v/>
      </c>
      <c r="S1621" s="37" t="str">
        <f t="shared" si="174"/>
        <v/>
      </c>
      <c r="T1621" s="38" t="str">
        <f t="shared" si="175"/>
        <v/>
      </c>
      <c r="U1621" s="37" t="str">
        <f t="shared" si="176"/>
        <v/>
      </c>
    </row>
    <row r="1622" spans="2:21" ht="17.25">
      <c r="B1622" s="156"/>
      <c r="C1622" s="156"/>
      <c r="D1622" s="157"/>
      <c r="E1622" s="155"/>
      <c r="F1622" s="151"/>
      <c r="G1622" s="152"/>
      <c r="H1622" s="153"/>
      <c r="I1622" s="154"/>
      <c r="J1622" s="154"/>
      <c r="K1622" s="30" t="str">
        <f>IF(H1622="","",IF($C$30="간이법","",FPR(H1622,I1622,J1622)))</f>
        <v/>
      </c>
      <c r="L1622" s="30" t="str">
        <f>IF(H1622="","",IF($C$30="상세법",FPV(H1622,K1622),IF(H1622="EI",4,IF(H1622="EO",5.2,IF(H1622="EQ",3.9,IF(H1622="ILF",7.5,IF(H1622="EIF",5.4)))))))</f>
        <v/>
      </c>
      <c r="M1622" s="30" t="str">
        <f t="shared" si="170"/>
        <v/>
      </c>
      <c r="N1622" s="134"/>
      <c r="O1622" s="29"/>
      <c r="P1622" s="37" t="str">
        <f t="shared" si="171"/>
        <v/>
      </c>
      <c r="Q1622" s="38" t="str">
        <f t="shared" si="172"/>
        <v/>
      </c>
      <c r="R1622" s="37" t="str">
        <f t="shared" si="173"/>
        <v/>
      </c>
      <c r="S1622" s="37" t="str">
        <f t="shared" si="174"/>
        <v/>
      </c>
      <c r="T1622" s="38" t="str">
        <f t="shared" si="175"/>
        <v/>
      </c>
      <c r="U1622" s="37" t="str">
        <f t="shared" si="176"/>
        <v/>
      </c>
    </row>
    <row r="1623" spans="2:21" ht="17.25">
      <c r="B1623" s="156"/>
      <c r="C1623" s="156"/>
      <c r="D1623" s="157"/>
      <c r="E1623" s="155"/>
      <c r="F1623" s="151"/>
      <c r="G1623" s="152"/>
      <c r="H1623" s="153"/>
      <c r="I1623" s="154"/>
      <c r="J1623" s="154"/>
      <c r="K1623" s="30" t="str">
        <f>IF(H1623="","",IF($C$30="간이법","",FPR(H1623,I1623,J1623)))</f>
        <v/>
      </c>
      <c r="L1623" s="30" t="str">
        <f>IF(H1623="","",IF($C$30="상세법",FPV(H1623,K1623),IF(H1623="EI",4,IF(H1623="EO",5.2,IF(H1623="EQ",3.9,IF(H1623="ILF",7.5,IF(H1623="EIF",5.4)))))))</f>
        <v/>
      </c>
      <c r="M1623" s="30" t="str">
        <f t="shared" si="170"/>
        <v/>
      </c>
      <c r="N1623" s="134"/>
      <c r="O1623" s="29"/>
      <c r="P1623" s="37" t="str">
        <f t="shared" si="171"/>
        <v/>
      </c>
      <c r="Q1623" s="38" t="str">
        <f t="shared" si="172"/>
        <v/>
      </c>
      <c r="R1623" s="37" t="str">
        <f t="shared" si="173"/>
        <v/>
      </c>
      <c r="S1623" s="37" t="str">
        <f t="shared" si="174"/>
        <v/>
      </c>
      <c r="T1623" s="38" t="str">
        <f t="shared" si="175"/>
        <v/>
      </c>
      <c r="U1623" s="37" t="str">
        <f t="shared" si="176"/>
        <v/>
      </c>
    </row>
    <row r="1624" spans="2:21" ht="17.25">
      <c r="B1624" s="156"/>
      <c r="C1624" s="156"/>
      <c r="D1624" s="157"/>
      <c r="E1624" s="155"/>
      <c r="F1624" s="151"/>
      <c r="G1624" s="152"/>
      <c r="H1624" s="153"/>
      <c r="I1624" s="154"/>
      <c r="J1624" s="154"/>
      <c r="K1624" s="30" t="str">
        <f>IF(H1624="","",IF($C$30="간이법","",FPR(H1624,I1624,J1624)))</f>
        <v/>
      </c>
      <c r="L1624" s="30" t="str">
        <f>IF(H1624="","",IF($C$30="상세법",FPV(H1624,K1624),IF(H1624="EI",4,IF(H1624="EO",5.2,IF(H1624="EQ",3.9,IF(H1624="ILF",7.5,IF(H1624="EIF",5.4)))))))</f>
        <v/>
      </c>
      <c r="M1624" s="30" t="str">
        <f t="shared" si="170"/>
        <v/>
      </c>
      <c r="N1624" s="134"/>
      <c r="O1624" s="29"/>
      <c r="P1624" s="37" t="str">
        <f t="shared" si="171"/>
        <v/>
      </c>
      <c r="Q1624" s="38" t="str">
        <f t="shared" si="172"/>
        <v/>
      </c>
      <c r="R1624" s="37" t="str">
        <f t="shared" si="173"/>
        <v/>
      </c>
      <c r="S1624" s="37" t="str">
        <f t="shared" si="174"/>
        <v/>
      </c>
      <c r="T1624" s="38" t="str">
        <f t="shared" si="175"/>
        <v/>
      </c>
      <c r="U1624" s="37" t="str">
        <f t="shared" si="176"/>
        <v/>
      </c>
    </row>
    <row r="1625" spans="2:21" ht="17.25">
      <c r="B1625" s="156"/>
      <c r="C1625" s="156"/>
      <c r="D1625" s="157"/>
      <c r="E1625" s="155"/>
      <c r="F1625" s="151"/>
      <c r="G1625" s="152"/>
      <c r="H1625" s="153"/>
      <c r="I1625" s="154"/>
      <c r="J1625" s="154"/>
      <c r="K1625" s="30" t="str">
        <f>IF(H1625="","",IF($C$30="간이법","",FPR(H1625,I1625,J1625)))</f>
        <v/>
      </c>
      <c r="L1625" s="30" t="str">
        <f>IF(H1625="","",IF($C$30="상세법",FPV(H1625,K1625),IF(H1625="EI",4,IF(H1625="EO",5.2,IF(H1625="EQ",3.9,IF(H1625="ILF",7.5,IF(H1625="EIF",5.4)))))))</f>
        <v/>
      </c>
      <c r="M1625" s="30" t="str">
        <f t="shared" si="170"/>
        <v/>
      </c>
      <c r="N1625" s="134"/>
      <c r="O1625" s="29"/>
      <c r="P1625" s="37" t="str">
        <f t="shared" si="171"/>
        <v/>
      </c>
      <c r="Q1625" s="38" t="str">
        <f t="shared" si="172"/>
        <v/>
      </c>
      <c r="R1625" s="37" t="str">
        <f t="shared" si="173"/>
        <v/>
      </c>
      <c r="S1625" s="37" t="str">
        <f t="shared" si="174"/>
        <v/>
      </c>
      <c r="T1625" s="38" t="str">
        <f t="shared" si="175"/>
        <v/>
      </c>
      <c r="U1625" s="37" t="str">
        <f t="shared" si="176"/>
        <v/>
      </c>
    </row>
    <row r="1626" spans="2:21" ht="17.25">
      <c r="B1626" s="156"/>
      <c r="C1626" s="156"/>
      <c r="D1626" s="157"/>
      <c r="E1626" s="155"/>
      <c r="F1626" s="151"/>
      <c r="G1626" s="152"/>
      <c r="H1626" s="153"/>
      <c r="I1626" s="154"/>
      <c r="J1626" s="154"/>
      <c r="K1626" s="30" t="str">
        <f>IF(H1626="","",IF($C$30="간이법","",FPR(H1626,I1626,J1626)))</f>
        <v/>
      </c>
      <c r="L1626" s="30" t="str">
        <f>IF(H1626="","",IF($C$30="상세법",FPV(H1626,K1626),IF(H1626="EI",4,IF(H1626="EO",5.2,IF(H1626="EQ",3.9,IF(H1626="ILF",7.5,IF(H1626="EIF",5.4)))))))</f>
        <v/>
      </c>
      <c r="M1626" s="30" t="str">
        <f t="shared" si="170"/>
        <v/>
      </c>
      <c r="N1626" s="134"/>
      <c r="O1626" s="29"/>
      <c r="P1626" s="37" t="str">
        <f t="shared" si="171"/>
        <v/>
      </c>
      <c r="Q1626" s="38" t="str">
        <f t="shared" si="172"/>
        <v/>
      </c>
      <c r="R1626" s="37" t="str">
        <f t="shared" si="173"/>
        <v/>
      </c>
      <c r="S1626" s="37" t="str">
        <f t="shared" si="174"/>
        <v/>
      </c>
      <c r="T1626" s="38" t="str">
        <f t="shared" si="175"/>
        <v/>
      </c>
      <c r="U1626" s="37" t="str">
        <f t="shared" si="176"/>
        <v/>
      </c>
    </row>
    <row r="1627" spans="2:21" ht="17.25">
      <c r="B1627" s="156"/>
      <c r="C1627" s="156"/>
      <c r="D1627" s="157"/>
      <c r="E1627" s="155"/>
      <c r="F1627" s="151"/>
      <c r="G1627" s="152"/>
      <c r="H1627" s="153"/>
      <c r="I1627" s="154"/>
      <c r="J1627" s="154"/>
      <c r="K1627" s="30" t="str">
        <f>IF(H1627="","",IF($C$30="간이법","",FPR(H1627,I1627,J1627)))</f>
        <v/>
      </c>
      <c r="L1627" s="30" t="str">
        <f>IF(H1627="","",IF($C$30="상세법",FPV(H1627,K1627),IF(H1627="EI",4,IF(H1627="EO",5.2,IF(H1627="EQ",3.9,IF(H1627="ILF",7.5,IF(H1627="EIF",5.4)))))))</f>
        <v/>
      </c>
      <c r="M1627" s="30" t="str">
        <f t="shared" si="170"/>
        <v/>
      </c>
      <c r="N1627" s="134"/>
      <c r="O1627" s="29"/>
      <c r="P1627" s="37" t="str">
        <f t="shared" si="171"/>
        <v/>
      </c>
      <c r="Q1627" s="38" t="str">
        <f t="shared" si="172"/>
        <v/>
      </c>
      <c r="R1627" s="37" t="str">
        <f t="shared" si="173"/>
        <v/>
      </c>
      <c r="S1627" s="37" t="str">
        <f t="shared" si="174"/>
        <v/>
      </c>
      <c r="T1627" s="38" t="str">
        <f t="shared" si="175"/>
        <v/>
      </c>
      <c r="U1627" s="37" t="str">
        <f t="shared" si="176"/>
        <v/>
      </c>
    </row>
    <row r="1628" spans="2:21" ht="17.25">
      <c r="B1628" s="156"/>
      <c r="C1628" s="156"/>
      <c r="D1628" s="157"/>
      <c r="E1628" s="155"/>
      <c r="F1628" s="151"/>
      <c r="G1628" s="152"/>
      <c r="H1628" s="153"/>
      <c r="I1628" s="154"/>
      <c r="J1628" s="154"/>
      <c r="K1628" s="30" t="str">
        <f>IF(H1628="","",IF($C$30="간이법","",FPR(H1628,I1628,J1628)))</f>
        <v/>
      </c>
      <c r="L1628" s="30" t="str">
        <f>IF(H1628="","",IF($C$30="상세법",FPV(H1628,K1628),IF(H1628="EI",4,IF(H1628="EO",5.2,IF(H1628="EQ",3.9,IF(H1628="ILF",7.5,IF(H1628="EIF",5.4)))))))</f>
        <v/>
      </c>
      <c r="M1628" s="30" t="str">
        <f t="shared" si="170"/>
        <v/>
      </c>
      <c r="N1628" s="134"/>
      <c r="O1628" s="29"/>
      <c r="P1628" s="37" t="str">
        <f t="shared" si="171"/>
        <v/>
      </c>
      <c r="Q1628" s="38" t="str">
        <f t="shared" si="172"/>
        <v/>
      </c>
      <c r="R1628" s="37" t="str">
        <f t="shared" si="173"/>
        <v/>
      </c>
      <c r="S1628" s="37" t="str">
        <f t="shared" si="174"/>
        <v/>
      </c>
      <c r="T1628" s="38" t="str">
        <f t="shared" si="175"/>
        <v/>
      </c>
      <c r="U1628" s="37" t="str">
        <f t="shared" si="176"/>
        <v/>
      </c>
    </row>
    <row r="1629" spans="2:21" ht="17.25">
      <c r="B1629" s="156"/>
      <c r="C1629" s="156"/>
      <c r="D1629" s="157"/>
      <c r="E1629" s="155"/>
      <c r="F1629" s="151"/>
      <c r="G1629" s="152"/>
      <c r="H1629" s="153"/>
      <c r="I1629" s="154"/>
      <c r="J1629" s="154"/>
      <c r="K1629" s="30" t="str">
        <f>IF(H1629="","",IF($C$30="간이법","",FPR(H1629,I1629,J1629)))</f>
        <v/>
      </c>
      <c r="L1629" s="30" t="str">
        <f>IF(H1629="","",IF($C$30="상세법",FPV(H1629,K1629),IF(H1629="EI",4,IF(H1629="EO",5.2,IF(H1629="EQ",3.9,IF(H1629="ILF",7.5,IF(H1629="EIF",5.4)))))))</f>
        <v/>
      </c>
      <c r="M1629" s="30" t="str">
        <f t="shared" si="170"/>
        <v/>
      </c>
      <c r="N1629" s="134"/>
      <c r="O1629" s="29"/>
      <c r="P1629" s="37" t="str">
        <f t="shared" si="171"/>
        <v/>
      </c>
      <c r="Q1629" s="38" t="str">
        <f t="shared" si="172"/>
        <v/>
      </c>
      <c r="R1629" s="37" t="str">
        <f t="shared" si="173"/>
        <v/>
      </c>
      <c r="S1629" s="37" t="str">
        <f t="shared" si="174"/>
        <v/>
      </c>
      <c r="T1629" s="38" t="str">
        <f t="shared" si="175"/>
        <v/>
      </c>
      <c r="U1629" s="37" t="str">
        <f t="shared" si="176"/>
        <v/>
      </c>
    </row>
    <row r="1630" spans="2:21" ht="17.25">
      <c r="B1630" s="156"/>
      <c r="C1630" s="156"/>
      <c r="D1630" s="157"/>
      <c r="E1630" s="155"/>
      <c r="F1630" s="151"/>
      <c r="G1630" s="152"/>
      <c r="H1630" s="153"/>
      <c r="I1630" s="154"/>
      <c r="J1630" s="154"/>
      <c r="K1630" s="30" t="str">
        <f>IF(H1630="","",IF($C$30="간이법","",FPR(H1630,I1630,J1630)))</f>
        <v/>
      </c>
      <c r="L1630" s="30" t="str">
        <f>IF(H1630="","",IF($C$30="상세법",FPV(H1630,K1630),IF(H1630="EI",4,IF(H1630="EO",5.2,IF(H1630="EQ",3.9,IF(H1630="ILF",7.5,IF(H1630="EIF",5.4)))))))</f>
        <v/>
      </c>
      <c r="M1630" s="30" t="str">
        <f t="shared" si="170"/>
        <v/>
      </c>
      <c r="N1630" s="134"/>
      <c r="O1630" s="29"/>
      <c r="P1630" s="37" t="str">
        <f t="shared" si="171"/>
        <v/>
      </c>
      <c r="Q1630" s="38" t="str">
        <f t="shared" si="172"/>
        <v/>
      </c>
      <c r="R1630" s="37" t="str">
        <f t="shared" si="173"/>
        <v/>
      </c>
      <c r="S1630" s="37" t="str">
        <f t="shared" si="174"/>
        <v/>
      </c>
      <c r="T1630" s="38" t="str">
        <f t="shared" si="175"/>
        <v/>
      </c>
      <c r="U1630" s="37" t="str">
        <f t="shared" si="176"/>
        <v/>
      </c>
    </row>
    <row r="1631" spans="2:21" ht="17.25">
      <c r="B1631" s="156"/>
      <c r="C1631" s="156"/>
      <c r="D1631" s="157"/>
      <c r="E1631" s="155"/>
      <c r="F1631" s="151"/>
      <c r="G1631" s="152"/>
      <c r="H1631" s="153"/>
      <c r="I1631" s="154"/>
      <c r="J1631" s="154"/>
      <c r="K1631" s="30" t="str">
        <f>IF(H1631="","",IF($C$30="간이법","",FPR(H1631,I1631,J1631)))</f>
        <v/>
      </c>
      <c r="L1631" s="30" t="str">
        <f>IF(H1631="","",IF($C$30="상세법",FPV(H1631,K1631),IF(H1631="EI",4,IF(H1631="EO",5.2,IF(H1631="EQ",3.9,IF(H1631="ILF",7.5,IF(H1631="EIF",5.4)))))))</f>
        <v/>
      </c>
      <c r="M1631" s="30" t="str">
        <f t="shared" si="170"/>
        <v/>
      </c>
      <c r="N1631" s="134"/>
      <c r="O1631" s="29"/>
      <c r="P1631" s="37" t="str">
        <f t="shared" si="171"/>
        <v/>
      </c>
      <c r="Q1631" s="38" t="str">
        <f t="shared" si="172"/>
        <v/>
      </c>
      <c r="R1631" s="37" t="str">
        <f t="shared" si="173"/>
        <v/>
      </c>
      <c r="S1631" s="37" t="str">
        <f t="shared" si="174"/>
        <v/>
      </c>
      <c r="T1631" s="38" t="str">
        <f t="shared" si="175"/>
        <v/>
      </c>
      <c r="U1631" s="37" t="str">
        <f t="shared" si="176"/>
        <v/>
      </c>
    </row>
    <row r="1632" spans="2:21" ht="17.25">
      <c r="B1632" s="156"/>
      <c r="C1632" s="156"/>
      <c r="D1632" s="157"/>
      <c r="E1632" s="155"/>
      <c r="F1632" s="151"/>
      <c r="G1632" s="152"/>
      <c r="H1632" s="153"/>
      <c r="I1632" s="154"/>
      <c r="J1632" s="154"/>
      <c r="K1632" s="30" t="str">
        <f>IF(H1632="","",IF($C$30="간이법","",FPR(H1632,I1632,J1632)))</f>
        <v/>
      </c>
      <c r="L1632" s="30" t="str">
        <f>IF(H1632="","",IF($C$30="상세법",FPV(H1632,K1632),IF(H1632="EI",4,IF(H1632="EO",5.2,IF(H1632="EQ",3.9,IF(H1632="ILF",7.5,IF(H1632="EIF",5.4)))))))</f>
        <v/>
      </c>
      <c r="M1632" s="30" t="str">
        <f t="shared" si="170"/>
        <v/>
      </c>
      <c r="N1632" s="134"/>
      <c r="O1632" s="29"/>
      <c r="P1632" s="37" t="str">
        <f t="shared" si="171"/>
        <v/>
      </c>
      <c r="Q1632" s="38" t="str">
        <f t="shared" si="172"/>
        <v/>
      </c>
      <c r="R1632" s="37" t="str">
        <f t="shared" si="173"/>
        <v/>
      </c>
      <c r="S1632" s="37" t="str">
        <f t="shared" si="174"/>
        <v/>
      </c>
      <c r="T1632" s="38" t="str">
        <f t="shared" si="175"/>
        <v/>
      </c>
      <c r="U1632" s="37" t="str">
        <f t="shared" si="176"/>
        <v/>
      </c>
    </row>
    <row r="1633" spans="2:21" ht="17.25">
      <c r="B1633" s="156"/>
      <c r="C1633" s="156"/>
      <c r="D1633" s="157"/>
      <c r="E1633" s="155"/>
      <c r="F1633" s="151"/>
      <c r="G1633" s="152"/>
      <c r="H1633" s="153"/>
      <c r="I1633" s="154"/>
      <c r="J1633" s="154"/>
      <c r="K1633" s="30" t="str">
        <f>IF(H1633="","",IF($C$30="간이법","",FPR(H1633,I1633,J1633)))</f>
        <v/>
      </c>
      <c r="L1633" s="30" t="str">
        <f>IF(H1633="","",IF($C$30="상세법",FPV(H1633,K1633),IF(H1633="EI",4,IF(H1633="EO",5.2,IF(H1633="EQ",3.9,IF(H1633="ILF",7.5,IF(H1633="EIF",5.4)))))))</f>
        <v/>
      </c>
      <c r="M1633" s="30" t="str">
        <f t="shared" si="170"/>
        <v/>
      </c>
      <c r="N1633" s="134"/>
      <c r="O1633" s="29"/>
      <c r="P1633" s="37" t="str">
        <f t="shared" si="171"/>
        <v/>
      </c>
      <c r="Q1633" s="38" t="str">
        <f t="shared" si="172"/>
        <v/>
      </c>
      <c r="R1633" s="37" t="str">
        <f t="shared" si="173"/>
        <v/>
      </c>
      <c r="S1633" s="37" t="str">
        <f t="shared" si="174"/>
        <v/>
      </c>
      <c r="T1633" s="38" t="str">
        <f t="shared" si="175"/>
        <v/>
      </c>
      <c r="U1633" s="37" t="str">
        <f t="shared" si="176"/>
        <v/>
      </c>
    </row>
    <row r="1634" spans="2:21" ht="17.25">
      <c r="B1634" s="156"/>
      <c r="C1634" s="156"/>
      <c r="D1634" s="157"/>
      <c r="E1634" s="155"/>
      <c r="F1634" s="151"/>
      <c r="G1634" s="152"/>
      <c r="H1634" s="153"/>
      <c r="I1634" s="154"/>
      <c r="J1634" s="154"/>
      <c r="K1634" s="30" t="str">
        <f>IF(H1634="","",IF($C$30="간이법","",FPR(H1634,I1634,J1634)))</f>
        <v/>
      </c>
      <c r="L1634" s="30" t="str">
        <f>IF(H1634="","",IF($C$30="상세법",FPV(H1634,K1634),IF(H1634="EI",4,IF(H1634="EO",5.2,IF(H1634="EQ",3.9,IF(H1634="ILF",7.5,IF(H1634="EIF",5.4)))))))</f>
        <v/>
      </c>
      <c r="M1634" s="30" t="str">
        <f t="shared" si="170"/>
        <v/>
      </c>
      <c r="N1634" s="134"/>
      <c r="O1634" s="29"/>
      <c r="P1634" s="37" t="str">
        <f t="shared" si="171"/>
        <v/>
      </c>
      <c r="Q1634" s="38" t="str">
        <f t="shared" si="172"/>
        <v/>
      </c>
      <c r="R1634" s="37" t="str">
        <f t="shared" si="173"/>
        <v/>
      </c>
      <c r="S1634" s="37" t="str">
        <f t="shared" si="174"/>
        <v/>
      </c>
      <c r="T1634" s="38" t="str">
        <f t="shared" si="175"/>
        <v/>
      </c>
      <c r="U1634" s="37" t="str">
        <f t="shared" si="176"/>
        <v/>
      </c>
    </row>
    <row r="1635" spans="2:21" ht="17.25">
      <c r="B1635" s="156"/>
      <c r="C1635" s="156"/>
      <c r="D1635" s="157"/>
      <c r="E1635" s="155"/>
      <c r="F1635" s="151"/>
      <c r="G1635" s="152"/>
      <c r="H1635" s="153"/>
      <c r="I1635" s="154"/>
      <c r="J1635" s="154"/>
      <c r="K1635" s="30" t="str">
        <f>IF(H1635="","",IF($C$30="간이법","",FPR(H1635,I1635,J1635)))</f>
        <v/>
      </c>
      <c r="L1635" s="30" t="str">
        <f>IF(H1635="","",IF($C$30="상세법",FPV(H1635,K1635),IF(H1635="EI",4,IF(H1635="EO",5.2,IF(H1635="EQ",3.9,IF(H1635="ILF",7.5,IF(H1635="EIF",5.4)))))))</f>
        <v/>
      </c>
      <c r="M1635" s="30" t="str">
        <f t="shared" si="170"/>
        <v/>
      </c>
      <c r="N1635" s="134"/>
      <c r="O1635" s="29"/>
      <c r="P1635" s="37" t="str">
        <f t="shared" si="171"/>
        <v/>
      </c>
      <c r="Q1635" s="38" t="str">
        <f t="shared" si="172"/>
        <v/>
      </c>
      <c r="R1635" s="37" t="str">
        <f t="shared" si="173"/>
        <v/>
      </c>
      <c r="S1635" s="37" t="str">
        <f t="shared" si="174"/>
        <v/>
      </c>
      <c r="T1635" s="38" t="str">
        <f t="shared" si="175"/>
        <v/>
      </c>
      <c r="U1635" s="37" t="str">
        <f t="shared" si="176"/>
        <v/>
      </c>
    </row>
    <row r="1636" spans="2:21" ht="17.25">
      <c r="B1636" s="156"/>
      <c r="C1636" s="156"/>
      <c r="D1636" s="157"/>
      <c r="E1636" s="155"/>
      <c r="F1636" s="151"/>
      <c r="G1636" s="152"/>
      <c r="H1636" s="153"/>
      <c r="I1636" s="154"/>
      <c r="J1636" s="154"/>
      <c r="K1636" s="30" t="str">
        <f>IF(H1636="","",IF($C$30="간이법","",FPR(H1636,I1636,J1636)))</f>
        <v/>
      </c>
      <c r="L1636" s="30" t="str">
        <f>IF(H1636="","",IF($C$30="상세법",FPV(H1636,K1636),IF(H1636="EI",4,IF(H1636="EO",5.2,IF(H1636="EQ",3.9,IF(H1636="ILF",7.5,IF(H1636="EIF",5.4)))))))</f>
        <v/>
      </c>
      <c r="M1636" s="30" t="str">
        <f t="shared" si="170"/>
        <v/>
      </c>
      <c r="N1636" s="134"/>
      <c r="O1636" s="29"/>
      <c r="P1636" s="37" t="str">
        <f t="shared" si="171"/>
        <v/>
      </c>
      <c r="Q1636" s="38" t="str">
        <f t="shared" si="172"/>
        <v/>
      </c>
      <c r="R1636" s="37" t="str">
        <f t="shared" si="173"/>
        <v/>
      </c>
      <c r="S1636" s="37" t="str">
        <f t="shared" si="174"/>
        <v/>
      </c>
      <c r="T1636" s="38" t="str">
        <f t="shared" si="175"/>
        <v/>
      </c>
      <c r="U1636" s="37" t="str">
        <f t="shared" si="176"/>
        <v/>
      </c>
    </row>
    <row r="1637" spans="2:21" ht="17.25">
      <c r="B1637" s="156"/>
      <c r="C1637" s="156"/>
      <c r="D1637" s="157"/>
      <c r="E1637" s="155"/>
      <c r="F1637" s="151"/>
      <c r="G1637" s="152"/>
      <c r="H1637" s="153"/>
      <c r="I1637" s="154"/>
      <c r="J1637" s="154"/>
      <c r="K1637" s="30" t="str">
        <f>IF(H1637="","",IF($C$30="간이법","",FPR(H1637,I1637,J1637)))</f>
        <v/>
      </c>
      <c r="L1637" s="30" t="str">
        <f>IF(H1637="","",IF($C$30="상세법",FPV(H1637,K1637),IF(H1637="EI",4,IF(H1637="EO",5.2,IF(H1637="EQ",3.9,IF(H1637="ILF",7.5,IF(H1637="EIF",5.4)))))))</f>
        <v/>
      </c>
      <c r="M1637" s="30" t="str">
        <f t="shared" si="170"/>
        <v/>
      </c>
      <c r="N1637" s="134"/>
      <c r="O1637" s="29"/>
      <c r="P1637" s="37" t="str">
        <f t="shared" si="171"/>
        <v/>
      </c>
      <c r="Q1637" s="38" t="str">
        <f t="shared" si="172"/>
        <v/>
      </c>
      <c r="R1637" s="37" t="str">
        <f t="shared" si="173"/>
        <v/>
      </c>
      <c r="S1637" s="37" t="str">
        <f t="shared" si="174"/>
        <v/>
      </c>
      <c r="T1637" s="38" t="str">
        <f t="shared" si="175"/>
        <v/>
      </c>
      <c r="U1637" s="37" t="str">
        <f t="shared" si="176"/>
        <v/>
      </c>
    </row>
    <row r="1638" spans="2:21" ht="17.25">
      <c r="B1638" s="156"/>
      <c r="C1638" s="156"/>
      <c r="D1638" s="157"/>
      <c r="E1638" s="155"/>
      <c r="F1638" s="151"/>
      <c r="G1638" s="152"/>
      <c r="H1638" s="153"/>
      <c r="I1638" s="154"/>
      <c r="J1638" s="154"/>
      <c r="K1638" s="30" t="str">
        <f>IF(H1638="","",IF($C$30="간이법","",FPR(H1638,I1638,J1638)))</f>
        <v/>
      </c>
      <c r="L1638" s="30" t="str">
        <f>IF(H1638="","",IF($C$30="상세법",FPV(H1638,K1638),IF(H1638="EI",4,IF(H1638="EO",5.2,IF(H1638="EQ",3.9,IF(H1638="ILF",7.5,IF(H1638="EIF",5.4)))))))</f>
        <v/>
      </c>
      <c r="M1638" s="30" t="str">
        <f t="shared" si="170"/>
        <v/>
      </c>
      <c r="N1638" s="134"/>
      <c r="O1638" s="29"/>
      <c r="P1638" s="37" t="str">
        <f t="shared" si="171"/>
        <v/>
      </c>
      <c r="Q1638" s="38" t="str">
        <f t="shared" si="172"/>
        <v/>
      </c>
      <c r="R1638" s="37" t="str">
        <f t="shared" si="173"/>
        <v/>
      </c>
      <c r="S1638" s="37" t="str">
        <f t="shared" si="174"/>
        <v/>
      </c>
      <c r="T1638" s="38" t="str">
        <f t="shared" si="175"/>
        <v/>
      </c>
      <c r="U1638" s="37" t="str">
        <f t="shared" si="176"/>
        <v/>
      </c>
    </row>
    <row r="1639" spans="2:21" ht="17.25">
      <c r="B1639" s="156"/>
      <c r="C1639" s="156"/>
      <c r="D1639" s="157"/>
      <c r="E1639" s="155"/>
      <c r="F1639" s="151"/>
      <c r="G1639" s="152"/>
      <c r="H1639" s="153"/>
      <c r="I1639" s="154"/>
      <c r="J1639" s="154"/>
      <c r="K1639" s="30" t="str">
        <f>IF(H1639="","",IF($C$30="간이법","",FPR(H1639,I1639,J1639)))</f>
        <v/>
      </c>
      <c r="L1639" s="30" t="str">
        <f>IF(H1639="","",IF($C$30="상세법",FPV(H1639,K1639),IF(H1639="EI",4,IF(H1639="EO",5.2,IF(H1639="EQ",3.9,IF(H1639="ILF",7.5,IF(H1639="EIF",5.4)))))))</f>
        <v/>
      </c>
      <c r="M1639" s="30" t="str">
        <f t="shared" si="170"/>
        <v/>
      </c>
      <c r="N1639" s="134"/>
      <c r="O1639" s="29"/>
      <c r="P1639" s="37" t="str">
        <f t="shared" si="171"/>
        <v/>
      </c>
      <c r="Q1639" s="38" t="str">
        <f t="shared" si="172"/>
        <v/>
      </c>
      <c r="R1639" s="37" t="str">
        <f t="shared" si="173"/>
        <v/>
      </c>
      <c r="S1639" s="37" t="str">
        <f t="shared" si="174"/>
        <v/>
      </c>
      <c r="T1639" s="38" t="str">
        <f t="shared" si="175"/>
        <v/>
      </c>
      <c r="U1639" s="37" t="str">
        <f t="shared" si="176"/>
        <v/>
      </c>
    </row>
    <row r="1640" spans="2:21" ht="17.25">
      <c r="B1640" s="156"/>
      <c r="C1640" s="156"/>
      <c r="D1640" s="157"/>
      <c r="E1640" s="155"/>
      <c r="F1640" s="151"/>
      <c r="G1640" s="152"/>
      <c r="H1640" s="153"/>
      <c r="I1640" s="154"/>
      <c r="J1640" s="154"/>
      <c r="K1640" s="30" t="str">
        <f>IF(H1640="","",IF($C$30="간이법","",FPR(H1640,I1640,J1640)))</f>
        <v/>
      </c>
      <c r="L1640" s="30" t="str">
        <f>IF(H1640="","",IF($C$30="상세법",FPV(H1640,K1640),IF(H1640="EI",4,IF(H1640="EO",5.2,IF(H1640="EQ",3.9,IF(H1640="ILF",7.5,IF(H1640="EIF",5.4)))))))</f>
        <v/>
      </c>
      <c r="M1640" s="30" t="str">
        <f t="shared" si="170"/>
        <v/>
      </c>
      <c r="N1640" s="134"/>
      <c r="O1640" s="29"/>
      <c r="P1640" s="37" t="str">
        <f t="shared" si="171"/>
        <v/>
      </c>
      <c r="Q1640" s="38" t="str">
        <f t="shared" si="172"/>
        <v/>
      </c>
      <c r="R1640" s="37" t="str">
        <f t="shared" si="173"/>
        <v/>
      </c>
      <c r="S1640" s="37" t="str">
        <f t="shared" si="174"/>
        <v/>
      </c>
      <c r="T1640" s="38" t="str">
        <f t="shared" si="175"/>
        <v/>
      </c>
      <c r="U1640" s="37" t="str">
        <f t="shared" si="176"/>
        <v/>
      </c>
    </row>
    <row r="1641" spans="2:21" ht="17.25">
      <c r="B1641" s="156"/>
      <c r="C1641" s="156"/>
      <c r="D1641" s="157"/>
      <c r="E1641" s="155"/>
      <c r="F1641" s="151"/>
      <c r="G1641" s="152"/>
      <c r="H1641" s="153"/>
      <c r="I1641" s="154"/>
      <c r="J1641" s="154"/>
      <c r="K1641" s="30" t="str">
        <f>IF(H1641="","",IF($C$30="간이법","",FPR(H1641,I1641,J1641)))</f>
        <v/>
      </c>
      <c r="L1641" s="30" t="str">
        <f>IF(H1641="","",IF($C$30="상세법",FPV(H1641,K1641),IF(H1641="EI",4,IF(H1641="EO",5.2,IF(H1641="EQ",3.9,IF(H1641="ILF",7.5,IF(H1641="EIF",5.4)))))))</f>
        <v/>
      </c>
      <c r="M1641" s="30" t="str">
        <f t="shared" si="170"/>
        <v/>
      </c>
      <c r="N1641" s="134"/>
      <c r="O1641" s="29"/>
      <c r="P1641" s="37" t="str">
        <f t="shared" si="171"/>
        <v/>
      </c>
      <c r="Q1641" s="38" t="str">
        <f t="shared" si="172"/>
        <v/>
      </c>
      <c r="R1641" s="37" t="str">
        <f t="shared" si="173"/>
        <v/>
      </c>
      <c r="S1641" s="37" t="str">
        <f t="shared" si="174"/>
        <v/>
      </c>
      <c r="T1641" s="38" t="str">
        <f t="shared" si="175"/>
        <v/>
      </c>
      <c r="U1641" s="37" t="str">
        <f t="shared" si="176"/>
        <v/>
      </c>
    </row>
    <row r="1642" spans="2:21" ht="17.25">
      <c r="B1642" s="156"/>
      <c r="C1642" s="156"/>
      <c r="D1642" s="157"/>
      <c r="E1642" s="155"/>
      <c r="F1642" s="151"/>
      <c r="G1642" s="152"/>
      <c r="H1642" s="153"/>
      <c r="I1642" s="154"/>
      <c r="J1642" s="154"/>
      <c r="K1642" s="30" t="str">
        <f>IF(H1642="","",IF($C$30="간이법","",FPR(H1642,I1642,J1642)))</f>
        <v/>
      </c>
      <c r="L1642" s="30" t="str">
        <f>IF(H1642="","",IF($C$30="상세법",FPV(H1642,K1642),IF(H1642="EI",4,IF(H1642="EO",5.2,IF(H1642="EQ",3.9,IF(H1642="ILF",7.5,IF(H1642="EIF",5.4)))))))</f>
        <v/>
      </c>
      <c r="M1642" s="30" t="str">
        <f t="shared" si="170"/>
        <v/>
      </c>
      <c r="N1642" s="134"/>
      <c r="O1642" s="29"/>
      <c r="P1642" s="37" t="str">
        <f t="shared" si="171"/>
        <v/>
      </c>
      <c r="Q1642" s="38" t="str">
        <f t="shared" si="172"/>
        <v/>
      </c>
      <c r="R1642" s="37" t="str">
        <f t="shared" si="173"/>
        <v/>
      </c>
      <c r="S1642" s="37" t="str">
        <f t="shared" si="174"/>
        <v/>
      </c>
      <c r="T1642" s="38" t="str">
        <f t="shared" si="175"/>
        <v/>
      </c>
      <c r="U1642" s="37" t="str">
        <f t="shared" si="176"/>
        <v/>
      </c>
    </row>
    <row r="1643" spans="2:21" ht="17.25">
      <c r="B1643" s="156"/>
      <c r="C1643" s="156"/>
      <c r="D1643" s="157"/>
      <c r="E1643" s="155"/>
      <c r="F1643" s="151"/>
      <c r="G1643" s="152"/>
      <c r="H1643" s="153"/>
      <c r="I1643" s="154"/>
      <c r="J1643" s="154"/>
      <c r="K1643" s="30" t="str">
        <f>IF(H1643="","",IF($C$30="간이법","",FPR(H1643,I1643,J1643)))</f>
        <v/>
      </c>
      <c r="L1643" s="30" t="str">
        <f>IF(H1643="","",IF($C$30="상세법",FPV(H1643,K1643),IF(H1643="EI",4,IF(H1643="EO",5.2,IF(H1643="EQ",3.9,IF(H1643="ILF",7.5,IF(H1643="EIF",5.4)))))))</f>
        <v/>
      </c>
      <c r="M1643" s="30" t="str">
        <f t="shared" si="170"/>
        <v/>
      </c>
      <c r="N1643" s="134"/>
      <c r="O1643" s="29"/>
      <c r="P1643" s="37" t="str">
        <f t="shared" si="171"/>
        <v/>
      </c>
      <c r="Q1643" s="38" t="str">
        <f t="shared" si="172"/>
        <v/>
      </c>
      <c r="R1643" s="37" t="str">
        <f t="shared" si="173"/>
        <v/>
      </c>
      <c r="S1643" s="37" t="str">
        <f t="shared" si="174"/>
        <v/>
      </c>
      <c r="T1643" s="38" t="str">
        <f t="shared" si="175"/>
        <v/>
      </c>
      <c r="U1643" s="37" t="str">
        <f t="shared" si="176"/>
        <v/>
      </c>
    </row>
    <row r="1644" spans="2:21" ht="17.25">
      <c r="B1644" s="156"/>
      <c r="C1644" s="156"/>
      <c r="D1644" s="157"/>
      <c r="E1644" s="155"/>
      <c r="F1644" s="151"/>
      <c r="G1644" s="152"/>
      <c r="H1644" s="153"/>
      <c r="I1644" s="154"/>
      <c r="J1644" s="154"/>
      <c r="K1644" s="30" t="str">
        <f>IF(H1644="","",IF($C$30="간이법","",FPR(H1644,I1644,J1644)))</f>
        <v/>
      </c>
      <c r="L1644" s="30" t="str">
        <f>IF(H1644="","",IF($C$30="상세법",FPV(H1644,K1644),IF(H1644="EI",4,IF(H1644="EO",5.2,IF(H1644="EQ",3.9,IF(H1644="ILF",7.5,IF(H1644="EIF",5.4)))))))</f>
        <v/>
      </c>
      <c r="M1644" s="30" t="str">
        <f t="shared" si="170"/>
        <v/>
      </c>
      <c r="N1644" s="134"/>
      <c r="O1644" s="29"/>
      <c r="P1644" s="37" t="str">
        <f t="shared" si="171"/>
        <v/>
      </c>
      <c r="Q1644" s="38" t="str">
        <f t="shared" si="172"/>
        <v/>
      </c>
      <c r="R1644" s="37" t="str">
        <f t="shared" si="173"/>
        <v/>
      </c>
      <c r="S1644" s="37" t="str">
        <f t="shared" si="174"/>
        <v/>
      </c>
      <c r="T1644" s="38" t="str">
        <f t="shared" si="175"/>
        <v/>
      </c>
      <c r="U1644" s="37" t="str">
        <f t="shared" si="176"/>
        <v/>
      </c>
    </row>
    <row r="1645" spans="2:21" ht="17.25">
      <c r="B1645" s="156"/>
      <c r="C1645" s="156"/>
      <c r="D1645" s="157"/>
      <c r="E1645" s="155"/>
      <c r="F1645" s="151"/>
      <c r="G1645" s="152"/>
      <c r="H1645" s="153"/>
      <c r="I1645" s="154"/>
      <c r="J1645" s="154"/>
      <c r="K1645" s="30" t="str">
        <f>IF(H1645="","",IF($C$30="간이법","",FPR(H1645,I1645,J1645)))</f>
        <v/>
      </c>
      <c r="L1645" s="30" t="str">
        <f>IF(H1645="","",IF($C$30="상세법",FPV(H1645,K1645),IF(H1645="EI",4,IF(H1645="EO",5.2,IF(H1645="EQ",3.9,IF(H1645="ILF",7.5,IF(H1645="EIF",5.4)))))))</f>
        <v/>
      </c>
      <c r="M1645" s="30" t="str">
        <f t="shared" si="170"/>
        <v/>
      </c>
      <c r="N1645" s="134"/>
      <c r="O1645" s="29"/>
      <c r="P1645" s="37" t="str">
        <f t="shared" si="171"/>
        <v/>
      </c>
      <c r="Q1645" s="38" t="str">
        <f t="shared" si="172"/>
        <v/>
      </c>
      <c r="R1645" s="37" t="str">
        <f t="shared" si="173"/>
        <v/>
      </c>
      <c r="S1645" s="37" t="str">
        <f t="shared" si="174"/>
        <v/>
      </c>
      <c r="T1645" s="38" t="str">
        <f t="shared" si="175"/>
        <v/>
      </c>
      <c r="U1645" s="37" t="str">
        <f t="shared" si="176"/>
        <v/>
      </c>
    </row>
    <row r="1646" spans="2:21" ht="17.25">
      <c r="B1646" s="156"/>
      <c r="C1646" s="156"/>
      <c r="D1646" s="157"/>
      <c r="E1646" s="155"/>
      <c r="F1646" s="151"/>
      <c r="G1646" s="152"/>
      <c r="H1646" s="153"/>
      <c r="I1646" s="154"/>
      <c r="J1646" s="154"/>
      <c r="K1646" s="30" t="str">
        <f>IF(H1646="","",IF($C$30="간이법","",FPR(H1646,I1646,J1646)))</f>
        <v/>
      </c>
      <c r="L1646" s="30" t="str">
        <f>IF(H1646="","",IF($C$30="상세법",FPV(H1646,K1646),IF(H1646="EI",4,IF(H1646="EO",5.2,IF(H1646="EQ",3.9,IF(H1646="ILF",7.5,IF(H1646="EIF",5.4)))))))</f>
        <v/>
      </c>
      <c r="M1646" s="30" t="str">
        <f t="shared" si="170"/>
        <v/>
      </c>
      <c r="N1646" s="134"/>
      <c r="O1646" s="29"/>
      <c r="P1646" s="37" t="str">
        <f t="shared" si="171"/>
        <v/>
      </c>
      <c r="Q1646" s="38" t="str">
        <f t="shared" si="172"/>
        <v/>
      </c>
      <c r="R1646" s="37" t="str">
        <f t="shared" si="173"/>
        <v/>
      </c>
      <c r="S1646" s="37" t="str">
        <f t="shared" si="174"/>
        <v/>
      </c>
      <c r="T1646" s="38" t="str">
        <f t="shared" si="175"/>
        <v/>
      </c>
      <c r="U1646" s="37" t="str">
        <f t="shared" si="176"/>
        <v/>
      </c>
    </row>
    <row r="1647" spans="2:21" ht="17.25">
      <c r="B1647" s="156"/>
      <c r="C1647" s="156"/>
      <c r="D1647" s="157"/>
      <c r="E1647" s="155"/>
      <c r="F1647" s="151"/>
      <c r="G1647" s="152"/>
      <c r="H1647" s="153"/>
      <c r="I1647" s="154"/>
      <c r="J1647" s="154"/>
      <c r="K1647" s="30" t="str">
        <f>IF(H1647="","",IF($C$30="간이법","",FPR(H1647,I1647,J1647)))</f>
        <v/>
      </c>
      <c r="L1647" s="30" t="str">
        <f>IF(H1647="","",IF($C$30="상세법",FPV(H1647,K1647),IF(H1647="EI",4,IF(H1647="EO",5.2,IF(H1647="EQ",3.9,IF(H1647="ILF",7.5,IF(H1647="EIF",5.4)))))))</f>
        <v/>
      </c>
      <c r="M1647" s="30" t="str">
        <f t="shared" si="170"/>
        <v/>
      </c>
      <c r="N1647" s="134"/>
      <c r="O1647" s="29"/>
      <c r="P1647" s="37" t="str">
        <f t="shared" si="171"/>
        <v/>
      </c>
      <c r="Q1647" s="38" t="str">
        <f t="shared" si="172"/>
        <v/>
      </c>
      <c r="R1647" s="37" t="str">
        <f t="shared" si="173"/>
        <v/>
      </c>
      <c r="S1647" s="37" t="str">
        <f t="shared" si="174"/>
        <v/>
      </c>
      <c r="T1647" s="38" t="str">
        <f t="shared" si="175"/>
        <v/>
      </c>
      <c r="U1647" s="37" t="str">
        <f t="shared" si="176"/>
        <v/>
      </c>
    </row>
    <row r="1648" spans="2:21" ht="17.25">
      <c r="B1648" s="156"/>
      <c r="C1648" s="156"/>
      <c r="D1648" s="157"/>
      <c r="E1648" s="155"/>
      <c r="F1648" s="151"/>
      <c r="G1648" s="152"/>
      <c r="H1648" s="153"/>
      <c r="I1648" s="154"/>
      <c r="J1648" s="154"/>
      <c r="K1648" s="30" t="str">
        <f>IF(H1648="","",IF($C$30="간이법","",FPR(H1648,I1648,J1648)))</f>
        <v/>
      </c>
      <c r="L1648" s="30" t="str">
        <f>IF(H1648="","",IF($C$30="상세법",FPV(H1648,K1648),IF(H1648="EI",4,IF(H1648="EO",5.2,IF(H1648="EQ",3.9,IF(H1648="ILF",7.5,IF(H1648="EIF",5.4)))))))</f>
        <v/>
      </c>
      <c r="M1648" s="30" t="str">
        <f t="shared" si="170"/>
        <v/>
      </c>
      <c r="N1648" s="134"/>
      <c r="O1648" s="29"/>
      <c r="P1648" s="37" t="str">
        <f t="shared" si="171"/>
        <v/>
      </c>
      <c r="Q1648" s="38" t="str">
        <f t="shared" si="172"/>
        <v/>
      </c>
      <c r="R1648" s="37" t="str">
        <f t="shared" si="173"/>
        <v/>
      </c>
      <c r="S1648" s="37" t="str">
        <f t="shared" si="174"/>
        <v/>
      </c>
      <c r="T1648" s="38" t="str">
        <f t="shared" si="175"/>
        <v/>
      </c>
      <c r="U1648" s="37" t="str">
        <f t="shared" si="176"/>
        <v/>
      </c>
    </row>
    <row r="1649" spans="2:21" ht="17.25">
      <c r="B1649" s="156"/>
      <c r="C1649" s="156"/>
      <c r="D1649" s="157"/>
      <c r="E1649" s="155"/>
      <c r="F1649" s="151"/>
      <c r="G1649" s="152"/>
      <c r="H1649" s="153"/>
      <c r="I1649" s="154"/>
      <c r="J1649" s="154"/>
      <c r="K1649" s="30" t="str">
        <f>IF(H1649="","",IF($C$30="간이법","",FPR(H1649,I1649,J1649)))</f>
        <v/>
      </c>
      <c r="L1649" s="30" t="str">
        <f>IF(H1649="","",IF($C$30="상세법",FPV(H1649,K1649),IF(H1649="EI",4,IF(H1649="EO",5.2,IF(H1649="EQ",3.9,IF(H1649="ILF",7.5,IF(H1649="EIF",5.4)))))))</f>
        <v/>
      </c>
      <c r="M1649" s="30" t="str">
        <f t="shared" si="170"/>
        <v/>
      </c>
      <c r="N1649" s="134"/>
      <c r="O1649" s="29"/>
      <c r="P1649" s="37" t="str">
        <f t="shared" si="171"/>
        <v/>
      </c>
      <c r="Q1649" s="38" t="str">
        <f t="shared" si="172"/>
        <v/>
      </c>
      <c r="R1649" s="37" t="str">
        <f t="shared" si="173"/>
        <v/>
      </c>
      <c r="S1649" s="37" t="str">
        <f t="shared" si="174"/>
        <v/>
      </c>
      <c r="T1649" s="38" t="str">
        <f t="shared" si="175"/>
        <v/>
      </c>
      <c r="U1649" s="37" t="str">
        <f t="shared" si="176"/>
        <v/>
      </c>
    </row>
    <row r="1650" spans="2:21" ht="17.25">
      <c r="B1650" s="156"/>
      <c r="C1650" s="156"/>
      <c r="D1650" s="157"/>
      <c r="E1650" s="155"/>
      <c r="F1650" s="151"/>
      <c r="G1650" s="152"/>
      <c r="H1650" s="153"/>
      <c r="I1650" s="154"/>
      <c r="J1650" s="154"/>
      <c r="K1650" s="30" t="str">
        <f>IF(H1650="","",IF($C$30="간이법","",FPR(H1650,I1650,J1650)))</f>
        <v/>
      </c>
      <c r="L1650" s="30" t="str">
        <f>IF(H1650="","",IF($C$30="상세법",FPV(H1650,K1650),IF(H1650="EI",4,IF(H1650="EO",5.2,IF(H1650="EQ",3.9,IF(H1650="ILF",7.5,IF(H1650="EIF",5.4)))))))</f>
        <v/>
      </c>
      <c r="M1650" s="30" t="str">
        <f t="shared" si="170"/>
        <v/>
      </c>
      <c r="N1650" s="134"/>
      <c r="O1650" s="29"/>
      <c r="P1650" s="37" t="str">
        <f t="shared" si="171"/>
        <v/>
      </c>
      <c r="Q1650" s="38" t="str">
        <f t="shared" si="172"/>
        <v/>
      </c>
      <c r="R1650" s="37" t="str">
        <f t="shared" si="173"/>
        <v/>
      </c>
      <c r="S1650" s="37" t="str">
        <f t="shared" si="174"/>
        <v/>
      </c>
      <c r="T1650" s="38" t="str">
        <f t="shared" si="175"/>
        <v/>
      </c>
      <c r="U1650" s="37" t="str">
        <f t="shared" si="176"/>
        <v/>
      </c>
    </row>
    <row r="1651" spans="2:21" ht="17.25">
      <c r="B1651" s="156"/>
      <c r="C1651" s="156"/>
      <c r="D1651" s="157"/>
      <c r="E1651" s="155"/>
      <c r="F1651" s="151"/>
      <c r="G1651" s="152"/>
      <c r="H1651" s="153"/>
      <c r="I1651" s="154"/>
      <c r="J1651" s="154"/>
      <c r="K1651" s="30" t="str">
        <f>IF(H1651="","",IF($C$30="간이법","",FPR(H1651,I1651,J1651)))</f>
        <v/>
      </c>
      <c r="L1651" s="30" t="str">
        <f>IF(H1651="","",IF($C$30="상세법",FPV(H1651,K1651),IF(H1651="EI",4,IF(H1651="EO",5.2,IF(H1651="EQ",3.9,IF(H1651="ILF",7.5,IF(H1651="EIF",5.4)))))))</f>
        <v/>
      </c>
      <c r="M1651" s="30" t="str">
        <f t="shared" si="170"/>
        <v/>
      </c>
      <c r="N1651" s="134"/>
      <c r="O1651" s="29"/>
      <c r="P1651" s="37" t="str">
        <f t="shared" si="171"/>
        <v/>
      </c>
      <c r="Q1651" s="38" t="str">
        <f t="shared" si="172"/>
        <v/>
      </c>
      <c r="R1651" s="37" t="str">
        <f t="shared" si="173"/>
        <v/>
      </c>
      <c r="S1651" s="37" t="str">
        <f t="shared" si="174"/>
        <v/>
      </c>
      <c r="T1651" s="38" t="str">
        <f t="shared" si="175"/>
        <v/>
      </c>
      <c r="U1651" s="37" t="str">
        <f t="shared" si="176"/>
        <v/>
      </c>
    </row>
    <row r="1652" spans="2:21" ht="17.25">
      <c r="B1652" s="156"/>
      <c r="C1652" s="156"/>
      <c r="D1652" s="157"/>
      <c r="E1652" s="155"/>
      <c r="F1652" s="151"/>
      <c r="G1652" s="152"/>
      <c r="H1652" s="153"/>
      <c r="I1652" s="154"/>
      <c r="J1652" s="154"/>
      <c r="K1652" s="30" t="str">
        <f>IF(H1652="","",IF($C$30="간이법","",FPR(H1652,I1652,J1652)))</f>
        <v/>
      </c>
      <c r="L1652" s="30" t="str">
        <f>IF(H1652="","",IF($C$30="상세법",FPV(H1652,K1652),IF(H1652="EI",4,IF(H1652="EO",5.2,IF(H1652="EQ",3.9,IF(H1652="ILF",7.5,IF(H1652="EIF",5.4)))))))</f>
        <v/>
      </c>
      <c r="M1652" s="30" t="str">
        <f t="shared" si="170"/>
        <v/>
      </c>
      <c r="N1652" s="134"/>
      <c r="O1652" s="29"/>
      <c r="P1652" s="37" t="str">
        <f t="shared" si="171"/>
        <v/>
      </c>
      <c r="Q1652" s="38" t="str">
        <f t="shared" si="172"/>
        <v/>
      </c>
      <c r="R1652" s="37" t="str">
        <f t="shared" si="173"/>
        <v/>
      </c>
      <c r="S1652" s="37" t="str">
        <f t="shared" si="174"/>
        <v/>
      </c>
      <c r="T1652" s="38" t="str">
        <f t="shared" si="175"/>
        <v/>
      </c>
      <c r="U1652" s="37" t="str">
        <f t="shared" si="176"/>
        <v/>
      </c>
    </row>
    <row r="1653" spans="2:21" ht="17.25">
      <c r="B1653" s="156"/>
      <c r="C1653" s="156"/>
      <c r="D1653" s="157"/>
      <c r="E1653" s="155"/>
      <c r="F1653" s="151"/>
      <c r="G1653" s="152"/>
      <c r="H1653" s="153"/>
      <c r="I1653" s="154"/>
      <c r="J1653" s="154"/>
      <c r="K1653" s="30" t="str">
        <f>IF(H1653="","",IF($C$30="간이법","",FPR(H1653,I1653,J1653)))</f>
        <v/>
      </c>
      <c r="L1653" s="30" t="str">
        <f>IF(H1653="","",IF($C$30="상세법",FPV(H1653,K1653),IF(H1653="EI",4,IF(H1653="EO",5.2,IF(H1653="EQ",3.9,IF(H1653="ILF",7.5,IF(H1653="EIF",5.4)))))))</f>
        <v/>
      </c>
      <c r="M1653" s="30" t="str">
        <f t="shared" si="170"/>
        <v/>
      </c>
      <c r="N1653" s="134"/>
      <c r="O1653" s="29"/>
      <c r="P1653" s="37" t="str">
        <f t="shared" si="171"/>
        <v/>
      </c>
      <c r="Q1653" s="38" t="str">
        <f t="shared" si="172"/>
        <v/>
      </c>
      <c r="R1653" s="37" t="str">
        <f t="shared" si="173"/>
        <v/>
      </c>
      <c r="S1653" s="37" t="str">
        <f t="shared" si="174"/>
        <v/>
      </c>
      <c r="T1653" s="38" t="str">
        <f t="shared" si="175"/>
        <v/>
      </c>
      <c r="U1653" s="37" t="str">
        <f t="shared" si="176"/>
        <v/>
      </c>
    </row>
    <row r="1654" spans="2:21" ht="17.25">
      <c r="B1654" s="156"/>
      <c r="C1654" s="156"/>
      <c r="D1654" s="157"/>
      <c r="E1654" s="155"/>
      <c r="F1654" s="151"/>
      <c r="G1654" s="152"/>
      <c r="H1654" s="153"/>
      <c r="I1654" s="154"/>
      <c r="J1654" s="154"/>
      <c r="K1654" s="30" t="str">
        <f>IF(H1654="","",IF($C$30="간이법","",FPR(H1654,I1654,J1654)))</f>
        <v/>
      </c>
      <c r="L1654" s="30" t="str">
        <f>IF(H1654="","",IF($C$30="상세법",FPV(H1654,K1654),IF(H1654="EI",4,IF(H1654="EO",5.2,IF(H1654="EQ",3.9,IF(H1654="ILF",7.5,IF(H1654="EIF",5.4)))))))</f>
        <v/>
      </c>
      <c r="M1654" s="30" t="str">
        <f t="shared" si="170"/>
        <v/>
      </c>
      <c r="N1654" s="134"/>
      <c r="O1654" s="29"/>
      <c r="P1654" s="37" t="str">
        <f t="shared" si="171"/>
        <v/>
      </c>
      <c r="Q1654" s="38" t="str">
        <f t="shared" si="172"/>
        <v/>
      </c>
      <c r="R1654" s="37" t="str">
        <f t="shared" si="173"/>
        <v/>
      </c>
      <c r="S1654" s="37" t="str">
        <f t="shared" si="174"/>
        <v/>
      </c>
      <c r="T1654" s="38" t="str">
        <f t="shared" si="175"/>
        <v/>
      </c>
      <c r="U1654" s="37" t="str">
        <f t="shared" si="176"/>
        <v/>
      </c>
    </row>
    <row r="1655" spans="2:21" ht="17.25">
      <c r="B1655" s="156"/>
      <c r="C1655" s="156"/>
      <c r="D1655" s="157"/>
      <c r="E1655" s="155"/>
      <c r="F1655" s="151"/>
      <c r="G1655" s="152"/>
      <c r="H1655" s="153"/>
      <c r="I1655" s="154"/>
      <c r="J1655" s="154"/>
      <c r="K1655" s="30" t="str">
        <f>IF(H1655="","",IF($C$30="간이법","",FPR(H1655,I1655,J1655)))</f>
        <v/>
      </c>
      <c r="L1655" s="30" t="str">
        <f>IF(H1655="","",IF($C$30="상세법",FPV(H1655,K1655),IF(H1655="EI",4,IF(H1655="EO",5.2,IF(H1655="EQ",3.9,IF(H1655="ILF",7.5,IF(H1655="EIF",5.4)))))))</f>
        <v/>
      </c>
      <c r="M1655" s="30" t="str">
        <f t="shared" si="170"/>
        <v/>
      </c>
      <c r="N1655" s="134"/>
      <c r="O1655" s="29"/>
      <c r="P1655" s="37" t="str">
        <f t="shared" si="171"/>
        <v/>
      </c>
      <c r="Q1655" s="38" t="str">
        <f t="shared" si="172"/>
        <v/>
      </c>
      <c r="R1655" s="37" t="str">
        <f t="shared" si="173"/>
        <v/>
      </c>
      <c r="S1655" s="37" t="str">
        <f t="shared" si="174"/>
        <v/>
      </c>
      <c r="T1655" s="38" t="str">
        <f t="shared" si="175"/>
        <v/>
      </c>
      <c r="U1655" s="37" t="str">
        <f t="shared" si="176"/>
        <v/>
      </c>
    </row>
    <row r="1656" spans="2:21" ht="17.25">
      <c r="B1656" s="156"/>
      <c r="C1656" s="156"/>
      <c r="D1656" s="157"/>
      <c r="E1656" s="155"/>
      <c r="F1656" s="151"/>
      <c r="G1656" s="152"/>
      <c r="H1656" s="153"/>
      <c r="I1656" s="154"/>
      <c r="J1656" s="154"/>
      <c r="K1656" s="30" t="str">
        <f>IF(H1656="","",IF($C$30="간이법","",FPR(H1656,I1656,J1656)))</f>
        <v/>
      </c>
      <c r="L1656" s="30" t="str">
        <f>IF(H1656="","",IF($C$30="상세법",FPV(H1656,K1656),IF(H1656="EI",4,IF(H1656="EO",5.2,IF(H1656="EQ",3.9,IF(H1656="ILF",7.5,IF(H1656="EIF",5.4)))))))</f>
        <v/>
      </c>
      <c r="M1656" s="30" t="str">
        <f t="shared" si="170"/>
        <v/>
      </c>
      <c r="N1656" s="134"/>
      <c r="O1656" s="29"/>
      <c r="P1656" s="37" t="str">
        <f t="shared" si="171"/>
        <v/>
      </c>
      <c r="Q1656" s="38" t="str">
        <f t="shared" si="172"/>
        <v/>
      </c>
      <c r="R1656" s="37" t="str">
        <f t="shared" si="173"/>
        <v/>
      </c>
      <c r="S1656" s="37" t="str">
        <f t="shared" si="174"/>
        <v/>
      </c>
      <c r="T1656" s="38" t="str">
        <f t="shared" si="175"/>
        <v/>
      </c>
      <c r="U1656" s="37" t="str">
        <f t="shared" si="176"/>
        <v/>
      </c>
    </row>
    <row r="1657" spans="2:21" ht="17.25">
      <c r="B1657" s="156"/>
      <c r="C1657" s="156"/>
      <c r="D1657" s="157"/>
      <c r="E1657" s="155"/>
      <c r="F1657" s="151"/>
      <c r="G1657" s="152"/>
      <c r="H1657" s="153"/>
      <c r="I1657" s="154"/>
      <c r="J1657" s="154"/>
      <c r="K1657" s="30" t="str">
        <f>IF(H1657="","",IF($C$30="간이법","",FPR(H1657,I1657,J1657)))</f>
        <v/>
      </c>
      <c r="L1657" s="30" t="str">
        <f>IF(H1657="","",IF($C$30="상세법",FPV(H1657,K1657),IF(H1657="EI",4,IF(H1657="EO",5.2,IF(H1657="EQ",3.9,IF(H1657="ILF",7.5,IF(H1657="EIF",5.4)))))))</f>
        <v/>
      </c>
      <c r="M1657" s="30" t="str">
        <f t="shared" si="170"/>
        <v/>
      </c>
      <c r="N1657" s="134"/>
      <c r="O1657" s="29"/>
      <c r="P1657" s="37" t="str">
        <f t="shared" si="171"/>
        <v/>
      </c>
      <c r="Q1657" s="38" t="str">
        <f t="shared" si="172"/>
        <v/>
      </c>
      <c r="R1657" s="37" t="str">
        <f t="shared" si="173"/>
        <v/>
      </c>
      <c r="S1657" s="37" t="str">
        <f t="shared" si="174"/>
        <v/>
      </c>
      <c r="T1657" s="38" t="str">
        <f t="shared" si="175"/>
        <v/>
      </c>
      <c r="U1657" s="37" t="str">
        <f t="shared" si="176"/>
        <v/>
      </c>
    </row>
    <row r="1658" spans="2:21" ht="17.25">
      <c r="B1658" s="156"/>
      <c r="C1658" s="156"/>
      <c r="D1658" s="157"/>
      <c r="E1658" s="155"/>
      <c r="F1658" s="151"/>
      <c r="G1658" s="152"/>
      <c r="H1658" s="153"/>
      <c r="I1658" s="154"/>
      <c r="J1658" s="154"/>
      <c r="K1658" s="30" t="str">
        <f>IF(H1658="","",IF($C$30="간이법","",FPR(H1658,I1658,J1658)))</f>
        <v/>
      </c>
      <c r="L1658" s="30" t="str">
        <f>IF(H1658="","",IF($C$30="상세법",FPV(H1658,K1658),IF(H1658="EI",4,IF(H1658="EO",5.2,IF(H1658="EQ",3.9,IF(H1658="ILF",7.5,IF(H1658="EIF",5.4)))))))</f>
        <v/>
      </c>
      <c r="M1658" s="30" t="str">
        <f t="shared" si="170"/>
        <v/>
      </c>
      <c r="N1658" s="134"/>
      <c r="O1658" s="29"/>
      <c r="P1658" s="37" t="str">
        <f t="shared" si="171"/>
        <v/>
      </c>
      <c r="Q1658" s="38" t="str">
        <f t="shared" si="172"/>
        <v/>
      </c>
      <c r="R1658" s="37" t="str">
        <f t="shared" si="173"/>
        <v/>
      </c>
      <c r="S1658" s="37" t="str">
        <f t="shared" si="174"/>
        <v/>
      </c>
      <c r="T1658" s="38" t="str">
        <f t="shared" si="175"/>
        <v/>
      </c>
      <c r="U1658" s="37" t="str">
        <f t="shared" si="176"/>
        <v/>
      </c>
    </row>
    <row r="1659" spans="2:21" ht="17.25">
      <c r="B1659" s="156"/>
      <c r="C1659" s="156"/>
      <c r="D1659" s="157"/>
      <c r="E1659" s="155"/>
      <c r="F1659" s="151"/>
      <c r="G1659" s="152"/>
      <c r="H1659" s="153"/>
      <c r="I1659" s="154"/>
      <c r="J1659" s="154"/>
      <c r="K1659" s="30" t="str">
        <f>IF(H1659="","",IF($C$30="간이법","",FPR(H1659,I1659,J1659)))</f>
        <v/>
      </c>
      <c r="L1659" s="30" t="str">
        <f>IF(H1659="","",IF($C$30="상세법",FPV(H1659,K1659),IF(H1659="EI",4,IF(H1659="EO",5.2,IF(H1659="EQ",3.9,IF(H1659="ILF",7.5,IF(H1659="EIF",5.4)))))))</f>
        <v/>
      </c>
      <c r="M1659" s="30" t="str">
        <f t="shared" si="170"/>
        <v/>
      </c>
      <c r="N1659" s="134"/>
      <c r="O1659" s="29"/>
      <c r="P1659" s="37" t="str">
        <f t="shared" si="171"/>
        <v/>
      </c>
      <c r="Q1659" s="38" t="str">
        <f t="shared" si="172"/>
        <v/>
      </c>
      <c r="R1659" s="37" t="str">
        <f t="shared" si="173"/>
        <v/>
      </c>
      <c r="S1659" s="37" t="str">
        <f t="shared" si="174"/>
        <v/>
      </c>
      <c r="T1659" s="38" t="str">
        <f t="shared" si="175"/>
        <v/>
      </c>
      <c r="U1659" s="37" t="str">
        <f t="shared" si="176"/>
        <v/>
      </c>
    </row>
    <row r="1660" spans="2:21" ht="17.25">
      <c r="B1660" s="156"/>
      <c r="C1660" s="156"/>
      <c r="D1660" s="157"/>
      <c r="E1660" s="155"/>
      <c r="F1660" s="151"/>
      <c r="G1660" s="152"/>
      <c r="H1660" s="153"/>
      <c r="I1660" s="154"/>
      <c r="J1660" s="154"/>
      <c r="K1660" s="30" t="str">
        <f>IF(H1660="","",IF($C$30="간이법","",FPR(H1660,I1660,J1660)))</f>
        <v/>
      </c>
      <c r="L1660" s="30" t="str">
        <f>IF(H1660="","",IF($C$30="상세법",FPV(H1660,K1660),IF(H1660="EI",4,IF(H1660="EO",5.2,IF(H1660="EQ",3.9,IF(H1660="ILF",7.5,IF(H1660="EIF",5.4)))))))</f>
        <v/>
      </c>
      <c r="M1660" s="30" t="str">
        <f t="shared" ref="M1660:M1723" si="177">IF(OR(G1660="",$E$36="(선택)",$E$40="(선택)",$E$41="(선택)",F1660="신규 개발",F1660="수정 없이 재사용"),"",(IF(F1660="수정 후 재사용",IF($E$50&lt;=0.5,L1660*($E$36+$E$50*100*(1+0.02*($E$40*$E$41)))/100,L1660*($E$36+$E$50*100+($E$40*$E$41))/100))))</f>
        <v/>
      </c>
      <c r="N1660" s="134"/>
      <c r="O1660" s="29"/>
      <c r="P1660" s="37" t="str">
        <f t="shared" ref="P1660:P1723" si="178">IF(F1660="수정 후 재사용",IF(H1660="ILF",G1660,IF(H1660="EIF",G1660,"")),"")</f>
        <v/>
      </c>
      <c r="Q1660" s="38" t="str">
        <f t="shared" ref="Q1660:Q1723" si="179">IF(P1660&lt;&gt;"",IF(H1660="ILF", L1660/$E$46,IF(H1660="EIF", L1660/$E$46,"")),"")</f>
        <v/>
      </c>
      <c r="R1660" s="37" t="str">
        <f t="shared" ref="R1660:R1723" si="180">IF(P1660&lt;&gt;"",P1660*Q1660,"")</f>
        <v/>
      </c>
      <c r="S1660" s="37" t="str">
        <f t="shared" ref="S1660:S1723" si="181">IF(F1660="수정 후 재사용",IF(H1660="EI",G1660,IF(H1660="EO",G1660,IF(H1660="EQ",G1660,""))),"")</f>
        <v/>
      </c>
      <c r="T1660" s="38" t="str">
        <f t="shared" ref="T1660:T1723" si="182">IF(S1660&lt;&gt;"",IF(H1660="EI",L1660/$E$47,IF(H1660="EO",L1660/$E$47,IF(H1660="EQ",L1660/$E$47,""))),"")</f>
        <v/>
      </c>
      <c r="U1660" s="37" t="str">
        <f t="shared" ref="U1660:U1723" si="183">IF(S1660&lt;&gt;"",S1660*T1660,"")</f>
        <v/>
      </c>
    </row>
    <row r="1661" spans="2:21" ht="17.25">
      <c r="B1661" s="156"/>
      <c r="C1661" s="156"/>
      <c r="D1661" s="157"/>
      <c r="E1661" s="155"/>
      <c r="F1661" s="151"/>
      <c r="G1661" s="152"/>
      <c r="H1661" s="153"/>
      <c r="I1661" s="154"/>
      <c r="J1661" s="154"/>
      <c r="K1661" s="30" t="str">
        <f>IF(H1661="","",IF($C$30="간이법","",FPR(H1661,I1661,J1661)))</f>
        <v/>
      </c>
      <c r="L1661" s="30" t="str">
        <f>IF(H1661="","",IF($C$30="상세법",FPV(H1661,K1661),IF(H1661="EI",4,IF(H1661="EO",5.2,IF(H1661="EQ",3.9,IF(H1661="ILF",7.5,IF(H1661="EIF",5.4)))))))</f>
        <v/>
      </c>
      <c r="M1661" s="30" t="str">
        <f t="shared" si="177"/>
        <v/>
      </c>
      <c r="N1661" s="134"/>
      <c r="O1661" s="29"/>
      <c r="P1661" s="37" t="str">
        <f t="shared" si="178"/>
        <v/>
      </c>
      <c r="Q1661" s="38" t="str">
        <f t="shared" si="179"/>
        <v/>
      </c>
      <c r="R1661" s="37" t="str">
        <f t="shared" si="180"/>
        <v/>
      </c>
      <c r="S1661" s="37" t="str">
        <f t="shared" si="181"/>
        <v/>
      </c>
      <c r="T1661" s="38" t="str">
        <f t="shared" si="182"/>
        <v/>
      </c>
      <c r="U1661" s="37" t="str">
        <f t="shared" si="183"/>
        <v/>
      </c>
    </row>
    <row r="1662" spans="2:21" ht="17.25">
      <c r="B1662" s="156"/>
      <c r="C1662" s="156"/>
      <c r="D1662" s="157"/>
      <c r="E1662" s="155"/>
      <c r="F1662" s="151"/>
      <c r="G1662" s="152"/>
      <c r="H1662" s="153"/>
      <c r="I1662" s="154"/>
      <c r="J1662" s="154"/>
      <c r="K1662" s="30" t="str">
        <f>IF(H1662="","",IF($C$30="간이법","",FPR(H1662,I1662,J1662)))</f>
        <v/>
      </c>
      <c r="L1662" s="30" t="str">
        <f>IF(H1662="","",IF($C$30="상세법",FPV(H1662,K1662),IF(H1662="EI",4,IF(H1662="EO",5.2,IF(H1662="EQ",3.9,IF(H1662="ILF",7.5,IF(H1662="EIF",5.4)))))))</f>
        <v/>
      </c>
      <c r="M1662" s="30" t="str">
        <f t="shared" si="177"/>
        <v/>
      </c>
      <c r="N1662" s="134"/>
      <c r="O1662" s="29"/>
      <c r="P1662" s="37" t="str">
        <f t="shared" si="178"/>
        <v/>
      </c>
      <c r="Q1662" s="38" t="str">
        <f t="shared" si="179"/>
        <v/>
      </c>
      <c r="R1662" s="37" t="str">
        <f t="shared" si="180"/>
        <v/>
      </c>
      <c r="S1662" s="37" t="str">
        <f t="shared" si="181"/>
        <v/>
      </c>
      <c r="T1662" s="38" t="str">
        <f t="shared" si="182"/>
        <v/>
      </c>
      <c r="U1662" s="37" t="str">
        <f t="shared" si="183"/>
        <v/>
      </c>
    </row>
    <row r="1663" spans="2:21" ht="17.25">
      <c r="B1663" s="156"/>
      <c r="C1663" s="156"/>
      <c r="D1663" s="157"/>
      <c r="E1663" s="155"/>
      <c r="F1663" s="151"/>
      <c r="G1663" s="152"/>
      <c r="H1663" s="153"/>
      <c r="I1663" s="154"/>
      <c r="J1663" s="154"/>
      <c r="K1663" s="30" t="str">
        <f>IF(H1663="","",IF($C$30="간이법","",FPR(H1663,I1663,J1663)))</f>
        <v/>
      </c>
      <c r="L1663" s="30" t="str">
        <f>IF(H1663="","",IF($C$30="상세법",FPV(H1663,K1663),IF(H1663="EI",4,IF(H1663="EO",5.2,IF(H1663="EQ",3.9,IF(H1663="ILF",7.5,IF(H1663="EIF",5.4)))))))</f>
        <v/>
      </c>
      <c r="M1663" s="30" t="str">
        <f t="shared" si="177"/>
        <v/>
      </c>
      <c r="N1663" s="134"/>
      <c r="O1663" s="29"/>
      <c r="P1663" s="37" t="str">
        <f t="shared" si="178"/>
        <v/>
      </c>
      <c r="Q1663" s="38" t="str">
        <f t="shared" si="179"/>
        <v/>
      </c>
      <c r="R1663" s="37" t="str">
        <f t="shared" si="180"/>
        <v/>
      </c>
      <c r="S1663" s="37" t="str">
        <f t="shared" si="181"/>
        <v/>
      </c>
      <c r="T1663" s="38" t="str">
        <f t="shared" si="182"/>
        <v/>
      </c>
      <c r="U1663" s="37" t="str">
        <f t="shared" si="183"/>
        <v/>
      </c>
    </row>
    <row r="1664" spans="2:21" ht="17.25">
      <c r="B1664" s="156"/>
      <c r="C1664" s="156"/>
      <c r="D1664" s="157"/>
      <c r="E1664" s="155"/>
      <c r="F1664" s="151"/>
      <c r="G1664" s="152"/>
      <c r="H1664" s="153"/>
      <c r="I1664" s="154"/>
      <c r="J1664" s="154"/>
      <c r="K1664" s="30" t="str">
        <f>IF(H1664="","",IF($C$30="간이법","",FPR(H1664,I1664,J1664)))</f>
        <v/>
      </c>
      <c r="L1664" s="30" t="str">
        <f>IF(H1664="","",IF($C$30="상세법",FPV(H1664,K1664),IF(H1664="EI",4,IF(H1664="EO",5.2,IF(H1664="EQ",3.9,IF(H1664="ILF",7.5,IF(H1664="EIF",5.4)))))))</f>
        <v/>
      </c>
      <c r="M1664" s="30" t="str">
        <f t="shared" si="177"/>
        <v/>
      </c>
      <c r="N1664" s="134"/>
      <c r="O1664" s="29"/>
      <c r="P1664" s="37" t="str">
        <f t="shared" si="178"/>
        <v/>
      </c>
      <c r="Q1664" s="38" t="str">
        <f t="shared" si="179"/>
        <v/>
      </c>
      <c r="R1664" s="37" t="str">
        <f t="shared" si="180"/>
        <v/>
      </c>
      <c r="S1664" s="37" t="str">
        <f t="shared" si="181"/>
        <v/>
      </c>
      <c r="T1664" s="38" t="str">
        <f t="shared" si="182"/>
        <v/>
      </c>
      <c r="U1664" s="37" t="str">
        <f t="shared" si="183"/>
        <v/>
      </c>
    </row>
    <row r="1665" spans="2:21" ht="17.25">
      <c r="B1665" s="156"/>
      <c r="C1665" s="156"/>
      <c r="D1665" s="157"/>
      <c r="E1665" s="155"/>
      <c r="F1665" s="151"/>
      <c r="G1665" s="152"/>
      <c r="H1665" s="153"/>
      <c r="I1665" s="154"/>
      <c r="J1665" s="154"/>
      <c r="K1665" s="30" t="str">
        <f>IF(H1665="","",IF($C$30="간이법","",FPR(H1665,I1665,J1665)))</f>
        <v/>
      </c>
      <c r="L1665" s="30" t="str">
        <f>IF(H1665="","",IF($C$30="상세법",FPV(H1665,K1665),IF(H1665="EI",4,IF(H1665="EO",5.2,IF(H1665="EQ",3.9,IF(H1665="ILF",7.5,IF(H1665="EIF",5.4)))))))</f>
        <v/>
      </c>
      <c r="M1665" s="30" t="str">
        <f t="shared" si="177"/>
        <v/>
      </c>
      <c r="N1665" s="134"/>
      <c r="O1665" s="29"/>
      <c r="P1665" s="37" t="str">
        <f t="shared" si="178"/>
        <v/>
      </c>
      <c r="Q1665" s="38" t="str">
        <f t="shared" si="179"/>
        <v/>
      </c>
      <c r="R1665" s="37" t="str">
        <f t="shared" si="180"/>
        <v/>
      </c>
      <c r="S1665" s="37" t="str">
        <f t="shared" si="181"/>
        <v/>
      </c>
      <c r="T1665" s="38" t="str">
        <f t="shared" si="182"/>
        <v/>
      </c>
      <c r="U1665" s="37" t="str">
        <f t="shared" si="183"/>
        <v/>
      </c>
    </row>
    <row r="1666" spans="2:21" ht="17.25">
      <c r="B1666" s="156"/>
      <c r="C1666" s="156"/>
      <c r="D1666" s="157"/>
      <c r="E1666" s="155"/>
      <c r="F1666" s="151"/>
      <c r="G1666" s="152"/>
      <c r="H1666" s="153"/>
      <c r="I1666" s="154"/>
      <c r="J1666" s="154"/>
      <c r="K1666" s="30" t="str">
        <f>IF(H1666="","",IF($C$30="간이법","",FPR(H1666,I1666,J1666)))</f>
        <v/>
      </c>
      <c r="L1666" s="30" t="str">
        <f>IF(H1666="","",IF($C$30="상세법",FPV(H1666,K1666),IF(H1666="EI",4,IF(H1666="EO",5.2,IF(H1666="EQ",3.9,IF(H1666="ILF",7.5,IF(H1666="EIF",5.4)))))))</f>
        <v/>
      </c>
      <c r="M1666" s="30" t="str">
        <f t="shared" si="177"/>
        <v/>
      </c>
      <c r="N1666" s="134"/>
      <c r="O1666" s="29"/>
      <c r="P1666" s="37" t="str">
        <f t="shared" si="178"/>
        <v/>
      </c>
      <c r="Q1666" s="38" t="str">
        <f t="shared" si="179"/>
        <v/>
      </c>
      <c r="R1666" s="37" t="str">
        <f t="shared" si="180"/>
        <v/>
      </c>
      <c r="S1666" s="37" t="str">
        <f t="shared" si="181"/>
        <v/>
      </c>
      <c r="T1666" s="38" t="str">
        <f t="shared" si="182"/>
        <v/>
      </c>
      <c r="U1666" s="37" t="str">
        <f t="shared" si="183"/>
        <v/>
      </c>
    </row>
    <row r="1667" spans="2:21" ht="17.25">
      <c r="B1667" s="156"/>
      <c r="C1667" s="156"/>
      <c r="D1667" s="157"/>
      <c r="E1667" s="155"/>
      <c r="F1667" s="151"/>
      <c r="G1667" s="152"/>
      <c r="H1667" s="153"/>
      <c r="I1667" s="154"/>
      <c r="J1667" s="154"/>
      <c r="K1667" s="30" t="str">
        <f>IF(H1667="","",IF($C$30="간이법","",FPR(H1667,I1667,J1667)))</f>
        <v/>
      </c>
      <c r="L1667" s="30" t="str">
        <f>IF(H1667="","",IF($C$30="상세법",FPV(H1667,K1667),IF(H1667="EI",4,IF(H1667="EO",5.2,IF(H1667="EQ",3.9,IF(H1667="ILF",7.5,IF(H1667="EIF",5.4)))))))</f>
        <v/>
      </c>
      <c r="M1667" s="30" t="str">
        <f t="shared" si="177"/>
        <v/>
      </c>
      <c r="N1667" s="134"/>
      <c r="O1667" s="29"/>
      <c r="P1667" s="37" t="str">
        <f t="shared" si="178"/>
        <v/>
      </c>
      <c r="Q1667" s="38" t="str">
        <f t="shared" si="179"/>
        <v/>
      </c>
      <c r="R1667" s="37" t="str">
        <f t="shared" si="180"/>
        <v/>
      </c>
      <c r="S1667" s="37" t="str">
        <f t="shared" si="181"/>
        <v/>
      </c>
      <c r="T1667" s="38" t="str">
        <f t="shared" si="182"/>
        <v/>
      </c>
      <c r="U1667" s="37" t="str">
        <f t="shared" si="183"/>
        <v/>
      </c>
    </row>
    <row r="1668" spans="2:21" ht="17.25">
      <c r="B1668" s="156"/>
      <c r="C1668" s="156"/>
      <c r="D1668" s="157"/>
      <c r="E1668" s="155"/>
      <c r="F1668" s="151"/>
      <c r="G1668" s="152"/>
      <c r="H1668" s="153"/>
      <c r="I1668" s="154"/>
      <c r="J1668" s="154"/>
      <c r="K1668" s="30" t="str">
        <f>IF(H1668="","",IF($C$30="간이법","",FPR(H1668,I1668,J1668)))</f>
        <v/>
      </c>
      <c r="L1668" s="30" t="str">
        <f>IF(H1668="","",IF($C$30="상세법",FPV(H1668,K1668),IF(H1668="EI",4,IF(H1668="EO",5.2,IF(H1668="EQ",3.9,IF(H1668="ILF",7.5,IF(H1668="EIF",5.4)))))))</f>
        <v/>
      </c>
      <c r="M1668" s="30" t="str">
        <f t="shared" si="177"/>
        <v/>
      </c>
      <c r="N1668" s="134"/>
      <c r="O1668" s="29"/>
      <c r="P1668" s="37" t="str">
        <f t="shared" si="178"/>
        <v/>
      </c>
      <c r="Q1668" s="38" t="str">
        <f t="shared" si="179"/>
        <v/>
      </c>
      <c r="R1668" s="37" t="str">
        <f t="shared" si="180"/>
        <v/>
      </c>
      <c r="S1668" s="37" t="str">
        <f t="shared" si="181"/>
        <v/>
      </c>
      <c r="T1668" s="38" t="str">
        <f t="shared" si="182"/>
        <v/>
      </c>
      <c r="U1668" s="37" t="str">
        <f t="shared" si="183"/>
        <v/>
      </c>
    </row>
    <row r="1669" spans="2:21" ht="17.25">
      <c r="B1669" s="156"/>
      <c r="C1669" s="156"/>
      <c r="D1669" s="157"/>
      <c r="E1669" s="155"/>
      <c r="F1669" s="151"/>
      <c r="G1669" s="152"/>
      <c r="H1669" s="153"/>
      <c r="I1669" s="154"/>
      <c r="J1669" s="154"/>
      <c r="K1669" s="30" t="str">
        <f>IF(H1669="","",IF($C$30="간이법","",FPR(H1669,I1669,J1669)))</f>
        <v/>
      </c>
      <c r="L1669" s="30" t="str">
        <f>IF(H1669="","",IF($C$30="상세법",FPV(H1669,K1669),IF(H1669="EI",4,IF(H1669="EO",5.2,IF(H1669="EQ",3.9,IF(H1669="ILF",7.5,IF(H1669="EIF",5.4)))))))</f>
        <v/>
      </c>
      <c r="M1669" s="30" t="str">
        <f t="shared" si="177"/>
        <v/>
      </c>
      <c r="N1669" s="134"/>
      <c r="O1669" s="29"/>
      <c r="P1669" s="37" t="str">
        <f t="shared" si="178"/>
        <v/>
      </c>
      <c r="Q1669" s="38" t="str">
        <f t="shared" si="179"/>
        <v/>
      </c>
      <c r="R1669" s="37" t="str">
        <f t="shared" si="180"/>
        <v/>
      </c>
      <c r="S1669" s="37" t="str">
        <f t="shared" si="181"/>
        <v/>
      </c>
      <c r="T1669" s="38" t="str">
        <f t="shared" si="182"/>
        <v/>
      </c>
      <c r="U1669" s="37" t="str">
        <f t="shared" si="183"/>
        <v/>
      </c>
    </row>
    <row r="1670" spans="2:21" ht="17.25">
      <c r="B1670" s="156"/>
      <c r="C1670" s="156"/>
      <c r="D1670" s="157"/>
      <c r="E1670" s="155"/>
      <c r="F1670" s="151"/>
      <c r="G1670" s="152"/>
      <c r="H1670" s="153"/>
      <c r="I1670" s="154"/>
      <c r="J1670" s="154"/>
      <c r="K1670" s="30" t="str">
        <f>IF(H1670="","",IF($C$30="간이법","",FPR(H1670,I1670,J1670)))</f>
        <v/>
      </c>
      <c r="L1670" s="30" t="str">
        <f>IF(H1670="","",IF($C$30="상세법",FPV(H1670,K1670),IF(H1670="EI",4,IF(H1670="EO",5.2,IF(H1670="EQ",3.9,IF(H1670="ILF",7.5,IF(H1670="EIF",5.4)))))))</f>
        <v/>
      </c>
      <c r="M1670" s="30" t="str">
        <f t="shared" si="177"/>
        <v/>
      </c>
      <c r="N1670" s="134"/>
      <c r="O1670" s="29"/>
      <c r="P1670" s="37" t="str">
        <f t="shared" si="178"/>
        <v/>
      </c>
      <c r="Q1670" s="38" t="str">
        <f t="shared" si="179"/>
        <v/>
      </c>
      <c r="R1670" s="37" t="str">
        <f t="shared" si="180"/>
        <v/>
      </c>
      <c r="S1670" s="37" t="str">
        <f t="shared" si="181"/>
        <v/>
      </c>
      <c r="T1670" s="38" t="str">
        <f t="shared" si="182"/>
        <v/>
      </c>
      <c r="U1670" s="37" t="str">
        <f t="shared" si="183"/>
        <v/>
      </c>
    </row>
    <row r="1671" spans="2:21" ht="17.25">
      <c r="B1671" s="156"/>
      <c r="C1671" s="156"/>
      <c r="D1671" s="157"/>
      <c r="E1671" s="155"/>
      <c r="F1671" s="151"/>
      <c r="G1671" s="152"/>
      <c r="H1671" s="153"/>
      <c r="I1671" s="154"/>
      <c r="J1671" s="154"/>
      <c r="K1671" s="30" t="str">
        <f>IF(H1671="","",IF($C$30="간이법","",FPR(H1671,I1671,J1671)))</f>
        <v/>
      </c>
      <c r="L1671" s="30" t="str">
        <f>IF(H1671="","",IF($C$30="상세법",FPV(H1671,K1671),IF(H1671="EI",4,IF(H1671="EO",5.2,IF(H1671="EQ",3.9,IF(H1671="ILF",7.5,IF(H1671="EIF",5.4)))))))</f>
        <v/>
      </c>
      <c r="M1671" s="30" t="str">
        <f t="shared" si="177"/>
        <v/>
      </c>
      <c r="N1671" s="134"/>
      <c r="O1671" s="29"/>
      <c r="P1671" s="37" t="str">
        <f t="shared" si="178"/>
        <v/>
      </c>
      <c r="Q1671" s="38" t="str">
        <f t="shared" si="179"/>
        <v/>
      </c>
      <c r="R1671" s="37" t="str">
        <f t="shared" si="180"/>
        <v/>
      </c>
      <c r="S1671" s="37" t="str">
        <f t="shared" si="181"/>
        <v/>
      </c>
      <c r="T1671" s="38" t="str">
        <f t="shared" si="182"/>
        <v/>
      </c>
      <c r="U1671" s="37" t="str">
        <f t="shared" si="183"/>
        <v/>
      </c>
    </row>
    <row r="1672" spans="2:21" ht="17.25">
      <c r="B1672" s="156"/>
      <c r="C1672" s="156"/>
      <c r="D1672" s="157"/>
      <c r="E1672" s="155"/>
      <c r="F1672" s="151"/>
      <c r="G1672" s="152"/>
      <c r="H1672" s="153"/>
      <c r="I1672" s="154"/>
      <c r="J1672" s="154"/>
      <c r="K1672" s="30" t="str">
        <f>IF(H1672="","",IF($C$30="간이법","",FPR(H1672,I1672,J1672)))</f>
        <v/>
      </c>
      <c r="L1672" s="30" t="str">
        <f>IF(H1672="","",IF($C$30="상세법",FPV(H1672,K1672),IF(H1672="EI",4,IF(H1672="EO",5.2,IF(H1672="EQ",3.9,IF(H1672="ILF",7.5,IF(H1672="EIF",5.4)))))))</f>
        <v/>
      </c>
      <c r="M1672" s="30" t="str">
        <f t="shared" si="177"/>
        <v/>
      </c>
      <c r="N1672" s="134"/>
      <c r="O1672" s="29"/>
      <c r="P1672" s="37" t="str">
        <f t="shared" si="178"/>
        <v/>
      </c>
      <c r="Q1672" s="38" t="str">
        <f t="shared" si="179"/>
        <v/>
      </c>
      <c r="R1672" s="37" t="str">
        <f t="shared" si="180"/>
        <v/>
      </c>
      <c r="S1672" s="37" t="str">
        <f t="shared" si="181"/>
        <v/>
      </c>
      <c r="T1672" s="38" t="str">
        <f t="shared" si="182"/>
        <v/>
      </c>
      <c r="U1672" s="37" t="str">
        <f t="shared" si="183"/>
        <v/>
      </c>
    </row>
    <row r="1673" spans="2:21" ht="17.25">
      <c r="B1673" s="156"/>
      <c r="C1673" s="156"/>
      <c r="D1673" s="157"/>
      <c r="E1673" s="155"/>
      <c r="F1673" s="151"/>
      <c r="G1673" s="152"/>
      <c r="H1673" s="153"/>
      <c r="I1673" s="154"/>
      <c r="J1673" s="154"/>
      <c r="K1673" s="30" t="str">
        <f>IF(H1673="","",IF($C$30="간이법","",FPR(H1673,I1673,J1673)))</f>
        <v/>
      </c>
      <c r="L1673" s="30" t="str">
        <f>IF(H1673="","",IF($C$30="상세법",FPV(H1673,K1673),IF(H1673="EI",4,IF(H1673="EO",5.2,IF(H1673="EQ",3.9,IF(H1673="ILF",7.5,IF(H1673="EIF",5.4)))))))</f>
        <v/>
      </c>
      <c r="M1673" s="30" t="str">
        <f t="shared" si="177"/>
        <v/>
      </c>
      <c r="N1673" s="134"/>
      <c r="O1673" s="29"/>
      <c r="P1673" s="37" t="str">
        <f t="shared" si="178"/>
        <v/>
      </c>
      <c r="Q1673" s="38" t="str">
        <f t="shared" si="179"/>
        <v/>
      </c>
      <c r="R1673" s="37" t="str">
        <f t="shared" si="180"/>
        <v/>
      </c>
      <c r="S1673" s="37" t="str">
        <f t="shared" si="181"/>
        <v/>
      </c>
      <c r="T1673" s="38" t="str">
        <f t="shared" si="182"/>
        <v/>
      </c>
      <c r="U1673" s="37" t="str">
        <f t="shared" si="183"/>
        <v/>
      </c>
    </row>
    <row r="1674" spans="2:21" ht="17.25">
      <c r="B1674" s="156"/>
      <c r="C1674" s="156"/>
      <c r="D1674" s="157"/>
      <c r="E1674" s="155"/>
      <c r="F1674" s="151"/>
      <c r="G1674" s="152"/>
      <c r="H1674" s="153"/>
      <c r="I1674" s="154"/>
      <c r="J1674" s="154"/>
      <c r="K1674" s="30" t="str">
        <f>IF(H1674="","",IF($C$30="간이법","",FPR(H1674,I1674,J1674)))</f>
        <v/>
      </c>
      <c r="L1674" s="30" t="str">
        <f>IF(H1674="","",IF($C$30="상세법",FPV(H1674,K1674),IF(H1674="EI",4,IF(H1674="EO",5.2,IF(H1674="EQ",3.9,IF(H1674="ILF",7.5,IF(H1674="EIF",5.4)))))))</f>
        <v/>
      </c>
      <c r="M1674" s="30" t="str">
        <f t="shared" si="177"/>
        <v/>
      </c>
      <c r="N1674" s="134"/>
      <c r="O1674" s="29"/>
      <c r="P1674" s="37" t="str">
        <f t="shared" si="178"/>
        <v/>
      </c>
      <c r="Q1674" s="38" t="str">
        <f t="shared" si="179"/>
        <v/>
      </c>
      <c r="R1674" s="37" t="str">
        <f t="shared" si="180"/>
        <v/>
      </c>
      <c r="S1674" s="37" t="str">
        <f t="shared" si="181"/>
        <v/>
      </c>
      <c r="T1674" s="38" t="str">
        <f t="shared" si="182"/>
        <v/>
      </c>
      <c r="U1674" s="37" t="str">
        <f t="shared" si="183"/>
        <v/>
      </c>
    </row>
    <row r="1675" spans="2:21" ht="17.25">
      <c r="B1675" s="156"/>
      <c r="C1675" s="156"/>
      <c r="D1675" s="157"/>
      <c r="E1675" s="155"/>
      <c r="F1675" s="151"/>
      <c r="G1675" s="152"/>
      <c r="H1675" s="153"/>
      <c r="I1675" s="154"/>
      <c r="J1675" s="154"/>
      <c r="K1675" s="30" t="str">
        <f>IF(H1675="","",IF($C$30="간이법","",FPR(H1675,I1675,J1675)))</f>
        <v/>
      </c>
      <c r="L1675" s="30" t="str">
        <f>IF(H1675="","",IF($C$30="상세법",FPV(H1675,K1675),IF(H1675="EI",4,IF(H1675="EO",5.2,IF(H1675="EQ",3.9,IF(H1675="ILF",7.5,IF(H1675="EIF",5.4)))))))</f>
        <v/>
      </c>
      <c r="M1675" s="30" t="str">
        <f t="shared" si="177"/>
        <v/>
      </c>
      <c r="N1675" s="134"/>
      <c r="O1675" s="29"/>
      <c r="P1675" s="37" t="str">
        <f t="shared" si="178"/>
        <v/>
      </c>
      <c r="Q1675" s="38" t="str">
        <f t="shared" si="179"/>
        <v/>
      </c>
      <c r="R1675" s="37" t="str">
        <f t="shared" si="180"/>
        <v/>
      </c>
      <c r="S1675" s="37" t="str">
        <f t="shared" si="181"/>
        <v/>
      </c>
      <c r="T1675" s="38" t="str">
        <f t="shared" si="182"/>
        <v/>
      </c>
      <c r="U1675" s="37" t="str">
        <f t="shared" si="183"/>
        <v/>
      </c>
    </row>
    <row r="1676" spans="2:21" ht="17.25">
      <c r="B1676" s="156"/>
      <c r="C1676" s="156"/>
      <c r="D1676" s="157"/>
      <c r="E1676" s="155"/>
      <c r="F1676" s="151"/>
      <c r="G1676" s="152"/>
      <c r="H1676" s="153"/>
      <c r="I1676" s="154"/>
      <c r="J1676" s="154"/>
      <c r="K1676" s="30" t="str">
        <f>IF(H1676="","",IF($C$30="간이법","",FPR(H1676,I1676,J1676)))</f>
        <v/>
      </c>
      <c r="L1676" s="30" t="str">
        <f>IF(H1676="","",IF($C$30="상세법",FPV(H1676,K1676),IF(H1676="EI",4,IF(H1676="EO",5.2,IF(H1676="EQ",3.9,IF(H1676="ILF",7.5,IF(H1676="EIF",5.4)))))))</f>
        <v/>
      </c>
      <c r="M1676" s="30" t="str">
        <f t="shared" si="177"/>
        <v/>
      </c>
      <c r="N1676" s="134"/>
      <c r="O1676" s="29"/>
      <c r="P1676" s="37" t="str">
        <f t="shared" si="178"/>
        <v/>
      </c>
      <c r="Q1676" s="38" t="str">
        <f t="shared" si="179"/>
        <v/>
      </c>
      <c r="R1676" s="37" t="str">
        <f t="shared" si="180"/>
        <v/>
      </c>
      <c r="S1676" s="37" t="str">
        <f t="shared" si="181"/>
        <v/>
      </c>
      <c r="T1676" s="38" t="str">
        <f t="shared" si="182"/>
        <v/>
      </c>
      <c r="U1676" s="37" t="str">
        <f t="shared" si="183"/>
        <v/>
      </c>
    </row>
    <row r="1677" spans="2:21" ht="17.25">
      <c r="B1677" s="156"/>
      <c r="C1677" s="156"/>
      <c r="D1677" s="157"/>
      <c r="E1677" s="155"/>
      <c r="F1677" s="151"/>
      <c r="G1677" s="152"/>
      <c r="H1677" s="153"/>
      <c r="I1677" s="154"/>
      <c r="J1677" s="154"/>
      <c r="K1677" s="30" t="str">
        <f>IF(H1677="","",IF($C$30="간이법","",FPR(H1677,I1677,J1677)))</f>
        <v/>
      </c>
      <c r="L1677" s="30" t="str">
        <f>IF(H1677="","",IF($C$30="상세법",FPV(H1677,K1677),IF(H1677="EI",4,IF(H1677="EO",5.2,IF(H1677="EQ",3.9,IF(H1677="ILF",7.5,IF(H1677="EIF",5.4)))))))</f>
        <v/>
      </c>
      <c r="M1677" s="30" t="str">
        <f t="shared" si="177"/>
        <v/>
      </c>
      <c r="N1677" s="134"/>
      <c r="O1677" s="29"/>
      <c r="P1677" s="37" t="str">
        <f t="shared" si="178"/>
        <v/>
      </c>
      <c r="Q1677" s="38" t="str">
        <f t="shared" si="179"/>
        <v/>
      </c>
      <c r="R1677" s="37" t="str">
        <f t="shared" si="180"/>
        <v/>
      </c>
      <c r="S1677" s="37" t="str">
        <f t="shared" si="181"/>
        <v/>
      </c>
      <c r="T1677" s="38" t="str">
        <f t="shared" si="182"/>
        <v/>
      </c>
      <c r="U1677" s="37" t="str">
        <f t="shared" si="183"/>
        <v/>
      </c>
    </row>
    <row r="1678" spans="2:21" ht="17.25">
      <c r="B1678" s="156"/>
      <c r="C1678" s="156"/>
      <c r="D1678" s="157"/>
      <c r="E1678" s="155"/>
      <c r="F1678" s="151"/>
      <c r="G1678" s="152"/>
      <c r="H1678" s="153"/>
      <c r="I1678" s="154"/>
      <c r="J1678" s="154"/>
      <c r="K1678" s="30" t="str">
        <f>IF(H1678="","",IF($C$30="간이법","",FPR(H1678,I1678,J1678)))</f>
        <v/>
      </c>
      <c r="L1678" s="30" t="str">
        <f>IF(H1678="","",IF($C$30="상세법",FPV(H1678,K1678),IF(H1678="EI",4,IF(H1678="EO",5.2,IF(H1678="EQ",3.9,IF(H1678="ILF",7.5,IF(H1678="EIF",5.4)))))))</f>
        <v/>
      </c>
      <c r="M1678" s="30" t="str">
        <f t="shared" si="177"/>
        <v/>
      </c>
      <c r="N1678" s="134"/>
      <c r="O1678" s="29"/>
      <c r="P1678" s="37" t="str">
        <f t="shared" si="178"/>
        <v/>
      </c>
      <c r="Q1678" s="38" t="str">
        <f t="shared" si="179"/>
        <v/>
      </c>
      <c r="R1678" s="37" t="str">
        <f t="shared" si="180"/>
        <v/>
      </c>
      <c r="S1678" s="37" t="str">
        <f t="shared" si="181"/>
        <v/>
      </c>
      <c r="T1678" s="38" t="str">
        <f t="shared" si="182"/>
        <v/>
      </c>
      <c r="U1678" s="37" t="str">
        <f t="shared" si="183"/>
        <v/>
      </c>
    </row>
    <row r="1679" spans="2:21" ht="17.25">
      <c r="B1679" s="156"/>
      <c r="C1679" s="156"/>
      <c r="D1679" s="157"/>
      <c r="E1679" s="155"/>
      <c r="F1679" s="151"/>
      <c r="G1679" s="152"/>
      <c r="H1679" s="153"/>
      <c r="I1679" s="154"/>
      <c r="J1679" s="154"/>
      <c r="K1679" s="30" t="str">
        <f>IF(H1679="","",IF($C$30="간이법","",FPR(H1679,I1679,J1679)))</f>
        <v/>
      </c>
      <c r="L1679" s="30" t="str">
        <f>IF(H1679="","",IF($C$30="상세법",FPV(H1679,K1679),IF(H1679="EI",4,IF(H1679="EO",5.2,IF(H1679="EQ",3.9,IF(H1679="ILF",7.5,IF(H1679="EIF",5.4)))))))</f>
        <v/>
      </c>
      <c r="M1679" s="30" t="str">
        <f t="shared" si="177"/>
        <v/>
      </c>
      <c r="N1679" s="134"/>
      <c r="O1679" s="29"/>
      <c r="P1679" s="37" t="str">
        <f t="shared" si="178"/>
        <v/>
      </c>
      <c r="Q1679" s="38" t="str">
        <f t="shared" si="179"/>
        <v/>
      </c>
      <c r="R1679" s="37" t="str">
        <f t="shared" si="180"/>
        <v/>
      </c>
      <c r="S1679" s="37" t="str">
        <f t="shared" si="181"/>
        <v/>
      </c>
      <c r="T1679" s="38" t="str">
        <f t="shared" si="182"/>
        <v/>
      </c>
      <c r="U1679" s="37" t="str">
        <f t="shared" si="183"/>
        <v/>
      </c>
    </row>
    <row r="1680" spans="2:21" ht="17.25">
      <c r="B1680" s="156"/>
      <c r="C1680" s="156"/>
      <c r="D1680" s="157"/>
      <c r="E1680" s="155"/>
      <c r="F1680" s="151"/>
      <c r="G1680" s="152"/>
      <c r="H1680" s="153"/>
      <c r="I1680" s="154"/>
      <c r="J1680" s="154"/>
      <c r="K1680" s="30" t="str">
        <f>IF(H1680="","",IF($C$30="간이법","",FPR(H1680,I1680,J1680)))</f>
        <v/>
      </c>
      <c r="L1680" s="30" t="str">
        <f>IF(H1680="","",IF($C$30="상세법",FPV(H1680,K1680),IF(H1680="EI",4,IF(H1680="EO",5.2,IF(H1680="EQ",3.9,IF(H1680="ILF",7.5,IF(H1680="EIF",5.4)))))))</f>
        <v/>
      </c>
      <c r="M1680" s="30" t="str">
        <f t="shared" si="177"/>
        <v/>
      </c>
      <c r="N1680" s="134"/>
      <c r="O1680" s="29"/>
      <c r="P1680" s="37" t="str">
        <f t="shared" si="178"/>
        <v/>
      </c>
      <c r="Q1680" s="38" t="str">
        <f t="shared" si="179"/>
        <v/>
      </c>
      <c r="R1680" s="37" t="str">
        <f t="shared" si="180"/>
        <v/>
      </c>
      <c r="S1680" s="37" t="str">
        <f t="shared" si="181"/>
        <v/>
      </c>
      <c r="T1680" s="38" t="str">
        <f t="shared" si="182"/>
        <v/>
      </c>
      <c r="U1680" s="37" t="str">
        <f t="shared" si="183"/>
        <v/>
      </c>
    </row>
    <row r="1681" spans="2:21" ht="17.25">
      <c r="B1681" s="156"/>
      <c r="C1681" s="156"/>
      <c r="D1681" s="157"/>
      <c r="E1681" s="155"/>
      <c r="F1681" s="151"/>
      <c r="G1681" s="152"/>
      <c r="H1681" s="153"/>
      <c r="I1681" s="154"/>
      <c r="J1681" s="154"/>
      <c r="K1681" s="30" t="str">
        <f>IF(H1681="","",IF($C$30="간이법","",FPR(H1681,I1681,J1681)))</f>
        <v/>
      </c>
      <c r="L1681" s="30" t="str">
        <f>IF(H1681="","",IF($C$30="상세법",FPV(H1681,K1681),IF(H1681="EI",4,IF(H1681="EO",5.2,IF(H1681="EQ",3.9,IF(H1681="ILF",7.5,IF(H1681="EIF",5.4)))))))</f>
        <v/>
      </c>
      <c r="M1681" s="30" t="str">
        <f t="shared" si="177"/>
        <v/>
      </c>
      <c r="N1681" s="134"/>
      <c r="O1681" s="29"/>
      <c r="P1681" s="37" t="str">
        <f t="shared" si="178"/>
        <v/>
      </c>
      <c r="Q1681" s="38" t="str">
        <f t="shared" si="179"/>
        <v/>
      </c>
      <c r="R1681" s="37" t="str">
        <f t="shared" si="180"/>
        <v/>
      </c>
      <c r="S1681" s="37" t="str">
        <f t="shared" si="181"/>
        <v/>
      </c>
      <c r="T1681" s="38" t="str">
        <f t="shared" si="182"/>
        <v/>
      </c>
      <c r="U1681" s="37" t="str">
        <f t="shared" si="183"/>
        <v/>
      </c>
    </row>
    <row r="1682" spans="2:21" ht="17.25">
      <c r="B1682" s="156"/>
      <c r="C1682" s="156"/>
      <c r="D1682" s="157"/>
      <c r="E1682" s="155"/>
      <c r="F1682" s="151"/>
      <c r="G1682" s="152"/>
      <c r="H1682" s="153"/>
      <c r="I1682" s="154"/>
      <c r="J1682" s="154"/>
      <c r="K1682" s="30" t="str">
        <f>IF(H1682="","",IF($C$30="간이법","",FPR(H1682,I1682,J1682)))</f>
        <v/>
      </c>
      <c r="L1682" s="30" t="str">
        <f>IF(H1682="","",IF($C$30="상세법",FPV(H1682,K1682),IF(H1682="EI",4,IF(H1682="EO",5.2,IF(H1682="EQ",3.9,IF(H1682="ILF",7.5,IF(H1682="EIF",5.4)))))))</f>
        <v/>
      </c>
      <c r="M1682" s="30" t="str">
        <f t="shared" si="177"/>
        <v/>
      </c>
      <c r="N1682" s="134"/>
      <c r="O1682" s="29"/>
      <c r="P1682" s="37" t="str">
        <f t="shared" si="178"/>
        <v/>
      </c>
      <c r="Q1682" s="38" t="str">
        <f t="shared" si="179"/>
        <v/>
      </c>
      <c r="R1682" s="37" t="str">
        <f t="shared" si="180"/>
        <v/>
      </c>
      <c r="S1682" s="37" t="str">
        <f t="shared" si="181"/>
        <v/>
      </c>
      <c r="T1682" s="38" t="str">
        <f t="shared" si="182"/>
        <v/>
      </c>
      <c r="U1682" s="37" t="str">
        <f t="shared" si="183"/>
        <v/>
      </c>
    </row>
    <row r="1683" spans="2:21" ht="17.25">
      <c r="B1683" s="156"/>
      <c r="C1683" s="156"/>
      <c r="D1683" s="157"/>
      <c r="E1683" s="155"/>
      <c r="F1683" s="151"/>
      <c r="G1683" s="152"/>
      <c r="H1683" s="153"/>
      <c r="I1683" s="154"/>
      <c r="J1683" s="154"/>
      <c r="K1683" s="30" t="str">
        <f>IF(H1683="","",IF($C$30="간이법","",FPR(H1683,I1683,J1683)))</f>
        <v/>
      </c>
      <c r="L1683" s="30" t="str">
        <f>IF(H1683="","",IF($C$30="상세법",FPV(H1683,K1683),IF(H1683="EI",4,IF(H1683="EO",5.2,IF(H1683="EQ",3.9,IF(H1683="ILF",7.5,IF(H1683="EIF",5.4)))))))</f>
        <v/>
      </c>
      <c r="M1683" s="30" t="str">
        <f t="shared" si="177"/>
        <v/>
      </c>
      <c r="N1683" s="134"/>
      <c r="O1683" s="29"/>
      <c r="P1683" s="37" t="str">
        <f t="shared" si="178"/>
        <v/>
      </c>
      <c r="Q1683" s="38" t="str">
        <f t="shared" si="179"/>
        <v/>
      </c>
      <c r="R1683" s="37" t="str">
        <f t="shared" si="180"/>
        <v/>
      </c>
      <c r="S1683" s="37" t="str">
        <f t="shared" si="181"/>
        <v/>
      </c>
      <c r="T1683" s="38" t="str">
        <f t="shared" si="182"/>
        <v/>
      </c>
      <c r="U1683" s="37" t="str">
        <f t="shared" si="183"/>
        <v/>
      </c>
    </row>
    <row r="1684" spans="2:21" ht="17.25">
      <c r="B1684" s="156"/>
      <c r="C1684" s="156"/>
      <c r="D1684" s="157"/>
      <c r="E1684" s="155"/>
      <c r="F1684" s="151"/>
      <c r="G1684" s="152"/>
      <c r="H1684" s="153"/>
      <c r="I1684" s="154"/>
      <c r="J1684" s="154"/>
      <c r="K1684" s="30" t="str">
        <f>IF(H1684="","",IF($C$30="간이법","",FPR(H1684,I1684,J1684)))</f>
        <v/>
      </c>
      <c r="L1684" s="30" t="str">
        <f>IF(H1684="","",IF($C$30="상세법",FPV(H1684,K1684),IF(H1684="EI",4,IF(H1684="EO",5.2,IF(H1684="EQ",3.9,IF(H1684="ILF",7.5,IF(H1684="EIF",5.4)))))))</f>
        <v/>
      </c>
      <c r="M1684" s="30" t="str">
        <f t="shared" si="177"/>
        <v/>
      </c>
      <c r="N1684" s="134"/>
      <c r="O1684" s="29"/>
      <c r="P1684" s="37" t="str">
        <f t="shared" si="178"/>
        <v/>
      </c>
      <c r="Q1684" s="38" t="str">
        <f t="shared" si="179"/>
        <v/>
      </c>
      <c r="R1684" s="37" t="str">
        <f t="shared" si="180"/>
        <v/>
      </c>
      <c r="S1684" s="37" t="str">
        <f t="shared" si="181"/>
        <v/>
      </c>
      <c r="T1684" s="38" t="str">
        <f t="shared" si="182"/>
        <v/>
      </c>
      <c r="U1684" s="37" t="str">
        <f t="shared" si="183"/>
        <v/>
      </c>
    </row>
    <row r="1685" spans="2:21" ht="17.25">
      <c r="B1685" s="156"/>
      <c r="C1685" s="156"/>
      <c r="D1685" s="157"/>
      <c r="E1685" s="155"/>
      <c r="F1685" s="151"/>
      <c r="G1685" s="152"/>
      <c r="H1685" s="153"/>
      <c r="I1685" s="154"/>
      <c r="J1685" s="154"/>
      <c r="K1685" s="30" t="str">
        <f>IF(H1685="","",IF($C$30="간이법","",FPR(H1685,I1685,J1685)))</f>
        <v/>
      </c>
      <c r="L1685" s="30" t="str">
        <f>IF(H1685="","",IF($C$30="상세법",FPV(H1685,K1685),IF(H1685="EI",4,IF(H1685="EO",5.2,IF(H1685="EQ",3.9,IF(H1685="ILF",7.5,IF(H1685="EIF",5.4)))))))</f>
        <v/>
      </c>
      <c r="M1685" s="30" t="str">
        <f t="shared" si="177"/>
        <v/>
      </c>
      <c r="N1685" s="134"/>
      <c r="O1685" s="29"/>
      <c r="P1685" s="37" t="str">
        <f t="shared" si="178"/>
        <v/>
      </c>
      <c r="Q1685" s="38" t="str">
        <f t="shared" si="179"/>
        <v/>
      </c>
      <c r="R1685" s="37" t="str">
        <f t="shared" si="180"/>
        <v/>
      </c>
      <c r="S1685" s="37" t="str">
        <f t="shared" si="181"/>
        <v/>
      </c>
      <c r="T1685" s="38" t="str">
        <f t="shared" si="182"/>
        <v/>
      </c>
      <c r="U1685" s="37" t="str">
        <f t="shared" si="183"/>
        <v/>
      </c>
    </row>
    <row r="1686" spans="2:21" ht="17.25">
      <c r="B1686" s="156"/>
      <c r="C1686" s="156"/>
      <c r="D1686" s="157"/>
      <c r="E1686" s="155"/>
      <c r="F1686" s="151"/>
      <c r="G1686" s="152"/>
      <c r="H1686" s="153"/>
      <c r="I1686" s="154"/>
      <c r="J1686" s="154"/>
      <c r="K1686" s="30" t="str">
        <f>IF(H1686="","",IF($C$30="간이법","",FPR(H1686,I1686,J1686)))</f>
        <v/>
      </c>
      <c r="L1686" s="30" t="str">
        <f>IF(H1686="","",IF($C$30="상세법",FPV(H1686,K1686),IF(H1686="EI",4,IF(H1686="EO",5.2,IF(H1686="EQ",3.9,IF(H1686="ILF",7.5,IF(H1686="EIF",5.4)))))))</f>
        <v/>
      </c>
      <c r="M1686" s="30" t="str">
        <f t="shared" si="177"/>
        <v/>
      </c>
      <c r="N1686" s="134"/>
      <c r="O1686" s="29"/>
      <c r="P1686" s="37" t="str">
        <f t="shared" si="178"/>
        <v/>
      </c>
      <c r="Q1686" s="38" t="str">
        <f t="shared" si="179"/>
        <v/>
      </c>
      <c r="R1686" s="37" t="str">
        <f t="shared" si="180"/>
        <v/>
      </c>
      <c r="S1686" s="37" t="str">
        <f t="shared" si="181"/>
        <v/>
      </c>
      <c r="T1686" s="38" t="str">
        <f t="shared" si="182"/>
        <v/>
      </c>
      <c r="U1686" s="37" t="str">
        <f t="shared" si="183"/>
        <v/>
      </c>
    </row>
    <row r="1687" spans="2:21" ht="17.25">
      <c r="B1687" s="156"/>
      <c r="C1687" s="156"/>
      <c r="D1687" s="157"/>
      <c r="E1687" s="155"/>
      <c r="F1687" s="151"/>
      <c r="G1687" s="152"/>
      <c r="H1687" s="153"/>
      <c r="I1687" s="154"/>
      <c r="J1687" s="154"/>
      <c r="K1687" s="30" t="str">
        <f>IF(H1687="","",IF($C$30="간이법","",FPR(H1687,I1687,J1687)))</f>
        <v/>
      </c>
      <c r="L1687" s="30" t="str">
        <f>IF(H1687="","",IF($C$30="상세법",FPV(H1687,K1687),IF(H1687="EI",4,IF(H1687="EO",5.2,IF(H1687="EQ",3.9,IF(H1687="ILF",7.5,IF(H1687="EIF",5.4)))))))</f>
        <v/>
      </c>
      <c r="M1687" s="30" t="str">
        <f t="shared" si="177"/>
        <v/>
      </c>
      <c r="N1687" s="134"/>
      <c r="O1687" s="29"/>
      <c r="P1687" s="37" t="str">
        <f t="shared" si="178"/>
        <v/>
      </c>
      <c r="Q1687" s="38" t="str">
        <f t="shared" si="179"/>
        <v/>
      </c>
      <c r="R1687" s="37" t="str">
        <f t="shared" si="180"/>
        <v/>
      </c>
      <c r="S1687" s="37" t="str">
        <f t="shared" si="181"/>
        <v/>
      </c>
      <c r="T1687" s="38" t="str">
        <f t="shared" si="182"/>
        <v/>
      </c>
      <c r="U1687" s="37" t="str">
        <f t="shared" si="183"/>
        <v/>
      </c>
    </row>
    <row r="1688" spans="2:21" ht="17.25">
      <c r="B1688" s="156"/>
      <c r="C1688" s="156"/>
      <c r="D1688" s="157"/>
      <c r="E1688" s="155"/>
      <c r="F1688" s="151"/>
      <c r="G1688" s="152"/>
      <c r="H1688" s="153"/>
      <c r="I1688" s="154"/>
      <c r="J1688" s="154"/>
      <c r="K1688" s="30" t="str">
        <f>IF(H1688="","",IF($C$30="간이법","",FPR(H1688,I1688,J1688)))</f>
        <v/>
      </c>
      <c r="L1688" s="30" t="str">
        <f>IF(H1688="","",IF($C$30="상세법",FPV(H1688,K1688),IF(H1688="EI",4,IF(H1688="EO",5.2,IF(H1688="EQ",3.9,IF(H1688="ILF",7.5,IF(H1688="EIF",5.4)))))))</f>
        <v/>
      </c>
      <c r="M1688" s="30" t="str">
        <f t="shared" si="177"/>
        <v/>
      </c>
      <c r="N1688" s="134"/>
      <c r="O1688" s="29"/>
      <c r="P1688" s="37" t="str">
        <f t="shared" si="178"/>
        <v/>
      </c>
      <c r="Q1688" s="38" t="str">
        <f t="shared" si="179"/>
        <v/>
      </c>
      <c r="R1688" s="37" t="str">
        <f t="shared" si="180"/>
        <v/>
      </c>
      <c r="S1688" s="37" t="str">
        <f t="shared" si="181"/>
        <v/>
      </c>
      <c r="T1688" s="38" t="str">
        <f t="shared" si="182"/>
        <v/>
      </c>
      <c r="U1688" s="37" t="str">
        <f t="shared" si="183"/>
        <v/>
      </c>
    </row>
    <row r="1689" spans="2:21" ht="17.25">
      <c r="B1689" s="156"/>
      <c r="C1689" s="156"/>
      <c r="D1689" s="157"/>
      <c r="E1689" s="155"/>
      <c r="F1689" s="151"/>
      <c r="G1689" s="152"/>
      <c r="H1689" s="153"/>
      <c r="I1689" s="154"/>
      <c r="J1689" s="154"/>
      <c r="K1689" s="30" t="str">
        <f>IF(H1689="","",IF($C$30="간이법","",FPR(H1689,I1689,J1689)))</f>
        <v/>
      </c>
      <c r="L1689" s="30" t="str">
        <f>IF(H1689="","",IF($C$30="상세법",FPV(H1689,K1689),IF(H1689="EI",4,IF(H1689="EO",5.2,IF(H1689="EQ",3.9,IF(H1689="ILF",7.5,IF(H1689="EIF",5.4)))))))</f>
        <v/>
      </c>
      <c r="M1689" s="30" t="str">
        <f t="shared" si="177"/>
        <v/>
      </c>
      <c r="N1689" s="134"/>
      <c r="O1689" s="29"/>
      <c r="P1689" s="37" t="str">
        <f t="shared" si="178"/>
        <v/>
      </c>
      <c r="Q1689" s="38" t="str">
        <f t="shared" si="179"/>
        <v/>
      </c>
      <c r="R1689" s="37" t="str">
        <f t="shared" si="180"/>
        <v/>
      </c>
      <c r="S1689" s="37" t="str">
        <f t="shared" si="181"/>
        <v/>
      </c>
      <c r="T1689" s="38" t="str">
        <f t="shared" si="182"/>
        <v/>
      </c>
      <c r="U1689" s="37" t="str">
        <f t="shared" si="183"/>
        <v/>
      </c>
    </row>
    <row r="1690" spans="2:21" ht="17.25">
      <c r="B1690" s="156"/>
      <c r="C1690" s="156"/>
      <c r="D1690" s="157"/>
      <c r="E1690" s="155"/>
      <c r="F1690" s="151"/>
      <c r="G1690" s="152"/>
      <c r="H1690" s="153"/>
      <c r="I1690" s="154"/>
      <c r="J1690" s="154"/>
      <c r="K1690" s="30" t="str">
        <f>IF(H1690="","",IF($C$30="간이법","",FPR(H1690,I1690,J1690)))</f>
        <v/>
      </c>
      <c r="L1690" s="30" t="str">
        <f>IF(H1690="","",IF($C$30="상세법",FPV(H1690,K1690),IF(H1690="EI",4,IF(H1690="EO",5.2,IF(H1690="EQ",3.9,IF(H1690="ILF",7.5,IF(H1690="EIF",5.4)))))))</f>
        <v/>
      </c>
      <c r="M1690" s="30" t="str">
        <f t="shared" si="177"/>
        <v/>
      </c>
      <c r="N1690" s="134"/>
      <c r="O1690" s="29"/>
      <c r="P1690" s="37" t="str">
        <f t="shared" si="178"/>
        <v/>
      </c>
      <c r="Q1690" s="38" t="str">
        <f t="shared" si="179"/>
        <v/>
      </c>
      <c r="R1690" s="37" t="str">
        <f t="shared" si="180"/>
        <v/>
      </c>
      <c r="S1690" s="37" t="str">
        <f t="shared" si="181"/>
        <v/>
      </c>
      <c r="T1690" s="38" t="str">
        <f t="shared" si="182"/>
        <v/>
      </c>
      <c r="U1690" s="37" t="str">
        <f t="shared" si="183"/>
        <v/>
      </c>
    </row>
    <row r="1691" spans="2:21" ht="17.25">
      <c r="B1691" s="156"/>
      <c r="C1691" s="156"/>
      <c r="D1691" s="157"/>
      <c r="E1691" s="155"/>
      <c r="F1691" s="151"/>
      <c r="G1691" s="152"/>
      <c r="H1691" s="153"/>
      <c r="I1691" s="154"/>
      <c r="J1691" s="154"/>
      <c r="K1691" s="30" t="str">
        <f>IF(H1691="","",IF($C$30="간이법","",FPR(H1691,I1691,J1691)))</f>
        <v/>
      </c>
      <c r="L1691" s="30" t="str">
        <f>IF(H1691="","",IF($C$30="상세법",FPV(H1691,K1691),IF(H1691="EI",4,IF(H1691="EO",5.2,IF(H1691="EQ",3.9,IF(H1691="ILF",7.5,IF(H1691="EIF",5.4)))))))</f>
        <v/>
      </c>
      <c r="M1691" s="30" t="str">
        <f t="shared" si="177"/>
        <v/>
      </c>
      <c r="N1691" s="134"/>
      <c r="O1691" s="29"/>
      <c r="P1691" s="37" t="str">
        <f t="shared" si="178"/>
        <v/>
      </c>
      <c r="Q1691" s="38" t="str">
        <f t="shared" si="179"/>
        <v/>
      </c>
      <c r="R1691" s="37" t="str">
        <f t="shared" si="180"/>
        <v/>
      </c>
      <c r="S1691" s="37" t="str">
        <f t="shared" si="181"/>
        <v/>
      </c>
      <c r="T1691" s="38" t="str">
        <f t="shared" si="182"/>
        <v/>
      </c>
      <c r="U1691" s="37" t="str">
        <f t="shared" si="183"/>
        <v/>
      </c>
    </row>
    <row r="1692" spans="2:21" ht="17.25">
      <c r="B1692" s="156"/>
      <c r="C1692" s="156"/>
      <c r="D1692" s="157"/>
      <c r="E1692" s="155"/>
      <c r="F1692" s="151"/>
      <c r="G1692" s="152"/>
      <c r="H1692" s="153"/>
      <c r="I1692" s="154"/>
      <c r="J1692" s="154"/>
      <c r="K1692" s="30" t="str">
        <f>IF(H1692="","",IF($C$30="간이법","",FPR(H1692,I1692,J1692)))</f>
        <v/>
      </c>
      <c r="L1692" s="30" t="str">
        <f>IF(H1692="","",IF($C$30="상세법",FPV(H1692,K1692),IF(H1692="EI",4,IF(H1692="EO",5.2,IF(H1692="EQ",3.9,IF(H1692="ILF",7.5,IF(H1692="EIF",5.4)))))))</f>
        <v/>
      </c>
      <c r="M1692" s="30" t="str">
        <f t="shared" si="177"/>
        <v/>
      </c>
      <c r="N1692" s="134"/>
      <c r="O1692" s="29"/>
      <c r="P1692" s="37" t="str">
        <f t="shared" si="178"/>
        <v/>
      </c>
      <c r="Q1692" s="38" t="str">
        <f t="shared" si="179"/>
        <v/>
      </c>
      <c r="R1692" s="37" t="str">
        <f t="shared" si="180"/>
        <v/>
      </c>
      <c r="S1692" s="37" t="str">
        <f t="shared" si="181"/>
        <v/>
      </c>
      <c r="T1692" s="38" t="str">
        <f t="shared" si="182"/>
        <v/>
      </c>
      <c r="U1692" s="37" t="str">
        <f t="shared" si="183"/>
        <v/>
      </c>
    </row>
    <row r="1693" spans="2:21" ht="17.25">
      <c r="B1693" s="156"/>
      <c r="C1693" s="156"/>
      <c r="D1693" s="157"/>
      <c r="E1693" s="155"/>
      <c r="F1693" s="151"/>
      <c r="G1693" s="152"/>
      <c r="H1693" s="153"/>
      <c r="I1693" s="154"/>
      <c r="J1693" s="154"/>
      <c r="K1693" s="30" t="str">
        <f>IF(H1693="","",IF($C$30="간이법","",FPR(H1693,I1693,J1693)))</f>
        <v/>
      </c>
      <c r="L1693" s="30" t="str">
        <f>IF(H1693="","",IF($C$30="상세법",FPV(H1693,K1693),IF(H1693="EI",4,IF(H1693="EO",5.2,IF(H1693="EQ",3.9,IF(H1693="ILF",7.5,IF(H1693="EIF",5.4)))))))</f>
        <v/>
      </c>
      <c r="M1693" s="30" t="str">
        <f t="shared" si="177"/>
        <v/>
      </c>
      <c r="N1693" s="134"/>
      <c r="O1693" s="29"/>
      <c r="P1693" s="37" t="str">
        <f t="shared" si="178"/>
        <v/>
      </c>
      <c r="Q1693" s="38" t="str">
        <f t="shared" si="179"/>
        <v/>
      </c>
      <c r="R1693" s="37" t="str">
        <f t="shared" si="180"/>
        <v/>
      </c>
      <c r="S1693" s="37" t="str">
        <f t="shared" si="181"/>
        <v/>
      </c>
      <c r="T1693" s="38" t="str">
        <f t="shared" si="182"/>
        <v/>
      </c>
      <c r="U1693" s="37" t="str">
        <f t="shared" si="183"/>
        <v/>
      </c>
    </row>
    <row r="1694" spans="2:21" ht="17.25">
      <c r="B1694" s="156"/>
      <c r="C1694" s="156"/>
      <c r="D1694" s="157"/>
      <c r="E1694" s="155"/>
      <c r="F1694" s="151"/>
      <c r="G1694" s="152"/>
      <c r="H1694" s="153"/>
      <c r="I1694" s="154"/>
      <c r="J1694" s="154"/>
      <c r="K1694" s="30" t="str">
        <f>IF(H1694="","",IF($C$30="간이법","",FPR(H1694,I1694,J1694)))</f>
        <v/>
      </c>
      <c r="L1694" s="30" t="str">
        <f>IF(H1694="","",IF($C$30="상세법",FPV(H1694,K1694),IF(H1694="EI",4,IF(H1694="EO",5.2,IF(H1694="EQ",3.9,IF(H1694="ILF",7.5,IF(H1694="EIF",5.4)))))))</f>
        <v/>
      </c>
      <c r="M1694" s="30" t="str">
        <f t="shared" si="177"/>
        <v/>
      </c>
      <c r="N1694" s="134"/>
      <c r="O1694" s="29"/>
      <c r="P1694" s="37" t="str">
        <f t="shared" si="178"/>
        <v/>
      </c>
      <c r="Q1694" s="38" t="str">
        <f t="shared" si="179"/>
        <v/>
      </c>
      <c r="R1694" s="37" t="str">
        <f t="shared" si="180"/>
        <v/>
      </c>
      <c r="S1694" s="37" t="str">
        <f t="shared" si="181"/>
        <v/>
      </c>
      <c r="T1694" s="38" t="str">
        <f t="shared" si="182"/>
        <v/>
      </c>
      <c r="U1694" s="37" t="str">
        <f t="shared" si="183"/>
        <v/>
      </c>
    </row>
    <row r="1695" spans="2:21" ht="17.25">
      <c r="B1695" s="156"/>
      <c r="C1695" s="156"/>
      <c r="D1695" s="157"/>
      <c r="E1695" s="155"/>
      <c r="F1695" s="151"/>
      <c r="G1695" s="152"/>
      <c r="H1695" s="153"/>
      <c r="I1695" s="154"/>
      <c r="J1695" s="154"/>
      <c r="K1695" s="30" t="str">
        <f>IF(H1695="","",IF($C$30="간이법","",FPR(H1695,I1695,J1695)))</f>
        <v/>
      </c>
      <c r="L1695" s="30" t="str">
        <f>IF(H1695="","",IF($C$30="상세법",FPV(H1695,K1695),IF(H1695="EI",4,IF(H1695="EO",5.2,IF(H1695="EQ",3.9,IF(H1695="ILF",7.5,IF(H1695="EIF",5.4)))))))</f>
        <v/>
      </c>
      <c r="M1695" s="30" t="str">
        <f t="shared" si="177"/>
        <v/>
      </c>
      <c r="N1695" s="134"/>
      <c r="O1695" s="29"/>
      <c r="P1695" s="37" t="str">
        <f t="shared" si="178"/>
        <v/>
      </c>
      <c r="Q1695" s="38" t="str">
        <f t="shared" si="179"/>
        <v/>
      </c>
      <c r="R1695" s="37" t="str">
        <f t="shared" si="180"/>
        <v/>
      </c>
      <c r="S1695" s="37" t="str">
        <f t="shared" si="181"/>
        <v/>
      </c>
      <c r="T1695" s="38" t="str">
        <f t="shared" si="182"/>
        <v/>
      </c>
      <c r="U1695" s="37" t="str">
        <f t="shared" si="183"/>
        <v/>
      </c>
    </row>
    <row r="1696" spans="2:21" ht="17.25">
      <c r="B1696" s="156"/>
      <c r="C1696" s="156"/>
      <c r="D1696" s="157"/>
      <c r="E1696" s="155"/>
      <c r="F1696" s="151"/>
      <c r="G1696" s="152"/>
      <c r="H1696" s="153"/>
      <c r="I1696" s="154"/>
      <c r="J1696" s="154"/>
      <c r="K1696" s="30" t="str">
        <f>IF(H1696="","",IF($C$30="간이법","",FPR(H1696,I1696,J1696)))</f>
        <v/>
      </c>
      <c r="L1696" s="30" t="str">
        <f>IF(H1696="","",IF($C$30="상세법",FPV(H1696,K1696),IF(H1696="EI",4,IF(H1696="EO",5.2,IF(H1696="EQ",3.9,IF(H1696="ILF",7.5,IF(H1696="EIF",5.4)))))))</f>
        <v/>
      </c>
      <c r="M1696" s="30" t="str">
        <f t="shared" si="177"/>
        <v/>
      </c>
      <c r="N1696" s="134"/>
      <c r="O1696" s="29"/>
      <c r="P1696" s="37" t="str">
        <f t="shared" si="178"/>
        <v/>
      </c>
      <c r="Q1696" s="38" t="str">
        <f t="shared" si="179"/>
        <v/>
      </c>
      <c r="R1696" s="37" t="str">
        <f t="shared" si="180"/>
        <v/>
      </c>
      <c r="S1696" s="37" t="str">
        <f t="shared" si="181"/>
        <v/>
      </c>
      <c r="T1696" s="38" t="str">
        <f t="shared" si="182"/>
        <v/>
      </c>
      <c r="U1696" s="37" t="str">
        <f t="shared" si="183"/>
        <v/>
      </c>
    </row>
    <row r="1697" spans="2:21" ht="17.25">
      <c r="B1697" s="156"/>
      <c r="C1697" s="156"/>
      <c r="D1697" s="157"/>
      <c r="E1697" s="155"/>
      <c r="F1697" s="151"/>
      <c r="G1697" s="152"/>
      <c r="H1697" s="153"/>
      <c r="I1697" s="154"/>
      <c r="J1697" s="154"/>
      <c r="K1697" s="30" t="str">
        <f>IF(H1697="","",IF($C$30="간이법","",FPR(H1697,I1697,J1697)))</f>
        <v/>
      </c>
      <c r="L1697" s="30" t="str">
        <f>IF(H1697="","",IF($C$30="상세법",FPV(H1697,K1697),IF(H1697="EI",4,IF(H1697="EO",5.2,IF(H1697="EQ",3.9,IF(H1697="ILF",7.5,IF(H1697="EIF",5.4)))))))</f>
        <v/>
      </c>
      <c r="M1697" s="30" t="str">
        <f t="shared" si="177"/>
        <v/>
      </c>
      <c r="N1697" s="134"/>
      <c r="O1697" s="29"/>
      <c r="P1697" s="37" t="str">
        <f t="shared" si="178"/>
        <v/>
      </c>
      <c r="Q1697" s="38" t="str">
        <f t="shared" si="179"/>
        <v/>
      </c>
      <c r="R1697" s="37" t="str">
        <f t="shared" si="180"/>
        <v/>
      </c>
      <c r="S1697" s="37" t="str">
        <f t="shared" si="181"/>
        <v/>
      </c>
      <c r="T1697" s="38" t="str">
        <f t="shared" si="182"/>
        <v/>
      </c>
      <c r="U1697" s="37" t="str">
        <f t="shared" si="183"/>
        <v/>
      </c>
    </row>
    <row r="1698" spans="2:21" ht="17.25">
      <c r="B1698" s="156"/>
      <c r="C1698" s="156"/>
      <c r="D1698" s="157"/>
      <c r="E1698" s="155"/>
      <c r="F1698" s="151"/>
      <c r="G1698" s="152"/>
      <c r="H1698" s="153"/>
      <c r="I1698" s="154"/>
      <c r="J1698" s="154"/>
      <c r="K1698" s="30" t="str">
        <f>IF(H1698="","",IF($C$30="간이법","",FPR(H1698,I1698,J1698)))</f>
        <v/>
      </c>
      <c r="L1698" s="30" t="str">
        <f>IF(H1698="","",IF($C$30="상세법",FPV(H1698,K1698),IF(H1698="EI",4,IF(H1698="EO",5.2,IF(H1698="EQ",3.9,IF(H1698="ILF",7.5,IF(H1698="EIF",5.4)))))))</f>
        <v/>
      </c>
      <c r="M1698" s="30" t="str">
        <f t="shared" si="177"/>
        <v/>
      </c>
      <c r="N1698" s="134"/>
      <c r="O1698" s="29"/>
      <c r="P1698" s="37" t="str">
        <f t="shared" si="178"/>
        <v/>
      </c>
      <c r="Q1698" s="38" t="str">
        <f t="shared" si="179"/>
        <v/>
      </c>
      <c r="R1698" s="37" t="str">
        <f t="shared" si="180"/>
        <v/>
      </c>
      <c r="S1698" s="37" t="str">
        <f t="shared" si="181"/>
        <v/>
      </c>
      <c r="T1698" s="38" t="str">
        <f t="shared" si="182"/>
        <v/>
      </c>
      <c r="U1698" s="37" t="str">
        <f t="shared" si="183"/>
        <v/>
      </c>
    </row>
    <row r="1699" spans="2:21" ht="17.25">
      <c r="B1699" s="156"/>
      <c r="C1699" s="156"/>
      <c r="D1699" s="157"/>
      <c r="E1699" s="155"/>
      <c r="F1699" s="151"/>
      <c r="G1699" s="152"/>
      <c r="H1699" s="153"/>
      <c r="I1699" s="154"/>
      <c r="J1699" s="154"/>
      <c r="K1699" s="30" t="str">
        <f>IF(H1699="","",IF($C$30="간이법","",FPR(H1699,I1699,J1699)))</f>
        <v/>
      </c>
      <c r="L1699" s="30" t="str">
        <f>IF(H1699="","",IF($C$30="상세법",FPV(H1699,K1699),IF(H1699="EI",4,IF(H1699="EO",5.2,IF(H1699="EQ",3.9,IF(H1699="ILF",7.5,IF(H1699="EIF",5.4)))))))</f>
        <v/>
      </c>
      <c r="M1699" s="30" t="str">
        <f t="shared" si="177"/>
        <v/>
      </c>
      <c r="N1699" s="134"/>
      <c r="O1699" s="29"/>
      <c r="P1699" s="37" t="str">
        <f t="shared" si="178"/>
        <v/>
      </c>
      <c r="Q1699" s="38" t="str">
        <f t="shared" si="179"/>
        <v/>
      </c>
      <c r="R1699" s="37" t="str">
        <f t="shared" si="180"/>
        <v/>
      </c>
      <c r="S1699" s="37" t="str">
        <f t="shared" si="181"/>
        <v/>
      </c>
      <c r="T1699" s="38" t="str">
        <f t="shared" si="182"/>
        <v/>
      </c>
      <c r="U1699" s="37" t="str">
        <f t="shared" si="183"/>
        <v/>
      </c>
    </row>
    <row r="1700" spans="2:21" ht="17.25">
      <c r="B1700" s="156"/>
      <c r="C1700" s="156"/>
      <c r="D1700" s="157"/>
      <c r="E1700" s="155"/>
      <c r="F1700" s="151"/>
      <c r="G1700" s="152"/>
      <c r="H1700" s="153"/>
      <c r="I1700" s="154"/>
      <c r="J1700" s="154"/>
      <c r="K1700" s="30" t="str">
        <f>IF(H1700="","",IF($C$30="간이법","",FPR(H1700,I1700,J1700)))</f>
        <v/>
      </c>
      <c r="L1700" s="30" t="str">
        <f>IF(H1700="","",IF($C$30="상세법",FPV(H1700,K1700),IF(H1700="EI",4,IF(H1700="EO",5.2,IF(H1700="EQ",3.9,IF(H1700="ILF",7.5,IF(H1700="EIF",5.4)))))))</f>
        <v/>
      </c>
      <c r="M1700" s="30" t="str">
        <f t="shared" si="177"/>
        <v/>
      </c>
      <c r="N1700" s="134"/>
      <c r="O1700" s="29"/>
      <c r="P1700" s="37" t="str">
        <f t="shared" si="178"/>
        <v/>
      </c>
      <c r="Q1700" s="38" t="str">
        <f t="shared" si="179"/>
        <v/>
      </c>
      <c r="R1700" s="37" t="str">
        <f t="shared" si="180"/>
        <v/>
      </c>
      <c r="S1700" s="37" t="str">
        <f t="shared" si="181"/>
        <v/>
      </c>
      <c r="T1700" s="38" t="str">
        <f t="shared" si="182"/>
        <v/>
      </c>
      <c r="U1700" s="37" t="str">
        <f t="shared" si="183"/>
        <v/>
      </c>
    </row>
    <row r="1701" spans="2:21" ht="17.25">
      <c r="B1701" s="156"/>
      <c r="C1701" s="156"/>
      <c r="D1701" s="157"/>
      <c r="E1701" s="155"/>
      <c r="F1701" s="151"/>
      <c r="G1701" s="152"/>
      <c r="H1701" s="153"/>
      <c r="I1701" s="154"/>
      <c r="J1701" s="154"/>
      <c r="K1701" s="30" t="str">
        <f>IF(H1701="","",IF($C$30="간이법","",FPR(H1701,I1701,J1701)))</f>
        <v/>
      </c>
      <c r="L1701" s="30" t="str">
        <f>IF(H1701="","",IF($C$30="상세법",FPV(H1701,K1701),IF(H1701="EI",4,IF(H1701="EO",5.2,IF(H1701="EQ",3.9,IF(H1701="ILF",7.5,IF(H1701="EIF",5.4)))))))</f>
        <v/>
      </c>
      <c r="M1701" s="30" t="str">
        <f t="shared" si="177"/>
        <v/>
      </c>
      <c r="N1701" s="134"/>
      <c r="O1701" s="29"/>
      <c r="P1701" s="37" t="str">
        <f t="shared" si="178"/>
        <v/>
      </c>
      <c r="Q1701" s="38" t="str">
        <f t="shared" si="179"/>
        <v/>
      </c>
      <c r="R1701" s="37" t="str">
        <f t="shared" si="180"/>
        <v/>
      </c>
      <c r="S1701" s="37" t="str">
        <f t="shared" si="181"/>
        <v/>
      </c>
      <c r="T1701" s="38" t="str">
        <f t="shared" si="182"/>
        <v/>
      </c>
      <c r="U1701" s="37" t="str">
        <f t="shared" si="183"/>
        <v/>
      </c>
    </row>
    <row r="1702" spans="2:21" ht="17.25">
      <c r="B1702" s="156"/>
      <c r="C1702" s="156"/>
      <c r="D1702" s="157"/>
      <c r="E1702" s="155"/>
      <c r="F1702" s="151"/>
      <c r="G1702" s="152"/>
      <c r="H1702" s="153"/>
      <c r="I1702" s="154"/>
      <c r="J1702" s="154"/>
      <c r="K1702" s="30" t="str">
        <f>IF(H1702="","",IF($C$30="간이법","",FPR(H1702,I1702,J1702)))</f>
        <v/>
      </c>
      <c r="L1702" s="30" t="str">
        <f>IF(H1702="","",IF($C$30="상세법",FPV(H1702,K1702),IF(H1702="EI",4,IF(H1702="EO",5.2,IF(H1702="EQ",3.9,IF(H1702="ILF",7.5,IF(H1702="EIF",5.4)))))))</f>
        <v/>
      </c>
      <c r="M1702" s="30" t="str">
        <f t="shared" si="177"/>
        <v/>
      </c>
      <c r="N1702" s="134"/>
      <c r="O1702" s="29"/>
      <c r="P1702" s="37" t="str">
        <f t="shared" si="178"/>
        <v/>
      </c>
      <c r="Q1702" s="38" t="str">
        <f t="shared" si="179"/>
        <v/>
      </c>
      <c r="R1702" s="37" t="str">
        <f t="shared" si="180"/>
        <v/>
      </c>
      <c r="S1702" s="37" t="str">
        <f t="shared" si="181"/>
        <v/>
      </c>
      <c r="T1702" s="38" t="str">
        <f t="shared" si="182"/>
        <v/>
      </c>
      <c r="U1702" s="37" t="str">
        <f t="shared" si="183"/>
        <v/>
      </c>
    </row>
    <row r="1703" spans="2:21" ht="17.25">
      <c r="B1703" s="156"/>
      <c r="C1703" s="156"/>
      <c r="D1703" s="157"/>
      <c r="E1703" s="155"/>
      <c r="F1703" s="151"/>
      <c r="G1703" s="152"/>
      <c r="H1703" s="153"/>
      <c r="I1703" s="154"/>
      <c r="J1703" s="154"/>
      <c r="K1703" s="30" t="str">
        <f>IF(H1703="","",IF($C$30="간이법","",FPR(H1703,I1703,J1703)))</f>
        <v/>
      </c>
      <c r="L1703" s="30" t="str">
        <f>IF(H1703="","",IF($C$30="상세법",FPV(H1703,K1703),IF(H1703="EI",4,IF(H1703="EO",5.2,IF(H1703="EQ",3.9,IF(H1703="ILF",7.5,IF(H1703="EIF",5.4)))))))</f>
        <v/>
      </c>
      <c r="M1703" s="30" t="str">
        <f t="shared" si="177"/>
        <v/>
      </c>
      <c r="N1703" s="134"/>
      <c r="O1703" s="29"/>
      <c r="P1703" s="37" t="str">
        <f t="shared" si="178"/>
        <v/>
      </c>
      <c r="Q1703" s="38" t="str">
        <f t="shared" si="179"/>
        <v/>
      </c>
      <c r="R1703" s="37" t="str">
        <f t="shared" si="180"/>
        <v/>
      </c>
      <c r="S1703" s="37" t="str">
        <f t="shared" si="181"/>
        <v/>
      </c>
      <c r="T1703" s="38" t="str">
        <f t="shared" si="182"/>
        <v/>
      </c>
      <c r="U1703" s="37" t="str">
        <f t="shared" si="183"/>
        <v/>
      </c>
    </row>
    <row r="1704" spans="2:21" ht="17.25">
      <c r="B1704" s="156"/>
      <c r="C1704" s="156"/>
      <c r="D1704" s="157"/>
      <c r="E1704" s="155"/>
      <c r="F1704" s="151"/>
      <c r="G1704" s="152"/>
      <c r="H1704" s="153"/>
      <c r="I1704" s="154"/>
      <c r="J1704" s="154"/>
      <c r="K1704" s="30" t="str">
        <f>IF(H1704="","",IF($C$30="간이법","",FPR(H1704,I1704,J1704)))</f>
        <v/>
      </c>
      <c r="L1704" s="30" t="str">
        <f>IF(H1704="","",IF($C$30="상세법",FPV(H1704,K1704),IF(H1704="EI",4,IF(H1704="EO",5.2,IF(H1704="EQ",3.9,IF(H1704="ILF",7.5,IF(H1704="EIF",5.4)))))))</f>
        <v/>
      </c>
      <c r="M1704" s="30" t="str">
        <f t="shared" si="177"/>
        <v/>
      </c>
      <c r="N1704" s="134"/>
      <c r="O1704" s="29"/>
      <c r="P1704" s="37" t="str">
        <f t="shared" si="178"/>
        <v/>
      </c>
      <c r="Q1704" s="38" t="str">
        <f t="shared" si="179"/>
        <v/>
      </c>
      <c r="R1704" s="37" t="str">
        <f t="shared" si="180"/>
        <v/>
      </c>
      <c r="S1704" s="37" t="str">
        <f t="shared" si="181"/>
        <v/>
      </c>
      <c r="T1704" s="38" t="str">
        <f t="shared" si="182"/>
        <v/>
      </c>
      <c r="U1704" s="37" t="str">
        <f t="shared" si="183"/>
        <v/>
      </c>
    </row>
    <row r="1705" spans="2:21" ht="17.25">
      <c r="B1705" s="156"/>
      <c r="C1705" s="156"/>
      <c r="D1705" s="157"/>
      <c r="E1705" s="155"/>
      <c r="F1705" s="151"/>
      <c r="G1705" s="152"/>
      <c r="H1705" s="153"/>
      <c r="I1705" s="154"/>
      <c r="J1705" s="154"/>
      <c r="K1705" s="30" t="str">
        <f>IF(H1705="","",IF($C$30="간이법","",FPR(H1705,I1705,J1705)))</f>
        <v/>
      </c>
      <c r="L1705" s="30" t="str">
        <f>IF(H1705="","",IF($C$30="상세법",FPV(H1705,K1705),IF(H1705="EI",4,IF(H1705="EO",5.2,IF(H1705="EQ",3.9,IF(H1705="ILF",7.5,IF(H1705="EIF",5.4)))))))</f>
        <v/>
      </c>
      <c r="M1705" s="30" t="str">
        <f t="shared" si="177"/>
        <v/>
      </c>
      <c r="N1705" s="134"/>
      <c r="O1705" s="29"/>
      <c r="P1705" s="37" t="str">
        <f t="shared" si="178"/>
        <v/>
      </c>
      <c r="Q1705" s="38" t="str">
        <f t="shared" si="179"/>
        <v/>
      </c>
      <c r="R1705" s="37" t="str">
        <f t="shared" si="180"/>
        <v/>
      </c>
      <c r="S1705" s="37" t="str">
        <f t="shared" si="181"/>
        <v/>
      </c>
      <c r="T1705" s="38" t="str">
        <f t="shared" si="182"/>
        <v/>
      </c>
      <c r="U1705" s="37" t="str">
        <f t="shared" si="183"/>
        <v/>
      </c>
    </row>
    <row r="1706" spans="2:21" ht="17.25">
      <c r="B1706" s="156"/>
      <c r="C1706" s="156"/>
      <c r="D1706" s="157"/>
      <c r="E1706" s="155"/>
      <c r="F1706" s="151"/>
      <c r="G1706" s="152"/>
      <c r="H1706" s="153"/>
      <c r="I1706" s="154"/>
      <c r="J1706" s="154"/>
      <c r="K1706" s="30" t="str">
        <f>IF(H1706="","",IF($C$30="간이법","",FPR(H1706,I1706,J1706)))</f>
        <v/>
      </c>
      <c r="L1706" s="30" t="str">
        <f>IF(H1706="","",IF($C$30="상세법",FPV(H1706,K1706),IF(H1706="EI",4,IF(H1706="EO",5.2,IF(H1706="EQ",3.9,IF(H1706="ILF",7.5,IF(H1706="EIF",5.4)))))))</f>
        <v/>
      </c>
      <c r="M1706" s="30" t="str">
        <f t="shared" si="177"/>
        <v/>
      </c>
      <c r="N1706" s="134"/>
      <c r="O1706" s="29"/>
      <c r="P1706" s="37" t="str">
        <f t="shared" si="178"/>
        <v/>
      </c>
      <c r="Q1706" s="38" t="str">
        <f t="shared" si="179"/>
        <v/>
      </c>
      <c r="R1706" s="37" t="str">
        <f t="shared" si="180"/>
        <v/>
      </c>
      <c r="S1706" s="37" t="str">
        <f t="shared" si="181"/>
        <v/>
      </c>
      <c r="T1706" s="38" t="str">
        <f t="shared" si="182"/>
        <v/>
      </c>
      <c r="U1706" s="37" t="str">
        <f t="shared" si="183"/>
        <v/>
      </c>
    </row>
    <row r="1707" spans="2:21" ht="17.25">
      <c r="B1707" s="156"/>
      <c r="C1707" s="156"/>
      <c r="D1707" s="157"/>
      <c r="E1707" s="155"/>
      <c r="F1707" s="151"/>
      <c r="G1707" s="152"/>
      <c r="H1707" s="153"/>
      <c r="I1707" s="154"/>
      <c r="J1707" s="154"/>
      <c r="K1707" s="30" t="str">
        <f>IF(H1707="","",IF($C$30="간이법","",FPR(H1707,I1707,J1707)))</f>
        <v/>
      </c>
      <c r="L1707" s="30" t="str">
        <f>IF(H1707="","",IF($C$30="상세법",FPV(H1707,K1707),IF(H1707="EI",4,IF(H1707="EO",5.2,IF(H1707="EQ",3.9,IF(H1707="ILF",7.5,IF(H1707="EIF",5.4)))))))</f>
        <v/>
      </c>
      <c r="M1707" s="30" t="str">
        <f t="shared" si="177"/>
        <v/>
      </c>
      <c r="N1707" s="134"/>
      <c r="O1707" s="29"/>
      <c r="P1707" s="37" t="str">
        <f t="shared" si="178"/>
        <v/>
      </c>
      <c r="Q1707" s="38" t="str">
        <f t="shared" si="179"/>
        <v/>
      </c>
      <c r="R1707" s="37" t="str">
        <f t="shared" si="180"/>
        <v/>
      </c>
      <c r="S1707" s="37" t="str">
        <f t="shared" si="181"/>
        <v/>
      </c>
      <c r="T1707" s="38" t="str">
        <f t="shared" si="182"/>
        <v/>
      </c>
      <c r="U1707" s="37" t="str">
        <f t="shared" si="183"/>
        <v/>
      </c>
    </row>
    <row r="1708" spans="2:21" ht="17.25">
      <c r="B1708" s="156"/>
      <c r="C1708" s="156"/>
      <c r="D1708" s="157"/>
      <c r="E1708" s="155"/>
      <c r="F1708" s="151"/>
      <c r="G1708" s="152"/>
      <c r="H1708" s="153"/>
      <c r="I1708" s="154"/>
      <c r="J1708" s="154"/>
      <c r="K1708" s="30" t="str">
        <f>IF(H1708="","",IF($C$30="간이법","",FPR(H1708,I1708,J1708)))</f>
        <v/>
      </c>
      <c r="L1708" s="30" t="str">
        <f>IF(H1708="","",IF($C$30="상세법",FPV(H1708,K1708),IF(H1708="EI",4,IF(H1708="EO",5.2,IF(H1708="EQ",3.9,IF(H1708="ILF",7.5,IF(H1708="EIF",5.4)))))))</f>
        <v/>
      </c>
      <c r="M1708" s="30" t="str">
        <f t="shared" si="177"/>
        <v/>
      </c>
      <c r="N1708" s="134"/>
      <c r="O1708" s="29"/>
      <c r="P1708" s="37" t="str">
        <f t="shared" si="178"/>
        <v/>
      </c>
      <c r="Q1708" s="38" t="str">
        <f t="shared" si="179"/>
        <v/>
      </c>
      <c r="R1708" s="37" t="str">
        <f t="shared" si="180"/>
        <v/>
      </c>
      <c r="S1708" s="37" t="str">
        <f t="shared" si="181"/>
        <v/>
      </c>
      <c r="T1708" s="38" t="str">
        <f t="shared" si="182"/>
        <v/>
      </c>
      <c r="U1708" s="37" t="str">
        <f t="shared" si="183"/>
        <v/>
      </c>
    </row>
    <row r="1709" spans="2:21" ht="17.25">
      <c r="B1709" s="156"/>
      <c r="C1709" s="156"/>
      <c r="D1709" s="157"/>
      <c r="E1709" s="155"/>
      <c r="F1709" s="151"/>
      <c r="G1709" s="152"/>
      <c r="H1709" s="153"/>
      <c r="I1709" s="154"/>
      <c r="J1709" s="154"/>
      <c r="K1709" s="30" t="str">
        <f>IF(H1709="","",IF($C$30="간이법","",FPR(H1709,I1709,J1709)))</f>
        <v/>
      </c>
      <c r="L1709" s="30" t="str">
        <f>IF(H1709="","",IF($C$30="상세법",FPV(H1709,K1709),IF(H1709="EI",4,IF(H1709="EO",5.2,IF(H1709="EQ",3.9,IF(H1709="ILF",7.5,IF(H1709="EIF",5.4)))))))</f>
        <v/>
      </c>
      <c r="M1709" s="30" t="str">
        <f t="shared" si="177"/>
        <v/>
      </c>
      <c r="N1709" s="134"/>
      <c r="O1709" s="29"/>
      <c r="P1709" s="37" t="str">
        <f t="shared" si="178"/>
        <v/>
      </c>
      <c r="Q1709" s="38" t="str">
        <f t="shared" si="179"/>
        <v/>
      </c>
      <c r="R1709" s="37" t="str">
        <f t="shared" si="180"/>
        <v/>
      </c>
      <c r="S1709" s="37" t="str">
        <f t="shared" si="181"/>
        <v/>
      </c>
      <c r="T1709" s="38" t="str">
        <f t="shared" si="182"/>
        <v/>
      </c>
      <c r="U1709" s="37" t="str">
        <f t="shared" si="183"/>
        <v/>
      </c>
    </row>
    <row r="1710" spans="2:21" ht="17.25">
      <c r="B1710" s="156"/>
      <c r="C1710" s="156"/>
      <c r="D1710" s="157"/>
      <c r="E1710" s="155"/>
      <c r="F1710" s="151"/>
      <c r="G1710" s="152"/>
      <c r="H1710" s="153"/>
      <c r="I1710" s="154"/>
      <c r="J1710" s="154"/>
      <c r="K1710" s="30" t="str">
        <f>IF(H1710="","",IF($C$30="간이법","",FPR(H1710,I1710,J1710)))</f>
        <v/>
      </c>
      <c r="L1710" s="30" t="str">
        <f>IF(H1710="","",IF($C$30="상세법",FPV(H1710,K1710),IF(H1710="EI",4,IF(H1710="EO",5.2,IF(H1710="EQ",3.9,IF(H1710="ILF",7.5,IF(H1710="EIF",5.4)))))))</f>
        <v/>
      </c>
      <c r="M1710" s="30" t="str">
        <f t="shared" si="177"/>
        <v/>
      </c>
      <c r="N1710" s="134"/>
      <c r="O1710" s="29"/>
      <c r="P1710" s="37" t="str">
        <f t="shared" si="178"/>
        <v/>
      </c>
      <c r="Q1710" s="38" t="str">
        <f t="shared" si="179"/>
        <v/>
      </c>
      <c r="R1710" s="37" t="str">
        <f t="shared" si="180"/>
        <v/>
      </c>
      <c r="S1710" s="37" t="str">
        <f t="shared" si="181"/>
        <v/>
      </c>
      <c r="T1710" s="38" t="str">
        <f t="shared" si="182"/>
        <v/>
      </c>
      <c r="U1710" s="37" t="str">
        <f t="shared" si="183"/>
        <v/>
      </c>
    </row>
    <row r="1711" spans="2:21" ht="17.25">
      <c r="B1711" s="156"/>
      <c r="C1711" s="156"/>
      <c r="D1711" s="157"/>
      <c r="E1711" s="155"/>
      <c r="F1711" s="151"/>
      <c r="G1711" s="152"/>
      <c r="H1711" s="153"/>
      <c r="I1711" s="154"/>
      <c r="J1711" s="154"/>
      <c r="K1711" s="30" t="str">
        <f>IF(H1711="","",IF($C$30="간이법","",FPR(H1711,I1711,J1711)))</f>
        <v/>
      </c>
      <c r="L1711" s="30" t="str">
        <f>IF(H1711="","",IF($C$30="상세법",FPV(H1711,K1711),IF(H1711="EI",4,IF(H1711="EO",5.2,IF(H1711="EQ",3.9,IF(H1711="ILF",7.5,IF(H1711="EIF",5.4)))))))</f>
        <v/>
      </c>
      <c r="M1711" s="30" t="str">
        <f t="shared" si="177"/>
        <v/>
      </c>
      <c r="N1711" s="134"/>
      <c r="O1711" s="29"/>
      <c r="P1711" s="37" t="str">
        <f t="shared" si="178"/>
        <v/>
      </c>
      <c r="Q1711" s="38" t="str">
        <f t="shared" si="179"/>
        <v/>
      </c>
      <c r="R1711" s="37" t="str">
        <f t="shared" si="180"/>
        <v/>
      </c>
      <c r="S1711" s="37" t="str">
        <f t="shared" si="181"/>
        <v/>
      </c>
      <c r="T1711" s="38" t="str">
        <f t="shared" si="182"/>
        <v/>
      </c>
      <c r="U1711" s="37" t="str">
        <f t="shared" si="183"/>
        <v/>
      </c>
    </row>
    <row r="1712" spans="2:21" ht="17.25">
      <c r="B1712" s="156"/>
      <c r="C1712" s="156"/>
      <c r="D1712" s="157"/>
      <c r="E1712" s="155"/>
      <c r="F1712" s="151"/>
      <c r="G1712" s="152"/>
      <c r="H1712" s="153"/>
      <c r="I1712" s="154"/>
      <c r="J1712" s="154"/>
      <c r="K1712" s="30" t="str">
        <f>IF(H1712="","",IF($C$30="간이법","",FPR(H1712,I1712,J1712)))</f>
        <v/>
      </c>
      <c r="L1712" s="30" t="str">
        <f>IF(H1712="","",IF($C$30="상세법",FPV(H1712,K1712),IF(H1712="EI",4,IF(H1712="EO",5.2,IF(H1712="EQ",3.9,IF(H1712="ILF",7.5,IF(H1712="EIF",5.4)))))))</f>
        <v/>
      </c>
      <c r="M1712" s="30" t="str">
        <f t="shared" si="177"/>
        <v/>
      </c>
      <c r="N1712" s="134"/>
      <c r="O1712" s="29"/>
      <c r="P1712" s="37" t="str">
        <f t="shared" si="178"/>
        <v/>
      </c>
      <c r="Q1712" s="38" t="str">
        <f t="shared" si="179"/>
        <v/>
      </c>
      <c r="R1712" s="37" t="str">
        <f t="shared" si="180"/>
        <v/>
      </c>
      <c r="S1712" s="37" t="str">
        <f t="shared" si="181"/>
        <v/>
      </c>
      <c r="T1712" s="38" t="str">
        <f t="shared" si="182"/>
        <v/>
      </c>
      <c r="U1712" s="37" t="str">
        <f t="shared" si="183"/>
        <v/>
      </c>
    </row>
    <row r="1713" spans="2:21" ht="17.25">
      <c r="B1713" s="156"/>
      <c r="C1713" s="156"/>
      <c r="D1713" s="157"/>
      <c r="E1713" s="155"/>
      <c r="F1713" s="151"/>
      <c r="G1713" s="152"/>
      <c r="H1713" s="153"/>
      <c r="I1713" s="154"/>
      <c r="J1713" s="154"/>
      <c r="K1713" s="30" t="str">
        <f>IF(H1713="","",IF($C$30="간이법","",FPR(H1713,I1713,J1713)))</f>
        <v/>
      </c>
      <c r="L1713" s="30" t="str">
        <f>IF(H1713="","",IF($C$30="상세법",FPV(H1713,K1713),IF(H1713="EI",4,IF(H1713="EO",5.2,IF(H1713="EQ",3.9,IF(H1713="ILF",7.5,IF(H1713="EIF",5.4)))))))</f>
        <v/>
      </c>
      <c r="M1713" s="30" t="str">
        <f t="shared" si="177"/>
        <v/>
      </c>
      <c r="N1713" s="134"/>
      <c r="O1713" s="29"/>
      <c r="P1713" s="37" t="str">
        <f t="shared" si="178"/>
        <v/>
      </c>
      <c r="Q1713" s="38" t="str">
        <f t="shared" si="179"/>
        <v/>
      </c>
      <c r="R1713" s="37" t="str">
        <f t="shared" si="180"/>
        <v/>
      </c>
      <c r="S1713" s="37" t="str">
        <f t="shared" si="181"/>
        <v/>
      </c>
      <c r="T1713" s="38" t="str">
        <f t="shared" si="182"/>
        <v/>
      </c>
      <c r="U1713" s="37" t="str">
        <f t="shared" si="183"/>
        <v/>
      </c>
    </row>
    <row r="1714" spans="2:21" ht="17.25">
      <c r="B1714" s="156"/>
      <c r="C1714" s="156"/>
      <c r="D1714" s="157"/>
      <c r="E1714" s="155"/>
      <c r="F1714" s="151"/>
      <c r="G1714" s="152"/>
      <c r="H1714" s="153"/>
      <c r="I1714" s="154"/>
      <c r="J1714" s="154"/>
      <c r="K1714" s="30" t="str">
        <f>IF(H1714="","",IF($C$30="간이법","",FPR(H1714,I1714,J1714)))</f>
        <v/>
      </c>
      <c r="L1714" s="30" t="str">
        <f>IF(H1714="","",IF($C$30="상세법",FPV(H1714,K1714),IF(H1714="EI",4,IF(H1714="EO",5.2,IF(H1714="EQ",3.9,IF(H1714="ILF",7.5,IF(H1714="EIF",5.4)))))))</f>
        <v/>
      </c>
      <c r="M1714" s="30" t="str">
        <f t="shared" si="177"/>
        <v/>
      </c>
      <c r="N1714" s="134"/>
      <c r="O1714" s="29"/>
      <c r="P1714" s="37" t="str">
        <f t="shared" si="178"/>
        <v/>
      </c>
      <c r="Q1714" s="38" t="str">
        <f t="shared" si="179"/>
        <v/>
      </c>
      <c r="R1714" s="37" t="str">
        <f t="shared" si="180"/>
        <v/>
      </c>
      <c r="S1714" s="37" t="str">
        <f t="shared" si="181"/>
        <v/>
      </c>
      <c r="T1714" s="38" t="str">
        <f t="shared" si="182"/>
        <v/>
      </c>
      <c r="U1714" s="37" t="str">
        <f t="shared" si="183"/>
        <v/>
      </c>
    </row>
    <row r="1715" spans="2:21" ht="17.25">
      <c r="B1715" s="156"/>
      <c r="C1715" s="156"/>
      <c r="D1715" s="157"/>
      <c r="E1715" s="155"/>
      <c r="F1715" s="151"/>
      <c r="G1715" s="152"/>
      <c r="H1715" s="153"/>
      <c r="I1715" s="154"/>
      <c r="J1715" s="154"/>
      <c r="K1715" s="30" t="str">
        <f>IF(H1715="","",IF($C$30="간이법","",FPR(H1715,I1715,J1715)))</f>
        <v/>
      </c>
      <c r="L1715" s="30" t="str">
        <f>IF(H1715="","",IF($C$30="상세법",FPV(H1715,K1715),IF(H1715="EI",4,IF(H1715="EO",5.2,IF(H1715="EQ",3.9,IF(H1715="ILF",7.5,IF(H1715="EIF",5.4)))))))</f>
        <v/>
      </c>
      <c r="M1715" s="30" t="str">
        <f t="shared" si="177"/>
        <v/>
      </c>
      <c r="N1715" s="134"/>
      <c r="O1715" s="29"/>
      <c r="P1715" s="37" t="str">
        <f t="shared" si="178"/>
        <v/>
      </c>
      <c r="Q1715" s="38" t="str">
        <f t="shared" si="179"/>
        <v/>
      </c>
      <c r="R1715" s="37" t="str">
        <f t="shared" si="180"/>
        <v/>
      </c>
      <c r="S1715" s="37" t="str">
        <f t="shared" si="181"/>
        <v/>
      </c>
      <c r="T1715" s="38" t="str">
        <f t="shared" si="182"/>
        <v/>
      </c>
      <c r="U1715" s="37" t="str">
        <f t="shared" si="183"/>
        <v/>
      </c>
    </row>
    <row r="1716" spans="2:21" ht="17.25">
      <c r="B1716" s="156"/>
      <c r="C1716" s="156"/>
      <c r="D1716" s="157"/>
      <c r="E1716" s="155"/>
      <c r="F1716" s="151"/>
      <c r="G1716" s="152"/>
      <c r="H1716" s="153"/>
      <c r="I1716" s="154"/>
      <c r="J1716" s="154"/>
      <c r="K1716" s="30" t="str">
        <f>IF(H1716="","",IF($C$30="간이법","",FPR(H1716,I1716,J1716)))</f>
        <v/>
      </c>
      <c r="L1716" s="30" t="str">
        <f>IF(H1716="","",IF($C$30="상세법",FPV(H1716,K1716),IF(H1716="EI",4,IF(H1716="EO",5.2,IF(H1716="EQ",3.9,IF(H1716="ILF",7.5,IF(H1716="EIF",5.4)))))))</f>
        <v/>
      </c>
      <c r="M1716" s="30" t="str">
        <f t="shared" si="177"/>
        <v/>
      </c>
      <c r="N1716" s="134"/>
      <c r="O1716" s="29"/>
      <c r="P1716" s="37" t="str">
        <f t="shared" si="178"/>
        <v/>
      </c>
      <c r="Q1716" s="38" t="str">
        <f t="shared" si="179"/>
        <v/>
      </c>
      <c r="R1716" s="37" t="str">
        <f t="shared" si="180"/>
        <v/>
      </c>
      <c r="S1716" s="37" t="str">
        <f t="shared" si="181"/>
        <v/>
      </c>
      <c r="T1716" s="38" t="str">
        <f t="shared" si="182"/>
        <v/>
      </c>
      <c r="U1716" s="37" t="str">
        <f t="shared" si="183"/>
        <v/>
      </c>
    </row>
    <row r="1717" spans="2:21" ht="17.25">
      <c r="B1717" s="156"/>
      <c r="C1717" s="156"/>
      <c r="D1717" s="157"/>
      <c r="E1717" s="155"/>
      <c r="F1717" s="151"/>
      <c r="G1717" s="152"/>
      <c r="H1717" s="153"/>
      <c r="I1717" s="154"/>
      <c r="J1717" s="154"/>
      <c r="K1717" s="30" t="str">
        <f>IF(H1717="","",IF($C$30="간이법","",FPR(H1717,I1717,J1717)))</f>
        <v/>
      </c>
      <c r="L1717" s="30" t="str">
        <f>IF(H1717="","",IF($C$30="상세법",FPV(H1717,K1717),IF(H1717="EI",4,IF(H1717="EO",5.2,IF(H1717="EQ",3.9,IF(H1717="ILF",7.5,IF(H1717="EIF",5.4)))))))</f>
        <v/>
      </c>
      <c r="M1717" s="30" t="str">
        <f t="shared" si="177"/>
        <v/>
      </c>
      <c r="N1717" s="134"/>
      <c r="O1717" s="29"/>
      <c r="P1717" s="37" t="str">
        <f t="shared" si="178"/>
        <v/>
      </c>
      <c r="Q1717" s="38" t="str">
        <f t="shared" si="179"/>
        <v/>
      </c>
      <c r="R1717" s="37" t="str">
        <f t="shared" si="180"/>
        <v/>
      </c>
      <c r="S1717" s="37" t="str">
        <f t="shared" si="181"/>
        <v/>
      </c>
      <c r="T1717" s="38" t="str">
        <f t="shared" si="182"/>
        <v/>
      </c>
      <c r="U1717" s="37" t="str">
        <f t="shared" si="183"/>
        <v/>
      </c>
    </row>
    <row r="1718" spans="2:21" ht="17.25">
      <c r="B1718" s="156"/>
      <c r="C1718" s="156"/>
      <c r="D1718" s="157"/>
      <c r="E1718" s="155"/>
      <c r="F1718" s="151"/>
      <c r="G1718" s="152"/>
      <c r="H1718" s="153"/>
      <c r="I1718" s="154"/>
      <c r="J1718" s="154"/>
      <c r="K1718" s="30" t="str">
        <f>IF(H1718="","",IF($C$30="간이법","",FPR(H1718,I1718,J1718)))</f>
        <v/>
      </c>
      <c r="L1718" s="30" t="str">
        <f>IF(H1718="","",IF($C$30="상세법",FPV(H1718,K1718),IF(H1718="EI",4,IF(H1718="EO",5.2,IF(H1718="EQ",3.9,IF(H1718="ILF",7.5,IF(H1718="EIF",5.4)))))))</f>
        <v/>
      </c>
      <c r="M1718" s="30" t="str">
        <f t="shared" si="177"/>
        <v/>
      </c>
      <c r="N1718" s="134"/>
      <c r="O1718" s="29"/>
      <c r="P1718" s="37" t="str">
        <f t="shared" si="178"/>
        <v/>
      </c>
      <c r="Q1718" s="38" t="str">
        <f t="shared" si="179"/>
        <v/>
      </c>
      <c r="R1718" s="37" t="str">
        <f t="shared" si="180"/>
        <v/>
      </c>
      <c r="S1718" s="37" t="str">
        <f t="shared" si="181"/>
        <v/>
      </c>
      <c r="T1718" s="38" t="str">
        <f t="shared" si="182"/>
        <v/>
      </c>
      <c r="U1718" s="37" t="str">
        <f t="shared" si="183"/>
        <v/>
      </c>
    </row>
    <row r="1719" spans="2:21" ht="17.25">
      <c r="B1719" s="156"/>
      <c r="C1719" s="156"/>
      <c r="D1719" s="157"/>
      <c r="E1719" s="155"/>
      <c r="F1719" s="151"/>
      <c r="G1719" s="152"/>
      <c r="H1719" s="153"/>
      <c r="I1719" s="154"/>
      <c r="J1719" s="154"/>
      <c r="K1719" s="30" t="str">
        <f>IF(H1719="","",IF($C$30="간이법","",FPR(H1719,I1719,J1719)))</f>
        <v/>
      </c>
      <c r="L1719" s="30" t="str">
        <f>IF(H1719="","",IF($C$30="상세법",FPV(H1719,K1719),IF(H1719="EI",4,IF(H1719="EO",5.2,IF(H1719="EQ",3.9,IF(H1719="ILF",7.5,IF(H1719="EIF",5.4)))))))</f>
        <v/>
      </c>
      <c r="M1719" s="30" t="str">
        <f t="shared" si="177"/>
        <v/>
      </c>
      <c r="N1719" s="134"/>
      <c r="O1719" s="29"/>
      <c r="P1719" s="37" t="str">
        <f t="shared" si="178"/>
        <v/>
      </c>
      <c r="Q1719" s="38" t="str">
        <f t="shared" si="179"/>
        <v/>
      </c>
      <c r="R1719" s="37" t="str">
        <f t="shared" si="180"/>
        <v/>
      </c>
      <c r="S1719" s="37" t="str">
        <f t="shared" si="181"/>
        <v/>
      </c>
      <c r="T1719" s="38" t="str">
        <f t="shared" si="182"/>
        <v/>
      </c>
      <c r="U1719" s="37" t="str">
        <f t="shared" si="183"/>
        <v/>
      </c>
    </row>
    <row r="1720" spans="2:21" ht="17.25">
      <c r="B1720" s="156"/>
      <c r="C1720" s="156"/>
      <c r="D1720" s="157"/>
      <c r="E1720" s="155"/>
      <c r="F1720" s="151"/>
      <c r="G1720" s="152"/>
      <c r="H1720" s="153"/>
      <c r="I1720" s="154"/>
      <c r="J1720" s="154"/>
      <c r="K1720" s="30" t="str">
        <f>IF(H1720="","",IF($C$30="간이법","",FPR(H1720,I1720,J1720)))</f>
        <v/>
      </c>
      <c r="L1720" s="30" t="str">
        <f>IF(H1720="","",IF($C$30="상세법",FPV(H1720,K1720),IF(H1720="EI",4,IF(H1720="EO",5.2,IF(H1720="EQ",3.9,IF(H1720="ILF",7.5,IF(H1720="EIF",5.4)))))))</f>
        <v/>
      </c>
      <c r="M1720" s="30" t="str">
        <f t="shared" si="177"/>
        <v/>
      </c>
      <c r="N1720" s="134"/>
      <c r="O1720" s="29"/>
      <c r="P1720" s="37" t="str">
        <f t="shared" si="178"/>
        <v/>
      </c>
      <c r="Q1720" s="38" t="str">
        <f t="shared" si="179"/>
        <v/>
      </c>
      <c r="R1720" s="37" t="str">
        <f t="shared" si="180"/>
        <v/>
      </c>
      <c r="S1720" s="37" t="str">
        <f t="shared" si="181"/>
        <v/>
      </c>
      <c r="T1720" s="38" t="str">
        <f t="shared" si="182"/>
        <v/>
      </c>
      <c r="U1720" s="37" t="str">
        <f t="shared" si="183"/>
        <v/>
      </c>
    </row>
    <row r="1721" spans="2:21" ht="17.25">
      <c r="B1721" s="156"/>
      <c r="C1721" s="156"/>
      <c r="D1721" s="157"/>
      <c r="E1721" s="155"/>
      <c r="F1721" s="151"/>
      <c r="G1721" s="152"/>
      <c r="H1721" s="153"/>
      <c r="I1721" s="154"/>
      <c r="J1721" s="154"/>
      <c r="K1721" s="30" t="str">
        <f>IF(H1721="","",IF($C$30="간이법","",FPR(H1721,I1721,J1721)))</f>
        <v/>
      </c>
      <c r="L1721" s="30" t="str">
        <f>IF(H1721="","",IF($C$30="상세법",FPV(H1721,K1721),IF(H1721="EI",4,IF(H1721="EO",5.2,IF(H1721="EQ",3.9,IF(H1721="ILF",7.5,IF(H1721="EIF",5.4)))))))</f>
        <v/>
      </c>
      <c r="M1721" s="30" t="str">
        <f t="shared" si="177"/>
        <v/>
      </c>
      <c r="N1721" s="134"/>
      <c r="O1721" s="29"/>
      <c r="P1721" s="37" t="str">
        <f t="shared" si="178"/>
        <v/>
      </c>
      <c r="Q1721" s="38" t="str">
        <f t="shared" si="179"/>
        <v/>
      </c>
      <c r="R1721" s="37" t="str">
        <f t="shared" si="180"/>
        <v/>
      </c>
      <c r="S1721" s="37" t="str">
        <f t="shared" si="181"/>
        <v/>
      </c>
      <c r="T1721" s="38" t="str">
        <f t="shared" si="182"/>
        <v/>
      </c>
      <c r="U1721" s="37" t="str">
        <f t="shared" si="183"/>
        <v/>
      </c>
    </row>
    <row r="1722" spans="2:21" ht="17.25">
      <c r="B1722" s="156"/>
      <c r="C1722" s="156"/>
      <c r="D1722" s="157"/>
      <c r="E1722" s="155"/>
      <c r="F1722" s="151"/>
      <c r="G1722" s="152"/>
      <c r="H1722" s="153"/>
      <c r="I1722" s="154"/>
      <c r="J1722" s="154"/>
      <c r="K1722" s="30" t="str">
        <f>IF(H1722="","",IF($C$30="간이법","",FPR(H1722,I1722,J1722)))</f>
        <v/>
      </c>
      <c r="L1722" s="30" t="str">
        <f>IF(H1722="","",IF($C$30="상세법",FPV(H1722,K1722),IF(H1722="EI",4,IF(H1722="EO",5.2,IF(H1722="EQ",3.9,IF(H1722="ILF",7.5,IF(H1722="EIF",5.4)))))))</f>
        <v/>
      </c>
      <c r="M1722" s="30" t="str">
        <f t="shared" si="177"/>
        <v/>
      </c>
      <c r="N1722" s="134"/>
      <c r="O1722" s="29"/>
      <c r="P1722" s="37" t="str">
        <f t="shared" si="178"/>
        <v/>
      </c>
      <c r="Q1722" s="38" t="str">
        <f t="shared" si="179"/>
        <v/>
      </c>
      <c r="R1722" s="37" t="str">
        <f t="shared" si="180"/>
        <v/>
      </c>
      <c r="S1722" s="37" t="str">
        <f t="shared" si="181"/>
        <v/>
      </c>
      <c r="T1722" s="38" t="str">
        <f t="shared" si="182"/>
        <v/>
      </c>
      <c r="U1722" s="37" t="str">
        <f t="shared" si="183"/>
        <v/>
      </c>
    </row>
    <row r="1723" spans="2:21" ht="17.25">
      <c r="B1723" s="156"/>
      <c r="C1723" s="156"/>
      <c r="D1723" s="157"/>
      <c r="E1723" s="155"/>
      <c r="F1723" s="151"/>
      <c r="G1723" s="152"/>
      <c r="H1723" s="153"/>
      <c r="I1723" s="154"/>
      <c r="J1723" s="154"/>
      <c r="K1723" s="30" t="str">
        <f>IF(H1723="","",IF($C$30="간이법","",FPR(H1723,I1723,J1723)))</f>
        <v/>
      </c>
      <c r="L1723" s="30" t="str">
        <f>IF(H1723="","",IF($C$30="상세법",FPV(H1723,K1723),IF(H1723="EI",4,IF(H1723="EO",5.2,IF(H1723="EQ",3.9,IF(H1723="ILF",7.5,IF(H1723="EIF",5.4)))))))</f>
        <v/>
      </c>
      <c r="M1723" s="30" t="str">
        <f t="shared" si="177"/>
        <v/>
      </c>
      <c r="N1723" s="134"/>
      <c r="O1723" s="29"/>
      <c r="P1723" s="37" t="str">
        <f t="shared" si="178"/>
        <v/>
      </c>
      <c r="Q1723" s="38" t="str">
        <f t="shared" si="179"/>
        <v/>
      </c>
      <c r="R1723" s="37" t="str">
        <f t="shared" si="180"/>
        <v/>
      </c>
      <c r="S1723" s="37" t="str">
        <f t="shared" si="181"/>
        <v/>
      </c>
      <c r="T1723" s="38" t="str">
        <f t="shared" si="182"/>
        <v/>
      </c>
      <c r="U1723" s="37" t="str">
        <f t="shared" si="183"/>
        <v/>
      </c>
    </row>
    <row r="1724" spans="2:21" ht="17.25">
      <c r="B1724" s="156"/>
      <c r="C1724" s="156"/>
      <c r="D1724" s="157"/>
      <c r="E1724" s="155"/>
      <c r="F1724" s="151"/>
      <c r="G1724" s="152"/>
      <c r="H1724" s="153"/>
      <c r="I1724" s="154"/>
      <c r="J1724" s="154"/>
      <c r="K1724" s="30" t="str">
        <f>IF(H1724="","",IF($C$30="간이법","",FPR(H1724,I1724,J1724)))</f>
        <v/>
      </c>
      <c r="L1724" s="30" t="str">
        <f>IF(H1724="","",IF($C$30="상세법",FPV(H1724,K1724),IF(H1724="EI",4,IF(H1724="EO",5.2,IF(H1724="EQ",3.9,IF(H1724="ILF",7.5,IF(H1724="EIF",5.4)))))))</f>
        <v/>
      </c>
      <c r="M1724" s="30" t="str">
        <f t="shared" ref="M1724:M1787" si="184">IF(OR(G1724="",$E$36="(선택)",$E$40="(선택)",$E$41="(선택)",F1724="신규 개발",F1724="수정 없이 재사용"),"",(IF(F1724="수정 후 재사용",IF($E$50&lt;=0.5,L1724*($E$36+$E$50*100*(1+0.02*($E$40*$E$41)))/100,L1724*($E$36+$E$50*100+($E$40*$E$41))/100))))</f>
        <v/>
      </c>
      <c r="N1724" s="134"/>
      <c r="O1724" s="29"/>
      <c r="P1724" s="37" t="str">
        <f t="shared" ref="P1724:P1787" si="185">IF(F1724="수정 후 재사용",IF(H1724="ILF",G1724,IF(H1724="EIF",G1724,"")),"")</f>
        <v/>
      </c>
      <c r="Q1724" s="38" t="str">
        <f t="shared" ref="Q1724:Q1787" si="186">IF(P1724&lt;&gt;"",IF(H1724="ILF", L1724/$E$46,IF(H1724="EIF", L1724/$E$46,"")),"")</f>
        <v/>
      </c>
      <c r="R1724" s="37" t="str">
        <f t="shared" ref="R1724:R1787" si="187">IF(P1724&lt;&gt;"",P1724*Q1724,"")</f>
        <v/>
      </c>
      <c r="S1724" s="37" t="str">
        <f t="shared" ref="S1724:S1787" si="188">IF(F1724="수정 후 재사용",IF(H1724="EI",G1724,IF(H1724="EO",G1724,IF(H1724="EQ",G1724,""))),"")</f>
        <v/>
      </c>
      <c r="T1724" s="38" t="str">
        <f t="shared" ref="T1724:T1787" si="189">IF(S1724&lt;&gt;"",IF(H1724="EI",L1724/$E$47,IF(H1724="EO",L1724/$E$47,IF(H1724="EQ",L1724/$E$47,""))),"")</f>
        <v/>
      </c>
      <c r="U1724" s="37" t="str">
        <f t="shared" ref="U1724:U1787" si="190">IF(S1724&lt;&gt;"",S1724*T1724,"")</f>
        <v/>
      </c>
    </row>
    <row r="1725" spans="2:21" ht="17.25">
      <c r="B1725" s="156"/>
      <c r="C1725" s="156"/>
      <c r="D1725" s="157"/>
      <c r="E1725" s="155"/>
      <c r="F1725" s="151"/>
      <c r="G1725" s="152"/>
      <c r="H1725" s="153"/>
      <c r="I1725" s="154"/>
      <c r="J1725" s="154"/>
      <c r="K1725" s="30" t="str">
        <f>IF(H1725="","",IF($C$30="간이법","",FPR(H1725,I1725,J1725)))</f>
        <v/>
      </c>
      <c r="L1725" s="30" t="str">
        <f>IF(H1725="","",IF($C$30="상세법",FPV(H1725,K1725),IF(H1725="EI",4,IF(H1725="EO",5.2,IF(H1725="EQ",3.9,IF(H1725="ILF",7.5,IF(H1725="EIF",5.4)))))))</f>
        <v/>
      </c>
      <c r="M1725" s="30" t="str">
        <f t="shared" si="184"/>
        <v/>
      </c>
      <c r="N1725" s="134"/>
      <c r="O1725" s="29"/>
      <c r="P1725" s="37" t="str">
        <f t="shared" si="185"/>
        <v/>
      </c>
      <c r="Q1725" s="38" t="str">
        <f t="shared" si="186"/>
        <v/>
      </c>
      <c r="R1725" s="37" t="str">
        <f t="shared" si="187"/>
        <v/>
      </c>
      <c r="S1725" s="37" t="str">
        <f t="shared" si="188"/>
        <v/>
      </c>
      <c r="T1725" s="38" t="str">
        <f t="shared" si="189"/>
        <v/>
      </c>
      <c r="U1725" s="37" t="str">
        <f t="shared" si="190"/>
        <v/>
      </c>
    </row>
    <row r="1726" spans="2:21" ht="17.25">
      <c r="B1726" s="156"/>
      <c r="C1726" s="156"/>
      <c r="D1726" s="157"/>
      <c r="E1726" s="155"/>
      <c r="F1726" s="151"/>
      <c r="G1726" s="152"/>
      <c r="H1726" s="153"/>
      <c r="I1726" s="154"/>
      <c r="J1726" s="154"/>
      <c r="K1726" s="30" t="str">
        <f>IF(H1726="","",IF($C$30="간이법","",FPR(H1726,I1726,J1726)))</f>
        <v/>
      </c>
      <c r="L1726" s="30" t="str">
        <f>IF(H1726="","",IF($C$30="상세법",FPV(H1726,K1726),IF(H1726="EI",4,IF(H1726="EO",5.2,IF(H1726="EQ",3.9,IF(H1726="ILF",7.5,IF(H1726="EIF",5.4)))))))</f>
        <v/>
      </c>
      <c r="M1726" s="30" t="str">
        <f t="shared" si="184"/>
        <v/>
      </c>
      <c r="N1726" s="134"/>
      <c r="O1726" s="29"/>
      <c r="P1726" s="37" t="str">
        <f t="shared" si="185"/>
        <v/>
      </c>
      <c r="Q1726" s="38" t="str">
        <f t="shared" si="186"/>
        <v/>
      </c>
      <c r="R1726" s="37" t="str">
        <f t="shared" si="187"/>
        <v/>
      </c>
      <c r="S1726" s="37" t="str">
        <f t="shared" si="188"/>
        <v/>
      </c>
      <c r="T1726" s="38" t="str">
        <f t="shared" si="189"/>
        <v/>
      </c>
      <c r="U1726" s="37" t="str">
        <f t="shared" si="190"/>
        <v/>
      </c>
    </row>
    <row r="1727" spans="2:21" ht="17.25">
      <c r="B1727" s="156"/>
      <c r="C1727" s="156"/>
      <c r="D1727" s="157"/>
      <c r="E1727" s="155"/>
      <c r="F1727" s="151"/>
      <c r="G1727" s="152"/>
      <c r="H1727" s="153"/>
      <c r="I1727" s="154"/>
      <c r="J1727" s="154"/>
      <c r="K1727" s="30" t="str">
        <f>IF(H1727="","",IF($C$30="간이법","",FPR(H1727,I1727,J1727)))</f>
        <v/>
      </c>
      <c r="L1727" s="30" t="str">
        <f>IF(H1727="","",IF($C$30="상세법",FPV(H1727,K1727),IF(H1727="EI",4,IF(H1727="EO",5.2,IF(H1727="EQ",3.9,IF(H1727="ILF",7.5,IF(H1727="EIF",5.4)))))))</f>
        <v/>
      </c>
      <c r="M1727" s="30" t="str">
        <f t="shared" si="184"/>
        <v/>
      </c>
      <c r="N1727" s="134"/>
      <c r="O1727" s="29"/>
      <c r="P1727" s="37" t="str">
        <f t="shared" si="185"/>
        <v/>
      </c>
      <c r="Q1727" s="38" t="str">
        <f t="shared" si="186"/>
        <v/>
      </c>
      <c r="R1727" s="37" t="str">
        <f t="shared" si="187"/>
        <v/>
      </c>
      <c r="S1727" s="37" t="str">
        <f t="shared" si="188"/>
        <v/>
      </c>
      <c r="T1727" s="38" t="str">
        <f t="shared" si="189"/>
        <v/>
      </c>
      <c r="U1727" s="37" t="str">
        <f t="shared" si="190"/>
        <v/>
      </c>
    </row>
    <row r="1728" spans="2:21" ht="17.25">
      <c r="B1728" s="156"/>
      <c r="C1728" s="156"/>
      <c r="D1728" s="157"/>
      <c r="E1728" s="155"/>
      <c r="F1728" s="151"/>
      <c r="G1728" s="152"/>
      <c r="H1728" s="153"/>
      <c r="I1728" s="154"/>
      <c r="J1728" s="154"/>
      <c r="K1728" s="30" t="str">
        <f>IF(H1728="","",IF($C$30="간이법","",FPR(H1728,I1728,J1728)))</f>
        <v/>
      </c>
      <c r="L1728" s="30" t="str">
        <f>IF(H1728="","",IF($C$30="상세법",FPV(H1728,K1728),IF(H1728="EI",4,IF(H1728="EO",5.2,IF(H1728="EQ",3.9,IF(H1728="ILF",7.5,IF(H1728="EIF",5.4)))))))</f>
        <v/>
      </c>
      <c r="M1728" s="30" t="str">
        <f t="shared" si="184"/>
        <v/>
      </c>
      <c r="N1728" s="134"/>
      <c r="O1728" s="29"/>
      <c r="P1728" s="37" t="str">
        <f t="shared" si="185"/>
        <v/>
      </c>
      <c r="Q1728" s="38" t="str">
        <f t="shared" si="186"/>
        <v/>
      </c>
      <c r="R1728" s="37" t="str">
        <f t="shared" si="187"/>
        <v/>
      </c>
      <c r="S1728" s="37" t="str">
        <f t="shared" si="188"/>
        <v/>
      </c>
      <c r="T1728" s="38" t="str">
        <f t="shared" si="189"/>
        <v/>
      </c>
      <c r="U1728" s="37" t="str">
        <f t="shared" si="190"/>
        <v/>
      </c>
    </row>
    <row r="1729" spans="2:21" ht="17.25">
      <c r="B1729" s="156"/>
      <c r="C1729" s="156"/>
      <c r="D1729" s="157"/>
      <c r="E1729" s="155"/>
      <c r="F1729" s="151"/>
      <c r="G1729" s="152"/>
      <c r="H1729" s="153"/>
      <c r="I1729" s="154"/>
      <c r="J1729" s="154"/>
      <c r="K1729" s="30" t="str">
        <f>IF(H1729="","",IF($C$30="간이법","",FPR(H1729,I1729,J1729)))</f>
        <v/>
      </c>
      <c r="L1729" s="30" t="str">
        <f>IF(H1729="","",IF($C$30="상세법",FPV(H1729,K1729),IF(H1729="EI",4,IF(H1729="EO",5.2,IF(H1729="EQ",3.9,IF(H1729="ILF",7.5,IF(H1729="EIF",5.4)))))))</f>
        <v/>
      </c>
      <c r="M1729" s="30" t="str">
        <f t="shared" si="184"/>
        <v/>
      </c>
      <c r="N1729" s="134"/>
      <c r="O1729" s="29"/>
      <c r="P1729" s="37" t="str">
        <f t="shared" si="185"/>
        <v/>
      </c>
      <c r="Q1729" s="38" t="str">
        <f t="shared" si="186"/>
        <v/>
      </c>
      <c r="R1729" s="37" t="str">
        <f t="shared" si="187"/>
        <v/>
      </c>
      <c r="S1729" s="37" t="str">
        <f t="shared" si="188"/>
        <v/>
      </c>
      <c r="T1729" s="38" t="str">
        <f t="shared" si="189"/>
        <v/>
      </c>
      <c r="U1729" s="37" t="str">
        <f t="shared" si="190"/>
        <v/>
      </c>
    </row>
    <row r="1730" spans="2:21" ht="17.25">
      <c r="B1730" s="156"/>
      <c r="C1730" s="156"/>
      <c r="D1730" s="157"/>
      <c r="E1730" s="155"/>
      <c r="F1730" s="151"/>
      <c r="G1730" s="152"/>
      <c r="H1730" s="153"/>
      <c r="I1730" s="154"/>
      <c r="J1730" s="154"/>
      <c r="K1730" s="30" t="str">
        <f>IF(H1730="","",IF($C$30="간이법","",FPR(H1730,I1730,J1730)))</f>
        <v/>
      </c>
      <c r="L1730" s="30" t="str">
        <f>IF(H1730="","",IF($C$30="상세법",FPV(H1730,K1730),IF(H1730="EI",4,IF(H1730="EO",5.2,IF(H1730="EQ",3.9,IF(H1730="ILF",7.5,IF(H1730="EIF",5.4)))))))</f>
        <v/>
      </c>
      <c r="M1730" s="30" t="str">
        <f t="shared" si="184"/>
        <v/>
      </c>
      <c r="N1730" s="134"/>
      <c r="O1730" s="29"/>
      <c r="P1730" s="37" t="str">
        <f t="shared" si="185"/>
        <v/>
      </c>
      <c r="Q1730" s="38" t="str">
        <f t="shared" si="186"/>
        <v/>
      </c>
      <c r="R1730" s="37" t="str">
        <f t="shared" si="187"/>
        <v/>
      </c>
      <c r="S1730" s="37" t="str">
        <f t="shared" si="188"/>
        <v/>
      </c>
      <c r="T1730" s="38" t="str">
        <f t="shared" si="189"/>
        <v/>
      </c>
      <c r="U1730" s="37" t="str">
        <f t="shared" si="190"/>
        <v/>
      </c>
    </row>
    <row r="1731" spans="2:21" ht="17.25">
      <c r="B1731" s="156"/>
      <c r="C1731" s="156"/>
      <c r="D1731" s="157"/>
      <c r="E1731" s="155"/>
      <c r="F1731" s="151"/>
      <c r="G1731" s="152"/>
      <c r="H1731" s="153"/>
      <c r="I1731" s="154"/>
      <c r="J1731" s="154"/>
      <c r="K1731" s="30" t="str">
        <f>IF(H1731="","",IF($C$30="간이법","",FPR(H1731,I1731,J1731)))</f>
        <v/>
      </c>
      <c r="L1731" s="30" t="str">
        <f>IF(H1731="","",IF($C$30="상세법",FPV(H1731,K1731),IF(H1731="EI",4,IF(H1731="EO",5.2,IF(H1731="EQ",3.9,IF(H1731="ILF",7.5,IF(H1731="EIF",5.4)))))))</f>
        <v/>
      </c>
      <c r="M1731" s="30" t="str">
        <f t="shared" si="184"/>
        <v/>
      </c>
      <c r="N1731" s="134"/>
      <c r="O1731" s="29"/>
      <c r="P1731" s="37" t="str">
        <f t="shared" si="185"/>
        <v/>
      </c>
      <c r="Q1731" s="38" t="str">
        <f t="shared" si="186"/>
        <v/>
      </c>
      <c r="R1731" s="37" t="str">
        <f t="shared" si="187"/>
        <v/>
      </c>
      <c r="S1731" s="37" t="str">
        <f t="shared" si="188"/>
        <v/>
      </c>
      <c r="T1731" s="38" t="str">
        <f t="shared" si="189"/>
        <v/>
      </c>
      <c r="U1731" s="37" t="str">
        <f t="shared" si="190"/>
        <v/>
      </c>
    </row>
    <row r="1732" spans="2:21" ht="17.25">
      <c r="B1732" s="156"/>
      <c r="C1732" s="156"/>
      <c r="D1732" s="157"/>
      <c r="E1732" s="155"/>
      <c r="F1732" s="151"/>
      <c r="G1732" s="152"/>
      <c r="H1732" s="153"/>
      <c r="I1732" s="154"/>
      <c r="J1732" s="154"/>
      <c r="K1732" s="30" t="str">
        <f>IF(H1732="","",IF($C$30="간이법","",FPR(H1732,I1732,J1732)))</f>
        <v/>
      </c>
      <c r="L1732" s="30" t="str">
        <f>IF(H1732="","",IF($C$30="상세법",FPV(H1732,K1732),IF(H1732="EI",4,IF(H1732="EO",5.2,IF(H1732="EQ",3.9,IF(H1732="ILF",7.5,IF(H1732="EIF",5.4)))))))</f>
        <v/>
      </c>
      <c r="M1732" s="30" t="str">
        <f t="shared" si="184"/>
        <v/>
      </c>
      <c r="N1732" s="134"/>
      <c r="O1732" s="29"/>
      <c r="P1732" s="37" t="str">
        <f t="shared" si="185"/>
        <v/>
      </c>
      <c r="Q1732" s="38" t="str">
        <f t="shared" si="186"/>
        <v/>
      </c>
      <c r="R1732" s="37" t="str">
        <f t="shared" si="187"/>
        <v/>
      </c>
      <c r="S1732" s="37" t="str">
        <f t="shared" si="188"/>
        <v/>
      </c>
      <c r="T1732" s="38" t="str">
        <f t="shared" si="189"/>
        <v/>
      </c>
      <c r="U1732" s="37" t="str">
        <f t="shared" si="190"/>
        <v/>
      </c>
    </row>
    <row r="1733" spans="2:21" ht="17.25">
      <c r="B1733" s="156"/>
      <c r="C1733" s="156"/>
      <c r="D1733" s="157"/>
      <c r="E1733" s="155"/>
      <c r="F1733" s="151"/>
      <c r="G1733" s="152"/>
      <c r="H1733" s="153"/>
      <c r="I1733" s="154"/>
      <c r="J1733" s="154"/>
      <c r="K1733" s="30" t="str">
        <f>IF(H1733="","",IF($C$30="간이법","",FPR(H1733,I1733,J1733)))</f>
        <v/>
      </c>
      <c r="L1733" s="30" t="str">
        <f>IF(H1733="","",IF($C$30="상세법",FPV(H1733,K1733),IF(H1733="EI",4,IF(H1733="EO",5.2,IF(H1733="EQ",3.9,IF(H1733="ILF",7.5,IF(H1733="EIF",5.4)))))))</f>
        <v/>
      </c>
      <c r="M1733" s="30" t="str">
        <f t="shared" si="184"/>
        <v/>
      </c>
      <c r="N1733" s="134"/>
      <c r="O1733" s="29"/>
      <c r="P1733" s="37" t="str">
        <f t="shared" si="185"/>
        <v/>
      </c>
      <c r="Q1733" s="38" t="str">
        <f t="shared" si="186"/>
        <v/>
      </c>
      <c r="R1733" s="37" t="str">
        <f t="shared" si="187"/>
        <v/>
      </c>
      <c r="S1733" s="37" t="str">
        <f t="shared" si="188"/>
        <v/>
      </c>
      <c r="T1733" s="38" t="str">
        <f t="shared" si="189"/>
        <v/>
      </c>
      <c r="U1733" s="37" t="str">
        <f t="shared" si="190"/>
        <v/>
      </c>
    </row>
    <row r="1734" spans="2:21" ht="17.25">
      <c r="B1734" s="156"/>
      <c r="C1734" s="156"/>
      <c r="D1734" s="157"/>
      <c r="E1734" s="155"/>
      <c r="F1734" s="151"/>
      <c r="G1734" s="152"/>
      <c r="H1734" s="153"/>
      <c r="I1734" s="154"/>
      <c r="J1734" s="154"/>
      <c r="K1734" s="30" t="str">
        <f>IF(H1734="","",IF($C$30="간이법","",FPR(H1734,I1734,J1734)))</f>
        <v/>
      </c>
      <c r="L1734" s="30" t="str">
        <f>IF(H1734="","",IF($C$30="상세법",FPV(H1734,K1734),IF(H1734="EI",4,IF(H1734="EO",5.2,IF(H1734="EQ",3.9,IF(H1734="ILF",7.5,IF(H1734="EIF",5.4)))))))</f>
        <v/>
      </c>
      <c r="M1734" s="30" t="str">
        <f t="shared" si="184"/>
        <v/>
      </c>
      <c r="N1734" s="134"/>
      <c r="O1734" s="29"/>
      <c r="P1734" s="37" t="str">
        <f t="shared" si="185"/>
        <v/>
      </c>
      <c r="Q1734" s="38" t="str">
        <f t="shared" si="186"/>
        <v/>
      </c>
      <c r="R1734" s="37" t="str">
        <f t="shared" si="187"/>
        <v/>
      </c>
      <c r="S1734" s="37" t="str">
        <f t="shared" si="188"/>
        <v/>
      </c>
      <c r="T1734" s="38" t="str">
        <f t="shared" si="189"/>
        <v/>
      </c>
      <c r="U1734" s="37" t="str">
        <f t="shared" si="190"/>
        <v/>
      </c>
    </row>
    <row r="1735" spans="2:21" ht="17.25">
      <c r="B1735" s="156"/>
      <c r="C1735" s="156"/>
      <c r="D1735" s="157"/>
      <c r="E1735" s="155"/>
      <c r="F1735" s="151"/>
      <c r="G1735" s="152"/>
      <c r="H1735" s="153"/>
      <c r="I1735" s="154"/>
      <c r="J1735" s="154"/>
      <c r="K1735" s="30" t="str">
        <f>IF(H1735="","",IF($C$30="간이법","",FPR(H1735,I1735,J1735)))</f>
        <v/>
      </c>
      <c r="L1735" s="30" t="str">
        <f>IF(H1735="","",IF($C$30="상세법",FPV(H1735,K1735),IF(H1735="EI",4,IF(H1735="EO",5.2,IF(H1735="EQ",3.9,IF(H1735="ILF",7.5,IF(H1735="EIF",5.4)))))))</f>
        <v/>
      </c>
      <c r="M1735" s="30" t="str">
        <f t="shared" si="184"/>
        <v/>
      </c>
      <c r="N1735" s="134"/>
      <c r="O1735" s="29"/>
      <c r="P1735" s="37" t="str">
        <f t="shared" si="185"/>
        <v/>
      </c>
      <c r="Q1735" s="38" t="str">
        <f t="shared" si="186"/>
        <v/>
      </c>
      <c r="R1735" s="37" t="str">
        <f t="shared" si="187"/>
        <v/>
      </c>
      <c r="S1735" s="37" t="str">
        <f t="shared" si="188"/>
        <v/>
      </c>
      <c r="T1735" s="38" t="str">
        <f t="shared" si="189"/>
        <v/>
      </c>
      <c r="U1735" s="37" t="str">
        <f t="shared" si="190"/>
        <v/>
      </c>
    </row>
    <row r="1736" spans="2:21" ht="17.25">
      <c r="B1736" s="156"/>
      <c r="C1736" s="156"/>
      <c r="D1736" s="157"/>
      <c r="E1736" s="155"/>
      <c r="F1736" s="151"/>
      <c r="G1736" s="152"/>
      <c r="H1736" s="153"/>
      <c r="I1736" s="154"/>
      <c r="J1736" s="154"/>
      <c r="K1736" s="30" t="str">
        <f>IF(H1736="","",IF($C$30="간이법","",FPR(H1736,I1736,J1736)))</f>
        <v/>
      </c>
      <c r="L1736" s="30" t="str">
        <f>IF(H1736="","",IF($C$30="상세법",FPV(H1736,K1736),IF(H1736="EI",4,IF(H1736="EO",5.2,IF(H1736="EQ",3.9,IF(H1736="ILF",7.5,IF(H1736="EIF",5.4)))))))</f>
        <v/>
      </c>
      <c r="M1736" s="30" t="str">
        <f t="shared" si="184"/>
        <v/>
      </c>
      <c r="N1736" s="134"/>
      <c r="O1736" s="29"/>
      <c r="P1736" s="37" t="str">
        <f t="shared" si="185"/>
        <v/>
      </c>
      <c r="Q1736" s="38" t="str">
        <f t="shared" si="186"/>
        <v/>
      </c>
      <c r="R1736" s="37" t="str">
        <f t="shared" si="187"/>
        <v/>
      </c>
      <c r="S1736" s="37" t="str">
        <f t="shared" si="188"/>
        <v/>
      </c>
      <c r="T1736" s="38" t="str">
        <f t="shared" si="189"/>
        <v/>
      </c>
      <c r="U1736" s="37" t="str">
        <f t="shared" si="190"/>
        <v/>
      </c>
    </row>
    <row r="1737" spans="2:21" ht="17.25">
      <c r="B1737" s="156"/>
      <c r="C1737" s="156"/>
      <c r="D1737" s="157"/>
      <c r="E1737" s="155"/>
      <c r="F1737" s="151"/>
      <c r="G1737" s="152"/>
      <c r="H1737" s="153"/>
      <c r="I1737" s="154"/>
      <c r="J1737" s="154"/>
      <c r="K1737" s="30" t="str">
        <f>IF(H1737="","",IF($C$30="간이법","",FPR(H1737,I1737,J1737)))</f>
        <v/>
      </c>
      <c r="L1737" s="30" t="str">
        <f>IF(H1737="","",IF($C$30="상세법",FPV(H1737,K1737),IF(H1737="EI",4,IF(H1737="EO",5.2,IF(H1737="EQ",3.9,IF(H1737="ILF",7.5,IF(H1737="EIF",5.4)))))))</f>
        <v/>
      </c>
      <c r="M1737" s="30" t="str">
        <f t="shared" si="184"/>
        <v/>
      </c>
      <c r="N1737" s="134"/>
      <c r="O1737" s="29"/>
      <c r="P1737" s="37" t="str">
        <f t="shared" si="185"/>
        <v/>
      </c>
      <c r="Q1737" s="38" t="str">
        <f t="shared" si="186"/>
        <v/>
      </c>
      <c r="R1737" s="37" t="str">
        <f t="shared" si="187"/>
        <v/>
      </c>
      <c r="S1737" s="37" t="str">
        <f t="shared" si="188"/>
        <v/>
      </c>
      <c r="T1737" s="38" t="str">
        <f t="shared" si="189"/>
        <v/>
      </c>
      <c r="U1737" s="37" t="str">
        <f t="shared" si="190"/>
        <v/>
      </c>
    </row>
    <row r="1738" spans="2:21" ht="17.25">
      <c r="B1738" s="156"/>
      <c r="C1738" s="156"/>
      <c r="D1738" s="157"/>
      <c r="E1738" s="155"/>
      <c r="F1738" s="151"/>
      <c r="G1738" s="152"/>
      <c r="H1738" s="153"/>
      <c r="I1738" s="154"/>
      <c r="J1738" s="154"/>
      <c r="K1738" s="30" t="str">
        <f>IF(H1738="","",IF($C$30="간이법","",FPR(H1738,I1738,J1738)))</f>
        <v/>
      </c>
      <c r="L1738" s="30" t="str">
        <f>IF(H1738="","",IF($C$30="상세법",FPV(H1738,K1738),IF(H1738="EI",4,IF(H1738="EO",5.2,IF(H1738="EQ",3.9,IF(H1738="ILF",7.5,IF(H1738="EIF",5.4)))))))</f>
        <v/>
      </c>
      <c r="M1738" s="30" t="str">
        <f t="shared" si="184"/>
        <v/>
      </c>
      <c r="N1738" s="134"/>
      <c r="O1738" s="29"/>
      <c r="P1738" s="37" t="str">
        <f t="shared" si="185"/>
        <v/>
      </c>
      <c r="Q1738" s="38" t="str">
        <f t="shared" si="186"/>
        <v/>
      </c>
      <c r="R1738" s="37" t="str">
        <f t="shared" si="187"/>
        <v/>
      </c>
      <c r="S1738" s="37" t="str">
        <f t="shared" si="188"/>
        <v/>
      </c>
      <c r="T1738" s="38" t="str">
        <f t="shared" si="189"/>
        <v/>
      </c>
      <c r="U1738" s="37" t="str">
        <f t="shared" si="190"/>
        <v/>
      </c>
    </row>
    <row r="1739" spans="2:21" ht="17.25">
      <c r="B1739" s="156"/>
      <c r="C1739" s="156"/>
      <c r="D1739" s="157"/>
      <c r="E1739" s="155"/>
      <c r="F1739" s="151"/>
      <c r="G1739" s="152"/>
      <c r="H1739" s="153"/>
      <c r="I1739" s="154"/>
      <c r="J1739" s="154"/>
      <c r="K1739" s="30" t="str">
        <f>IF(H1739="","",IF($C$30="간이법","",FPR(H1739,I1739,J1739)))</f>
        <v/>
      </c>
      <c r="L1739" s="30" t="str">
        <f>IF(H1739="","",IF($C$30="상세법",FPV(H1739,K1739),IF(H1739="EI",4,IF(H1739="EO",5.2,IF(H1739="EQ",3.9,IF(H1739="ILF",7.5,IF(H1739="EIF",5.4)))))))</f>
        <v/>
      </c>
      <c r="M1739" s="30" t="str">
        <f t="shared" si="184"/>
        <v/>
      </c>
      <c r="N1739" s="134"/>
      <c r="O1739" s="29"/>
      <c r="P1739" s="37" t="str">
        <f t="shared" si="185"/>
        <v/>
      </c>
      <c r="Q1739" s="38" t="str">
        <f t="shared" si="186"/>
        <v/>
      </c>
      <c r="R1739" s="37" t="str">
        <f t="shared" si="187"/>
        <v/>
      </c>
      <c r="S1739" s="37" t="str">
        <f t="shared" si="188"/>
        <v/>
      </c>
      <c r="T1739" s="38" t="str">
        <f t="shared" si="189"/>
        <v/>
      </c>
      <c r="U1739" s="37" t="str">
        <f t="shared" si="190"/>
        <v/>
      </c>
    </row>
    <row r="1740" spans="2:21" ht="17.25">
      <c r="B1740" s="156"/>
      <c r="C1740" s="156"/>
      <c r="D1740" s="157"/>
      <c r="E1740" s="155"/>
      <c r="F1740" s="151"/>
      <c r="G1740" s="152"/>
      <c r="H1740" s="153"/>
      <c r="I1740" s="154"/>
      <c r="J1740" s="154"/>
      <c r="K1740" s="30" t="str">
        <f>IF(H1740="","",IF($C$30="간이법","",FPR(H1740,I1740,J1740)))</f>
        <v/>
      </c>
      <c r="L1740" s="30" t="str">
        <f>IF(H1740="","",IF($C$30="상세법",FPV(H1740,K1740),IF(H1740="EI",4,IF(H1740="EO",5.2,IF(H1740="EQ",3.9,IF(H1740="ILF",7.5,IF(H1740="EIF",5.4)))))))</f>
        <v/>
      </c>
      <c r="M1740" s="30" t="str">
        <f t="shared" si="184"/>
        <v/>
      </c>
      <c r="N1740" s="134"/>
      <c r="O1740" s="29"/>
      <c r="P1740" s="37" t="str">
        <f t="shared" si="185"/>
        <v/>
      </c>
      <c r="Q1740" s="38" t="str">
        <f t="shared" si="186"/>
        <v/>
      </c>
      <c r="R1740" s="37" t="str">
        <f t="shared" si="187"/>
        <v/>
      </c>
      <c r="S1740" s="37" t="str">
        <f t="shared" si="188"/>
        <v/>
      </c>
      <c r="T1740" s="38" t="str">
        <f t="shared" si="189"/>
        <v/>
      </c>
      <c r="U1740" s="37" t="str">
        <f t="shared" si="190"/>
        <v/>
      </c>
    </row>
    <row r="1741" spans="2:21" ht="17.25">
      <c r="B1741" s="156"/>
      <c r="C1741" s="156"/>
      <c r="D1741" s="157"/>
      <c r="E1741" s="155"/>
      <c r="F1741" s="151"/>
      <c r="G1741" s="152"/>
      <c r="H1741" s="153"/>
      <c r="I1741" s="154"/>
      <c r="J1741" s="154"/>
      <c r="K1741" s="30" t="str">
        <f>IF(H1741="","",IF($C$30="간이법","",FPR(H1741,I1741,J1741)))</f>
        <v/>
      </c>
      <c r="L1741" s="30" t="str">
        <f>IF(H1741="","",IF($C$30="상세법",FPV(H1741,K1741),IF(H1741="EI",4,IF(H1741="EO",5.2,IF(H1741="EQ",3.9,IF(H1741="ILF",7.5,IF(H1741="EIF",5.4)))))))</f>
        <v/>
      </c>
      <c r="M1741" s="30" t="str">
        <f t="shared" si="184"/>
        <v/>
      </c>
      <c r="N1741" s="134"/>
      <c r="O1741" s="29"/>
      <c r="P1741" s="37" t="str">
        <f t="shared" si="185"/>
        <v/>
      </c>
      <c r="Q1741" s="38" t="str">
        <f t="shared" si="186"/>
        <v/>
      </c>
      <c r="R1741" s="37" t="str">
        <f t="shared" si="187"/>
        <v/>
      </c>
      <c r="S1741" s="37" t="str">
        <f t="shared" si="188"/>
        <v/>
      </c>
      <c r="T1741" s="38" t="str">
        <f t="shared" si="189"/>
        <v/>
      </c>
      <c r="U1741" s="37" t="str">
        <f t="shared" si="190"/>
        <v/>
      </c>
    </row>
    <row r="1742" spans="2:21" ht="17.25">
      <c r="B1742" s="156"/>
      <c r="C1742" s="156"/>
      <c r="D1742" s="157"/>
      <c r="E1742" s="155"/>
      <c r="F1742" s="151"/>
      <c r="G1742" s="152"/>
      <c r="H1742" s="153"/>
      <c r="I1742" s="154"/>
      <c r="J1742" s="154"/>
      <c r="K1742" s="30" t="str">
        <f>IF(H1742="","",IF($C$30="간이법","",FPR(H1742,I1742,J1742)))</f>
        <v/>
      </c>
      <c r="L1742" s="30" t="str">
        <f>IF(H1742="","",IF($C$30="상세법",FPV(H1742,K1742),IF(H1742="EI",4,IF(H1742="EO",5.2,IF(H1742="EQ",3.9,IF(H1742="ILF",7.5,IF(H1742="EIF",5.4)))))))</f>
        <v/>
      </c>
      <c r="M1742" s="30" t="str">
        <f t="shared" si="184"/>
        <v/>
      </c>
      <c r="N1742" s="134"/>
      <c r="O1742" s="29"/>
      <c r="P1742" s="37" t="str">
        <f t="shared" si="185"/>
        <v/>
      </c>
      <c r="Q1742" s="38" t="str">
        <f t="shared" si="186"/>
        <v/>
      </c>
      <c r="R1742" s="37" t="str">
        <f t="shared" si="187"/>
        <v/>
      </c>
      <c r="S1742" s="37" t="str">
        <f t="shared" si="188"/>
        <v/>
      </c>
      <c r="T1742" s="38" t="str">
        <f t="shared" si="189"/>
        <v/>
      </c>
      <c r="U1742" s="37" t="str">
        <f t="shared" si="190"/>
        <v/>
      </c>
    </row>
    <row r="1743" spans="2:21" ht="17.25">
      <c r="B1743" s="156"/>
      <c r="C1743" s="156"/>
      <c r="D1743" s="157"/>
      <c r="E1743" s="155"/>
      <c r="F1743" s="151"/>
      <c r="G1743" s="152"/>
      <c r="H1743" s="153"/>
      <c r="I1743" s="154"/>
      <c r="J1743" s="154"/>
      <c r="K1743" s="30" t="str">
        <f>IF(H1743="","",IF($C$30="간이법","",FPR(H1743,I1743,J1743)))</f>
        <v/>
      </c>
      <c r="L1743" s="30" t="str">
        <f>IF(H1743="","",IF($C$30="상세법",FPV(H1743,K1743),IF(H1743="EI",4,IF(H1743="EO",5.2,IF(H1743="EQ",3.9,IF(H1743="ILF",7.5,IF(H1743="EIF",5.4)))))))</f>
        <v/>
      </c>
      <c r="M1743" s="30" t="str">
        <f t="shared" si="184"/>
        <v/>
      </c>
      <c r="N1743" s="134"/>
      <c r="O1743" s="29"/>
      <c r="P1743" s="37" t="str">
        <f t="shared" si="185"/>
        <v/>
      </c>
      <c r="Q1743" s="38" t="str">
        <f t="shared" si="186"/>
        <v/>
      </c>
      <c r="R1743" s="37" t="str">
        <f t="shared" si="187"/>
        <v/>
      </c>
      <c r="S1743" s="37" t="str">
        <f t="shared" si="188"/>
        <v/>
      </c>
      <c r="T1743" s="38" t="str">
        <f t="shared" si="189"/>
        <v/>
      </c>
      <c r="U1743" s="37" t="str">
        <f t="shared" si="190"/>
        <v/>
      </c>
    </row>
    <row r="1744" spans="2:21" ht="17.25">
      <c r="B1744" s="156"/>
      <c r="C1744" s="156"/>
      <c r="D1744" s="157"/>
      <c r="E1744" s="155"/>
      <c r="F1744" s="151"/>
      <c r="G1744" s="152"/>
      <c r="H1744" s="153"/>
      <c r="I1744" s="154"/>
      <c r="J1744" s="154"/>
      <c r="K1744" s="30" t="str">
        <f>IF(H1744="","",IF($C$30="간이법","",FPR(H1744,I1744,J1744)))</f>
        <v/>
      </c>
      <c r="L1744" s="30" t="str">
        <f>IF(H1744="","",IF($C$30="상세법",FPV(H1744,K1744),IF(H1744="EI",4,IF(H1744="EO",5.2,IF(H1744="EQ",3.9,IF(H1744="ILF",7.5,IF(H1744="EIF",5.4)))))))</f>
        <v/>
      </c>
      <c r="M1744" s="30" t="str">
        <f t="shared" si="184"/>
        <v/>
      </c>
      <c r="N1744" s="134"/>
      <c r="O1744" s="29"/>
      <c r="P1744" s="37" t="str">
        <f t="shared" si="185"/>
        <v/>
      </c>
      <c r="Q1744" s="38" t="str">
        <f t="shared" si="186"/>
        <v/>
      </c>
      <c r="R1744" s="37" t="str">
        <f t="shared" si="187"/>
        <v/>
      </c>
      <c r="S1744" s="37" t="str">
        <f t="shared" si="188"/>
        <v/>
      </c>
      <c r="T1744" s="38" t="str">
        <f t="shared" si="189"/>
        <v/>
      </c>
      <c r="U1744" s="37" t="str">
        <f t="shared" si="190"/>
        <v/>
      </c>
    </row>
    <row r="1745" spans="2:21" ht="17.25">
      <c r="B1745" s="156"/>
      <c r="C1745" s="156"/>
      <c r="D1745" s="157"/>
      <c r="E1745" s="155"/>
      <c r="F1745" s="151"/>
      <c r="G1745" s="152"/>
      <c r="H1745" s="153"/>
      <c r="I1745" s="154"/>
      <c r="J1745" s="154"/>
      <c r="K1745" s="30" t="str">
        <f>IF(H1745="","",IF($C$30="간이법","",FPR(H1745,I1745,J1745)))</f>
        <v/>
      </c>
      <c r="L1745" s="30" t="str">
        <f>IF(H1745="","",IF($C$30="상세법",FPV(H1745,K1745),IF(H1745="EI",4,IF(H1745="EO",5.2,IF(H1745="EQ",3.9,IF(H1745="ILF",7.5,IF(H1745="EIF",5.4)))))))</f>
        <v/>
      </c>
      <c r="M1745" s="30" t="str">
        <f t="shared" si="184"/>
        <v/>
      </c>
      <c r="N1745" s="134"/>
      <c r="O1745" s="29"/>
      <c r="P1745" s="37" t="str">
        <f t="shared" si="185"/>
        <v/>
      </c>
      <c r="Q1745" s="38" t="str">
        <f t="shared" si="186"/>
        <v/>
      </c>
      <c r="R1745" s="37" t="str">
        <f t="shared" si="187"/>
        <v/>
      </c>
      <c r="S1745" s="37" t="str">
        <f t="shared" si="188"/>
        <v/>
      </c>
      <c r="T1745" s="38" t="str">
        <f t="shared" si="189"/>
        <v/>
      </c>
      <c r="U1745" s="37" t="str">
        <f t="shared" si="190"/>
        <v/>
      </c>
    </row>
    <row r="1746" spans="2:21" ht="17.25">
      <c r="B1746" s="156"/>
      <c r="C1746" s="156"/>
      <c r="D1746" s="157"/>
      <c r="E1746" s="155"/>
      <c r="F1746" s="151"/>
      <c r="G1746" s="152"/>
      <c r="H1746" s="153"/>
      <c r="I1746" s="154"/>
      <c r="J1746" s="154"/>
      <c r="K1746" s="30" t="str">
        <f>IF(H1746="","",IF($C$30="간이법","",FPR(H1746,I1746,J1746)))</f>
        <v/>
      </c>
      <c r="L1746" s="30" t="str">
        <f>IF(H1746="","",IF($C$30="상세법",FPV(H1746,K1746),IF(H1746="EI",4,IF(H1746="EO",5.2,IF(H1746="EQ",3.9,IF(H1746="ILF",7.5,IF(H1746="EIF",5.4)))))))</f>
        <v/>
      </c>
      <c r="M1746" s="30" t="str">
        <f t="shared" si="184"/>
        <v/>
      </c>
      <c r="N1746" s="134"/>
      <c r="O1746" s="29"/>
      <c r="P1746" s="37" t="str">
        <f t="shared" si="185"/>
        <v/>
      </c>
      <c r="Q1746" s="38" t="str">
        <f t="shared" si="186"/>
        <v/>
      </c>
      <c r="R1746" s="37" t="str">
        <f t="shared" si="187"/>
        <v/>
      </c>
      <c r="S1746" s="37" t="str">
        <f t="shared" si="188"/>
        <v/>
      </c>
      <c r="T1746" s="38" t="str">
        <f t="shared" si="189"/>
        <v/>
      </c>
      <c r="U1746" s="37" t="str">
        <f t="shared" si="190"/>
        <v/>
      </c>
    </row>
    <row r="1747" spans="2:21" ht="17.25">
      <c r="B1747" s="156"/>
      <c r="C1747" s="156"/>
      <c r="D1747" s="157"/>
      <c r="E1747" s="155"/>
      <c r="F1747" s="151"/>
      <c r="G1747" s="152"/>
      <c r="H1747" s="153"/>
      <c r="I1747" s="154"/>
      <c r="J1747" s="154"/>
      <c r="K1747" s="30" t="str">
        <f>IF(H1747="","",IF($C$30="간이법","",FPR(H1747,I1747,J1747)))</f>
        <v/>
      </c>
      <c r="L1747" s="30" t="str">
        <f>IF(H1747="","",IF($C$30="상세법",FPV(H1747,K1747),IF(H1747="EI",4,IF(H1747="EO",5.2,IF(H1747="EQ",3.9,IF(H1747="ILF",7.5,IF(H1747="EIF",5.4)))))))</f>
        <v/>
      </c>
      <c r="M1747" s="30" t="str">
        <f t="shared" si="184"/>
        <v/>
      </c>
      <c r="N1747" s="134"/>
      <c r="O1747" s="29"/>
      <c r="P1747" s="37" t="str">
        <f t="shared" si="185"/>
        <v/>
      </c>
      <c r="Q1747" s="38" t="str">
        <f t="shared" si="186"/>
        <v/>
      </c>
      <c r="R1747" s="37" t="str">
        <f t="shared" si="187"/>
        <v/>
      </c>
      <c r="S1747" s="37" t="str">
        <f t="shared" si="188"/>
        <v/>
      </c>
      <c r="T1747" s="38" t="str">
        <f t="shared" si="189"/>
        <v/>
      </c>
      <c r="U1747" s="37" t="str">
        <f t="shared" si="190"/>
        <v/>
      </c>
    </row>
    <row r="1748" spans="2:21" ht="17.25">
      <c r="B1748" s="156"/>
      <c r="C1748" s="156"/>
      <c r="D1748" s="157"/>
      <c r="E1748" s="155"/>
      <c r="F1748" s="151"/>
      <c r="G1748" s="152"/>
      <c r="H1748" s="153"/>
      <c r="I1748" s="154"/>
      <c r="J1748" s="154"/>
      <c r="K1748" s="30" t="str">
        <f>IF(H1748="","",IF($C$30="간이법","",FPR(H1748,I1748,J1748)))</f>
        <v/>
      </c>
      <c r="L1748" s="30" t="str">
        <f>IF(H1748="","",IF($C$30="상세법",FPV(H1748,K1748),IF(H1748="EI",4,IF(H1748="EO",5.2,IF(H1748="EQ",3.9,IF(H1748="ILF",7.5,IF(H1748="EIF",5.4)))))))</f>
        <v/>
      </c>
      <c r="M1748" s="30" t="str">
        <f t="shared" si="184"/>
        <v/>
      </c>
      <c r="N1748" s="134"/>
      <c r="O1748" s="29"/>
      <c r="P1748" s="37" t="str">
        <f t="shared" si="185"/>
        <v/>
      </c>
      <c r="Q1748" s="38" t="str">
        <f t="shared" si="186"/>
        <v/>
      </c>
      <c r="R1748" s="37" t="str">
        <f t="shared" si="187"/>
        <v/>
      </c>
      <c r="S1748" s="37" t="str">
        <f t="shared" si="188"/>
        <v/>
      </c>
      <c r="T1748" s="38" t="str">
        <f t="shared" si="189"/>
        <v/>
      </c>
      <c r="U1748" s="37" t="str">
        <f t="shared" si="190"/>
        <v/>
      </c>
    </row>
    <row r="1749" spans="2:21" ht="17.25">
      <c r="B1749" s="156"/>
      <c r="C1749" s="156"/>
      <c r="D1749" s="157"/>
      <c r="E1749" s="155"/>
      <c r="F1749" s="151"/>
      <c r="G1749" s="152"/>
      <c r="H1749" s="153"/>
      <c r="I1749" s="154"/>
      <c r="J1749" s="154"/>
      <c r="K1749" s="30" t="str">
        <f>IF(H1749="","",IF($C$30="간이법","",FPR(H1749,I1749,J1749)))</f>
        <v/>
      </c>
      <c r="L1749" s="30" t="str">
        <f>IF(H1749="","",IF($C$30="상세법",FPV(H1749,K1749),IF(H1749="EI",4,IF(H1749="EO",5.2,IF(H1749="EQ",3.9,IF(H1749="ILF",7.5,IF(H1749="EIF",5.4)))))))</f>
        <v/>
      </c>
      <c r="M1749" s="30" t="str">
        <f t="shared" si="184"/>
        <v/>
      </c>
      <c r="N1749" s="134"/>
      <c r="O1749" s="29"/>
      <c r="P1749" s="37" t="str">
        <f t="shared" si="185"/>
        <v/>
      </c>
      <c r="Q1749" s="38" t="str">
        <f t="shared" si="186"/>
        <v/>
      </c>
      <c r="R1749" s="37" t="str">
        <f t="shared" si="187"/>
        <v/>
      </c>
      <c r="S1749" s="37" t="str">
        <f t="shared" si="188"/>
        <v/>
      </c>
      <c r="T1749" s="38" t="str">
        <f t="shared" si="189"/>
        <v/>
      </c>
      <c r="U1749" s="37" t="str">
        <f t="shared" si="190"/>
        <v/>
      </c>
    </row>
    <row r="1750" spans="2:21" ht="17.25">
      <c r="B1750" s="156"/>
      <c r="C1750" s="156"/>
      <c r="D1750" s="157"/>
      <c r="E1750" s="155"/>
      <c r="F1750" s="151"/>
      <c r="G1750" s="152"/>
      <c r="H1750" s="153"/>
      <c r="I1750" s="154"/>
      <c r="J1750" s="154"/>
      <c r="K1750" s="30" t="str">
        <f>IF(H1750="","",IF($C$30="간이법","",FPR(H1750,I1750,J1750)))</f>
        <v/>
      </c>
      <c r="L1750" s="30" t="str">
        <f>IF(H1750="","",IF($C$30="상세법",FPV(H1750,K1750),IF(H1750="EI",4,IF(H1750="EO",5.2,IF(H1750="EQ",3.9,IF(H1750="ILF",7.5,IF(H1750="EIF",5.4)))))))</f>
        <v/>
      </c>
      <c r="M1750" s="30" t="str">
        <f t="shared" si="184"/>
        <v/>
      </c>
      <c r="N1750" s="134"/>
      <c r="O1750" s="29"/>
      <c r="P1750" s="37" t="str">
        <f t="shared" si="185"/>
        <v/>
      </c>
      <c r="Q1750" s="38" t="str">
        <f t="shared" si="186"/>
        <v/>
      </c>
      <c r="R1750" s="37" t="str">
        <f t="shared" si="187"/>
        <v/>
      </c>
      <c r="S1750" s="37" t="str">
        <f t="shared" si="188"/>
        <v/>
      </c>
      <c r="T1750" s="38" t="str">
        <f t="shared" si="189"/>
        <v/>
      </c>
      <c r="U1750" s="37" t="str">
        <f t="shared" si="190"/>
        <v/>
      </c>
    </row>
    <row r="1751" spans="2:21" ht="17.25">
      <c r="B1751" s="156"/>
      <c r="C1751" s="156"/>
      <c r="D1751" s="157"/>
      <c r="E1751" s="155"/>
      <c r="F1751" s="151"/>
      <c r="G1751" s="152"/>
      <c r="H1751" s="153"/>
      <c r="I1751" s="154"/>
      <c r="J1751" s="154"/>
      <c r="K1751" s="30" t="str">
        <f>IF(H1751="","",IF($C$30="간이법","",FPR(H1751,I1751,J1751)))</f>
        <v/>
      </c>
      <c r="L1751" s="30" t="str">
        <f>IF(H1751="","",IF($C$30="상세법",FPV(H1751,K1751),IF(H1751="EI",4,IF(H1751="EO",5.2,IF(H1751="EQ",3.9,IF(H1751="ILF",7.5,IF(H1751="EIF",5.4)))))))</f>
        <v/>
      </c>
      <c r="M1751" s="30" t="str">
        <f t="shared" si="184"/>
        <v/>
      </c>
      <c r="N1751" s="134"/>
      <c r="O1751" s="29"/>
      <c r="P1751" s="37" t="str">
        <f t="shared" si="185"/>
        <v/>
      </c>
      <c r="Q1751" s="38" t="str">
        <f t="shared" si="186"/>
        <v/>
      </c>
      <c r="R1751" s="37" t="str">
        <f t="shared" si="187"/>
        <v/>
      </c>
      <c r="S1751" s="37" t="str">
        <f t="shared" si="188"/>
        <v/>
      </c>
      <c r="T1751" s="38" t="str">
        <f t="shared" si="189"/>
        <v/>
      </c>
      <c r="U1751" s="37" t="str">
        <f t="shared" si="190"/>
        <v/>
      </c>
    </row>
    <row r="1752" spans="2:21" ht="17.25">
      <c r="B1752" s="156"/>
      <c r="C1752" s="156"/>
      <c r="D1752" s="157"/>
      <c r="E1752" s="155"/>
      <c r="F1752" s="151"/>
      <c r="G1752" s="152"/>
      <c r="H1752" s="153"/>
      <c r="I1752" s="154"/>
      <c r="J1752" s="154"/>
      <c r="K1752" s="30" t="str">
        <f>IF(H1752="","",IF($C$30="간이법","",FPR(H1752,I1752,J1752)))</f>
        <v/>
      </c>
      <c r="L1752" s="30" t="str">
        <f>IF(H1752="","",IF($C$30="상세법",FPV(H1752,K1752),IF(H1752="EI",4,IF(H1752="EO",5.2,IF(H1752="EQ",3.9,IF(H1752="ILF",7.5,IF(H1752="EIF",5.4)))))))</f>
        <v/>
      </c>
      <c r="M1752" s="30" t="str">
        <f t="shared" si="184"/>
        <v/>
      </c>
      <c r="N1752" s="134"/>
      <c r="O1752" s="29"/>
      <c r="P1752" s="37" t="str">
        <f t="shared" si="185"/>
        <v/>
      </c>
      <c r="Q1752" s="38" t="str">
        <f t="shared" si="186"/>
        <v/>
      </c>
      <c r="R1752" s="37" t="str">
        <f t="shared" si="187"/>
        <v/>
      </c>
      <c r="S1752" s="37" t="str">
        <f t="shared" si="188"/>
        <v/>
      </c>
      <c r="T1752" s="38" t="str">
        <f t="shared" si="189"/>
        <v/>
      </c>
      <c r="U1752" s="37" t="str">
        <f t="shared" si="190"/>
        <v/>
      </c>
    </row>
    <row r="1753" spans="2:21" ht="17.25">
      <c r="B1753" s="156"/>
      <c r="C1753" s="156"/>
      <c r="D1753" s="157"/>
      <c r="E1753" s="155"/>
      <c r="F1753" s="151"/>
      <c r="G1753" s="152"/>
      <c r="H1753" s="153"/>
      <c r="I1753" s="154"/>
      <c r="J1753" s="154"/>
      <c r="K1753" s="30" t="str">
        <f>IF(H1753="","",IF($C$30="간이법","",FPR(H1753,I1753,J1753)))</f>
        <v/>
      </c>
      <c r="L1753" s="30" t="str">
        <f>IF(H1753="","",IF($C$30="상세법",FPV(H1753,K1753),IF(H1753="EI",4,IF(H1753="EO",5.2,IF(H1753="EQ",3.9,IF(H1753="ILF",7.5,IF(H1753="EIF",5.4)))))))</f>
        <v/>
      </c>
      <c r="M1753" s="30" t="str">
        <f t="shared" si="184"/>
        <v/>
      </c>
      <c r="N1753" s="134"/>
      <c r="O1753" s="29"/>
      <c r="P1753" s="37" t="str">
        <f t="shared" si="185"/>
        <v/>
      </c>
      <c r="Q1753" s="38" t="str">
        <f t="shared" si="186"/>
        <v/>
      </c>
      <c r="R1753" s="37" t="str">
        <f t="shared" si="187"/>
        <v/>
      </c>
      <c r="S1753" s="37" t="str">
        <f t="shared" si="188"/>
        <v/>
      </c>
      <c r="T1753" s="38" t="str">
        <f t="shared" si="189"/>
        <v/>
      </c>
      <c r="U1753" s="37" t="str">
        <f t="shared" si="190"/>
        <v/>
      </c>
    </row>
    <row r="1754" spans="2:21" ht="17.25">
      <c r="B1754" s="156"/>
      <c r="C1754" s="156"/>
      <c r="D1754" s="157"/>
      <c r="E1754" s="155"/>
      <c r="F1754" s="151"/>
      <c r="G1754" s="152"/>
      <c r="H1754" s="153"/>
      <c r="I1754" s="154"/>
      <c r="J1754" s="154"/>
      <c r="K1754" s="30" t="str">
        <f>IF(H1754="","",IF($C$30="간이법","",FPR(H1754,I1754,J1754)))</f>
        <v/>
      </c>
      <c r="L1754" s="30" t="str">
        <f>IF(H1754="","",IF($C$30="상세법",FPV(H1754,K1754),IF(H1754="EI",4,IF(H1754="EO",5.2,IF(H1754="EQ",3.9,IF(H1754="ILF",7.5,IF(H1754="EIF",5.4)))))))</f>
        <v/>
      </c>
      <c r="M1754" s="30" t="str">
        <f t="shared" si="184"/>
        <v/>
      </c>
      <c r="N1754" s="134"/>
      <c r="O1754" s="29"/>
      <c r="P1754" s="37" t="str">
        <f t="shared" si="185"/>
        <v/>
      </c>
      <c r="Q1754" s="38" t="str">
        <f t="shared" si="186"/>
        <v/>
      </c>
      <c r="R1754" s="37" t="str">
        <f t="shared" si="187"/>
        <v/>
      </c>
      <c r="S1754" s="37" t="str">
        <f t="shared" si="188"/>
        <v/>
      </c>
      <c r="T1754" s="38" t="str">
        <f t="shared" si="189"/>
        <v/>
      </c>
      <c r="U1754" s="37" t="str">
        <f t="shared" si="190"/>
        <v/>
      </c>
    </row>
    <row r="1755" spans="2:21" ht="17.25">
      <c r="B1755" s="156"/>
      <c r="C1755" s="156"/>
      <c r="D1755" s="157"/>
      <c r="E1755" s="155"/>
      <c r="F1755" s="151"/>
      <c r="G1755" s="152"/>
      <c r="H1755" s="153"/>
      <c r="I1755" s="154"/>
      <c r="J1755" s="154"/>
      <c r="K1755" s="30" t="str">
        <f>IF(H1755="","",IF($C$30="간이법","",FPR(H1755,I1755,J1755)))</f>
        <v/>
      </c>
      <c r="L1755" s="30" t="str">
        <f>IF(H1755="","",IF($C$30="상세법",FPV(H1755,K1755),IF(H1755="EI",4,IF(H1755="EO",5.2,IF(H1755="EQ",3.9,IF(H1755="ILF",7.5,IF(H1755="EIF",5.4)))))))</f>
        <v/>
      </c>
      <c r="M1755" s="30" t="str">
        <f t="shared" si="184"/>
        <v/>
      </c>
      <c r="N1755" s="134"/>
      <c r="O1755" s="29"/>
      <c r="P1755" s="37" t="str">
        <f t="shared" si="185"/>
        <v/>
      </c>
      <c r="Q1755" s="38" t="str">
        <f t="shared" si="186"/>
        <v/>
      </c>
      <c r="R1755" s="37" t="str">
        <f t="shared" si="187"/>
        <v/>
      </c>
      <c r="S1755" s="37" t="str">
        <f t="shared" si="188"/>
        <v/>
      </c>
      <c r="T1755" s="38" t="str">
        <f t="shared" si="189"/>
        <v/>
      </c>
      <c r="U1755" s="37" t="str">
        <f t="shared" si="190"/>
        <v/>
      </c>
    </row>
    <row r="1756" spans="2:21" ht="17.25">
      <c r="B1756" s="156"/>
      <c r="C1756" s="156"/>
      <c r="D1756" s="157"/>
      <c r="E1756" s="155"/>
      <c r="F1756" s="151"/>
      <c r="G1756" s="152"/>
      <c r="H1756" s="153"/>
      <c r="I1756" s="154"/>
      <c r="J1756" s="154"/>
      <c r="K1756" s="30" t="str">
        <f>IF(H1756="","",IF($C$30="간이법","",FPR(H1756,I1756,J1756)))</f>
        <v/>
      </c>
      <c r="L1756" s="30" t="str">
        <f>IF(H1756="","",IF($C$30="상세법",FPV(H1756,K1756),IF(H1756="EI",4,IF(H1756="EO",5.2,IF(H1756="EQ",3.9,IF(H1756="ILF",7.5,IF(H1756="EIF",5.4)))))))</f>
        <v/>
      </c>
      <c r="M1756" s="30" t="str">
        <f t="shared" si="184"/>
        <v/>
      </c>
      <c r="N1756" s="134"/>
      <c r="O1756" s="29"/>
      <c r="P1756" s="37" t="str">
        <f t="shared" si="185"/>
        <v/>
      </c>
      <c r="Q1756" s="38" t="str">
        <f t="shared" si="186"/>
        <v/>
      </c>
      <c r="R1756" s="37" t="str">
        <f t="shared" si="187"/>
        <v/>
      </c>
      <c r="S1756" s="37" t="str">
        <f t="shared" si="188"/>
        <v/>
      </c>
      <c r="T1756" s="38" t="str">
        <f t="shared" si="189"/>
        <v/>
      </c>
      <c r="U1756" s="37" t="str">
        <f t="shared" si="190"/>
        <v/>
      </c>
    </row>
    <row r="1757" spans="2:21" ht="17.25">
      <c r="B1757" s="156"/>
      <c r="C1757" s="156"/>
      <c r="D1757" s="157"/>
      <c r="E1757" s="155"/>
      <c r="F1757" s="151"/>
      <c r="G1757" s="152"/>
      <c r="H1757" s="153"/>
      <c r="I1757" s="154"/>
      <c r="J1757" s="154"/>
      <c r="K1757" s="30" t="str">
        <f>IF(H1757="","",IF($C$30="간이법","",FPR(H1757,I1757,J1757)))</f>
        <v/>
      </c>
      <c r="L1757" s="30" t="str">
        <f>IF(H1757="","",IF($C$30="상세법",FPV(H1757,K1757),IF(H1757="EI",4,IF(H1757="EO",5.2,IF(H1757="EQ",3.9,IF(H1757="ILF",7.5,IF(H1757="EIF",5.4)))))))</f>
        <v/>
      </c>
      <c r="M1757" s="30" t="str">
        <f t="shared" si="184"/>
        <v/>
      </c>
      <c r="N1757" s="134"/>
      <c r="O1757" s="29"/>
      <c r="P1757" s="37" t="str">
        <f t="shared" si="185"/>
        <v/>
      </c>
      <c r="Q1757" s="38" t="str">
        <f t="shared" si="186"/>
        <v/>
      </c>
      <c r="R1757" s="37" t="str">
        <f t="shared" si="187"/>
        <v/>
      </c>
      <c r="S1757" s="37" t="str">
        <f t="shared" si="188"/>
        <v/>
      </c>
      <c r="T1757" s="38" t="str">
        <f t="shared" si="189"/>
        <v/>
      </c>
      <c r="U1757" s="37" t="str">
        <f t="shared" si="190"/>
        <v/>
      </c>
    </row>
    <row r="1758" spans="2:21" ht="17.25">
      <c r="B1758" s="156"/>
      <c r="C1758" s="156"/>
      <c r="D1758" s="157"/>
      <c r="E1758" s="155"/>
      <c r="F1758" s="151"/>
      <c r="G1758" s="152"/>
      <c r="H1758" s="153"/>
      <c r="I1758" s="154"/>
      <c r="J1758" s="154"/>
      <c r="K1758" s="30" t="str">
        <f>IF(H1758="","",IF($C$30="간이법","",FPR(H1758,I1758,J1758)))</f>
        <v/>
      </c>
      <c r="L1758" s="30" t="str">
        <f>IF(H1758="","",IF($C$30="상세법",FPV(H1758,K1758),IF(H1758="EI",4,IF(H1758="EO",5.2,IF(H1758="EQ",3.9,IF(H1758="ILF",7.5,IF(H1758="EIF",5.4)))))))</f>
        <v/>
      </c>
      <c r="M1758" s="30" t="str">
        <f t="shared" si="184"/>
        <v/>
      </c>
      <c r="N1758" s="134"/>
      <c r="O1758" s="29"/>
      <c r="P1758" s="37" t="str">
        <f t="shared" si="185"/>
        <v/>
      </c>
      <c r="Q1758" s="38" t="str">
        <f t="shared" si="186"/>
        <v/>
      </c>
      <c r="R1758" s="37" t="str">
        <f t="shared" si="187"/>
        <v/>
      </c>
      <c r="S1758" s="37" t="str">
        <f t="shared" si="188"/>
        <v/>
      </c>
      <c r="T1758" s="38" t="str">
        <f t="shared" si="189"/>
        <v/>
      </c>
      <c r="U1758" s="37" t="str">
        <f t="shared" si="190"/>
        <v/>
      </c>
    </row>
    <row r="1759" spans="2:21" ht="17.25">
      <c r="B1759" s="156"/>
      <c r="C1759" s="156"/>
      <c r="D1759" s="157"/>
      <c r="E1759" s="155"/>
      <c r="F1759" s="151"/>
      <c r="G1759" s="152"/>
      <c r="H1759" s="153"/>
      <c r="I1759" s="154"/>
      <c r="J1759" s="154"/>
      <c r="K1759" s="30" t="str">
        <f>IF(H1759="","",IF($C$30="간이법","",FPR(H1759,I1759,J1759)))</f>
        <v/>
      </c>
      <c r="L1759" s="30" t="str">
        <f>IF(H1759="","",IF($C$30="상세법",FPV(H1759,K1759),IF(H1759="EI",4,IF(H1759="EO",5.2,IF(H1759="EQ",3.9,IF(H1759="ILF",7.5,IF(H1759="EIF",5.4)))))))</f>
        <v/>
      </c>
      <c r="M1759" s="30" t="str">
        <f t="shared" si="184"/>
        <v/>
      </c>
      <c r="N1759" s="134"/>
      <c r="O1759" s="29"/>
      <c r="P1759" s="37" t="str">
        <f t="shared" si="185"/>
        <v/>
      </c>
      <c r="Q1759" s="38" t="str">
        <f t="shared" si="186"/>
        <v/>
      </c>
      <c r="R1759" s="37" t="str">
        <f t="shared" si="187"/>
        <v/>
      </c>
      <c r="S1759" s="37" t="str">
        <f t="shared" si="188"/>
        <v/>
      </c>
      <c r="T1759" s="38" t="str">
        <f t="shared" si="189"/>
        <v/>
      </c>
      <c r="U1759" s="37" t="str">
        <f t="shared" si="190"/>
        <v/>
      </c>
    </row>
    <row r="1760" spans="2:21" ht="17.25">
      <c r="B1760" s="156"/>
      <c r="C1760" s="156"/>
      <c r="D1760" s="157"/>
      <c r="E1760" s="155"/>
      <c r="F1760" s="151"/>
      <c r="G1760" s="152"/>
      <c r="H1760" s="153"/>
      <c r="I1760" s="154"/>
      <c r="J1760" s="154"/>
      <c r="K1760" s="30" t="str">
        <f>IF(H1760="","",IF($C$30="간이법","",FPR(H1760,I1760,J1760)))</f>
        <v/>
      </c>
      <c r="L1760" s="30" t="str">
        <f>IF(H1760="","",IF($C$30="상세법",FPV(H1760,K1760),IF(H1760="EI",4,IF(H1760="EO",5.2,IF(H1760="EQ",3.9,IF(H1760="ILF",7.5,IF(H1760="EIF",5.4)))))))</f>
        <v/>
      </c>
      <c r="M1760" s="30" t="str">
        <f t="shared" si="184"/>
        <v/>
      </c>
      <c r="N1760" s="134"/>
      <c r="O1760" s="29"/>
      <c r="P1760" s="37" t="str">
        <f t="shared" si="185"/>
        <v/>
      </c>
      <c r="Q1760" s="38" t="str">
        <f t="shared" si="186"/>
        <v/>
      </c>
      <c r="R1760" s="37" t="str">
        <f t="shared" si="187"/>
        <v/>
      </c>
      <c r="S1760" s="37" t="str">
        <f t="shared" si="188"/>
        <v/>
      </c>
      <c r="T1760" s="38" t="str">
        <f t="shared" si="189"/>
        <v/>
      </c>
      <c r="U1760" s="37" t="str">
        <f t="shared" si="190"/>
        <v/>
      </c>
    </row>
    <row r="1761" spans="2:21" ht="17.25">
      <c r="B1761" s="156"/>
      <c r="C1761" s="156"/>
      <c r="D1761" s="157"/>
      <c r="E1761" s="155"/>
      <c r="F1761" s="151"/>
      <c r="G1761" s="152"/>
      <c r="H1761" s="153"/>
      <c r="I1761" s="154"/>
      <c r="J1761" s="154"/>
      <c r="K1761" s="30" t="str">
        <f>IF(H1761="","",IF($C$30="간이법","",FPR(H1761,I1761,J1761)))</f>
        <v/>
      </c>
      <c r="L1761" s="30" t="str">
        <f>IF(H1761="","",IF($C$30="상세법",FPV(H1761,K1761),IF(H1761="EI",4,IF(H1761="EO",5.2,IF(H1761="EQ",3.9,IF(H1761="ILF",7.5,IF(H1761="EIF",5.4)))))))</f>
        <v/>
      </c>
      <c r="M1761" s="30" t="str">
        <f t="shared" si="184"/>
        <v/>
      </c>
      <c r="N1761" s="134"/>
      <c r="O1761" s="29"/>
      <c r="P1761" s="37" t="str">
        <f t="shared" si="185"/>
        <v/>
      </c>
      <c r="Q1761" s="38" t="str">
        <f t="shared" si="186"/>
        <v/>
      </c>
      <c r="R1761" s="37" t="str">
        <f t="shared" si="187"/>
        <v/>
      </c>
      <c r="S1761" s="37" t="str">
        <f t="shared" si="188"/>
        <v/>
      </c>
      <c r="T1761" s="38" t="str">
        <f t="shared" si="189"/>
        <v/>
      </c>
      <c r="U1761" s="37" t="str">
        <f t="shared" si="190"/>
        <v/>
      </c>
    </row>
    <row r="1762" spans="2:21" ht="17.25">
      <c r="B1762" s="156"/>
      <c r="C1762" s="156"/>
      <c r="D1762" s="157"/>
      <c r="E1762" s="155"/>
      <c r="F1762" s="151"/>
      <c r="G1762" s="152"/>
      <c r="H1762" s="153"/>
      <c r="I1762" s="154"/>
      <c r="J1762" s="154"/>
      <c r="K1762" s="30" t="str">
        <f>IF(H1762="","",IF($C$30="간이법","",FPR(H1762,I1762,J1762)))</f>
        <v/>
      </c>
      <c r="L1762" s="30" t="str">
        <f>IF(H1762="","",IF($C$30="상세법",FPV(H1762,K1762),IF(H1762="EI",4,IF(H1762="EO",5.2,IF(H1762="EQ",3.9,IF(H1762="ILF",7.5,IF(H1762="EIF",5.4)))))))</f>
        <v/>
      </c>
      <c r="M1762" s="30" t="str">
        <f t="shared" si="184"/>
        <v/>
      </c>
      <c r="N1762" s="134"/>
      <c r="O1762" s="29"/>
      <c r="P1762" s="37" t="str">
        <f t="shared" si="185"/>
        <v/>
      </c>
      <c r="Q1762" s="38" t="str">
        <f t="shared" si="186"/>
        <v/>
      </c>
      <c r="R1762" s="37" t="str">
        <f t="shared" si="187"/>
        <v/>
      </c>
      <c r="S1762" s="37" t="str">
        <f t="shared" si="188"/>
        <v/>
      </c>
      <c r="T1762" s="38" t="str">
        <f t="shared" si="189"/>
        <v/>
      </c>
      <c r="U1762" s="37" t="str">
        <f t="shared" si="190"/>
        <v/>
      </c>
    </row>
    <row r="1763" spans="2:21" ht="17.25">
      <c r="B1763" s="156"/>
      <c r="C1763" s="156"/>
      <c r="D1763" s="157"/>
      <c r="E1763" s="155"/>
      <c r="F1763" s="151"/>
      <c r="G1763" s="152"/>
      <c r="H1763" s="153"/>
      <c r="I1763" s="154"/>
      <c r="J1763" s="154"/>
      <c r="K1763" s="30" t="str">
        <f>IF(H1763="","",IF($C$30="간이법","",FPR(H1763,I1763,J1763)))</f>
        <v/>
      </c>
      <c r="L1763" s="30" t="str">
        <f>IF(H1763="","",IF($C$30="상세법",FPV(H1763,K1763),IF(H1763="EI",4,IF(H1763="EO",5.2,IF(H1763="EQ",3.9,IF(H1763="ILF",7.5,IF(H1763="EIF",5.4)))))))</f>
        <v/>
      </c>
      <c r="M1763" s="30" t="str">
        <f t="shared" si="184"/>
        <v/>
      </c>
      <c r="N1763" s="134"/>
      <c r="O1763" s="29"/>
      <c r="P1763" s="37" t="str">
        <f t="shared" si="185"/>
        <v/>
      </c>
      <c r="Q1763" s="38" t="str">
        <f t="shared" si="186"/>
        <v/>
      </c>
      <c r="R1763" s="37" t="str">
        <f t="shared" si="187"/>
        <v/>
      </c>
      <c r="S1763" s="37" t="str">
        <f t="shared" si="188"/>
        <v/>
      </c>
      <c r="T1763" s="38" t="str">
        <f t="shared" si="189"/>
        <v/>
      </c>
      <c r="U1763" s="37" t="str">
        <f t="shared" si="190"/>
        <v/>
      </c>
    </row>
    <row r="1764" spans="2:21" ht="17.25">
      <c r="B1764" s="156"/>
      <c r="C1764" s="156"/>
      <c r="D1764" s="157"/>
      <c r="E1764" s="155"/>
      <c r="F1764" s="151"/>
      <c r="G1764" s="152"/>
      <c r="H1764" s="153"/>
      <c r="I1764" s="154"/>
      <c r="J1764" s="154"/>
      <c r="K1764" s="30" t="str">
        <f>IF(H1764="","",IF($C$30="간이법","",FPR(H1764,I1764,J1764)))</f>
        <v/>
      </c>
      <c r="L1764" s="30" t="str">
        <f>IF(H1764="","",IF($C$30="상세법",FPV(H1764,K1764),IF(H1764="EI",4,IF(H1764="EO",5.2,IF(H1764="EQ",3.9,IF(H1764="ILF",7.5,IF(H1764="EIF",5.4)))))))</f>
        <v/>
      </c>
      <c r="M1764" s="30" t="str">
        <f t="shared" si="184"/>
        <v/>
      </c>
      <c r="N1764" s="134"/>
      <c r="O1764" s="29"/>
      <c r="P1764" s="37" t="str">
        <f t="shared" si="185"/>
        <v/>
      </c>
      <c r="Q1764" s="38" t="str">
        <f t="shared" si="186"/>
        <v/>
      </c>
      <c r="R1764" s="37" t="str">
        <f t="shared" si="187"/>
        <v/>
      </c>
      <c r="S1764" s="37" t="str">
        <f t="shared" si="188"/>
        <v/>
      </c>
      <c r="T1764" s="38" t="str">
        <f t="shared" si="189"/>
        <v/>
      </c>
      <c r="U1764" s="37" t="str">
        <f t="shared" si="190"/>
        <v/>
      </c>
    </row>
    <row r="1765" spans="2:21" ht="17.25">
      <c r="B1765" s="156"/>
      <c r="C1765" s="156"/>
      <c r="D1765" s="157"/>
      <c r="E1765" s="155"/>
      <c r="F1765" s="151"/>
      <c r="G1765" s="152"/>
      <c r="H1765" s="153"/>
      <c r="I1765" s="154"/>
      <c r="J1765" s="154"/>
      <c r="K1765" s="30" t="str">
        <f>IF(H1765="","",IF($C$30="간이법","",FPR(H1765,I1765,J1765)))</f>
        <v/>
      </c>
      <c r="L1765" s="30" t="str">
        <f>IF(H1765="","",IF($C$30="상세법",FPV(H1765,K1765),IF(H1765="EI",4,IF(H1765="EO",5.2,IF(H1765="EQ",3.9,IF(H1765="ILF",7.5,IF(H1765="EIF",5.4)))))))</f>
        <v/>
      </c>
      <c r="M1765" s="30" t="str">
        <f t="shared" si="184"/>
        <v/>
      </c>
      <c r="N1765" s="134"/>
      <c r="O1765" s="29"/>
      <c r="P1765" s="37" t="str">
        <f t="shared" si="185"/>
        <v/>
      </c>
      <c r="Q1765" s="38" t="str">
        <f t="shared" si="186"/>
        <v/>
      </c>
      <c r="R1765" s="37" t="str">
        <f t="shared" si="187"/>
        <v/>
      </c>
      <c r="S1765" s="37" t="str">
        <f t="shared" si="188"/>
        <v/>
      </c>
      <c r="T1765" s="38" t="str">
        <f t="shared" si="189"/>
        <v/>
      </c>
      <c r="U1765" s="37" t="str">
        <f t="shared" si="190"/>
        <v/>
      </c>
    </row>
    <row r="1766" spans="2:21" ht="17.25">
      <c r="B1766" s="156"/>
      <c r="C1766" s="156"/>
      <c r="D1766" s="157"/>
      <c r="E1766" s="155"/>
      <c r="F1766" s="151"/>
      <c r="G1766" s="152"/>
      <c r="H1766" s="153"/>
      <c r="I1766" s="154"/>
      <c r="J1766" s="154"/>
      <c r="K1766" s="30" t="str">
        <f>IF(H1766="","",IF($C$30="간이법","",FPR(H1766,I1766,J1766)))</f>
        <v/>
      </c>
      <c r="L1766" s="30" t="str">
        <f>IF(H1766="","",IF($C$30="상세법",FPV(H1766,K1766),IF(H1766="EI",4,IF(H1766="EO",5.2,IF(H1766="EQ",3.9,IF(H1766="ILF",7.5,IF(H1766="EIF",5.4)))))))</f>
        <v/>
      </c>
      <c r="M1766" s="30" t="str">
        <f t="shared" si="184"/>
        <v/>
      </c>
      <c r="N1766" s="134"/>
      <c r="O1766" s="29"/>
      <c r="P1766" s="37" t="str">
        <f t="shared" si="185"/>
        <v/>
      </c>
      <c r="Q1766" s="38" t="str">
        <f t="shared" si="186"/>
        <v/>
      </c>
      <c r="R1766" s="37" t="str">
        <f t="shared" si="187"/>
        <v/>
      </c>
      <c r="S1766" s="37" t="str">
        <f t="shared" si="188"/>
        <v/>
      </c>
      <c r="T1766" s="38" t="str">
        <f t="shared" si="189"/>
        <v/>
      </c>
      <c r="U1766" s="37" t="str">
        <f t="shared" si="190"/>
        <v/>
      </c>
    </row>
    <row r="1767" spans="2:21" ht="17.25">
      <c r="B1767" s="156"/>
      <c r="C1767" s="156"/>
      <c r="D1767" s="157"/>
      <c r="E1767" s="155"/>
      <c r="F1767" s="151"/>
      <c r="G1767" s="152"/>
      <c r="H1767" s="153"/>
      <c r="I1767" s="154"/>
      <c r="J1767" s="154"/>
      <c r="K1767" s="30" t="str">
        <f>IF(H1767="","",IF($C$30="간이법","",FPR(H1767,I1767,J1767)))</f>
        <v/>
      </c>
      <c r="L1767" s="30" t="str">
        <f>IF(H1767="","",IF($C$30="상세법",FPV(H1767,K1767),IF(H1767="EI",4,IF(H1767="EO",5.2,IF(H1767="EQ",3.9,IF(H1767="ILF",7.5,IF(H1767="EIF",5.4)))))))</f>
        <v/>
      </c>
      <c r="M1767" s="30" t="str">
        <f t="shared" si="184"/>
        <v/>
      </c>
      <c r="N1767" s="134"/>
      <c r="O1767" s="29"/>
      <c r="P1767" s="37" t="str">
        <f t="shared" si="185"/>
        <v/>
      </c>
      <c r="Q1767" s="38" t="str">
        <f t="shared" si="186"/>
        <v/>
      </c>
      <c r="R1767" s="37" t="str">
        <f t="shared" si="187"/>
        <v/>
      </c>
      <c r="S1767" s="37" t="str">
        <f t="shared" si="188"/>
        <v/>
      </c>
      <c r="T1767" s="38" t="str">
        <f t="shared" si="189"/>
        <v/>
      </c>
      <c r="U1767" s="37" t="str">
        <f t="shared" si="190"/>
        <v/>
      </c>
    </row>
    <row r="1768" spans="2:21" ht="17.25">
      <c r="B1768" s="156"/>
      <c r="C1768" s="156"/>
      <c r="D1768" s="157"/>
      <c r="E1768" s="155"/>
      <c r="F1768" s="151"/>
      <c r="G1768" s="152"/>
      <c r="H1768" s="153"/>
      <c r="I1768" s="154"/>
      <c r="J1768" s="154"/>
      <c r="K1768" s="30" t="str">
        <f>IF(H1768="","",IF($C$30="간이법","",FPR(H1768,I1768,J1768)))</f>
        <v/>
      </c>
      <c r="L1768" s="30" t="str">
        <f>IF(H1768="","",IF($C$30="상세법",FPV(H1768,K1768),IF(H1768="EI",4,IF(H1768="EO",5.2,IF(H1768="EQ",3.9,IF(H1768="ILF",7.5,IF(H1768="EIF",5.4)))))))</f>
        <v/>
      </c>
      <c r="M1768" s="30" t="str">
        <f t="shared" si="184"/>
        <v/>
      </c>
      <c r="N1768" s="134"/>
      <c r="O1768" s="29"/>
      <c r="P1768" s="37" t="str">
        <f t="shared" si="185"/>
        <v/>
      </c>
      <c r="Q1768" s="38" t="str">
        <f t="shared" si="186"/>
        <v/>
      </c>
      <c r="R1768" s="37" t="str">
        <f t="shared" si="187"/>
        <v/>
      </c>
      <c r="S1768" s="37" t="str">
        <f t="shared" si="188"/>
        <v/>
      </c>
      <c r="T1768" s="38" t="str">
        <f t="shared" si="189"/>
        <v/>
      </c>
      <c r="U1768" s="37" t="str">
        <f t="shared" si="190"/>
        <v/>
      </c>
    </row>
    <row r="1769" spans="2:21" ht="17.25">
      <c r="B1769" s="156"/>
      <c r="C1769" s="156"/>
      <c r="D1769" s="157"/>
      <c r="E1769" s="155"/>
      <c r="F1769" s="151"/>
      <c r="G1769" s="152"/>
      <c r="H1769" s="153"/>
      <c r="I1769" s="154"/>
      <c r="J1769" s="154"/>
      <c r="K1769" s="30" t="str">
        <f>IF(H1769="","",IF($C$30="간이법","",FPR(H1769,I1769,J1769)))</f>
        <v/>
      </c>
      <c r="L1769" s="30" t="str">
        <f>IF(H1769="","",IF($C$30="상세법",FPV(H1769,K1769),IF(H1769="EI",4,IF(H1769="EO",5.2,IF(H1769="EQ",3.9,IF(H1769="ILF",7.5,IF(H1769="EIF",5.4)))))))</f>
        <v/>
      </c>
      <c r="M1769" s="30" t="str">
        <f t="shared" si="184"/>
        <v/>
      </c>
      <c r="N1769" s="134"/>
      <c r="O1769" s="29"/>
      <c r="P1769" s="37" t="str">
        <f t="shared" si="185"/>
        <v/>
      </c>
      <c r="Q1769" s="38" t="str">
        <f t="shared" si="186"/>
        <v/>
      </c>
      <c r="R1769" s="37" t="str">
        <f t="shared" si="187"/>
        <v/>
      </c>
      <c r="S1769" s="37" t="str">
        <f t="shared" si="188"/>
        <v/>
      </c>
      <c r="T1769" s="38" t="str">
        <f t="shared" si="189"/>
        <v/>
      </c>
      <c r="U1769" s="37" t="str">
        <f t="shared" si="190"/>
        <v/>
      </c>
    </row>
    <row r="1770" spans="2:21" ht="17.25">
      <c r="B1770" s="156"/>
      <c r="C1770" s="156"/>
      <c r="D1770" s="157"/>
      <c r="E1770" s="155"/>
      <c r="F1770" s="151"/>
      <c r="G1770" s="152"/>
      <c r="H1770" s="153"/>
      <c r="I1770" s="154"/>
      <c r="J1770" s="154"/>
      <c r="K1770" s="30" t="str">
        <f>IF(H1770="","",IF($C$30="간이법","",FPR(H1770,I1770,J1770)))</f>
        <v/>
      </c>
      <c r="L1770" s="30" t="str">
        <f>IF(H1770="","",IF($C$30="상세법",FPV(H1770,K1770),IF(H1770="EI",4,IF(H1770="EO",5.2,IF(H1770="EQ",3.9,IF(H1770="ILF",7.5,IF(H1770="EIF",5.4)))))))</f>
        <v/>
      </c>
      <c r="M1770" s="30" t="str">
        <f t="shared" si="184"/>
        <v/>
      </c>
      <c r="N1770" s="134"/>
      <c r="O1770" s="29"/>
      <c r="P1770" s="37" t="str">
        <f t="shared" si="185"/>
        <v/>
      </c>
      <c r="Q1770" s="38" t="str">
        <f t="shared" si="186"/>
        <v/>
      </c>
      <c r="R1770" s="37" t="str">
        <f t="shared" si="187"/>
        <v/>
      </c>
      <c r="S1770" s="37" t="str">
        <f t="shared" si="188"/>
        <v/>
      </c>
      <c r="T1770" s="38" t="str">
        <f t="shared" si="189"/>
        <v/>
      </c>
      <c r="U1770" s="37" t="str">
        <f t="shared" si="190"/>
        <v/>
      </c>
    </row>
    <row r="1771" spans="2:21" ht="17.25">
      <c r="B1771" s="156"/>
      <c r="C1771" s="156"/>
      <c r="D1771" s="157"/>
      <c r="E1771" s="155"/>
      <c r="F1771" s="151"/>
      <c r="G1771" s="152"/>
      <c r="H1771" s="153"/>
      <c r="I1771" s="154"/>
      <c r="J1771" s="154"/>
      <c r="K1771" s="30" t="str">
        <f>IF(H1771="","",IF($C$30="간이법","",FPR(H1771,I1771,J1771)))</f>
        <v/>
      </c>
      <c r="L1771" s="30" t="str">
        <f>IF(H1771="","",IF($C$30="상세법",FPV(H1771,K1771),IF(H1771="EI",4,IF(H1771="EO",5.2,IF(H1771="EQ",3.9,IF(H1771="ILF",7.5,IF(H1771="EIF",5.4)))))))</f>
        <v/>
      </c>
      <c r="M1771" s="30" t="str">
        <f t="shared" si="184"/>
        <v/>
      </c>
      <c r="N1771" s="134"/>
      <c r="O1771" s="29"/>
      <c r="P1771" s="37" t="str">
        <f t="shared" si="185"/>
        <v/>
      </c>
      <c r="Q1771" s="38" t="str">
        <f t="shared" si="186"/>
        <v/>
      </c>
      <c r="R1771" s="37" t="str">
        <f t="shared" si="187"/>
        <v/>
      </c>
      <c r="S1771" s="37" t="str">
        <f t="shared" si="188"/>
        <v/>
      </c>
      <c r="T1771" s="38" t="str">
        <f t="shared" si="189"/>
        <v/>
      </c>
      <c r="U1771" s="37" t="str">
        <f t="shared" si="190"/>
        <v/>
      </c>
    </row>
    <row r="1772" spans="2:21" ht="17.25">
      <c r="B1772" s="156"/>
      <c r="C1772" s="156"/>
      <c r="D1772" s="157"/>
      <c r="E1772" s="155"/>
      <c r="F1772" s="151"/>
      <c r="G1772" s="152"/>
      <c r="H1772" s="153"/>
      <c r="I1772" s="154"/>
      <c r="J1772" s="154"/>
      <c r="K1772" s="30" t="str">
        <f>IF(H1772="","",IF($C$30="간이법","",FPR(H1772,I1772,J1772)))</f>
        <v/>
      </c>
      <c r="L1772" s="30" t="str">
        <f>IF(H1772="","",IF($C$30="상세법",FPV(H1772,K1772),IF(H1772="EI",4,IF(H1772="EO",5.2,IF(H1772="EQ",3.9,IF(H1772="ILF",7.5,IF(H1772="EIF",5.4)))))))</f>
        <v/>
      </c>
      <c r="M1772" s="30" t="str">
        <f t="shared" si="184"/>
        <v/>
      </c>
      <c r="N1772" s="134"/>
      <c r="O1772" s="29"/>
      <c r="P1772" s="37" t="str">
        <f t="shared" si="185"/>
        <v/>
      </c>
      <c r="Q1772" s="38" t="str">
        <f t="shared" si="186"/>
        <v/>
      </c>
      <c r="R1772" s="37" t="str">
        <f t="shared" si="187"/>
        <v/>
      </c>
      <c r="S1772" s="37" t="str">
        <f t="shared" si="188"/>
        <v/>
      </c>
      <c r="T1772" s="38" t="str">
        <f t="shared" si="189"/>
        <v/>
      </c>
      <c r="U1772" s="37" t="str">
        <f t="shared" si="190"/>
        <v/>
      </c>
    </row>
    <row r="1773" spans="2:21" ht="17.25">
      <c r="B1773" s="156"/>
      <c r="C1773" s="156"/>
      <c r="D1773" s="157"/>
      <c r="E1773" s="155"/>
      <c r="F1773" s="151"/>
      <c r="G1773" s="152"/>
      <c r="H1773" s="153"/>
      <c r="I1773" s="154"/>
      <c r="J1773" s="154"/>
      <c r="K1773" s="30" t="str">
        <f>IF(H1773="","",IF($C$30="간이법","",FPR(H1773,I1773,J1773)))</f>
        <v/>
      </c>
      <c r="L1773" s="30" t="str">
        <f>IF(H1773="","",IF($C$30="상세법",FPV(H1773,K1773),IF(H1773="EI",4,IF(H1773="EO",5.2,IF(H1773="EQ",3.9,IF(H1773="ILF",7.5,IF(H1773="EIF",5.4)))))))</f>
        <v/>
      </c>
      <c r="M1773" s="30" t="str">
        <f t="shared" si="184"/>
        <v/>
      </c>
      <c r="N1773" s="134"/>
      <c r="O1773" s="29"/>
      <c r="P1773" s="37" t="str">
        <f t="shared" si="185"/>
        <v/>
      </c>
      <c r="Q1773" s="38" t="str">
        <f t="shared" si="186"/>
        <v/>
      </c>
      <c r="R1773" s="37" t="str">
        <f t="shared" si="187"/>
        <v/>
      </c>
      <c r="S1773" s="37" t="str">
        <f t="shared" si="188"/>
        <v/>
      </c>
      <c r="T1773" s="38" t="str">
        <f t="shared" si="189"/>
        <v/>
      </c>
      <c r="U1773" s="37" t="str">
        <f t="shared" si="190"/>
        <v/>
      </c>
    </row>
    <row r="1774" spans="2:21" ht="17.25">
      <c r="B1774" s="156"/>
      <c r="C1774" s="156"/>
      <c r="D1774" s="157"/>
      <c r="E1774" s="155"/>
      <c r="F1774" s="151"/>
      <c r="G1774" s="152"/>
      <c r="H1774" s="153"/>
      <c r="I1774" s="154"/>
      <c r="J1774" s="154"/>
      <c r="K1774" s="30" t="str">
        <f>IF(H1774="","",IF($C$30="간이법","",FPR(H1774,I1774,J1774)))</f>
        <v/>
      </c>
      <c r="L1774" s="30" t="str">
        <f>IF(H1774="","",IF($C$30="상세법",FPV(H1774,K1774),IF(H1774="EI",4,IF(H1774="EO",5.2,IF(H1774="EQ",3.9,IF(H1774="ILF",7.5,IF(H1774="EIF",5.4)))))))</f>
        <v/>
      </c>
      <c r="M1774" s="30" t="str">
        <f t="shared" si="184"/>
        <v/>
      </c>
      <c r="N1774" s="134"/>
      <c r="O1774" s="29"/>
      <c r="P1774" s="37" t="str">
        <f t="shared" si="185"/>
        <v/>
      </c>
      <c r="Q1774" s="38" t="str">
        <f t="shared" si="186"/>
        <v/>
      </c>
      <c r="R1774" s="37" t="str">
        <f t="shared" si="187"/>
        <v/>
      </c>
      <c r="S1774" s="37" t="str">
        <f t="shared" si="188"/>
        <v/>
      </c>
      <c r="T1774" s="38" t="str">
        <f t="shared" si="189"/>
        <v/>
      </c>
      <c r="U1774" s="37" t="str">
        <f t="shared" si="190"/>
        <v/>
      </c>
    </row>
    <row r="1775" spans="2:21" ht="17.25">
      <c r="B1775" s="156"/>
      <c r="C1775" s="156"/>
      <c r="D1775" s="157"/>
      <c r="E1775" s="155"/>
      <c r="F1775" s="151"/>
      <c r="G1775" s="152"/>
      <c r="H1775" s="153"/>
      <c r="I1775" s="154"/>
      <c r="J1775" s="154"/>
      <c r="K1775" s="30" t="str">
        <f>IF(H1775="","",IF($C$30="간이법","",FPR(H1775,I1775,J1775)))</f>
        <v/>
      </c>
      <c r="L1775" s="30" t="str">
        <f>IF(H1775="","",IF($C$30="상세법",FPV(H1775,K1775),IF(H1775="EI",4,IF(H1775="EO",5.2,IF(H1775="EQ",3.9,IF(H1775="ILF",7.5,IF(H1775="EIF",5.4)))))))</f>
        <v/>
      </c>
      <c r="M1775" s="30" t="str">
        <f t="shared" si="184"/>
        <v/>
      </c>
      <c r="N1775" s="134"/>
      <c r="O1775" s="29"/>
      <c r="P1775" s="37" t="str">
        <f t="shared" si="185"/>
        <v/>
      </c>
      <c r="Q1775" s="38" t="str">
        <f t="shared" si="186"/>
        <v/>
      </c>
      <c r="R1775" s="37" t="str">
        <f t="shared" si="187"/>
        <v/>
      </c>
      <c r="S1775" s="37" t="str">
        <f t="shared" si="188"/>
        <v/>
      </c>
      <c r="T1775" s="38" t="str">
        <f t="shared" si="189"/>
        <v/>
      </c>
      <c r="U1775" s="37" t="str">
        <f t="shared" si="190"/>
        <v/>
      </c>
    </row>
    <row r="1776" spans="2:21" ht="17.25">
      <c r="B1776" s="156"/>
      <c r="C1776" s="156"/>
      <c r="D1776" s="157"/>
      <c r="E1776" s="155"/>
      <c r="F1776" s="151"/>
      <c r="G1776" s="152"/>
      <c r="H1776" s="153"/>
      <c r="I1776" s="154"/>
      <c r="J1776" s="154"/>
      <c r="K1776" s="30" t="str">
        <f>IF(H1776="","",IF($C$30="간이법","",FPR(H1776,I1776,J1776)))</f>
        <v/>
      </c>
      <c r="L1776" s="30" t="str">
        <f>IF(H1776="","",IF($C$30="상세법",FPV(H1776,K1776),IF(H1776="EI",4,IF(H1776="EO",5.2,IF(H1776="EQ",3.9,IF(H1776="ILF",7.5,IF(H1776="EIF",5.4)))))))</f>
        <v/>
      </c>
      <c r="M1776" s="30" t="str">
        <f t="shared" si="184"/>
        <v/>
      </c>
      <c r="N1776" s="134"/>
      <c r="O1776" s="29"/>
      <c r="P1776" s="37" t="str">
        <f t="shared" si="185"/>
        <v/>
      </c>
      <c r="Q1776" s="38" t="str">
        <f t="shared" si="186"/>
        <v/>
      </c>
      <c r="R1776" s="37" t="str">
        <f t="shared" si="187"/>
        <v/>
      </c>
      <c r="S1776" s="37" t="str">
        <f t="shared" si="188"/>
        <v/>
      </c>
      <c r="T1776" s="38" t="str">
        <f t="shared" si="189"/>
        <v/>
      </c>
      <c r="U1776" s="37" t="str">
        <f t="shared" si="190"/>
        <v/>
      </c>
    </row>
    <row r="1777" spans="2:21" ht="17.25">
      <c r="B1777" s="156"/>
      <c r="C1777" s="156"/>
      <c r="D1777" s="157"/>
      <c r="E1777" s="155"/>
      <c r="F1777" s="151"/>
      <c r="G1777" s="152"/>
      <c r="H1777" s="153"/>
      <c r="I1777" s="154"/>
      <c r="J1777" s="154"/>
      <c r="K1777" s="30" t="str">
        <f>IF(H1777="","",IF($C$30="간이법","",FPR(H1777,I1777,J1777)))</f>
        <v/>
      </c>
      <c r="L1777" s="30" t="str">
        <f>IF(H1777="","",IF($C$30="상세법",FPV(H1777,K1777),IF(H1777="EI",4,IF(H1777="EO",5.2,IF(H1777="EQ",3.9,IF(H1777="ILF",7.5,IF(H1777="EIF",5.4)))))))</f>
        <v/>
      </c>
      <c r="M1777" s="30" t="str">
        <f t="shared" si="184"/>
        <v/>
      </c>
      <c r="N1777" s="134"/>
      <c r="O1777" s="29"/>
      <c r="P1777" s="37" t="str">
        <f t="shared" si="185"/>
        <v/>
      </c>
      <c r="Q1777" s="38" t="str">
        <f t="shared" si="186"/>
        <v/>
      </c>
      <c r="R1777" s="37" t="str">
        <f t="shared" si="187"/>
        <v/>
      </c>
      <c r="S1777" s="37" t="str">
        <f t="shared" si="188"/>
        <v/>
      </c>
      <c r="T1777" s="38" t="str">
        <f t="shared" si="189"/>
        <v/>
      </c>
      <c r="U1777" s="37" t="str">
        <f t="shared" si="190"/>
        <v/>
      </c>
    </row>
    <row r="1778" spans="2:21" ht="17.25">
      <c r="B1778" s="156"/>
      <c r="C1778" s="156"/>
      <c r="D1778" s="157"/>
      <c r="E1778" s="155"/>
      <c r="F1778" s="151"/>
      <c r="G1778" s="152"/>
      <c r="H1778" s="153"/>
      <c r="I1778" s="154"/>
      <c r="J1778" s="154"/>
      <c r="K1778" s="30" t="str">
        <f>IF(H1778="","",IF($C$30="간이법","",FPR(H1778,I1778,J1778)))</f>
        <v/>
      </c>
      <c r="L1778" s="30" t="str">
        <f>IF(H1778="","",IF($C$30="상세법",FPV(H1778,K1778),IF(H1778="EI",4,IF(H1778="EO",5.2,IF(H1778="EQ",3.9,IF(H1778="ILF",7.5,IF(H1778="EIF",5.4)))))))</f>
        <v/>
      </c>
      <c r="M1778" s="30" t="str">
        <f t="shared" si="184"/>
        <v/>
      </c>
      <c r="N1778" s="134"/>
      <c r="O1778" s="29"/>
      <c r="P1778" s="37" t="str">
        <f t="shared" si="185"/>
        <v/>
      </c>
      <c r="Q1778" s="38" t="str">
        <f t="shared" si="186"/>
        <v/>
      </c>
      <c r="R1778" s="37" t="str">
        <f t="shared" si="187"/>
        <v/>
      </c>
      <c r="S1778" s="37" t="str">
        <f t="shared" si="188"/>
        <v/>
      </c>
      <c r="T1778" s="38" t="str">
        <f t="shared" si="189"/>
        <v/>
      </c>
      <c r="U1778" s="37" t="str">
        <f t="shared" si="190"/>
        <v/>
      </c>
    </row>
    <row r="1779" spans="2:21" ht="17.25">
      <c r="B1779" s="156"/>
      <c r="C1779" s="156"/>
      <c r="D1779" s="157"/>
      <c r="E1779" s="155"/>
      <c r="F1779" s="151"/>
      <c r="G1779" s="152"/>
      <c r="H1779" s="153"/>
      <c r="I1779" s="154"/>
      <c r="J1779" s="154"/>
      <c r="K1779" s="30" t="str">
        <f>IF(H1779="","",IF($C$30="간이법","",FPR(H1779,I1779,J1779)))</f>
        <v/>
      </c>
      <c r="L1779" s="30" t="str">
        <f>IF(H1779="","",IF($C$30="상세법",FPV(H1779,K1779),IF(H1779="EI",4,IF(H1779="EO",5.2,IF(H1779="EQ",3.9,IF(H1779="ILF",7.5,IF(H1779="EIF",5.4)))))))</f>
        <v/>
      </c>
      <c r="M1779" s="30" t="str">
        <f t="shared" si="184"/>
        <v/>
      </c>
      <c r="N1779" s="134"/>
      <c r="O1779" s="29"/>
      <c r="P1779" s="37" t="str">
        <f t="shared" si="185"/>
        <v/>
      </c>
      <c r="Q1779" s="38" t="str">
        <f t="shared" si="186"/>
        <v/>
      </c>
      <c r="R1779" s="37" t="str">
        <f t="shared" si="187"/>
        <v/>
      </c>
      <c r="S1779" s="37" t="str">
        <f t="shared" si="188"/>
        <v/>
      </c>
      <c r="T1779" s="38" t="str">
        <f t="shared" si="189"/>
        <v/>
      </c>
      <c r="U1779" s="37" t="str">
        <f t="shared" si="190"/>
        <v/>
      </c>
    </row>
    <row r="1780" spans="2:21" ht="17.25">
      <c r="B1780" s="156"/>
      <c r="C1780" s="156"/>
      <c r="D1780" s="157"/>
      <c r="E1780" s="155"/>
      <c r="F1780" s="151"/>
      <c r="G1780" s="152"/>
      <c r="H1780" s="153"/>
      <c r="I1780" s="154"/>
      <c r="J1780" s="154"/>
      <c r="K1780" s="30" t="str">
        <f>IF(H1780="","",IF($C$30="간이법","",FPR(H1780,I1780,J1780)))</f>
        <v/>
      </c>
      <c r="L1780" s="30" t="str">
        <f>IF(H1780="","",IF($C$30="상세법",FPV(H1780,K1780),IF(H1780="EI",4,IF(H1780="EO",5.2,IF(H1780="EQ",3.9,IF(H1780="ILF",7.5,IF(H1780="EIF",5.4)))))))</f>
        <v/>
      </c>
      <c r="M1780" s="30" t="str">
        <f t="shared" si="184"/>
        <v/>
      </c>
      <c r="N1780" s="134"/>
      <c r="O1780" s="29"/>
      <c r="P1780" s="37" t="str">
        <f t="shared" si="185"/>
        <v/>
      </c>
      <c r="Q1780" s="38" t="str">
        <f t="shared" si="186"/>
        <v/>
      </c>
      <c r="R1780" s="37" t="str">
        <f t="shared" si="187"/>
        <v/>
      </c>
      <c r="S1780" s="37" t="str">
        <f t="shared" si="188"/>
        <v/>
      </c>
      <c r="T1780" s="38" t="str">
        <f t="shared" si="189"/>
        <v/>
      </c>
      <c r="U1780" s="37" t="str">
        <f t="shared" si="190"/>
        <v/>
      </c>
    </row>
    <row r="1781" spans="2:21" ht="17.25">
      <c r="B1781" s="156"/>
      <c r="C1781" s="156"/>
      <c r="D1781" s="157"/>
      <c r="E1781" s="155"/>
      <c r="F1781" s="151"/>
      <c r="G1781" s="152"/>
      <c r="H1781" s="153"/>
      <c r="I1781" s="154"/>
      <c r="J1781" s="154"/>
      <c r="K1781" s="30" t="str">
        <f>IF(H1781="","",IF($C$30="간이법","",FPR(H1781,I1781,J1781)))</f>
        <v/>
      </c>
      <c r="L1781" s="30" t="str">
        <f>IF(H1781="","",IF($C$30="상세법",FPV(H1781,K1781),IF(H1781="EI",4,IF(H1781="EO",5.2,IF(H1781="EQ",3.9,IF(H1781="ILF",7.5,IF(H1781="EIF",5.4)))))))</f>
        <v/>
      </c>
      <c r="M1781" s="30" t="str">
        <f t="shared" si="184"/>
        <v/>
      </c>
      <c r="N1781" s="134"/>
      <c r="O1781" s="29"/>
      <c r="P1781" s="37" t="str">
        <f t="shared" si="185"/>
        <v/>
      </c>
      <c r="Q1781" s="38" t="str">
        <f t="shared" si="186"/>
        <v/>
      </c>
      <c r="R1781" s="37" t="str">
        <f t="shared" si="187"/>
        <v/>
      </c>
      <c r="S1781" s="37" t="str">
        <f t="shared" si="188"/>
        <v/>
      </c>
      <c r="T1781" s="38" t="str">
        <f t="shared" si="189"/>
        <v/>
      </c>
      <c r="U1781" s="37" t="str">
        <f t="shared" si="190"/>
        <v/>
      </c>
    </row>
    <row r="1782" spans="2:21" ht="17.25">
      <c r="B1782" s="156"/>
      <c r="C1782" s="156"/>
      <c r="D1782" s="157"/>
      <c r="E1782" s="155"/>
      <c r="F1782" s="151"/>
      <c r="G1782" s="152"/>
      <c r="H1782" s="153"/>
      <c r="I1782" s="154"/>
      <c r="J1782" s="154"/>
      <c r="K1782" s="30" t="str">
        <f>IF(H1782="","",IF($C$30="간이법","",FPR(H1782,I1782,J1782)))</f>
        <v/>
      </c>
      <c r="L1782" s="30" t="str">
        <f>IF(H1782="","",IF($C$30="상세법",FPV(H1782,K1782),IF(H1782="EI",4,IF(H1782="EO",5.2,IF(H1782="EQ",3.9,IF(H1782="ILF",7.5,IF(H1782="EIF",5.4)))))))</f>
        <v/>
      </c>
      <c r="M1782" s="30" t="str">
        <f t="shared" si="184"/>
        <v/>
      </c>
      <c r="N1782" s="134"/>
      <c r="O1782" s="29"/>
      <c r="P1782" s="37" t="str">
        <f t="shared" si="185"/>
        <v/>
      </c>
      <c r="Q1782" s="38" t="str">
        <f t="shared" si="186"/>
        <v/>
      </c>
      <c r="R1782" s="37" t="str">
        <f t="shared" si="187"/>
        <v/>
      </c>
      <c r="S1782" s="37" t="str">
        <f t="shared" si="188"/>
        <v/>
      </c>
      <c r="T1782" s="38" t="str">
        <f t="shared" si="189"/>
        <v/>
      </c>
      <c r="U1782" s="37" t="str">
        <f t="shared" si="190"/>
        <v/>
      </c>
    </row>
    <row r="1783" spans="2:21" ht="17.25">
      <c r="B1783" s="156"/>
      <c r="C1783" s="156"/>
      <c r="D1783" s="157"/>
      <c r="E1783" s="155"/>
      <c r="F1783" s="151"/>
      <c r="G1783" s="152"/>
      <c r="H1783" s="153"/>
      <c r="I1783" s="154"/>
      <c r="J1783" s="154"/>
      <c r="K1783" s="30" t="str">
        <f>IF(H1783="","",IF($C$30="간이법","",FPR(H1783,I1783,J1783)))</f>
        <v/>
      </c>
      <c r="L1783" s="30" t="str">
        <f>IF(H1783="","",IF($C$30="상세법",FPV(H1783,K1783),IF(H1783="EI",4,IF(H1783="EO",5.2,IF(H1783="EQ",3.9,IF(H1783="ILF",7.5,IF(H1783="EIF",5.4)))))))</f>
        <v/>
      </c>
      <c r="M1783" s="30" t="str">
        <f t="shared" si="184"/>
        <v/>
      </c>
      <c r="N1783" s="134"/>
      <c r="O1783" s="29"/>
      <c r="P1783" s="37" t="str">
        <f t="shared" si="185"/>
        <v/>
      </c>
      <c r="Q1783" s="38" t="str">
        <f t="shared" si="186"/>
        <v/>
      </c>
      <c r="R1783" s="37" t="str">
        <f t="shared" si="187"/>
        <v/>
      </c>
      <c r="S1783" s="37" t="str">
        <f t="shared" si="188"/>
        <v/>
      </c>
      <c r="T1783" s="38" t="str">
        <f t="shared" si="189"/>
        <v/>
      </c>
      <c r="U1783" s="37" t="str">
        <f t="shared" si="190"/>
        <v/>
      </c>
    </row>
    <row r="1784" spans="2:21" ht="17.25">
      <c r="B1784" s="156"/>
      <c r="C1784" s="156"/>
      <c r="D1784" s="157"/>
      <c r="E1784" s="155"/>
      <c r="F1784" s="151"/>
      <c r="G1784" s="152"/>
      <c r="H1784" s="153"/>
      <c r="I1784" s="154"/>
      <c r="J1784" s="154"/>
      <c r="K1784" s="30" t="str">
        <f>IF(H1784="","",IF($C$30="간이법","",FPR(H1784,I1784,J1784)))</f>
        <v/>
      </c>
      <c r="L1784" s="30" t="str">
        <f>IF(H1784="","",IF($C$30="상세법",FPV(H1784,K1784),IF(H1784="EI",4,IF(H1784="EO",5.2,IF(H1784="EQ",3.9,IF(H1784="ILF",7.5,IF(H1784="EIF",5.4)))))))</f>
        <v/>
      </c>
      <c r="M1784" s="30" t="str">
        <f t="shared" si="184"/>
        <v/>
      </c>
      <c r="N1784" s="134"/>
      <c r="O1784" s="29"/>
      <c r="P1784" s="37" t="str">
        <f t="shared" si="185"/>
        <v/>
      </c>
      <c r="Q1784" s="38" t="str">
        <f t="shared" si="186"/>
        <v/>
      </c>
      <c r="R1784" s="37" t="str">
        <f t="shared" si="187"/>
        <v/>
      </c>
      <c r="S1784" s="37" t="str">
        <f t="shared" si="188"/>
        <v/>
      </c>
      <c r="T1784" s="38" t="str">
        <f t="shared" si="189"/>
        <v/>
      </c>
      <c r="U1784" s="37" t="str">
        <f t="shared" si="190"/>
        <v/>
      </c>
    </row>
    <row r="1785" spans="2:21" ht="17.25">
      <c r="B1785" s="156"/>
      <c r="C1785" s="156"/>
      <c r="D1785" s="157"/>
      <c r="E1785" s="155"/>
      <c r="F1785" s="151"/>
      <c r="G1785" s="152"/>
      <c r="H1785" s="153"/>
      <c r="I1785" s="154"/>
      <c r="J1785" s="154"/>
      <c r="K1785" s="30" t="str">
        <f>IF(H1785="","",IF($C$30="간이법","",FPR(H1785,I1785,J1785)))</f>
        <v/>
      </c>
      <c r="L1785" s="30" t="str">
        <f>IF(H1785="","",IF($C$30="상세법",FPV(H1785,K1785),IF(H1785="EI",4,IF(H1785="EO",5.2,IF(H1785="EQ",3.9,IF(H1785="ILF",7.5,IF(H1785="EIF",5.4)))))))</f>
        <v/>
      </c>
      <c r="M1785" s="30" t="str">
        <f t="shared" si="184"/>
        <v/>
      </c>
      <c r="N1785" s="134"/>
      <c r="O1785" s="29"/>
      <c r="P1785" s="37" t="str">
        <f t="shared" si="185"/>
        <v/>
      </c>
      <c r="Q1785" s="38" t="str">
        <f t="shared" si="186"/>
        <v/>
      </c>
      <c r="R1785" s="37" t="str">
        <f t="shared" si="187"/>
        <v/>
      </c>
      <c r="S1785" s="37" t="str">
        <f t="shared" si="188"/>
        <v/>
      </c>
      <c r="T1785" s="38" t="str">
        <f t="shared" si="189"/>
        <v/>
      </c>
      <c r="U1785" s="37" t="str">
        <f t="shared" si="190"/>
        <v/>
      </c>
    </row>
    <row r="1786" spans="2:21" ht="17.25">
      <c r="B1786" s="156"/>
      <c r="C1786" s="156"/>
      <c r="D1786" s="157"/>
      <c r="E1786" s="155"/>
      <c r="F1786" s="151"/>
      <c r="G1786" s="152"/>
      <c r="H1786" s="153"/>
      <c r="I1786" s="154"/>
      <c r="J1786" s="154"/>
      <c r="K1786" s="30" t="str">
        <f>IF(H1786="","",IF($C$30="간이법","",FPR(H1786,I1786,J1786)))</f>
        <v/>
      </c>
      <c r="L1786" s="30" t="str">
        <f>IF(H1786="","",IF($C$30="상세법",FPV(H1786,K1786),IF(H1786="EI",4,IF(H1786="EO",5.2,IF(H1786="EQ",3.9,IF(H1786="ILF",7.5,IF(H1786="EIF",5.4)))))))</f>
        <v/>
      </c>
      <c r="M1786" s="30" t="str">
        <f t="shared" si="184"/>
        <v/>
      </c>
      <c r="N1786" s="134"/>
      <c r="O1786" s="29"/>
      <c r="P1786" s="37" t="str">
        <f t="shared" si="185"/>
        <v/>
      </c>
      <c r="Q1786" s="38" t="str">
        <f t="shared" si="186"/>
        <v/>
      </c>
      <c r="R1786" s="37" t="str">
        <f t="shared" si="187"/>
        <v/>
      </c>
      <c r="S1786" s="37" t="str">
        <f t="shared" si="188"/>
        <v/>
      </c>
      <c r="T1786" s="38" t="str">
        <f t="shared" si="189"/>
        <v/>
      </c>
      <c r="U1786" s="37" t="str">
        <f t="shared" si="190"/>
        <v/>
      </c>
    </row>
    <row r="1787" spans="2:21" ht="17.25">
      <c r="B1787" s="156"/>
      <c r="C1787" s="156"/>
      <c r="D1787" s="157"/>
      <c r="E1787" s="155"/>
      <c r="F1787" s="151"/>
      <c r="G1787" s="152"/>
      <c r="H1787" s="153"/>
      <c r="I1787" s="154"/>
      <c r="J1787" s="154"/>
      <c r="K1787" s="30" t="str">
        <f>IF(H1787="","",IF($C$30="간이법","",FPR(H1787,I1787,J1787)))</f>
        <v/>
      </c>
      <c r="L1787" s="30" t="str">
        <f>IF(H1787="","",IF($C$30="상세법",FPV(H1787,K1787),IF(H1787="EI",4,IF(H1787="EO",5.2,IF(H1787="EQ",3.9,IF(H1787="ILF",7.5,IF(H1787="EIF",5.4)))))))</f>
        <v/>
      </c>
      <c r="M1787" s="30" t="str">
        <f t="shared" si="184"/>
        <v/>
      </c>
      <c r="N1787" s="134"/>
      <c r="O1787" s="29"/>
      <c r="P1787" s="37" t="str">
        <f t="shared" si="185"/>
        <v/>
      </c>
      <c r="Q1787" s="38" t="str">
        <f t="shared" si="186"/>
        <v/>
      </c>
      <c r="R1787" s="37" t="str">
        <f t="shared" si="187"/>
        <v/>
      </c>
      <c r="S1787" s="37" t="str">
        <f t="shared" si="188"/>
        <v/>
      </c>
      <c r="T1787" s="38" t="str">
        <f t="shared" si="189"/>
        <v/>
      </c>
      <c r="U1787" s="37" t="str">
        <f t="shared" si="190"/>
        <v/>
      </c>
    </row>
    <row r="1788" spans="2:21" ht="17.25">
      <c r="B1788" s="156"/>
      <c r="C1788" s="156"/>
      <c r="D1788" s="157"/>
      <c r="E1788" s="155"/>
      <c r="F1788" s="151"/>
      <c r="G1788" s="152"/>
      <c r="H1788" s="153"/>
      <c r="I1788" s="154"/>
      <c r="J1788" s="154"/>
      <c r="K1788" s="30" t="str">
        <f>IF(H1788="","",IF($C$30="간이법","",FPR(H1788,I1788,J1788)))</f>
        <v/>
      </c>
      <c r="L1788" s="30" t="str">
        <f>IF(H1788="","",IF($C$30="상세법",FPV(H1788,K1788),IF(H1788="EI",4,IF(H1788="EO",5.2,IF(H1788="EQ",3.9,IF(H1788="ILF",7.5,IF(H1788="EIF",5.4)))))))</f>
        <v/>
      </c>
      <c r="M1788" s="30" t="str">
        <f t="shared" ref="M1788:M1851" si="191">IF(OR(G1788="",$E$36="(선택)",$E$40="(선택)",$E$41="(선택)",F1788="신규 개발",F1788="수정 없이 재사용"),"",(IF(F1788="수정 후 재사용",IF($E$50&lt;=0.5,L1788*($E$36+$E$50*100*(1+0.02*($E$40*$E$41)))/100,L1788*($E$36+$E$50*100+($E$40*$E$41))/100))))</f>
        <v/>
      </c>
      <c r="N1788" s="134"/>
      <c r="O1788" s="29"/>
      <c r="P1788" s="37" t="str">
        <f t="shared" ref="P1788:P1851" si="192">IF(F1788="수정 후 재사용",IF(H1788="ILF",G1788,IF(H1788="EIF",G1788,"")),"")</f>
        <v/>
      </c>
      <c r="Q1788" s="38" t="str">
        <f t="shared" ref="Q1788:Q1851" si="193">IF(P1788&lt;&gt;"",IF(H1788="ILF", L1788/$E$46,IF(H1788="EIF", L1788/$E$46,"")),"")</f>
        <v/>
      </c>
      <c r="R1788" s="37" t="str">
        <f t="shared" ref="R1788:R1851" si="194">IF(P1788&lt;&gt;"",P1788*Q1788,"")</f>
        <v/>
      </c>
      <c r="S1788" s="37" t="str">
        <f t="shared" ref="S1788:S1851" si="195">IF(F1788="수정 후 재사용",IF(H1788="EI",G1788,IF(H1788="EO",G1788,IF(H1788="EQ",G1788,""))),"")</f>
        <v/>
      </c>
      <c r="T1788" s="38" t="str">
        <f t="shared" ref="T1788:T1851" si="196">IF(S1788&lt;&gt;"",IF(H1788="EI",L1788/$E$47,IF(H1788="EO",L1788/$E$47,IF(H1788="EQ",L1788/$E$47,""))),"")</f>
        <v/>
      </c>
      <c r="U1788" s="37" t="str">
        <f t="shared" ref="U1788:U1851" si="197">IF(S1788&lt;&gt;"",S1788*T1788,"")</f>
        <v/>
      </c>
    </row>
    <row r="1789" spans="2:21" ht="17.25">
      <c r="B1789" s="156"/>
      <c r="C1789" s="156"/>
      <c r="D1789" s="157"/>
      <c r="E1789" s="155"/>
      <c r="F1789" s="151"/>
      <c r="G1789" s="152"/>
      <c r="H1789" s="153"/>
      <c r="I1789" s="154"/>
      <c r="J1789" s="154"/>
      <c r="K1789" s="30" t="str">
        <f>IF(H1789="","",IF($C$30="간이법","",FPR(H1789,I1789,J1789)))</f>
        <v/>
      </c>
      <c r="L1789" s="30" t="str">
        <f>IF(H1789="","",IF($C$30="상세법",FPV(H1789,K1789),IF(H1789="EI",4,IF(H1789="EO",5.2,IF(H1789="EQ",3.9,IF(H1789="ILF",7.5,IF(H1789="EIF",5.4)))))))</f>
        <v/>
      </c>
      <c r="M1789" s="30" t="str">
        <f t="shared" si="191"/>
        <v/>
      </c>
      <c r="N1789" s="134"/>
      <c r="O1789" s="29"/>
      <c r="P1789" s="37" t="str">
        <f t="shared" si="192"/>
        <v/>
      </c>
      <c r="Q1789" s="38" t="str">
        <f t="shared" si="193"/>
        <v/>
      </c>
      <c r="R1789" s="37" t="str">
        <f t="shared" si="194"/>
        <v/>
      </c>
      <c r="S1789" s="37" t="str">
        <f t="shared" si="195"/>
        <v/>
      </c>
      <c r="T1789" s="38" t="str">
        <f t="shared" si="196"/>
        <v/>
      </c>
      <c r="U1789" s="37" t="str">
        <f t="shared" si="197"/>
        <v/>
      </c>
    </row>
    <row r="1790" spans="2:21" ht="17.25">
      <c r="B1790" s="156"/>
      <c r="C1790" s="156"/>
      <c r="D1790" s="157"/>
      <c r="E1790" s="155"/>
      <c r="F1790" s="151"/>
      <c r="G1790" s="152"/>
      <c r="H1790" s="153"/>
      <c r="I1790" s="154"/>
      <c r="J1790" s="154"/>
      <c r="K1790" s="30" t="str">
        <f>IF(H1790="","",IF($C$30="간이법","",FPR(H1790,I1790,J1790)))</f>
        <v/>
      </c>
      <c r="L1790" s="30" t="str">
        <f>IF(H1790="","",IF($C$30="상세법",FPV(H1790,K1790),IF(H1790="EI",4,IF(H1790="EO",5.2,IF(H1790="EQ",3.9,IF(H1790="ILF",7.5,IF(H1790="EIF",5.4)))))))</f>
        <v/>
      </c>
      <c r="M1790" s="30" t="str">
        <f t="shared" si="191"/>
        <v/>
      </c>
      <c r="N1790" s="134"/>
      <c r="O1790" s="29"/>
      <c r="P1790" s="37" t="str">
        <f t="shared" si="192"/>
        <v/>
      </c>
      <c r="Q1790" s="38" t="str">
        <f t="shared" si="193"/>
        <v/>
      </c>
      <c r="R1790" s="37" t="str">
        <f t="shared" si="194"/>
        <v/>
      </c>
      <c r="S1790" s="37" t="str">
        <f t="shared" si="195"/>
        <v/>
      </c>
      <c r="T1790" s="38" t="str">
        <f t="shared" si="196"/>
        <v/>
      </c>
      <c r="U1790" s="37" t="str">
        <f t="shared" si="197"/>
        <v/>
      </c>
    </row>
    <row r="1791" spans="2:21" ht="17.25">
      <c r="B1791" s="156"/>
      <c r="C1791" s="156"/>
      <c r="D1791" s="157"/>
      <c r="E1791" s="155"/>
      <c r="F1791" s="151"/>
      <c r="G1791" s="152"/>
      <c r="H1791" s="153"/>
      <c r="I1791" s="154"/>
      <c r="J1791" s="154"/>
      <c r="K1791" s="30" t="str">
        <f>IF(H1791="","",IF($C$30="간이법","",FPR(H1791,I1791,J1791)))</f>
        <v/>
      </c>
      <c r="L1791" s="30" t="str">
        <f>IF(H1791="","",IF($C$30="상세법",FPV(H1791,K1791),IF(H1791="EI",4,IF(H1791="EO",5.2,IF(H1791="EQ",3.9,IF(H1791="ILF",7.5,IF(H1791="EIF",5.4)))))))</f>
        <v/>
      </c>
      <c r="M1791" s="30" t="str">
        <f t="shared" si="191"/>
        <v/>
      </c>
      <c r="N1791" s="134"/>
      <c r="O1791" s="29"/>
      <c r="P1791" s="37" t="str">
        <f t="shared" si="192"/>
        <v/>
      </c>
      <c r="Q1791" s="38" t="str">
        <f t="shared" si="193"/>
        <v/>
      </c>
      <c r="R1791" s="37" t="str">
        <f t="shared" si="194"/>
        <v/>
      </c>
      <c r="S1791" s="37" t="str">
        <f t="shared" si="195"/>
        <v/>
      </c>
      <c r="T1791" s="38" t="str">
        <f t="shared" si="196"/>
        <v/>
      </c>
      <c r="U1791" s="37" t="str">
        <f t="shared" si="197"/>
        <v/>
      </c>
    </row>
    <row r="1792" spans="2:21" ht="17.25">
      <c r="B1792" s="156"/>
      <c r="C1792" s="156"/>
      <c r="D1792" s="157"/>
      <c r="E1792" s="155"/>
      <c r="F1792" s="151"/>
      <c r="G1792" s="152"/>
      <c r="H1792" s="153"/>
      <c r="I1792" s="154"/>
      <c r="J1792" s="154"/>
      <c r="K1792" s="30" t="str">
        <f>IF(H1792="","",IF($C$30="간이법","",FPR(H1792,I1792,J1792)))</f>
        <v/>
      </c>
      <c r="L1792" s="30" t="str">
        <f>IF(H1792="","",IF($C$30="상세법",FPV(H1792,K1792),IF(H1792="EI",4,IF(H1792="EO",5.2,IF(H1792="EQ",3.9,IF(H1792="ILF",7.5,IF(H1792="EIF",5.4)))))))</f>
        <v/>
      </c>
      <c r="M1792" s="30" t="str">
        <f t="shared" si="191"/>
        <v/>
      </c>
      <c r="N1792" s="134"/>
      <c r="O1792" s="29"/>
      <c r="P1792" s="37" t="str">
        <f t="shared" si="192"/>
        <v/>
      </c>
      <c r="Q1792" s="38" t="str">
        <f t="shared" si="193"/>
        <v/>
      </c>
      <c r="R1792" s="37" t="str">
        <f t="shared" si="194"/>
        <v/>
      </c>
      <c r="S1792" s="37" t="str">
        <f t="shared" si="195"/>
        <v/>
      </c>
      <c r="T1792" s="38" t="str">
        <f t="shared" si="196"/>
        <v/>
      </c>
      <c r="U1792" s="37" t="str">
        <f t="shared" si="197"/>
        <v/>
      </c>
    </row>
    <row r="1793" spans="2:21" ht="17.25">
      <c r="B1793" s="156"/>
      <c r="C1793" s="156"/>
      <c r="D1793" s="157"/>
      <c r="E1793" s="155"/>
      <c r="F1793" s="151"/>
      <c r="G1793" s="152"/>
      <c r="H1793" s="153"/>
      <c r="I1793" s="154"/>
      <c r="J1793" s="154"/>
      <c r="K1793" s="30" t="str">
        <f>IF(H1793="","",IF($C$30="간이법","",FPR(H1793,I1793,J1793)))</f>
        <v/>
      </c>
      <c r="L1793" s="30" t="str">
        <f>IF(H1793="","",IF($C$30="상세법",FPV(H1793,K1793),IF(H1793="EI",4,IF(H1793="EO",5.2,IF(H1793="EQ",3.9,IF(H1793="ILF",7.5,IF(H1793="EIF",5.4)))))))</f>
        <v/>
      </c>
      <c r="M1793" s="30" t="str">
        <f t="shared" si="191"/>
        <v/>
      </c>
      <c r="N1793" s="134"/>
      <c r="O1793" s="29"/>
      <c r="P1793" s="37" t="str">
        <f t="shared" si="192"/>
        <v/>
      </c>
      <c r="Q1793" s="38" t="str">
        <f t="shared" si="193"/>
        <v/>
      </c>
      <c r="R1793" s="37" t="str">
        <f t="shared" si="194"/>
        <v/>
      </c>
      <c r="S1793" s="37" t="str">
        <f t="shared" si="195"/>
        <v/>
      </c>
      <c r="T1793" s="38" t="str">
        <f t="shared" si="196"/>
        <v/>
      </c>
      <c r="U1793" s="37" t="str">
        <f t="shared" si="197"/>
        <v/>
      </c>
    </row>
    <row r="1794" spans="2:21" ht="17.25">
      <c r="B1794" s="156"/>
      <c r="C1794" s="156"/>
      <c r="D1794" s="157"/>
      <c r="E1794" s="155"/>
      <c r="F1794" s="151"/>
      <c r="G1794" s="152"/>
      <c r="H1794" s="153"/>
      <c r="I1794" s="154"/>
      <c r="J1794" s="154"/>
      <c r="K1794" s="30" t="str">
        <f>IF(H1794="","",IF($C$30="간이법","",FPR(H1794,I1794,J1794)))</f>
        <v/>
      </c>
      <c r="L1794" s="30" t="str">
        <f>IF(H1794="","",IF($C$30="상세법",FPV(H1794,K1794),IF(H1794="EI",4,IF(H1794="EO",5.2,IF(H1794="EQ",3.9,IF(H1794="ILF",7.5,IF(H1794="EIF",5.4)))))))</f>
        <v/>
      </c>
      <c r="M1794" s="30" t="str">
        <f t="shared" si="191"/>
        <v/>
      </c>
      <c r="N1794" s="134"/>
      <c r="O1794" s="29"/>
      <c r="P1794" s="37" t="str">
        <f t="shared" si="192"/>
        <v/>
      </c>
      <c r="Q1794" s="38" t="str">
        <f t="shared" si="193"/>
        <v/>
      </c>
      <c r="R1794" s="37" t="str">
        <f t="shared" si="194"/>
        <v/>
      </c>
      <c r="S1794" s="37" t="str">
        <f t="shared" si="195"/>
        <v/>
      </c>
      <c r="T1794" s="38" t="str">
        <f t="shared" si="196"/>
        <v/>
      </c>
      <c r="U1794" s="37" t="str">
        <f t="shared" si="197"/>
        <v/>
      </c>
    </row>
    <row r="1795" spans="2:21" ht="17.25">
      <c r="B1795" s="156"/>
      <c r="C1795" s="156"/>
      <c r="D1795" s="157"/>
      <c r="E1795" s="155"/>
      <c r="F1795" s="151"/>
      <c r="G1795" s="152"/>
      <c r="H1795" s="153"/>
      <c r="I1795" s="154"/>
      <c r="J1795" s="154"/>
      <c r="K1795" s="30" t="str">
        <f>IF(H1795="","",IF($C$30="간이법","",FPR(H1795,I1795,J1795)))</f>
        <v/>
      </c>
      <c r="L1795" s="30" t="str">
        <f>IF(H1795="","",IF($C$30="상세법",FPV(H1795,K1795),IF(H1795="EI",4,IF(H1795="EO",5.2,IF(H1795="EQ",3.9,IF(H1795="ILF",7.5,IF(H1795="EIF",5.4)))))))</f>
        <v/>
      </c>
      <c r="M1795" s="30" t="str">
        <f t="shared" si="191"/>
        <v/>
      </c>
      <c r="N1795" s="134"/>
      <c r="O1795" s="29"/>
      <c r="P1795" s="37" t="str">
        <f t="shared" si="192"/>
        <v/>
      </c>
      <c r="Q1795" s="38" t="str">
        <f t="shared" si="193"/>
        <v/>
      </c>
      <c r="R1795" s="37" t="str">
        <f t="shared" si="194"/>
        <v/>
      </c>
      <c r="S1795" s="37" t="str">
        <f t="shared" si="195"/>
        <v/>
      </c>
      <c r="T1795" s="38" t="str">
        <f t="shared" si="196"/>
        <v/>
      </c>
      <c r="U1795" s="37" t="str">
        <f t="shared" si="197"/>
        <v/>
      </c>
    </row>
    <row r="1796" spans="2:21" ht="17.25">
      <c r="B1796" s="156"/>
      <c r="C1796" s="156"/>
      <c r="D1796" s="157"/>
      <c r="E1796" s="155"/>
      <c r="F1796" s="151"/>
      <c r="G1796" s="152"/>
      <c r="H1796" s="153"/>
      <c r="I1796" s="154"/>
      <c r="J1796" s="154"/>
      <c r="K1796" s="30" t="str">
        <f>IF(H1796="","",IF($C$30="간이법","",FPR(H1796,I1796,J1796)))</f>
        <v/>
      </c>
      <c r="L1796" s="30" t="str">
        <f>IF(H1796="","",IF($C$30="상세법",FPV(H1796,K1796),IF(H1796="EI",4,IF(H1796="EO",5.2,IF(H1796="EQ",3.9,IF(H1796="ILF",7.5,IF(H1796="EIF",5.4)))))))</f>
        <v/>
      </c>
      <c r="M1796" s="30" t="str">
        <f t="shared" si="191"/>
        <v/>
      </c>
      <c r="N1796" s="134"/>
      <c r="O1796" s="29"/>
      <c r="P1796" s="37" t="str">
        <f t="shared" si="192"/>
        <v/>
      </c>
      <c r="Q1796" s="38" t="str">
        <f t="shared" si="193"/>
        <v/>
      </c>
      <c r="R1796" s="37" t="str">
        <f t="shared" si="194"/>
        <v/>
      </c>
      <c r="S1796" s="37" t="str">
        <f t="shared" si="195"/>
        <v/>
      </c>
      <c r="T1796" s="38" t="str">
        <f t="shared" si="196"/>
        <v/>
      </c>
      <c r="U1796" s="37" t="str">
        <f t="shared" si="197"/>
        <v/>
      </c>
    </row>
    <row r="1797" spans="2:21" ht="17.25">
      <c r="B1797" s="156"/>
      <c r="C1797" s="156"/>
      <c r="D1797" s="157"/>
      <c r="E1797" s="155"/>
      <c r="F1797" s="151"/>
      <c r="G1797" s="152"/>
      <c r="H1797" s="153"/>
      <c r="I1797" s="154"/>
      <c r="J1797" s="154"/>
      <c r="K1797" s="30" t="str">
        <f>IF(H1797="","",IF($C$30="간이법","",FPR(H1797,I1797,J1797)))</f>
        <v/>
      </c>
      <c r="L1797" s="30" t="str">
        <f>IF(H1797="","",IF($C$30="상세법",FPV(H1797,K1797),IF(H1797="EI",4,IF(H1797="EO",5.2,IF(H1797="EQ",3.9,IF(H1797="ILF",7.5,IF(H1797="EIF",5.4)))))))</f>
        <v/>
      </c>
      <c r="M1797" s="30" t="str">
        <f t="shared" si="191"/>
        <v/>
      </c>
      <c r="N1797" s="134"/>
      <c r="O1797" s="29"/>
      <c r="P1797" s="37" t="str">
        <f t="shared" si="192"/>
        <v/>
      </c>
      <c r="Q1797" s="38" t="str">
        <f t="shared" si="193"/>
        <v/>
      </c>
      <c r="R1797" s="37" t="str">
        <f t="shared" si="194"/>
        <v/>
      </c>
      <c r="S1797" s="37" t="str">
        <f t="shared" si="195"/>
        <v/>
      </c>
      <c r="T1797" s="38" t="str">
        <f t="shared" si="196"/>
        <v/>
      </c>
      <c r="U1797" s="37" t="str">
        <f t="shared" si="197"/>
        <v/>
      </c>
    </row>
    <row r="1798" spans="2:21" ht="17.25">
      <c r="B1798" s="156"/>
      <c r="C1798" s="156"/>
      <c r="D1798" s="157"/>
      <c r="E1798" s="155"/>
      <c r="F1798" s="151"/>
      <c r="G1798" s="152"/>
      <c r="H1798" s="153"/>
      <c r="I1798" s="154"/>
      <c r="J1798" s="154"/>
      <c r="K1798" s="30" t="str">
        <f>IF(H1798="","",IF($C$30="간이법","",FPR(H1798,I1798,J1798)))</f>
        <v/>
      </c>
      <c r="L1798" s="30" t="str">
        <f>IF(H1798="","",IF($C$30="상세법",FPV(H1798,K1798),IF(H1798="EI",4,IF(H1798="EO",5.2,IF(H1798="EQ",3.9,IF(H1798="ILF",7.5,IF(H1798="EIF",5.4)))))))</f>
        <v/>
      </c>
      <c r="M1798" s="30" t="str">
        <f t="shared" si="191"/>
        <v/>
      </c>
      <c r="N1798" s="134"/>
      <c r="O1798" s="29"/>
      <c r="P1798" s="37" t="str">
        <f t="shared" si="192"/>
        <v/>
      </c>
      <c r="Q1798" s="38" t="str">
        <f t="shared" si="193"/>
        <v/>
      </c>
      <c r="R1798" s="37" t="str">
        <f t="shared" si="194"/>
        <v/>
      </c>
      <c r="S1798" s="37" t="str">
        <f t="shared" si="195"/>
        <v/>
      </c>
      <c r="T1798" s="38" t="str">
        <f t="shared" si="196"/>
        <v/>
      </c>
      <c r="U1798" s="37" t="str">
        <f t="shared" si="197"/>
        <v/>
      </c>
    </row>
    <row r="1799" spans="2:21" ht="17.25">
      <c r="B1799" s="156"/>
      <c r="C1799" s="156"/>
      <c r="D1799" s="157"/>
      <c r="E1799" s="155"/>
      <c r="F1799" s="151"/>
      <c r="G1799" s="152"/>
      <c r="H1799" s="153"/>
      <c r="I1799" s="154"/>
      <c r="J1799" s="154"/>
      <c r="K1799" s="30" t="str">
        <f>IF(H1799="","",IF($C$30="간이법","",FPR(H1799,I1799,J1799)))</f>
        <v/>
      </c>
      <c r="L1799" s="30" t="str">
        <f>IF(H1799="","",IF($C$30="상세법",FPV(H1799,K1799),IF(H1799="EI",4,IF(H1799="EO",5.2,IF(H1799="EQ",3.9,IF(H1799="ILF",7.5,IF(H1799="EIF",5.4)))))))</f>
        <v/>
      </c>
      <c r="M1799" s="30" t="str">
        <f t="shared" si="191"/>
        <v/>
      </c>
      <c r="N1799" s="134"/>
      <c r="O1799" s="29"/>
      <c r="P1799" s="37" t="str">
        <f t="shared" si="192"/>
        <v/>
      </c>
      <c r="Q1799" s="38" t="str">
        <f t="shared" si="193"/>
        <v/>
      </c>
      <c r="R1799" s="37" t="str">
        <f t="shared" si="194"/>
        <v/>
      </c>
      <c r="S1799" s="37" t="str">
        <f t="shared" si="195"/>
        <v/>
      </c>
      <c r="T1799" s="38" t="str">
        <f t="shared" si="196"/>
        <v/>
      </c>
      <c r="U1799" s="37" t="str">
        <f t="shared" si="197"/>
        <v/>
      </c>
    </row>
    <row r="1800" spans="2:21" ht="17.25">
      <c r="B1800" s="156"/>
      <c r="C1800" s="156"/>
      <c r="D1800" s="157"/>
      <c r="E1800" s="155"/>
      <c r="F1800" s="151"/>
      <c r="G1800" s="152"/>
      <c r="H1800" s="153"/>
      <c r="I1800" s="154"/>
      <c r="J1800" s="154"/>
      <c r="K1800" s="30" t="str">
        <f>IF(H1800="","",IF($C$30="간이법","",FPR(H1800,I1800,J1800)))</f>
        <v/>
      </c>
      <c r="L1800" s="30" t="str">
        <f>IF(H1800="","",IF($C$30="상세법",FPV(H1800,K1800),IF(H1800="EI",4,IF(H1800="EO",5.2,IF(H1800="EQ",3.9,IF(H1800="ILF",7.5,IF(H1800="EIF",5.4)))))))</f>
        <v/>
      </c>
      <c r="M1800" s="30" t="str">
        <f t="shared" si="191"/>
        <v/>
      </c>
      <c r="N1800" s="134"/>
      <c r="O1800" s="29"/>
      <c r="P1800" s="37" t="str">
        <f t="shared" si="192"/>
        <v/>
      </c>
      <c r="Q1800" s="38" t="str">
        <f t="shared" si="193"/>
        <v/>
      </c>
      <c r="R1800" s="37" t="str">
        <f t="shared" si="194"/>
        <v/>
      </c>
      <c r="S1800" s="37" t="str">
        <f t="shared" si="195"/>
        <v/>
      </c>
      <c r="T1800" s="38" t="str">
        <f t="shared" si="196"/>
        <v/>
      </c>
      <c r="U1800" s="37" t="str">
        <f t="shared" si="197"/>
        <v/>
      </c>
    </row>
    <row r="1801" spans="2:21" ht="17.25">
      <c r="B1801" s="156"/>
      <c r="C1801" s="156"/>
      <c r="D1801" s="157"/>
      <c r="E1801" s="155"/>
      <c r="F1801" s="151"/>
      <c r="G1801" s="152"/>
      <c r="H1801" s="153"/>
      <c r="I1801" s="154"/>
      <c r="J1801" s="154"/>
      <c r="K1801" s="30" t="str">
        <f>IF(H1801="","",IF($C$30="간이법","",FPR(H1801,I1801,J1801)))</f>
        <v/>
      </c>
      <c r="L1801" s="30" t="str">
        <f>IF(H1801="","",IF($C$30="상세법",FPV(H1801,K1801),IF(H1801="EI",4,IF(H1801="EO",5.2,IF(H1801="EQ",3.9,IF(H1801="ILF",7.5,IF(H1801="EIF",5.4)))))))</f>
        <v/>
      </c>
      <c r="M1801" s="30" t="str">
        <f t="shared" si="191"/>
        <v/>
      </c>
      <c r="N1801" s="134"/>
      <c r="O1801" s="29"/>
      <c r="P1801" s="37" t="str">
        <f t="shared" si="192"/>
        <v/>
      </c>
      <c r="Q1801" s="38" t="str">
        <f t="shared" si="193"/>
        <v/>
      </c>
      <c r="R1801" s="37" t="str">
        <f t="shared" si="194"/>
        <v/>
      </c>
      <c r="S1801" s="37" t="str">
        <f t="shared" si="195"/>
        <v/>
      </c>
      <c r="T1801" s="38" t="str">
        <f t="shared" si="196"/>
        <v/>
      </c>
      <c r="U1801" s="37" t="str">
        <f t="shared" si="197"/>
        <v/>
      </c>
    </row>
    <row r="1802" spans="2:21" ht="17.25">
      <c r="B1802" s="156"/>
      <c r="C1802" s="156"/>
      <c r="D1802" s="157"/>
      <c r="E1802" s="155"/>
      <c r="F1802" s="151"/>
      <c r="G1802" s="152"/>
      <c r="H1802" s="153"/>
      <c r="I1802" s="154"/>
      <c r="J1802" s="154"/>
      <c r="K1802" s="30" t="str">
        <f>IF(H1802="","",IF($C$30="간이법","",FPR(H1802,I1802,J1802)))</f>
        <v/>
      </c>
      <c r="L1802" s="30" t="str">
        <f>IF(H1802="","",IF($C$30="상세법",FPV(H1802,K1802),IF(H1802="EI",4,IF(H1802="EO",5.2,IF(H1802="EQ",3.9,IF(H1802="ILF",7.5,IF(H1802="EIF",5.4)))))))</f>
        <v/>
      </c>
      <c r="M1802" s="30" t="str">
        <f t="shared" si="191"/>
        <v/>
      </c>
      <c r="N1802" s="134"/>
      <c r="O1802" s="29"/>
      <c r="P1802" s="37" t="str">
        <f t="shared" si="192"/>
        <v/>
      </c>
      <c r="Q1802" s="38" t="str">
        <f t="shared" si="193"/>
        <v/>
      </c>
      <c r="R1802" s="37" t="str">
        <f t="shared" si="194"/>
        <v/>
      </c>
      <c r="S1802" s="37" t="str">
        <f t="shared" si="195"/>
        <v/>
      </c>
      <c r="T1802" s="38" t="str">
        <f t="shared" si="196"/>
        <v/>
      </c>
      <c r="U1802" s="37" t="str">
        <f t="shared" si="197"/>
        <v/>
      </c>
    </row>
    <row r="1803" spans="2:21" ht="17.25">
      <c r="B1803" s="156"/>
      <c r="C1803" s="156"/>
      <c r="D1803" s="157"/>
      <c r="E1803" s="155"/>
      <c r="F1803" s="151"/>
      <c r="G1803" s="152"/>
      <c r="H1803" s="153"/>
      <c r="I1803" s="154"/>
      <c r="J1803" s="154"/>
      <c r="K1803" s="30" t="str">
        <f>IF(H1803="","",IF($C$30="간이법","",FPR(H1803,I1803,J1803)))</f>
        <v/>
      </c>
      <c r="L1803" s="30" t="str">
        <f>IF(H1803="","",IF($C$30="상세법",FPV(H1803,K1803),IF(H1803="EI",4,IF(H1803="EO",5.2,IF(H1803="EQ",3.9,IF(H1803="ILF",7.5,IF(H1803="EIF",5.4)))))))</f>
        <v/>
      </c>
      <c r="M1803" s="30" t="str">
        <f t="shared" si="191"/>
        <v/>
      </c>
      <c r="N1803" s="134"/>
      <c r="O1803" s="29"/>
      <c r="P1803" s="37" t="str">
        <f t="shared" si="192"/>
        <v/>
      </c>
      <c r="Q1803" s="38" t="str">
        <f t="shared" si="193"/>
        <v/>
      </c>
      <c r="R1803" s="37" t="str">
        <f t="shared" si="194"/>
        <v/>
      </c>
      <c r="S1803" s="37" t="str">
        <f t="shared" si="195"/>
        <v/>
      </c>
      <c r="T1803" s="38" t="str">
        <f t="shared" si="196"/>
        <v/>
      </c>
      <c r="U1803" s="37" t="str">
        <f t="shared" si="197"/>
        <v/>
      </c>
    </row>
    <row r="1804" spans="2:21" ht="17.25">
      <c r="B1804" s="156"/>
      <c r="C1804" s="156"/>
      <c r="D1804" s="157"/>
      <c r="E1804" s="155"/>
      <c r="F1804" s="151"/>
      <c r="G1804" s="152"/>
      <c r="H1804" s="153"/>
      <c r="I1804" s="154"/>
      <c r="J1804" s="154"/>
      <c r="K1804" s="30" t="str">
        <f>IF(H1804="","",IF($C$30="간이법","",FPR(H1804,I1804,J1804)))</f>
        <v/>
      </c>
      <c r="L1804" s="30" t="str">
        <f>IF(H1804="","",IF($C$30="상세법",FPV(H1804,K1804),IF(H1804="EI",4,IF(H1804="EO",5.2,IF(H1804="EQ",3.9,IF(H1804="ILF",7.5,IF(H1804="EIF",5.4)))))))</f>
        <v/>
      </c>
      <c r="M1804" s="30" t="str">
        <f t="shared" si="191"/>
        <v/>
      </c>
      <c r="N1804" s="134"/>
      <c r="O1804" s="29"/>
      <c r="P1804" s="37" t="str">
        <f t="shared" si="192"/>
        <v/>
      </c>
      <c r="Q1804" s="38" t="str">
        <f t="shared" si="193"/>
        <v/>
      </c>
      <c r="R1804" s="37" t="str">
        <f t="shared" si="194"/>
        <v/>
      </c>
      <c r="S1804" s="37" t="str">
        <f t="shared" si="195"/>
        <v/>
      </c>
      <c r="T1804" s="38" t="str">
        <f t="shared" si="196"/>
        <v/>
      </c>
      <c r="U1804" s="37" t="str">
        <f t="shared" si="197"/>
        <v/>
      </c>
    </row>
    <row r="1805" spans="2:21" ht="17.25">
      <c r="B1805" s="156"/>
      <c r="C1805" s="156"/>
      <c r="D1805" s="157"/>
      <c r="E1805" s="155"/>
      <c r="F1805" s="151"/>
      <c r="G1805" s="152"/>
      <c r="H1805" s="153"/>
      <c r="I1805" s="154"/>
      <c r="J1805" s="154"/>
      <c r="K1805" s="30" t="str">
        <f>IF(H1805="","",IF($C$30="간이법","",FPR(H1805,I1805,J1805)))</f>
        <v/>
      </c>
      <c r="L1805" s="30" t="str">
        <f>IF(H1805="","",IF($C$30="상세법",FPV(H1805,K1805),IF(H1805="EI",4,IF(H1805="EO",5.2,IF(H1805="EQ",3.9,IF(H1805="ILF",7.5,IF(H1805="EIF",5.4)))))))</f>
        <v/>
      </c>
      <c r="M1805" s="30" t="str">
        <f t="shared" si="191"/>
        <v/>
      </c>
      <c r="N1805" s="134"/>
      <c r="O1805" s="29"/>
      <c r="P1805" s="37" t="str">
        <f t="shared" si="192"/>
        <v/>
      </c>
      <c r="Q1805" s="38" t="str">
        <f t="shared" si="193"/>
        <v/>
      </c>
      <c r="R1805" s="37" t="str">
        <f t="shared" si="194"/>
        <v/>
      </c>
      <c r="S1805" s="37" t="str">
        <f t="shared" si="195"/>
        <v/>
      </c>
      <c r="T1805" s="38" t="str">
        <f t="shared" si="196"/>
        <v/>
      </c>
      <c r="U1805" s="37" t="str">
        <f t="shared" si="197"/>
        <v/>
      </c>
    </row>
    <row r="1806" spans="2:21" ht="17.25">
      <c r="B1806" s="156"/>
      <c r="C1806" s="156"/>
      <c r="D1806" s="157"/>
      <c r="E1806" s="155"/>
      <c r="F1806" s="151"/>
      <c r="G1806" s="152"/>
      <c r="H1806" s="153"/>
      <c r="I1806" s="154"/>
      <c r="J1806" s="154"/>
      <c r="K1806" s="30" t="str">
        <f>IF(H1806="","",IF($C$30="간이법","",FPR(H1806,I1806,J1806)))</f>
        <v/>
      </c>
      <c r="L1806" s="30" t="str">
        <f>IF(H1806="","",IF($C$30="상세법",FPV(H1806,K1806),IF(H1806="EI",4,IF(H1806="EO",5.2,IF(H1806="EQ",3.9,IF(H1806="ILF",7.5,IF(H1806="EIF",5.4)))))))</f>
        <v/>
      </c>
      <c r="M1806" s="30" t="str">
        <f t="shared" si="191"/>
        <v/>
      </c>
      <c r="N1806" s="134"/>
      <c r="O1806" s="29"/>
      <c r="P1806" s="37" t="str">
        <f t="shared" si="192"/>
        <v/>
      </c>
      <c r="Q1806" s="38" t="str">
        <f t="shared" si="193"/>
        <v/>
      </c>
      <c r="R1806" s="37" t="str">
        <f t="shared" si="194"/>
        <v/>
      </c>
      <c r="S1806" s="37" t="str">
        <f t="shared" si="195"/>
        <v/>
      </c>
      <c r="T1806" s="38" t="str">
        <f t="shared" si="196"/>
        <v/>
      </c>
      <c r="U1806" s="37" t="str">
        <f t="shared" si="197"/>
        <v/>
      </c>
    </row>
    <row r="1807" spans="2:21" ht="17.25">
      <c r="B1807" s="156"/>
      <c r="C1807" s="156"/>
      <c r="D1807" s="157"/>
      <c r="E1807" s="155"/>
      <c r="F1807" s="151"/>
      <c r="G1807" s="152"/>
      <c r="H1807" s="153"/>
      <c r="I1807" s="154"/>
      <c r="J1807" s="154"/>
      <c r="K1807" s="30" t="str">
        <f>IF(H1807="","",IF($C$30="간이법","",FPR(H1807,I1807,J1807)))</f>
        <v/>
      </c>
      <c r="L1807" s="30" t="str">
        <f>IF(H1807="","",IF($C$30="상세법",FPV(H1807,K1807),IF(H1807="EI",4,IF(H1807="EO",5.2,IF(H1807="EQ",3.9,IF(H1807="ILF",7.5,IF(H1807="EIF",5.4)))))))</f>
        <v/>
      </c>
      <c r="M1807" s="30" t="str">
        <f t="shared" si="191"/>
        <v/>
      </c>
      <c r="N1807" s="134"/>
      <c r="O1807" s="29"/>
      <c r="P1807" s="37" t="str">
        <f t="shared" si="192"/>
        <v/>
      </c>
      <c r="Q1807" s="38" t="str">
        <f t="shared" si="193"/>
        <v/>
      </c>
      <c r="R1807" s="37" t="str">
        <f t="shared" si="194"/>
        <v/>
      </c>
      <c r="S1807" s="37" t="str">
        <f t="shared" si="195"/>
        <v/>
      </c>
      <c r="T1807" s="38" t="str">
        <f t="shared" si="196"/>
        <v/>
      </c>
      <c r="U1807" s="37" t="str">
        <f t="shared" si="197"/>
        <v/>
      </c>
    </row>
    <row r="1808" spans="2:21" ht="17.25">
      <c r="B1808" s="156"/>
      <c r="C1808" s="156"/>
      <c r="D1808" s="157"/>
      <c r="E1808" s="155"/>
      <c r="F1808" s="151"/>
      <c r="G1808" s="152"/>
      <c r="H1808" s="153"/>
      <c r="I1808" s="154"/>
      <c r="J1808" s="154"/>
      <c r="K1808" s="30" t="str">
        <f>IF(H1808="","",IF($C$30="간이법","",FPR(H1808,I1808,J1808)))</f>
        <v/>
      </c>
      <c r="L1808" s="30" t="str">
        <f>IF(H1808="","",IF($C$30="상세법",FPV(H1808,K1808),IF(H1808="EI",4,IF(H1808="EO",5.2,IF(H1808="EQ",3.9,IF(H1808="ILF",7.5,IF(H1808="EIF",5.4)))))))</f>
        <v/>
      </c>
      <c r="M1808" s="30" t="str">
        <f t="shared" si="191"/>
        <v/>
      </c>
      <c r="N1808" s="134"/>
      <c r="O1808" s="29"/>
      <c r="P1808" s="37" t="str">
        <f t="shared" si="192"/>
        <v/>
      </c>
      <c r="Q1808" s="38" t="str">
        <f t="shared" si="193"/>
        <v/>
      </c>
      <c r="R1808" s="37" t="str">
        <f t="shared" si="194"/>
        <v/>
      </c>
      <c r="S1808" s="37" t="str">
        <f t="shared" si="195"/>
        <v/>
      </c>
      <c r="T1808" s="38" t="str">
        <f t="shared" si="196"/>
        <v/>
      </c>
      <c r="U1808" s="37" t="str">
        <f t="shared" si="197"/>
        <v/>
      </c>
    </row>
    <row r="1809" spans="2:21" ht="17.25">
      <c r="B1809" s="156"/>
      <c r="C1809" s="156"/>
      <c r="D1809" s="157"/>
      <c r="E1809" s="155"/>
      <c r="F1809" s="151"/>
      <c r="G1809" s="152"/>
      <c r="H1809" s="153"/>
      <c r="I1809" s="154"/>
      <c r="J1809" s="154"/>
      <c r="K1809" s="30" t="str">
        <f>IF(H1809="","",IF($C$30="간이법","",FPR(H1809,I1809,J1809)))</f>
        <v/>
      </c>
      <c r="L1809" s="30" t="str">
        <f>IF(H1809="","",IF($C$30="상세법",FPV(H1809,K1809),IF(H1809="EI",4,IF(H1809="EO",5.2,IF(H1809="EQ",3.9,IF(H1809="ILF",7.5,IF(H1809="EIF",5.4)))))))</f>
        <v/>
      </c>
      <c r="M1809" s="30" t="str">
        <f t="shared" si="191"/>
        <v/>
      </c>
      <c r="N1809" s="134"/>
      <c r="O1809" s="29"/>
      <c r="P1809" s="37" t="str">
        <f t="shared" si="192"/>
        <v/>
      </c>
      <c r="Q1809" s="38" t="str">
        <f t="shared" si="193"/>
        <v/>
      </c>
      <c r="R1809" s="37" t="str">
        <f t="shared" si="194"/>
        <v/>
      </c>
      <c r="S1809" s="37" t="str">
        <f t="shared" si="195"/>
        <v/>
      </c>
      <c r="T1809" s="38" t="str">
        <f t="shared" si="196"/>
        <v/>
      </c>
      <c r="U1809" s="37" t="str">
        <f t="shared" si="197"/>
        <v/>
      </c>
    </row>
    <row r="1810" spans="2:21" ht="17.25">
      <c r="B1810" s="156"/>
      <c r="C1810" s="156"/>
      <c r="D1810" s="157"/>
      <c r="E1810" s="155"/>
      <c r="F1810" s="151"/>
      <c r="G1810" s="152"/>
      <c r="H1810" s="153"/>
      <c r="I1810" s="154"/>
      <c r="J1810" s="154"/>
      <c r="K1810" s="30" t="str">
        <f>IF(H1810="","",IF($C$30="간이법","",FPR(H1810,I1810,J1810)))</f>
        <v/>
      </c>
      <c r="L1810" s="30" t="str">
        <f>IF(H1810="","",IF($C$30="상세법",FPV(H1810,K1810),IF(H1810="EI",4,IF(H1810="EO",5.2,IF(H1810="EQ",3.9,IF(H1810="ILF",7.5,IF(H1810="EIF",5.4)))))))</f>
        <v/>
      </c>
      <c r="M1810" s="30" t="str">
        <f t="shared" si="191"/>
        <v/>
      </c>
      <c r="N1810" s="134"/>
      <c r="O1810" s="29"/>
      <c r="P1810" s="37" t="str">
        <f t="shared" si="192"/>
        <v/>
      </c>
      <c r="Q1810" s="38" t="str">
        <f t="shared" si="193"/>
        <v/>
      </c>
      <c r="R1810" s="37" t="str">
        <f t="shared" si="194"/>
        <v/>
      </c>
      <c r="S1810" s="37" t="str">
        <f t="shared" si="195"/>
        <v/>
      </c>
      <c r="T1810" s="38" t="str">
        <f t="shared" si="196"/>
        <v/>
      </c>
      <c r="U1810" s="37" t="str">
        <f t="shared" si="197"/>
        <v/>
      </c>
    </row>
    <row r="1811" spans="2:21" ht="17.25">
      <c r="B1811" s="156"/>
      <c r="C1811" s="156"/>
      <c r="D1811" s="157"/>
      <c r="E1811" s="155"/>
      <c r="F1811" s="151"/>
      <c r="G1811" s="152"/>
      <c r="H1811" s="153"/>
      <c r="I1811" s="154"/>
      <c r="J1811" s="154"/>
      <c r="K1811" s="30" t="str">
        <f>IF(H1811="","",IF($C$30="간이법","",FPR(H1811,I1811,J1811)))</f>
        <v/>
      </c>
      <c r="L1811" s="30" t="str">
        <f>IF(H1811="","",IF($C$30="상세법",FPV(H1811,K1811),IF(H1811="EI",4,IF(H1811="EO",5.2,IF(H1811="EQ",3.9,IF(H1811="ILF",7.5,IF(H1811="EIF",5.4)))))))</f>
        <v/>
      </c>
      <c r="M1811" s="30" t="str">
        <f t="shared" si="191"/>
        <v/>
      </c>
      <c r="N1811" s="134"/>
      <c r="O1811" s="29"/>
      <c r="P1811" s="37" t="str">
        <f t="shared" si="192"/>
        <v/>
      </c>
      <c r="Q1811" s="38" t="str">
        <f t="shared" si="193"/>
        <v/>
      </c>
      <c r="R1811" s="37" t="str">
        <f t="shared" si="194"/>
        <v/>
      </c>
      <c r="S1811" s="37" t="str">
        <f t="shared" si="195"/>
        <v/>
      </c>
      <c r="T1811" s="38" t="str">
        <f t="shared" si="196"/>
        <v/>
      </c>
      <c r="U1811" s="37" t="str">
        <f t="shared" si="197"/>
        <v/>
      </c>
    </row>
    <row r="1812" spans="2:21" ht="17.25">
      <c r="B1812" s="156"/>
      <c r="C1812" s="156"/>
      <c r="D1812" s="157"/>
      <c r="E1812" s="155"/>
      <c r="F1812" s="151"/>
      <c r="G1812" s="152"/>
      <c r="H1812" s="153"/>
      <c r="I1812" s="154"/>
      <c r="J1812" s="154"/>
      <c r="K1812" s="30" t="str">
        <f>IF(H1812="","",IF($C$30="간이법","",FPR(H1812,I1812,J1812)))</f>
        <v/>
      </c>
      <c r="L1812" s="30" t="str">
        <f>IF(H1812="","",IF($C$30="상세법",FPV(H1812,K1812),IF(H1812="EI",4,IF(H1812="EO",5.2,IF(H1812="EQ",3.9,IF(H1812="ILF",7.5,IF(H1812="EIF",5.4)))))))</f>
        <v/>
      </c>
      <c r="M1812" s="30" t="str">
        <f t="shared" si="191"/>
        <v/>
      </c>
      <c r="N1812" s="134"/>
      <c r="O1812" s="29"/>
      <c r="P1812" s="37" t="str">
        <f t="shared" si="192"/>
        <v/>
      </c>
      <c r="Q1812" s="38" t="str">
        <f t="shared" si="193"/>
        <v/>
      </c>
      <c r="R1812" s="37" t="str">
        <f t="shared" si="194"/>
        <v/>
      </c>
      <c r="S1812" s="37" t="str">
        <f t="shared" si="195"/>
        <v/>
      </c>
      <c r="T1812" s="38" t="str">
        <f t="shared" si="196"/>
        <v/>
      </c>
      <c r="U1812" s="37" t="str">
        <f t="shared" si="197"/>
        <v/>
      </c>
    </row>
    <row r="1813" spans="2:21" ht="17.25">
      <c r="B1813" s="156"/>
      <c r="C1813" s="156"/>
      <c r="D1813" s="157"/>
      <c r="E1813" s="155"/>
      <c r="F1813" s="151"/>
      <c r="G1813" s="152"/>
      <c r="H1813" s="153"/>
      <c r="I1813" s="154"/>
      <c r="J1813" s="154"/>
      <c r="K1813" s="30" t="str">
        <f>IF(H1813="","",IF($C$30="간이법","",FPR(H1813,I1813,J1813)))</f>
        <v/>
      </c>
      <c r="L1813" s="30" t="str">
        <f>IF(H1813="","",IF($C$30="상세법",FPV(H1813,K1813),IF(H1813="EI",4,IF(H1813="EO",5.2,IF(H1813="EQ",3.9,IF(H1813="ILF",7.5,IF(H1813="EIF",5.4)))))))</f>
        <v/>
      </c>
      <c r="M1813" s="30" t="str">
        <f t="shared" si="191"/>
        <v/>
      </c>
      <c r="N1813" s="134"/>
      <c r="O1813" s="29"/>
      <c r="P1813" s="37" t="str">
        <f t="shared" si="192"/>
        <v/>
      </c>
      <c r="Q1813" s="38" t="str">
        <f t="shared" si="193"/>
        <v/>
      </c>
      <c r="R1813" s="37" t="str">
        <f t="shared" si="194"/>
        <v/>
      </c>
      <c r="S1813" s="37" t="str">
        <f t="shared" si="195"/>
        <v/>
      </c>
      <c r="T1813" s="38" t="str">
        <f t="shared" si="196"/>
        <v/>
      </c>
      <c r="U1813" s="37" t="str">
        <f t="shared" si="197"/>
        <v/>
      </c>
    </row>
    <row r="1814" spans="2:21" ht="17.25">
      <c r="B1814" s="156"/>
      <c r="C1814" s="156"/>
      <c r="D1814" s="157"/>
      <c r="E1814" s="155"/>
      <c r="F1814" s="151"/>
      <c r="G1814" s="152"/>
      <c r="H1814" s="153"/>
      <c r="I1814" s="154"/>
      <c r="J1814" s="154"/>
      <c r="K1814" s="30" t="str">
        <f>IF(H1814="","",IF($C$30="간이법","",FPR(H1814,I1814,J1814)))</f>
        <v/>
      </c>
      <c r="L1814" s="30" t="str">
        <f>IF(H1814="","",IF($C$30="상세법",FPV(H1814,K1814),IF(H1814="EI",4,IF(H1814="EO",5.2,IF(H1814="EQ",3.9,IF(H1814="ILF",7.5,IF(H1814="EIF",5.4)))))))</f>
        <v/>
      </c>
      <c r="M1814" s="30" t="str">
        <f t="shared" si="191"/>
        <v/>
      </c>
      <c r="N1814" s="134"/>
      <c r="O1814" s="29"/>
      <c r="P1814" s="37" t="str">
        <f t="shared" si="192"/>
        <v/>
      </c>
      <c r="Q1814" s="38" t="str">
        <f t="shared" si="193"/>
        <v/>
      </c>
      <c r="R1814" s="37" t="str">
        <f t="shared" si="194"/>
        <v/>
      </c>
      <c r="S1814" s="37" t="str">
        <f t="shared" si="195"/>
        <v/>
      </c>
      <c r="T1814" s="38" t="str">
        <f t="shared" si="196"/>
        <v/>
      </c>
      <c r="U1814" s="37" t="str">
        <f t="shared" si="197"/>
        <v/>
      </c>
    </row>
    <row r="1815" spans="2:21" ht="17.25">
      <c r="B1815" s="156"/>
      <c r="C1815" s="156"/>
      <c r="D1815" s="157"/>
      <c r="E1815" s="155"/>
      <c r="F1815" s="151"/>
      <c r="G1815" s="152"/>
      <c r="H1815" s="153"/>
      <c r="I1815" s="154"/>
      <c r="J1815" s="154"/>
      <c r="K1815" s="30" t="str">
        <f>IF(H1815="","",IF($C$30="간이법","",FPR(H1815,I1815,J1815)))</f>
        <v/>
      </c>
      <c r="L1815" s="30" t="str">
        <f>IF(H1815="","",IF($C$30="상세법",FPV(H1815,K1815),IF(H1815="EI",4,IF(H1815="EO",5.2,IF(H1815="EQ",3.9,IF(H1815="ILF",7.5,IF(H1815="EIF",5.4)))))))</f>
        <v/>
      </c>
      <c r="M1815" s="30" t="str">
        <f t="shared" si="191"/>
        <v/>
      </c>
      <c r="N1815" s="134"/>
      <c r="O1815" s="29"/>
      <c r="P1815" s="37" t="str">
        <f t="shared" si="192"/>
        <v/>
      </c>
      <c r="Q1815" s="38" t="str">
        <f t="shared" si="193"/>
        <v/>
      </c>
      <c r="R1815" s="37" t="str">
        <f t="shared" si="194"/>
        <v/>
      </c>
      <c r="S1815" s="37" t="str">
        <f t="shared" si="195"/>
        <v/>
      </c>
      <c r="T1815" s="38" t="str">
        <f t="shared" si="196"/>
        <v/>
      </c>
      <c r="U1815" s="37" t="str">
        <f t="shared" si="197"/>
        <v/>
      </c>
    </row>
    <row r="1816" spans="2:21" ht="17.25">
      <c r="B1816" s="156"/>
      <c r="C1816" s="156"/>
      <c r="D1816" s="157"/>
      <c r="E1816" s="155"/>
      <c r="F1816" s="151"/>
      <c r="G1816" s="152"/>
      <c r="H1816" s="153"/>
      <c r="I1816" s="154"/>
      <c r="J1816" s="154"/>
      <c r="K1816" s="30" t="str">
        <f>IF(H1816="","",IF($C$30="간이법","",FPR(H1816,I1816,J1816)))</f>
        <v/>
      </c>
      <c r="L1816" s="30" t="str">
        <f>IF(H1816="","",IF($C$30="상세법",FPV(H1816,K1816),IF(H1816="EI",4,IF(H1816="EO",5.2,IF(H1816="EQ",3.9,IF(H1816="ILF",7.5,IF(H1816="EIF",5.4)))))))</f>
        <v/>
      </c>
      <c r="M1816" s="30" t="str">
        <f t="shared" si="191"/>
        <v/>
      </c>
      <c r="N1816" s="134"/>
      <c r="O1816" s="29"/>
      <c r="P1816" s="37" t="str">
        <f t="shared" si="192"/>
        <v/>
      </c>
      <c r="Q1816" s="38" t="str">
        <f t="shared" si="193"/>
        <v/>
      </c>
      <c r="R1816" s="37" t="str">
        <f t="shared" si="194"/>
        <v/>
      </c>
      <c r="S1816" s="37" t="str">
        <f t="shared" si="195"/>
        <v/>
      </c>
      <c r="T1816" s="38" t="str">
        <f t="shared" si="196"/>
        <v/>
      </c>
      <c r="U1816" s="37" t="str">
        <f t="shared" si="197"/>
        <v/>
      </c>
    </row>
    <row r="1817" spans="2:21" ht="17.25">
      <c r="B1817" s="156"/>
      <c r="C1817" s="156"/>
      <c r="D1817" s="157"/>
      <c r="E1817" s="155"/>
      <c r="F1817" s="151"/>
      <c r="G1817" s="152"/>
      <c r="H1817" s="153"/>
      <c r="I1817" s="154"/>
      <c r="J1817" s="154"/>
      <c r="K1817" s="30" t="str">
        <f>IF(H1817="","",IF($C$30="간이법","",FPR(H1817,I1817,J1817)))</f>
        <v/>
      </c>
      <c r="L1817" s="30" t="str">
        <f>IF(H1817="","",IF($C$30="상세법",FPV(H1817,K1817),IF(H1817="EI",4,IF(H1817="EO",5.2,IF(H1817="EQ",3.9,IF(H1817="ILF",7.5,IF(H1817="EIF",5.4)))))))</f>
        <v/>
      </c>
      <c r="M1817" s="30" t="str">
        <f t="shared" si="191"/>
        <v/>
      </c>
      <c r="N1817" s="134"/>
      <c r="O1817" s="29"/>
      <c r="P1817" s="37" t="str">
        <f t="shared" si="192"/>
        <v/>
      </c>
      <c r="Q1817" s="38" t="str">
        <f t="shared" si="193"/>
        <v/>
      </c>
      <c r="R1817" s="37" t="str">
        <f t="shared" si="194"/>
        <v/>
      </c>
      <c r="S1817" s="37" t="str">
        <f t="shared" si="195"/>
        <v/>
      </c>
      <c r="T1817" s="38" t="str">
        <f t="shared" si="196"/>
        <v/>
      </c>
      <c r="U1817" s="37" t="str">
        <f t="shared" si="197"/>
        <v/>
      </c>
    </row>
    <row r="1818" spans="2:21" ht="17.25">
      <c r="B1818" s="156"/>
      <c r="C1818" s="156"/>
      <c r="D1818" s="157"/>
      <c r="E1818" s="155"/>
      <c r="F1818" s="151"/>
      <c r="G1818" s="152"/>
      <c r="H1818" s="153"/>
      <c r="I1818" s="154"/>
      <c r="J1818" s="154"/>
      <c r="K1818" s="30" t="str">
        <f>IF(H1818="","",IF($C$30="간이법","",FPR(H1818,I1818,J1818)))</f>
        <v/>
      </c>
      <c r="L1818" s="30" t="str">
        <f>IF(H1818="","",IF($C$30="상세법",FPV(H1818,K1818),IF(H1818="EI",4,IF(H1818="EO",5.2,IF(H1818="EQ",3.9,IF(H1818="ILF",7.5,IF(H1818="EIF",5.4)))))))</f>
        <v/>
      </c>
      <c r="M1818" s="30" t="str">
        <f t="shared" si="191"/>
        <v/>
      </c>
      <c r="N1818" s="134"/>
      <c r="O1818" s="29"/>
      <c r="P1818" s="37" t="str">
        <f t="shared" si="192"/>
        <v/>
      </c>
      <c r="Q1818" s="38" t="str">
        <f t="shared" si="193"/>
        <v/>
      </c>
      <c r="R1818" s="37" t="str">
        <f t="shared" si="194"/>
        <v/>
      </c>
      <c r="S1818" s="37" t="str">
        <f t="shared" si="195"/>
        <v/>
      </c>
      <c r="T1818" s="38" t="str">
        <f t="shared" si="196"/>
        <v/>
      </c>
      <c r="U1818" s="37" t="str">
        <f t="shared" si="197"/>
        <v/>
      </c>
    </row>
    <row r="1819" spans="2:21" ht="17.25">
      <c r="B1819" s="156"/>
      <c r="C1819" s="156"/>
      <c r="D1819" s="157"/>
      <c r="E1819" s="155"/>
      <c r="F1819" s="151"/>
      <c r="G1819" s="152"/>
      <c r="H1819" s="153"/>
      <c r="I1819" s="154"/>
      <c r="J1819" s="154"/>
      <c r="K1819" s="30" t="str">
        <f>IF(H1819="","",IF($C$30="간이법","",FPR(H1819,I1819,J1819)))</f>
        <v/>
      </c>
      <c r="L1819" s="30" t="str">
        <f>IF(H1819="","",IF($C$30="상세법",FPV(H1819,K1819),IF(H1819="EI",4,IF(H1819="EO",5.2,IF(H1819="EQ",3.9,IF(H1819="ILF",7.5,IF(H1819="EIF",5.4)))))))</f>
        <v/>
      </c>
      <c r="M1819" s="30" t="str">
        <f t="shared" si="191"/>
        <v/>
      </c>
      <c r="N1819" s="134"/>
      <c r="O1819" s="29"/>
      <c r="P1819" s="37" t="str">
        <f t="shared" si="192"/>
        <v/>
      </c>
      <c r="Q1819" s="38" t="str">
        <f t="shared" si="193"/>
        <v/>
      </c>
      <c r="R1819" s="37" t="str">
        <f t="shared" si="194"/>
        <v/>
      </c>
      <c r="S1819" s="37" t="str">
        <f t="shared" si="195"/>
        <v/>
      </c>
      <c r="T1819" s="38" t="str">
        <f t="shared" si="196"/>
        <v/>
      </c>
      <c r="U1819" s="37" t="str">
        <f t="shared" si="197"/>
        <v/>
      </c>
    </row>
    <row r="1820" spans="2:21" ht="17.25">
      <c r="B1820" s="156"/>
      <c r="C1820" s="156"/>
      <c r="D1820" s="157"/>
      <c r="E1820" s="155"/>
      <c r="F1820" s="151"/>
      <c r="G1820" s="152"/>
      <c r="H1820" s="153"/>
      <c r="I1820" s="154"/>
      <c r="J1820" s="154"/>
      <c r="K1820" s="30" t="str">
        <f>IF(H1820="","",IF($C$30="간이법","",FPR(H1820,I1820,J1820)))</f>
        <v/>
      </c>
      <c r="L1820" s="30" t="str">
        <f>IF(H1820="","",IF($C$30="상세법",FPV(H1820,K1820),IF(H1820="EI",4,IF(H1820="EO",5.2,IF(H1820="EQ",3.9,IF(H1820="ILF",7.5,IF(H1820="EIF",5.4)))))))</f>
        <v/>
      </c>
      <c r="M1820" s="30" t="str">
        <f t="shared" si="191"/>
        <v/>
      </c>
      <c r="N1820" s="134"/>
      <c r="O1820" s="29"/>
      <c r="P1820" s="37" t="str">
        <f t="shared" si="192"/>
        <v/>
      </c>
      <c r="Q1820" s="38" t="str">
        <f t="shared" si="193"/>
        <v/>
      </c>
      <c r="R1820" s="37" t="str">
        <f t="shared" si="194"/>
        <v/>
      </c>
      <c r="S1820" s="37" t="str">
        <f t="shared" si="195"/>
        <v/>
      </c>
      <c r="T1820" s="38" t="str">
        <f t="shared" si="196"/>
        <v/>
      </c>
      <c r="U1820" s="37" t="str">
        <f t="shared" si="197"/>
        <v/>
      </c>
    </row>
    <row r="1821" spans="2:21" ht="17.25">
      <c r="B1821" s="156"/>
      <c r="C1821" s="156"/>
      <c r="D1821" s="157"/>
      <c r="E1821" s="155"/>
      <c r="F1821" s="151"/>
      <c r="G1821" s="152"/>
      <c r="H1821" s="153"/>
      <c r="I1821" s="154"/>
      <c r="J1821" s="154"/>
      <c r="K1821" s="30" t="str">
        <f>IF(H1821="","",IF($C$30="간이법","",FPR(H1821,I1821,J1821)))</f>
        <v/>
      </c>
      <c r="L1821" s="30" t="str">
        <f>IF(H1821="","",IF($C$30="상세법",FPV(H1821,K1821),IF(H1821="EI",4,IF(H1821="EO",5.2,IF(H1821="EQ",3.9,IF(H1821="ILF",7.5,IF(H1821="EIF",5.4)))))))</f>
        <v/>
      </c>
      <c r="M1821" s="30" t="str">
        <f t="shared" si="191"/>
        <v/>
      </c>
      <c r="N1821" s="134"/>
      <c r="O1821" s="29"/>
      <c r="P1821" s="37" t="str">
        <f t="shared" si="192"/>
        <v/>
      </c>
      <c r="Q1821" s="38" t="str">
        <f t="shared" si="193"/>
        <v/>
      </c>
      <c r="R1821" s="37" t="str">
        <f t="shared" si="194"/>
        <v/>
      </c>
      <c r="S1821" s="37" t="str">
        <f t="shared" si="195"/>
        <v/>
      </c>
      <c r="T1821" s="38" t="str">
        <f t="shared" si="196"/>
        <v/>
      </c>
      <c r="U1821" s="37" t="str">
        <f t="shared" si="197"/>
        <v/>
      </c>
    </row>
    <row r="1822" spans="2:21" ht="17.25">
      <c r="B1822" s="156"/>
      <c r="C1822" s="156"/>
      <c r="D1822" s="157"/>
      <c r="E1822" s="155"/>
      <c r="F1822" s="151"/>
      <c r="G1822" s="152"/>
      <c r="H1822" s="153"/>
      <c r="I1822" s="154"/>
      <c r="J1822" s="154"/>
      <c r="K1822" s="30" t="str">
        <f>IF(H1822="","",IF($C$30="간이법","",FPR(H1822,I1822,J1822)))</f>
        <v/>
      </c>
      <c r="L1822" s="30" t="str">
        <f>IF(H1822="","",IF($C$30="상세법",FPV(H1822,K1822),IF(H1822="EI",4,IF(H1822="EO",5.2,IF(H1822="EQ",3.9,IF(H1822="ILF",7.5,IF(H1822="EIF",5.4)))))))</f>
        <v/>
      </c>
      <c r="M1822" s="30" t="str">
        <f t="shared" si="191"/>
        <v/>
      </c>
      <c r="N1822" s="134"/>
      <c r="O1822" s="29"/>
      <c r="P1822" s="37" t="str">
        <f t="shared" si="192"/>
        <v/>
      </c>
      <c r="Q1822" s="38" t="str">
        <f t="shared" si="193"/>
        <v/>
      </c>
      <c r="R1822" s="37" t="str">
        <f t="shared" si="194"/>
        <v/>
      </c>
      <c r="S1822" s="37" t="str">
        <f t="shared" si="195"/>
        <v/>
      </c>
      <c r="T1822" s="38" t="str">
        <f t="shared" si="196"/>
        <v/>
      </c>
      <c r="U1822" s="37" t="str">
        <f t="shared" si="197"/>
        <v/>
      </c>
    </row>
    <row r="1823" spans="2:21" ht="17.25">
      <c r="B1823" s="156"/>
      <c r="C1823" s="156"/>
      <c r="D1823" s="157"/>
      <c r="E1823" s="155"/>
      <c r="F1823" s="151"/>
      <c r="G1823" s="152"/>
      <c r="H1823" s="153"/>
      <c r="I1823" s="154"/>
      <c r="J1823" s="154"/>
      <c r="K1823" s="30" t="str">
        <f>IF(H1823="","",IF($C$30="간이법","",FPR(H1823,I1823,J1823)))</f>
        <v/>
      </c>
      <c r="L1823" s="30" t="str">
        <f>IF(H1823="","",IF($C$30="상세법",FPV(H1823,K1823),IF(H1823="EI",4,IF(H1823="EO",5.2,IF(H1823="EQ",3.9,IF(H1823="ILF",7.5,IF(H1823="EIF",5.4)))))))</f>
        <v/>
      </c>
      <c r="M1823" s="30" t="str">
        <f t="shared" si="191"/>
        <v/>
      </c>
      <c r="N1823" s="134"/>
      <c r="O1823" s="29"/>
      <c r="P1823" s="37" t="str">
        <f t="shared" si="192"/>
        <v/>
      </c>
      <c r="Q1823" s="38" t="str">
        <f t="shared" si="193"/>
        <v/>
      </c>
      <c r="R1823" s="37" t="str">
        <f t="shared" si="194"/>
        <v/>
      </c>
      <c r="S1823" s="37" t="str">
        <f t="shared" si="195"/>
        <v/>
      </c>
      <c r="T1823" s="38" t="str">
        <f t="shared" si="196"/>
        <v/>
      </c>
      <c r="U1823" s="37" t="str">
        <f t="shared" si="197"/>
        <v/>
      </c>
    </row>
    <row r="1824" spans="2:21" ht="17.25">
      <c r="B1824" s="156"/>
      <c r="C1824" s="156"/>
      <c r="D1824" s="157"/>
      <c r="E1824" s="155"/>
      <c r="F1824" s="151"/>
      <c r="G1824" s="152"/>
      <c r="H1824" s="153"/>
      <c r="I1824" s="154"/>
      <c r="J1824" s="154"/>
      <c r="K1824" s="30" t="str">
        <f>IF(H1824="","",IF($C$30="간이법","",FPR(H1824,I1824,J1824)))</f>
        <v/>
      </c>
      <c r="L1824" s="30" t="str">
        <f>IF(H1824="","",IF($C$30="상세법",FPV(H1824,K1824),IF(H1824="EI",4,IF(H1824="EO",5.2,IF(H1824="EQ",3.9,IF(H1824="ILF",7.5,IF(H1824="EIF",5.4)))))))</f>
        <v/>
      </c>
      <c r="M1824" s="30" t="str">
        <f t="shared" si="191"/>
        <v/>
      </c>
      <c r="N1824" s="134"/>
      <c r="O1824" s="29"/>
      <c r="P1824" s="37" t="str">
        <f t="shared" si="192"/>
        <v/>
      </c>
      <c r="Q1824" s="38" t="str">
        <f t="shared" si="193"/>
        <v/>
      </c>
      <c r="R1824" s="37" t="str">
        <f t="shared" si="194"/>
        <v/>
      </c>
      <c r="S1824" s="37" t="str">
        <f t="shared" si="195"/>
        <v/>
      </c>
      <c r="T1824" s="38" t="str">
        <f t="shared" si="196"/>
        <v/>
      </c>
      <c r="U1824" s="37" t="str">
        <f t="shared" si="197"/>
        <v/>
      </c>
    </row>
    <row r="1825" spans="2:21" ht="17.25">
      <c r="B1825" s="156"/>
      <c r="C1825" s="156"/>
      <c r="D1825" s="157"/>
      <c r="E1825" s="155"/>
      <c r="F1825" s="151"/>
      <c r="G1825" s="152"/>
      <c r="H1825" s="153"/>
      <c r="I1825" s="154"/>
      <c r="J1825" s="154"/>
      <c r="K1825" s="30" t="str">
        <f>IF(H1825="","",IF($C$30="간이법","",FPR(H1825,I1825,J1825)))</f>
        <v/>
      </c>
      <c r="L1825" s="30" t="str">
        <f>IF(H1825="","",IF($C$30="상세법",FPV(H1825,K1825),IF(H1825="EI",4,IF(H1825="EO",5.2,IF(H1825="EQ",3.9,IF(H1825="ILF",7.5,IF(H1825="EIF",5.4)))))))</f>
        <v/>
      </c>
      <c r="M1825" s="30" t="str">
        <f t="shared" si="191"/>
        <v/>
      </c>
      <c r="N1825" s="134"/>
      <c r="O1825" s="29"/>
      <c r="P1825" s="37" t="str">
        <f t="shared" si="192"/>
        <v/>
      </c>
      <c r="Q1825" s="38" t="str">
        <f t="shared" si="193"/>
        <v/>
      </c>
      <c r="R1825" s="37" t="str">
        <f t="shared" si="194"/>
        <v/>
      </c>
      <c r="S1825" s="37" t="str">
        <f t="shared" si="195"/>
        <v/>
      </c>
      <c r="T1825" s="38" t="str">
        <f t="shared" si="196"/>
        <v/>
      </c>
      <c r="U1825" s="37" t="str">
        <f t="shared" si="197"/>
        <v/>
      </c>
    </row>
    <row r="1826" spans="2:21" ht="17.25">
      <c r="B1826" s="156"/>
      <c r="C1826" s="156"/>
      <c r="D1826" s="157"/>
      <c r="E1826" s="155"/>
      <c r="F1826" s="151"/>
      <c r="G1826" s="152"/>
      <c r="H1826" s="153"/>
      <c r="I1826" s="154"/>
      <c r="J1826" s="154"/>
      <c r="K1826" s="30" t="str">
        <f>IF(H1826="","",IF($C$30="간이법","",FPR(H1826,I1826,J1826)))</f>
        <v/>
      </c>
      <c r="L1826" s="30" t="str">
        <f>IF(H1826="","",IF($C$30="상세법",FPV(H1826,K1826),IF(H1826="EI",4,IF(H1826="EO",5.2,IF(H1826="EQ",3.9,IF(H1826="ILF",7.5,IF(H1826="EIF",5.4)))))))</f>
        <v/>
      </c>
      <c r="M1826" s="30" t="str">
        <f t="shared" si="191"/>
        <v/>
      </c>
      <c r="N1826" s="134"/>
      <c r="O1826" s="29"/>
      <c r="P1826" s="37" t="str">
        <f t="shared" si="192"/>
        <v/>
      </c>
      <c r="Q1826" s="38" t="str">
        <f t="shared" si="193"/>
        <v/>
      </c>
      <c r="R1826" s="37" t="str">
        <f t="shared" si="194"/>
        <v/>
      </c>
      <c r="S1826" s="37" t="str">
        <f t="shared" si="195"/>
        <v/>
      </c>
      <c r="T1826" s="38" t="str">
        <f t="shared" si="196"/>
        <v/>
      </c>
      <c r="U1826" s="37" t="str">
        <f t="shared" si="197"/>
        <v/>
      </c>
    </row>
    <row r="1827" spans="2:21" ht="17.25">
      <c r="B1827" s="156"/>
      <c r="C1827" s="156"/>
      <c r="D1827" s="157"/>
      <c r="E1827" s="155"/>
      <c r="F1827" s="151"/>
      <c r="G1827" s="152"/>
      <c r="H1827" s="153"/>
      <c r="I1827" s="154"/>
      <c r="J1827" s="154"/>
      <c r="K1827" s="30" t="str">
        <f>IF(H1827="","",IF($C$30="간이법","",FPR(H1827,I1827,J1827)))</f>
        <v/>
      </c>
      <c r="L1827" s="30" t="str">
        <f>IF(H1827="","",IF($C$30="상세법",FPV(H1827,K1827),IF(H1827="EI",4,IF(H1827="EO",5.2,IF(H1827="EQ",3.9,IF(H1827="ILF",7.5,IF(H1827="EIF",5.4)))))))</f>
        <v/>
      </c>
      <c r="M1827" s="30" t="str">
        <f t="shared" si="191"/>
        <v/>
      </c>
      <c r="N1827" s="134"/>
      <c r="O1827" s="29"/>
      <c r="P1827" s="37" t="str">
        <f t="shared" si="192"/>
        <v/>
      </c>
      <c r="Q1827" s="38" t="str">
        <f t="shared" si="193"/>
        <v/>
      </c>
      <c r="R1827" s="37" t="str">
        <f t="shared" si="194"/>
        <v/>
      </c>
      <c r="S1827" s="37" t="str">
        <f t="shared" si="195"/>
        <v/>
      </c>
      <c r="T1827" s="38" t="str">
        <f t="shared" si="196"/>
        <v/>
      </c>
      <c r="U1827" s="37" t="str">
        <f t="shared" si="197"/>
        <v/>
      </c>
    </row>
    <row r="1828" spans="2:21" ht="17.25">
      <c r="B1828" s="156"/>
      <c r="C1828" s="156"/>
      <c r="D1828" s="157"/>
      <c r="E1828" s="155"/>
      <c r="F1828" s="151"/>
      <c r="G1828" s="152"/>
      <c r="H1828" s="153"/>
      <c r="I1828" s="154"/>
      <c r="J1828" s="154"/>
      <c r="K1828" s="30" t="str">
        <f>IF(H1828="","",IF($C$30="간이법","",FPR(H1828,I1828,J1828)))</f>
        <v/>
      </c>
      <c r="L1828" s="30" t="str">
        <f>IF(H1828="","",IF($C$30="상세법",FPV(H1828,K1828),IF(H1828="EI",4,IF(H1828="EO",5.2,IF(H1828="EQ",3.9,IF(H1828="ILF",7.5,IF(H1828="EIF",5.4)))))))</f>
        <v/>
      </c>
      <c r="M1828" s="30" t="str">
        <f t="shared" si="191"/>
        <v/>
      </c>
      <c r="N1828" s="134"/>
      <c r="O1828" s="29"/>
      <c r="P1828" s="37" t="str">
        <f t="shared" si="192"/>
        <v/>
      </c>
      <c r="Q1828" s="38" t="str">
        <f t="shared" si="193"/>
        <v/>
      </c>
      <c r="R1828" s="37" t="str">
        <f t="shared" si="194"/>
        <v/>
      </c>
      <c r="S1828" s="37" t="str">
        <f t="shared" si="195"/>
        <v/>
      </c>
      <c r="T1828" s="38" t="str">
        <f t="shared" si="196"/>
        <v/>
      </c>
      <c r="U1828" s="37" t="str">
        <f t="shared" si="197"/>
        <v/>
      </c>
    </row>
    <row r="1829" spans="2:21" ht="17.25">
      <c r="B1829" s="156"/>
      <c r="C1829" s="156"/>
      <c r="D1829" s="157"/>
      <c r="E1829" s="155"/>
      <c r="F1829" s="151"/>
      <c r="G1829" s="152"/>
      <c r="H1829" s="153"/>
      <c r="I1829" s="154"/>
      <c r="J1829" s="154"/>
      <c r="K1829" s="30" t="str">
        <f>IF(H1829="","",IF($C$30="간이법","",FPR(H1829,I1829,J1829)))</f>
        <v/>
      </c>
      <c r="L1829" s="30" t="str">
        <f>IF(H1829="","",IF($C$30="상세법",FPV(H1829,K1829),IF(H1829="EI",4,IF(H1829="EO",5.2,IF(H1829="EQ",3.9,IF(H1829="ILF",7.5,IF(H1829="EIF",5.4)))))))</f>
        <v/>
      </c>
      <c r="M1829" s="30" t="str">
        <f t="shared" si="191"/>
        <v/>
      </c>
      <c r="N1829" s="134"/>
      <c r="O1829" s="29"/>
      <c r="P1829" s="37" t="str">
        <f t="shared" si="192"/>
        <v/>
      </c>
      <c r="Q1829" s="38" t="str">
        <f t="shared" si="193"/>
        <v/>
      </c>
      <c r="R1829" s="37" t="str">
        <f t="shared" si="194"/>
        <v/>
      </c>
      <c r="S1829" s="37" t="str">
        <f t="shared" si="195"/>
        <v/>
      </c>
      <c r="T1829" s="38" t="str">
        <f t="shared" si="196"/>
        <v/>
      </c>
      <c r="U1829" s="37" t="str">
        <f t="shared" si="197"/>
        <v/>
      </c>
    </row>
    <row r="1830" spans="2:21" ht="17.25">
      <c r="B1830" s="156"/>
      <c r="C1830" s="156"/>
      <c r="D1830" s="157"/>
      <c r="E1830" s="155"/>
      <c r="F1830" s="151"/>
      <c r="G1830" s="152"/>
      <c r="H1830" s="153"/>
      <c r="I1830" s="154"/>
      <c r="J1830" s="154"/>
      <c r="K1830" s="30" t="str">
        <f>IF(H1830="","",IF($C$30="간이법","",FPR(H1830,I1830,J1830)))</f>
        <v/>
      </c>
      <c r="L1830" s="30" t="str">
        <f>IF(H1830="","",IF($C$30="상세법",FPV(H1830,K1830),IF(H1830="EI",4,IF(H1830="EO",5.2,IF(H1830="EQ",3.9,IF(H1830="ILF",7.5,IF(H1830="EIF",5.4)))))))</f>
        <v/>
      </c>
      <c r="M1830" s="30" t="str">
        <f t="shared" si="191"/>
        <v/>
      </c>
      <c r="N1830" s="134"/>
      <c r="O1830" s="29"/>
      <c r="P1830" s="37" t="str">
        <f t="shared" si="192"/>
        <v/>
      </c>
      <c r="Q1830" s="38" t="str">
        <f t="shared" si="193"/>
        <v/>
      </c>
      <c r="R1830" s="37" t="str">
        <f t="shared" si="194"/>
        <v/>
      </c>
      <c r="S1830" s="37" t="str">
        <f t="shared" si="195"/>
        <v/>
      </c>
      <c r="T1830" s="38" t="str">
        <f t="shared" si="196"/>
        <v/>
      </c>
      <c r="U1830" s="37" t="str">
        <f t="shared" si="197"/>
        <v/>
      </c>
    </row>
    <row r="1831" spans="2:21" ht="17.25">
      <c r="B1831" s="156"/>
      <c r="C1831" s="156"/>
      <c r="D1831" s="157"/>
      <c r="E1831" s="155"/>
      <c r="F1831" s="151"/>
      <c r="G1831" s="152"/>
      <c r="H1831" s="153"/>
      <c r="I1831" s="154"/>
      <c r="J1831" s="154"/>
      <c r="K1831" s="30" t="str">
        <f>IF(H1831="","",IF($C$30="간이법","",FPR(H1831,I1831,J1831)))</f>
        <v/>
      </c>
      <c r="L1831" s="30" t="str">
        <f>IF(H1831="","",IF($C$30="상세법",FPV(H1831,K1831),IF(H1831="EI",4,IF(H1831="EO",5.2,IF(H1831="EQ",3.9,IF(H1831="ILF",7.5,IF(H1831="EIF",5.4)))))))</f>
        <v/>
      </c>
      <c r="M1831" s="30" t="str">
        <f t="shared" si="191"/>
        <v/>
      </c>
      <c r="N1831" s="134"/>
      <c r="O1831" s="29"/>
      <c r="P1831" s="37" t="str">
        <f t="shared" si="192"/>
        <v/>
      </c>
      <c r="Q1831" s="38" t="str">
        <f t="shared" si="193"/>
        <v/>
      </c>
      <c r="R1831" s="37" t="str">
        <f t="shared" si="194"/>
        <v/>
      </c>
      <c r="S1831" s="37" t="str">
        <f t="shared" si="195"/>
        <v/>
      </c>
      <c r="T1831" s="38" t="str">
        <f t="shared" si="196"/>
        <v/>
      </c>
      <c r="U1831" s="37" t="str">
        <f t="shared" si="197"/>
        <v/>
      </c>
    </row>
    <row r="1832" spans="2:21" ht="17.25">
      <c r="B1832" s="156"/>
      <c r="C1832" s="156"/>
      <c r="D1832" s="157"/>
      <c r="E1832" s="155"/>
      <c r="F1832" s="151"/>
      <c r="G1832" s="152"/>
      <c r="H1832" s="153"/>
      <c r="I1832" s="154"/>
      <c r="J1832" s="154"/>
      <c r="K1832" s="30" t="str">
        <f>IF(H1832="","",IF($C$30="간이법","",FPR(H1832,I1832,J1832)))</f>
        <v/>
      </c>
      <c r="L1832" s="30" t="str">
        <f>IF(H1832="","",IF($C$30="상세법",FPV(H1832,K1832),IF(H1832="EI",4,IF(H1832="EO",5.2,IF(H1832="EQ",3.9,IF(H1832="ILF",7.5,IF(H1832="EIF",5.4)))))))</f>
        <v/>
      </c>
      <c r="M1832" s="30" t="str">
        <f t="shared" si="191"/>
        <v/>
      </c>
      <c r="N1832" s="134"/>
      <c r="O1832" s="29"/>
      <c r="P1832" s="37" t="str">
        <f t="shared" si="192"/>
        <v/>
      </c>
      <c r="Q1832" s="38" t="str">
        <f t="shared" si="193"/>
        <v/>
      </c>
      <c r="R1832" s="37" t="str">
        <f t="shared" si="194"/>
        <v/>
      </c>
      <c r="S1832" s="37" t="str">
        <f t="shared" si="195"/>
        <v/>
      </c>
      <c r="T1832" s="38" t="str">
        <f t="shared" si="196"/>
        <v/>
      </c>
      <c r="U1832" s="37" t="str">
        <f t="shared" si="197"/>
        <v/>
      </c>
    </row>
    <row r="1833" spans="2:21" ht="17.25">
      <c r="B1833" s="156"/>
      <c r="C1833" s="156"/>
      <c r="D1833" s="157"/>
      <c r="E1833" s="155"/>
      <c r="F1833" s="151"/>
      <c r="G1833" s="152"/>
      <c r="H1833" s="153"/>
      <c r="I1833" s="154"/>
      <c r="J1833" s="154"/>
      <c r="K1833" s="30" t="str">
        <f>IF(H1833="","",IF($C$30="간이법","",FPR(H1833,I1833,J1833)))</f>
        <v/>
      </c>
      <c r="L1833" s="30" t="str">
        <f>IF(H1833="","",IF($C$30="상세법",FPV(H1833,K1833),IF(H1833="EI",4,IF(H1833="EO",5.2,IF(H1833="EQ",3.9,IF(H1833="ILF",7.5,IF(H1833="EIF",5.4)))))))</f>
        <v/>
      </c>
      <c r="M1833" s="30" t="str">
        <f t="shared" si="191"/>
        <v/>
      </c>
      <c r="N1833" s="134"/>
      <c r="O1833" s="29"/>
      <c r="P1833" s="37" t="str">
        <f t="shared" si="192"/>
        <v/>
      </c>
      <c r="Q1833" s="38" t="str">
        <f t="shared" si="193"/>
        <v/>
      </c>
      <c r="R1833" s="37" t="str">
        <f t="shared" si="194"/>
        <v/>
      </c>
      <c r="S1833" s="37" t="str">
        <f t="shared" si="195"/>
        <v/>
      </c>
      <c r="T1833" s="38" t="str">
        <f t="shared" si="196"/>
        <v/>
      </c>
      <c r="U1833" s="37" t="str">
        <f t="shared" si="197"/>
        <v/>
      </c>
    </row>
    <row r="1834" spans="2:21" ht="17.25">
      <c r="B1834" s="156"/>
      <c r="C1834" s="156"/>
      <c r="D1834" s="157"/>
      <c r="E1834" s="155"/>
      <c r="F1834" s="151"/>
      <c r="G1834" s="152"/>
      <c r="H1834" s="153"/>
      <c r="I1834" s="154"/>
      <c r="J1834" s="154"/>
      <c r="K1834" s="30" t="str">
        <f>IF(H1834="","",IF($C$30="간이법","",FPR(H1834,I1834,J1834)))</f>
        <v/>
      </c>
      <c r="L1834" s="30" t="str">
        <f>IF(H1834="","",IF($C$30="상세법",FPV(H1834,K1834),IF(H1834="EI",4,IF(H1834="EO",5.2,IF(H1834="EQ",3.9,IF(H1834="ILF",7.5,IF(H1834="EIF",5.4)))))))</f>
        <v/>
      </c>
      <c r="M1834" s="30" t="str">
        <f t="shared" si="191"/>
        <v/>
      </c>
      <c r="N1834" s="134"/>
      <c r="O1834" s="29"/>
      <c r="P1834" s="37" t="str">
        <f t="shared" si="192"/>
        <v/>
      </c>
      <c r="Q1834" s="38" t="str">
        <f t="shared" si="193"/>
        <v/>
      </c>
      <c r="R1834" s="37" t="str">
        <f t="shared" si="194"/>
        <v/>
      </c>
      <c r="S1834" s="37" t="str">
        <f t="shared" si="195"/>
        <v/>
      </c>
      <c r="T1834" s="38" t="str">
        <f t="shared" si="196"/>
        <v/>
      </c>
      <c r="U1834" s="37" t="str">
        <f t="shared" si="197"/>
        <v/>
      </c>
    </row>
    <row r="1835" spans="2:21" ht="17.25">
      <c r="B1835" s="156"/>
      <c r="C1835" s="156"/>
      <c r="D1835" s="157"/>
      <c r="E1835" s="155"/>
      <c r="F1835" s="151"/>
      <c r="G1835" s="152"/>
      <c r="H1835" s="153"/>
      <c r="I1835" s="154"/>
      <c r="J1835" s="154"/>
      <c r="K1835" s="30" t="str">
        <f>IF(H1835="","",IF($C$30="간이법","",FPR(H1835,I1835,J1835)))</f>
        <v/>
      </c>
      <c r="L1835" s="30" t="str">
        <f>IF(H1835="","",IF($C$30="상세법",FPV(H1835,K1835),IF(H1835="EI",4,IF(H1835="EO",5.2,IF(H1835="EQ",3.9,IF(H1835="ILF",7.5,IF(H1835="EIF",5.4)))))))</f>
        <v/>
      </c>
      <c r="M1835" s="30" t="str">
        <f t="shared" si="191"/>
        <v/>
      </c>
      <c r="N1835" s="134"/>
      <c r="O1835" s="29"/>
      <c r="P1835" s="37" t="str">
        <f t="shared" si="192"/>
        <v/>
      </c>
      <c r="Q1835" s="38" t="str">
        <f t="shared" si="193"/>
        <v/>
      </c>
      <c r="R1835" s="37" t="str">
        <f t="shared" si="194"/>
        <v/>
      </c>
      <c r="S1835" s="37" t="str">
        <f t="shared" si="195"/>
        <v/>
      </c>
      <c r="T1835" s="38" t="str">
        <f t="shared" si="196"/>
        <v/>
      </c>
      <c r="U1835" s="37" t="str">
        <f t="shared" si="197"/>
        <v/>
      </c>
    </row>
    <row r="1836" spans="2:21" ht="17.25">
      <c r="B1836" s="156"/>
      <c r="C1836" s="156"/>
      <c r="D1836" s="157"/>
      <c r="E1836" s="155"/>
      <c r="F1836" s="151"/>
      <c r="G1836" s="152"/>
      <c r="H1836" s="153"/>
      <c r="I1836" s="154"/>
      <c r="J1836" s="154"/>
      <c r="K1836" s="30" t="str">
        <f>IF(H1836="","",IF($C$30="간이법","",FPR(H1836,I1836,J1836)))</f>
        <v/>
      </c>
      <c r="L1836" s="30" t="str">
        <f>IF(H1836="","",IF($C$30="상세법",FPV(H1836,K1836),IF(H1836="EI",4,IF(H1836="EO",5.2,IF(H1836="EQ",3.9,IF(H1836="ILF",7.5,IF(H1836="EIF",5.4)))))))</f>
        <v/>
      </c>
      <c r="M1836" s="30" t="str">
        <f t="shared" si="191"/>
        <v/>
      </c>
      <c r="N1836" s="134"/>
      <c r="O1836" s="29"/>
      <c r="P1836" s="37" t="str">
        <f t="shared" si="192"/>
        <v/>
      </c>
      <c r="Q1836" s="38" t="str">
        <f t="shared" si="193"/>
        <v/>
      </c>
      <c r="R1836" s="37" t="str">
        <f t="shared" si="194"/>
        <v/>
      </c>
      <c r="S1836" s="37" t="str">
        <f t="shared" si="195"/>
        <v/>
      </c>
      <c r="T1836" s="38" t="str">
        <f t="shared" si="196"/>
        <v/>
      </c>
      <c r="U1836" s="37" t="str">
        <f t="shared" si="197"/>
        <v/>
      </c>
    </row>
    <row r="1837" spans="2:21" ht="17.25">
      <c r="B1837" s="156"/>
      <c r="C1837" s="156"/>
      <c r="D1837" s="157"/>
      <c r="E1837" s="155"/>
      <c r="F1837" s="151"/>
      <c r="G1837" s="152"/>
      <c r="H1837" s="153"/>
      <c r="I1837" s="154"/>
      <c r="J1837" s="154"/>
      <c r="K1837" s="30" t="str">
        <f>IF(H1837="","",IF($C$30="간이법","",FPR(H1837,I1837,J1837)))</f>
        <v/>
      </c>
      <c r="L1837" s="30" t="str">
        <f>IF(H1837="","",IF($C$30="상세법",FPV(H1837,K1837),IF(H1837="EI",4,IF(H1837="EO",5.2,IF(H1837="EQ",3.9,IF(H1837="ILF",7.5,IF(H1837="EIF",5.4)))))))</f>
        <v/>
      </c>
      <c r="M1837" s="30" t="str">
        <f t="shared" si="191"/>
        <v/>
      </c>
      <c r="N1837" s="134"/>
      <c r="O1837" s="29"/>
      <c r="P1837" s="37" t="str">
        <f t="shared" si="192"/>
        <v/>
      </c>
      <c r="Q1837" s="38" t="str">
        <f t="shared" si="193"/>
        <v/>
      </c>
      <c r="R1837" s="37" t="str">
        <f t="shared" si="194"/>
        <v/>
      </c>
      <c r="S1837" s="37" t="str">
        <f t="shared" si="195"/>
        <v/>
      </c>
      <c r="T1837" s="38" t="str">
        <f t="shared" si="196"/>
        <v/>
      </c>
      <c r="U1837" s="37" t="str">
        <f t="shared" si="197"/>
        <v/>
      </c>
    </row>
    <row r="1838" spans="2:21" ht="17.25">
      <c r="B1838" s="156"/>
      <c r="C1838" s="156"/>
      <c r="D1838" s="157"/>
      <c r="E1838" s="155"/>
      <c r="F1838" s="151"/>
      <c r="G1838" s="152"/>
      <c r="H1838" s="153"/>
      <c r="I1838" s="154"/>
      <c r="J1838" s="154"/>
      <c r="K1838" s="30" t="str">
        <f>IF(H1838="","",IF($C$30="간이법","",FPR(H1838,I1838,J1838)))</f>
        <v/>
      </c>
      <c r="L1838" s="30" t="str">
        <f>IF(H1838="","",IF($C$30="상세법",FPV(H1838,K1838),IF(H1838="EI",4,IF(H1838="EO",5.2,IF(H1838="EQ",3.9,IF(H1838="ILF",7.5,IF(H1838="EIF",5.4)))))))</f>
        <v/>
      </c>
      <c r="M1838" s="30" t="str">
        <f t="shared" si="191"/>
        <v/>
      </c>
      <c r="N1838" s="134"/>
      <c r="O1838" s="29"/>
      <c r="P1838" s="37" t="str">
        <f t="shared" si="192"/>
        <v/>
      </c>
      <c r="Q1838" s="38" t="str">
        <f t="shared" si="193"/>
        <v/>
      </c>
      <c r="R1838" s="37" t="str">
        <f t="shared" si="194"/>
        <v/>
      </c>
      <c r="S1838" s="37" t="str">
        <f t="shared" si="195"/>
        <v/>
      </c>
      <c r="T1838" s="38" t="str">
        <f t="shared" si="196"/>
        <v/>
      </c>
      <c r="U1838" s="37" t="str">
        <f t="shared" si="197"/>
        <v/>
      </c>
    </row>
    <row r="1839" spans="2:21" ht="17.25">
      <c r="B1839" s="156"/>
      <c r="C1839" s="156"/>
      <c r="D1839" s="157"/>
      <c r="E1839" s="155"/>
      <c r="F1839" s="151"/>
      <c r="G1839" s="152"/>
      <c r="H1839" s="153"/>
      <c r="I1839" s="154"/>
      <c r="J1839" s="154"/>
      <c r="K1839" s="30" t="str">
        <f>IF(H1839="","",IF($C$30="간이법","",FPR(H1839,I1839,J1839)))</f>
        <v/>
      </c>
      <c r="L1839" s="30" t="str">
        <f>IF(H1839="","",IF($C$30="상세법",FPV(H1839,K1839),IF(H1839="EI",4,IF(H1839="EO",5.2,IF(H1839="EQ",3.9,IF(H1839="ILF",7.5,IF(H1839="EIF",5.4)))))))</f>
        <v/>
      </c>
      <c r="M1839" s="30" t="str">
        <f t="shared" si="191"/>
        <v/>
      </c>
      <c r="N1839" s="134"/>
      <c r="O1839" s="29"/>
      <c r="P1839" s="37" t="str">
        <f t="shared" si="192"/>
        <v/>
      </c>
      <c r="Q1839" s="38" t="str">
        <f t="shared" si="193"/>
        <v/>
      </c>
      <c r="R1839" s="37" t="str">
        <f t="shared" si="194"/>
        <v/>
      </c>
      <c r="S1839" s="37" t="str">
        <f t="shared" si="195"/>
        <v/>
      </c>
      <c r="T1839" s="38" t="str">
        <f t="shared" si="196"/>
        <v/>
      </c>
      <c r="U1839" s="37" t="str">
        <f t="shared" si="197"/>
        <v/>
      </c>
    </row>
    <row r="1840" spans="2:21" ht="17.25">
      <c r="B1840" s="156"/>
      <c r="C1840" s="156"/>
      <c r="D1840" s="157"/>
      <c r="E1840" s="155"/>
      <c r="F1840" s="151"/>
      <c r="G1840" s="152"/>
      <c r="H1840" s="153"/>
      <c r="I1840" s="154"/>
      <c r="J1840" s="154"/>
      <c r="K1840" s="30" t="str">
        <f>IF(H1840="","",IF($C$30="간이법","",FPR(H1840,I1840,J1840)))</f>
        <v/>
      </c>
      <c r="L1840" s="30" t="str">
        <f>IF(H1840="","",IF($C$30="상세법",FPV(H1840,K1840),IF(H1840="EI",4,IF(H1840="EO",5.2,IF(H1840="EQ",3.9,IF(H1840="ILF",7.5,IF(H1840="EIF",5.4)))))))</f>
        <v/>
      </c>
      <c r="M1840" s="30" t="str">
        <f t="shared" si="191"/>
        <v/>
      </c>
      <c r="N1840" s="134"/>
      <c r="O1840" s="29"/>
      <c r="P1840" s="37" t="str">
        <f t="shared" si="192"/>
        <v/>
      </c>
      <c r="Q1840" s="38" t="str">
        <f t="shared" si="193"/>
        <v/>
      </c>
      <c r="R1840" s="37" t="str">
        <f t="shared" si="194"/>
        <v/>
      </c>
      <c r="S1840" s="37" t="str">
        <f t="shared" si="195"/>
        <v/>
      </c>
      <c r="T1840" s="38" t="str">
        <f t="shared" si="196"/>
        <v/>
      </c>
      <c r="U1840" s="37" t="str">
        <f t="shared" si="197"/>
        <v/>
      </c>
    </row>
    <row r="1841" spans="2:21" ht="17.25">
      <c r="B1841" s="156"/>
      <c r="C1841" s="156"/>
      <c r="D1841" s="157"/>
      <c r="E1841" s="155"/>
      <c r="F1841" s="151"/>
      <c r="G1841" s="152"/>
      <c r="H1841" s="153"/>
      <c r="I1841" s="154"/>
      <c r="J1841" s="154"/>
      <c r="K1841" s="30" t="str">
        <f>IF(H1841="","",IF($C$30="간이법","",FPR(H1841,I1841,J1841)))</f>
        <v/>
      </c>
      <c r="L1841" s="30" t="str">
        <f>IF(H1841="","",IF($C$30="상세법",FPV(H1841,K1841),IF(H1841="EI",4,IF(H1841="EO",5.2,IF(H1841="EQ",3.9,IF(H1841="ILF",7.5,IF(H1841="EIF",5.4)))))))</f>
        <v/>
      </c>
      <c r="M1841" s="30" t="str">
        <f t="shared" si="191"/>
        <v/>
      </c>
      <c r="N1841" s="134"/>
      <c r="O1841" s="29"/>
      <c r="P1841" s="37" t="str">
        <f t="shared" si="192"/>
        <v/>
      </c>
      <c r="Q1841" s="38" t="str">
        <f t="shared" si="193"/>
        <v/>
      </c>
      <c r="R1841" s="37" t="str">
        <f t="shared" si="194"/>
        <v/>
      </c>
      <c r="S1841" s="37" t="str">
        <f t="shared" si="195"/>
        <v/>
      </c>
      <c r="T1841" s="38" t="str">
        <f t="shared" si="196"/>
        <v/>
      </c>
      <c r="U1841" s="37" t="str">
        <f t="shared" si="197"/>
        <v/>
      </c>
    </row>
    <row r="1842" spans="2:21" ht="17.25">
      <c r="B1842" s="156"/>
      <c r="C1842" s="156"/>
      <c r="D1842" s="157"/>
      <c r="E1842" s="155"/>
      <c r="F1842" s="151"/>
      <c r="G1842" s="152"/>
      <c r="H1842" s="153"/>
      <c r="I1842" s="154"/>
      <c r="J1842" s="154"/>
      <c r="K1842" s="30" t="str">
        <f>IF(H1842="","",IF($C$30="간이법","",FPR(H1842,I1842,J1842)))</f>
        <v/>
      </c>
      <c r="L1842" s="30" t="str">
        <f>IF(H1842="","",IF($C$30="상세법",FPV(H1842,K1842),IF(H1842="EI",4,IF(H1842="EO",5.2,IF(H1842="EQ",3.9,IF(H1842="ILF",7.5,IF(H1842="EIF",5.4)))))))</f>
        <v/>
      </c>
      <c r="M1842" s="30" t="str">
        <f t="shared" si="191"/>
        <v/>
      </c>
      <c r="N1842" s="134"/>
      <c r="O1842" s="29"/>
      <c r="P1842" s="37" t="str">
        <f t="shared" si="192"/>
        <v/>
      </c>
      <c r="Q1842" s="38" t="str">
        <f t="shared" si="193"/>
        <v/>
      </c>
      <c r="R1842" s="37" t="str">
        <f t="shared" si="194"/>
        <v/>
      </c>
      <c r="S1842" s="37" t="str">
        <f t="shared" si="195"/>
        <v/>
      </c>
      <c r="T1842" s="38" t="str">
        <f t="shared" si="196"/>
        <v/>
      </c>
      <c r="U1842" s="37" t="str">
        <f t="shared" si="197"/>
        <v/>
      </c>
    </row>
    <row r="1843" spans="2:21" ht="17.25">
      <c r="B1843" s="156"/>
      <c r="C1843" s="156"/>
      <c r="D1843" s="157"/>
      <c r="E1843" s="155"/>
      <c r="F1843" s="151"/>
      <c r="G1843" s="152"/>
      <c r="H1843" s="153"/>
      <c r="I1843" s="154"/>
      <c r="J1843" s="154"/>
      <c r="K1843" s="30" t="str">
        <f>IF(H1843="","",IF($C$30="간이법","",FPR(H1843,I1843,J1843)))</f>
        <v/>
      </c>
      <c r="L1843" s="30" t="str">
        <f>IF(H1843="","",IF($C$30="상세법",FPV(H1843,K1843),IF(H1843="EI",4,IF(H1843="EO",5.2,IF(H1843="EQ",3.9,IF(H1843="ILF",7.5,IF(H1843="EIF",5.4)))))))</f>
        <v/>
      </c>
      <c r="M1843" s="30" t="str">
        <f t="shared" si="191"/>
        <v/>
      </c>
      <c r="N1843" s="134"/>
      <c r="O1843" s="29"/>
      <c r="P1843" s="37" t="str">
        <f t="shared" si="192"/>
        <v/>
      </c>
      <c r="Q1843" s="38" t="str">
        <f t="shared" si="193"/>
        <v/>
      </c>
      <c r="R1843" s="37" t="str">
        <f t="shared" si="194"/>
        <v/>
      </c>
      <c r="S1843" s="37" t="str">
        <f t="shared" si="195"/>
        <v/>
      </c>
      <c r="T1843" s="38" t="str">
        <f t="shared" si="196"/>
        <v/>
      </c>
      <c r="U1843" s="37" t="str">
        <f t="shared" si="197"/>
        <v/>
      </c>
    </row>
    <row r="1844" spans="2:21" ht="17.25">
      <c r="B1844" s="156"/>
      <c r="C1844" s="156"/>
      <c r="D1844" s="157"/>
      <c r="E1844" s="155"/>
      <c r="F1844" s="151"/>
      <c r="G1844" s="152"/>
      <c r="H1844" s="153"/>
      <c r="I1844" s="154"/>
      <c r="J1844" s="154"/>
      <c r="K1844" s="30" t="str">
        <f>IF(H1844="","",IF($C$30="간이법","",FPR(H1844,I1844,J1844)))</f>
        <v/>
      </c>
      <c r="L1844" s="30" t="str">
        <f>IF(H1844="","",IF($C$30="상세법",FPV(H1844,K1844),IF(H1844="EI",4,IF(H1844="EO",5.2,IF(H1844="EQ",3.9,IF(H1844="ILF",7.5,IF(H1844="EIF",5.4)))))))</f>
        <v/>
      </c>
      <c r="M1844" s="30" t="str">
        <f t="shared" si="191"/>
        <v/>
      </c>
      <c r="N1844" s="134"/>
      <c r="O1844" s="29"/>
      <c r="P1844" s="37" t="str">
        <f t="shared" si="192"/>
        <v/>
      </c>
      <c r="Q1844" s="38" t="str">
        <f t="shared" si="193"/>
        <v/>
      </c>
      <c r="R1844" s="37" t="str">
        <f t="shared" si="194"/>
        <v/>
      </c>
      <c r="S1844" s="37" t="str">
        <f t="shared" si="195"/>
        <v/>
      </c>
      <c r="T1844" s="38" t="str">
        <f t="shared" si="196"/>
        <v/>
      </c>
      <c r="U1844" s="37" t="str">
        <f t="shared" si="197"/>
        <v/>
      </c>
    </row>
    <row r="1845" spans="2:21" ht="17.25">
      <c r="B1845" s="156"/>
      <c r="C1845" s="156"/>
      <c r="D1845" s="157"/>
      <c r="E1845" s="155"/>
      <c r="F1845" s="151"/>
      <c r="G1845" s="152"/>
      <c r="H1845" s="153"/>
      <c r="I1845" s="154"/>
      <c r="J1845" s="154"/>
      <c r="K1845" s="30" t="str">
        <f>IF(H1845="","",IF($C$30="간이법","",FPR(H1845,I1845,J1845)))</f>
        <v/>
      </c>
      <c r="L1845" s="30" t="str">
        <f>IF(H1845="","",IF($C$30="상세법",FPV(H1845,K1845),IF(H1845="EI",4,IF(H1845="EO",5.2,IF(H1845="EQ",3.9,IF(H1845="ILF",7.5,IF(H1845="EIF",5.4)))))))</f>
        <v/>
      </c>
      <c r="M1845" s="30" t="str">
        <f t="shared" si="191"/>
        <v/>
      </c>
      <c r="N1845" s="134"/>
      <c r="O1845" s="29"/>
      <c r="P1845" s="37" t="str">
        <f t="shared" si="192"/>
        <v/>
      </c>
      <c r="Q1845" s="38" t="str">
        <f t="shared" si="193"/>
        <v/>
      </c>
      <c r="R1845" s="37" t="str">
        <f t="shared" si="194"/>
        <v/>
      </c>
      <c r="S1845" s="37" t="str">
        <f t="shared" si="195"/>
        <v/>
      </c>
      <c r="T1845" s="38" t="str">
        <f t="shared" si="196"/>
        <v/>
      </c>
      <c r="U1845" s="37" t="str">
        <f t="shared" si="197"/>
        <v/>
      </c>
    </row>
    <row r="1846" spans="2:21" ht="17.25">
      <c r="B1846" s="156"/>
      <c r="C1846" s="156"/>
      <c r="D1846" s="157"/>
      <c r="E1846" s="155"/>
      <c r="F1846" s="151"/>
      <c r="G1846" s="152"/>
      <c r="H1846" s="153"/>
      <c r="I1846" s="154"/>
      <c r="J1846" s="154"/>
      <c r="K1846" s="30" t="str">
        <f>IF(H1846="","",IF($C$30="간이법","",FPR(H1846,I1846,J1846)))</f>
        <v/>
      </c>
      <c r="L1846" s="30" t="str">
        <f>IF(H1846="","",IF($C$30="상세법",FPV(H1846,K1846),IF(H1846="EI",4,IF(H1846="EO",5.2,IF(H1846="EQ",3.9,IF(H1846="ILF",7.5,IF(H1846="EIF",5.4)))))))</f>
        <v/>
      </c>
      <c r="M1846" s="30" t="str">
        <f t="shared" si="191"/>
        <v/>
      </c>
      <c r="N1846" s="134"/>
      <c r="O1846" s="29"/>
      <c r="P1846" s="37" t="str">
        <f t="shared" si="192"/>
        <v/>
      </c>
      <c r="Q1846" s="38" t="str">
        <f t="shared" si="193"/>
        <v/>
      </c>
      <c r="R1846" s="37" t="str">
        <f t="shared" si="194"/>
        <v/>
      </c>
      <c r="S1846" s="37" t="str">
        <f t="shared" si="195"/>
        <v/>
      </c>
      <c r="T1846" s="38" t="str">
        <f t="shared" si="196"/>
        <v/>
      </c>
      <c r="U1846" s="37" t="str">
        <f t="shared" si="197"/>
        <v/>
      </c>
    </row>
    <row r="1847" spans="2:21" ht="17.25">
      <c r="B1847" s="156"/>
      <c r="C1847" s="156"/>
      <c r="D1847" s="157"/>
      <c r="E1847" s="155"/>
      <c r="F1847" s="151"/>
      <c r="G1847" s="152"/>
      <c r="H1847" s="153"/>
      <c r="I1847" s="154"/>
      <c r="J1847" s="154"/>
      <c r="K1847" s="30" t="str">
        <f>IF(H1847="","",IF($C$30="간이법","",FPR(H1847,I1847,J1847)))</f>
        <v/>
      </c>
      <c r="L1847" s="30" t="str">
        <f>IF(H1847="","",IF($C$30="상세법",FPV(H1847,K1847),IF(H1847="EI",4,IF(H1847="EO",5.2,IF(H1847="EQ",3.9,IF(H1847="ILF",7.5,IF(H1847="EIF",5.4)))))))</f>
        <v/>
      </c>
      <c r="M1847" s="30" t="str">
        <f t="shared" si="191"/>
        <v/>
      </c>
      <c r="N1847" s="134"/>
      <c r="O1847" s="29"/>
      <c r="P1847" s="37" t="str">
        <f t="shared" si="192"/>
        <v/>
      </c>
      <c r="Q1847" s="38" t="str">
        <f t="shared" si="193"/>
        <v/>
      </c>
      <c r="R1847" s="37" t="str">
        <f t="shared" si="194"/>
        <v/>
      </c>
      <c r="S1847" s="37" t="str">
        <f t="shared" si="195"/>
        <v/>
      </c>
      <c r="T1847" s="38" t="str">
        <f t="shared" si="196"/>
        <v/>
      </c>
      <c r="U1847" s="37" t="str">
        <f t="shared" si="197"/>
        <v/>
      </c>
    </row>
    <row r="1848" spans="2:21" ht="17.25">
      <c r="B1848" s="156"/>
      <c r="C1848" s="156"/>
      <c r="D1848" s="157"/>
      <c r="E1848" s="155"/>
      <c r="F1848" s="151"/>
      <c r="G1848" s="152"/>
      <c r="H1848" s="153"/>
      <c r="I1848" s="154"/>
      <c r="J1848" s="154"/>
      <c r="K1848" s="30" t="str">
        <f>IF(H1848="","",IF($C$30="간이법","",FPR(H1848,I1848,J1848)))</f>
        <v/>
      </c>
      <c r="L1848" s="30" t="str">
        <f>IF(H1848="","",IF($C$30="상세법",FPV(H1848,K1848),IF(H1848="EI",4,IF(H1848="EO",5.2,IF(H1848="EQ",3.9,IF(H1848="ILF",7.5,IF(H1848="EIF",5.4)))))))</f>
        <v/>
      </c>
      <c r="M1848" s="30" t="str">
        <f t="shared" si="191"/>
        <v/>
      </c>
      <c r="N1848" s="134"/>
      <c r="O1848" s="29"/>
      <c r="P1848" s="37" t="str">
        <f t="shared" si="192"/>
        <v/>
      </c>
      <c r="Q1848" s="38" t="str">
        <f t="shared" si="193"/>
        <v/>
      </c>
      <c r="R1848" s="37" t="str">
        <f t="shared" si="194"/>
        <v/>
      </c>
      <c r="S1848" s="37" t="str">
        <f t="shared" si="195"/>
        <v/>
      </c>
      <c r="T1848" s="38" t="str">
        <f t="shared" si="196"/>
        <v/>
      </c>
      <c r="U1848" s="37" t="str">
        <f t="shared" si="197"/>
        <v/>
      </c>
    </row>
    <row r="1849" spans="2:21" ht="17.25">
      <c r="B1849" s="156"/>
      <c r="C1849" s="156"/>
      <c r="D1849" s="157"/>
      <c r="E1849" s="155"/>
      <c r="F1849" s="151"/>
      <c r="G1849" s="152"/>
      <c r="H1849" s="153"/>
      <c r="I1849" s="154"/>
      <c r="J1849" s="154"/>
      <c r="K1849" s="30" t="str">
        <f>IF(H1849="","",IF($C$30="간이법","",FPR(H1849,I1849,J1849)))</f>
        <v/>
      </c>
      <c r="L1849" s="30" t="str">
        <f>IF(H1849="","",IF($C$30="상세법",FPV(H1849,K1849),IF(H1849="EI",4,IF(H1849="EO",5.2,IF(H1849="EQ",3.9,IF(H1849="ILF",7.5,IF(H1849="EIF",5.4)))))))</f>
        <v/>
      </c>
      <c r="M1849" s="30" t="str">
        <f t="shared" si="191"/>
        <v/>
      </c>
      <c r="N1849" s="134"/>
      <c r="O1849" s="29"/>
      <c r="P1849" s="37" t="str">
        <f t="shared" si="192"/>
        <v/>
      </c>
      <c r="Q1849" s="38" t="str">
        <f t="shared" si="193"/>
        <v/>
      </c>
      <c r="R1849" s="37" t="str">
        <f t="shared" si="194"/>
        <v/>
      </c>
      <c r="S1849" s="37" t="str">
        <f t="shared" si="195"/>
        <v/>
      </c>
      <c r="T1849" s="38" t="str">
        <f t="shared" si="196"/>
        <v/>
      </c>
      <c r="U1849" s="37" t="str">
        <f t="shared" si="197"/>
        <v/>
      </c>
    </row>
    <row r="1850" spans="2:21" ht="17.25">
      <c r="B1850" s="156"/>
      <c r="C1850" s="156"/>
      <c r="D1850" s="157"/>
      <c r="E1850" s="155"/>
      <c r="F1850" s="151"/>
      <c r="G1850" s="152"/>
      <c r="H1850" s="153"/>
      <c r="I1850" s="154"/>
      <c r="J1850" s="154"/>
      <c r="K1850" s="30" t="str">
        <f>IF(H1850="","",IF($C$30="간이법","",FPR(H1850,I1850,J1850)))</f>
        <v/>
      </c>
      <c r="L1850" s="30" t="str">
        <f>IF(H1850="","",IF($C$30="상세법",FPV(H1850,K1850),IF(H1850="EI",4,IF(H1850="EO",5.2,IF(H1850="EQ",3.9,IF(H1850="ILF",7.5,IF(H1850="EIF",5.4)))))))</f>
        <v/>
      </c>
      <c r="M1850" s="30" t="str">
        <f t="shared" si="191"/>
        <v/>
      </c>
      <c r="N1850" s="134"/>
      <c r="O1850" s="29"/>
      <c r="P1850" s="37" t="str">
        <f t="shared" si="192"/>
        <v/>
      </c>
      <c r="Q1850" s="38" t="str">
        <f t="shared" si="193"/>
        <v/>
      </c>
      <c r="R1850" s="37" t="str">
        <f t="shared" si="194"/>
        <v/>
      </c>
      <c r="S1850" s="37" t="str">
        <f t="shared" si="195"/>
        <v/>
      </c>
      <c r="T1850" s="38" t="str">
        <f t="shared" si="196"/>
        <v/>
      </c>
      <c r="U1850" s="37" t="str">
        <f t="shared" si="197"/>
        <v/>
      </c>
    </row>
    <row r="1851" spans="2:21" ht="17.25">
      <c r="B1851" s="156"/>
      <c r="C1851" s="156"/>
      <c r="D1851" s="157"/>
      <c r="E1851" s="155"/>
      <c r="F1851" s="151"/>
      <c r="G1851" s="152"/>
      <c r="H1851" s="153"/>
      <c r="I1851" s="154"/>
      <c r="J1851" s="154"/>
      <c r="K1851" s="30" t="str">
        <f>IF(H1851="","",IF($C$30="간이법","",FPR(H1851,I1851,J1851)))</f>
        <v/>
      </c>
      <c r="L1851" s="30" t="str">
        <f>IF(H1851="","",IF($C$30="상세법",FPV(H1851,K1851),IF(H1851="EI",4,IF(H1851="EO",5.2,IF(H1851="EQ",3.9,IF(H1851="ILF",7.5,IF(H1851="EIF",5.4)))))))</f>
        <v/>
      </c>
      <c r="M1851" s="30" t="str">
        <f t="shared" si="191"/>
        <v/>
      </c>
      <c r="N1851" s="134"/>
      <c r="O1851" s="29"/>
      <c r="P1851" s="37" t="str">
        <f t="shared" si="192"/>
        <v/>
      </c>
      <c r="Q1851" s="38" t="str">
        <f t="shared" si="193"/>
        <v/>
      </c>
      <c r="R1851" s="37" t="str">
        <f t="shared" si="194"/>
        <v/>
      </c>
      <c r="S1851" s="37" t="str">
        <f t="shared" si="195"/>
        <v/>
      </c>
      <c r="T1851" s="38" t="str">
        <f t="shared" si="196"/>
        <v/>
      </c>
      <c r="U1851" s="37" t="str">
        <f t="shared" si="197"/>
        <v/>
      </c>
    </row>
    <row r="1852" spans="2:21" ht="17.25">
      <c r="B1852" s="156"/>
      <c r="C1852" s="156"/>
      <c r="D1852" s="157"/>
      <c r="E1852" s="155"/>
      <c r="F1852" s="151"/>
      <c r="G1852" s="152"/>
      <c r="H1852" s="153"/>
      <c r="I1852" s="154"/>
      <c r="J1852" s="154"/>
      <c r="K1852" s="30" t="str">
        <f>IF(H1852="","",IF($C$30="간이법","",FPR(H1852,I1852,J1852)))</f>
        <v/>
      </c>
      <c r="L1852" s="30" t="str">
        <f>IF(H1852="","",IF($C$30="상세법",FPV(H1852,K1852),IF(H1852="EI",4,IF(H1852="EO",5.2,IF(H1852="EQ",3.9,IF(H1852="ILF",7.5,IF(H1852="EIF",5.4)))))))</f>
        <v/>
      </c>
      <c r="M1852" s="30" t="str">
        <f t="shared" ref="M1852:M1915" si="198">IF(OR(G1852="",$E$36="(선택)",$E$40="(선택)",$E$41="(선택)",F1852="신규 개발",F1852="수정 없이 재사용"),"",(IF(F1852="수정 후 재사용",IF($E$50&lt;=0.5,L1852*($E$36+$E$50*100*(1+0.02*($E$40*$E$41)))/100,L1852*($E$36+$E$50*100+($E$40*$E$41))/100))))</f>
        <v/>
      </c>
      <c r="N1852" s="134"/>
      <c r="O1852" s="29"/>
      <c r="P1852" s="37" t="str">
        <f t="shared" ref="P1852:P1915" si="199">IF(F1852="수정 후 재사용",IF(H1852="ILF",G1852,IF(H1852="EIF",G1852,"")),"")</f>
        <v/>
      </c>
      <c r="Q1852" s="38" t="str">
        <f t="shared" ref="Q1852:Q1915" si="200">IF(P1852&lt;&gt;"",IF(H1852="ILF", L1852/$E$46,IF(H1852="EIF", L1852/$E$46,"")),"")</f>
        <v/>
      </c>
      <c r="R1852" s="37" t="str">
        <f t="shared" ref="R1852:R1915" si="201">IF(P1852&lt;&gt;"",P1852*Q1852,"")</f>
        <v/>
      </c>
      <c r="S1852" s="37" t="str">
        <f t="shared" ref="S1852:S1915" si="202">IF(F1852="수정 후 재사용",IF(H1852="EI",G1852,IF(H1852="EO",G1852,IF(H1852="EQ",G1852,""))),"")</f>
        <v/>
      </c>
      <c r="T1852" s="38" t="str">
        <f t="shared" ref="T1852:T1915" si="203">IF(S1852&lt;&gt;"",IF(H1852="EI",L1852/$E$47,IF(H1852="EO",L1852/$E$47,IF(H1852="EQ",L1852/$E$47,""))),"")</f>
        <v/>
      </c>
      <c r="U1852" s="37" t="str">
        <f t="shared" ref="U1852:U1915" si="204">IF(S1852&lt;&gt;"",S1852*T1852,"")</f>
        <v/>
      </c>
    </row>
    <row r="1853" spans="2:21" ht="17.25">
      <c r="B1853" s="156"/>
      <c r="C1853" s="156"/>
      <c r="D1853" s="157"/>
      <c r="E1853" s="155"/>
      <c r="F1853" s="151"/>
      <c r="G1853" s="152"/>
      <c r="H1853" s="153"/>
      <c r="I1853" s="154"/>
      <c r="J1853" s="154"/>
      <c r="K1853" s="30" t="str">
        <f>IF(H1853="","",IF($C$30="간이법","",FPR(H1853,I1853,J1853)))</f>
        <v/>
      </c>
      <c r="L1853" s="30" t="str">
        <f>IF(H1853="","",IF($C$30="상세법",FPV(H1853,K1853),IF(H1853="EI",4,IF(H1853="EO",5.2,IF(H1853="EQ",3.9,IF(H1853="ILF",7.5,IF(H1853="EIF",5.4)))))))</f>
        <v/>
      </c>
      <c r="M1853" s="30" t="str">
        <f t="shared" si="198"/>
        <v/>
      </c>
      <c r="N1853" s="134"/>
      <c r="O1853" s="29"/>
      <c r="P1853" s="37" t="str">
        <f t="shared" si="199"/>
        <v/>
      </c>
      <c r="Q1853" s="38" t="str">
        <f t="shared" si="200"/>
        <v/>
      </c>
      <c r="R1853" s="37" t="str">
        <f t="shared" si="201"/>
        <v/>
      </c>
      <c r="S1853" s="37" t="str">
        <f t="shared" si="202"/>
        <v/>
      </c>
      <c r="T1853" s="38" t="str">
        <f t="shared" si="203"/>
        <v/>
      </c>
      <c r="U1853" s="37" t="str">
        <f t="shared" si="204"/>
        <v/>
      </c>
    </row>
    <row r="1854" spans="2:21" ht="17.25">
      <c r="B1854" s="156"/>
      <c r="C1854" s="156"/>
      <c r="D1854" s="157"/>
      <c r="E1854" s="155"/>
      <c r="F1854" s="151"/>
      <c r="G1854" s="152"/>
      <c r="H1854" s="153"/>
      <c r="I1854" s="154"/>
      <c r="J1854" s="154"/>
      <c r="K1854" s="30" t="str">
        <f>IF(H1854="","",IF($C$30="간이법","",FPR(H1854,I1854,J1854)))</f>
        <v/>
      </c>
      <c r="L1854" s="30" t="str">
        <f>IF(H1854="","",IF($C$30="상세법",FPV(H1854,K1854),IF(H1854="EI",4,IF(H1854="EO",5.2,IF(H1854="EQ",3.9,IF(H1854="ILF",7.5,IF(H1854="EIF",5.4)))))))</f>
        <v/>
      </c>
      <c r="M1854" s="30" t="str">
        <f t="shared" si="198"/>
        <v/>
      </c>
      <c r="N1854" s="134"/>
      <c r="O1854" s="29"/>
      <c r="P1854" s="37" t="str">
        <f t="shared" si="199"/>
        <v/>
      </c>
      <c r="Q1854" s="38" t="str">
        <f t="shared" si="200"/>
        <v/>
      </c>
      <c r="R1854" s="37" t="str">
        <f t="shared" si="201"/>
        <v/>
      </c>
      <c r="S1854" s="37" t="str">
        <f t="shared" si="202"/>
        <v/>
      </c>
      <c r="T1854" s="38" t="str">
        <f t="shared" si="203"/>
        <v/>
      </c>
      <c r="U1854" s="37" t="str">
        <f t="shared" si="204"/>
        <v/>
      </c>
    </row>
    <row r="1855" spans="2:21" ht="17.25">
      <c r="B1855" s="156"/>
      <c r="C1855" s="156"/>
      <c r="D1855" s="157"/>
      <c r="E1855" s="155"/>
      <c r="F1855" s="151"/>
      <c r="G1855" s="152"/>
      <c r="H1855" s="153"/>
      <c r="I1855" s="154"/>
      <c r="J1855" s="154"/>
      <c r="K1855" s="30" t="str">
        <f>IF(H1855="","",IF($C$30="간이법","",FPR(H1855,I1855,J1855)))</f>
        <v/>
      </c>
      <c r="L1855" s="30" t="str">
        <f>IF(H1855="","",IF($C$30="상세법",FPV(H1855,K1855),IF(H1855="EI",4,IF(H1855="EO",5.2,IF(H1855="EQ",3.9,IF(H1855="ILF",7.5,IF(H1855="EIF",5.4)))))))</f>
        <v/>
      </c>
      <c r="M1855" s="30" t="str">
        <f t="shared" si="198"/>
        <v/>
      </c>
      <c r="N1855" s="134"/>
      <c r="O1855" s="29"/>
      <c r="P1855" s="37" t="str">
        <f t="shared" si="199"/>
        <v/>
      </c>
      <c r="Q1855" s="38" t="str">
        <f t="shared" si="200"/>
        <v/>
      </c>
      <c r="R1855" s="37" t="str">
        <f t="shared" si="201"/>
        <v/>
      </c>
      <c r="S1855" s="37" t="str">
        <f t="shared" si="202"/>
        <v/>
      </c>
      <c r="T1855" s="38" t="str">
        <f t="shared" si="203"/>
        <v/>
      </c>
      <c r="U1855" s="37" t="str">
        <f t="shared" si="204"/>
        <v/>
      </c>
    </row>
    <row r="1856" spans="2:21" ht="17.25">
      <c r="B1856" s="156"/>
      <c r="C1856" s="156"/>
      <c r="D1856" s="157"/>
      <c r="E1856" s="155"/>
      <c r="F1856" s="151"/>
      <c r="G1856" s="152"/>
      <c r="H1856" s="153"/>
      <c r="I1856" s="154"/>
      <c r="J1856" s="154"/>
      <c r="K1856" s="30" t="str">
        <f>IF(H1856="","",IF($C$30="간이법","",FPR(H1856,I1856,J1856)))</f>
        <v/>
      </c>
      <c r="L1856" s="30" t="str">
        <f>IF(H1856="","",IF($C$30="상세법",FPV(H1856,K1856),IF(H1856="EI",4,IF(H1856="EO",5.2,IF(H1856="EQ",3.9,IF(H1856="ILF",7.5,IF(H1856="EIF",5.4)))))))</f>
        <v/>
      </c>
      <c r="M1856" s="30" t="str">
        <f t="shared" si="198"/>
        <v/>
      </c>
      <c r="N1856" s="134"/>
      <c r="O1856" s="29"/>
      <c r="P1856" s="37" t="str">
        <f t="shared" si="199"/>
        <v/>
      </c>
      <c r="Q1856" s="38" t="str">
        <f t="shared" si="200"/>
        <v/>
      </c>
      <c r="R1856" s="37" t="str">
        <f t="shared" si="201"/>
        <v/>
      </c>
      <c r="S1856" s="37" t="str">
        <f t="shared" si="202"/>
        <v/>
      </c>
      <c r="T1856" s="38" t="str">
        <f t="shared" si="203"/>
        <v/>
      </c>
      <c r="U1856" s="37" t="str">
        <f t="shared" si="204"/>
        <v/>
      </c>
    </row>
    <row r="1857" spans="2:21" ht="17.25">
      <c r="B1857" s="156"/>
      <c r="C1857" s="156"/>
      <c r="D1857" s="157"/>
      <c r="E1857" s="155"/>
      <c r="F1857" s="151"/>
      <c r="G1857" s="152"/>
      <c r="H1857" s="153"/>
      <c r="I1857" s="154"/>
      <c r="J1857" s="154"/>
      <c r="K1857" s="30" t="str">
        <f>IF(H1857="","",IF($C$30="간이법","",FPR(H1857,I1857,J1857)))</f>
        <v/>
      </c>
      <c r="L1857" s="30" t="str">
        <f>IF(H1857="","",IF($C$30="상세법",FPV(H1857,K1857),IF(H1857="EI",4,IF(H1857="EO",5.2,IF(H1857="EQ",3.9,IF(H1857="ILF",7.5,IF(H1857="EIF",5.4)))))))</f>
        <v/>
      </c>
      <c r="M1857" s="30" t="str">
        <f t="shared" si="198"/>
        <v/>
      </c>
      <c r="N1857" s="134"/>
      <c r="O1857" s="29"/>
      <c r="P1857" s="37" t="str">
        <f t="shared" si="199"/>
        <v/>
      </c>
      <c r="Q1857" s="38" t="str">
        <f t="shared" si="200"/>
        <v/>
      </c>
      <c r="R1857" s="37" t="str">
        <f t="shared" si="201"/>
        <v/>
      </c>
      <c r="S1857" s="37" t="str">
        <f t="shared" si="202"/>
        <v/>
      </c>
      <c r="T1857" s="38" t="str">
        <f t="shared" si="203"/>
        <v/>
      </c>
      <c r="U1857" s="37" t="str">
        <f t="shared" si="204"/>
        <v/>
      </c>
    </row>
    <row r="1858" spans="2:21" ht="17.25">
      <c r="B1858" s="156"/>
      <c r="C1858" s="156"/>
      <c r="D1858" s="157"/>
      <c r="E1858" s="155"/>
      <c r="F1858" s="151"/>
      <c r="G1858" s="152"/>
      <c r="H1858" s="153"/>
      <c r="I1858" s="154"/>
      <c r="J1858" s="154"/>
      <c r="K1858" s="30" t="str">
        <f>IF(H1858="","",IF($C$30="간이법","",FPR(H1858,I1858,J1858)))</f>
        <v/>
      </c>
      <c r="L1858" s="30" t="str">
        <f>IF(H1858="","",IF($C$30="상세법",FPV(H1858,K1858),IF(H1858="EI",4,IF(H1858="EO",5.2,IF(H1858="EQ",3.9,IF(H1858="ILF",7.5,IF(H1858="EIF",5.4)))))))</f>
        <v/>
      </c>
      <c r="M1858" s="30" t="str">
        <f t="shared" si="198"/>
        <v/>
      </c>
      <c r="N1858" s="134"/>
      <c r="O1858" s="29"/>
      <c r="P1858" s="37" t="str">
        <f t="shared" si="199"/>
        <v/>
      </c>
      <c r="Q1858" s="38" t="str">
        <f t="shared" si="200"/>
        <v/>
      </c>
      <c r="R1858" s="37" t="str">
        <f t="shared" si="201"/>
        <v/>
      </c>
      <c r="S1858" s="37" t="str">
        <f t="shared" si="202"/>
        <v/>
      </c>
      <c r="T1858" s="38" t="str">
        <f t="shared" si="203"/>
        <v/>
      </c>
      <c r="U1858" s="37" t="str">
        <f t="shared" si="204"/>
        <v/>
      </c>
    </row>
    <row r="1859" spans="2:21" ht="17.25">
      <c r="B1859" s="156"/>
      <c r="C1859" s="156"/>
      <c r="D1859" s="157"/>
      <c r="E1859" s="155"/>
      <c r="F1859" s="151"/>
      <c r="G1859" s="152"/>
      <c r="H1859" s="153"/>
      <c r="I1859" s="154"/>
      <c r="J1859" s="154"/>
      <c r="K1859" s="30" t="str">
        <f>IF(H1859="","",IF($C$30="간이법","",FPR(H1859,I1859,J1859)))</f>
        <v/>
      </c>
      <c r="L1859" s="30" t="str">
        <f>IF(H1859="","",IF($C$30="상세법",FPV(H1859,K1859),IF(H1859="EI",4,IF(H1859="EO",5.2,IF(H1859="EQ",3.9,IF(H1859="ILF",7.5,IF(H1859="EIF",5.4)))))))</f>
        <v/>
      </c>
      <c r="M1859" s="30" t="str">
        <f t="shared" si="198"/>
        <v/>
      </c>
      <c r="N1859" s="134"/>
      <c r="O1859" s="29"/>
      <c r="P1859" s="37" t="str">
        <f t="shared" si="199"/>
        <v/>
      </c>
      <c r="Q1859" s="38" t="str">
        <f t="shared" si="200"/>
        <v/>
      </c>
      <c r="R1859" s="37" t="str">
        <f t="shared" si="201"/>
        <v/>
      </c>
      <c r="S1859" s="37" t="str">
        <f t="shared" si="202"/>
        <v/>
      </c>
      <c r="T1859" s="38" t="str">
        <f t="shared" si="203"/>
        <v/>
      </c>
      <c r="U1859" s="37" t="str">
        <f t="shared" si="204"/>
        <v/>
      </c>
    </row>
    <row r="1860" spans="2:21" ht="17.25">
      <c r="B1860" s="156"/>
      <c r="C1860" s="156"/>
      <c r="D1860" s="157"/>
      <c r="E1860" s="155"/>
      <c r="F1860" s="151"/>
      <c r="G1860" s="152"/>
      <c r="H1860" s="153"/>
      <c r="I1860" s="154"/>
      <c r="J1860" s="154"/>
      <c r="K1860" s="30" t="str">
        <f>IF(H1860="","",IF($C$30="간이법","",FPR(H1860,I1860,J1860)))</f>
        <v/>
      </c>
      <c r="L1860" s="30" t="str">
        <f>IF(H1860="","",IF($C$30="상세법",FPV(H1860,K1860),IF(H1860="EI",4,IF(H1860="EO",5.2,IF(H1860="EQ",3.9,IF(H1860="ILF",7.5,IF(H1860="EIF",5.4)))))))</f>
        <v/>
      </c>
      <c r="M1860" s="30" t="str">
        <f t="shared" si="198"/>
        <v/>
      </c>
      <c r="N1860" s="134"/>
      <c r="O1860" s="29"/>
      <c r="P1860" s="37" t="str">
        <f t="shared" si="199"/>
        <v/>
      </c>
      <c r="Q1860" s="38" t="str">
        <f t="shared" si="200"/>
        <v/>
      </c>
      <c r="R1860" s="37" t="str">
        <f t="shared" si="201"/>
        <v/>
      </c>
      <c r="S1860" s="37" t="str">
        <f t="shared" si="202"/>
        <v/>
      </c>
      <c r="T1860" s="38" t="str">
        <f t="shared" si="203"/>
        <v/>
      </c>
      <c r="U1860" s="37" t="str">
        <f t="shared" si="204"/>
        <v/>
      </c>
    </row>
    <row r="1861" spans="2:21" ht="17.25">
      <c r="B1861" s="156"/>
      <c r="C1861" s="156"/>
      <c r="D1861" s="157"/>
      <c r="E1861" s="155"/>
      <c r="F1861" s="151"/>
      <c r="G1861" s="152"/>
      <c r="H1861" s="153"/>
      <c r="I1861" s="154"/>
      <c r="J1861" s="154"/>
      <c r="K1861" s="30" t="str">
        <f>IF(H1861="","",IF($C$30="간이법","",FPR(H1861,I1861,J1861)))</f>
        <v/>
      </c>
      <c r="L1861" s="30" t="str">
        <f>IF(H1861="","",IF($C$30="상세법",FPV(H1861,K1861),IF(H1861="EI",4,IF(H1861="EO",5.2,IF(H1861="EQ",3.9,IF(H1861="ILF",7.5,IF(H1861="EIF",5.4)))))))</f>
        <v/>
      </c>
      <c r="M1861" s="30" t="str">
        <f t="shared" si="198"/>
        <v/>
      </c>
      <c r="N1861" s="134"/>
      <c r="O1861" s="29"/>
      <c r="P1861" s="37" t="str">
        <f t="shared" si="199"/>
        <v/>
      </c>
      <c r="Q1861" s="38" t="str">
        <f t="shared" si="200"/>
        <v/>
      </c>
      <c r="R1861" s="37" t="str">
        <f t="shared" si="201"/>
        <v/>
      </c>
      <c r="S1861" s="37" t="str">
        <f t="shared" si="202"/>
        <v/>
      </c>
      <c r="T1861" s="38" t="str">
        <f t="shared" si="203"/>
        <v/>
      </c>
      <c r="U1861" s="37" t="str">
        <f t="shared" si="204"/>
        <v/>
      </c>
    </row>
    <row r="1862" spans="2:21" ht="17.25">
      <c r="B1862" s="156"/>
      <c r="C1862" s="156"/>
      <c r="D1862" s="157"/>
      <c r="E1862" s="155"/>
      <c r="F1862" s="151"/>
      <c r="G1862" s="152"/>
      <c r="H1862" s="153"/>
      <c r="I1862" s="154"/>
      <c r="J1862" s="154"/>
      <c r="K1862" s="30" t="str">
        <f>IF(H1862="","",IF($C$30="간이법","",FPR(H1862,I1862,J1862)))</f>
        <v/>
      </c>
      <c r="L1862" s="30" t="str">
        <f>IF(H1862="","",IF($C$30="상세법",FPV(H1862,K1862),IF(H1862="EI",4,IF(H1862="EO",5.2,IF(H1862="EQ",3.9,IF(H1862="ILF",7.5,IF(H1862="EIF",5.4)))))))</f>
        <v/>
      </c>
      <c r="M1862" s="30" t="str">
        <f t="shared" si="198"/>
        <v/>
      </c>
      <c r="N1862" s="134"/>
      <c r="O1862" s="29"/>
      <c r="P1862" s="37" t="str">
        <f t="shared" si="199"/>
        <v/>
      </c>
      <c r="Q1862" s="38" t="str">
        <f t="shared" si="200"/>
        <v/>
      </c>
      <c r="R1862" s="37" t="str">
        <f t="shared" si="201"/>
        <v/>
      </c>
      <c r="S1862" s="37" t="str">
        <f t="shared" si="202"/>
        <v/>
      </c>
      <c r="T1862" s="38" t="str">
        <f t="shared" si="203"/>
        <v/>
      </c>
      <c r="U1862" s="37" t="str">
        <f t="shared" si="204"/>
        <v/>
      </c>
    </row>
    <row r="1863" spans="2:21" ht="17.25">
      <c r="B1863" s="156"/>
      <c r="C1863" s="156"/>
      <c r="D1863" s="157"/>
      <c r="E1863" s="155"/>
      <c r="F1863" s="151"/>
      <c r="G1863" s="152"/>
      <c r="H1863" s="153"/>
      <c r="I1863" s="154"/>
      <c r="J1863" s="154"/>
      <c r="K1863" s="30" t="str">
        <f>IF(H1863="","",IF($C$30="간이법","",FPR(H1863,I1863,J1863)))</f>
        <v/>
      </c>
      <c r="L1863" s="30" t="str">
        <f>IF(H1863="","",IF($C$30="상세법",FPV(H1863,K1863),IF(H1863="EI",4,IF(H1863="EO",5.2,IF(H1863="EQ",3.9,IF(H1863="ILF",7.5,IF(H1863="EIF",5.4)))))))</f>
        <v/>
      </c>
      <c r="M1863" s="30" t="str">
        <f t="shared" si="198"/>
        <v/>
      </c>
      <c r="N1863" s="134"/>
      <c r="O1863" s="29"/>
      <c r="P1863" s="37" t="str">
        <f t="shared" si="199"/>
        <v/>
      </c>
      <c r="Q1863" s="38" t="str">
        <f t="shared" si="200"/>
        <v/>
      </c>
      <c r="R1863" s="37" t="str">
        <f t="shared" si="201"/>
        <v/>
      </c>
      <c r="S1863" s="37" t="str">
        <f t="shared" si="202"/>
        <v/>
      </c>
      <c r="T1863" s="38" t="str">
        <f t="shared" si="203"/>
        <v/>
      </c>
      <c r="U1863" s="37" t="str">
        <f t="shared" si="204"/>
        <v/>
      </c>
    </row>
    <row r="1864" spans="2:21" ht="17.25">
      <c r="B1864" s="156"/>
      <c r="C1864" s="156"/>
      <c r="D1864" s="157"/>
      <c r="E1864" s="155"/>
      <c r="F1864" s="151"/>
      <c r="G1864" s="152"/>
      <c r="H1864" s="153"/>
      <c r="I1864" s="154"/>
      <c r="J1864" s="154"/>
      <c r="K1864" s="30" t="str">
        <f>IF(H1864="","",IF($C$30="간이법","",FPR(H1864,I1864,J1864)))</f>
        <v/>
      </c>
      <c r="L1864" s="30" t="str">
        <f>IF(H1864="","",IF($C$30="상세법",FPV(H1864,K1864),IF(H1864="EI",4,IF(H1864="EO",5.2,IF(H1864="EQ",3.9,IF(H1864="ILF",7.5,IF(H1864="EIF",5.4)))))))</f>
        <v/>
      </c>
      <c r="M1864" s="30" t="str">
        <f t="shared" si="198"/>
        <v/>
      </c>
      <c r="N1864" s="134"/>
      <c r="O1864" s="29"/>
      <c r="P1864" s="37" t="str">
        <f t="shared" si="199"/>
        <v/>
      </c>
      <c r="Q1864" s="38" t="str">
        <f t="shared" si="200"/>
        <v/>
      </c>
      <c r="R1864" s="37" t="str">
        <f t="shared" si="201"/>
        <v/>
      </c>
      <c r="S1864" s="37" t="str">
        <f t="shared" si="202"/>
        <v/>
      </c>
      <c r="T1864" s="38" t="str">
        <f t="shared" si="203"/>
        <v/>
      </c>
      <c r="U1864" s="37" t="str">
        <f t="shared" si="204"/>
        <v/>
      </c>
    </row>
    <row r="1865" spans="2:21" ht="17.25">
      <c r="B1865" s="156"/>
      <c r="C1865" s="156"/>
      <c r="D1865" s="157"/>
      <c r="E1865" s="155"/>
      <c r="F1865" s="151"/>
      <c r="G1865" s="152"/>
      <c r="H1865" s="153"/>
      <c r="I1865" s="154"/>
      <c r="J1865" s="154"/>
      <c r="K1865" s="30" t="str">
        <f>IF(H1865="","",IF($C$30="간이법","",FPR(H1865,I1865,J1865)))</f>
        <v/>
      </c>
      <c r="L1865" s="30" t="str">
        <f>IF(H1865="","",IF($C$30="상세법",FPV(H1865,K1865),IF(H1865="EI",4,IF(H1865="EO",5.2,IF(H1865="EQ",3.9,IF(H1865="ILF",7.5,IF(H1865="EIF",5.4)))))))</f>
        <v/>
      </c>
      <c r="M1865" s="30" t="str">
        <f t="shared" si="198"/>
        <v/>
      </c>
      <c r="N1865" s="134"/>
      <c r="O1865" s="29"/>
      <c r="P1865" s="37" t="str">
        <f t="shared" si="199"/>
        <v/>
      </c>
      <c r="Q1865" s="38" t="str">
        <f t="shared" si="200"/>
        <v/>
      </c>
      <c r="R1865" s="37" t="str">
        <f t="shared" si="201"/>
        <v/>
      </c>
      <c r="S1865" s="37" t="str">
        <f t="shared" si="202"/>
        <v/>
      </c>
      <c r="T1865" s="38" t="str">
        <f t="shared" si="203"/>
        <v/>
      </c>
      <c r="U1865" s="37" t="str">
        <f t="shared" si="204"/>
        <v/>
      </c>
    </row>
    <row r="1866" spans="2:21" ht="17.25">
      <c r="B1866" s="156"/>
      <c r="C1866" s="156"/>
      <c r="D1866" s="157"/>
      <c r="E1866" s="155"/>
      <c r="F1866" s="151"/>
      <c r="G1866" s="152"/>
      <c r="H1866" s="153"/>
      <c r="I1866" s="154"/>
      <c r="J1866" s="154"/>
      <c r="K1866" s="30" t="str">
        <f>IF(H1866="","",IF($C$30="간이법","",FPR(H1866,I1866,J1866)))</f>
        <v/>
      </c>
      <c r="L1866" s="30" t="str">
        <f>IF(H1866="","",IF($C$30="상세법",FPV(H1866,K1866),IF(H1866="EI",4,IF(H1866="EO",5.2,IF(H1866="EQ",3.9,IF(H1866="ILF",7.5,IF(H1866="EIF",5.4)))))))</f>
        <v/>
      </c>
      <c r="M1866" s="30" t="str">
        <f t="shared" si="198"/>
        <v/>
      </c>
      <c r="N1866" s="134"/>
      <c r="O1866" s="29"/>
      <c r="P1866" s="37" t="str">
        <f t="shared" si="199"/>
        <v/>
      </c>
      <c r="Q1866" s="38" t="str">
        <f t="shared" si="200"/>
        <v/>
      </c>
      <c r="R1866" s="37" t="str">
        <f t="shared" si="201"/>
        <v/>
      </c>
      <c r="S1866" s="37" t="str">
        <f t="shared" si="202"/>
        <v/>
      </c>
      <c r="T1866" s="38" t="str">
        <f t="shared" si="203"/>
        <v/>
      </c>
      <c r="U1866" s="37" t="str">
        <f t="shared" si="204"/>
        <v/>
      </c>
    </row>
    <row r="1867" spans="2:21" ht="17.25">
      <c r="B1867" s="156"/>
      <c r="C1867" s="156"/>
      <c r="D1867" s="157"/>
      <c r="E1867" s="155"/>
      <c r="F1867" s="151"/>
      <c r="G1867" s="152"/>
      <c r="H1867" s="153"/>
      <c r="I1867" s="154"/>
      <c r="J1867" s="154"/>
      <c r="K1867" s="30" t="str">
        <f>IF(H1867="","",IF($C$30="간이법","",FPR(H1867,I1867,J1867)))</f>
        <v/>
      </c>
      <c r="L1867" s="30" t="str">
        <f>IF(H1867="","",IF($C$30="상세법",FPV(H1867,K1867),IF(H1867="EI",4,IF(H1867="EO",5.2,IF(H1867="EQ",3.9,IF(H1867="ILF",7.5,IF(H1867="EIF",5.4)))))))</f>
        <v/>
      </c>
      <c r="M1867" s="30" t="str">
        <f t="shared" si="198"/>
        <v/>
      </c>
      <c r="N1867" s="134"/>
      <c r="O1867" s="29"/>
      <c r="P1867" s="37" t="str">
        <f t="shared" si="199"/>
        <v/>
      </c>
      <c r="Q1867" s="38" t="str">
        <f t="shared" si="200"/>
        <v/>
      </c>
      <c r="R1867" s="37" t="str">
        <f t="shared" si="201"/>
        <v/>
      </c>
      <c r="S1867" s="37" t="str">
        <f t="shared" si="202"/>
        <v/>
      </c>
      <c r="T1867" s="38" t="str">
        <f t="shared" si="203"/>
        <v/>
      </c>
      <c r="U1867" s="37" t="str">
        <f t="shared" si="204"/>
        <v/>
      </c>
    </row>
    <row r="1868" spans="2:21" ht="17.25">
      <c r="B1868" s="156"/>
      <c r="C1868" s="156"/>
      <c r="D1868" s="157"/>
      <c r="E1868" s="155"/>
      <c r="F1868" s="151"/>
      <c r="G1868" s="152"/>
      <c r="H1868" s="153"/>
      <c r="I1868" s="154"/>
      <c r="J1868" s="154"/>
      <c r="K1868" s="30" t="str">
        <f>IF(H1868="","",IF($C$30="간이법","",FPR(H1868,I1868,J1868)))</f>
        <v/>
      </c>
      <c r="L1868" s="30" t="str">
        <f>IF(H1868="","",IF($C$30="상세법",FPV(H1868,K1868),IF(H1868="EI",4,IF(H1868="EO",5.2,IF(H1868="EQ",3.9,IF(H1868="ILF",7.5,IF(H1868="EIF",5.4)))))))</f>
        <v/>
      </c>
      <c r="M1868" s="30" t="str">
        <f t="shared" si="198"/>
        <v/>
      </c>
      <c r="N1868" s="134"/>
      <c r="O1868" s="29"/>
      <c r="P1868" s="37" t="str">
        <f t="shared" si="199"/>
        <v/>
      </c>
      <c r="Q1868" s="38" t="str">
        <f t="shared" si="200"/>
        <v/>
      </c>
      <c r="R1868" s="37" t="str">
        <f t="shared" si="201"/>
        <v/>
      </c>
      <c r="S1868" s="37" t="str">
        <f t="shared" si="202"/>
        <v/>
      </c>
      <c r="T1868" s="38" t="str">
        <f t="shared" si="203"/>
        <v/>
      </c>
      <c r="U1868" s="37" t="str">
        <f t="shared" si="204"/>
        <v/>
      </c>
    </row>
    <row r="1869" spans="2:21" ht="17.25">
      <c r="B1869" s="156"/>
      <c r="C1869" s="156"/>
      <c r="D1869" s="157"/>
      <c r="E1869" s="155"/>
      <c r="F1869" s="151"/>
      <c r="G1869" s="152"/>
      <c r="H1869" s="153"/>
      <c r="I1869" s="154"/>
      <c r="J1869" s="154"/>
      <c r="K1869" s="30" t="str">
        <f>IF(H1869="","",IF($C$30="간이법","",FPR(H1869,I1869,J1869)))</f>
        <v/>
      </c>
      <c r="L1869" s="30" t="str">
        <f>IF(H1869="","",IF($C$30="상세법",FPV(H1869,K1869),IF(H1869="EI",4,IF(H1869="EO",5.2,IF(H1869="EQ",3.9,IF(H1869="ILF",7.5,IF(H1869="EIF",5.4)))))))</f>
        <v/>
      </c>
      <c r="M1869" s="30" t="str">
        <f t="shared" si="198"/>
        <v/>
      </c>
      <c r="N1869" s="134"/>
      <c r="O1869" s="29"/>
      <c r="P1869" s="37" t="str">
        <f t="shared" si="199"/>
        <v/>
      </c>
      <c r="Q1869" s="38" t="str">
        <f t="shared" si="200"/>
        <v/>
      </c>
      <c r="R1869" s="37" t="str">
        <f t="shared" si="201"/>
        <v/>
      </c>
      <c r="S1869" s="37" t="str">
        <f t="shared" si="202"/>
        <v/>
      </c>
      <c r="T1869" s="38" t="str">
        <f t="shared" si="203"/>
        <v/>
      </c>
      <c r="U1869" s="37" t="str">
        <f t="shared" si="204"/>
        <v/>
      </c>
    </row>
    <row r="1870" spans="2:21" ht="17.25">
      <c r="B1870" s="156"/>
      <c r="C1870" s="156"/>
      <c r="D1870" s="157"/>
      <c r="E1870" s="155"/>
      <c r="F1870" s="151"/>
      <c r="G1870" s="152"/>
      <c r="H1870" s="153"/>
      <c r="I1870" s="154"/>
      <c r="J1870" s="154"/>
      <c r="K1870" s="30" t="str">
        <f>IF(H1870="","",IF($C$30="간이법","",FPR(H1870,I1870,J1870)))</f>
        <v/>
      </c>
      <c r="L1870" s="30" t="str">
        <f>IF(H1870="","",IF($C$30="상세법",FPV(H1870,K1870),IF(H1870="EI",4,IF(H1870="EO",5.2,IF(H1870="EQ",3.9,IF(H1870="ILF",7.5,IF(H1870="EIF",5.4)))))))</f>
        <v/>
      </c>
      <c r="M1870" s="30" t="str">
        <f t="shared" si="198"/>
        <v/>
      </c>
      <c r="N1870" s="134"/>
      <c r="O1870" s="29"/>
      <c r="P1870" s="37" t="str">
        <f t="shared" si="199"/>
        <v/>
      </c>
      <c r="Q1870" s="38" t="str">
        <f t="shared" si="200"/>
        <v/>
      </c>
      <c r="R1870" s="37" t="str">
        <f t="shared" si="201"/>
        <v/>
      </c>
      <c r="S1870" s="37" t="str">
        <f t="shared" si="202"/>
        <v/>
      </c>
      <c r="T1870" s="38" t="str">
        <f t="shared" si="203"/>
        <v/>
      </c>
      <c r="U1870" s="37" t="str">
        <f t="shared" si="204"/>
        <v/>
      </c>
    </row>
    <row r="1871" spans="2:21" ht="17.25">
      <c r="B1871" s="156"/>
      <c r="C1871" s="156"/>
      <c r="D1871" s="157"/>
      <c r="E1871" s="155"/>
      <c r="F1871" s="151"/>
      <c r="G1871" s="152"/>
      <c r="H1871" s="153"/>
      <c r="I1871" s="154"/>
      <c r="J1871" s="154"/>
      <c r="K1871" s="30" t="str">
        <f>IF(H1871="","",IF($C$30="간이법","",FPR(H1871,I1871,J1871)))</f>
        <v/>
      </c>
      <c r="L1871" s="30" t="str">
        <f>IF(H1871="","",IF($C$30="상세법",FPV(H1871,K1871),IF(H1871="EI",4,IF(H1871="EO",5.2,IF(H1871="EQ",3.9,IF(H1871="ILF",7.5,IF(H1871="EIF",5.4)))))))</f>
        <v/>
      </c>
      <c r="M1871" s="30" t="str">
        <f t="shared" si="198"/>
        <v/>
      </c>
      <c r="N1871" s="134"/>
      <c r="O1871" s="29"/>
      <c r="P1871" s="37" t="str">
        <f t="shared" si="199"/>
        <v/>
      </c>
      <c r="Q1871" s="38" t="str">
        <f t="shared" si="200"/>
        <v/>
      </c>
      <c r="R1871" s="37" t="str">
        <f t="shared" si="201"/>
        <v/>
      </c>
      <c r="S1871" s="37" t="str">
        <f t="shared" si="202"/>
        <v/>
      </c>
      <c r="T1871" s="38" t="str">
        <f t="shared" si="203"/>
        <v/>
      </c>
      <c r="U1871" s="37" t="str">
        <f t="shared" si="204"/>
        <v/>
      </c>
    </row>
    <row r="1872" spans="2:21" ht="17.25">
      <c r="B1872" s="156"/>
      <c r="C1872" s="156"/>
      <c r="D1872" s="157"/>
      <c r="E1872" s="155"/>
      <c r="F1872" s="151"/>
      <c r="G1872" s="152"/>
      <c r="H1872" s="153"/>
      <c r="I1872" s="154"/>
      <c r="J1872" s="154"/>
      <c r="K1872" s="30" t="str">
        <f>IF(H1872="","",IF($C$30="간이법","",FPR(H1872,I1872,J1872)))</f>
        <v/>
      </c>
      <c r="L1872" s="30" t="str">
        <f>IF(H1872="","",IF($C$30="상세법",FPV(H1872,K1872),IF(H1872="EI",4,IF(H1872="EO",5.2,IF(H1872="EQ",3.9,IF(H1872="ILF",7.5,IF(H1872="EIF",5.4)))))))</f>
        <v/>
      </c>
      <c r="M1872" s="30" t="str">
        <f t="shared" si="198"/>
        <v/>
      </c>
      <c r="N1872" s="134"/>
      <c r="O1872" s="29"/>
      <c r="P1872" s="37" t="str">
        <f t="shared" si="199"/>
        <v/>
      </c>
      <c r="Q1872" s="38" t="str">
        <f t="shared" si="200"/>
        <v/>
      </c>
      <c r="R1872" s="37" t="str">
        <f t="shared" si="201"/>
        <v/>
      </c>
      <c r="S1872" s="37" t="str">
        <f t="shared" si="202"/>
        <v/>
      </c>
      <c r="T1872" s="38" t="str">
        <f t="shared" si="203"/>
        <v/>
      </c>
      <c r="U1872" s="37" t="str">
        <f t="shared" si="204"/>
        <v/>
      </c>
    </row>
    <row r="1873" spans="2:21" ht="17.25">
      <c r="B1873" s="156"/>
      <c r="C1873" s="156"/>
      <c r="D1873" s="157"/>
      <c r="E1873" s="155"/>
      <c r="F1873" s="151"/>
      <c r="G1873" s="152"/>
      <c r="H1873" s="153"/>
      <c r="I1873" s="154"/>
      <c r="J1873" s="154"/>
      <c r="K1873" s="30" t="str">
        <f>IF(H1873="","",IF($C$30="간이법","",FPR(H1873,I1873,J1873)))</f>
        <v/>
      </c>
      <c r="L1873" s="30" t="str">
        <f>IF(H1873="","",IF($C$30="상세법",FPV(H1873,K1873),IF(H1873="EI",4,IF(H1873="EO",5.2,IF(H1873="EQ",3.9,IF(H1873="ILF",7.5,IF(H1873="EIF",5.4)))))))</f>
        <v/>
      </c>
      <c r="M1873" s="30" t="str">
        <f t="shared" si="198"/>
        <v/>
      </c>
      <c r="N1873" s="134"/>
      <c r="O1873" s="29"/>
      <c r="P1873" s="37" t="str">
        <f t="shared" si="199"/>
        <v/>
      </c>
      <c r="Q1873" s="38" t="str">
        <f t="shared" si="200"/>
        <v/>
      </c>
      <c r="R1873" s="37" t="str">
        <f t="shared" si="201"/>
        <v/>
      </c>
      <c r="S1873" s="37" t="str">
        <f t="shared" si="202"/>
        <v/>
      </c>
      <c r="T1873" s="38" t="str">
        <f t="shared" si="203"/>
        <v/>
      </c>
      <c r="U1873" s="37" t="str">
        <f t="shared" si="204"/>
        <v/>
      </c>
    </row>
    <row r="1874" spans="2:21" ht="17.25">
      <c r="B1874" s="156"/>
      <c r="C1874" s="156"/>
      <c r="D1874" s="157"/>
      <c r="E1874" s="155"/>
      <c r="F1874" s="151"/>
      <c r="G1874" s="152"/>
      <c r="H1874" s="153"/>
      <c r="I1874" s="154"/>
      <c r="J1874" s="154"/>
      <c r="K1874" s="30" t="str">
        <f>IF(H1874="","",IF($C$30="간이법","",FPR(H1874,I1874,J1874)))</f>
        <v/>
      </c>
      <c r="L1874" s="30" t="str">
        <f>IF(H1874="","",IF($C$30="상세법",FPV(H1874,K1874),IF(H1874="EI",4,IF(H1874="EO",5.2,IF(H1874="EQ",3.9,IF(H1874="ILF",7.5,IF(H1874="EIF",5.4)))))))</f>
        <v/>
      </c>
      <c r="M1874" s="30" t="str">
        <f t="shared" si="198"/>
        <v/>
      </c>
      <c r="N1874" s="134"/>
      <c r="O1874" s="29"/>
      <c r="P1874" s="37" t="str">
        <f t="shared" si="199"/>
        <v/>
      </c>
      <c r="Q1874" s="38" t="str">
        <f t="shared" si="200"/>
        <v/>
      </c>
      <c r="R1874" s="37" t="str">
        <f t="shared" si="201"/>
        <v/>
      </c>
      <c r="S1874" s="37" t="str">
        <f t="shared" si="202"/>
        <v/>
      </c>
      <c r="T1874" s="38" t="str">
        <f t="shared" si="203"/>
        <v/>
      </c>
      <c r="U1874" s="37" t="str">
        <f t="shared" si="204"/>
        <v/>
      </c>
    </row>
    <row r="1875" spans="2:21" ht="17.25">
      <c r="B1875" s="156"/>
      <c r="C1875" s="156"/>
      <c r="D1875" s="157"/>
      <c r="E1875" s="155"/>
      <c r="F1875" s="151"/>
      <c r="G1875" s="152"/>
      <c r="H1875" s="153"/>
      <c r="I1875" s="154"/>
      <c r="J1875" s="154"/>
      <c r="K1875" s="30" t="str">
        <f>IF(H1875="","",IF($C$30="간이법","",FPR(H1875,I1875,J1875)))</f>
        <v/>
      </c>
      <c r="L1875" s="30" t="str">
        <f>IF(H1875="","",IF($C$30="상세법",FPV(H1875,K1875),IF(H1875="EI",4,IF(H1875="EO",5.2,IF(H1875="EQ",3.9,IF(H1875="ILF",7.5,IF(H1875="EIF",5.4)))))))</f>
        <v/>
      </c>
      <c r="M1875" s="30" t="str">
        <f t="shared" si="198"/>
        <v/>
      </c>
      <c r="N1875" s="134"/>
      <c r="O1875" s="29"/>
      <c r="P1875" s="37" t="str">
        <f t="shared" si="199"/>
        <v/>
      </c>
      <c r="Q1875" s="38" t="str">
        <f t="shared" si="200"/>
        <v/>
      </c>
      <c r="R1875" s="37" t="str">
        <f t="shared" si="201"/>
        <v/>
      </c>
      <c r="S1875" s="37" t="str">
        <f t="shared" si="202"/>
        <v/>
      </c>
      <c r="T1875" s="38" t="str">
        <f t="shared" si="203"/>
        <v/>
      </c>
      <c r="U1875" s="37" t="str">
        <f t="shared" si="204"/>
        <v/>
      </c>
    </row>
    <row r="1876" spans="2:21" ht="17.25">
      <c r="B1876" s="156"/>
      <c r="C1876" s="156"/>
      <c r="D1876" s="157"/>
      <c r="E1876" s="155"/>
      <c r="F1876" s="151"/>
      <c r="G1876" s="152"/>
      <c r="H1876" s="153"/>
      <c r="I1876" s="154"/>
      <c r="J1876" s="154"/>
      <c r="K1876" s="30" t="str">
        <f>IF(H1876="","",IF($C$30="간이법","",FPR(H1876,I1876,J1876)))</f>
        <v/>
      </c>
      <c r="L1876" s="30" t="str">
        <f>IF(H1876="","",IF($C$30="상세법",FPV(H1876,K1876),IF(H1876="EI",4,IF(H1876="EO",5.2,IF(H1876="EQ",3.9,IF(H1876="ILF",7.5,IF(H1876="EIF",5.4)))))))</f>
        <v/>
      </c>
      <c r="M1876" s="30" t="str">
        <f t="shared" si="198"/>
        <v/>
      </c>
      <c r="N1876" s="134"/>
      <c r="O1876" s="29"/>
      <c r="P1876" s="37" t="str">
        <f t="shared" si="199"/>
        <v/>
      </c>
      <c r="Q1876" s="38" t="str">
        <f t="shared" si="200"/>
        <v/>
      </c>
      <c r="R1876" s="37" t="str">
        <f t="shared" si="201"/>
        <v/>
      </c>
      <c r="S1876" s="37" t="str">
        <f t="shared" si="202"/>
        <v/>
      </c>
      <c r="T1876" s="38" t="str">
        <f t="shared" si="203"/>
        <v/>
      </c>
      <c r="U1876" s="37" t="str">
        <f t="shared" si="204"/>
        <v/>
      </c>
    </row>
    <row r="1877" spans="2:21" ht="17.25">
      <c r="B1877" s="156"/>
      <c r="C1877" s="156"/>
      <c r="D1877" s="157"/>
      <c r="E1877" s="155"/>
      <c r="F1877" s="151"/>
      <c r="G1877" s="152"/>
      <c r="H1877" s="153"/>
      <c r="I1877" s="154"/>
      <c r="J1877" s="154"/>
      <c r="K1877" s="30" t="str">
        <f>IF(H1877="","",IF($C$30="간이법","",FPR(H1877,I1877,J1877)))</f>
        <v/>
      </c>
      <c r="L1877" s="30" t="str">
        <f>IF(H1877="","",IF($C$30="상세법",FPV(H1877,K1877),IF(H1877="EI",4,IF(H1877="EO",5.2,IF(H1877="EQ",3.9,IF(H1877="ILF",7.5,IF(H1877="EIF",5.4)))))))</f>
        <v/>
      </c>
      <c r="M1877" s="30" t="str">
        <f t="shared" si="198"/>
        <v/>
      </c>
      <c r="N1877" s="134"/>
      <c r="O1877" s="29"/>
      <c r="P1877" s="37" t="str">
        <f t="shared" si="199"/>
        <v/>
      </c>
      <c r="Q1877" s="38" t="str">
        <f t="shared" si="200"/>
        <v/>
      </c>
      <c r="R1877" s="37" t="str">
        <f t="shared" si="201"/>
        <v/>
      </c>
      <c r="S1877" s="37" t="str">
        <f t="shared" si="202"/>
        <v/>
      </c>
      <c r="T1877" s="38" t="str">
        <f t="shared" si="203"/>
        <v/>
      </c>
      <c r="U1877" s="37" t="str">
        <f t="shared" si="204"/>
        <v/>
      </c>
    </row>
    <row r="1878" spans="2:21" ht="17.25">
      <c r="B1878" s="156"/>
      <c r="C1878" s="156"/>
      <c r="D1878" s="157"/>
      <c r="E1878" s="155"/>
      <c r="F1878" s="151"/>
      <c r="G1878" s="152"/>
      <c r="H1878" s="153"/>
      <c r="I1878" s="154"/>
      <c r="J1878" s="154"/>
      <c r="K1878" s="30" t="str">
        <f>IF(H1878="","",IF($C$30="간이법","",FPR(H1878,I1878,J1878)))</f>
        <v/>
      </c>
      <c r="L1878" s="30" t="str">
        <f>IF(H1878="","",IF($C$30="상세법",FPV(H1878,K1878),IF(H1878="EI",4,IF(H1878="EO",5.2,IF(H1878="EQ",3.9,IF(H1878="ILF",7.5,IF(H1878="EIF",5.4)))))))</f>
        <v/>
      </c>
      <c r="M1878" s="30" t="str">
        <f t="shared" si="198"/>
        <v/>
      </c>
      <c r="N1878" s="134"/>
      <c r="O1878" s="29"/>
      <c r="P1878" s="37" t="str">
        <f t="shared" si="199"/>
        <v/>
      </c>
      <c r="Q1878" s="38" t="str">
        <f t="shared" si="200"/>
        <v/>
      </c>
      <c r="R1878" s="37" t="str">
        <f t="shared" si="201"/>
        <v/>
      </c>
      <c r="S1878" s="37" t="str">
        <f t="shared" si="202"/>
        <v/>
      </c>
      <c r="T1878" s="38" t="str">
        <f t="shared" si="203"/>
        <v/>
      </c>
      <c r="U1878" s="37" t="str">
        <f t="shared" si="204"/>
        <v/>
      </c>
    </row>
    <row r="1879" spans="2:21" ht="17.25">
      <c r="B1879" s="156"/>
      <c r="C1879" s="156"/>
      <c r="D1879" s="157"/>
      <c r="E1879" s="155"/>
      <c r="F1879" s="151"/>
      <c r="G1879" s="152"/>
      <c r="H1879" s="153"/>
      <c r="I1879" s="154"/>
      <c r="J1879" s="154"/>
      <c r="K1879" s="30" t="str">
        <f>IF(H1879="","",IF($C$30="간이법","",FPR(H1879,I1879,J1879)))</f>
        <v/>
      </c>
      <c r="L1879" s="30" t="str">
        <f>IF(H1879="","",IF($C$30="상세법",FPV(H1879,K1879),IF(H1879="EI",4,IF(H1879="EO",5.2,IF(H1879="EQ",3.9,IF(H1879="ILF",7.5,IF(H1879="EIF",5.4)))))))</f>
        <v/>
      </c>
      <c r="M1879" s="30" t="str">
        <f t="shared" si="198"/>
        <v/>
      </c>
      <c r="N1879" s="134"/>
      <c r="O1879" s="29"/>
      <c r="P1879" s="37" t="str">
        <f t="shared" si="199"/>
        <v/>
      </c>
      <c r="Q1879" s="38" t="str">
        <f t="shared" si="200"/>
        <v/>
      </c>
      <c r="R1879" s="37" t="str">
        <f t="shared" si="201"/>
        <v/>
      </c>
      <c r="S1879" s="37" t="str">
        <f t="shared" si="202"/>
        <v/>
      </c>
      <c r="T1879" s="38" t="str">
        <f t="shared" si="203"/>
        <v/>
      </c>
      <c r="U1879" s="37" t="str">
        <f t="shared" si="204"/>
        <v/>
      </c>
    </row>
    <row r="1880" spans="2:21" ht="17.25">
      <c r="B1880" s="156"/>
      <c r="C1880" s="156"/>
      <c r="D1880" s="157"/>
      <c r="E1880" s="155"/>
      <c r="F1880" s="151"/>
      <c r="G1880" s="152"/>
      <c r="H1880" s="153"/>
      <c r="I1880" s="154"/>
      <c r="J1880" s="154"/>
      <c r="K1880" s="30" t="str">
        <f>IF(H1880="","",IF($C$30="간이법","",FPR(H1880,I1880,J1880)))</f>
        <v/>
      </c>
      <c r="L1880" s="30" t="str">
        <f>IF(H1880="","",IF($C$30="상세법",FPV(H1880,K1880),IF(H1880="EI",4,IF(H1880="EO",5.2,IF(H1880="EQ",3.9,IF(H1880="ILF",7.5,IF(H1880="EIF",5.4)))))))</f>
        <v/>
      </c>
      <c r="M1880" s="30" t="str">
        <f t="shared" si="198"/>
        <v/>
      </c>
      <c r="N1880" s="134"/>
      <c r="O1880" s="29"/>
      <c r="P1880" s="37" t="str">
        <f t="shared" si="199"/>
        <v/>
      </c>
      <c r="Q1880" s="38" t="str">
        <f t="shared" si="200"/>
        <v/>
      </c>
      <c r="R1880" s="37" t="str">
        <f t="shared" si="201"/>
        <v/>
      </c>
      <c r="S1880" s="37" t="str">
        <f t="shared" si="202"/>
        <v/>
      </c>
      <c r="T1880" s="38" t="str">
        <f t="shared" si="203"/>
        <v/>
      </c>
      <c r="U1880" s="37" t="str">
        <f t="shared" si="204"/>
        <v/>
      </c>
    </row>
    <row r="1881" spans="2:21" ht="17.25">
      <c r="B1881" s="156"/>
      <c r="C1881" s="156"/>
      <c r="D1881" s="157"/>
      <c r="E1881" s="155"/>
      <c r="F1881" s="151"/>
      <c r="G1881" s="152"/>
      <c r="H1881" s="153"/>
      <c r="I1881" s="154"/>
      <c r="J1881" s="154"/>
      <c r="K1881" s="30" t="str">
        <f>IF(H1881="","",IF($C$30="간이법","",FPR(H1881,I1881,J1881)))</f>
        <v/>
      </c>
      <c r="L1881" s="30" t="str">
        <f>IF(H1881="","",IF($C$30="상세법",FPV(H1881,K1881),IF(H1881="EI",4,IF(H1881="EO",5.2,IF(H1881="EQ",3.9,IF(H1881="ILF",7.5,IF(H1881="EIF",5.4)))))))</f>
        <v/>
      </c>
      <c r="M1881" s="30" t="str">
        <f t="shared" si="198"/>
        <v/>
      </c>
      <c r="N1881" s="134"/>
      <c r="O1881" s="29"/>
      <c r="P1881" s="37" t="str">
        <f t="shared" si="199"/>
        <v/>
      </c>
      <c r="Q1881" s="38" t="str">
        <f t="shared" si="200"/>
        <v/>
      </c>
      <c r="R1881" s="37" t="str">
        <f t="shared" si="201"/>
        <v/>
      </c>
      <c r="S1881" s="37" t="str">
        <f t="shared" si="202"/>
        <v/>
      </c>
      <c r="T1881" s="38" t="str">
        <f t="shared" si="203"/>
        <v/>
      </c>
      <c r="U1881" s="37" t="str">
        <f t="shared" si="204"/>
        <v/>
      </c>
    </row>
    <row r="1882" spans="2:21" ht="17.25">
      <c r="B1882" s="156"/>
      <c r="C1882" s="156"/>
      <c r="D1882" s="157"/>
      <c r="E1882" s="155"/>
      <c r="F1882" s="151"/>
      <c r="G1882" s="152"/>
      <c r="H1882" s="153"/>
      <c r="I1882" s="154"/>
      <c r="J1882" s="154"/>
      <c r="K1882" s="30" t="str">
        <f>IF(H1882="","",IF($C$30="간이법","",FPR(H1882,I1882,J1882)))</f>
        <v/>
      </c>
      <c r="L1882" s="30" t="str">
        <f>IF(H1882="","",IF($C$30="상세법",FPV(H1882,K1882),IF(H1882="EI",4,IF(H1882="EO",5.2,IF(H1882="EQ",3.9,IF(H1882="ILF",7.5,IF(H1882="EIF",5.4)))))))</f>
        <v/>
      </c>
      <c r="M1882" s="30" t="str">
        <f t="shared" si="198"/>
        <v/>
      </c>
      <c r="N1882" s="134"/>
      <c r="O1882" s="29"/>
      <c r="P1882" s="37" t="str">
        <f t="shared" si="199"/>
        <v/>
      </c>
      <c r="Q1882" s="38" t="str">
        <f t="shared" si="200"/>
        <v/>
      </c>
      <c r="R1882" s="37" t="str">
        <f t="shared" si="201"/>
        <v/>
      </c>
      <c r="S1882" s="37" t="str">
        <f t="shared" si="202"/>
        <v/>
      </c>
      <c r="T1882" s="38" t="str">
        <f t="shared" si="203"/>
        <v/>
      </c>
      <c r="U1882" s="37" t="str">
        <f t="shared" si="204"/>
        <v/>
      </c>
    </row>
    <row r="1883" spans="2:21" ht="17.25">
      <c r="B1883" s="156"/>
      <c r="C1883" s="156"/>
      <c r="D1883" s="157"/>
      <c r="E1883" s="155"/>
      <c r="F1883" s="151"/>
      <c r="G1883" s="152"/>
      <c r="H1883" s="153"/>
      <c r="I1883" s="154"/>
      <c r="J1883" s="154"/>
      <c r="K1883" s="30" t="str">
        <f>IF(H1883="","",IF($C$30="간이법","",FPR(H1883,I1883,J1883)))</f>
        <v/>
      </c>
      <c r="L1883" s="30" t="str">
        <f>IF(H1883="","",IF($C$30="상세법",FPV(H1883,K1883),IF(H1883="EI",4,IF(H1883="EO",5.2,IF(H1883="EQ",3.9,IF(H1883="ILF",7.5,IF(H1883="EIF",5.4)))))))</f>
        <v/>
      </c>
      <c r="M1883" s="30" t="str">
        <f t="shared" si="198"/>
        <v/>
      </c>
      <c r="N1883" s="134"/>
      <c r="O1883" s="29"/>
      <c r="P1883" s="37" t="str">
        <f t="shared" si="199"/>
        <v/>
      </c>
      <c r="Q1883" s="38" t="str">
        <f t="shared" si="200"/>
        <v/>
      </c>
      <c r="R1883" s="37" t="str">
        <f t="shared" si="201"/>
        <v/>
      </c>
      <c r="S1883" s="37" t="str">
        <f t="shared" si="202"/>
        <v/>
      </c>
      <c r="T1883" s="38" t="str">
        <f t="shared" si="203"/>
        <v/>
      </c>
      <c r="U1883" s="37" t="str">
        <f t="shared" si="204"/>
        <v/>
      </c>
    </row>
    <row r="1884" spans="2:21" ht="17.25">
      <c r="B1884" s="156"/>
      <c r="C1884" s="156"/>
      <c r="D1884" s="157"/>
      <c r="E1884" s="155"/>
      <c r="F1884" s="151"/>
      <c r="G1884" s="152"/>
      <c r="H1884" s="153"/>
      <c r="I1884" s="154"/>
      <c r="J1884" s="154"/>
      <c r="K1884" s="30" t="str">
        <f>IF(H1884="","",IF($C$30="간이법","",FPR(H1884,I1884,J1884)))</f>
        <v/>
      </c>
      <c r="L1884" s="30" t="str">
        <f>IF(H1884="","",IF($C$30="상세법",FPV(H1884,K1884),IF(H1884="EI",4,IF(H1884="EO",5.2,IF(H1884="EQ",3.9,IF(H1884="ILF",7.5,IF(H1884="EIF",5.4)))))))</f>
        <v/>
      </c>
      <c r="M1884" s="30" t="str">
        <f t="shared" si="198"/>
        <v/>
      </c>
      <c r="N1884" s="134"/>
      <c r="O1884" s="29"/>
      <c r="P1884" s="37" t="str">
        <f t="shared" si="199"/>
        <v/>
      </c>
      <c r="Q1884" s="38" t="str">
        <f t="shared" si="200"/>
        <v/>
      </c>
      <c r="R1884" s="37" t="str">
        <f t="shared" si="201"/>
        <v/>
      </c>
      <c r="S1884" s="37" t="str">
        <f t="shared" si="202"/>
        <v/>
      </c>
      <c r="T1884" s="38" t="str">
        <f t="shared" si="203"/>
        <v/>
      </c>
      <c r="U1884" s="37" t="str">
        <f t="shared" si="204"/>
        <v/>
      </c>
    </row>
    <row r="1885" spans="2:21" ht="17.25">
      <c r="B1885" s="156"/>
      <c r="C1885" s="156"/>
      <c r="D1885" s="157"/>
      <c r="E1885" s="155"/>
      <c r="F1885" s="151"/>
      <c r="G1885" s="152"/>
      <c r="H1885" s="153"/>
      <c r="I1885" s="154"/>
      <c r="J1885" s="154"/>
      <c r="K1885" s="30" t="str">
        <f>IF(H1885="","",IF($C$30="간이법","",FPR(H1885,I1885,J1885)))</f>
        <v/>
      </c>
      <c r="L1885" s="30" t="str">
        <f>IF(H1885="","",IF($C$30="상세법",FPV(H1885,K1885),IF(H1885="EI",4,IF(H1885="EO",5.2,IF(H1885="EQ",3.9,IF(H1885="ILF",7.5,IF(H1885="EIF",5.4)))))))</f>
        <v/>
      </c>
      <c r="M1885" s="30" t="str">
        <f t="shared" si="198"/>
        <v/>
      </c>
      <c r="N1885" s="134"/>
      <c r="O1885" s="29"/>
      <c r="P1885" s="37" t="str">
        <f t="shared" si="199"/>
        <v/>
      </c>
      <c r="Q1885" s="38" t="str">
        <f t="shared" si="200"/>
        <v/>
      </c>
      <c r="R1885" s="37" t="str">
        <f t="shared" si="201"/>
        <v/>
      </c>
      <c r="S1885" s="37" t="str">
        <f t="shared" si="202"/>
        <v/>
      </c>
      <c r="T1885" s="38" t="str">
        <f t="shared" si="203"/>
        <v/>
      </c>
      <c r="U1885" s="37" t="str">
        <f t="shared" si="204"/>
        <v/>
      </c>
    </row>
    <row r="1886" spans="2:21" ht="17.25">
      <c r="B1886" s="156"/>
      <c r="C1886" s="156"/>
      <c r="D1886" s="157"/>
      <c r="E1886" s="155"/>
      <c r="F1886" s="151"/>
      <c r="G1886" s="152"/>
      <c r="H1886" s="153"/>
      <c r="I1886" s="154"/>
      <c r="J1886" s="154"/>
      <c r="K1886" s="30" t="str">
        <f>IF(H1886="","",IF($C$30="간이법","",FPR(H1886,I1886,J1886)))</f>
        <v/>
      </c>
      <c r="L1886" s="30" t="str">
        <f>IF(H1886="","",IF($C$30="상세법",FPV(H1886,K1886),IF(H1886="EI",4,IF(H1886="EO",5.2,IF(H1886="EQ",3.9,IF(H1886="ILF",7.5,IF(H1886="EIF",5.4)))))))</f>
        <v/>
      </c>
      <c r="M1886" s="30" t="str">
        <f t="shared" si="198"/>
        <v/>
      </c>
      <c r="N1886" s="134"/>
      <c r="O1886" s="29"/>
      <c r="P1886" s="37" t="str">
        <f t="shared" si="199"/>
        <v/>
      </c>
      <c r="Q1886" s="38" t="str">
        <f t="shared" si="200"/>
        <v/>
      </c>
      <c r="R1886" s="37" t="str">
        <f t="shared" si="201"/>
        <v/>
      </c>
      <c r="S1886" s="37" t="str">
        <f t="shared" si="202"/>
        <v/>
      </c>
      <c r="T1886" s="38" t="str">
        <f t="shared" si="203"/>
        <v/>
      </c>
      <c r="U1886" s="37" t="str">
        <f t="shared" si="204"/>
        <v/>
      </c>
    </row>
    <row r="1887" spans="2:21" ht="17.25">
      <c r="B1887" s="156"/>
      <c r="C1887" s="156"/>
      <c r="D1887" s="157"/>
      <c r="E1887" s="155"/>
      <c r="F1887" s="151"/>
      <c r="G1887" s="152"/>
      <c r="H1887" s="153"/>
      <c r="I1887" s="154"/>
      <c r="J1887" s="154"/>
      <c r="K1887" s="30" t="str">
        <f>IF(H1887="","",IF($C$30="간이법","",FPR(H1887,I1887,J1887)))</f>
        <v/>
      </c>
      <c r="L1887" s="30" t="str">
        <f>IF(H1887="","",IF($C$30="상세법",FPV(H1887,K1887),IF(H1887="EI",4,IF(H1887="EO",5.2,IF(H1887="EQ",3.9,IF(H1887="ILF",7.5,IF(H1887="EIF",5.4)))))))</f>
        <v/>
      </c>
      <c r="M1887" s="30" t="str">
        <f t="shared" si="198"/>
        <v/>
      </c>
      <c r="N1887" s="134"/>
      <c r="O1887" s="29"/>
      <c r="P1887" s="37" t="str">
        <f t="shared" si="199"/>
        <v/>
      </c>
      <c r="Q1887" s="38" t="str">
        <f t="shared" si="200"/>
        <v/>
      </c>
      <c r="R1887" s="37" t="str">
        <f t="shared" si="201"/>
        <v/>
      </c>
      <c r="S1887" s="37" t="str">
        <f t="shared" si="202"/>
        <v/>
      </c>
      <c r="T1887" s="38" t="str">
        <f t="shared" si="203"/>
        <v/>
      </c>
      <c r="U1887" s="37" t="str">
        <f t="shared" si="204"/>
        <v/>
      </c>
    </row>
    <row r="1888" spans="2:21" ht="17.25">
      <c r="B1888" s="156"/>
      <c r="C1888" s="156"/>
      <c r="D1888" s="157"/>
      <c r="E1888" s="155"/>
      <c r="F1888" s="151"/>
      <c r="G1888" s="152"/>
      <c r="H1888" s="153"/>
      <c r="I1888" s="154"/>
      <c r="J1888" s="154"/>
      <c r="K1888" s="30" t="str">
        <f>IF(H1888="","",IF($C$30="간이법","",FPR(H1888,I1888,J1888)))</f>
        <v/>
      </c>
      <c r="L1888" s="30" t="str">
        <f>IF(H1888="","",IF($C$30="상세법",FPV(H1888,K1888),IF(H1888="EI",4,IF(H1888="EO",5.2,IF(H1888="EQ",3.9,IF(H1888="ILF",7.5,IF(H1888="EIF",5.4)))))))</f>
        <v/>
      </c>
      <c r="M1888" s="30" t="str">
        <f t="shared" si="198"/>
        <v/>
      </c>
      <c r="N1888" s="134"/>
      <c r="O1888" s="29"/>
      <c r="P1888" s="37" t="str">
        <f t="shared" si="199"/>
        <v/>
      </c>
      <c r="Q1888" s="38" t="str">
        <f t="shared" si="200"/>
        <v/>
      </c>
      <c r="R1888" s="37" t="str">
        <f t="shared" si="201"/>
        <v/>
      </c>
      <c r="S1888" s="37" t="str">
        <f t="shared" si="202"/>
        <v/>
      </c>
      <c r="T1888" s="38" t="str">
        <f t="shared" si="203"/>
        <v/>
      </c>
      <c r="U1888" s="37" t="str">
        <f t="shared" si="204"/>
        <v/>
      </c>
    </row>
    <row r="1889" spans="2:21" ht="17.25">
      <c r="B1889" s="156"/>
      <c r="C1889" s="156"/>
      <c r="D1889" s="157"/>
      <c r="E1889" s="155"/>
      <c r="F1889" s="151"/>
      <c r="G1889" s="152"/>
      <c r="H1889" s="153"/>
      <c r="I1889" s="154"/>
      <c r="J1889" s="154"/>
      <c r="K1889" s="30" t="str">
        <f>IF(H1889="","",IF($C$30="간이법","",FPR(H1889,I1889,J1889)))</f>
        <v/>
      </c>
      <c r="L1889" s="30" t="str">
        <f>IF(H1889="","",IF($C$30="상세법",FPV(H1889,K1889),IF(H1889="EI",4,IF(H1889="EO",5.2,IF(H1889="EQ",3.9,IF(H1889="ILF",7.5,IF(H1889="EIF",5.4)))))))</f>
        <v/>
      </c>
      <c r="M1889" s="30" t="str">
        <f t="shared" si="198"/>
        <v/>
      </c>
      <c r="N1889" s="134"/>
      <c r="O1889" s="29"/>
      <c r="P1889" s="37" t="str">
        <f t="shared" si="199"/>
        <v/>
      </c>
      <c r="Q1889" s="38" t="str">
        <f t="shared" si="200"/>
        <v/>
      </c>
      <c r="R1889" s="37" t="str">
        <f t="shared" si="201"/>
        <v/>
      </c>
      <c r="S1889" s="37" t="str">
        <f t="shared" si="202"/>
        <v/>
      </c>
      <c r="T1889" s="38" t="str">
        <f t="shared" si="203"/>
        <v/>
      </c>
      <c r="U1889" s="37" t="str">
        <f t="shared" si="204"/>
        <v/>
      </c>
    </row>
    <row r="1890" spans="2:21" ht="17.25">
      <c r="B1890" s="156"/>
      <c r="C1890" s="156"/>
      <c r="D1890" s="157"/>
      <c r="E1890" s="155"/>
      <c r="F1890" s="151"/>
      <c r="G1890" s="152"/>
      <c r="H1890" s="153"/>
      <c r="I1890" s="154"/>
      <c r="J1890" s="154"/>
      <c r="K1890" s="30" t="str">
        <f>IF(H1890="","",IF($C$30="간이법","",FPR(H1890,I1890,J1890)))</f>
        <v/>
      </c>
      <c r="L1890" s="30" t="str">
        <f>IF(H1890="","",IF($C$30="상세법",FPV(H1890,K1890),IF(H1890="EI",4,IF(H1890="EO",5.2,IF(H1890="EQ",3.9,IF(H1890="ILF",7.5,IF(H1890="EIF",5.4)))))))</f>
        <v/>
      </c>
      <c r="M1890" s="30" t="str">
        <f t="shared" si="198"/>
        <v/>
      </c>
      <c r="N1890" s="134"/>
      <c r="O1890" s="29"/>
      <c r="P1890" s="37" t="str">
        <f t="shared" si="199"/>
        <v/>
      </c>
      <c r="Q1890" s="38" t="str">
        <f t="shared" si="200"/>
        <v/>
      </c>
      <c r="R1890" s="37" t="str">
        <f t="shared" si="201"/>
        <v/>
      </c>
      <c r="S1890" s="37" t="str">
        <f t="shared" si="202"/>
        <v/>
      </c>
      <c r="T1890" s="38" t="str">
        <f t="shared" si="203"/>
        <v/>
      </c>
      <c r="U1890" s="37" t="str">
        <f t="shared" si="204"/>
        <v/>
      </c>
    </row>
    <row r="1891" spans="2:21" ht="17.25">
      <c r="B1891" s="156"/>
      <c r="C1891" s="156"/>
      <c r="D1891" s="157"/>
      <c r="E1891" s="155"/>
      <c r="F1891" s="151"/>
      <c r="G1891" s="152"/>
      <c r="H1891" s="153"/>
      <c r="I1891" s="154"/>
      <c r="J1891" s="154"/>
      <c r="K1891" s="30" t="str">
        <f>IF(H1891="","",IF($C$30="간이법","",FPR(H1891,I1891,J1891)))</f>
        <v/>
      </c>
      <c r="L1891" s="30" t="str">
        <f>IF(H1891="","",IF($C$30="상세법",FPV(H1891,K1891),IF(H1891="EI",4,IF(H1891="EO",5.2,IF(H1891="EQ",3.9,IF(H1891="ILF",7.5,IF(H1891="EIF",5.4)))))))</f>
        <v/>
      </c>
      <c r="M1891" s="30" t="str">
        <f t="shared" si="198"/>
        <v/>
      </c>
      <c r="N1891" s="134"/>
      <c r="O1891" s="29"/>
      <c r="P1891" s="37" t="str">
        <f t="shared" si="199"/>
        <v/>
      </c>
      <c r="Q1891" s="38" t="str">
        <f t="shared" si="200"/>
        <v/>
      </c>
      <c r="R1891" s="37" t="str">
        <f t="shared" si="201"/>
        <v/>
      </c>
      <c r="S1891" s="37" t="str">
        <f t="shared" si="202"/>
        <v/>
      </c>
      <c r="T1891" s="38" t="str">
        <f t="shared" si="203"/>
        <v/>
      </c>
      <c r="U1891" s="37" t="str">
        <f t="shared" si="204"/>
        <v/>
      </c>
    </row>
    <row r="1892" spans="2:21" ht="17.25">
      <c r="B1892" s="156"/>
      <c r="C1892" s="156"/>
      <c r="D1892" s="157"/>
      <c r="E1892" s="155"/>
      <c r="F1892" s="151"/>
      <c r="G1892" s="152"/>
      <c r="H1892" s="153"/>
      <c r="I1892" s="154"/>
      <c r="J1892" s="154"/>
      <c r="K1892" s="30" t="str">
        <f>IF(H1892="","",IF($C$30="간이법","",FPR(H1892,I1892,J1892)))</f>
        <v/>
      </c>
      <c r="L1892" s="30" t="str">
        <f>IF(H1892="","",IF($C$30="상세법",FPV(H1892,K1892),IF(H1892="EI",4,IF(H1892="EO",5.2,IF(H1892="EQ",3.9,IF(H1892="ILF",7.5,IF(H1892="EIF",5.4)))))))</f>
        <v/>
      </c>
      <c r="M1892" s="30" t="str">
        <f t="shared" si="198"/>
        <v/>
      </c>
      <c r="N1892" s="134"/>
      <c r="O1892" s="29"/>
      <c r="P1892" s="37" t="str">
        <f t="shared" si="199"/>
        <v/>
      </c>
      <c r="Q1892" s="38" t="str">
        <f t="shared" si="200"/>
        <v/>
      </c>
      <c r="R1892" s="37" t="str">
        <f t="shared" si="201"/>
        <v/>
      </c>
      <c r="S1892" s="37" t="str">
        <f t="shared" si="202"/>
        <v/>
      </c>
      <c r="T1892" s="38" t="str">
        <f t="shared" si="203"/>
        <v/>
      </c>
      <c r="U1892" s="37" t="str">
        <f t="shared" si="204"/>
        <v/>
      </c>
    </row>
    <row r="1893" spans="2:21" ht="17.25">
      <c r="B1893" s="156"/>
      <c r="C1893" s="156"/>
      <c r="D1893" s="157"/>
      <c r="E1893" s="155"/>
      <c r="F1893" s="151"/>
      <c r="G1893" s="152"/>
      <c r="H1893" s="153"/>
      <c r="I1893" s="154"/>
      <c r="J1893" s="154"/>
      <c r="K1893" s="30" t="str">
        <f>IF(H1893="","",IF($C$30="간이법","",FPR(H1893,I1893,J1893)))</f>
        <v/>
      </c>
      <c r="L1893" s="30" t="str">
        <f>IF(H1893="","",IF($C$30="상세법",FPV(H1893,K1893),IF(H1893="EI",4,IF(H1893="EO",5.2,IF(H1893="EQ",3.9,IF(H1893="ILF",7.5,IF(H1893="EIF",5.4)))))))</f>
        <v/>
      </c>
      <c r="M1893" s="30" t="str">
        <f t="shared" si="198"/>
        <v/>
      </c>
      <c r="N1893" s="134"/>
      <c r="O1893" s="29"/>
      <c r="P1893" s="37" t="str">
        <f t="shared" si="199"/>
        <v/>
      </c>
      <c r="Q1893" s="38" t="str">
        <f t="shared" si="200"/>
        <v/>
      </c>
      <c r="R1893" s="37" t="str">
        <f t="shared" si="201"/>
        <v/>
      </c>
      <c r="S1893" s="37" t="str">
        <f t="shared" si="202"/>
        <v/>
      </c>
      <c r="T1893" s="38" t="str">
        <f t="shared" si="203"/>
        <v/>
      </c>
      <c r="U1893" s="37" t="str">
        <f t="shared" si="204"/>
        <v/>
      </c>
    </row>
    <row r="1894" spans="2:21" ht="17.25">
      <c r="B1894" s="156"/>
      <c r="C1894" s="156"/>
      <c r="D1894" s="157"/>
      <c r="E1894" s="155"/>
      <c r="F1894" s="151"/>
      <c r="G1894" s="152"/>
      <c r="H1894" s="153"/>
      <c r="I1894" s="154"/>
      <c r="J1894" s="154"/>
      <c r="K1894" s="30" t="str">
        <f>IF(H1894="","",IF($C$30="간이법","",FPR(H1894,I1894,J1894)))</f>
        <v/>
      </c>
      <c r="L1894" s="30" t="str">
        <f>IF(H1894="","",IF($C$30="상세법",FPV(H1894,K1894),IF(H1894="EI",4,IF(H1894="EO",5.2,IF(H1894="EQ",3.9,IF(H1894="ILF",7.5,IF(H1894="EIF",5.4)))))))</f>
        <v/>
      </c>
      <c r="M1894" s="30" t="str">
        <f t="shared" si="198"/>
        <v/>
      </c>
      <c r="N1894" s="134"/>
      <c r="O1894" s="29"/>
      <c r="P1894" s="37" t="str">
        <f t="shared" si="199"/>
        <v/>
      </c>
      <c r="Q1894" s="38" t="str">
        <f t="shared" si="200"/>
        <v/>
      </c>
      <c r="R1894" s="37" t="str">
        <f t="shared" si="201"/>
        <v/>
      </c>
      <c r="S1894" s="37" t="str">
        <f t="shared" si="202"/>
        <v/>
      </c>
      <c r="T1894" s="38" t="str">
        <f t="shared" si="203"/>
        <v/>
      </c>
      <c r="U1894" s="37" t="str">
        <f t="shared" si="204"/>
        <v/>
      </c>
    </row>
    <row r="1895" spans="2:21" ht="17.25">
      <c r="B1895" s="156"/>
      <c r="C1895" s="156"/>
      <c r="D1895" s="157"/>
      <c r="E1895" s="155"/>
      <c r="F1895" s="151"/>
      <c r="G1895" s="152"/>
      <c r="H1895" s="153"/>
      <c r="I1895" s="154"/>
      <c r="J1895" s="154"/>
      <c r="K1895" s="30" t="str">
        <f>IF(H1895="","",IF($C$30="간이법","",FPR(H1895,I1895,J1895)))</f>
        <v/>
      </c>
      <c r="L1895" s="30" t="str">
        <f>IF(H1895="","",IF($C$30="상세법",FPV(H1895,K1895),IF(H1895="EI",4,IF(H1895="EO",5.2,IF(H1895="EQ",3.9,IF(H1895="ILF",7.5,IF(H1895="EIF",5.4)))))))</f>
        <v/>
      </c>
      <c r="M1895" s="30" t="str">
        <f t="shared" si="198"/>
        <v/>
      </c>
      <c r="N1895" s="134"/>
      <c r="O1895" s="29"/>
      <c r="P1895" s="37" t="str">
        <f t="shared" si="199"/>
        <v/>
      </c>
      <c r="Q1895" s="38" t="str">
        <f t="shared" si="200"/>
        <v/>
      </c>
      <c r="R1895" s="37" t="str">
        <f t="shared" si="201"/>
        <v/>
      </c>
      <c r="S1895" s="37" t="str">
        <f t="shared" si="202"/>
        <v/>
      </c>
      <c r="T1895" s="38" t="str">
        <f t="shared" si="203"/>
        <v/>
      </c>
      <c r="U1895" s="37" t="str">
        <f t="shared" si="204"/>
        <v/>
      </c>
    </row>
    <row r="1896" spans="2:21" ht="17.25">
      <c r="B1896" s="156"/>
      <c r="C1896" s="156"/>
      <c r="D1896" s="157"/>
      <c r="E1896" s="155"/>
      <c r="F1896" s="151"/>
      <c r="G1896" s="152"/>
      <c r="H1896" s="153"/>
      <c r="I1896" s="154"/>
      <c r="J1896" s="154"/>
      <c r="K1896" s="30" t="str">
        <f>IF(H1896="","",IF($C$30="간이법","",FPR(H1896,I1896,J1896)))</f>
        <v/>
      </c>
      <c r="L1896" s="30" t="str">
        <f>IF(H1896="","",IF($C$30="상세법",FPV(H1896,K1896),IF(H1896="EI",4,IF(H1896="EO",5.2,IF(H1896="EQ",3.9,IF(H1896="ILF",7.5,IF(H1896="EIF",5.4)))))))</f>
        <v/>
      </c>
      <c r="M1896" s="30" t="str">
        <f t="shared" si="198"/>
        <v/>
      </c>
      <c r="N1896" s="134"/>
      <c r="O1896" s="29"/>
      <c r="P1896" s="37" t="str">
        <f t="shared" si="199"/>
        <v/>
      </c>
      <c r="Q1896" s="38" t="str">
        <f t="shared" si="200"/>
        <v/>
      </c>
      <c r="R1896" s="37" t="str">
        <f t="shared" si="201"/>
        <v/>
      </c>
      <c r="S1896" s="37" t="str">
        <f t="shared" si="202"/>
        <v/>
      </c>
      <c r="T1896" s="38" t="str">
        <f t="shared" si="203"/>
        <v/>
      </c>
      <c r="U1896" s="37" t="str">
        <f t="shared" si="204"/>
        <v/>
      </c>
    </row>
    <row r="1897" spans="2:21" ht="17.25">
      <c r="B1897" s="156"/>
      <c r="C1897" s="156"/>
      <c r="D1897" s="157"/>
      <c r="E1897" s="155"/>
      <c r="F1897" s="151"/>
      <c r="G1897" s="152"/>
      <c r="H1897" s="153"/>
      <c r="I1897" s="154"/>
      <c r="J1897" s="154"/>
      <c r="K1897" s="30" t="str">
        <f>IF(H1897="","",IF($C$30="간이법","",FPR(H1897,I1897,J1897)))</f>
        <v/>
      </c>
      <c r="L1897" s="30" t="str">
        <f>IF(H1897="","",IF($C$30="상세법",FPV(H1897,K1897),IF(H1897="EI",4,IF(H1897="EO",5.2,IF(H1897="EQ",3.9,IF(H1897="ILF",7.5,IF(H1897="EIF",5.4)))))))</f>
        <v/>
      </c>
      <c r="M1897" s="30" t="str">
        <f t="shared" si="198"/>
        <v/>
      </c>
      <c r="N1897" s="134"/>
      <c r="O1897" s="29"/>
      <c r="P1897" s="37" t="str">
        <f t="shared" si="199"/>
        <v/>
      </c>
      <c r="Q1897" s="38" t="str">
        <f t="shared" si="200"/>
        <v/>
      </c>
      <c r="R1897" s="37" t="str">
        <f t="shared" si="201"/>
        <v/>
      </c>
      <c r="S1897" s="37" t="str">
        <f t="shared" si="202"/>
        <v/>
      </c>
      <c r="T1897" s="38" t="str">
        <f t="shared" si="203"/>
        <v/>
      </c>
      <c r="U1897" s="37" t="str">
        <f t="shared" si="204"/>
        <v/>
      </c>
    </row>
    <row r="1898" spans="2:21" ht="17.25">
      <c r="B1898" s="156"/>
      <c r="C1898" s="156"/>
      <c r="D1898" s="157"/>
      <c r="E1898" s="155"/>
      <c r="F1898" s="151"/>
      <c r="G1898" s="152"/>
      <c r="H1898" s="153"/>
      <c r="I1898" s="154"/>
      <c r="J1898" s="154"/>
      <c r="K1898" s="30" t="str">
        <f>IF(H1898="","",IF($C$30="간이법","",FPR(H1898,I1898,J1898)))</f>
        <v/>
      </c>
      <c r="L1898" s="30" t="str">
        <f>IF(H1898="","",IF($C$30="상세법",FPV(H1898,K1898),IF(H1898="EI",4,IF(H1898="EO",5.2,IF(H1898="EQ",3.9,IF(H1898="ILF",7.5,IF(H1898="EIF",5.4)))))))</f>
        <v/>
      </c>
      <c r="M1898" s="30" t="str">
        <f t="shared" si="198"/>
        <v/>
      </c>
      <c r="N1898" s="134"/>
      <c r="O1898" s="29"/>
      <c r="P1898" s="37" t="str">
        <f t="shared" si="199"/>
        <v/>
      </c>
      <c r="Q1898" s="38" t="str">
        <f t="shared" si="200"/>
        <v/>
      </c>
      <c r="R1898" s="37" t="str">
        <f t="shared" si="201"/>
        <v/>
      </c>
      <c r="S1898" s="37" t="str">
        <f t="shared" si="202"/>
        <v/>
      </c>
      <c r="T1898" s="38" t="str">
        <f t="shared" si="203"/>
        <v/>
      </c>
      <c r="U1898" s="37" t="str">
        <f t="shared" si="204"/>
        <v/>
      </c>
    </row>
    <row r="1899" spans="2:21" ht="17.25">
      <c r="B1899" s="156"/>
      <c r="C1899" s="156"/>
      <c r="D1899" s="157"/>
      <c r="E1899" s="155"/>
      <c r="F1899" s="151"/>
      <c r="G1899" s="152"/>
      <c r="H1899" s="153"/>
      <c r="I1899" s="154"/>
      <c r="J1899" s="154"/>
      <c r="K1899" s="30" t="str">
        <f>IF(H1899="","",IF($C$30="간이법","",FPR(H1899,I1899,J1899)))</f>
        <v/>
      </c>
      <c r="L1899" s="30" t="str">
        <f>IF(H1899="","",IF($C$30="상세법",FPV(H1899,K1899),IF(H1899="EI",4,IF(H1899="EO",5.2,IF(H1899="EQ",3.9,IF(H1899="ILF",7.5,IF(H1899="EIF",5.4)))))))</f>
        <v/>
      </c>
      <c r="M1899" s="30" t="str">
        <f t="shared" si="198"/>
        <v/>
      </c>
      <c r="N1899" s="134"/>
      <c r="O1899" s="29"/>
      <c r="P1899" s="37" t="str">
        <f t="shared" si="199"/>
        <v/>
      </c>
      <c r="Q1899" s="38" t="str">
        <f t="shared" si="200"/>
        <v/>
      </c>
      <c r="R1899" s="37" t="str">
        <f t="shared" si="201"/>
        <v/>
      </c>
      <c r="S1899" s="37" t="str">
        <f t="shared" si="202"/>
        <v/>
      </c>
      <c r="T1899" s="38" t="str">
        <f t="shared" si="203"/>
        <v/>
      </c>
      <c r="U1899" s="37" t="str">
        <f t="shared" si="204"/>
        <v/>
      </c>
    </row>
    <row r="1900" spans="2:21" ht="17.25">
      <c r="B1900" s="156"/>
      <c r="C1900" s="156"/>
      <c r="D1900" s="157"/>
      <c r="E1900" s="155"/>
      <c r="F1900" s="151"/>
      <c r="G1900" s="152"/>
      <c r="H1900" s="153"/>
      <c r="I1900" s="154"/>
      <c r="J1900" s="154"/>
      <c r="K1900" s="30" t="str">
        <f>IF(H1900="","",IF($C$30="간이법","",FPR(H1900,I1900,J1900)))</f>
        <v/>
      </c>
      <c r="L1900" s="30" t="str">
        <f>IF(H1900="","",IF($C$30="상세법",FPV(H1900,K1900),IF(H1900="EI",4,IF(H1900="EO",5.2,IF(H1900="EQ",3.9,IF(H1900="ILF",7.5,IF(H1900="EIF",5.4)))))))</f>
        <v/>
      </c>
      <c r="M1900" s="30" t="str">
        <f t="shared" si="198"/>
        <v/>
      </c>
      <c r="N1900" s="134"/>
      <c r="O1900" s="29"/>
      <c r="P1900" s="37" t="str">
        <f t="shared" si="199"/>
        <v/>
      </c>
      <c r="Q1900" s="38" t="str">
        <f t="shared" si="200"/>
        <v/>
      </c>
      <c r="R1900" s="37" t="str">
        <f t="shared" si="201"/>
        <v/>
      </c>
      <c r="S1900" s="37" t="str">
        <f t="shared" si="202"/>
        <v/>
      </c>
      <c r="T1900" s="38" t="str">
        <f t="shared" si="203"/>
        <v/>
      </c>
      <c r="U1900" s="37" t="str">
        <f t="shared" si="204"/>
        <v/>
      </c>
    </row>
    <row r="1901" spans="2:21" ht="17.25">
      <c r="B1901" s="156"/>
      <c r="C1901" s="156"/>
      <c r="D1901" s="157"/>
      <c r="E1901" s="155"/>
      <c r="F1901" s="151"/>
      <c r="G1901" s="152"/>
      <c r="H1901" s="153"/>
      <c r="I1901" s="154"/>
      <c r="J1901" s="154"/>
      <c r="K1901" s="30" t="str">
        <f>IF(H1901="","",IF($C$30="간이법","",FPR(H1901,I1901,J1901)))</f>
        <v/>
      </c>
      <c r="L1901" s="30" t="str">
        <f>IF(H1901="","",IF($C$30="상세법",FPV(H1901,K1901),IF(H1901="EI",4,IF(H1901="EO",5.2,IF(H1901="EQ",3.9,IF(H1901="ILF",7.5,IF(H1901="EIF",5.4)))))))</f>
        <v/>
      </c>
      <c r="M1901" s="30" t="str">
        <f t="shared" si="198"/>
        <v/>
      </c>
      <c r="N1901" s="134"/>
      <c r="O1901" s="29"/>
      <c r="P1901" s="37" t="str">
        <f t="shared" si="199"/>
        <v/>
      </c>
      <c r="Q1901" s="38" t="str">
        <f t="shared" si="200"/>
        <v/>
      </c>
      <c r="R1901" s="37" t="str">
        <f t="shared" si="201"/>
        <v/>
      </c>
      <c r="S1901" s="37" t="str">
        <f t="shared" si="202"/>
        <v/>
      </c>
      <c r="T1901" s="38" t="str">
        <f t="shared" si="203"/>
        <v/>
      </c>
      <c r="U1901" s="37" t="str">
        <f t="shared" si="204"/>
        <v/>
      </c>
    </row>
    <row r="1902" spans="2:21" ht="17.25">
      <c r="B1902" s="156"/>
      <c r="C1902" s="156"/>
      <c r="D1902" s="157"/>
      <c r="E1902" s="155"/>
      <c r="F1902" s="151"/>
      <c r="G1902" s="152"/>
      <c r="H1902" s="153"/>
      <c r="I1902" s="154"/>
      <c r="J1902" s="154"/>
      <c r="K1902" s="30" t="str">
        <f>IF(H1902="","",IF($C$30="간이법","",FPR(H1902,I1902,J1902)))</f>
        <v/>
      </c>
      <c r="L1902" s="30" t="str">
        <f>IF(H1902="","",IF($C$30="상세법",FPV(H1902,K1902),IF(H1902="EI",4,IF(H1902="EO",5.2,IF(H1902="EQ",3.9,IF(H1902="ILF",7.5,IF(H1902="EIF",5.4)))))))</f>
        <v/>
      </c>
      <c r="M1902" s="30" t="str">
        <f t="shared" si="198"/>
        <v/>
      </c>
      <c r="N1902" s="134"/>
      <c r="O1902" s="29"/>
      <c r="P1902" s="37" t="str">
        <f t="shared" si="199"/>
        <v/>
      </c>
      <c r="Q1902" s="38" t="str">
        <f t="shared" si="200"/>
        <v/>
      </c>
      <c r="R1902" s="37" t="str">
        <f t="shared" si="201"/>
        <v/>
      </c>
      <c r="S1902" s="37" t="str">
        <f t="shared" si="202"/>
        <v/>
      </c>
      <c r="T1902" s="38" t="str">
        <f t="shared" si="203"/>
        <v/>
      </c>
      <c r="U1902" s="37" t="str">
        <f t="shared" si="204"/>
        <v/>
      </c>
    </row>
    <row r="1903" spans="2:21" ht="17.25">
      <c r="B1903" s="156"/>
      <c r="C1903" s="156"/>
      <c r="D1903" s="157"/>
      <c r="E1903" s="155"/>
      <c r="F1903" s="151"/>
      <c r="G1903" s="152"/>
      <c r="H1903" s="153"/>
      <c r="I1903" s="154"/>
      <c r="J1903" s="154"/>
      <c r="K1903" s="30" t="str">
        <f>IF(H1903="","",IF($C$30="간이법","",FPR(H1903,I1903,J1903)))</f>
        <v/>
      </c>
      <c r="L1903" s="30" t="str">
        <f>IF(H1903="","",IF($C$30="상세법",FPV(H1903,K1903),IF(H1903="EI",4,IF(H1903="EO",5.2,IF(H1903="EQ",3.9,IF(H1903="ILF",7.5,IF(H1903="EIF",5.4)))))))</f>
        <v/>
      </c>
      <c r="M1903" s="30" t="str">
        <f t="shared" si="198"/>
        <v/>
      </c>
      <c r="N1903" s="134"/>
      <c r="O1903" s="29"/>
      <c r="P1903" s="37" t="str">
        <f t="shared" si="199"/>
        <v/>
      </c>
      <c r="Q1903" s="38" t="str">
        <f t="shared" si="200"/>
        <v/>
      </c>
      <c r="R1903" s="37" t="str">
        <f t="shared" si="201"/>
        <v/>
      </c>
      <c r="S1903" s="37" t="str">
        <f t="shared" si="202"/>
        <v/>
      </c>
      <c r="T1903" s="38" t="str">
        <f t="shared" si="203"/>
        <v/>
      </c>
      <c r="U1903" s="37" t="str">
        <f t="shared" si="204"/>
        <v/>
      </c>
    </row>
    <row r="1904" spans="2:21" ht="17.25">
      <c r="B1904" s="156"/>
      <c r="C1904" s="156"/>
      <c r="D1904" s="157"/>
      <c r="E1904" s="155"/>
      <c r="F1904" s="151"/>
      <c r="G1904" s="152"/>
      <c r="H1904" s="153"/>
      <c r="I1904" s="154"/>
      <c r="J1904" s="154"/>
      <c r="K1904" s="30" t="str">
        <f>IF(H1904="","",IF($C$30="간이법","",FPR(H1904,I1904,J1904)))</f>
        <v/>
      </c>
      <c r="L1904" s="30" t="str">
        <f>IF(H1904="","",IF($C$30="상세법",FPV(H1904,K1904),IF(H1904="EI",4,IF(H1904="EO",5.2,IF(H1904="EQ",3.9,IF(H1904="ILF",7.5,IF(H1904="EIF",5.4)))))))</f>
        <v/>
      </c>
      <c r="M1904" s="30" t="str">
        <f t="shared" si="198"/>
        <v/>
      </c>
      <c r="N1904" s="134"/>
      <c r="O1904" s="29"/>
      <c r="P1904" s="37" t="str">
        <f t="shared" si="199"/>
        <v/>
      </c>
      <c r="Q1904" s="38" t="str">
        <f t="shared" si="200"/>
        <v/>
      </c>
      <c r="R1904" s="37" t="str">
        <f t="shared" si="201"/>
        <v/>
      </c>
      <c r="S1904" s="37" t="str">
        <f t="shared" si="202"/>
        <v/>
      </c>
      <c r="T1904" s="38" t="str">
        <f t="shared" si="203"/>
        <v/>
      </c>
      <c r="U1904" s="37" t="str">
        <f t="shared" si="204"/>
        <v/>
      </c>
    </row>
    <row r="1905" spans="2:21" ht="17.25">
      <c r="B1905" s="156"/>
      <c r="C1905" s="156"/>
      <c r="D1905" s="157"/>
      <c r="E1905" s="155"/>
      <c r="F1905" s="151"/>
      <c r="G1905" s="152"/>
      <c r="H1905" s="153"/>
      <c r="I1905" s="154"/>
      <c r="J1905" s="154"/>
      <c r="K1905" s="30" t="str">
        <f>IF(H1905="","",IF($C$30="간이법","",FPR(H1905,I1905,J1905)))</f>
        <v/>
      </c>
      <c r="L1905" s="30" t="str">
        <f>IF(H1905="","",IF($C$30="상세법",FPV(H1905,K1905),IF(H1905="EI",4,IF(H1905="EO",5.2,IF(H1905="EQ",3.9,IF(H1905="ILF",7.5,IF(H1905="EIF",5.4)))))))</f>
        <v/>
      </c>
      <c r="M1905" s="30" t="str">
        <f t="shared" si="198"/>
        <v/>
      </c>
      <c r="N1905" s="134"/>
      <c r="O1905" s="29"/>
      <c r="P1905" s="37" t="str">
        <f t="shared" si="199"/>
        <v/>
      </c>
      <c r="Q1905" s="38" t="str">
        <f t="shared" si="200"/>
        <v/>
      </c>
      <c r="R1905" s="37" t="str">
        <f t="shared" si="201"/>
        <v/>
      </c>
      <c r="S1905" s="37" t="str">
        <f t="shared" si="202"/>
        <v/>
      </c>
      <c r="T1905" s="38" t="str">
        <f t="shared" si="203"/>
        <v/>
      </c>
      <c r="U1905" s="37" t="str">
        <f t="shared" si="204"/>
        <v/>
      </c>
    </row>
    <row r="1906" spans="2:21" ht="17.25">
      <c r="B1906" s="156"/>
      <c r="C1906" s="156"/>
      <c r="D1906" s="157"/>
      <c r="E1906" s="155"/>
      <c r="F1906" s="151"/>
      <c r="G1906" s="152"/>
      <c r="H1906" s="153"/>
      <c r="I1906" s="154"/>
      <c r="J1906" s="154"/>
      <c r="K1906" s="30" t="str">
        <f>IF(H1906="","",IF($C$30="간이법","",FPR(H1906,I1906,J1906)))</f>
        <v/>
      </c>
      <c r="L1906" s="30" t="str">
        <f>IF(H1906="","",IF($C$30="상세법",FPV(H1906,K1906),IF(H1906="EI",4,IF(H1906="EO",5.2,IF(H1906="EQ",3.9,IF(H1906="ILF",7.5,IF(H1906="EIF",5.4)))))))</f>
        <v/>
      </c>
      <c r="M1906" s="30" t="str">
        <f t="shared" si="198"/>
        <v/>
      </c>
      <c r="N1906" s="134"/>
      <c r="O1906" s="29"/>
      <c r="P1906" s="37" t="str">
        <f t="shared" si="199"/>
        <v/>
      </c>
      <c r="Q1906" s="38" t="str">
        <f t="shared" si="200"/>
        <v/>
      </c>
      <c r="R1906" s="37" t="str">
        <f t="shared" si="201"/>
        <v/>
      </c>
      <c r="S1906" s="37" t="str">
        <f t="shared" si="202"/>
        <v/>
      </c>
      <c r="T1906" s="38" t="str">
        <f t="shared" si="203"/>
        <v/>
      </c>
      <c r="U1906" s="37" t="str">
        <f t="shared" si="204"/>
        <v/>
      </c>
    </row>
    <row r="1907" spans="2:21" ht="17.25">
      <c r="B1907" s="156"/>
      <c r="C1907" s="156"/>
      <c r="D1907" s="157"/>
      <c r="E1907" s="155"/>
      <c r="F1907" s="151"/>
      <c r="G1907" s="152"/>
      <c r="H1907" s="153"/>
      <c r="I1907" s="154"/>
      <c r="J1907" s="154"/>
      <c r="K1907" s="30" t="str">
        <f>IF(H1907="","",IF($C$30="간이법","",FPR(H1907,I1907,J1907)))</f>
        <v/>
      </c>
      <c r="L1907" s="30" t="str">
        <f>IF(H1907="","",IF($C$30="상세법",FPV(H1907,K1907),IF(H1907="EI",4,IF(H1907="EO",5.2,IF(H1907="EQ",3.9,IF(H1907="ILF",7.5,IF(H1907="EIF",5.4)))))))</f>
        <v/>
      </c>
      <c r="M1907" s="30" t="str">
        <f t="shared" si="198"/>
        <v/>
      </c>
      <c r="N1907" s="134"/>
      <c r="O1907" s="29"/>
      <c r="P1907" s="37" t="str">
        <f t="shared" si="199"/>
        <v/>
      </c>
      <c r="Q1907" s="38" t="str">
        <f t="shared" si="200"/>
        <v/>
      </c>
      <c r="R1907" s="37" t="str">
        <f t="shared" si="201"/>
        <v/>
      </c>
      <c r="S1907" s="37" t="str">
        <f t="shared" si="202"/>
        <v/>
      </c>
      <c r="T1907" s="38" t="str">
        <f t="shared" si="203"/>
        <v/>
      </c>
      <c r="U1907" s="37" t="str">
        <f t="shared" si="204"/>
        <v/>
      </c>
    </row>
    <row r="1908" spans="2:21" ht="17.25">
      <c r="B1908" s="156"/>
      <c r="C1908" s="156"/>
      <c r="D1908" s="157"/>
      <c r="E1908" s="155"/>
      <c r="F1908" s="151"/>
      <c r="G1908" s="152"/>
      <c r="H1908" s="153"/>
      <c r="I1908" s="154"/>
      <c r="J1908" s="154"/>
      <c r="K1908" s="30" t="str">
        <f>IF(H1908="","",IF($C$30="간이법","",FPR(H1908,I1908,J1908)))</f>
        <v/>
      </c>
      <c r="L1908" s="30" t="str">
        <f>IF(H1908="","",IF($C$30="상세법",FPV(H1908,K1908),IF(H1908="EI",4,IF(H1908="EO",5.2,IF(H1908="EQ",3.9,IF(H1908="ILF",7.5,IF(H1908="EIF",5.4)))))))</f>
        <v/>
      </c>
      <c r="M1908" s="30" t="str">
        <f t="shared" si="198"/>
        <v/>
      </c>
      <c r="N1908" s="134"/>
      <c r="O1908" s="29"/>
      <c r="P1908" s="37" t="str">
        <f t="shared" si="199"/>
        <v/>
      </c>
      <c r="Q1908" s="38" t="str">
        <f t="shared" si="200"/>
        <v/>
      </c>
      <c r="R1908" s="37" t="str">
        <f t="shared" si="201"/>
        <v/>
      </c>
      <c r="S1908" s="37" t="str">
        <f t="shared" si="202"/>
        <v/>
      </c>
      <c r="T1908" s="38" t="str">
        <f t="shared" si="203"/>
        <v/>
      </c>
      <c r="U1908" s="37" t="str">
        <f t="shared" si="204"/>
        <v/>
      </c>
    </row>
    <row r="1909" spans="2:21" ht="17.25">
      <c r="B1909" s="156"/>
      <c r="C1909" s="156"/>
      <c r="D1909" s="157"/>
      <c r="E1909" s="155"/>
      <c r="F1909" s="151"/>
      <c r="G1909" s="152"/>
      <c r="H1909" s="153"/>
      <c r="I1909" s="154"/>
      <c r="J1909" s="154"/>
      <c r="K1909" s="30" t="str">
        <f>IF(H1909="","",IF($C$30="간이법","",FPR(H1909,I1909,J1909)))</f>
        <v/>
      </c>
      <c r="L1909" s="30" t="str">
        <f>IF(H1909="","",IF($C$30="상세법",FPV(H1909,K1909),IF(H1909="EI",4,IF(H1909="EO",5.2,IF(H1909="EQ",3.9,IF(H1909="ILF",7.5,IF(H1909="EIF",5.4)))))))</f>
        <v/>
      </c>
      <c r="M1909" s="30" t="str">
        <f t="shared" si="198"/>
        <v/>
      </c>
      <c r="N1909" s="134"/>
      <c r="O1909" s="29"/>
      <c r="P1909" s="37" t="str">
        <f t="shared" si="199"/>
        <v/>
      </c>
      <c r="Q1909" s="38" t="str">
        <f t="shared" si="200"/>
        <v/>
      </c>
      <c r="R1909" s="37" t="str">
        <f t="shared" si="201"/>
        <v/>
      </c>
      <c r="S1909" s="37" t="str">
        <f t="shared" si="202"/>
        <v/>
      </c>
      <c r="T1909" s="38" t="str">
        <f t="shared" si="203"/>
        <v/>
      </c>
      <c r="U1909" s="37" t="str">
        <f t="shared" si="204"/>
        <v/>
      </c>
    </row>
    <row r="1910" spans="2:21" ht="17.25">
      <c r="B1910" s="156"/>
      <c r="C1910" s="156"/>
      <c r="D1910" s="157"/>
      <c r="E1910" s="155"/>
      <c r="F1910" s="151"/>
      <c r="G1910" s="152"/>
      <c r="H1910" s="153"/>
      <c r="I1910" s="154"/>
      <c r="J1910" s="154"/>
      <c r="K1910" s="30" t="str">
        <f>IF(H1910="","",IF($C$30="간이법","",FPR(H1910,I1910,J1910)))</f>
        <v/>
      </c>
      <c r="L1910" s="30" t="str">
        <f>IF(H1910="","",IF($C$30="상세법",FPV(H1910,K1910),IF(H1910="EI",4,IF(H1910="EO",5.2,IF(H1910="EQ",3.9,IF(H1910="ILF",7.5,IF(H1910="EIF",5.4)))))))</f>
        <v/>
      </c>
      <c r="M1910" s="30" t="str">
        <f t="shared" si="198"/>
        <v/>
      </c>
      <c r="N1910" s="134"/>
      <c r="O1910" s="29"/>
      <c r="P1910" s="37" t="str">
        <f t="shared" si="199"/>
        <v/>
      </c>
      <c r="Q1910" s="38" t="str">
        <f t="shared" si="200"/>
        <v/>
      </c>
      <c r="R1910" s="37" t="str">
        <f t="shared" si="201"/>
        <v/>
      </c>
      <c r="S1910" s="37" t="str">
        <f t="shared" si="202"/>
        <v/>
      </c>
      <c r="T1910" s="38" t="str">
        <f t="shared" si="203"/>
        <v/>
      </c>
      <c r="U1910" s="37" t="str">
        <f t="shared" si="204"/>
        <v/>
      </c>
    </row>
    <row r="1911" spans="2:21" ht="17.25">
      <c r="B1911" s="156"/>
      <c r="C1911" s="156"/>
      <c r="D1911" s="157"/>
      <c r="E1911" s="155"/>
      <c r="F1911" s="151"/>
      <c r="G1911" s="152"/>
      <c r="H1911" s="153"/>
      <c r="I1911" s="154"/>
      <c r="J1911" s="154"/>
      <c r="K1911" s="30" t="str">
        <f>IF(H1911="","",IF($C$30="간이법","",FPR(H1911,I1911,J1911)))</f>
        <v/>
      </c>
      <c r="L1911" s="30" t="str">
        <f>IF(H1911="","",IF($C$30="상세법",FPV(H1911,K1911),IF(H1911="EI",4,IF(H1911="EO",5.2,IF(H1911="EQ",3.9,IF(H1911="ILF",7.5,IF(H1911="EIF",5.4)))))))</f>
        <v/>
      </c>
      <c r="M1911" s="30" t="str">
        <f t="shared" si="198"/>
        <v/>
      </c>
      <c r="N1911" s="134"/>
      <c r="O1911" s="29"/>
      <c r="P1911" s="37" t="str">
        <f t="shared" si="199"/>
        <v/>
      </c>
      <c r="Q1911" s="38" t="str">
        <f t="shared" si="200"/>
        <v/>
      </c>
      <c r="R1911" s="37" t="str">
        <f t="shared" si="201"/>
        <v/>
      </c>
      <c r="S1911" s="37" t="str">
        <f t="shared" si="202"/>
        <v/>
      </c>
      <c r="T1911" s="38" t="str">
        <f t="shared" si="203"/>
        <v/>
      </c>
      <c r="U1911" s="37" t="str">
        <f t="shared" si="204"/>
        <v/>
      </c>
    </row>
    <row r="1912" spans="2:21" ht="17.25">
      <c r="B1912" s="156"/>
      <c r="C1912" s="156"/>
      <c r="D1912" s="157"/>
      <c r="E1912" s="155"/>
      <c r="F1912" s="151"/>
      <c r="G1912" s="152"/>
      <c r="H1912" s="153"/>
      <c r="I1912" s="154"/>
      <c r="J1912" s="154"/>
      <c r="K1912" s="30" t="str">
        <f>IF(H1912="","",IF($C$30="간이법","",FPR(H1912,I1912,J1912)))</f>
        <v/>
      </c>
      <c r="L1912" s="30" t="str">
        <f>IF(H1912="","",IF($C$30="상세법",FPV(H1912,K1912),IF(H1912="EI",4,IF(H1912="EO",5.2,IF(H1912="EQ",3.9,IF(H1912="ILF",7.5,IF(H1912="EIF",5.4)))))))</f>
        <v/>
      </c>
      <c r="M1912" s="30" t="str">
        <f t="shared" si="198"/>
        <v/>
      </c>
      <c r="N1912" s="134"/>
      <c r="O1912" s="29"/>
      <c r="P1912" s="37" t="str">
        <f t="shared" si="199"/>
        <v/>
      </c>
      <c r="Q1912" s="38" t="str">
        <f t="shared" si="200"/>
        <v/>
      </c>
      <c r="R1912" s="37" t="str">
        <f t="shared" si="201"/>
        <v/>
      </c>
      <c r="S1912" s="37" t="str">
        <f t="shared" si="202"/>
        <v/>
      </c>
      <c r="T1912" s="38" t="str">
        <f t="shared" si="203"/>
        <v/>
      </c>
      <c r="U1912" s="37" t="str">
        <f t="shared" si="204"/>
        <v/>
      </c>
    </row>
    <row r="1913" spans="2:21" ht="17.25">
      <c r="B1913" s="156"/>
      <c r="C1913" s="156"/>
      <c r="D1913" s="157"/>
      <c r="E1913" s="155"/>
      <c r="F1913" s="151"/>
      <c r="G1913" s="152"/>
      <c r="H1913" s="153"/>
      <c r="I1913" s="154"/>
      <c r="J1913" s="154"/>
      <c r="K1913" s="30" t="str">
        <f>IF(H1913="","",IF($C$30="간이법","",FPR(H1913,I1913,J1913)))</f>
        <v/>
      </c>
      <c r="L1913" s="30" t="str">
        <f>IF(H1913="","",IF($C$30="상세법",FPV(H1913,K1913),IF(H1913="EI",4,IF(H1913="EO",5.2,IF(H1913="EQ",3.9,IF(H1913="ILF",7.5,IF(H1913="EIF",5.4)))))))</f>
        <v/>
      </c>
      <c r="M1913" s="30" t="str">
        <f t="shared" si="198"/>
        <v/>
      </c>
      <c r="N1913" s="134"/>
      <c r="O1913" s="29"/>
      <c r="P1913" s="37" t="str">
        <f t="shared" si="199"/>
        <v/>
      </c>
      <c r="Q1913" s="38" t="str">
        <f t="shared" si="200"/>
        <v/>
      </c>
      <c r="R1913" s="37" t="str">
        <f t="shared" si="201"/>
        <v/>
      </c>
      <c r="S1913" s="37" t="str">
        <f t="shared" si="202"/>
        <v/>
      </c>
      <c r="T1913" s="38" t="str">
        <f t="shared" si="203"/>
        <v/>
      </c>
      <c r="U1913" s="37" t="str">
        <f t="shared" si="204"/>
        <v/>
      </c>
    </row>
    <row r="1914" spans="2:21" ht="17.25">
      <c r="B1914" s="156"/>
      <c r="C1914" s="156"/>
      <c r="D1914" s="157"/>
      <c r="E1914" s="155"/>
      <c r="F1914" s="151"/>
      <c r="G1914" s="152"/>
      <c r="H1914" s="153"/>
      <c r="I1914" s="154"/>
      <c r="J1914" s="154"/>
      <c r="K1914" s="30" t="str">
        <f>IF(H1914="","",IF($C$30="간이법","",FPR(H1914,I1914,J1914)))</f>
        <v/>
      </c>
      <c r="L1914" s="30" t="str">
        <f>IF(H1914="","",IF($C$30="상세법",FPV(H1914,K1914),IF(H1914="EI",4,IF(H1914="EO",5.2,IF(H1914="EQ",3.9,IF(H1914="ILF",7.5,IF(H1914="EIF",5.4)))))))</f>
        <v/>
      </c>
      <c r="M1914" s="30" t="str">
        <f t="shared" si="198"/>
        <v/>
      </c>
      <c r="N1914" s="134"/>
      <c r="O1914" s="29"/>
      <c r="P1914" s="37" t="str">
        <f t="shared" si="199"/>
        <v/>
      </c>
      <c r="Q1914" s="38" t="str">
        <f t="shared" si="200"/>
        <v/>
      </c>
      <c r="R1914" s="37" t="str">
        <f t="shared" si="201"/>
        <v/>
      </c>
      <c r="S1914" s="37" t="str">
        <f t="shared" si="202"/>
        <v/>
      </c>
      <c r="T1914" s="38" t="str">
        <f t="shared" si="203"/>
        <v/>
      </c>
      <c r="U1914" s="37" t="str">
        <f t="shared" si="204"/>
        <v/>
      </c>
    </row>
    <row r="1915" spans="2:21" ht="17.25">
      <c r="B1915" s="156"/>
      <c r="C1915" s="156"/>
      <c r="D1915" s="157"/>
      <c r="E1915" s="155"/>
      <c r="F1915" s="151"/>
      <c r="G1915" s="152"/>
      <c r="H1915" s="153"/>
      <c r="I1915" s="154"/>
      <c r="J1915" s="154"/>
      <c r="K1915" s="30" t="str">
        <f>IF(H1915="","",IF($C$30="간이법","",FPR(H1915,I1915,J1915)))</f>
        <v/>
      </c>
      <c r="L1915" s="30" t="str">
        <f>IF(H1915="","",IF($C$30="상세법",FPV(H1915,K1915),IF(H1915="EI",4,IF(H1915="EO",5.2,IF(H1915="EQ",3.9,IF(H1915="ILF",7.5,IF(H1915="EIF",5.4)))))))</f>
        <v/>
      </c>
      <c r="M1915" s="30" t="str">
        <f t="shared" si="198"/>
        <v/>
      </c>
      <c r="N1915" s="134"/>
      <c r="O1915" s="29"/>
      <c r="P1915" s="37" t="str">
        <f t="shared" si="199"/>
        <v/>
      </c>
      <c r="Q1915" s="38" t="str">
        <f t="shared" si="200"/>
        <v/>
      </c>
      <c r="R1915" s="37" t="str">
        <f t="shared" si="201"/>
        <v/>
      </c>
      <c r="S1915" s="37" t="str">
        <f t="shared" si="202"/>
        <v/>
      </c>
      <c r="T1915" s="38" t="str">
        <f t="shared" si="203"/>
        <v/>
      </c>
      <c r="U1915" s="37" t="str">
        <f t="shared" si="204"/>
        <v/>
      </c>
    </row>
    <row r="1916" spans="2:21" ht="17.25">
      <c r="B1916" s="156"/>
      <c r="C1916" s="156"/>
      <c r="D1916" s="157"/>
      <c r="E1916" s="155"/>
      <c r="F1916" s="151"/>
      <c r="G1916" s="152"/>
      <c r="H1916" s="153"/>
      <c r="I1916" s="154"/>
      <c r="J1916" s="154"/>
      <c r="K1916" s="30" t="str">
        <f>IF(H1916="","",IF($C$30="간이법","",FPR(H1916,I1916,J1916)))</f>
        <v/>
      </c>
      <c r="L1916" s="30" t="str">
        <f>IF(H1916="","",IF($C$30="상세법",FPV(H1916,K1916),IF(H1916="EI",4,IF(H1916="EO",5.2,IF(H1916="EQ",3.9,IF(H1916="ILF",7.5,IF(H1916="EIF",5.4)))))))</f>
        <v/>
      </c>
      <c r="M1916" s="30" t="str">
        <f t="shared" ref="M1916:M1979" si="205">IF(OR(G1916="",$E$36="(선택)",$E$40="(선택)",$E$41="(선택)",F1916="신규 개발",F1916="수정 없이 재사용"),"",(IF(F1916="수정 후 재사용",IF($E$50&lt;=0.5,L1916*($E$36+$E$50*100*(1+0.02*($E$40*$E$41)))/100,L1916*($E$36+$E$50*100+($E$40*$E$41))/100))))</f>
        <v/>
      </c>
      <c r="N1916" s="134"/>
      <c r="O1916" s="29"/>
      <c r="P1916" s="37" t="str">
        <f t="shared" ref="P1916:P1979" si="206">IF(F1916="수정 후 재사용",IF(H1916="ILF",G1916,IF(H1916="EIF",G1916,"")),"")</f>
        <v/>
      </c>
      <c r="Q1916" s="38" t="str">
        <f t="shared" ref="Q1916:Q1979" si="207">IF(P1916&lt;&gt;"",IF(H1916="ILF", L1916/$E$46,IF(H1916="EIF", L1916/$E$46,"")),"")</f>
        <v/>
      </c>
      <c r="R1916" s="37" t="str">
        <f t="shared" ref="R1916:R1979" si="208">IF(P1916&lt;&gt;"",P1916*Q1916,"")</f>
        <v/>
      </c>
      <c r="S1916" s="37" t="str">
        <f t="shared" ref="S1916:S1979" si="209">IF(F1916="수정 후 재사용",IF(H1916="EI",G1916,IF(H1916="EO",G1916,IF(H1916="EQ",G1916,""))),"")</f>
        <v/>
      </c>
      <c r="T1916" s="38" t="str">
        <f t="shared" ref="T1916:T1979" si="210">IF(S1916&lt;&gt;"",IF(H1916="EI",L1916/$E$47,IF(H1916="EO",L1916/$E$47,IF(H1916="EQ",L1916/$E$47,""))),"")</f>
        <v/>
      </c>
      <c r="U1916" s="37" t="str">
        <f t="shared" ref="U1916:U1979" si="211">IF(S1916&lt;&gt;"",S1916*T1916,"")</f>
        <v/>
      </c>
    </row>
    <row r="1917" spans="2:21" ht="17.25">
      <c r="B1917" s="156"/>
      <c r="C1917" s="156"/>
      <c r="D1917" s="157"/>
      <c r="E1917" s="155"/>
      <c r="F1917" s="151"/>
      <c r="G1917" s="152"/>
      <c r="H1917" s="153"/>
      <c r="I1917" s="154"/>
      <c r="J1917" s="154"/>
      <c r="K1917" s="30" t="str">
        <f>IF(H1917="","",IF($C$30="간이법","",FPR(H1917,I1917,J1917)))</f>
        <v/>
      </c>
      <c r="L1917" s="30" t="str">
        <f>IF(H1917="","",IF($C$30="상세법",FPV(H1917,K1917),IF(H1917="EI",4,IF(H1917="EO",5.2,IF(H1917="EQ",3.9,IF(H1917="ILF",7.5,IF(H1917="EIF",5.4)))))))</f>
        <v/>
      </c>
      <c r="M1917" s="30" t="str">
        <f t="shared" si="205"/>
        <v/>
      </c>
      <c r="N1917" s="134"/>
      <c r="O1917" s="29"/>
      <c r="P1917" s="37" t="str">
        <f t="shared" si="206"/>
        <v/>
      </c>
      <c r="Q1917" s="38" t="str">
        <f t="shared" si="207"/>
        <v/>
      </c>
      <c r="R1917" s="37" t="str">
        <f t="shared" si="208"/>
        <v/>
      </c>
      <c r="S1917" s="37" t="str">
        <f t="shared" si="209"/>
        <v/>
      </c>
      <c r="T1917" s="38" t="str">
        <f t="shared" si="210"/>
        <v/>
      </c>
      <c r="U1917" s="37" t="str">
        <f t="shared" si="211"/>
        <v/>
      </c>
    </row>
    <row r="1918" spans="2:21" ht="17.25">
      <c r="B1918" s="156"/>
      <c r="C1918" s="156"/>
      <c r="D1918" s="157"/>
      <c r="E1918" s="155"/>
      <c r="F1918" s="151"/>
      <c r="G1918" s="152"/>
      <c r="H1918" s="153"/>
      <c r="I1918" s="154"/>
      <c r="J1918" s="154"/>
      <c r="K1918" s="30" t="str">
        <f>IF(H1918="","",IF($C$30="간이법","",FPR(H1918,I1918,J1918)))</f>
        <v/>
      </c>
      <c r="L1918" s="30" t="str">
        <f>IF(H1918="","",IF($C$30="상세법",FPV(H1918,K1918),IF(H1918="EI",4,IF(H1918="EO",5.2,IF(H1918="EQ",3.9,IF(H1918="ILF",7.5,IF(H1918="EIF",5.4)))))))</f>
        <v/>
      </c>
      <c r="M1918" s="30" t="str">
        <f t="shared" si="205"/>
        <v/>
      </c>
      <c r="N1918" s="134"/>
      <c r="O1918" s="29"/>
      <c r="P1918" s="37" t="str">
        <f t="shared" si="206"/>
        <v/>
      </c>
      <c r="Q1918" s="38" t="str">
        <f t="shared" si="207"/>
        <v/>
      </c>
      <c r="R1918" s="37" t="str">
        <f t="shared" si="208"/>
        <v/>
      </c>
      <c r="S1918" s="37" t="str">
        <f t="shared" si="209"/>
        <v/>
      </c>
      <c r="T1918" s="38" t="str">
        <f t="shared" si="210"/>
        <v/>
      </c>
      <c r="U1918" s="37" t="str">
        <f t="shared" si="211"/>
        <v/>
      </c>
    </row>
    <row r="1919" spans="2:21" ht="17.25">
      <c r="B1919" s="156"/>
      <c r="C1919" s="156"/>
      <c r="D1919" s="157"/>
      <c r="E1919" s="155"/>
      <c r="F1919" s="151"/>
      <c r="G1919" s="152"/>
      <c r="H1919" s="153"/>
      <c r="I1919" s="154"/>
      <c r="J1919" s="154"/>
      <c r="K1919" s="30" t="str">
        <f>IF(H1919="","",IF($C$30="간이법","",FPR(H1919,I1919,J1919)))</f>
        <v/>
      </c>
      <c r="L1919" s="30" t="str">
        <f>IF(H1919="","",IF($C$30="상세법",FPV(H1919,K1919),IF(H1919="EI",4,IF(H1919="EO",5.2,IF(H1919="EQ",3.9,IF(H1919="ILF",7.5,IF(H1919="EIF",5.4)))))))</f>
        <v/>
      </c>
      <c r="M1919" s="30" t="str">
        <f t="shared" si="205"/>
        <v/>
      </c>
      <c r="N1919" s="134"/>
      <c r="O1919" s="29"/>
      <c r="P1919" s="37" t="str">
        <f t="shared" si="206"/>
        <v/>
      </c>
      <c r="Q1919" s="38" t="str">
        <f t="shared" si="207"/>
        <v/>
      </c>
      <c r="R1919" s="37" t="str">
        <f t="shared" si="208"/>
        <v/>
      </c>
      <c r="S1919" s="37" t="str">
        <f t="shared" si="209"/>
        <v/>
      </c>
      <c r="T1919" s="38" t="str">
        <f t="shared" si="210"/>
        <v/>
      </c>
      <c r="U1919" s="37" t="str">
        <f t="shared" si="211"/>
        <v/>
      </c>
    </row>
    <row r="1920" spans="2:21" ht="17.25">
      <c r="B1920" s="156"/>
      <c r="C1920" s="156"/>
      <c r="D1920" s="157"/>
      <c r="E1920" s="155"/>
      <c r="F1920" s="151"/>
      <c r="G1920" s="152"/>
      <c r="H1920" s="153"/>
      <c r="I1920" s="154"/>
      <c r="J1920" s="154"/>
      <c r="K1920" s="30" t="str">
        <f>IF(H1920="","",IF($C$30="간이법","",FPR(H1920,I1920,J1920)))</f>
        <v/>
      </c>
      <c r="L1920" s="30" t="str">
        <f>IF(H1920="","",IF($C$30="상세법",FPV(H1920,K1920),IF(H1920="EI",4,IF(H1920="EO",5.2,IF(H1920="EQ",3.9,IF(H1920="ILF",7.5,IF(H1920="EIF",5.4)))))))</f>
        <v/>
      </c>
      <c r="M1920" s="30" t="str">
        <f t="shared" si="205"/>
        <v/>
      </c>
      <c r="N1920" s="134"/>
      <c r="O1920" s="29"/>
      <c r="P1920" s="37" t="str">
        <f t="shared" si="206"/>
        <v/>
      </c>
      <c r="Q1920" s="38" t="str">
        <f t="shared" si="207"/>
        <v/>
      </c>
      <c r="R1920" s="37" t="str">
        <f t="shared" si="208"/>
        <v/>
      </c>
      <c r="S1920" s="37" t="str">
        <f t="shared" si="209"/>
        <v/>
      </c>
      <c r="T1920" s="38" t="str">
        <f t="shared" si="210"/>
        <v/>
      </c>
      <c r="U1920" s="37" t="str">
        <f t="shared" si="211"/>
        <v/>
      </c>
    </row>
    <row r="1921" spans="2:21" ht="17.25">
      <c r="B1921" s="156"/>
      <c r="C1921" s="156"/>
      <c r="D1921" s="157"/>
      <c r="E1921" s="155"/>
      <c r="F1921" s="151"/>
      <c r="G1921" s="152"/>
      <c r="H1921" s="153"/>
      <c r="I1921" s="154"/>
      <c r="J1921" s="154"/>
      <c r="K1921" s="30" t="str">
        <f>IF(H1921="","",IF($C$30="간이법","",FPR(H1921,I1921,J1921)))</f>
        <v/>
      </c>
      <c r="L1921" s="30" t="str">
        <f>IF(H1921="","",IF($C$30="상세법",FPV(H1921,K1921),IF(H1921="EI",4,IF(H1921="EO",5.2,IF(H1921="EQ",3.9,IF(H1921="ILF",7.5,IF(H1921="EIF",5.4)))))))</f>
        <v/>
      </c>
      <c r="M1921" s="30" t="str">
        <f t="shared" si="205"/>
        <v/>
      </c>
      <c r="N1921" s="134"/>
      <c r="O1921" s="29"/>
      <c r="P1921" s="37" t="str">
        <f t="shared" si="206"/>
        <v/>
      </c>
      <c r="Q1921" s="38" t="str">
        <f t="shared" si="207"/>
        <v/>
      </c>
      <c r="R1921" s="37" t="str">
        <f t="shared" si="208"/>
        <v/>
      </c>
      <c r="S1921" s="37" t="str">
        <f t="shared" si="209"/>
        <v/>
      </c>
      <c r="T1921" s="38" t="str">
        <f t="shared" si="210"/>
        <v/>
      </c>
      <c r="U1921" s="37" t="str">
        <f t="shared" si="211"/>
        <v/>
      </c>
    </row>
    <row r="1922" spans="2:21" ht="17.25">
      <c r="B1922" s="156"/>
      <c r="C1922" s="156"/>
      <c r="D1922" s="157"/>
      <c r="E1922" s="155"/>
      <c r="F1922" s="151"/>
      <c r="G1922" s="152"/>
      <c r="H1922" s="153"/>
      <c r="I1922" s="154"/>
      <c r="J1922" s="154"/>
      <c r="K1922" s="30" t="str">
        <f>IF(H1922="","",IF($C$30="간이법","",FPR(H1922,I1922,J1922)))</f>
        <v/>
      </c>
      <c r="L1922" s="30" t="str">
        <f>IF(H1922="","",IF($C$30="상세법",FPV(H1922,K1922),IF(H1922="EI",4,IF(H1922="EO",5.2,IF(H1922="EQ",3.9,IF(H1922="ILF",7.5,IF(H1922="EIF",5.4)))))))</f>
        <v/>
      </c>
      <c r="M1922" s="30" t="str">
        <f t="shared" si="205"/>
        <v/>
      </c>
      <c r="N1922" s="134"/>
      <c r="O1922" s="29"/>
      <c r="P1922" s="37" t="str">
        <f t="shared" si="206"/>
        <v/>
      </c>
      <c r="Q1922" s="38" t="str">
        <f t="shared" si="207"/>
        <v/>
      </c>
      <c r="R1922" s="37" t="str">
        <f t="shared" si="208"/>
        <v/>
      </c>
      <c r="S1922" s="37" t="str">
        <f t="shared" si="209"/>
        <v/>
      </c>
      <c r="T1922" s="38" t="str">
        <f t="shared" si="210"/>
        <v/>
      </c>
      <c r="U1922" s="37" t="str">
        <f t="shared" si="211"/>
        <v/>
      </c>
    </row>
    <row r="1923" spans="2:21" ht="17.25">
      <c r="B1923" s="156"/>
      <c r="C1923" s="156"/>
      <c r="D1923" s="157"/>
      <c r="E1923" s="155"/>
      <c r="F1923" s="151"/>
      <c r="G1923" s="152"/>
      <c r="H1923" s="153"/>
      <c r="I1923" s="154"/>
      <c r="J1923" s="154"/>
      <c r="K1923" s="30" t="str">
        <f>IF(H1923="","",IF($C$30="간이법","",FPR(H1923,I1923,J1923)))</f>
        <v/>
      </c>
      <c r="L1923" s="30" t="str">
        <f>IF(H1923="","",IF($C$30="상세법",FPV(H1923,K1923),IF(H1923="EI",4,IF(H1923="EO",5.2,IF(H1923="EQ",3.9,IF(H1923="ILF",7.5,IF(H1923="EIF",5.4)))))))</f>
        <v/>
      </c>
      <c r="M1923" s="30" t="str">
        <f t="shared" si="205"/>
        <v/>
      </c>
      <c r="N1923" s="134"/>
      <c r="O1923" s="29"/>
      <c r="P1923" s="37" t="str">
        <f t="shared" si="206"/>
        <v/>
      </c>
      <c r="Q1923" s="38" t="str">
        <f t="shared" si="207"/>
        <v/>
      </c>
      <c r="R1923" s="37" t="str">
        <f t="shared" si="208"/>
        <v/>
      </c>
      <c r="S1923" s="37" t="str">
        <f t="shared" si="209"/>
        <v/>
      </c>
      <c r="T1923" s="38" t="str">
        <f t="shared" si="210"/>
        <v/>
      </c>
      <c r="U1923" s="37" t="str">
        <f t="shared" si="211"/>
        <v/>
      </c>
    </row>
    <row r="1924" spans="2:21" ht="17.25">
      <c r="B1924" s="156"/>
      <c r="C1924" s="156"/>
      <c r="D1924" s="157"/>
      <c r="E1924" s="155"/>
      <c r="F1924" s="151"/>
      <c r="G1924" s="152"/>
      <c r="H1924" s="153"/>
      <c r="I1924" s="154"/>
      <c r="J1924" s="154"/>
      <c r="K1924" s="30" t="str">
        <f>IF(H1924="","",IF($C$30="간이법","",FPR(H1924,I1924,J1924)))</f>
        <v/>
      </c>
      <c r="L1924" s="30" t="str">
        <f>IF(H1924="","",IF($C$30="상세법",FPV(H1924,K1924),IF(H1924="EI",4,IF(H1924="EO",5.2,IF(H1924="EQ",3.9,IF(H1924="ILF",7.5,IF(H1924="EIF",5.4)))))))</f>
        <v/>
      </c>
      <c r="M1924" s="30" t="str">
        <f t="shared" si="205"/>
        <v/>
      </c>
      <c r="N1924" s="134"/>
      <c r="O1924" s="29"/>
      <c r="P1924" s="37" t="str">
        <f t="shared" si="206"/>
        <v/>
      </c>
      <c r="Q1924" s="38" t="str">
        <f t="shared" si="207"/>
        <v/>
      </c>
      <c r="R1924" s="37" t="str">
        <f t="shared" si="208"/>
        <v/>
      </c>
      <c r="S1924" s="37" t="str">
        <f t="shared" si="209"/>
        <v/>
      </c>
      <c r="T1924" s="38" t="str">
        <f t="shared" si="210"/>
        <v/>
      </c>
      <c r="U1924" s="37" t="str">
        <f t="shared" si="211"/>
        <v/>
      </c>
    </row>
    <row r="1925" spans="2:21" ht="17.25">
      <c r="B1925" s="156"/>
      <c r="C1925" s="156"/>
      <c r="D1925" s="157"/>
      <c r="E1925" s="155"/>
      <c r="F1925" s="151"/>
      <c r="G1925" s="152"/>
      <c r="H1925" s="153"/>
      <c r="I1925" s="154"/>
      <c r="J1925" s="154"/>
      <c r="K1925" s="30" t="str">
        <f>IF(H1925="","",IF($C$30="간이법","",FPR(H1925,I1925,J1925)))</f>
        <v/>
      </c>
      <c r="L1925" s="30" t="str">
        <f>IF(H1925="","",IF($C$30="상세법",FPV(H1925,K1925),IF(H1925="EI",4,IF(H1925="EO",5.2,IF(H1925="EQ",3.9,IF(H1925="ILF",7.5,IF(H1925="EIF",5.4)))))))</f>
        <v/>
      </c>
      <c r="M1925" s="30" t="str">
        <f t="shared" si="205"/>
        <v/>
      </c>
      <c r="N1925" s="134"/>
      <c r="O1925" s="29"/>
      <c r="P1925" s="37" t="str">
        <f t="shared" si="206"/>
        <v/>
      </c>
      <c r="Q1925" s="38" t="str">
        <f t="shared" si="207"/>
        <v/>
      </c>
      <c r="R1925" s="37" t="str">
        <f t="shared" si="208"/>
        <v/>
      </c>
      <c r="S1925" s="37" t="str">
        <f t="shared" si="209"/>
        <v/>
      </c>
      <c r="T1925" s="38" t="str">
        <f t="shared" si="210"/>
        <v/>
      </c>
      <c r="U1925" s="37" t="str">
        <f t="shared" si="211"/>
        <v/>
      </c>
    </row>
    <row r="1926" spans="2:21" ht="17.25">
      <c r="B1926" s="156"/>
      <c r="C1926" s="156"/>
      <c r="D1926" s="157"/>
      <c r="E1926" s="155"/>
      <c r="F1926" s="151"/>
      <c r="G1926" s="152"/>
      <c r="H1926" s="153"/>
      <c r="I1926" s="154"/>
      <c r="J1926" s="154"/>
      <c r="K1926" s="30" t="str">
        <f>IF(H1926="","",IF($C$30="간이법","",FPR(H1926,I1926,J1926)))</f>
        <v/>
      </c>
      <c r="L1926" s="30" t="str">
        <f>IF(H1926="","",IF($C$30="상세법",FPV(H1926,K1926),IF(H1926="EI",4,IF(H1926="EO",5.2,IF(H1926="EQ",3.9,IF(H1926="ILF",7.5,IF(H1926="EIF",5.4)))))))</f>
        <v/>
      </c>
      <c r="M1926" s="30" t="str">
        <f t="shared" si="205"/>
        <v/>
      </c>
      <c r="N1926" s="134"/>
      <c r="O1926" s="29"/>
      <c r="P1926" s="37" t="str">
        <f t="shared" si="206"/>
        <v/>
      </c>
      <c r="Q1926" s="38" t="str">
        <f t="shared" si="207"/>
        <v/>
      </c>
      <c r="R1926" s="37" t="str">
        <f t="shared" si="208"/>
        <v/>
      </c>
      <c r="S1926" s="37" t="str">
        <f t="shared" si="209"/>
        <v/>
      </c>
      <c r="T1926" s="38" t="str">
        <f t="shared" si="210"/>
        <v/>
      </c>
      <c r="U1926" s="37" t="str">
        <f t="shared" si="211"/>
        <v/>
      </c>
    </row>
    <row r="1927" spans="2:21" ht="17.25">
      <c r="B1927" s="156"/>
      <c r="C1927" s="156"/>
      <c r="D1927" s="157"/>
      <c r="E1927" s="155"/>
      <c r="F1927" s="151"/>
      <c r="G1927" s="152"/>
      <c r="H1927" s="153"/>
      <c r="I1927" s="154"/>
      <c r="J1927" s="154"/>
      <c r="K1927" s="30" t="str">
        <f>IF(H1927="","",IF($C$30="간이법","",FPR(H1927,I1927,J1927)))</f>
        <v/>
      </c>
      <c r="L1927" s="30" t="str">
        <f>IF(H1927="","",IF($C$30="상세법",FPV(H1927,K1927),IF(H1927="EI",4,IF(H1927="EO",5.2,IF(H1927="EQ",3.9,IF(H1927="ILF",7.5,IF(H1927="EIF",5.4)))))))</f>
        <v/>
      </c>
      <c r="M1927" s="30" t="str">
        <f t="shared" si="205"/>
        <v/>
      </c>
      <c r="N1927" s="134"/>
      <c r="O1927" s="29"/>
      <c r="P1927" s="37" t="str">
        <f t="shared" si="206"/>
        <v/>
      </c>
      <c r="Q1927" s="38" t="str">
        <f t="shared" si="207"/>
        <v/>
      </c>
      <c r="R1927" s="37" t="str">
        <f t="shared" si="208"/>
        <v/>
      </c>
      <c r="S1927" s="37" t="str">
        <f t="shared" si="209"/>
        <v/>
      </c>
      <c r="T1927" s="38" t="str">
        <f t="shared" si="210"/>
        <v/>
      </c>
      <c r="U1927" s="37" t="str">
        <f t="shared" si="211"/>
        <v/>
      </c>
    </row>
    <row r="1928" spans="2:21" ht="17.25">
      <c r="B1928" s="156"/>
      <c r="C1928" s="156"/>
      <c r="D1928" s="157"/>
      <c r="E1928" s="155"/>
      <c r="F1928" s="151"/>
      <c r="G1928" s="152"/>
      <c r="H1928" s="153"/>
      <c r="I1928" s="154"/>
      <c r="J1928" s="154"/>
      <c r="K1928" s="30" t="str">
        <f>IF(H1928="","",IF($C$30="간이법","",FPR(H1928,I1928,J1928)))</f>
        <v/>
      </c>
      <c r="L1928" s="30" t="str">
        <f>IF(H1928="","",IF($C$30="상세법",FPV(H1928,K1928),IF(H1928="EI",4,IF(H1928="EO",5.2,IF(H1928="EQ",3.9,IF(H1928="ILF",7.5,IF(H1928="EIF",5.4)))))))</f>
        <v/>
      </c>
      <c r="M1928" s="30" t="str">
        <f t="shared" si="205"/>
        <v/>
      </c>
      <c r="N1928" s="134"/>
      <c r="O1928" s="29"/>
      <c r="P1928" s="37" t="str">
        <f t="shared" si="206"/>
        <v/>
      </c>
      <c r="Q1928" s="38" t="str">
        <f t="shared" si="207"/>
        <v/>
      </c>
      <c r="R1928" s="37" t="str">
        <f t="shared" si="208"/>
        <v/>
      </c>
      <c r="S1928" s="37" t="str">
        <f t="shared" si="209"/>
        <v/>
      </c>
      <c r="T1928" s="38" t="str">
        <f t="shared" si="210"/>
        <v/>
      </c>
      <c r="U1928" s="37" t="str">
        <f t="shared" si="211"/>
        <v/>
      </c>
    </row>
    <row r="1929" spans="2:21" ht="17.25">
      <c r="B1929" s="156"/>
      <c r="C1929" s="156"/>
      <c r="D1929" s="157"/>
      <c r="E1929" s="155"/>
      <c r="F1929" s="151"/>
      <c r="G1929" s="152"/>
      <c r="H1929" s="153"/>
      <c r="I1929" s="154"/>
      <c r="J1929" s="154"/>
      <c r="K1929" s="30" t="str">
        <f>IF(H1929="","",IF($C$30="간이법","",FPR(H1929,I1929,J1929)))</f>
        <v/>
      </c>
      <c r="L1929" s="30" t="str">
        <f>IF(H1929="","",IF($C$30="상세법",FPV(H1929,K1929),IF(H1929="EI",4,IF(H1929="EO",5.2,IF(H1929="EQ",3.9,IF(H1929="ILF",7.5,IF(H1929="EIF",5.4)))))))</f>
        <v/>
      </c>
      <c r="M1929" s="30" t="str">
        <f t="shared" si="205"/>
        <v/>
      </c>
      <c r="N1929" s="134"/>
      <c r="O1929" s="29"/>
      <c r="P1929" s="37" t="str">
        <f t="shared" si="206"/>
        <v/>
      </c>
      <c r="Q1929" s="38" t="str">
        <f t="shared" si="207"/>
        <v/>
      </c>
      <c r="R1929" s="37" t="str">
        <f t="shared" si="208"/>
        <v/>
      </c>
      <c r="S1929" s="37" t="str">
        <f t="shared" si="209"/>
        <v/>
      </c>
      <c r="T1929" s="38" t="str">
        <f t="shared" si="210"/>
        <v/>
      </c>
      <c r="U1929" s="37" t="str">
        <f t="shared" si="211"/>
        <v/>
      </c>
    </row>
    <row r="1930" spans="2:21" ht="17.25">
      <c r="B1930" s="156"/>
      <c r="C1930" s="156"/>
      <c r="D1930" s="157"/>
      <c r="E1930" s="155"/>
      <c r="F1930" s="151"/>
      <c r="G1930" s="152"/>
      <c r="H1930" s="153"/>
      <c r="I1930" s="154"/>
      <c r="J1930" s="154"/>
      <c r="K1930" s="30" t="str">
        <f>IF(H1930="","",IF($C$30="간이법","",FPR(H1930,I1930,J1930)))</f>
        <v/>
      </c>
      <c r="L1930" s="30" t="str">
        <f>IF(H1930="","",IF($C$30="상세법",FPV(H1930,K1930),IF(H1930="EI",4,IF(H1930="EO",5.2,IF(H1930="EQ",3.9,IF(H1930="ILF",7.5,IF(H1930="EIF",5.4)))))))</f>
        <v/>
      </c>
      <c r="M1930" s="30" t="str">
        <f t="shared" si="205"/>
        <v/>
      </c>
      <c r="N1930" s="134"/>
      <c r="O1930" s="29"/>
      <c r="P1930" s="37" t="str">
        <f t="shared" si="206"/>
        <v/>
      </c>
      <c r="Q1930" s="38" t="str">
        <f t="shared" si="207"/>
        <v/>
      </c>
      <c r="R1930" s="37" t="str">
        <f t="shared" si="208"/>
        <v/>
      </c>
      <c r="S1930" s="37" t="str">
        <f t="shared" si="209"/>
        <v/>
      </c>
      <c r="T1930" s="38" t="str">
        <f t="shared" si="210"/>
        <v/>
      </c>
      <c r="U1930" s="37" t="str">
        <f t="shared" si="211"/>
        <v/>
      </c>
    </row>
    <row r="1931" spans="2:21" ht="17.25">
      <c r="B1931" s="156"/>
      <c r="C1931" s="156"/>
      <c r="D1931" s="157"/>
      <c r="E1931" s="155"/>
      <c r="F1931" s="151"/>
      <c r="G1931" s="152"/>
      <c r="H1931" s="153"/>
      <c r="I1931" s="154"/>
      <c r="J1931" s="154"/>
      <c r="K1931" s="30" t="str">
        <f>IF(H1931="","",IF($C$30="간이법","",FPR(H1931,I1931,J1931)))</f>
        <v/>
      </c>
      <c r="L1931" s="30" t="str">
        <f>IF(H1931="","",IF($C$30="상세법",FPV(H1931,K1931),IF(H1931="EI",4,IF(H1931="EO",5.2,IF(H1931="EQ",3.9,IF(H1931="ILF",7.5,IF(H1931="EIF",5.4)))))))</f>
        <v/>
      </c>
      <c r="M1931" s="30" t="str">
        <f t="shared" si="205"/>
        <v/>
      </c>
      <c r="N1931" s="134"/>
      <c r="O1931" s="29"/>
      <c r="P1931" s="37" t="str">
        <f t="shared" si="206"/>
        <v/>
      </c>
      <c r="Q1931" s="38" t="str">
        <f t="shared" si="207"/>
        <v/>
      </c>
      <c r="R1931" s="37" t="str">
        <f t="shared" si="208"/>
        <v/>
      </c>
      <c r="S1931" s="37" t="str">
        <f t="shared" si="209"/>
        <v/>
      </c>
      <c r="T1931" s="38" t="str">
        <f t="shared" si="210"/>
        <v/>
      </c>
      <c r="U1931" s="37" t="str">
        <f t="shared" si="211"/>
        <v/>
      </c>
    </row>
    <row r="1932" spans="2:21" ht="17.25">
      <c r="B1932" s="156"/>
      <c r="C1932" s="156"/>
      <c r="D1932" s="157"/>
      <c r="E1932" s="155"/>
      <c r="F1932" s="151"/>
      <c r="G1932" s="152"/>
      <c r="H1932" s="153"/>
      <c r="I1932" s="154"/>
      <c r="J1932" s="154"/>
      <c r="K1932" s="30" t="str">
        <f>IF(H1932="","",IF($C$30="간이법","",FPR(H1932,I1932,J1932)))</f>
        <v/>
      </c>
      <c r="L1932" s="30" t="str">
        <f>IF(H1932="","",IF($C$30="상세법",FPV(H1932,K1932),IF(H1932="EI",4,IF(H1932="EO",5.2,IF(H1932="EQ",3.9,IF(H1932="ILF",7.5,IF(H1932="EIF",5.4)))))))</f>
        <v/>
      </c>
      <c r="M1932" s="30" t="str">
        <f t="shared" si="205"/>
        <v/>
      </c>
      <c r="N1932" s="134"/>
      <c r="O1932" s="29"/>
      <c r="P1932" s="37" t="str">
        <f t="shared" si="206"/>
        <v/>
      </c>
      <c r="Q1932" s="38" t="str">
        <f t="shared" si="207"/>
        <v/>
      </c>
      <c r="R1932" s="37" t="str">
        <f t="shared" si="208"/>
        <v/>
      </c>
      <c r="S1932" s="37" t="str">
        <f t="shared" si="209"/>
        <v/>
      </c>
      <c r="T1932" s="38" t="str">
        <f t="shared" si="210"/>
        <v/>
      </c>
      <c r="U1932" s="37" t="str">
        <f t="shared" si="211"/>
        <v/>
      </c>
    </row>
    <row r="1933" spans="2:21" ht="17.25">
      <c r="B1933" s="156"/>
      <c r="C1933" s="156"/>
      <c r="D1933" s="157"/>
      <c r="E1933" s="155"/>
      <c r="F1933" s="151"/>
      <c r="G1933" s="152"/>
      <c r="H1933" s="153"/>
      <c r="I1933" s="154"/>
      <c r="J1933" s="154"/>
      <c r="K1933" s="30" t="str">
        <f>IF(H1933="","",IF($C$30="간이법","",FPR(H1933,I1933,J1933)))</f>
        <v/>
      </c>
      <c r="L1933" s="30" t="str">
        <f>IF(H1933="","",IF($C$30="상세법",FPV(H1933,K1933),IF(H1933="EI",4,IF(H1933="EO",5.2,IF(H1933="EQ",3.9,IF(H1933="ILF",7.5,IF(H1933="EIF",5.4)))))))</f>
        <v/>
      </c>
      <c r="M1933" s="30" t="str">
        <f t="shared" si="205"/>
        <v/>
      </c>
      <c r="N1933" s="134"/>
      <c r="O1933" s="29"/>
      <c r="P1933" s="37" t="str">
        <f t="shared" si="206"/>
        <v/>
      </c>
      <c r="Q1933" s="38" t="str">
        <f t="shared" si="207"/>
        <v/>
      </c>
      <c r="R1933" s="37" t="str">
        <f t="shared" si="208"/>
        <v/>
      </c>
      <c r="S1933" s="37" t="str">
        <f t="shared" si="209"/>
        <v/>
      </c>
      <c r="T1933" s="38" t="str">
        <f t="shared" si="210"/>
        <v/>
      </c>
      <c r="U1933" s="37" t="str">
        <f t="shared" si="211"/>
        <v/>
      </c>
    </row>
    <row r="1934" spans="2:21" ht="17.25">
      <c r="B1934" s="156"/>
      <c r="C1934" s="156"/>
      <c r="D1934" s="157"/>
      <c r="E1934" s="155"/>
      <c r="F1934" s="151"/>
      <c r="G1934" s="152"/>
      <c r="H1934" s="153"/>
      <c r="I1934" s="154"/>
      <c r="J1934" s="154"/>
      <c r="K1934" s="30" t="str">
        <f>IF(H1934="","",IF($C$30="간이법","",FPR(H1934,I1934,J1934)))</f>
        <v/>
      </c>
      <c r="L1934" s="30" t="str">
        <f>IF(H1934="","",IF($C$30="상세법",FPV(H1934,K1934),IF(H1934="EI",4,IF(H1934="EO",5.2,IF(H1934="EQ",3.9,IF(H1934="ILF",7.5,IF(H1934="EIF",5.4)))))))</f>
        <v/>
      </c>
      <c r="M1934" s="30" t="str">
        <f t="shared" si="205"/>
        <v/>
      </c>
      <c r="N1934" s="134"/>
      <c r="O1934" s="29"/>
      <c r="P1934" s="37" t="str">
        <f t="shared" si="206"/>
        <v/>
      </c>
      <c r="Q1934" s="38" t="str">
        <f t="shared" si="207"/>
        <v/>
      </c>
      <c r="R1934" s="37" t="str">
        <f t="shared" si="208"/>
        <v/>
      </c>
      <c r="S1934" s="37" t="str">
        <f t="shared" si="209"/>
        <v/>
      </c>
      <c r="T1934" s="38" t="str">
        <f t="shared" si="210"/>
        <v/>
      </c>
      <c r="U1934" s="37" t="str">
        <f t="shared" si="211"/>
        <v/>
      </c>
    </row>
    <row r="1935" spans="2:21" ht="17.25">
      <c r="B1935" s="156"/>
      <c r="C1935" s="156"/>
      <c r="D1935" s="157"/>
      <c r="E1935" s="155"/>
      <c r="F1935" s="151"/>
      <c r="G1935" s="152"/>
      <c r="H1935" s="153"/>
      <c r="I1935" s="154"/>
      <c r="J1935" s="154"/>
      <c r="K1935" s="30" t="str">
        <f>IF(H1935="","",IF($C$30="간이법","",FPR(H1935,I1935,J1935)))</f>
        <v/>
      </c>
      <c r="L1935" s="30" t="str">
        <f>IF(H1935="","",IF($C$30="상세법",FPV(H1935,K1935),IF(H1935="EI",4,IF(H1935="EO",5.2,IF(H1935="EQ",3.9,IF(H1935="ILF",7.5,IF(H1935="EIF",5.4)))))))</f>
        <v/>
      </c>
      <c r="M1935" s="30" t="str">
        <f t="shared" si="205"/>
        <v/>
      </c>
      <c r="N1935" s="134"/>
      <c r="O1935" s="29"/>
      <c r="P1935" s="37" t="str">
        <f t="shared" si="206"/>
        <v/>
      </c>
      <c r="Q1935" s="38" t="str">
        <f t="shared" si="207"/>
        <v/>
      </c>
      <c r="R1935" s="37" t="str">
        <f t="shared" si="208"/>
        <v/>
      </c>
      <c r="S1935" s="37" t="str">
        <f t="shared" si="209"/>
        <v/>
      </c>
      <c r="T1935" s="38" t="str">
        <f t="shared" si="210"/>
        <v/>
      </c>
      <c r="U1935" s="37" t="str">
        <f t="shared" si="211"/>
        <v/>
      </c>
    </row>
    <row r="1936" spans="2:21" ht="17.25">
      <c r="B1936" s="156"/>
      <c r="C1936" s="156"/>
      <c r="D1936" s="157"/>
      <c r="E1936" s="155"/>
      <c r="F1936" s="151"/>
      <c r="G1936" s="152"/>
      <c r="H1936" s="153"/>
      <c r="I1936" s="154"/>
      <c r="J1936" s="154"/>
      <c r="K1936" s="30" t="str">
        <f>IF(H1936="","",IF($C$30="간이법","",FPR(H1936,I1936,J1936)))</f>
        <v/>
      </c>
      <c r="L1936" s="30" t="str">
        <f>IF(H1936="","",IF($C$30="상세법",FPV(H1936,K1936),IF(H1936="EI",4,IF(H1936="EO",5.2,IF(H1936="EQ",3.9,IF(H1936="ILF",7.5,IF(H1936="EIF",5.4)))))))</f>
        <v/>
      </c>
      <c r="M1936" s="30" t="str">
        <f t="shared" si="205"/>
        <v/>
      </c>
      <c r="N1936" s="134"/>
      <c r="O1936" s="29"/>
      <c r="P1936" s="37" t="str">
        <f t="shared" si="206"/>
        <v/>
      </c>
      <c r="Q1936" s="38" t="str">
        <f t="shared" si="207"/>
        <v/>
      </c>
      <c r="R1936" s="37" t="str">
        <f t="shared" si="208"/>
        <v/>
      </c>
      <c r="S1936" s="37" t="str">
        <f t="shared" si="209"/>
        <v/>
      </c>
      <c r="T1936" s="38" t="str">
        <f t="shared" si="210"/>
        <v/>
      </c>
      <c r="U1936" s="37" t="str">
        <f t="shared" si="211"/>
        <v/>
      </c>
    </row>
    <row r="1937" spans="2:21" ht="17.25">
      <c r="B1937" s="156"/>
      <c r="C1937" s="156"/>
      <c r="D1937" s="157"/>
      <c r="E1937" s="155"/>
      <c r="F1937" s="151"/>
      <c r="G1937" s="152"/>
      <c r="H1937" s="153"/>
      <c r="I1937" s="154"/>
      <c r="J1937" s="154"/>
      <c r="K1937" s="30" t="str">
        <f>IF(H1937="","",IF($C$30="간이법","",FPR(H1937,I1937,J1937)))</f>
        <v/>
      </c>
      <c r="L1937" s="30" t="str">
        <f>IF(H1937="","",IF($C$30="상세법",FPV(H1937,K1937),IF(H1937="EI",4,IF(H1937="EO",5.2,IF(H1937="EQ",3.9,IF(H1937="ILF",7.5,IF(H1937="EIF",5.4)))))))</f>
        <v/>
      </c>
      <c r="M1937" s="30" t="str">
        <f t="shared" si="205"/>
        <v/>
      </c>
      <c r="N1937" s="134"/>
      <c r="O1937" s="29"/>
      <c r="P1937" s="37" t="str">
        <f t="shared" si="206"/>
        <v/>
      </c>
      <c r="Q1937" s="38" t="str">
        <f t="shared" si="207"/>
        <v/>
      </c>
      <c r="R1937" s="37" t="str">
        <f t="shared" si="208"/>
        <v/>
      </c>
      <c r="S1937" s="37" t="str">
        <f t="shared" si="209"/>
        <v/>
      </c>
      <c r="T1937" s="38" t="str">
        <f t="shared" si="210"/>
        <v/>
      </c>
      <c r="U1937" s="37" t="str">
        <f t="shared" si="211"/>
        <v/>
      </c>
    </row>
    <row r="1938" spans="2:21" ht="17.25">
      <c r="B1938" s="156"/>
      <c r="C1938" s="156"/>
      <c r="D1938" s="157"/>
      <c r="E1938" s="155"/>
      <c r="F1938" s="151"/>
      <c r="G1938" s="152"/>
      <c r="H1938" s="153"/>
      <c r="I1938" s="154"/>
      <c r="J1938" s="154"/>
      <c r="K1938" s="30" t="str">
        <f>IF(H1938="","",IF($C$30="간이법","",FPR(H1938,I1938,J1938)))</f>
        <v/>
      </c>
      <c r="L1938" s="30" t="str">
        <f>IF(H1938="","",IF($C$30="상세법",FPV(H1938,K1938),IF(H1938="EI",4,IF(H1938="EO",5.2,IF(H1938="EQ",3.9,IF(H1938="ILF",7.5,IF(H1938="EIF",5.4)))))))</f>
        <v/>
      </c>
      <c r="M1938" s="30" t="str">
        <f t="shared" si="205"/>
        <v/>
      </c>
      <c r="N1938" s="134"/>
      <c r="O1938" s="29"/>
      <c r="P1938" s="37" t="str">
        <f t="shared" si="206"/>
        <v/>
      </c>
      <c r="Q1938" s="38" t="str">
        <f t="shared" si="207"/>
        <v/>
      </c>
      <c r="R1938" s="37" t="str">
        <f t="shared" si="208"/>
        <v/>
      </c>
      <c r="S1938" s="37" t="str">
        <f t="shared" si="209"/>
        <v/>
      </c>
      <c r="T1938" s="38" t="str">
        <f t="shared" si="210"/>
        <v/>
      </c>
      <c r="U1938" s="37" t="str">
        <f t="shared" si="211"/>
        <v/>
      </c>
    </row>
    <row r="1939" spans="2:21" ht="17.25">
      <c r="B1939" s="156"/>
      <c r="C1939" s="156"/>
      <c r="D1939" s="157"/>
      <c r="E1939" s="155"/>
      <c r="F1939" s="151"/>
      <c r="G1939" s="152"/>
      <c r="H1939" s="153"/>
      <c r="I1939" s="154"/>
      <c r="J1939" s="154"/>
      <c r="K1939" s="30" t="str">
        <f>IF(H1939="","",IF($C$30="간이법","",FPR(H1939,I1939,J1939)))</f>
        <v/>
      </c>
      <c r="L1939" s="30" t="str">
        <f>IF(H1939="","",IF($C$30="상세법",FPV(H1939,K1939),IF(H1939="EI",4,IF(H1939="EO",5.2,IF(H1939="EQ",3.9,IF(H1939="ILF",7.5,IF(H1939="EIF",5.4)))))))</f>
        <v/>
      </c>
      <c r="M1939" s="30" t="str">
        <f t="shared" si="205"/>
        <v/>
      </c>
      <c r="N1939" s="134"/>
      <c r="O1939" s="29"/>
      <c r="P1939" s="37" t="str">
        <f t="shared" si="206"/>
        <v/>
      </c>
      <c r="Q1939" s="38" t="str">
        <f t="shared" si="207"/>
        <v/>
      </c>
      <c r="R1939" s="37" t="str">
        <f t="shared" si="208"/>
        <v/>
      </c>
      <c r="S1939" s="37" t="str">
        <f t="shared" si="209"/>
        <v/>
      </c>
      <c r="T1939" s="38" t="str">
        <f t="shared" si="210"/>
        <v/>
      </c>
      <c r="U1939" s="37" t="str">
        <f t="shared" si="211"/>
        <v/>
      </c>
    </row>
    <row r="1940" spans="2:21" ht="17.25">
      <c r="B1940" s="156"/>
      <c r="C1940" s="156"/>
      <c r="D1940" s="157"/>
      <c r="E1940" s="155"/>
      <c r="F1940" s="151"/>
      <c r="G1940" s="152"/>
      <c r="H1940" s="153"/>
      <c r="I1940" s="154"/>
      <c r="J1940" s="154"/>
      <c r="K1940" s="30" t="str">
        <f>IF(H1940="","",IF($C$30="간이법","",FPR(H1940,I1940,J1940)))</f>
        <v/>
      </c>
      <c r="L1940" s="30" t="str">
        <f>IF(H1940="","",IF($C$30="상세법",FPV(H1940,K1940),IF(H1940="EI",4,IF(H1940="EO",5.2,IF(H1940="EQ",3.9,IF(H1940="ILF",7.5,IF(H1940="EIF",5.4)))))))</f>
        <v/>
      </c>
      <c r="M1940" s="30" t="str">
        <f t="shared" si="205"/>
        <v/>
      </c>
      <c r="N1940" s="134"/>
      <c r="O1940" s="29"/>
      <c r="P1940" s="37" t="str">
        <f t="shared" si="206"/>
        <v/>
      </c>
      <c r="Q1940" s="38" t="str">
        <f t="shared" si="207"/>
        <v/>
      </c>
      <c r="R1940" s="37" t="str">
        <f t="shared" si="208"/>
        <v/>
      </c>
      <c r="S1940" s="37" t="str">
        <f t="shared" si="209"/>
        <v/>
      </c>
      <c r="T1940" s="38" t="str">
        <f t="shared" si="210"/>
        <v/>
      </c>
      <c r="U1940" s="37" t="str">
        <f t="shared" si="211"/>
        <v/>
      </c>
    </row>
    <row r="1941" spans="2:21" ht="17.25">
      <c r="B1941" s="156"/>
      <c r="C1941" s="156"/>
      <c r="D1941" s="157"/>
      <c r="E1941" s="155"/>
      <c r="F1941" s="151"/>
      <c r="G1941" s="152"/>
      <c r="H1941" s="153"/>
      <c r="I1941" s="154"/>
      <c r="J1941" s="154"/>
      <c r="K1941" s="30" t="str">
        <f>IF(H1941="","",IF($C$30="간이법","",FPR(H1941,I1941,J1941)))</f>
        <v/>
      </c>
      <c r="L1941" s="30" t="str">
        <f>IF(H1941="","",IF($C$30="상세법",FPV(H1941,K1941),IF(H1941="EI",4,IF(H1941="EO",5.2,IF(H1941="EQ",3.9,IF(H1941="ILF",7.5,IF(H1941="EIF",5.4)))))))</f>
        <v/>
      </c>
      <c r="M1941" s="30" t="str">
        <f t="shared" si="205"/>
        <v/>
      </c>
      <c r="N1941" s="134"/>
      <c r="O1941" s="29"/>
      <c r="P1941" s="37" t="str">
        <f t="shared" si="206"/>
        <v/>
      </c>
      <c r="Q1941" s="38" t="str">
        <f t="shared" si="207"/>
        <v/>
      </c>
      <c r="R1941" s="37" t="str">
        <f t="shared" si="208"/>
        <v/>
      </c>
      <c r="S1941" s="37" t="str">
        <f t="shared" si="209"/>
        <v/>
      </c>
      <c r="T1941" s="38" t="str">
        <f t="shared" si="210"/>
        <v/>
      </c>
      <c r="U1941" s="37" t="str">
        <f t="shared" si="211"/>
        <v/>
      </c>
    </row>
    <row r="1942" spans="2:21" ht="17.25">
      <c r="B1942" s="156"/>
      <c r="C1942" s="156"/>
      <c r="D1942" s="157"/>
      <c r="E1942" s="155"/>
      <c r="F1942" s="151"/>
      <c r="G1942" s="152"/>
      <c r="H1942" s="153"/>
      <c r="I1942" s="154"/>
      <c r="J1942" s="154"/>
      <c r="K1942" s="30" t="str">
        <f>IF(H1942="","",IF($C$30="간이법","",FPR(H1942,I1942,J1942)))</f>
        <v/>
      </c>
      <c r="L1942" s="30" t="str">
        <f>IF(H1942="","",IF($C$30="상세법",FPV(H1942,K1942),IF(H1942="EI",4,IF(H1942="EO",5.2,IF(H1942="EQ",3.9,IF(H1942="ILF",7.5,IF(H1942="EIF",5.4)))))))</f>
        <v/>
      </c>
      <c r="M1942" s="30" t="str">
        <f t="shared" si="205"/>
        <v/>
      </c>
      <c r="N1942" s="134"/>
      <c r="O1942" s="29"/>
      <c r="P1942" s="37" t="str">
        <f t="shared" si="206"/>
        <v/>
      </c>
      <c r="Q1942" s="38" t="str">
        <f t="shared" si="207"/>
        <v/>
      </c>
      <c r="R1942" s="37" t="str">
        <f t="shared" si="208"/>
        <v/>
      </c>
      <c r="S1942" s="37" t="str">
        <f t="shared" si="209"/>
        <v/>
      </c>
      <c r="T1942" s="38" t="str">
        <f t="shared" si="210"/>
        <v/>
      </c>
      <c r="U1942" s="37" t="str">
        <f t="shared" si="211"/>
        <v/>
      </c>
    </row>
    <row r="1943" spans="2:21" ht="17.25">
      <c r="B1943" s="156"/>
      <c r="C1943" s="156"/>
      <c r="D1943" s="157"/>
      <c r="E1943" s="155"/>
      <c r="F1943" s="151"/>
      <c r="G1943" s="152"/>
      <c r="H1943" s="153"/>
      <c r="I1943" s="154"/>
      <c r="J1943" s="154"/>
      <c r="K1943" s="30" t="str">
        <f>IF(H1943="","",IF($C$30="간이법","",FPR(H1943,I1943,J1943)))</f>
        <v/>
      </c>
      <c r="L1943" s="30" t="str">
        <f>IF(H1943="","",IF($C$30="상세법",FPV(H1943,K1943),IF(H1943="EI",4,IF(H1943="EO",5.2,IF(H1943="EQ",3.9,IF(H1943="ILF",7.5,IF(H1943="EIF",5.4)))))))</f>
        <v/>
      </c>
      <c r="M1943" s="30" t="str">
        <f t="shared" si="205"/>
        <v/>
      </c>
      <c r="N1943" s="134"/>
      <c r="O1943" s="29"/>
      <c r="P1943" s="37" t="str">
        <f t="shared" si="206"/>
        <v/>
      </c>
      <c r="Q1943" s="38" t="str">
        <f t="shared" si="207"/>
        <v/>
      </c>
      <c r="R1943" s="37" t="str">
        <f t="shared" si="208"/>
        <v/>
      </c>
      <c r="S1943" s="37" t="str">
        <f t="shared" si="209"/>
        <v/>
      </c>
      <c r="T1943" s="38" t="str">
        <f t="shared" si="210"/>
        <v/>
      </c>
      <c r="U1943" s="37" t="str">
        <f t="shared" si="211"/>
        <v/>
      </c>
    </row>
    <row r="1944" spans="2:21" ht="17.25">
      <c r="B1944" s="156"/>
      <c r="C1944" s="156"/>
      <c r="D1944" s="157"/>
      <c r="E1944" s="155"/>
      <c r="F1944" s="151"/>
      <c r="G1944" s="152"/>
      <c r="H1944" s="153"/>
      <c r="I1944" s="154"/>
      <c r="J1944" s="154"/>
      <c r="K1944" s="30" t="str">
        <f>IF(H1944="","",IF($C$30="간이법","",FPR(H1944,I1944,J1944)))</f>
        <v/>
      </c>
      <c r="L1944" s="30" t="str">
        <f>IF(H1944="","",IF($C$30="상세법",FPV(H1944,K1944),IF(H1944="EI",4,IF(H1944="EO",5.2,IF(H1944="EQ",3.9,IF(H1944="ILF",7.5,IF(H1944="EIF",5.4)))))))</f>
        <v/>
      </c>
      <c r="M1944" s="30" t="str">
        <f t="shared" si="205"/>
        <v/>
      </c>
      <c r="N1944" s="134"/>
      <c r="O1944" s="29"/>
      <c r="P1944" s="37" t="str">
        <f t="shared" si="206"/>
        <v/>
      </c>
      <c r="Q1944" s="38" t="str">
        <f t="shared" si="207"/>
        <v/>
      </c>
      <c r="R1944" s="37" t="str">
        <f t="shared" si="208"/>
        <v/>
      </c>
      <c r="S1944" s="37" t="str">
        <f t="shared" si="209"/>
        <v/>
      </c>
      <c r="T1944" s="38" t="str">
        <f t="shared" si="210"/>
        <v/>
      </c>
      <c r="U1944" s="37" t="str">
        <f t="shared" si="211"/>
        <v/>
      </c>
    </row>
    <row r="1945" spans="2:21" ht="17.25">
      <c r="B1945" s="156"/>
      <c r="C1945" s="156"/>
      <c r="D1945" s="157"/>
      <c r="E1945" s="155"/>
      <c r="F1945" s="151"/>
      <c r="G1945" s="152"/>
      <c r="H1945" s="153"/>
      <c r="I1945" s="154"/>
      <c r="J1945" s="154"/>
      <c r="K1945" s="30" t="str">
        <f>IF(H1945="","",IF($C$30="간이법","",FPR(H1945,I1945,J1945)))</f>
        <v/>
      </c>
      <c r="L1945" s="30" t="str">
        <f>IF(H1945="","",IF($C$30="상세법",FPV(H1945,K1945),IF(H1945="EI",4,IF(H1945="EO",5.2,IF(H1945="EQ",3.9,IF(H1945="ILF",7.5,IF(H1945="EIF",5.4)))))))</f>
        <v/>
      </c>
      <c r="M1945" s="30" t="str">
        <f t="shared" si="205"/>
        <v/>
      </c>
      <c r="N1945" s="134"/>
      <c r="O1945" s="29"/>
      <c r="P1945" s="37" t="str">
        <f t="shared" si="206"/>
        <v/>
      </c>
      <c r="Q1945" s="38" t="str">
        <f t="shared" si="207"/>
        <v/>
      </c>
      <c r="R1945" s="37" t="str">
        <f t="shared" si="208"/>
        <v/>
      </c>
      <c r="S1945" s="37" t="str">
        <f t="shared" si="209"/>
        <v/>
      </c>
      <c r="T1945" s="38" t="str">
        <f t="shared" si="210"/>
        <v/>
      </c>
      <c r="U1945" s="37" t="str">
        <f t="shared" si="211"/>
        <v/>
      </c>
    </row>
    <row r="1946" spans="2:21" ht="17.25">
      <c r="B1946" s="156"/>
      <c r="C1946" s="156"/>
      <c r="D1946" s="157"/>
      <c r="E1946" s="155"/>
      <c r="F1946" s="151"/>
      <c r="G1946" s="152"/>
      <c r="H1946" s="153"/>
      <c r="I1946" s="154"/>
      <c r="J1946" s="154"/>
      <c r="K1946" s="30" t="str">
        <f>IF(H1946="","",IF($C$30="간이법","",FPR(H1946,I1946,J1946)))</f>
        <v/>
      </c>
      <c r="L1946" s="30" t="str">
        <f>IF(H1946="","",IF($C$30="상세법",FPV(H1946,K1946),IF(H1946="EI",4,IF(H1946="EO",5.2,IF(H1946="EQ",3.9,IF(H1946="ILF",7.5,IF(H1946="EIF",5.4)))))))</f>
        <v/>
      </c>
      <c r="M1946" s="30" t="str">
        <f t="shared" si="205"/>
        <v/>
      </c>
      <c r="N1946" s="134"/>
      <c r="O1946" s="29"/>
      <c r="P1946" s="37" t="str">
        <f t="shared" si="206"/>
        <v/>
      </c>
      <c r="Q1946" s="38" t="str">
        <f t="shared" si="207"/>
        <v/>
      </c>
      <c r="R1946" s="37" t="str">
        <f t="shared" si="208"/>
        <v/>
      </c>
      <c r="S1946" s="37" t="str">
        <f t="shared" si="209"/>
        <v/>
      </c>
      <c r="T1946" s="38" t="str">
        <f t="shared" si="210"/>
        <v/>
      </c>
      <c r="U1946" s="37" t="str">
        <f t="shared" si="211"/>
        <v/>
      </c>
    </row>
    <row r="1947" spans="2:21" ht="17.25">
      <c r="B1947" s="156"/>
      <c r="C1947" s="156"/>
      <c r="D1947" s="157"/>
      <c r="E1947" s="155"/>
      <c r="F1947" s="151"/>
      <c r="G1947" s="152"/>
      <c r="H1947" s="153"/>
      <c r="I1947" s="154"/>
      <c r="J1947" s="154"/>
      <c r="K1947" s="30" t="str">
        <f>IF(H1947="","",IF($C$30="간이법","",FPR(H1947,I1947,J1947)))</f>
        <v/>
      </c>
      <c r="L1947" s="30" t="str">
        <f>IF(H1947="","",IF($C$30="상세법",FPV(H1947,K1947),IF(H1947="EI",4,IF(H1947="EO",5.2,IF(H1947="EQ",3.9,IF(H1947="ILF",7.5,IF(H1947="EIF",5.4)))))))</f>
        <v/>
      </c>
      <c r="M1947" s="30" t="str">
        <f t="shared" si="205"/>
        <v/>
      </c>
      <c r="N1947" s="134"/>
      <c r="O1947" s="29"/>
      <c r="P1947" s="37" t="str">
        <f t="shared" si="206"/>
        <v/>
      </c>
      <c r="Q1947" s="38" t="str">
        <f t="shared" si="207"/>
        <v/>
      </c>
      <c r="R1947" s="37" t="str">
        <f t="shared" si="208"/>
        <v/>
      </c>
      <c r="S1947" s="37" t="str">
        <f t="shared" si="209"/>
        <v/>
      </c>
      <c r="T1947" s="38" t="str">
        <f t="shared" si="210"/>
        <v/>
      </c>
      <c r="U1947" s="37" t="str">
        <f t="shared" si="211"/>
        <v/>
      </c>
    </row>
    <row r="1948" spans="2:21" ht="17.25">
      <c r="B1948" s="156"/>
      <c r="C1948" s="156"/>
      <c r="D1948" s="157"/>
      <c r="E1948" s="155"/>
      <c r="F1948" s="151"/>
      <c r="G1948" s="152"/>
      <c r="H1948" s="153"/>
      <c r="I1948" s="154"/>
      <c r="J1948" s="154"/>
      <c r="K1948" s="30" t="str">
        <f>IF(H1948="","",IF($C$30="간이법","",FPR(H1948,I1948,J1948)))</f>
        <v/>
      </c>
      <c r="L1948" s="30" t="str">
        <f>IF(H1948="","",IF($C$30="상세법",FPV(H1948,K1948),IF(H1948="EI",4,IF(H1948="EO",5.2,IF(H1948="EQ",3.9,IF(H1948="ILF",7.5,IF(H1948="EIF",5.4)))))))</f>
        <v/>
      </c>
      <c r="M1948" s="30" t="str">
        <f t="shared" si="205"/>
        <v/>
      </c>
      <c r="N1948" s="134"/>
      <c r="O1948" s="29"/>
      <c r="P1948" s="37" t="str">
        <f t="shared" si="206"/>
        <v/>
      </c>
      <c r="Q1948" s="38" t="str">
        <f t="shared" si="207"/>
        <v/>
      </c>
      <c r="R1948" s="37" t="str">
        <f t="shared" si="208"/>
        <v/>
      </c>
      <c r="S1948" s="37" t="str">
        <f t="shared" si="209"/>
        <v/>
      </c>
      <c r="T1948" s="38" t="str">
        <f t="shared" si="210"/>
        <v/>
      </c>
      <c r="U1948" s="37" t="str">
        <f t="shared" si="211"/>
        <v/>
      </c>
    </row>
    <row r="1949" spans="2:21" ht="17.25">
      <c r="B1949" s="156"/>
      <c r="C1949" s="156"/>
      <c r="D1949" s="157"/>
      <c r="E1949" s="155"/>
      <c r="F1949" s="151"/>
      <c r="G1949" s="152"/>
      <c r="H1949" s="153"/>
      <c r="I1949" s="154"/>
      <c r="J1949" s="154"/>
      <c r="K1949" s="30" t="str">
        <f>IF(H1949="","",IF($C$30="간이법","",FPR(H1949,I1949,J1949)))</f>
        <v/>
      </c>
      <c r="L1949" s="30" t="str">
        <f>IF(H1949="","",IF($C$30="상세법",FPV(H1949,K1949),IF(H1949="EI",4,IF(H1949="EO",5.2,IF(H1949="EQ",3.9,IF(H1949="ILF",7.5,IF(H1949="EIF",5.4)))))))</f>
        <v/>
      </c>
      <c r="M1949" s="30" t="str">
        <f t="shared" si="205"/>
        <v/>
      </c>
      <c r="N1949" s="134"/>
      <c r="O1949" s="29"/>
      <c r="P1949" s="37" t="str">
        <f t="shared" si="206"/>
        <v/>
      </c>
      <c r="Q1949" s="38" t="str">
        <f t="shared" si="207"/>
        <v/>
      </c>
      <c r="R1949" s="37" t="str">
        <f t="shared" si="208"/>
        <v/>
      </c>
      <c r="S1949" s="37" t="str">
        <f t="shared" si="209"/>
        <v/>
      </c>
      <c r="T1949" s="38" t="str">
        <f t="shared" si="210"/>
        <v/>
      </c>
      <c r="U1949" s="37" t="str">
        <f t="shared" si="211"/>
        <v/>
      </c>
    </row>
    <row r="1950" spans="2:21" ht="17.25">
      <c r="B1950" s="156"/>
      <c r="C1950" s="156"/>
      <c r="D1950" s="157"/>
      <c r="E1950" s="155"/>
      <c r="F1950" s="151"/>
      <c r="G1950" s="152"/>
      <c r="H1950" s="153"/>
      <c r="I1950" s="154"/>
      <c r="J1950" s="154"/>
      <c r="K1950" s="30" t="str">
        <f>IF(H1950="","",IF($C$30="간이법","",FPR(H1950,I1950,J1950)))</f>
        <v/>
      </c>
      <c r="L1950" s="30" t="str">
        <f>IF(H1950="","",IF($C$30="상세법",FPV(H1950,K1950),IF(H1950="EI",4,IF(H1950="EO",5.2,IF(H1950="EQ",3.9,IF(H1950="ILF",7.5,IF(H1950="EIF",5.4)))))))</f>
        <v/>
      </c>
      <c r="M1950" s="30" t="str">
        <f t="shared" si="205"/>
        <v/>
      </c>
      <c r="N1950" s="134"/>
      <c r="O1950" s="29"/>
      <c r="P1950" s="37" t="str">
        <f t="shared" si="206"/>
        <v/>
      </c>
      <c r="Q1950" s="38" t="str">
        <f t="shared" si="207"/>
        <v/>
      </c>
      <c r="R1950" s="37" t="str">
        <f t="shared" si="208"/>
        <v/>
      </c>
      <c r="S1950" s="37" t="str">
        <f t="shared" si="209"/>
        <v/>
      </c>
      <c r="T1950" s="38" t="str">
        <f t="shared" si="210"/>
        <v/>
      </c>
      <c r="U1950" s="37" t="str">
        <f t="shared" si="211"/>
        <v/>
      </c>
    </row>
    <row r="1951" spans="2:21" ht="17.25">
      <c r="B1951" s="156"/>
      <c r="C1951" s="156"/>
      <c r="D1951" s="157"/>
      <c r="E1951" s="155"/>
      <c r="F1951" s="151"/>
      <c r="G1951" s="152"/>
      <c r="H1951" s="153"/>
      <c r="I1951" s="154"/>
      <c r="J1951" s="154"/>
      <c r="K1951" s="30" t="str">
        <f>IF(H1951="","",IF($C$30="간이법","",FPR(H1951,I1951,J1951)))</f>
        <v/>
      </c>
      <c r="L1951" s="30" t="str">
        <f>IF(H1951="","",IF($C$30="상세법",FPV(H1951,K1951),IF(H1951="EI",4,IF(H1951="EO",5.2,IF(H1951="EQ",3.9,IF(H1951="ILF",7.5,IF(H1951="EIF",5.4)))))))</f>
        <v/>
      </c>
      <c r="M1951" s="30" t="str">
        <f t="shared" si="205"/>
        <v/>
      </c>
      <c r="N1951" s="134"/>
      <c r="O1951" s="29"/>
      <c r="P1951" s="37" t="str">
        <f t="shared" si="206"/>
        <v/>
      </c>
      <c r="Q1951" s="38" t="str">
        <f t="shared" si="207"/>
        <v/>
      </c>
      <c r="R1951" s="37" t="str">
        <f t="shared" si="208"/>
        <v/>
      </c>
      <c r="S1951" s="37" t="str">
        <f t="shared" si="209"/>
        <v/>
      </c>
      <c r="T1951" s="38" t="str">
        <f t="shared" si="210"/>
        <v/>
      </c>
      <c r="U1951" s="37" t="str">
        <f t="shared" si="211"/>
        <v/>
      </c>
    </row>
    <row r="1952" spans="2:21" ht="17.25">
      <c r="B1952" s="156"/>
      <c r="C1952" s="156"/>
      <c r="D1952" s="157"/>
      <c r="E1952" s="155"/>
      <c r="F1952" s="151"/>
      <c r="G1952" s="152"/>
      <c r="H1952" s="153"/>
      <c r="I1952" s="154"/>
      <c r="J1952" s="154"/>
      <c r="K1952" s="30" t="str">
        <f>IF(H1952="","",IF($C$30="간이법","",FPR(H1952,I1952,J1952)))</f>
        <v/>
      </c>
      <c r="L1952" s="30" t="str">
        <f>IF(H1952="","",IF($C$30="상세법",FPV(H1952,K1952),IF(H1952="EI",4,IF(H1952="EO",5.2,IF(H1952="EQ",3.9,IF(H1952="ILF",7.5,IF(H1952="EIF",5.4)))))))</f>
        <v/>
      </c>
      <c r="M1952" s="30" t="str">
        <f t="shared" si="205"/>
        <v/>
      </c>
      <c r="N1952" s="134"/>
      <c r="O1952" s="29"/>
      <c r="P1952" s="37" t="str">
        <f t="shared" si="206"/>
        <v/>
      </c>
      <c r="Q1952" s="38" t="str">
        <f t="shared" si="207"/>
        <v/>
      </c>
      <c r="R1952" s="37" t="str">
        <f t="shared" si="208"/>
        <v/>
      </c>
      <c r="S1952" s="37" t="str">
        <f t="shared" si="209"/>
        <v/>
      </c>
      <c r="T1952" s="38" t="str">
        <f t="shared" si="210"/>
        <v/>
      </c>
      <c r="U1952" s="37" t="str">
        <f t="shared" si="211"/>
        <v/>
      </c>
    </row>
    <row r="1953" spans="2:21" ht="17.25">
      <c r="B1953" s="156"/>
      <c r="C1953" s="156"/>
      <c r="D1953" s="157"/>
      <c r="E1953" s="155"/>
      <c r="F1953" s="151"/>
      <c r="G1953" s="152"/>
      <c r="H1953" s="153"/>
      <c r="I1953" s="154"/>
      <c r="J1953" s="154"/>
      <c r="K1953" s="30" t="str">
        <f>IF(H1953="","",IF($C$30="간이법","",FPR(H1953,I1953,J1953)))</f>
        <v/>
      </c>
      <c r="L1953" s="30" t="str">
        <f>IF(H1953="","",IF($C$30="상세법",FPV(H1953,K1953),IF(H1953="EI",4,IF(H1953="EO",5.2,IF(H1953="EQ",3.9,IF(H1953="ILF",7.5,IF(H1953="EIF",5.4)))))))</f>
        <v/>
      </c>
      <c r="M1953" s="30" t="str">
        <f t="shared" si="205"/>
        <v/>
      </c>
      <c r="N1953" s="134"/>
      <c r="O1953" s="29"/>
      <c r="P1953" s="37" t="str">
        <f t="shared" si="206"/>
        <v/>
      </c>
      <c r="Q1953" s="38" t="str">
        <f t="shared" si="207"/>
        <v/>
      </c>
      <c r="R1953" s="37" t="str">
        <f t="shared" si="208"/>
        <v/>
      </c>
      <c r="S1953" s="37" t="str">
        <f t="shared" si="209"/>
        <v/>
      </c>
      <c r="T1953" s="38" t="str">
        <f t="shared" si="210"/>
        <v/>
      </c>
      <c r="U1953" s="37" t="str">
        <f t="shared" si="211"/>
        <v/>
      </c>
    </row>
    <row r="1954" spans="2:21" ht="17.25">
      <c r="B1954" s="156"/>
      <c r="C1954" s="156"/>
      <c r="D1954" s="157"/>
      <c r="E1954" s="155"/>
      <c r="F1954" s="151"/>
      <c r="G1954" s="152"/>
      <c r="H1954" s="153"/>
      <c r="I1954" s="154"/>
      <c r="J1954" s="154"/>
      <c r="K1954" s="30" t="str">
        <f>IF(H1954="","",IF($C$30="간이법","",FPR(H1954,I1954,J1954)))</f>
        <v/>
      </c>
      <c r="L1954" s="30" t="str">
        <f>IF(H1954="","",IF($C$30="상세법",FPV(H1954,K1954),IF(H1954="EI",4,IF(H1954="EO",5.2,IF(H1954="EQ",3.9,IF(H1954="ILF",7.5,IF(H1954="EIF",5.4)))))))</f>
        <v/>
      </c>
      <c r="M1954" s="30" t="str">
        <f t="shared" si="205"/>
        <v/>
      </c>
      <c r="N1954" s="134"/>
      <c r="O1954" s="29"/>
      <c r="P1954" s="37" t="str">
        <f t="shared" si="206"/>
        <v/>
      </c>
      <c r="Q1954" s="38" t="str">
        <f t="shared" si="207"/>
        <v/>
      </c>
      <c r="R1954" s="37" t="str">
        <f t="shared" si="208"/>
        <v/>
      </c>
      <c r="S1954" s="37" t="str">
        <f t="shared" si="209"/>
        <v/>
      </c>
      <c r="T1954" s="38" t="str">
        <f t="shared" si="210"/>
        <v/>
      </c>
      <c r="U1954" s="37" t="str">
        <f t="shared" si="211"/>
        <v/>
      </c>
    </row>
    <row r="1955" spans="2:21" ht="17.25">
      <c r="B1955" s="156"/>
      <c r="C1955" s="156"/>
      <c r="D1955" s="157"/>
      <c r="E1955" s="155"/>
      <c r="F1955" s="151"/>
      <c r="G1955" s="152"/>
      <c r="H1955" s="153"/>
      <c r="I1955" s="154"/>
      <c r="J1955" s="154"/>
      <c r="K1955" s="30" t="str">
        <f>IF(H1955="","",IF($C$30="간이법","",FPR(H1955,I1955,J1955)))</f>
        <v/>
      </c>
      <c r="L1955" s="30" t="str">
        <f>IF(H1955="","",IF($C$30="상세법",FPV(H1955,K1955),IF(H1955="EI",4,IF(H1955="EO",5.2,IF(H1955="EQ",3.9,IF(H1955="ILF",7.5,IF(H1955="EIF",5.4)))))))</f>
        <v/>
      </c>
      <c r="M1955" s="30" t="str">
        <f t="shared" si="205"/>
        <v/>
      </c>
      <c r="N1955" s="134"/>
      <c r="O1955" s="29"/>
      <c r="P1955" s="37" t="str">
        <f t="shared" si="206"/>
        <v/>
      </c>
      <c r="Q1955" s="38" t="str">
        <f t="shared" si="207"/>
        <v/>
      </c>
      <c r="R1955" s="37" t="str">
        <f t="shared" si="208"/>
        <v/>
      </c>
      <c r="S1955" s="37" t="str">
        <f t="shared" si="209"/>
        <v/>
      </c>
      <c r="T1955" s="38" t="str">
        <f t="shared" si="210"/>
        <v/>
      </c>
      <c r="U1955" s="37" t="str">
        <f t="shared" si="211"/>
        <v/>
      </c>
    </row>
    <row r="1956" spans="2:21" ht="17.25">
      <c r="B1956" s="156"/>
      <c r="C1956" s="156"/>
      <c r="D1956" s="157"/>
      <c r="E1956" s="155"/>
      <c r="F1956" s="151"/>
      <c r="G1956" s="152"/>
      <c r="H1956" s="153"/>
      <c r="I1956" s="154"/>
      <c r="J1956" s="154"/>
      <c r="K1956" s="30" t="str">
        <f>IF(H1956="","",IF($C$30="간이법","",FPR(H1956,I1956,J1956)))</f>
        <v/>
      </c>
      <c r="L1956" s="30" t="str">
        <f>IF(H1956="","",IF($C$30="상세법",FPV(H1956,K1956),IF(H1956="EI",4,IF(H1956="EO",5.2,IF(H1956="EQ",3.9,IF(H1956="ILF",7.5,IF(H1956="EIF",5.4)))))))</f>
        <v/>
      </c>
      <c r="M1956" s="30" t="str">
        <f t="shared" si="205"/>
        <v/>
      </c>
      <c r="N1956" s="134"/>
      <c r="O1956" s="29"/>
      <c r="P1956" s="37" t="str">
        <f t="shared" si="206"/>
        <v/>
      </c>
      <c r="Q1956" s="38" t="str">
        <f t="shared" si="207"/>
        <v/>
      </c>
      <c r="R1956" s="37" t="str">
        <f t="shared" si="208"/>
        <v/>
      </c>
      <c r="S1956" s="37" t="str">
        <f t="shared" si="209"/>
        <v/>
      </c>
      <c r="T1956" s="38" t="str">
        <f t="shared" si="210"/>
        <v/>
      </c>
      <c r="U1956" s="37" t="str">
        <f t="shared" si="211"/>
        <v/>
      </c>
    </row>
    <row r="1957" spans="2:21" ht="17.25">
      <c r="B1957" s="156"/>
      <c r="C1957" s="156"/>
      <c r="D1957" s="157"/>
      <c r="E1957" s="155"/>
      <c r="F1957" s="151"/>
      <c r="G1957" s="152"/>
      <c r="H1957" s="153"/>
      <c r="I1957" s="154"/>
      <c r="J1957" s="154"/>
      <c r="K1957" s="30" t="str">
        <f>IF(H1957="","",IF($C$30="간이법","",FPR(H1957,I1957,J1957)))</f>
        <v/>
      </c>
      <c r="L1957" s="30" t="str">
        <f>IF(H1957="","",IF($C$30="상세법",FPV(H1957,K1957),IF(H1957="EI",4,IF(H1957="EO",5.2,IF(H1957="EQ",3.9,IF(H1957="ILF",7.5,IF(H1957="EIF",5.4)))))))</f>
        <v/>
      </c>
      <c r="M1957" s="30" t="str">
        <f t="shared" si="205"/>
        <v/>
      </c>
      <c r="N1957" s="134"/>
      <c r="O1957" s="29"/>
      <c r="P1957" s="37" t="str">
        <f t="shared" si="206"/>
        <v/>
      </c>
      <c r="Q1957" s="38" t="str">
        <f t="shared" si="207"/>
        <v/>
      </c>
      <c r="R1957" s="37" t="str">
        <f t="shared" si="208"/>
        <v/>
      </c>
      <c r="S1957" s="37" t="str">
        <f t="shared" si="209"/>
        <v/>
      </c>
      <c r="T1957" s="38" t="str">
        <f t="shared" si="210"/>
        <v/>
      </c>
      <c r="U1957" s="37" t="str">
        <f t="shared" si="211"/>
        <v/>
      </c>
    </row>
    <row r="1958" spans="2:21" ht="17.25">
      <c r="B1958" s="156"/>
      <c r="C1958" s="156"/>
      <c r="D1958" s="157"/>
      <c r="E1958" s="155"/>
      <c r="F1958" s="151"/>
      <c r="G1958" s="152"/>
      <c r="H1958" s="153"/>
      <c r="I1958" s="154"/>
      <c r="J1958" s="154"/>
      <c r="K1958" s="30" t="str">
        <f>IF(H1958="","",IF($C$30="간이법","",FPR(H1958,I1958,J1958)))</f>
        <v/>
      </c>
      <c r="L1958" s="30" t="str">
        <f>IF(H1958="","",IF($C$30="상세법",FPV(H1958,K1958),IF(H1958="EI",4,IF(H1958="EO",5.2,IF(H1958="EQ",3.9,IF(H1958="ILF",7.5,IF(H1958="EIF",5.4)))))))</f>
        <v/>
      </c>
      <c r="M1958" s="30" t="str">
        <f t="shared" si="205"/>
        <v/>
      </c>
      <c r="N1958" s="134"/>
      <c r="O1958" s="29"/>
      <c r="P1958" s="37" t="str">
        <f t="shared" si="206"/>
        <v/>
      </c>
      <c r="Q1958" s="38" t="str">
        <f t="shared" si="207"/>
        <v/>
      </c>
      <c r="R1958" s="37" t="str">
        <f t="shared" si="208"/>
        <v/>
      </c>
      <c r="S1958" s="37" t="str">
        <f t="shared" si="209"/>
        <v/>
      </c>
      <c r="T1958" s="38" t="str">
        <f t="shared" si="210"/>
        <v/>
      </c>
      <c r="U1958" s="37" t="str">
        <f t="shared" si="211"/>
        <v/>
      </c>
    </row>
    <row r="1959" spans="2:21" ht="17.25">
      <c r="B1959" s="156"/>
      <c r="C1959" s="156"/>
      <c r="D1959" s="157"/>
      <c r="E1959" s="155"/>
      <c r="F1959" s="151"/>
      <c r="G1959" s="152"/>
      <c r="H1959" s="153"/>
      <c r="I1959" s="154"/>
      <c r="J1959" s="154"/>
      <c r="K1959" s="30" t="str">
        <f>IF(H1959="","",IF($C$30="간이법","",FPR(H1959,I1959,J1959)))</f>
        <v/>
      </c>
      <c r="L1959" s="30" t="str">
        <f>IF(H1959="","",IF($C$30="상세법",FPV(H1959,K1959),IF(H1959="EI",4,IF(H1959="EO",5.2,IF(H1959="EQ",3.9,IF(H1959="ILF",7.5,IF(H1959="EIF",5.4)))))))</f>
        <v/>
      </c>
      <c r="M1959" s="30" t="str">
        <f t="shared" si="205"/>
        <v/>
      </c>
      <c r="N1959" s="134"/>
      <c r="O1959" s="29"/>
      <c r="P1959" s="37" t="str">
        <f t="shared" si="206"/>
        <v/>
      </c>
      <c r="Q1959" s="38" t="str">
        <f t="shared" si="207"/>
        <v/>
      </c>
      <c r="R1959" s="37" t="str">
        <f t="shared" si="208"/>
        <v/>
      </c>
      <c r="S1959" s="37" t="str">
        <f t="shared" si="209"/>
        <v/>
      </c>
      <c r="T1959" s="38" t="str">
        <f t="shared" si="210"/>
        <v/>
      </c>
      <c r="U1959" s="37" t="str">
        <f t="shared" si="211"/>
        <v/>
      </c>
    </row>
    <row r="1960" spans="2:21" ht="17.25">
      <c r="B1960" s="156"/>
      <c r="C1960" s="156"/>
      <c r="D1960" s="157"/>
      <c r="E1960" s="155"/>
      <c r="F1960" s="151"/>
      <c r="G1960" s="152"/>
      <c r="H1960" s="153"/>
      <c r="I1960" s="154"/>
      <c r="J1960" s="154"/>
      <c r="K1960" s="30" t="str">
        <f>IF(H1960="","",IF($C$30="간이법","",FPR(H1960,I1960,J1960)))</f>
        <v/>
      </c>
      <c r="L1960" s="30" t="str">
        <f>IF(H1960="","",IF($C$30="상세법",FPV(H1960,K1960),IF(H1960="EI",4,IF(H1960="EO",5.2,IF(H1960="EQ",3.9,IF(H1960="ILF",7.5,IF(H1960="EIF",5.4)))))))</f>
        <v/>
      </c>
      <c r="M1960" s="30" t="str">
        <f t="shared" si="205"/>
        <v/>
      </c>
      <c r="N1960" s="134"/>
      <c r="O1960" s="29"/>
      <c r="P1960" s="37" t="str">
        <f t="shared" si="206"/>
        <v/>
      </c>
      <c r="Q1960" s="38" t="str">
        <f t="shared" si="207"/>
        <v/>
      </c>
      <c r="R1960" s="37" t="str">
        <f t="shared" si="208"/>
        <v/>
      </c>
      <c r="S1960" s="37" t="str">
        <f t="shared" si="209"/>
        <v/>
      </c>
      <c r="T1960" s="38" t="str">
        <f t="shared" si="210"/>
        <v/>
      </c>
      <c r="U1960" s="37" t="str">
        <f t="shared" si="211"/>
        <v/>
      </c>
    </row>
    <row r="1961" spans="2:21" ht="17.25">
      <c r="B1961" s="156"/>
      <c r="C1961" s="156"/>
      <c r="D1961" s="157"/>
      <c r="E1961" s="155"/>
      <c r="F1961" s="151"/>
      <c r="G1961" s="152"/>
      <c r="H1961" s="153"/>
      <c r="I1961" s="154"/>
      <c r="J1961" s="154"/>
      <c r="K1961" s="30" t="str">
        <f>IF(H1961="","",IF($C$30="간이법","",FPR(H1961,I1961,J1961)))</f>
        <v/>
      </c>
      <c r="L1961" s="30" t="str">
        <f>IF(H1961="","",IF($C$30="상세법",FPV(H1961,K1961),IF(H1961="EI",4,IF(H1961="EO",5.2,IF(H1961="EQ",3.9,IF(H1961="ILF",7.5,IF(H1961="EIF",5.4)))))))</f>
        <v/>
      </c>
      <c r="M1961" s="30" t="str">
        <f t="shared" si="205"/>
        <v/>
      </c>
      <c r="N1961" s="134"/>
      <c r="O1961" s="29"/>
      <c r="P1961" s="37" t="str">
        <f t="shared" si="206"/>
        <v/>
      </c>
      <c r="Q1961" s="38" t="str">
        <f t="shared" si="207"/>
        <v/>
      </c>
      <c r="R1961" s="37" t="str">
        <f t="shared" si="208"/>
        <v/>
      </c>
      <c r="S1961" s="37" t="str">
        <f t="shared" si="209"/>
        <v/>
      </c>
      <c r="T1961" s="38" t="str">
        <f t="shared" si="210"/>
        <v/>
      </c>
      <c r="U1961" s="37" t="str">
        <f t="shared" si="211"/>
        <v/>
      </c>
    </row>
    <row r="1962" spans="2:21" ht="17.25">
      <c r="B1962" s="156"/>
      <c r="C1962" s="156"/>
      <c r="D1962" s="157"/>
      <c r="E1962" s="155"/>
      <c r="F1962" s="151"/>
      <c r="G1962" s="152"/>
      <c r="H1962" s="153"/>
      <c r="I1962" s="154"/>
      <c r="J1962" s="154"/>
      <c r="K1962" s="30" t="str">
        <f>IF(H1962="","",IF($C$30="간이법","",FPR(H1962,I1962,J1962)))</f>
        <v/>
      </c>
      <c r="L1962" s="30" t="str">
        <f>IF(H1962="","",IF($C$30="상세법",FPV(H1962,K1962),IF(H1962="EI",4,IF(H1962="EO",5.2,IF(H1962="EQ",3.9,IF(H1962="ILF",7.5,IF(H1962="EIF",5.4)))))))</f>
        <v/>
      </c>
      <c r="M1962" s="30" t="str">
        <f t="shared" si="205"/>
        <v/>
      </c>
      <c r="N1962" s="134"/>
      <c r="O1962" s="29"/>
      <c r="P1962" s="37" t="str">
        <f t="shared" si="206"/>
        <v/>
      </c>
      <c r="Q1962" s="38" t="str">
        <f t="shared" si="207"/>
        <v/>
      </c>
      <c r="R1962" s="37" t="str">
        <f t="shared" si="208"/>
        <v/>
      </c>
      <c r="S1962" s="37" t="str">
        <f t="shared" si="209"/>
        <v/>
      </c>
      <c r="T1962" s="38" t="str">
        <f t="shared" si="210"/>
        <v/>
      </c>
      <c r="U1962" s="37" t="str">
        <f t="shared" si="211"/>
        <v/>
      </c>
    </row>
    <row r="1963" spans="2:21" ht="17.25">
      <c r="B1963" s="156"/>
      <c r="C1963" s="156"/>
      <c r="D1963" s="157"/>
      <c r="E1963" s="155"/>
      <c r="F1963" s="151"/>
      <c r="G1963" s="152"/>
      <c r="H1963" s="153"/>
      <c r="I1963" s="154"/>
      <c r="J1963" s="154"/>
      <c r="K1963" s="30" t="str">
        <f>IF(H1963="","",IF($C$30="간이법","",FPR(H1963,I1963,J1963)))</f>
        <v/>
      </c>
      <c r="L1963" s="30" t="str">
        <f>IF(H1963="","",IF($C$30="상세법",FPV(H1963,K1963),IF(H1963="EI",4,IF(H1963="EO",5.2,IF(H1963="EQ",3.9,IF(H1963="ILF",7.5,IF(H1963="EIF",5.4)))))))</f>
        <v/>
      </c>
      <c r="M1963" s="30" t="str">
        <f t="shared" si="205"/>
        <v/>
      </c>
      <c r="N1963" s="134"/>
      <c r="O1963" s="29"/>
      <c r="P1963" s="37" t="str">
        <f t="shared" si="206"/>
        <v/>
      </c>
      <c r="Q1963" s="38" t="str">
        <f t="shared" si="207"/>
        <v/>
      </c>
      <c r="R1963" s="37" t="str">
        <f t="shared" si="208"/>
        <v/>
      </c>
      <c r="S1963" s="37" t="str">
        <f t="shared" si="209"/>
        <v/>
      </c>
      <c r="T1963" s="38" t="str">
        <f t="shared" si="210"/>
        <v/>
      </c>
      <c r="U1963" s="37" t="str">
        <f t="shared" si="211"/>
        <v/>
      </c>
    </row>
    <row r="1964" spans="2:21" ht="17.25">
      <c r="B1964" s="156"/>
      <c r="C1964" s="156"/>
      <c r="D1964" s="157"/>
      <c r="E1964" s="155"/>
      <c r="F1964" s="151"/>
      <c r="G1964" s="152"/>
      <c r="H1964" s="153"/>
      <c r="I1964" s="154"/>
      <c r="J1964" s="154"/>
      <c r="K1964" s="30" t="str">
        <f>IF(H1964="","",IF($C$30="간이법","",FPR(H1964,I1964,J1964)))</f>
        <v/>
      </c>
      <c r="L1964" s="30" t="str">
        <f>IF(H1964="","",IF($C$30="상세법",FPV(H1964,K1964),IF(H1964="EI",4,IF(H1964="EO",5.2,IF(H1964="EQ",3.9,IF(H1964="ILF",7.5,IF(H1964="EIF",5.4)))))))</f>
        <v/>
      </c>
      <c r="M1964" s="30" t="str">
        <f t="shared" si="205"/>
        <v/>
      </c>
      <c r="N1964" s="134"/>
      <c r="O1964" s="29"/>
      <c r="P1964" s="37" t="str">
        <f t="shared" si="206"/>
        <v/>
      </c>
      <c r="Q1964" s="38" t="str">
        <f t="shared" si="207"/>
        <v/>
      </c>
      <c r="R1964" s="37" t="str">
        <f t="shared" si="208"/>
        <v/>
      </c>
      <c r="S1964" s="37" t="str">
        <f t="shared" si="209"/>
        <v/>
      </c>
      <c r="T1964" s="38" t="str">
        <f t="shared" si="210"/>
        <v/>
      </c>
      <c r="U1964" s="37" t="str">
        <f t="shared" si="211"/>
        <v/>
      </c>
    </row>
    <row r="1965" spans="2:21" ht="17.25">
      <c r="B1965" s="156"/>
      <c r="C1965" s="156"/>
      <c r="D1965" s="157"/>
      <c r="E1965" s="155"/>
      <c r="F1965" s="151"/>
      <c r="G1965" s="152"/>
      <c r="H1965" s="153"/>
      <c r="I1965" s="154"/>
      <c r="J1965" s="154"/>
      <c r="K1965" s="30" t="str">
        <f>IF(H1965="","",IF($C$30="간이법","",FPR(H1965,I1965,J1965)))</f>
        <v/>
      </c>
      <c r="L1965" s="30" t="str">
        <f>IF(H1965="","",IF($C$30="상세법",FPV(H1965,K1965),IF(H1965="EI",4,IF(H1965="EO",5.2,IF(H1965="EQ",3.9,IF(H1965="ILF",7.5,IF(H1965="EIF",5.4)))))))</f>
        <v/>
      </c>
      <c r="M1965" s="30" t="str">
        <f t="shared" si="205"/>
        <v/>
      </c>
      <c r="N1965" s="134"/>
      <c r="O1965" s="29"/>
      <c r="P1965" s="37" t="str">
        <f t="shared" si="206"/>
        <v/>
      </c>
      <c r="Q1965" s="38" t="str">
        <f t="shared" si="207"/>
        <v/>
      </c>
      <c r="R1965" s="37" t="str">
        <f t="shared" si="208"/>
        <v/>
      </c>
      <c r="S1965" s="37" t="str">
        <f t="shared" si="209"/>
        <v/>
      </c>
      <c r="T1965" s="38" t="str">
        <f t="shared" si="210"/>
        <v/>
      </c>
      <c r="U1965" s="37" t="str">
        <f t="shared" si="211"/>
        <v/>
      </c>
    </row>
    <row r="1966" spans="2:21" ht="17.25">
      <c r="B1966" s="156"/>
      <c r="C1966" s="156"/>
      <c r="D1966" s="157"/>
      <c r="E1966" s="155"/>
      <c r="F1966" s="151"/>
      <c r="G1966" s="152"/>
      <c r="H1966" s="153"/>
      <c r="I1966" s="154"/>
      <c r="J1966" s="154"/>
      <c r="K1966" s="30" t="str">
        <f>IF(H1966="","",IF($C$30="간이법","",FPR(H1966,I1966,J1966)))</f>
        <v/>
      </c>
      <c r="L1966" s="30" t="str">
        <f>IF(H1966="","",IF($C$30="상세법",FPV(H1966,K1966),IF(H1966="EI",4,IF(H1966="EO",5.2,IF(H1966="EQ",3.9,IF(H1966="ILF",7.5,IF(H1966="EIF",5.4)))))))</f>
        <v/>
      </c>
      <c r="M1966" s="30" t="str">
        <f t="shared" si="205"/>
        <v/>
      </c>
      <c r="N1966" s="134"/>
      <c r="O1966" s="29"/>
      <c r="P1966" s="37" t="str">
        <f t="shared" si="206"/>
        <v/>
      </c>
      <c r="Q1966" s="38" t="str">
        <f t="shared" si="207"/>
        <v/>
      </c>
      <c r="R1966" s="37" t="str">
        <f t="shared" si="208"/>
        <v/>
      </c>
      <c r="S1966" s="37" t="str">
        <f t="shared" si="209"/>
        <v/>
      </c>
      <c r="T1966" s="38" t="str">
        <f t="shared" si="210"/>
        <v/>
      </c>
      <c r="U1966" s="37" t="str">
        <f t="shared" si="211"/>
        <v/>
      </c>
    </row>
    <row r="1967" spans="2:21" ht="17.25">
      <c r="B1967" s="156"/>
      <c r="C1967" s="156"/>
      <c r="D1967" s="157"/>
      <c r="E1967" s="155"/>
      <c r="F1967" s="151"/>
      <c r="G1967" s="152"/>
      <c r="H1967" s="153"/>
      <c r="I1967" s="154"/>
      <c r="J1967" s="154"/>
      <c r="K1967" s="30" t="str">
        <f>IF(H1967="","",IF($C$30="간이법","",FPR(H1967,I1967,J1967)))</f>
        <v/>
      </c>
      <c r="L1967" s="30" t="str">
        <f>IF(H1967="","",IF($C$30="상세법",FPV(H1967,K1967),IF(H1967="EI",4,IF(H1967="EO",5.2,IF(H1967="EQ",3.9,IF(H1967="ILF",7.5,IF(H1967="EIF",5.4)))))))</f>
        <v/>
      </c>
      <c r="M1967" s="30" t="str">
        <f t="shared" si="205"/>
        <v/>
      </c>
      <c r="N1967" s="134"/>
      <c r="O1967" s="29"/>
      <c r="P1967" s="37" t="str">
        <f t="shared" si="206"/>
        <v/>
      </c>
      <c r="Q1967" s="38" t="str">
        <f t="shared" si="207"/>
        <v/>
      </c>
      <c r="R1967" s="37" t="str">
        <f t="shared" si="208"/>
        <v/>
      </c>
      <c r="S1967" s="37" t="str">
        <f t="shared" si="209"/>
        <v/>
      </c>
      <c r="T1967" s="38" t="str">
        <f t="shared" si="210"/>
        <v/>
      </c>
      <c r="U1967" s="37" t="str">
        <f t="shared" si="211"/>
        <v/>
      </c>
    </row>
    <row r="1968" spans="2:21" ht="17.25">
      <c r="B1968" s="156"/>
      <c r="C1968" s="156"/>
      <c r="D1968" s="157"/>
      <c r="E1968" s="155"/>
      <c r="F1968" s="151"/>
      <c r="G1968" s="152"/>
      <c r="H1968" s="153"/>
      <c r="I1968" s="154"/>
      <c r="J1968" s="154"/>
      <c r="K1968" s="30" t="str">
        <f>IF(H1968="","",IF($C$30="간이법","",FPR(H1968,I1968,J1968)))</f>
        <v/>
      </c>
      <c r="L1968" s="30" t="str">
        <f>IF(H1968="","",IF($C$30="상세법",FPV(H1968,K1968),IF(H1968="EI",4,IF(H1968="EO",5.2,IF(H1968="EQ",3.9,IF(H1968="ILF",7.5,IF(H1968="EIF",5.4)))))))</f>
        <v/>
      </c>
      <c r="M1968" s="30" t="str">
        <f t="shared" si="205"/>
        <v/>
      </c>
      <c r="N1968" s="134"/>
      <c r="O1968" s="29"/>
      <c r="P1968" s="37" t="str">
        <f t="shared" si="206"/>
        <v/>
      </c>
      <c r="Q1968" s="38" t="str">
        <f t="shared" si="207"/>
        <v/>
      </c>
      <c r="R1968" s="37" t="str">
        <f t="shared" si="208"/>
        <v/>
      </c>
      <c r="S1968" s="37" t="str">
        <f t="shared" si="209"/>
        <v/>
      </c>
      <c r="T1968" s="38" t="str">
        <f t="shared" si="210"/>
        <v/>
      </c>
      <c r="U1968" s="37" t="str">
        <f t="shared" si="211"/>
        <v/>
      </c>
    </row>
    <row r="1969" spans="2:21" ht="17.25">
      <c r="B1969" s="156"/>
      <c r="C1969" s="156"/>
      <c r="D1969" s="157"/>
      <c r="E1969" s="155"/>
      <c r="F1969" s="151"/>
      <c r="G1969" s="152"/>
      <c r="H1969" s="153"/>
      <c r="I1969" s="154"/>
      <c r="J1969" s="154"/>
      <c r="K1969" s="30" t="str">
        <f>IF(H1969="","",IF($C$30="간이법","",FPR(H1969,I1969,J1969)))</f>
        <v/>
      </c>
      <c r="L1969" s="30" t="str">
        <f>IF(H1969="","",IF($C$30="상세법",FPV(H1969,K1969),IF(H1969="EI",4,IF(H1969="EO",5.2,IF(H1969="EQ",3.9,IF(H1969="ILF",7.5,IF(H1969="EIF",5.4)))))))</f>
        <v/>
      </c>
      <c r="M1969" s="30" t="str">
        <f t="shared" si="205"/>
        <v/>
      </c>
      <c r="N1969" s="134"/>
      <c r="O1969" s="29"/>
      <c r="P1969" s="37" t="str">
        <f t="shared" si="206"/>
        <v/>
      </c>
      <c r="Q1969" s="38" t="str">
        <f t="shared" si="207"/>
        <v/>
      </c>
      <c r="R1969" s="37" t="str">
        <f t="shared" si="208"/>
        <v/>
      </c>
      <c r="S1969" s="37" t="str">
        <f t="shared" si="209"/>
        <v/>
      </c>
      <c r="T1969" s="38" t="str">
        <f t="shared" si="210"/>
        <v/>
      </c>
      <c r="U1969" s="37" t="str">
        <f t="shared" si="211"/>
        <v/>
      </c>
    </row>
    <row r="1970" spans="2:21" ht="17.25">
      <c r="B1970" s="156"/>
      <c r="C1970" s="156"/>
      <c r="D1970" s="157"/>
      <c r="E1970" s="155"/>
      <c r="F1970" s="151"/>
      <c r="G1970" s="152"/>
      <c r="H1970" s="153"/>
      <c r="I1970" s="154"/>
      <c r="J1970" s="154"/>
      <c r="K1970" s="30" t="str">
        <f>IF(H1970="","",IF($C$30="간이법","",FPR(H1970,I1970,J1970)))</f>
        <v/>
      </c>
      <c r="L1970" s="30" t="str">
        <f>IF(H1970="","",IF($C$30="상세법",FPV(H1970,K1970),IF(H1970="EI",4,IF(H1970="EO",5.2,IF(H1970="EQ",3.9,IF(H1970="ILF",7.5,IF(H1970="EIF",5.4)))))))</f>
        <v/>
      </c>
      <c r="M1970" s="30" t="str">
        <f t="shared" si="205"/>
        <v/>
      </c>
      <c r="N1970" s="134"/>
      <c r="O1970" s="29"/>
      <c r="P1970" s="37" t="str">
        <f t="shared" si="206"/>
        <v/>
      </c>
      <c r="Q1970" s="38" t="str">
        <f t="shared" si="207"/>
        <v/>
      </c>
      <c r="R1970" s="37" t="str">
        <f t="shared" si="208"/>
        <v/>
      </c>
      <c r="S1970" s="37" t="str">
        <f t="shared" si="209"/>
        <v/>
      </c>
      <c r="T1970" s="38" t="str">
        <f t="shared" si="210"/>
        <v/>
      </c>
      <c r="U1970" s="37" t="str">
        <f t="shared" si="211"/>
        <v/>
      </c>
    </row>
    <row r="1971" spans="2:21" ht="17.25">
      <c r="B1971" s="156"/>
      <c r="C1971" s="156"/>
      <c r="D1971" s="157"/>
      <c r="E1971" s="155"/>
      <c r="F1971" s="151"/>
      <c r="G1971" s="152"/>
      <c r="H1971" s="153"/>
      <c r="I1971" s="154"/>
      <c r="J1971" s="154"/>
      <c r="K1971" s="30" t="str">
        <f>IF(H1971="","",IF($C$30="간이법","",FPR(H1971,I1971,J1971)))</f>
        <v/>
      </c>
      <c r="L1971" s="30" t="str">
        <f>IF(H1971="","",IF($C$30="상세법",FPV(H1971,K1971),IF(H1971="EI",4,IF(H1971="EO",5.2,IF(H1971="EQ",3.9,IF(H1971="ILF",7.5,IF(H1971="EIF",5.4)))))))</f>
        <v/>
      </c>
      <c r="M1971" s="30" t="str">
        <f t="shared" si="205"/>
        <v/>
      </c>
      <c r="N1971" s="134"/>
      <c r="O1971" s="29"/>
      <c r="P1971" s="37" t="str">
        <f t="shared" si="206"/>
        <v/>
      </c>
      <c r="Q1971" s="38" t="str">
        <f t="shared" si="207"/>
        <v/>
      </c>
      <c r="R1971" s="37" t="str">
        <f t="shared" si="208"/>
        <v/>
      </c>
      <c r="S1971" s="37" t="str">
        <f t="shared" si="209"/>
        <v/>
      </c>
      <c r="T1971" s="38" t="str">
        <f t="shared" si="210"/>
        <v/>
      </c>
      <c r="U1971" s="37" t="str">
        <f t="shared" si="211"/>
        <v/>
      </c>
    </row>
    <row r="1972" spans="2:21" ht="17.25">
      <c r="B1972" s="156"/>
      <c r="C1972" s="156"/>
      <c r="D1972" s="157"/>
      <c r="E1972" s="155"/>
      <c r="F1972" s="151"/>
      <c r="G1972" s="152"/>
      <c r="H1972" s="153"/>
      <c r="I1972" s="154"/>
      <c r="J1972" s="154"/>
      <c r="K1972" s="30" t="str">
        <f>IF(H1972="","",IF($C$30="간이법","",FPR(H1972,I1972,J1972)))</f>
        <v/>
      </c>
      <c r="L1972" s="30" t="str">
        <f>IF(H1972="","",IF($C$30="상세법",FPV(H1972,K1972),IF(H1972="EI",4,IF(H1972="EO",5.2,IF(H1972="EQ",3.9,IF(H1972="ILF",7.5,IF(H1972="EIF",5.4)))))))</f>
        <v/>
      </c>
      <c r="M1972" s="30" t="str">
        <f t="shared" si="205"/>
        <v/>
      </c>
      <c r="N1972" s="134"/>
      <c r="O1972" s="29"/>
      <c r="P1972" s="37" t="str">
        <f t="shared" si="206"/>
        <v/>
      </c>
      <c r="Q1972" s="38" t="str">
        <f t="shared" si="207"/>
        <v/>
      </c>
      <c r="R1972" s="37" t="str">
        <f t="shared" si="208"/>
        <v/>
      </c>
      <c r="S1972" s="37" t="str">
        <f t="shared" si="209"/>
        <v/>
      </c>
      <c r="T1972" s="38" t="str">
        <f t="shared" si="210"/>
        <v/>
      </c>
      <c r="U1972" s="37" t="str">
        <f t="shared" si="211"/>
        <v/>
      </c>
    </row>
    <row r="1973" spans="2:21" ht="17.25">
      <c r="B1973" s="156"/>
      <c r="C1973" s="156"/>
      <c r="D1973" s="157"/>
      <c r="E1973" s="155"/>
      <c r="F1973" s="151"/>
      <c r="G1973" s="152"/>
      <c r="H1973" s="153"/>
      <c r="I1973" s="154"/>
      <c r="J1973" s="154"/>
      <c r="K1973" s="30" t="str">
        <f>IF(H1973="","",IF($C$30="간이법","",FPR(H1973,I1973,J1973)))</f>
        <v/>
      </c>
      <c r="L1973" s="30" t="str">
        <f>IF(H1973="","",IF($C$30="상세법",FPV(H1973,K1973),IF(H1973="EI",4,IF(H1973="EO",5.2,IF(H1973="EQ",3.9,IF(H1973="ILF",7.5,IF(H1973="EIF",5.4)))))))</f>
        <v/>
      </c>
      <c r="M1973" s="30" t="str">
        <f t="shared" si="205"/>
        <v/>
      </c>
      <c r="N1973" s="134"/>
      <c r="O1973" s="29"/>
      <c r="P1973" s="37" t="str">
        <f t="shared" si="206"/>
        <v/>
      </c>
      <c r="Q1973" s="38" t="str">
        <f t="shared" si="207"/>
        <v/>
      </c>
      <c r="R1973" s="37" t="str">
        <f t="shared" si="208"/>
        <v/>
      </c>
      <c r="S1973" s="37" t="str">
        <f t="shared" si="209"/>
        <v/>
      </c>
      <c r="T1973" s="38" t="str">
        <f t="shared" si="210"/>
        <v/>
      </c>
      <c r="U1973" s="37" t="str">
        <f t="shared" si="211"/>
        <v/>
      </c>
    </row>
    <row r="1974" spans="2:21" ht="17.25">
      <c r="B1974" s="156"/>
      <c r="C1974" s="156"/>
      <c r="D1974" s="157"/>
      <c r="E1974" s="155"/>
      <c r="F1974" s="151"/>
      <c r="G1974" s="152"/>
      <c r="H1974" s="153"/>
      <c r="I1974" s="154"/>
      <c r="J1974" s="154"/>
      <c r="K1974" s="30" t="str">
        <f>IF(H1974="","",IF($C$30="간이법","",FPR(H1974,I1974,J1974)))</f>
        <v/>
      </c>
      <c r="L1974" s="30" t="str">
        <f>IF(H1974="","",IF($C$30="상세법",FPV(H1974,K1974),IF(H1974="EI",4,IF(H1974="EO",5.2,IF(H1974="EQ",3.9,IF(H1974="ILF",7.5,IF(H1974="EIF",5.4)))))))</f>
        <v/>
      </c>
      <c r="M1974" s="30" t="str">
        <f t="shared" si="205"/>
        <v/>
      </c>
      <c r="N1974" s="134"/>
      <c r="O1974" s="29"/>
      <c r="P1974" s="37" t="str">
        <f t="shared" si="206"/>
        <v/>
      </c>
      <c r="Q1974" s="38" t="str">
        <f t="shared" si="207"/>
        <v/>
      </c>
      <c r="R1974" s="37" t="str">
        <f t="shared" si="208"/>
        <v/>
      </c>
      <c r="S1974" s="37" t="str">
        <f t="shared" si="209"/>
        <v/>
      </c>
      <c r="T1974" s="38" t="str">
        <f t="shared" si="210"/>
        <v/>
      </c>
      <c r="U1974" s="37" t="str">
        <f t="shared" si="211"/>
        <v/>
      </c>
    </row>
    <row r="1975" spans="2:21" ht="17.25">
      <c r="B1975" s="156"/>
      <c r="C1975" s="156"/>
      <c r="D1975" s="157"/>
      <c r="E1975" s="155"/>
      <c r="F1975" s="151"/>
      <c r="G1975" s="152"/>
      <c r="H1975" s="153"/>
      <c r="I1975" s="154"/>
      <c r="J1975" s="154"/>
      <c r="K1975" s="30" t="str">
        <f>IF(H1975="","",IF($C$30="간이법","",FPR(H1975,I1975,J1975)))</f>
        <v/>
      </c>
      <c r="L1975" s="30" t="str">
        <f>IF(H1975="","",IF($C$30="상세법",FPV(H1975,K1975),IF(H1975="EI",4,IF(H1975="EO",5.2,IF(H1975="EQ",3.9,IF(H1975="ILF",7.5,IF(H1975="EIF",5.4)))))))</f>
        <v/>
      </c>
      <c r="M1975" s="30" t="str">
        <f t="shared" si="205"/>
        <v/>
      </c>
      <c r="N1975" s="134"/>
      <c r="O1975" s="29"/>
      <c r="P1975" s="37" t="str">
        <f t="shared" si="206"/>
        <v/>
      </c>
      <c r="Q1975" s="38" t="str">
        <f t="shared" si="207"/>
        <v/>
      </c>
      <c r="R1975" s="37" t="str">
        <f t="shared" si="208"/>
        <v/>
      </c>
      <c r="S1975" s="37" t="str">
        <f t="shared" si="209"/>
        <v/>
      </c>
      <c r="T1975" s="38" t="str">
        <f t="shared" si="210"/>
        <v/>
      </c>
      <c r="U1975" s="37" t="str">
        <f t="shared" si="211"/>
        <v/>
      </c>
    </row>
    <row r="1976" spans="2:21" ht="17.25">
      <c r="B1976" s="156"/>
      <c r="C1976" s="156"/>
      <c r="D1976" s="157"/>
      <c r="E1976" s="155"/>
      <c r="F1976" s="151"/>
      <c r="G1976" s="152"/>
      <c r="H1976" s="153"/>
      <c r="I1976" s="154"/>
      <c r="J1976" s="154"/>
      <c r="K1976" s="30" t="str">
        <f>IF(H1976="","",IF($C$30="간이법","",FPR(H1976,I1976,J1976)))</f>
        <v/>
      </c>
      <c r="L1976" s="30" t="str">
        <f>IF(H1976="","",IF($C$30="상세법",FPV(H1976,K1976),IF(H1976="EI",4,IF(H1976="EO",5.2,IF(H1976="EQ",3.9,IF(H1976="ILF",7.5,IF(H1976="EIF",5.4)))))))</f>
        <v/>
      </c>
      <c r="M1976" s="30" t="str">
        <f t="shared" si="205"/>
        <v/>
      </c>
      <c r="N1976" s="134"/>
      <c r="O1976" s="29"/>
      <c r="P1976" s="37" t="str">
        <f t="shared" si="206"/>
        <v/>
      </c>
      <c r="Q1976" s="38" t="str">
        <f t="shared" si="207"/>
        <v/>
      </c>
      <c r="R1976" s="37" t="str">
        <f t="shared" si="208"/>
        <v/>
      </c>
      <c r="S1976" s="37" t="str">
        <f t="shared" si="209"/>
        <v/>
      </c>
      <c r="T1976" s="38" t="str">
        <f t="shared" si="210"/>
        <v/>
      </c>
      <c r="U1976" s="37" t="str">
        <f t="shared" si="211"/>
        <v/>
      </c>
    </row>
    <row r="1977" spans="2:21" ht="17.25">
      <c r="B1977" s="156"/>
      <c r="C1977" s="156"/>
      <c r="D1977" s="157"/>
      <c r="E1977" s="155"/>
      <c r="F1977" s="151"/>
      <c r="G1977" s="152"/>
      <c r="H1977" s="153"/>
      <c r="I1977" s="154"/>
      <c r="J1977" s="154"/>
      <c r="K1977" s="30" t="str">
        <f>IF(H1977="","",IF($C$30="간이법","",FPR(H1977,I1977,J1977)))</f>
        <v/>
      </c>
      <c r="L1977" s="30" t="str">
        <f>IF(H1977="","",IF($C$30="상세법",FPV(H1977,K1977),IF(H1977="EI",4,IF(H1977="EO",5.2,IF(H1977="EQ",3.9,IF(H1977="ILF",7.5,IF(H1977="EIF",5.4)))))))</f>
        <v/>
      </c>
      <c r="M1977" s="30" t="str">
        <f t="shared" si="205"/>
        <v/>
      </c>
      <c r="N1977" s="134"/>
      <c r="O1977" s="29"/>
      <c r="P1977" s="37" t="str">
        <f t="shared" si="206"/>
        <v/>
      </c>
      <c r="Q1977" s="38" t="str">
        <f t="shared" si="207"/>
        <v/>
      </c>
      <c r="R1977" s="37" t="str">
        <f t="shared" si="208"/>
        <v/>
      </c>
      <c r="S1977" s="37" t="str">
        <f t="shared" si="209"/>
        <v/>
      </c>
      <c r="T1977" s="38" t="str">
        <f t="shared" si="210"/>
        <v/>
      </c>
      <c r="U1977" s="37" t="str">
        <f t="shared" si="211"/>
        <v/>
      </c>
    </row>
    <row r="1978" spans="2:21" ht="17.25">
      <c r="B1978" s="156"/>
      <c r="C1978" s="156"/>
      <c r="D1978" s="157"/>
      <c r="E1978" s="155"/>
      <c r="F1978" s="151"/>
      <c r="G1978" s="152"/>
      <c r="H1978" s="153"/>
      <c r="I1978" s="154"/>
      <c r="J1978" s="154"/>
      <c r="K1978" s="30" t="str">
        <f>IF(H1978="","",IF($C$30="간이법","",FPR(H1978,I1978,J1978)))</f>
        <v/>
      </c>
      <c r="L1978" s="30" t="str">
        <f>IF(H1978="","",IF($C$30="상세법",FPV(H1978,K1978),IF(H1978="EI",4,IF(H1978="EO",5.2,IF(H1978="EQ",3.9,IF(H1978="ILF",7.5,IF(H1978="EIF",5.4)))))))</f>
        <v/>
      </c>
      <c r="M1978" s="30" t="str">
        <f t="shared" si="205"/>
        <v/>
      </c>
      <c r="N1978" s="134"/>
      <c r="O1978" s="29"/>
      <c r="P1978" s="37" t="str">
        <f t="shared" si="206"/>
        <v/>
      </c>
      <c r="Q1978" s="38" t="str">
        <f t="shared" si="207"/>
        <v/>
      </c>
      <c r="R1978" s="37" t="str">
        <f t="shared" si="208"/>
        <v/>
      </c>
      <c r="S1978" s="37" t="str">
        <f t="shared" si="209"/>
        <v/>
      </c>
      <c r="T1978" s="38" t="str">
        <f t="shared" si="210"/>
        <v/>
      </c>
      <c r="U1978" s="37" t="str">
        <f t="shared" si="211"/>
        <v/>
      </c>
    </row>
    <row r="1979" spans="2:21" ht="17.25">
      <c r="B1979" s="156"/>
      <c r="C1979" s="156"/>
      <c r="D1979" s="157"/>
      <c r="E1979" s="155"/>
      <c r="F1979" s="151"/>
      <c r="G1979" s="152"/>
      <c r="H1979" s="153"/>
      <c r="I1979" s="154"/>
      <c r="J1979" s="154"/>
      <c r="K1979" s="30" t="str">
        <f>IF(H1979="","",IF($C$30="간이법","",FPR(H1979,I1979,J1979)))</f>
        <v/>
      </c>
      <c r="L1979" s="30" t="str">
        <f>IF(H1979="","",IF($C$30="상세법",FPV(H1979,K1979),IF(H1979="EI",4,IF(H1979="EO",5.2,IF(H1979="EQ",3.9,IF(H1979="ILF",7.5,IF(H1979="EIF",5.4)))))))</f>
        <v/>
      </c>
      <c r="M1979" s="30" t="str">
        <f t="shared" si="205"/>
        <v/>
      </c>
      <c r="N1979" s="134"/>
      <c r="O1979" s="29"/>
      <c r="P1979" s="37" t="str">
        <f t="shared" si="206"/>
        <v/>
      </c>
      <c r="Q1979" s="38" t="str">
        <f t="shared" si="207"/>
        <v/>
      </c>
      <c r="R1979" s="37" t="str">
        <f t="shared" si="208"/>
        <v/>
      </c>
      <c r="S1979" s="37" t="str">
        <f t="shared" si="209"/>
        <v/>
      </c>
      <c r="T1979" s="38" t="str">
        <f t="shared" si="210"/>
        <v/>
      </c>
      <c r="U1979" s="37" t="str">
        <f t="shared" si="211"/>
        <v/>
      </c>
    </row>
    <row r="1980" spans="2:21" ht="17.25">
      <c r="B1980" s="156"/>
      <c r="C1980" s="156"/>
      <c r="D1980" s="157"/>
      <c r="E1980" s="155"/>
      <c r="F1980" s="151"/>
      <c r="G1980" s="152"/>
      <c r="H1980" s="153"/>
      <c r="I1980" s="154"/>
      <c r="J1980" s="154"/>
      <c r="K1980" s="30" t="str">
        <f>IF(H1980="","",IF($C$30="간이법","",FPR(H1980,I1980,J1980)))</f>
        <v/>
      </c>
      <c r="L1980" s="30" t="str">
        <f>IF(H1980="","",IF($C$30="상세법",FPV(H1980,K1980),IF(H1980="EI",4,IF(H1980="EO",5.2,IF(H1980="EQ",3.9,IF(H1980="ILF",7.5,IF(H1980="EIF",5.4)))))))</f>
        <v/>
      </c>
      <c r="M1980" s="30" t="str">
        <f t="shared" ref="M1980:M2043" si="212">IF(OR(G1980="",$E$36="(선택)",$E$40="(선택)",$E$41="(선택)",F1980="신규 개발",F1980="수정 없이 재사용"),"",(IF(F1980="수정 후 재사용",IF($E$50&lt;=0.5,L1980*($E$36+$E$50*100*(1+0.02*($E$40*$E$41)))/100,L1980*($E$36+$E$50*100+($E$40*$E$41))/100))))</f>
        <v/>
      </c>
      <c r="N1980" s="134"/>
      <c r="O1980" s="29"/>
      <c r="P1980" s="37" t="str">
        <f t="shared" ref="P1980:P2043" si="213">IF(F1980="수정 후 재사용",IF(H1980="ILF",G1980,IF(H1980="EIF",G1980,"")),"")</f>
        <v/>
      </c>
      <c r="Q1980" s="38" t="str">
        <f t="shared" ref="Q1980:Q2043" si="214">IF(P1980&lt;&gt;"",IF(H1980="ILF", L1980/$E$46,IF(H1980="EIF", L1980/$E$46,"")),"")</f>
        <v/>
      </c>
      <c r="R1980" s="37" t="str">
        <f t="shared" ref="R1980:R2043" si="215">IF(P1980&lt;&gt;"",P1980*Q1980,"")</f>
        <v/>
      </c>
      <c r="S1980" s="37" t="str">
        <f t="shared" ref="S1980:S2043" si="216">IF(F1980="수정 후 재사용",IF(H1980="EI",G1980,IF(H1980="EO",G1980,IF(H1980="EQ",G1980,""))),"")</f>
        <v/>
      </c>
      <c r="T1980" s="38" t="str">
        <f t="shared" ref="T1980:T2043" si="217">IF(S1980&lt;&gt;"",IF(H1980="EI",L1980/$E$47,IF(H1980="EO",L1980/$E$47,IF(H1980="EQ",L1980/$E$47,""))),"")</f>
        <v/>
      </c>
      <c r="U1980" s="37" t="str">
        <f t="shared" ref="U1980:U2043" si="218">IF(S1980&lt;&gt;"",S1980*T1980,"")</f>
        <v/>
      </c>
    </row>
    <row r="1981" spans="2:21" ht="17.25">
      <c r="B1981" s="156"/>
      <c r="C1981" s="156"/>
      <c r="D1981" s="157"/>
      <c r="E1981" s="155"/>
      <c r="F1981" s="151"/>
      <c r="G1981" s="152"/>
      <c r="H1981" s="153"/>
      <c r="I1981" s="154"/>
      <c r="J1981" s="154"/>
      <c r="K1981" s="30" t="str">
        <f>IF(H1981="","",IF($C$30="간이법","",FPR(H1981,I1981,J1981)))</f>
        <v/>
      </c>
      <c r="L1981" s="30" t="str">
        <f>IF(H1981="","",IF($C$30="상세법",FPV(H1981,K1981),IF(H1981="EI",4,IF(H1981="EO",5.2,IF(H1981="EQ",3.9,IF(H1981="ILF",7.5,IF(H1981="EIF",5.4)))))))</f>
        <v/>
      </c>
      <c r="M1981" s="30" t="str">
        <f t="shared" si="212"/>
        <v/>
      </c>
      <c r="N1981" s="134"/>
      <c r="O1981" s="29"/>
      <c r="P1981" s="37" t="str">
        <f t="shared" si="213"/>
        <v/>
      </c>
      <c r="Q1981" s="38" t="str">
        <f t="shared" si="214"/>
        <v/>
      </c>
      <c r="R1981" s="37" t="str">
        <f t="shared" si="215"/>
        <v/>
      </c>
      <c r="S1981" s="37" t="str">
        <f t="shared" si="216"/>
        <v/>
      </c>
      <c r="T1981" s="38" t="str">
        <f t="shared" si="217"/>
        <v/>
      </c>
      <c r="U1981" s="37" t="str">
        <f t="shared" si="218"/>
        <v/>
      </c>
    </row>
    <row r="1982" spans="2:21" ht="17.25">
      <c r="B1982" s="156"/>
      <c r="C1982" s="156"/>
      <c r="D1982" s="157"/>
      <c r="E1982" s="155"/>
      <c r="F1982" s="151"/>
      <c r="G1982" s="152"/>
      <c r="H1982" s="153"/>
      <c r="I1982" s="154"/>
      <c r="J1982" s="154"/>
      <c r="K1982" s="30" t="str">
        <f>IF(H1982="","",IF($C$30="간이법","",FPR(H1982,I1982,J1982)))</f>
        <v/>
      </c>
      <c r="L1982" s="30" t="str">
        <f>IF(H1982="","",IF($C$30="상세법",FPV(H1982,K1982),IF(H1982="EI",4,IF(H1982="EO",5.2,IF(H1982="EQ",3.9,IF(H1982="ILF",7.5,IF(H1982="EIF",5.4)))))))</f>
        <v/>
      </c>
      <c r="M1982" s="30" t="str">
        <f t="shared" si="212"/>
        <v/>
      </c>
      <c r="N1982" s="134"/>
      <c r="O1982" s="29"/>
      <c r="P1982" s="37" t="str">
        <f t="shared" si="213"/>
        <v/>
      </c>
      <c r="Q1982" s="38" t="str">
        <f t="shared" si="214"/>
        <v/>
      </c>
      <c r="R1982" s="37" t="str">
        <f t="shared" si="215"/>
        <v/>
      </c>
      <c r="S1982" s="37" t="str">
        <f t="shared" si="216"/>
        <v/>
      </c>
      <c r="T1982" s="38" t="str">
        <f t="shared" si="217"/>
        <v/>
      </c>
      <c r="U1982" s="37" t="str">
        <f t="shared" si="218"/>
        <v/>
      </c>
    </row>
    <row r="1983" spans="2:21" ht="17.25">
      <c r="B1983" s="156"/>
      <c r="C1983" s="156"/>
      <c r="D1983" s="157"/>
      <c r="E1983" s="155"/>
      <c r="F1983" s="151"/>
      <c r="G1983" s="152"/>
      <c r="H1983" s="153"/>
      <c r="I1983" s="154"/>
      <c r="J1983" s="154"/>
      <c r="K1983" s="30" t="str">
        <f>IF(H1983="","",IF($C$30="간이법","",FPR(H1983,I1983,J1983)))</f>
        <v/>
      </c>
      <c r="L1983" s="30" t="str">
        <f>IF(H1983="","",IF($C$30="상세법",FPV(H1983,K1983),IF(H1983="EI",4,IF(H1983="EO",5.2,IF(H1983="EQ",3.9,IF(H1983="ILF",7.5,IF(H1983="EIF",5.4)))))))</f>
        <v/>
      </c>
      <c r="M1983" s="30" t="str">
        <f t="shared" si="212"/>
        <v/>
      </c>
      <c r="N1983" s="134"/>
      <c r="O1983" s="29"/>
      <c r="P1983" s="37" t="str">
        <f t="shared" si="213"/>
        <v/>
      </c>
      <c r="Q1983" s="38" t="str">
        <f t="shared" si="214"/>
        <v/>
      </c>
      <c r="R1983" s="37" t="str">
        <f t="shared" si="215"/>
        <v/>
      </c>
      <c r="S1983" s="37" t="str">
        <f t="shared" si="216"/>
        <v/>
      </c>
      <c r="T1983" s="38" t="str">
        <f t="shared" si="217"/>
        <v/>
      </c>
      <c r="U1983" s="37" t="str">
        <f t="shared" si="218"/>
        <v/>
      </c>
    </row>
    <row r="1984" spans="2:21" ht="17.25">
      <c r="B1984" s="156"/>
      <c r="C1984" s="156"/>
      <c r="D1984" s="157"/>
      <c r="E1984" s="155"/>
      <c r="F1984" s="151"/>
      <c r="G1984" s="152"/>
      <c r="H1984" s="153"/>
      <c r="I1984" s="154"/>
      <c r="J1984" s="154"/>
      <c r="K1984" s="30" t="str">
        <f>IF(H1984="","",IF($C$30="간이법","",FPR(H1984,I1984,J1984)))</f>
        <v/>
      </c>
      <c r="L1984" s="30" t="str">
        <f>IF(H1984="","",IF($C$30="상세법",FPV(H1984,K1984),IF(H1984="EI",4,IF(H1984="EO",5.2,IF(H1984="EQ",3.9,IF(H1984="ILF",7.5,IF(H1984="EIF",5.4)))))))</f>
        <v/>
      </c>
      <c r="M1984" s="30" t="str">
        <f t="shared" si="212"/>
        <v/>
      </c>
      <c r="N1984" s="134"/>
      <c r="O1984" s="29"/>
      <c r="P1984" s="37" t="str">
        <f t="shared" si="213"/>
        <v/>
      </c>
      <c r="Q1984" s="38" t="str">
        <f t="shared" si="214"/>
        <v/>
      </c>
      <c r="R1984" s="37" t="str">
        <f t="shared" si="215"/>
        <v/>
      </c>
      <c r="S1984" s="37" t="str">
        <f t="shared" si="216"/>
        <v/>
      </c>
      <c r="T1984" s="38" t="str">
        <f t="shared" si="217"/>
        <v/>
      </c>
      <c r="U1984" s="37" t="str">
        <f t="shared" si="218"/>
        <v/>
      </c>
    </row>
    <row r="1985" spans="2:21" ht="17.25">
      <c r="B1985" s="156"/>
      <c r="C1985" s="156"/>
      <c r="D1985" s="157"/>
      <c r="E1985" s="155"/>
      <c r="F1985" s="151"/>
      <c r="G1985" s="152"/>
      <c r="H1985" s="153"/>
      <c r="I1985" s="154"/>
      <c r="J1985" s="154"/>
      <c r="K1985" s="30" t="str">
        <f>IF(H1985="","",IF($C$30="간이법","",FPR(H1985,I1985,J1985)))</f>
        <v/>
      </c>
      <c r="L1985" s="30" t="str">
        <f>IF(H1985="","",IF($C$30="상세법",FPV(H1985,K1985),IF(H1985="EI",4,IF(H1985="EO",5.2,IF(H1985="EQ",3.9,IF(H1985="ILF",7.5,IF(H1985="EIF",5.4)))))))</f>
        <v/>
      </c>
      <c r="M1985" s="30" t="str">
        <f t="shared" si="212"/>
        <v/>
      </c>
      <c r="N1985" s="134"/>
      <c r="O1985" s="29"/>
      <c r="P1985" s="37" t="str">
        <f t="shared" si="213"/>
        <v/>
      </c>
      <c r="Q1985" s="38" t="str">
        <f t="shared" si="214"/>
        <v/>
      </c>
      <c r="R1985" s="37" t="str">
        <f t="shared" si="215"/>
        <v/>
      </c>
      <c r="S1985" s="37" t="str">
        <f t="shared" si="216"/>
        <v/>
      </c>
      <c r="T1985" s="38" t="str">
        <f t="shared" si="217"/>
        <v/>
      </c>
      <c r="U1985" s="37" t="str">
        <f t="shared" si="218"/>
        <v/>
      </c>
    </row>
    <row r="1986" spans="2:21" ht="17.25">
      <c r="B1986" s="156"/>
      <c r="C1986" s="156"/>
      <c r="D1986" s="157"/>
      <c r="E1986" s="155"/>
      <c r="F1986" s="151"/>
      <c r="G1986" s="152"/>
      <c r="H1986" s="153"/>
      <c r="I1986" s="154"/>
      <c r="J1986" s="154"/>
      <c r="K1986" s="30" t="str">
        <f>IF(H1986="","",IF($C$30="간이법","",FPR(H1986,I1986,J1986)))</f>
        <v/>
      </c>
      <c r="L1986" s="30" t="str">
        <f>IF(H1986="","",IF($C$30="상세법",FPV(H1986,K1986),IF(H1986="EI",4,IF(H1986="EO",5.2,IF(H1986="EQ",3.9,IF(H1986="ILF",7.5,IF(H1986="EIF",5.4)))))))</f>
        <v/>
      </c>
      <c r="M1986" s="30" t="str">
        <f t="shared" si="212"/>
        <v/>
      </c>
      <c r="N1986" s="134"/>
      <c r="O1986" s="29"/>
      <c r="P1986" s="37" t="str">
        <f t="shared" si="213"/>
        <v/>
      </c>
      <c r="Q1986" s="38" t="str">
        <f t="shared" si="214"/>
        <v/>
      </c>
      <c r="R1986" s="37" t="str">
        <f t="shared" si="215"/>
        <v/>
      </c>
      <c r="S1986" s="37" t="str">
        <f t="shared" si="216"/>
        <v/>
      </c>
      <c r="T1986" s="38" t="str">
        <f t="shared" si="217"/>
        <v/>
      </c>
      <c r="U1986" s="37" t="str">
        <f t="shared" si="218"/>
        <v/>
      </c>
    </row>
    <row r="1987" spans="2:21" ht="17.25">
      <c r="B1987" s="156"/>
      <c r="C1987" s="156"/>
      <c r="D1987" s="157"/>
      <c r="E1987" s="155"/>
      <c r="F1987" s="151"/>
      <c r="G1987" s="152"/>
      <c r="H1987" s="153"/>
      <c r="I1987" s="154"/>
      <c r="J1987" s="154"/>
      <c r="K1987" s="30" t="str">
        <f>IF(H1987="","",IF($C$30="간이법","",FPR(H1987,I1987,J1987)))</f>
        <v/>
      </c>
      <c r="L1987" s="30" t="str">
        <f>IF(H1987="","",IF($C$30="상세법",FPV(H1987,K1987),IF(H1987="EI",4,IF(H1987="EO",5.2,IF(H1987="EQ",3.9,IF(H1987="ILF",7.5,IF(H1987="EIF",5.4)))))))</f>
        <v/>
      </c>
      <c r="M1987" s="30" t="str">
        <f t="shared" si="212"/>
        <v/>
      </c>
      <c r="N1987" s="134"/>
      <c r="O1987" s="29"/>
      <c r="P1987" s="37" t="str">
        <f t="shared" si="213"/>
        <v/>
      </c>
      <c r="Q1987" s="38" t="str">
        <f t="shared" si="214"/>
        <v/>
      </c>
      <c r="R1987" s="37" t="str">
        <f t="shared" si="215"/>
        <v/>
      </c>
      <c r="S1987" s="37" t="str">
        <f t="shared" si="216"/>
        <v/>
      </c>
      <c r="T1987" s="38" t="str">
        <f t="shared" si="217"/>
        <v/>
      </c>
      <c r="U1987" s="37" t="str">
        <f t="shared" si="218"/>
        <v/>
      </c>
    </row>
    <row r="1988" spans="2:21" ht="17.25">
      <c r="B1988" s="156"/>
      <c r="C1988" s="156"/>
      <c r="D1988" s="157"/>
      <c r="E1988" s="155"/>
      <c r="F1988" s="151"/>
      <c r="G1988" s="152"/>
      <c r="H1988" s="153"/>
      <c r="I1988" s="154"/>
      <c r="J1988" s="154"/>
      <c r="K1988" s="30" t="str">
        <f>IF(H1988="","",IF($C$30="간이법","",FPR(H1988,I1988,J1988)))</f>
        <v/>
      </c>
      <c r="L1988" s="30" t="str">
        <f>IF(H1988="","",IF($C$30="상세법",FPV(H1988,K1988),IF(H1988="EI",4,IF(H1988="EO",5.2,IF(H1988="EQ",3.9,IF(H1988="ILF",7.5,IF(H1988="EIF",5.4)))))))</f>
        <v/>
      </c>
      <c r="M1988" s="30" t="str">
        <f t="shared" si="212"/>
        <v/>
      </c>
      <c r="N1988" s="134"/>
      <c r="O1988" s="29"/>
      <c r="P1988" s="37" t="str">
        <f t="shared" si="213"/>
        <v/>
      </c>
      <c r="Q1988" s="38" t="str">
        <f t="shared" si="214"/>
        <v/>
      </c>
      <c r="R1988" s="37" t="str">
        <f t="shared" si="215"/>
        <v/>
      </c>
      <c r="S1988" s="37" t="str">
        <f t="shared" si="216"/>
        <v/>
      </c>
      <c r="T1988" s="38" t="str">
        <f t="shared" si="217"/>
        <v/>
      </c>
      <c r="U1988" s="37" t="str">
        <f t="shared" si="218"/>
        <v/>
      </c>
    </row>
    <row r="1989" spans="2:21" ht="17.25">
      <c r="B1989" s="156"/>
      <c r="C1989" s="156"/>
      <c r="D1989" s="157"/>
      <c r="E1989" s="155"/>
      <c r="F1989" s="151"/>
      <c r="G1989" s="152"/>
      <c r="H1989" s="153"/>
      <c r="I1989" s="154"/>
      <c r="J1989" s="154"/>
      <c r="K1989" s="30" t="str">
        <f>IF(H1989="","",IF($C$30="간이법","",FPR(H1989,I1989,J1989)))</f>
        <v/>
      </c>
      <c r="L1989" s="30" t="str">
        <f>IF(H1989="","",IF($C$30="상세법",FPV(H1989,K1989),IF(H1989="EI",4,IF(H1989="EO",5.2,IF(H1989="EQ",3.9,IF(H1989="ILF",7.5,IF(H1989="EIF",5.4)))))))</f>
        <v/>
      </c>
      <c r="M1989" s="30" t="str">
        <f t="shared" si="212"/>
        <v/>
      </c>
      <c r="N1989" s="134"/>
      <c r="O1989" s="29"/>
      <c r="P1989" s="37" t="str">
        <f t="shared" si="213"/>
        <v/>
      </c>
      <c r="Q1989" s="38" t="str">
        <f t="shared" si="214"/>
        <v/>
      </c>
      <c r="R1989" s="37" t="str">
        <f t="shared" si="215"/>
        <v/>
      </c>
      <c r="S1989" s="37" t="str">
        <f t="shared" si="216"/>
        <v/>
      </c>
      <c r="T1989" s="38" t="str">
        <f t="shared" si="217"/>
        <v/>
      </c>
      <c r="U1989" s="37" t="str">
        <f t="shared" si="218"/>
        <v/>
      </c>
    </row>
    <row r="1990" spans="2:21" ht="17.25">
      <c r="B1990" s="156"/>
      <c r="C1990" s="156"/>
      <c r="D1990" s="157"/>
      <c r="E1990" s="155"/>
      <c r="F1990" s="151"/>
      <c r="G1990" s="152"/>
      <c r="H1990" s="153"/>
      <c r="I1990" s="154"/>
      <c r="J1990" s="154"/>
      <c r="K1990" s="30" t="str">
        <f>IF(H1990="","",IF($C$30="간이법","",FPR(H1990,I1990,J1990)))</f>
        <v/>
      </c>
      <c r="L1990" s="30" t="str">
        <f>IF(H1990="","",IF($C$30="상세법",FPV(H1990,K1990),IF(H1990="EI",4,IF(H1990="EO",5.2,IF(H1990="EQ",3.9,IF(H1990="ILF",7.5,IF(H1990="EIF",5.4)))))))</f>
        <v/>
      </c>
      <c r="M1990" s="30" t="str">
        <f t="shared" si="212"/>
        <v/>
      </c>
      <c r="N1990" s="134"/>
      <c r="O1990" s="29"/>
      <c r="P1990" s="37" t="str">
        <f t="shared" si="213"/>
        <v/>
      </c>
      <c r="Q1990" s="38" t="str">
        <f t="shared" si="214"/>
        <v/>
      </c>
      <c r="R1990" s="37" t="str">
        <f t="shared" si="215"/>
        <v/>
      </c>
      <c r="S1990" s="37" t="str">
        <f t="shared" si="216"/>
        <v/>
      </c>
      <c r="T1990" s="38" t="str">
        <f t="shared" si="217"/>
        <v/>
      </c>
      <c r="U1990" s="37" t="str">
        <f t="shared" si="218"/>
        <v/>
      </c>
    </row>
    <row r="1991" spans="2:21" ht="17.25">
      <c r="B1991" s="156"/>
      <c r="C1991" s="156"/>
      <c r="D1991" s="157"/>
      <c r="E1991" s="155"/>
      <c r="F1991" s="151"/>
      <c r="G1991" s="152"/>
      <c r="H1991" s="153"/>
      <c r="I1991" s="154"/>
      <c r="J1991" s="154"/>
      <c r="K1991" s="30" t="str">
        <f>IF(H1991="","",IF($C$30="간이법","",FPR(H1991,I1991,J1991)))</f>
        <v/>
      </c>
      <c r="L1991" s="30" t="str">
        <f>IF(H1991="","",IF($C$30="상세법",FPV(H1991,K1991),IF(H1991="EI",4,IF(H1991="EO",5.2,IF(H1991="EQ",3.9,IF(H1991="ILF",7.5,IF(H1991="EIF",5.4)))))))</f>
        <v/>
      </c>
      <c r="M1991" s="30" t="str">
        <f t="shared" si="212"/>
        <v/>
      </c>
      <c r="N1991" s="134"/>
      <c r="O1991" s="29"/>
      <c r="P1991" s="37" t="str">
        <f t="shared" si="213"/>
        <v/>
      </c>
      <c r="Q1991" s="38" t="str">
        <f t="shared" si="214"/>
        <v/>
      </c>
      <c r="R1991" s="37" t="str">
        <f t="shared" si="215"/>
        <v/>
      </c>
      <c r="S1991" s="37" t="str">
        <f t="shared" si="216"/>
        <v/>
      </c>
      <c r="T1991" s="38" t="str">
        <f t="shared" si="217"/>
        <v/>
      </c>
      <c r="U1991" s="37" t="str">
        <f t="shared" si="218"/>
        <v/>
      </c>
    </row>
    <row r="1992" spans="2:21" ht="17.25">
      <c r="B1992" s="156"/>
      <c r="C1992" s="156"/>
      <c r="D1992" s="157"/>
      <c r="E1992" s="155"/>
      <c r="F1992" s="151"/>
      <c r="G1992" s="152"/>
      <c r="H1992" s="153"/>
      <c r="I1992" s="154"/>
      <c r="J1992" s="154"/>
      <c r="K1992" s="30" t="str">
        <f>IF(H1992="","",IF($C$30="간이법","",FPR(H1992,I1992,J1992)))</f>
        <v/>
      </c>
      <c r="L1992" s="30" t="str">
        <f>IF(H1992="","",IF($C$30="상세법",FPV(H1992,K1992),IF(H1992="EI",4,IF(H1992="EO",5.2,IF(H1992="EQ",3.9,IF(H1992="ILF",7.5,IF(H1992="EIF",5.4)))))))</f>
        <v/>
      </c>
      <c r="M1992" s="30" t="str">
        <f t="shared" si="212"/>
        <v/>
      </c>
      <c r="N1992" s="134"/>
      <c r="O1992" s="29"/>
      <c r="P1992" s="37" t="str">
        <f t="shared" si="213"/>
        <v/>
      </c>
      <c r="Q1992" s="38" t="str">
        <f t="shared" si="214"/>
        <v/>
      </c>
      <c r="R1992" s="37" t="str">
        <f t="shared" si="215"/>
        <v/>
      </c>
      <c r="S1992" s="37" t="str">
        <f t="shared" si="216"/>
        <v/>
      </c>
      <c r="T1992" s="38" t="str">
        <f t="shared" si="217"/>
        <v/>
      </c>
      <c r="U1992" s="37" t="str">
        <f t="shared" si="218"/>
        <v/>
      </c>
    </row>
    <row r="1993" spans="2:21" ht="17.25">
      <c r="B1993" s="156"/>
      <c r="C1993" s="156"/>
      <c r="D1993" s="157"/>
      <c r="E1993" s="155"/>
      <c r="F1993" s="151"/>
      <c r="G1993" s="152"/>
      <c r="H1993" s="153"/>
      <c r="I1993" s="154"/>
      <c r="J1993" s="154"/>
      <c r="K1993" s="30" t="str">
        <f>IF(H1993="","",IF($C$30="간이법","",FPR(H1993,I1993,J1993)))</f>
        <v/>
      </c>
      <c r="L1993" s="30" t="str">
        <f>IF(H1993="","",IF($C$30="상세법",FPV(H1993,K1993),IF(H1993="EI",4,IF(H1993="EO",5.2,IF(H1993="EQ",3.9,IF(H1993="ILF",7.5,IF(H1993="EIF",5.4)))))))</f>
        <v/>
      </c>
      <c r="M1993" s="30" t="str">
        <f t="shared" si="212"/>
        <v/>
      </c>
      <c r="N1993" s="134"/>
      <c r="O1993" s="29"/>
      <c r="P1993" s="37" t="str">
        <f t="shared" si="213"/>
        <v/>
      </c>
      <c r="Q1993" s="38" t="str">
        <f t="shared" si="214"/>
        <v/>
      </c>
      <c r="R1993" s="37" t="str">
        <f t="shared" si="215"/>
        <v/>
      </c>
      <c r="S1993" s="37" t="str">
        <f t="shared" si="216"/>
        <v/>
      </c>
      <c r="T1993" s="38" t="str">
        <f t="shared" si="217"/>
        <v/>
      </c>
      <c r="U1993" s="37" t="str">
        <f t="shared" si="218"/>
        <v/>
      </c>
    </row>
    <row r="1994" spans="2:21" ht="17.25">
      <c r="B1994" s="156"/>
      <c r="C1994" s="156"/>
      <c r="D1994" s="157"/>
      <c r="E1994" s="155"/>
      <c r="F1994" s="151"/>
      <c r="G1994" s="152"/>
      <c r="H1994" s="153"/>
      <c r="I1994" s="154"/>
      <c r="J1994" s="154"/>
      <c r="K1994" s="30" t="str">
        <f>IF(H1994="","",IF($C$30="간이법","",FPR(H1994,I1994,J1994)))</f>
        <v/>
      </c>
      <c r="L1994" s="30" t="str">
        <f>IF(H1994="","",IF($C$30="상세법",FPV(H1994,K1994),IF(H1994="EI",4,IF(H1994="EO",5.2,IF(H1994="EQ",3.9,IF(H1994="ILF",7.5,IF(H1994="EIF",5.4)))))))</f>
        <v/>
      </c>
      <c r="M1994" s="30" t="str">
        <f t="shared" si="212"/>
        <v/>
      </c>
      <c r="N1994" s="134"/>
      <c r="O1994" s="29"/>
      <c r="P1994" s="37" t="str">
        <f t="shared" si="213"/>
        <v/>
      </c>
      <c r="Q1994" s="38" t="str">
        <f t="shared" si="214"/>
        <v/>
      </c>
      <c r="R1994" s="37" t="str">
        <f t="shared" si="215"/>
        <v/>
      </c>
      <c r="S1994" s="37" t="str">
        <f t="shared" si="216"/>
        <v/>
      </c>
      <c r="T1994" s="38" t="str">
        <f t="shared" si="217"/>
        <v/>
      </c>
      <c r="U1994" s="37" t="str">
        <f t="shared" si="218"/>
        <v/>
      </c>
    </row>
    <row r="1995" spans="2:21" ht="17.25">
      <c r="B1995" s="156"/>
      <c r="C1995" s="156"/>
      <c r="D1995" s="157"/>
      <c r="E1995" s="155"/>
      <c r="F1995" s="151"/>
      <c r="G1995" s="152"/>
      <c r="H1995" s="153"/>
      <c r="I1995" s="154"/>
      <c r="J1995" s="154"/>
      <c r="K1995" s="30" t="str">
        <f>IF(H1995="","",IF($C$30="간이법","",FPR(H1995,I1995,J1995)))</f>
        <v/>
      </c>
      <c r="L1995" s="30" t="str">
        <f>IF(H1995="","",IF($C$30="상세법",FPV(H1995,K1995),IF(H1995="EI",4,IF(H1995="EO",5.2,IF(H1995="EQ",3.9,IF(H1995="ILF",7.5,IF(H1995="EIF",5.4)))))))</f>
        <v/>
      </c>
      <c r="M1995" s="30" t="str">
        <f t="shared" si="212"/>
        <v/>
      </c>
      <c r="N1995" s="134"/>
      <c r="O1995" s="29"/>
      <c r="P1995" s="37" t="str">
        <f t="shared" si="213"/>
        <v/>
      </c>
      <c r="Q1995" s="38" t="str">
        <f t="shared" si="214"/>
        <v/>
      </c>
      <c r="R1995" s="37" t="str">
        <f t="shared" si="215"/>
        <v/>
      </c>
      <c r="S1995" s="37" t="str">
        <f t="shared" si="216"/>
        <v/>
      </c>
      <c r="T1995" s="38" t="str">
        <f t="shared" si="217"/>
        <v/>
      </c>
      <c r="U1995" s="37" t="str">
        <f t="shared" si="218"/>
        <v/>
      </c>
    </row>
    <row r="1996" spans="2:21" ht="17.25">
      <c r="B1996" s="156"/>
      <c r="C1996" s="156"/>
      <c r="D1996" s="157"/>
      <c r="E1996" s="155"/>
      <c r="F1996" s="151"/>
      <c r="G1996" s="152"/>
      <c r="H1996" s="153"/>
      <c r="I1996" s="154"/>
      <c r="J1996" s="154"/>
      <c r="K1996" s="30" t="str">
        <f>IF(H1996="","",IF($C$30="간이법","",FPR(H1996,I1996,J1996)))</f>
        <v/>
      </c>
      <c r="L1996" s="30" t="str">
        <f>IF(H1996="","",IF($C$30="상세법",FPV(H1996,K1996),IF(H1996="EI",4,IF(H1996="EO",5.2,IF(H1996="EQ",3.9,IF(H1996="ILF",7.5,IF(H1996="EIF",5.4)))))))</f>
        <v/>
      </c>
      <c r="M1996" s="30" t="str">
        <f t="shared" si="212"/>
        <v/>
      </c>
      <c r="N1996" s="134"/>
      <c r="O1996" s="29"/>
      <c r="P1996" s="37" t="str">
        <f t="shared" si="213"/>
        <v/>
      </c>
      <c r="Q1996" s="38" t="str">
        <f t="shared" si="214"/>
        <v/>
      </c>
      <c r="R1996" s="37" t="str">
        <f t="shared" si="215"/>
        <v/>
      </c>
      <c r="S1996" s="37" t="str">
        <f t="shared" si="216"/>
        <v/>
      </c>
      <c r="T1996" s="38" t="str">
        <f t="shared" si="217"/>
        <v/>
      </c>
      <c r="U1996" s="37" t="str">
        <f t="shared" si="218"/>
        <v/>
      </c>
    </row>
    <row r="1997" spans="2:21" ht="17.25">
      <c r="B1997" s="156"/>
      <c r="C1997" s="156"/>
      <c r="D1997" s="157"/>
      <c r="E1997" s="155"/>
      <c r="F1997" s="151"/>
      <c r="G1997" s="152"/>
      <c r="H1997" s="153"/>
      <c r="I1997" s="154"/>
      <c r="J1997" s="154"/>
      <c r="K1997" s="30" t="str">
        <f>IF(H1997="","",IF($C$30="간이법","",FPR(H1997,I1997,J1997)))</f>
        <v/>
      </c>
      <c r="L1997" s="30" t="str">
        <f>IF(H1997="","",IF($C$30="상세법",FPV(H1997,K1997),IF(H1997="EI",4,IF(H1997="EO",5.2,IF(H1997="EQ",3.9,IF(H1997="ILF",7.5,IF(H1997="EIF",5.4)))))))</f>
        <v/>
      </c>
      <c r="M1997" s="30" t="str">
        <f t="shared" si="212"/>
        <v/>
      </c>
      <c r="N1997" s="134"/>
      <c r="O1997" s="29"/>
      <c r="P1997" s="37" t="str">
        <f t="shared" si="213"/>
        <v/>
      </c>
      <c r="Q1997" s="38" t="str">
        <f t="shared" si="214"/>
        <v/>
      </c>
      <c r="R1997" s="37" t="str">
        <f t="shared" si="215"/>
        <v/>
      </c>
      <c r="S1997" s="37" t="str">
        <f t="shared" si="216"/>
        <v/>
      </c>
      <c r="T1997" s="38" t="str">
        <f t="shared" si="217"/>
        <v/>
      </c>
      <c r="U1997" s="37" t="str">
        <f t="shared" si="218"/>
        <v/>
      </c>
    </row>
    <row r="1998" spans="2:21" ht="17.25">
      <c r="B1998" s="156"/>
      <c r="C1998" s="156"/>
      <c r="D1998" s="157"/>
      <c r="E1998" s="155"/>
      <c r="F1998" s="151"/>
      <c r="G1998" s="152"/>
      <c r="H1998" s="153"/>
      <c r="I1998" s="154"/>
      <c r="J1998" s="154"/>
      <c r="K1998" s="30" t="str">
        <f>IF(H1998="","",IF($C$30="간이법","",FPR(H1998,I1998,J1998)))</f>
        <v/>
      </c>
      <c r="L1998" s="30" t="str">
        <f>IF(H1998="","",IF($C$30="상세법",FPV(H1998,K1998),IF(H1998="EI",4,IF(H1998="EO",5.2,IF(H1998="EQ",3.9,IF(H1998="ILF",7.5,IF(H1998="EIF",5.4)))))))</f>
        <v/>
      </c>
      <c r="M1998" s="30" t="str">
        <f t="shared" si="212"/>
        <v/>
      </c>
      <c r="N1998" s="134"/>
      <c r="O1998" s="29"/>
      <c r="P1998" s="37" t="str">
        <f t="shared" si="213"/>
        <v/>
      </c>
      <c r="Q1998" s="38" t="str">
        <f t="shared" si="214"/>
        <v/>
      </c>
      <c r="R1998" s="37" t="str">
        <f t="shared" si="215"/>
        <v/>
      </c>
      <c r="S1998" s="37" t="str">
        <f t="shared" si="216"/>
        <v/>
      </c>
      <c r="T1998" s="38" t="str">
        <f t="shared" si="217"/>
        <v/>
      </c>
      <c r="U1998" s="37" t="str">
        <f t="shared" si="218"/>
        <v/>
      </c>
    </row>
    <row r="1999" spans="2:21" ht="17.25">
      <c r="B1999" s="156"/>
      <c r="C1999" s="156"/>
      <c r="D1999" s="157"/>
      <c r="E1999" s="155"/>
      <c r="F1999" s="151"/>
      <c r="G1999" s="152"/>
      <c r="H1999" s="153"/>
      <c r="I1999" s="154"/>
      <c r="J1999" s="154"/>
      <c r="K1999" s="30" t="str">
        <f>IF(H1999="","",IF($C$30="간이법","",FPR(H1999,I1999,J1999)))</f>
        <v/>
      </c>
      <c r="L1999" s="30" t="str">
        <f>IF(H1999="","",IF($C$30="상세법",FPV(H1999,K1999),IF(H1999="EI",4,IF(H1999="EO",5.2,IF(H1999="EQ",3.9,IF(H1999="ILF",7.5,IF(H1999="EIF",5.4)))))))</f>
        <v/>
      </c>
      <c r="M1999" s="30" t="str">
        <f t="shared" si="212"/>
        <v/>
      </c>
      <c r="N1999" s="134"/>
      <c r="O1999" s="29"/>
      <c r="P1999" s="37" t="str">
        <f t="shared" si="213"/>
        <v/>
      </c>
      <c r="Q1999" s="38" t="str">
        <f t="shared" si="214"/>
        <v/>
      </c>
      <c r="R1999" s="37" t="str">
        <f t="shared" si="215"/>
        <v/>
      </c>
      <c r="S1999" s="37" t="str">
        <f t="shared" si="216"/>
        <v/>
      </c>
      <c r="T1999" s="38" t="str">
        <f t="shared" si="217"/>
        <v/>
      </c>
      <c r="U1999" s="37" t="str">
        <f t="shared" si="218"/>
        <v/>
      </c>
    </row>
    <row r="2000" spans="2:21" ht="17.25">
      <c r="B2000" s="156"/>
      <c r="C2000" s="156"/>
      <c r="D2000" s="157"/>
      <c r="E2000" s="155"/>
      <c r="F2000" s="151"/>
      <c r="G2000" s="152"/>
      <c r="H2000" s="153"/>
      <c r="I2000" s="154"/>
      <c r="J2000" s="154"/>
      <c r="K2000" s="30" t="str">
        <f>IF(H2000="","",IF($C$30="간이법","",FPR(H2000,I2000,J2000)))</f>
        <v/>
      </c>
      <c r="L2000" s="30" t="str">
        <f>IF(H2000="","",IF($C$30="상세법",FPV(H2000,K2000),IF(H2000="EI",4,IF(H2000="EO",5.2,IF(H2000="EQ",3.9,IF(H2000="ILF",7.5,IF(H2000="EIF",5.4)))))))</f>
        <v/>
      </c>
      <c r="M2000" s="30" t="str">
        <f t="shared" si="212"/>
        <v/>
      </c>
      <c r="N2000" s="134"/>
      <c r="O2000" s="29"/>
      <c r="P2000" s="37" t="str">
        <f t="shared" si="213"/>
        <v/>
      </c>
      <c r="Q2000" s="38" t="str">
        <f t="shared" si="214"/>
        <v/>
      </c>
      <c r="R2000" s="37" t="str">
        <f t="shared" si="215"/>
        <v/>
      </c>
      <c r="S2000" s="37" t="str">
        <f t="shared" si="216"/>
        <v/>
      </c>
      <c r="T2000" s="38" t="str">
        <f t="shared" si="217"/>
        <v/>
      </c>
      <c r="U2000" s="37" t="str">
        <f t="shared" si="218"/>
        <v/>
      </c>
    </row>
    <row r="2001" spans="2:21" ht="17.25">
      <c r="B2001" s="156"/>
      <c r="C2001" s="156"/>
      <c r="D2001" s="157"/>
      <c r="E2001" s="155"/>
      <c r="F2001" s="151"/>
      <c r="G2001" s="152"/>
      <c r="H2001" s="153"/>
      <c r="I2001" s="154"/>
      <c r="J2001" s="154"/>
      <c r="K2001" s="30" t="str">
        <f>IF(H2001="","",IF($C$30="간이법","",FPR(H2001,I2001,J2001)))</f>
        <v/>
      </c>
      <c r="L2001" s="30" t="str">
        <f>IF(H2001="","",IF($C$30="상세법",FPV(H2001,K2001),IF(H2001="EI",4,IF(H2001="EO",5.2,IF(H2001="EQ",3.9,IF(H2001="ILF",7.5,IF(H2001="EIF",5.4)))))))</f>
        <v/>
      </c>
      <c r="M2001" s="30" t="str">
        <f t="shared" si="212"/>
        <v/>
      </c>
      <c r="N2001" s="134"/>
      <c r="O2001" s="29"/>
      <c r="P2001" s="37" t="str">
        <f t="shared" si="213"/>
        <v/>
      </c>
      <c r="Q2001" s="38" t="str">
        <f t="shared" si="214"/>
        <v/>
      </c>
      <c r="R2001" s="37" t="str">
        <f t="shared" si="215"/>
        <v/>
      </c>
      <c r="S2001" s="37" t="str">
        <f t="shared" si="216"/>
        <v/>
      </c>
      <c r="T2001" s="38" t="str">
        <f t="shared" si="217"/>
        <v/>
      </c>
      <c r="U2001" s="37" t="str">
        <f t="shared" si="218"/>
        <v/>
      </c>
    </row>
    <row r="2002" spans="2:21" ht="17.25">
      <c r="B2002" s="156"/>
      <c r="C2002" s="156"/>
      <c r="D2002" s="157"/>
      <c r="E2002" s="155"/>
      <c r="F2002" s="151"/>
      <c r="G2002" s="152"/>
      <c r="H2002" s="153"/>
      <c r="I2002" s="154"/>
      <c r="J2002" s="154"/>
      <c r="K2002" s="30" t="str">
        <f>IF(H2002="","",IF($C$30="간이법","",FPR(H2002,I2002,J2002)))</f>
        <v/>
      </c>
      <c r="L2002" s="30" t="str">
        <f>IF(H2002="","",IF($C$30="상세법",FPV(H2002,K2002),IF(H2002="EI",4,IF(H2002="EO",5.2,IF(H2002="EQ",3.9,IF(H2002="ILF",7.5,IF(H2002="EIF",5.4)))))))</f>
        <v/>
      </c>
      <c r="M2002" s="30" t="str">
        <f t="shared" si="212"/>
        <v/>
      </c>
      <c r="N2002" s="134"/>
      <c r="O2002" s="29"/>
      <c r="P2002" s="37" t="str">
        <f t="shared" si="213"/>
        <v/>
      </c>
      <c r="Q2002" s="38" t="str">
        <f t="shared" si="214"/>
        <v/>
      </c>
      <c r="R2002" s="37" t="str">
        <f t="shared" si="215"/>
        <v/>
      </c>
      <c r="S2002" s="37" t="str">
        <f t="shared" si="216"/>
        <v/>
      </c>
      <c r="T2002" s="38" t="str">
        <f t="shared" si="217"/>
        <v/>
      </c>
      <c r="U2002" s="37" t="str">
        <f t="shared" si="218"/>
        <v/>
      </c>
    </row>
    <row r="2003" spans="2:21" ht="17.25">
      <c r="B2003" s="156"/>
      <c r="C2003" s="156"/>
      <c r="D2003" s="157"/>
      <c r="E2003" s="155"/>
      <c r="F2003" s="151"/>
      <c r="G2003" s="152"/>
      <c r="H2003" s="153"/>
      <c r="I2003" s="154"/>
      <c r="J2003" s="154"/>
      <c r="K2003" s="30" t="str">
        <f>IF(H2003="","",IF($C$30="간이법","",FPR(H2003,I2003,J2003)))</f>
        <v/>
      </c>
      <c r="L2003" s="30" t="str">
        <f>IF(H2003="","",IF($C$30="상세법",FPV(H2003,K2003),IF(H2003="EI",4,IF(H2003="EO",5.2,IF(H2003="EQ",3.9,IF(H2003="ILF",7.5,IF(H2003="EIF",5.4)))))))</f>
        <v/>
      </c>
      <c r="M2003" s="30" t="str">
        <f t="shared" si="212"/>
        <v/>
      </c>
      <c r="N2003" s="134"/>
      <c r="O2003" s="29"/>
      <c r="P2003" s="37" t="str">
        <f t="shared" si="213"/>
        <v/>
      </c>
      <c r="Q2003" s="38" t="str">
        <f t="shared" si="214"/>
        <v/>
      </c>
      <c r="R2003" s="37" t="str">
        <f t="shared" si="215"/>
        <v/>
      </c>
      <c r="S2003" s="37" t="str">
        <f t="shared" si="216"/>
        <v/>
      </c>
      <c r="T2003" s="38" t="str">
        <f t="shared" si="217"/>
        <v/>
      </c>
      <c r="U2003" s="37" t="str">
        <f t="shared" si="218"/>
        <v/>
      </c>
    </row>
    <row r="2004" spans="2:21" ht="17.25">
      <c r="B2004" s="156"/>
      <c r="C2004" s="156"/>
      <c r="D2004" s="157"/>
      <c r="E2004" s="155"/>
      <c r="F2004" s="151"/>
      <c r="G2004" s="152"/>
      <c r="H2004" s="153"/>
      <c r="I2004" s="154"/>
      <c r="J2004" s="154"/>
      <c r="K2004" s="30" t="str">
        <f>IF(H2004="","",IF($C$30="간이법","",FPR(H2004,I2004,J2004)))</f>
        <v/>
      </c>
      <c r="L2004" s="30" t="str">
        <f>IF(H2004="","",IF($C$30="상세법",FPV(H2004,K2004),IF(H2004="EI",4,IF(H2004="EO",5.2,IF(H2004="EQ",3.9,IF(H2004="ILF",7.5,IF(H2004="EIF",5.4)))))))</f>
        <v/>
      </c>
      <c r="M2004" s="30" t="str">
        <f t="shared" si="212"/>
        <v/>
      </c>
      <c r="N2004" s="134"/>
      <c r="O2004" s="29"/>
      <c r="P2004" s="37" t="str">
        <f t="shared" si="213"/>
        <v/>
      </c>
      <c r="Q2004" s="38" t="str">
        <f t="shared" si="214"/>
        <v/>
      </c>
      <c r="R2004" s="37" t="str">
        <f t="shared" si="215"/>
        <v/>
      </c>
      <c r="S2004" s="37" t="str">
        <f t="shared" si="216"/>
        <v/>
      </c>
      <c r="T2004" s="38" t="str">
        <f t="shared" si="217"/>
        <v/>
      </c>
      <c r="U2004" s="37" t="str">
        <f t="shared" si="218"/>
        <v/>
      </c>
    </row>
    <row r="2005" spans="2:21" ht="17.25">
      <c r="B2005" s="156"/>
      <c r="C2005" s="156"/>
      <c r="D2005" s="157"/>
      <c r="E2005" s="155"/>
      <c r="F2005" s="151"/>
      <c r="G2005" s="152"/>
      <c r="H2005" s="153"/>
      <c r="I2005" s="154"/>
      <c r="J2005" s="154"/>
      <c r="K2005" s="30" t="str">
        <f>IF(H2005="","",IF($C$30="간이법","",FPR(H2005,I2005,J2005)))</f>
        <v/>
      </c>
      <c r="L2005" s="30" t="str">
        <f>IF(H2005="","",IF($C$30="상세법",FPV(H2005,K2005),IF(H2005="EI",4,IF(H2005="EO",5.2,IF(H2005="EQ",3.9,IF(H2005="ILF",7.5,IF(H2005="EIF",5.4)))))))</f>
        <v/>
      </c>
      <c r="M2005" s="30" t="str">
        <f t="shared" si="212"/>
        <v/>
      </c>
      <c r="N2005" s="134"/>
      <c r="O2005" s="29"/>
      <c r="P2005" s="37" t="str">
        <f t="shared" si="213"/>
        <v/>
      </c>
      <c r="Q2005" s="38" t="str">
        <f t="shared" si="214"/>
        <v/>
      </c>
      <c r="R2005" s="37" t="str">
        <f t="shared" si="215"/>
        <v/>
      </c>
      <c r="S2005" s="37" t="str">
        <f t="shared" si="216"/>
        <v/>
      </c>
      <c r="T2005" s="38" t="str">
        <f t="shared" si="217"/>
        <v/>
      </c>
      <c r="U2005" s="37" t="str">
        <f t="shared" si="218"/>
        <v/>
      </c>
    </row>
    <row r="2006" spans="2:21" ht="17.25">
      <c r="B2006" s="156"/>
      <c r="C2006" s="156"/>
      <c r="D2006" s="157"/>
      <c r="E2006" s="155"/>
      <c r="F2006" s="151"/>
      <c r="G2006" s="152"/>
      <c r="H2006" s="153"/>
      <c r="I2006" s="154"/>
      <c r="J2006" s="154"/>
      <c r="K2006" s="30" t="str">
        <f>IF(H2006="","",IF($C$30="간이법","",FPR(H2006,I2006,J2006)))</f>
        <v/>
      </c>
      <c r="L2006" s="30" t="str">
        <f>IF(H2006="","",IF($C$30="상세법",FPV(H2006,K2006),IF(H2006="EI",4,IF(H2006="EO",5.2,IF(H2006="EQ",3.9,IF(H2006="ILF",7.5,IF(H2006="EIF",5.4)))))))</f>
        <v/>
      </c>
      <c r="M2006" s="30" t="str">
        <f t="shared" si="212"/>
        <v/>
      </c>
      <c r="N2006" s="134"/>
      <c r="O2006" s="29"/>
      <c r="P2006" s="37" t="str">
        <f t="shared" si="213"/>
        <v/>
      </c>
      <c r="Q2006" s="38" t="str">
        <f t="shared" si="214"/>
        <v/>
      </c>
      <c r="R2006" s="37" t="str">
        <f t="shared" si="215"/>
        <v/>
      </c>
      <c r="S2006" s="37" t="str">
        <f t="shared" si="216"/>
        <v/>
      </c>
      <c r="T2006" s="38" t="str">
        <f t="shared" si="217"/>
        <v/>
      </c>
      <c r="U2006" s="37" t="str">
        <f t="shared" si="218"/>
        <v/>
      </c>
    </row>
    <row r="2007" spans="2:21" ht="17.25">
      <c r="B2007" s="156"/>
      <c r="C2007" s="156"/>
      <c r="D2007" s="157"/>
      <c r="E2007" s="155"/>
      <c r="F2007" s="151"/>
      <c r="G2007" s="152"/>
      <c r="H2007" s="153"/>
      <c r="I2007" s="154"/>
      <c r="J2007" s="154"/>
      <c r="K2007" s="30" t="str">
        <f>IF(H2007="","",IF($C$30="간이법","",FPR(H2007,I2007,J2007)))</f>
        <v/>
      </c>
      <c r="L2007" s="30" t="str">
        <f>IF(H2007="","",IF($C$30="상세법",FPV(H2007,K2007),IF(H2007="EI",4,IF(H2007="EO",5.2,IF(H2007="EQ",3.9,IF(H2007="ILF",7.5,IF(H2007="EIF",5.4)))))))</f>
        <v/>
      </c>
      <c r="M2007" s="30" t="str">
        <f t="shared" si="212"/>
        <v/>
      </c>
      <c r="N2007" s="134"/>
      <c r="O2007" s="29"/>
      <c r="P2007" s="37" t="str">
        <f t="shared" si="213"/>
        <v/>
      </c>
      <c r="Q2007" s="38" t="str">
        <f t="shared" si="214"/>
        <v/>
      </c>
      <c r="R2007" s="37" t="str">
        <f t="shared" si="215"/>
        <v/>
      </c>
      <c r="S2007" s="37" t="str">
        <f t="shared" si="216"/>
        <v/>
      </c>
      <c r="T2007" s="38" t="str">
        <f t="shared" si="217"/>
        <v/>
      </c>
      <c r="U2007" s="37" t="str">
        <f t="shared" si="218"/>
        <v/>
      </c>
    </row>
    <row r="2008" spans="2:21" ht="17.25">
      <c r="B2008" s="156"/>
      <c r="C2008" s="156"/>
      <c r="D2008" s="157"/>
      <c r="E2008" s="155"/>
      <c r="F2008" s="151"/>
      <c r="G2008" s="152"/>
      <c r="H2008" s="153"/>
      <c r="I2008" s="154"/>
      <c r="J2008" s="154"/>
      <c r="K2008" s="30" t="str">
        <f>IF(H2008="","",IF($C$30="간이법","",FPR(H2008,I2008,J2008)))</f>
        <v/>
      </c>
      <c r="L2008" s="30" t="str">
        <f>IF(H2008="","",IF($C$30="상세법",FPV(H2008,K2008),IF(H2008="EI",4,IF(H2008="EO",5.2,IF(H2008="EQ",3.9,IF(H2008="ILF",7.5,IF(H2008="EIF",5.4)))))))</f>
        <v/>
      </c>
      <c r="M2008" s="30" t="str">
        <f t="shared" si="212"/>
        <v/>
      </c>
      <c r="N2008" s="134"/>
      <c r="O2008" s="29"/>
      <c r="P2008" s="37" t="str">
        <f t="shared" si="213"/>
        <v/>
      </c>
      <c r="Q2008" s="38" t="str">
        <f t="shared" si="214"/>
        <v/>
      </c>
      <c r="R2008" s="37" t="str">
        <f t="shared" si="215"/>
        <v/>
      </c>
      <c r="S2008" s="37" t="str">
        <f t="shared" si="216"/>
        <v/>
      </c>
      <c r="T2008" s="38" t="str">
        <f t="shared" si="217"/>
        <v/>
      </c>
      <c r="U2008" s="37" t="str">
        <f t="shared" si="218"/>
        <v/>
      </c>
    </row>
    <row r="2009" spans="2:21" ht="17.25">
      <c r="B2009" s="156"/>
      <c r="C2009" s="156"/>
      <c r="D2009" s="157"/>
      <c r="E2009" s="155"/>
      <c r="F2009" s="151"/>
      <c r="G2009" s="152"/>
      <c r="H2009" s="153"/>
      <c r="I2009" s="154"/>
      <c r="J2009" s="154"/>
      <c r="K2009" s="30" t="str">
        <f>IF(H2009="","",IF($C$30="간이법","",FPR(H2009,I2009,J2009)))</f>
        <v/>
      </c>
      <c r="L2009" s="30" t="str">
        <f>IF(H2009="","",IF($C$30="상세법",FPV(H2009,K2009),IF(H2009="EI",4,IF(H2009="EO",5.2,IF(H2009="EQ",3.9,IF(H2009="ILF",7.5,IF(H2009="EIF",5.4)))))))</f>
        <v/>
      </c>
      <c r="M2009" s="30" t="str">
        <f t="shared" si="212"/>
        <v/>
      </c>
      <c r="N2009" s="134"/>
      <c r="O2009" s="29"/>
      <c r="P2009" s="37" t="str">
        <f t="shared" si="213"/>
        <v/>
      </c>
      <c r="Q2009" s="38" t="str">
        <f t="shared" si="214"/>
        <v/>
      </c>
      <c r="R2009" s="37" t="str">
        <f t="shared" si="215"/>
        <v/>
      </c>
      <c r="S2009" s="37" t="str">
        <f t="shared" si="216"/>
        <v/>
      </c>
      <c r="T2009" s="38" t="str">
        <f t="shared" si="217"/>
        <v/>
      </c>
      <c r="U2009" s="37" t="str">
        <f t="shared" si="218"/>
        <v/>
      </c>
    </row>
    <row r="2010" spans="2:21" ht="17.25">
      <c r="B2010" s="156"/>
      <c r="C2010" s="156"/>
      <c r="D2010" s="157"/>
      <c r="E2010" s="155"/>
      <c r="F2010" s="151"/>
      <c r="G2010" s="152"/>
      <c r="H2010" s="153"/>
      <c r="I2010" s="154"/>
      <c r="J2010" s="154"/>
      <c r="K2010" s="30" t="str">
        <f>IF(H2010="","",IF($C$30="간이법","",FPR(H2010,I2010,J2010)))</f>
        <v/>
      </c>
      <c r="L2010" s="30" t="str">
        <f>IF(H2010="","",IF($C$30="상세법",FPV(H2010,K2010),IF(H2010="EI",4,IF(H2010="EO",5.2,IF(H2010="EQ",3.9,IF(H2010="ILF",7.5,IF(H2010="EIF",5.4)))))))</f>
        <v/>
      </c>
      <c r="M2010" s="30" t="str">
        <f t="shared" si="212"/>
        <v/>
      </c>
      <c r="N2010" s="134"/>
      <c r="O2010" s="29"/>
      <c r="P2010" s="37" t="str">
        <f t="shared" si="213"/>
        <v/>
      </c>
      <c r="Q2010" s="38" t="str">
        <f t="shared" si="214"/>
        <v/>
      </c>
      <c r="R2010" s="37" t="str">
        <f t="shared" si="215"/>
        <v/>
      </c>
      <c r="S2010" s="37" t="str">
        <f t="shared" si="216"/>
        <v/>
      </c>
      <c r="T2010" s="38" t="str">
        <f t="shared" si="217"/>
        <v/>
      </c>
      <c r="U2010" s="37" t="str">
        <f t="shared" si="218"/>
        <v/>
      </c>
    </row>
    <row r="2011" spans="2:21" ht="17.25">
      <c r="B2011" s="156"/>
      <c r="C2011" s="156"/>
      <c r="D2011" s="157"/>
      <c r="E2011" s="155"/>
      <c r="F2011" s="151"/>
      <c r="G2011" s="152"/>
      <c r="H2011" s="153"/>
      <c r="I2011" s="154"/>
      <c r="J2011" s="154"/>
      <c r="K2011" s="30" t="str">
        <f>IF(H2011="","",IF($C$30="간이법","",FPR(H2011,I2011,J2011)))</f>
        <v/>
      </c>
      <c r="L2011" s="30" t="str">
        <f>IF(H2011="","",IF($C$30="상세법",FPV(H2011,K2011),IF(H2011="EI",4,IF(H2011="EO",5.2,IF(H2011="EQ",3.9,IF(H2011="ILF",7.5,IF(H2011="EIF",5.4)))))))</f>
        <v/>
      </c>
      <c r="M2011" s="30" t="str">
        <f t="shared" si="212"/>
        <v/>
      </c>
      <c r="N2011" s="134"/>
      <c r="O2011" s="29"/>
      <c r="P2011" s="37" t="str">
        <f t="shared" si="213"/>
        <v/>
      </c>
      <c r="Q2011" s="38" t="str">
        <f t="shared" si="214"/>
        <v/>
      </c>
      <c r="R2011" s="37" t="str">
        <f t="shared" si="215"/>
        <v/>
      </c>
      <c r="S2011" s="37" t="str">
        <f t="shared" si="216"/>
        <v/>
      </c>
      <c r="T2011" s="38" t="str">
        <f t="shared" si="217"/>
        <v/>
      </c>
      <c r="U2011" s="37" t="str">
        <f t="shared" si="218"/>
        <v/>
      </c>
    </row>
    <row r="2012" spans="2:21" ht="17.25">
      <c r="B2012" s="156"/>
      <c r="C2012" s="156"/>
      <c r="D2012" s="157"/>
      <c r="E2012" s="155"/>
      <c r="F2012" s="151"/>
      <c r="G2012" s="152"/>
      <c r="H2012" s="153"/>
      <c r="I2012" s="154"/>
      <c r="J2012" s="154"/>
      <c r="K2012" s="30" t="str">
        <f>IF(H2012="","",IF($C$30="간이법","",FPR(H2012,I2012,J2012)))</f>
        <v/>
      </c>
      <c r="L2012" s="30" t="str">
        <f>IF(H2012="","",IF($C$30="상세법",FPV(H2012,K2012),IF(H2012="EI",4,IF(H2012="EO",5.2,IF(H2012="EQ",3.9,IF(H2012="ILF",7.5,IF(H2012="EIF",5.4)))))))</f>
        <v/>
      </c>
      <c r="M2012" s="30" t="str">
        <f t="shared" si="212"/>
        <v/>
      </c>
      <c r="N2012" s="134"/>
      <c r="O2012" s="29"/>
      <c r="P2012" s="37" t="str">
        <f t="shared" si="213"/>
        <v/>
      </c>
      <c r="Q2012" s="38" t="str">
        <f t="shared" si="214"/>
        <v/>
      </c>
      <c r="R2012" s="37" t="str">
        <f t="shared" si="215"/>
        <v/>
      </c>
      <c r="S2012" s="37" t="str">
        <f t="shared" si="216"/>
        <v/>
      </c>
      <c r="T2012" s="38" t="str">
        <f t="shared" si="217"/>
        <v/>
      </c>
      <c r="U2012" s="37" t="str">
        <f t="shared" si="218"/>
        <v/>
      </c>
    </row>
    <row r="2013" spans="2:21" ht="17.25">
      <c r="B2013" s="156"/>
      <c r="C2013" s="156"/>
      <c r="D2013" s="157"/>
      <c r="E2013" s="155"/>
      <c r="F2013" s="151"/>
      <c r="G2013" s="152"/>
      <c r="H2013" s="153"/>
      <c r="I2013" s="154"/>
      <c r="J2013" s="154"/>
      <c r="K2013" s="30" t="str">
        <f>IF(H2013="","",IF($C$30="간이법","",FPR(H2013,I2013,J2013)))</f>
        <v/>
      </c>
      <c r="L2013" s="30" t="str">
        <f>IF(H2013="","",IF($C$30="상세법",FPV(H2013,K2013),IF(H2013="EI",4,IF(H2013="EO",5.2,IF(H2013="EQ",3.9,IF(H2013="ILF",7.5,IF(H2013="EIF",5.4)))))))</f>
        <v/>
      </c>
      <c r="M2013" s="30" t="str">
        <f t="shared" si="212"/>
        <v/>
      </c>
      <c r="N2013" s="134"/>
      <c r="O2013" s="29"/>
      <c r="P2013" s="37" t="str">
        <f t="shared" si="213"/>
        <v/>
      </c>
      <c r="Q2013" s="38" t="str">
        <f t="shared" si="214"/>
        <v/>
      </c>
      <c r="R2013" s="37" t="str">
        <f t="shared" si="215"/>
        <v/>
      </c>
      <c r="S2013" s="37" t="str">
        <f t="shared" si="216"/>
        <v/>
      </c>
      <c r="T2013" s="38" t="str">
        <f t="shared" si="217"/>
        <v/>
      </c>
      <c r="U2013" s="37" t="str">
        <f t="shared" si="218"/>
        <v/>
      </c>
    </row>
    <row r="2014" spans="2:21" ht="17.25">
      <c r="B2014" s="156"/>
      <c r="C2014" s="156"/>
      <c r="D2014" s="157"/>
      <c r="E2014" s="155"/>
      <c r="F2014" s="151"/>
      <c r="G2014" s="152"/>
      <c r="H2014" s="153"/>
      <c r="I2014" s="154"/>
      <c r="J2014" s="154"/>
      <c r="K2014" s="30" t="str">
        <f>IF(H2014="","",IF($C$30="간이법","",FPR(H2014,I2014,J2014)))</f>
        <v/>
      </c>
      <c r="L2014" s="30" t="str">
        <f>IF(H2014="","",IF($C$30="상세법",FPV(H2014,K2014),IF(H2014="EI",4,IF(H2014="EO",5.2,IF(H2014="EQ",3.9,IF(H2014="ILF",7.5,IF(H2014="EIF",5.4)))))))</f>
        <v/>
      </c>
      <c r="M2014" s="30" t="str">
        <f t="shared" si="212"/>
        <v/>
      </c>
      <c r="N2014" s="134"/>
      <c r="O2014" s="29"/>
      <c r="P2014" s="37" t="str">
        <f t="shared" si="213"/>
        <v/>
      </c>
      <c r="Q2014" s="38" t="str">
        <f t="shared" si="214"/>
        <v/>
      </c>
      <c r="R2014" s="37" t="str">
        <f t="shared" si="215"/>
        <v/>
      </c>
      <c r="S2014" s="37" t="str">
        <f t="shared" si="216"/>
        <v/>
      </c>
      <c r="T2014" s="38" t="str">
        <f t="shared" si="217"/>
        <v/>
      </c>
      <c r="U2014" s="37" t="str">
        <f t="shared" si="218"/>
        <v/>
      </c>
    </row>
    <row r="2015" spans="2:21" ht="17.25">
      <c r="B2015" s="156"/>
      <c r="C2015" s="156"/>
      <c r="D2015" s="157"/>
      <c r="E2015" s="155"/>
      <c r="F2015" s="151"/>
      <c r="G2015" s="152"/>
      <c r="H2015" s="153"/>
      <c r="I2015" s="154"/>
      <c r="J2015" s="154"/>
      <c r="K2015" s="30" t="str">
        <f>IF(H2015="","",IF($C$30="간이법","",FPR(H2015,I2015,J2015)))</f>
        <v/>
      </c>
      <c r="L2015" s="30" t="str">
        <f>IF(H2015="","",IF($C$30="상세법",FPV(H2015,K2015),IF(H2015="EI",4,IF(H2015="EO",5.2,IF(H2015="EQ",3.9,IF(H2015="ILF",7.5,IF(H2015="EIF",5.4)))))))</f>
        <v/>
      </c>
      <c r="M2015" s="30" t="str">
        <f t="shared" si="212"/>
        <v/>
      </c>
      <c r="N2015" s="134"/>
      <c r="O2015" s="29"/>
      <c r="P2015" s="37" t="str">
        <f t="shared" si="213"/>
        <v/>
      </c>
      <c r="Q2015" s="38" t="str">
        <f t="shared" si="214"/>
        <v/>
      </c>
      <c r="R2015" s="37" t="str">
        <f t="shared" si="215"/>
        <v/>
      </c>
      <c r="S2015" s="37" t="str">
        <f t="shared" si="216"/>
        <v/>
      </c>
      <c r="T2015" s="38" t="str">
        <f t="shared" si="217"/>
        <v/>
      </c>
      <c r="U2015" s="37" t="str">
        <f t="shared" si="218"/>
        <v/>
      </c>
    </row>
    <row r="2016" spans="2:21" ht="17.25">
      <c r="B2016" s="156"/>
      <c r="C2016" s="156"/>
      <c r="D2016" s="157"/>
      <c r="E2016" s="155"/>
      <c r="F2016" s="151"/>
      <c r="G2016" s="152"/>
      <c r="H2016" s="153"/>
      <c r="I2016" s="154"/>
      <c r="J2016" s="154"/>
      <c r="K2016" s="30" t="str">
        <f>IF(H2016="","",IF($C$30="간이법","",FPR(H2016,I2016,J2016)))</f>
        <v/>
      </c>
      <c r="L2016" s="30" t="str">
        <f>IF(H2016="","",IF($C$30="상세법",FPV(H2016,K2016),IF(H2016="EI",4,IF(H2016="EO",5.2,IF(H2016="EQ",3.9,IF(H2016="ILF",7.5,IF(H2016="EIF",5.4)))))))</f>
        <v/>
      </c>
      <c r="M2016" s="30" t="str">
        <f t="shared" si="212"/>
        <v/>
      </c>
      <c r="N2016" s="134"/>
      <c r="O2016" s="29"/>
      <c r="P2016" s="37" t="str">
        <f t="shared" si="213"/>
        <v/>
      </c>
      <c r="Q2016" s="38" t="str">
        <f t="shared" si="214"/>
        <v/>
      </c>
      <c r="R2016" s="37" t="str">
        <f t="shared" si="215"/>
        <v/>
      </c>
      <c r="S2016" s="37" t="str">
        <f t="shared" si="216"/>
        <v/>
      </c>
      <c r="T2016" s="38" t="str">
        <f t="shared" si="217"/>
        <v/>
      </c>
      <c r="U2016" s="37" t="str">
        <f t="shared" si="218"/>
        <v/>
      </c>
    </row>
    <row r="2017" spans="2:21" ht="17.25">
      <c r="B2017" s="156"/>
      <c r="C2017" s="156"/>
      <c r="D2017" s="157"/>
      <c r="E2017" s="155"/>
      <c r="F2017" s="151"/>
      <c r="G2017" s="152"/>
      <c r="H2017" s="153"/>
      <c r="I2017" s="154"/>
      <c r="J2017" s="154"/>
      <c r="K2017" s="30" t="str">
        <f>IF(H2017="","",IF($C$30="간이법","",FPR(H2017,I2017,J2017)))</f>
        <v/>
      </c>
      <c r="L2017" s="30" t="str">
        <f>IF(H2017="","",IF($C$30="상세법",FPV(H2017,K2017),IF(H2017="EI",4,IF(H2017="EO",5.2,IF(H2017="EQ",3.9,IF(H2017="ILF",7.5,IF(H2017="EIF",5.4)))))))</f>
        <v/>
      </c>
      <c r="M2017" s="30" t="str">
        <f t="shared" si="212"/>
        <v/>
      </c>
      <c r="N2017" s="134"/>
      <c r="O2017" s="29"/>
      <c r="P2017" s="37" t="str">
        <f t="shared" si="213"/>
        <v/>
      </c>
      <c r="Q2017" s="38" t="str">
        <f t="shared" si="214"/>
        <v/>
      </c>
      <c r="R2017" s="37" t="str">
        <f t="shared" si="215"/>
        <v/>
      </c>
      <c r="S2017" s="37" t="str">
        <f t="shared" si="216"/>
        <v/>
      </c>
      <c r="T2017" s="38" t="str">
        <f t="shared" si="217"/>
        <v/>
      </c>
      <c r="U2017" s="37" t="str">
        <f t="shared" si="218"/>
        <v/>
      </c>
    </row>
    <row r="2018" spans="2:21" ht="17.25">
      <c r="B2018" s="156"/>
      <c r="C2018" s="156"/>
      <c r="D2018" s="157"/>
      <c r="E2018" s="155"/>
      <c r="F2018" s="151"/>
      <c r="G2018" s="152"/>
      <c r="H2018" s="153"/>
      <c r="I2018" s="154"/>
      <c r="J2018" s="154"/>
      <c r="K2018" s="30" t="str">
        <f>IF(H2018="","",IF($C$30="간이법","",FPR(H2018,I2018,J2018)))</f>
        <v/>
      </c>
      <c r="L2018" s="30" t="str">
        <f>IF(H2018="","",IF($C$30="상세법",FPV(H2018,K2018),IF(H2018="EI",4,IF(H2018="EO",5.2,IF(H2018="EQ",3.9,IF(H2018="ILF",7.5,IF(H2018="EIF",5.4)))))))</f>
        <v/>
      </c>
      <c r="M2018" s="30" t="str">
        <f t="shared" si="212"/>
        <v/>
      </c>
      <c r="N2018" s="134"/>
      <c r="O2018" s="29"/>
      <c r="P2018" s="37" t="str">
        <f t="shared" si="213"/>
        <v/>
      </c>
      <c r="Q2018" s="38" t="str">
        <f t="shared" si="214"/>
        <v/>
      </c>
      <c r="R2018" s="37" t="str">
        <f t="shared" si="215"/>
        <v/>
      </c>
      <c r="S2018" s="37" t="str">
        <f t="shared" si="216"/>
        <v/>
      </c>
      <c r="T2018" s="38" t="str">
        <f t="shared" si="217"/>
        <v/>
      </c>
      <c r="U2018" s="37" t="str">
        <f t="shared" si="218"/>
        <v/>
      </c>
    </row>
    <row r="2019" spans="2:21" ht="17.25">
      <c r="B2019" s="156"/>
      <c r="C2019" s="156"/>
      <c r="D2019" s="157"/>
      <c r="E2019" s="155"/>
      <c r="F2019" s="151"/>
      <c r="G2019" s="152"/>
      <c r="H2019" s="153"/>
      <c r="I2019" s="154"/>
      <c r="J2019" s="154"/>
      <c r="K2019" s="30" t="str">
        <f>IF(H2019="","",IF($C$30="간이법","",FPR(H2019,I2019,J2019)))</f>
        <v/>
      </c>
      <c r="L2019" s="30" t="str">
        <f>IF(H2019="","",IF($C$30="상세법",FPV(H2019,K2019),IF(H2019="EI",4,IF(H2019="EO",5.2,IF(H2019="EQ",3.9,IF(H2019="ILF",7.5,IF(H2019="EIF",5.4)))))))</f>
        <v/>
      </c>
      <c r="M2019" s="30" t="str">
        <f t="shared" si="212"/>
        <v/>
      </c>
      <c r="N2019" s="134"/>
      <c r="O2019" s="29"/>
      <c r="P2019" s="37" t="str">
        <f t="shared" si="213"/>
        <v/>
      </c>
      <c r="Q2019" s="38" t="str">
        <f t="shared" si="214"/>
        <v/>
      </c>
      <c r="R2019" s="37" t="str">
        <f t="shared" si="215"/>
        <v/>
      </c>
      <c r="S2019" s="37" t="str">
        <f t="shared" si="216"/>
        <v/>
      </c>
      <c r="T2019" s="38" t="str">
        <f t="shared" si="217"/>
        <v/>
      </c>
      <c r="U2019" s="37" t="str">
        <f t="shared" si="218"/>
        <v/>
      </c>
    </row>
    <row r="2020" spans="2:21" ht="17.25">
      <c r="B2020" s="156"/>
      <c r="C2020" s="156"/>
      <c r="D2020" s="157"/>
      <c r="E2020" s="155"/>
      <c r="F2020" s="151"/>
      <c r="G2020" s="152"/>
      <c r="H2020" s="153"/>
      <c r="I2020" s="154"/>
      <c r="J2020" s="154"/>
      <c r="K2020" s="30" t="str">
        <f>IF(H2020="","",IF($C$30="간이법","",FPR(H2020,I2020,J2020)))</f>
        <v/>
      </c>
      <c r="L2020" s="30" t="str">
        <f>IF(H2020="","",IF($C$30="상세법",FPV(H2020,K2020),IF(H2020="EI",4,IF(H2020="EO",5.2,IF(H2020="EQ",3.9,IF(H2020="ILF",7.5,IF(H2020="EIF",5.4)))))))</f>
        <v/>
      </c>
      <c r="M2020" s="30" t="str">
        <f t="shared" si="212"/>
        <v/>
      </c>
      <c r="N2020" s="134"/>
      <c r="O2020" s="29"/>
      <c r="P2020" s="37" t="str">
        <f t="shared" si="213"/>
        <v/>
      </c>
      <c r="Q2020" s="38" t="str">
        <f t="shared" si="214"/>
        <v/>
      </c>
      <c r="R2020" s="37" t="str">
        <f t="shared" si="215"/>
        <v/>
      </c>
      <c r="S2020" s="37" t="str">
        <f t="shared" si="216"/>
        <v/>
      </c>
      <c r="T2020" s="38" t="str">
        <f t="shared" si="217"/>
        <v/>
      </c>
      <c r="U2020" s="37" t="str">
        <f t="shared" si="218"/>
        <v/>
      </c>
    </row>
    <row r="2021" spans="2:21" ht="17.25">
      <c r="B2021" s="156"/>
      <c r="C2021" s="156"/>
      <c r="D2021" s="157"/>
      <c r="E2021" s="155"/>
      <c r="F2021" s="151"/>
      <c r="G2021" s="152"/>
      <c r="H2021" s="153"/>
      <c r="I2021" s="154"/>
      <c r="J2021" s="154"/>
      <c r="K2021" s="30" t="str">
        <f>IF(H2021="","",IF($C$30="간이법","",FPR(H2021,I2021,J2021)))</f>
        <v/>
      </c>
      <c r="L2021" s="30" t="str">
        <f>IF(H2021="","",IF($C$30="상세법",FPV(H2021,K2021),IF(H2021="EI",4,IF(H2021="EO",5.2,IF(H2021="EQ",3.9,IF(H2021="ILF",7.5,IF(H2021="EIF",5.4)))))))</f>
        <v/>
      </c>
      <c r="M2021" s="30" t="str">
        <f t="shared" si="212"/>
        <v/>
      </c>
      <c r="N2021" s="134"/>
      <c r="O2021" s="29"/>
      <c r="P2021" s="37" t="str">
        <f t="shared" si="213"/>
        <v/>
      </c>
      <c r="Q2021" s="38" t="str">
        <f t="shared" si="214"/>
        <v/>
      </c>
      <c r="R2021" s="37" t="str">
        <f t="shared" si="215"/>
        <v/>
      </c>
      <c r="S2021" s="37" t="str">
        <f t="shared" si="216"/>
        <v/>
      </c>
      <c r="T2021" s="38" t="str">
        <f t="shared" si="217"/>
        <v/>
      </c>
      <c r="U2021" s="37" t="str">
        <f t="shared" si="218"/>
        <v/>
      </c>
    </row>
    <row r="2022" spans="2:21" ht="17.25">
      <c r="B2022" s="156"/>
      <c r="C2022" s="156"/>
      <c r="D2022" s="157"/>
      <c r="E2022" s="155"/>
      <c r="F2022" s="151"/>
      <c r="G2022" s="152"/>
      <c r="H2022" s="153"/>
      <c r="I2022" s="154"/>
      <c r="J2022" s="154"/>
      <c r="K2022" s="30" t="str">
        <f>IF(H2022="","",IF($C$30="간이법","",FPR(H2022,I2022,J2022)))</f>
        <v/>
      </c>
      <c r="L2022" s="30" t="str">
        <f>IF(H2022="","",IF($C$30="상세법",FPV(H2022,K2022),IF(H2022="EI",4,IF(H2022="EO",5.2,IF(H2022="EQ",3.9,IF(H2022="ILF",7.5,IF(H2022="EIF",5.4)))))))</f>
        <v/>
      </c>
      <c r="M2022" s="30" t="str">
        <f t="shared" si="212"/>
        <v/>
      </c>
      <c r="N2022" s="134"/>
      <c r="O2022" s="29"/>
      <c r="P2022" s="37" t="str">
        <f t="shared" si="213"/>
        <v/>
      </c>
      <c r="Q2022" s="38" t="str">
        <f t="shared" si="214"/>
        <v/>
      </c>
      <c r="R2022" s="37" t="str">
        <f t="shared" si="215"/>
        <v/>
      </c>
      <c r="S2022" s="37" t="str">
        <f t="shared" si="216"/>
        <v/>
      </c>
      <c r="T2022" s="38" t="str">
        <f t="shared" si="217"/>
        <v/>
      </c>
      <c r="U2022" s="37" t="str">
        <f t="shared" si="218"/>
        <v/>
      </c>
    </row>
    <row r="2023" spans="2:21" ht="17.25">
      <c r="B2023" s="156"/>
      <c r="C2023" s="156"/>
      <c r="D2023" s="157"/>
      <c r="E2023" s="155"/>
      <c r="F2023" s="151"/>
      <c r="G2023" s="152"/>
      <c r="H2023" s="153"/>
      <c r="I2023" s="154"/>
      <c r="J2023" s="154"/>
      <c r="K2023" s="30" t="str">
        <f>IF(H2023="","",IF($C$30="간이법","",FPR(H2023,I2023,J2023)))</f>
        <v/>
      </c>
      <c r="L2023" s="30" t="str">
        <f>IF(H2023="","",IF($C$30="상세법",FPV(H2023,K2023),IF(H2023="EI",4,IF(H2023="EO",5.2,IF(H2023="EQ",3.9,IF(H2023="ILF",7.5,IF(H2023="EIF",5.4)))))))</f>
        <v/>
      </c>
      <c r="M2023" s="30" t="str">
        <f t="shared" si="212"/>
        <v/>
      </c>
      <c r="N2023" s="134"/>
      <c r="O2023" s="29"/>
      <c r="P2023" s="37" t="str">
        <f t="shared" si="213"/>
        <v/>
      </c>
      <c r="Q2023" s="38" t="str">
        <f t="shared" si="214"/>
        <v/>
      </c>
      <c r="R2023" s="37" t="str">
        <f t="shared" si="215"/>
        <v/>
      </c>
      <c r="S2023" s="37" t="str">
        <f t="shared" si="216"/>
        <v/>
      </c>
      <c r="T2023" s="38" t="str">
        <f t="shared" si="217"/>
        <v/>
      </c>
      <c r="U2023" s="37" t="str">
        <f t="shared" si="218"/>
        <v/>
      </c>
    </row>
    <row r="2024" spans="2:21" ht="17.25">
      <c r="B2024" s="156"/>
      <c r="C2024" s="156"/>
      <c r="D2024" s="157"/>
      <c r="E2024" s="155"/>
      <c r="F2024" s="151"/>
      <c r="G2024" s="152"/>
      <c r="H2024" s="153"/>
      <c r="I2024" s="154"/>
      <c r="J2024" s="154"/>
      <c r="K2024" s="30" t="str">
        <f>IF(H2024="","",IF($C$30="간이법","",FPR(H2024,I2024,J2024)))</f>
        <v/>
      </c>
      <c r="L2024" s="30" t="str">
        <f>IF(H2024="","",IF($C$30="상세법",FPV(H2024,K2024),IF(H2024="EI",4,IF(H2024="EO",5.2,IF(H2024="EQ",3.9,IF(H2024="ILF",7.5,IF(H2024="EIF",5.4)))))))</f>
        <v/>
      </c>
      <c r="M2024" s="30" t="str">
        <f t="shared" si="212"/>
        <v/>
      </c>
      <c r="N2024" s="134"/>
      <c r="O2024" s="29"/>
      <c r="P2024" s="37" t="str">
        <f t="shared" si="213"/>
        <v/>
      </c>
      <c r="Q2024" s="38" t="str">
        <f t="shared" si="214"/>
        <v/>
      </c>
      <c r="R2024" s="37" t="str">
        <f t="shared" si="215"/>
        <v/>
      </c>
      <c r="S2024" s="37" t="str">
        <f t="shared" si="216"/>
        <v/>
      </c>
      <c r="T2024" s="38" t="str">
        <f t="shared" si="217"/>
        <v/>
      </c>
      <c r="U2024" s="37" t="str">
        <f t="shared" si="218"/>
        <v/>
      </c>
    </row>
    <row r="2025" spans="2:21" ht="17.25">
      <c r="B2025" s="156"/>
      <c r="C2025" s="156"/>
      <c r="D2025" s="157"/>
      <c r="E2025" s="155"/>
      <c r="F2025" s="151"/>
      <c r="G2025" s="152"/>
      <c r="H2025" s="153"/>
      <c r="I2025" s="154"/>
      <c r="J2025" s="154"/>
      <c r="K2025" s="30" t="str">
        <f>IF(H2025="","",IF($C$30="간이법","",FPR(H2025,I2025,J2025)))</f>
        <v/>
      </c>
      <c r="L2025" s="30" t="str">
        <f>IF(H2025="","",IF($C$30="상세법",FPV(H2025,K2025),IF(H2025="EI",4,IF(H2025="EO",5.2,IF(H2025="EQ",3.9,IF(H2025="ILF",7.5,IF(H2025="EIF",5.4)))))))</f>
        <v/>
      </c>
      <c r="M2025" s="30" t="str">
        <f t="shared" si="212"/>
        <v/>
      </c>
      <c r="N2025" s="134"/>
      <c r="O2025" s="29"/>
      <c r="P2025" s="37" t="str">
        <f t="shared" si="213"/>
        <v/>
      </c>
      <c r="Q2025" s="38" t="str">
        <f t="shared" si="214"/>
        <v/>
      </c>
      <c r="R2025" s="37" t="str">
        <f t="shared" si="215"/>
        <v/>
      </c>
      <c r="S2025" s="37" t="str">
        <f t="shared" si="216"/>
        <v/>
      </c>
      <c r="T2025" s="38" t="str">
        <f t="shared" si="217"/>
        <v/>
      </c>
      <c r="U2025" s="37" t="str">
        <f t="shared" si="218"/>
        <v/>
      </c>
    </row>
    <row r="2026" spans="2:21" ht="17.25">
      <c r="B2026" s="156"/>
      <c r="C2026" s="156"/>
      <c r="D2026" s="157"/>
      <c r="E2026" s="155"/>
      <c r="F2026" s="151"/>
      <c r="G2026" s="152"/>
      <c r="H2026" s="153"/>
      <c r="I2026" s="154"/>
      <c r="J2026" s="154"/>
      <c r="K2026" s="30" t="str">
        <f>IF(H2026="","",IF($C$30="간이법","",FPR(H2026,I2026,J2026)))</f>
        <v/>
      </c>
      <c r="L2026" s="30" t="str">
        <f>IF(H2026="","",IF($C$30="상세법",FPV(H2026,K2026),IF(H2026="EI",4,IF(H2026="EO",5.2,IF(H2026="EQ",3.9,IF(H2026="ILF",7.5,IF(H2026="EIF",5.4)))))))</f>
        <v/>
      </c>
      <c r="M2026" s="30" t="str">
        <f t="shared" si="212"/>
        <v/>
      </c>
      <c r="N2026" s="134"/>
      <c r="O2026" s="29"/>
      <c r="P2026" s="37" t="str">
        <f t="shared" si="213"/>
        <v/>
      </c>
      <c r="Q2026" s="38" t="str">
        <f t="shared" si="214"/>
        <v/>
      </c>
      <c r="R2026" s="37" t="str">
        <f t="shared" si="215"/>
        <v/>
      </c>
      <c r="S2026" s="37" t="str">
        <f t="shared" si="216"/>
        <v/>
      </c>
      <c r="T2026" s="38" t="str">
        <f t="shared" si="217"/>
        <v/>
      </c>
      <c r="U2026" s="37" t="str">
        <f t="shared" si="218"/>
        <v/>
      </c>
    </row>
    <row r="2027" spans="2:21" ht="17.25">
      <c r="B2027" s="156"/>
      <c r="C2027" s="156"/>
      <c r="D2027" s="157"/>
      <c r="E2027" s="155"/>
      <c r="F2027" s="151"/>
      <c r="G2027" s="152"/>
      <c r="H2027" s="153"/>
      <c r="I2027" s="154"/>
      <c r="J2027" s="154"/>
      <c r="K2027" s="30" t="str">
        <f>IF(H2027="","",IF($C$30="간이법","",FPR(H2027,I2027,J2027)))</f>
        <v/>
      </c>
      <c r="L2027" s="30" t="str">
        <f>IF(H2027="","",IF($C$30="상세법",FPV(H2027,K2027),IF(H2027="EI",4,IF(H2027="EO",5.2,IF(H2027="EQ",3.9,IF(H2027="ILF",7.5,IF(H2027="EIF",5.4)))))))</f>
        <v/>
      </c>
      <c r="M2027" s="30" t="str">
        <f t="shared" si="212"/>
        <v/>
      </c>
      <c r="N2027" s="134"/>
      <c r="O2027" s="29"/>
      <c r="P2027" s="37" t="str">
        <f t="shared" si="213"/>
        <v/>
      </c>
      <c r="Q2027" s="38" t="str">
        <f t="shared" si="214"/>
        <v/>
      </c>
      <c r="R2027" s="37" t="str">
        <f t="shared" si="215"/>
        <v/>
      </c>
      <c r="S2027" s="37" t="str">
        <f t="shared" si="216"/>
        <v/>
      </c>
      <c r="T2027" s="38" t="str">
        <f t="shared" si="217"/>
        <v/>
      </c>
      <c r="U2027" s="37" t="str">
        <f t="shared" si="218"/>
        <v/>
      </c>
    </row>
    <row r="2028" spans="2:21" ht="17.25">
      <c r="B2028" s="156"/>
      <c r="C2028" s="156"/>
      <c r="D2028" s="157"/>
      <c r="E2028" s="155"/>
      <c r="F2028" s="151"/>
      <c r="G2028" s="152"/>
      <c r="H2028" s="153"/>
      <c r="I2028" s="154"/>
      <c r="J2028" s="154"/>
      <c r="K2028" s="30" t="str">
        <f>IF(H2028="","",IF($C$30="간이법","",FPR(H2028,I2028,J2028)))</f>
        <v/>
      </c>
      <c r="L2028" s="30" t="str">
        <f>IF(H2028="","",IF($C$30="상세법",FPV(H2028,K2028),IF(H2028="EI",4,IF(H2028="EO",5.2,IF(H2028="EQ",3.9,IF(H2028="ILF",7.5,IF(H2028="EIF",5.4)))))))</f>
        <v/>
      </c>
      <c r="M2028" s="30" t="str">
        <f t="shared" si="212"/>
        <v/>
      </c>
      <c r="N2028" s="134"/>
      <c r="O2028" s="29"/>
      <c r="P2028" s="37" t="str">
        <f t="shared" si="213"/>
        <v/>
      </c>
      <c r="Q2028" s="38" t="str">
        <f t="shared" si="214"/>
        <v/>
      </c>
      <c r="R2028" s="37" t="str">
        <f t="shared" si="215"/>
        <v/>
      </c>
      <c r="S2028" s="37" t="str">
        <f t="shared" si="216"/>
        <v/>
      </c>
      <c r="T2028" s="38" t="str">
        <f t="shared" si="217"/>
        <v/>
      </c>
      <c r="U2028" s="37" t="str">
        <f t="shared" si="218"/>
        <v/>
      </c>
    </row>
    <row r="2029" spans="2:21" ht="17.25">
      <c r="B2029" s="156"/>
      <c r="C2029" s="156"/>
      <c r="D2029" s="157"/>
      <c r="E2029" s="155"/>
      <c r="F2029" s="151"/>
      <c r="G2029" s="152"/>
      <c r="H2029" s="153"/>
      <c r="I2029" s="154"/>
      <c r="J2029" s="154"/>
      <c r="K2029" s="30" t="str">
        <f>IF(H2029="","",IF($C$30="간이법","",FPR(H2029,I2029,J2029)))</f>
        <v/>
      </c>
      <c r="L2029" s="30" t="str">
        <f>IF(H2029="","",IF($C$30="상세법",FPV(H2029,K2029),IF(H2029="EI",4,IF(H2029="EO",5.2,IF(H2029="EQ",3.9,IF(H2029="ILF",7.5,IF(H2029="EIF",5.4)))))))</f>
        <v/>
      </c>
      <c r="M2029" s="30" t="str">
        <f t="shared" si="212"/>
        <v/>
      </c>
      <c r="N2029" s="134"/>
      <c r="O2029" s="29"/>
      <c r="P2029" s="37" t="str">
        <f t="shared" si="213"/>
        <v/>
      </c>
      <c r="Q2029" s="38" t="str">
        <f t="shared" si="214"/>
        <v/>
      </c>
      <c r="R2029" s="37" t="str">
        <f t="shared" si="215"/>
        <v/>
      </c>
      <c r="S2029" s="37" t="str">
        <f t="shared" si="216"/>
        <v/>
      </c>
      <c r="T2029" s="38" t="str">
        <f t="shared" si="217"/>
        <v/>
      </c>
      <c r="U2029" s="37" t="str">
        <f t="shared" si="218"/>
        <v/>
      </c>
    </row>
    <row r="2030" spans="2:21" ht="17.25">
      <c r="B2030" s="156"/>
      <c r="C2030" s="156"/>
      <c r="D2030" s="157"/>
      <c r="E2030" s="155"/>
      <c r="F2030" s="151"/>
      <c r="G2030" s="152"/>
      <c r="H2030" s="153"/>
      <c r="I2030" s="154"/>
      <c r="J2030" s="154"/>
      <c r="K2030" s="30" t="str">
        <f>IF(H2030="","",IF($C$30="간이법","",FPR(H2030,I2030,J2030)))</f>
        <v/>
      </c>
      <c r="L2030" s="30" t="str">
        <f>IF(H2030="","",IF($C$30="상세법",FPV(H2030,K2030),IF(H2030="EI",4,IF(H2030="EO",5.2,IF(H2030="EQ",3.9,IF(H2030="ILF",7.5,IF(H2030="EIF",5.4)))))))</f>
        <v/>
      </c>
      <c r="M2030" s="30" t="str">
        <f t="shared" si="212"/>
        <v/>
      </c>
      <c r="N2030" s="134"/>
      <c r="O2030" s="29"/>
      <c r="P2030" s="37" t="str">
        <f t="shared" si="213"/>
        <v/>
      </c>
      <c r="Q2030" s="38" t="str">
        <f t="shared" si="214"/>
        <v/>
      </c>
      <c r="R2030" s="37" t="str">
        <f t="shared" si="215"/>
        <v/>
      </c>
      <c r="S2030" s="37" t="str">
        <f t="shared" si="216"/>
        <v/>
      </c>
      <c r="T2030" s="38" t="str">
        <f t="shared" si="217"/>
        <v/>
      </c>
      <c r="U2030" s="37" t="str">
        <f t="shared" si="218"/>
        <v/>
      </c>
    </row>
    <row r="2031" spans="2:21" ht="17.25">
      <c r="B2031" s="156"/>
      <c r="C2031" s="156"/>
      <c r="D2031" s="157"/>
      <c r="E2031" s="155"/>
      <c r="F2031" s="151"/>
      <c r="G2031" s="152"/>
      <c r="H2031" s="153"/>
      <c r="I2031" s="154"/>
      <c r="J2031" s="154"/>
      <c r="K2031" s="30" t="str">
        <f>IF(H2031="","",IF($C$30="간이법","",FPR(H2031,I2031,J2031)))</f>
        <v/>
      </c>
      <c r="L2031" s="30" t="str">
        <f>IF(H2031="","",IF($C$30="상세법",FPV(H2031,K2031),IF(H2031="EI",4,IF(H2031="EO",5.2,IF(H2031="EQ",3.9,IF(H2031="ILF",7.5,IF(H2031="EIF",5.4)))))))</f>
        <v/>
      </c>
      <c r="M2031" s="30" t="str">
        <f t="shared" si="212"/>
        <v/>
      </c>
      <c r="N2031" s="134"/>
      <c r="O2031" s="29"/>
      <c r="P2031" s="37" t="str">
        <f t="shared" si="213"/>
        <v/>
      </c>
      <c r="Q2031" s="38" t="str">
        <f t="shared" si="214"/>
        <v/>
      </c>
      <c r="R2031" s="37" t="str">
        <f t="shared" si="215"/>
        <v/>
      </c>
      <c r="S2031" s="37" t="str">
        <f t="shared" si="216"/>
        <v/>
      </c>
      <c r="T2031" s="38" t="str">
        <f t="shared" si="217"/>
        <v/>
      </c>
      <c r="U2031" s="37" t="str">
        <f t="shared" si="218"/>
        <v/>
      </c>
    </row>
    <row r="2032" spans="2:21" ht="17.25">
      <c r="B2032" s="156"/>
      <c r="C2032" s="156"/>
      <c r="D2032" s="157"/>
      <c r="E2032" s="155"/>
      <c r="F2032" s="151"/>
      <c r="G2032" s="152"/>
      <c r="H2032" s="153"/>
      <c r="I2032" s="154"/>
      <c r="J2032" s="154"/>
      <c r="K2032" s="30" t="str">
        <f>IF(H2032="","",IF($C$30="간이법","",FPR(H2032,I2032,J2032)))</f>
        <v/>
      </c>
      <c r="L2032" s="30" t="str">
        <f>IF(H2032="","",IF($C$30="상세법",FPV(H2032,K2032),IF(H2032="EI",4,IF(H2032="EO",5.2,IF(H2032="EQ",3.9,IF(H2032="ILF",7.5,IF(H2032="EIF",5.4)))))))</f>
        <v/>
      </c>
      <c r="M2032" s="30" t="str">
        <f t="shared" si="212"/>
        <v/>
      </c>
      <c r="N2032" s="134"/>
      <c r="O2032" s="29"/>
      <c r="P2032" s="37" t="str">
        <f t="shared" si="213"/>
        <v/>
      </c>
      <c r="Q2032" s="38" t="str">
        <f t="shared" si="214"/>
        <v/>
      </c>
      <c r="R2032" s="37" t="str">
        <f t="shared" si="215"/>
        <v/>
      </c>
      <c r="S2032" s="37" t="str">
        <f t="shared" si="216"/>
        <v/>
      </c>
      <c r="T2032" s="38" t="str">
        <f t="shared" si="217"/>
        <v/>
      </c>
      <c r="U2032" s="37" t="str">
        <f t="shared" si="218"/>
        <v/>
      </c>
    </row>
    <row r="2033" spans="2:21" ht="17.25">
      <c r="B2033" s="156"/>
      <c r="C2033" s="156"/>
      <c r="D2033" s="157"/>
      <c r="E2033" s="155"/>
      <c r="F2033" s="151"/>
      <c r="G2033" s="152"/>
      <c r="H2033" s="153"/>
      <c r="I2033" s="154"/>
      <c r="J2033" s="154"/>
      <c r="K2033" s="30" t="str">
        <f>IF(H2033="","",IF($C$30="간이법","",FPR(H2033,I2033,J2033)))</f>
        <v/>
      </c>
      <c r="L2033" s="30" t="str">
        <f>IF(H2033="","",IF($C$30="상세법",FPV(H2033,K2033),IF(H2033="EI",4,IF(H2033="EO",5.2,IF(H2033="EQ",3.9,IF(H2033="ILF",7.5,IF(H2033="EIF",5.4)))))))</f>
        <v/>
      </c>
      <c r="M2033" s="30" t="str">
        <f t="shared" si="212"/>
        <v/>
      </c>
      <c r="N2033" s="134"/>
      <c r="O2033" s="29"/>
      <c r="P2033" s="37" t="str">
        <f t="shared" si="213"/>
        <v/>
      </c>
      <c r="Q2033" s="38" t="str">
        <f t="shared" si="214"/>
        <v/>
      </c>
      <c r="R2033" s="37" t="str">
        <f t="shared" si="215"/>
        <v/>
      </c>
      <c r="S2033" s="37" t="str">
        <f t="shared" si="216"/>
        <v/>
      </c>
      <c r="T2033" s="38" t="str">
        <f t="shared" si="217"/>
        <v/>
      </c>
      <c r="U2033" s="37" t="str">
        <f t="shared" si="218"/>
        <v/>
      </c>
    </row>
    <row r="2034" spans="2:21" ht="17.25">
      <c r="B2034" s="156"/>
      <c r="C2034" s="156"/>
      <c r="D2034" s="157"/>
      <c r="E2034" s="155"/>
      <c r="F2034" s="151"/>
      <c r="G2034" s="152"/>
      <c r="H2034" s="153"/>
      <c r="I2034" s="154"/>
      <c r="J2034" s="154"/>
      <c r="K2034" s="30" t="str">
        <f>IF(H2034="","",IF($C$30="간이법","",FPR(H2034,I2034,J2034)))</f>
        <v/>
      </c>
      <c r="L2034" s="30" t="str">
        <f>IF(H2034="","",IF($C$30="상세법",FPV(H2034,K2034),IF(H2034="EI",4,IF(H2034="EO",5.2,IF(H2034="EQ",3.9,IF(H2034="ILF",7.5,IF(H2034="EIF",5.4)))))))</f>
        <v/>
      </c>
      <c r="M2034" s="30" t="str">
        <f t="shared" si="212"/>
        <v/>
      </c>
      <c r="N2034" s="134"/>
      <c r="O2034" s="29"/>
      <c r="P2034" s="37" t="str">
        <f t="shared" si="213"/>
        <v/>
      </c>
      <c r="Q2034" s="38" t="str">
        <f t="shared" si="214"/>
        <v/>
      </c>
      <c r="R2034" s="37" t="str">
        <f t="shared" si="215"/>
        <v/>
      </c>
      <c r="S2034" s="37" t="str">
        <f t="shared" si="216"/>
        <v/>
      </c>
      <c r="T2034" s="38" t="str">
        <f t="shared" si="217"/>
        <v/>
      </c>
      <c r="U2034" s="37" t="str">
        <f t="shared" si="218"/>
        <v/>
      </c>
    </row>
    <row r="2035" spans="2:21" ht="17.25">
      <c r="B2035" s="156"/>
      <c r="C2035" s="156"/>
      <c r="D2035" s="157"/>
      <c r="E2035" s="155"/>
      <c r="F2035" s="151"/>
      <c r="G2035" s="152"/>
      <c r="H2035" s="153"/>
      <c r="I2035" s="154"/>
      <c r="J2035" s="154"/>
      <c r="K2035" s="30" t="str">
        <f>IF(H2035="","",IF($C$30="간이법","",FPR(H2035,I2035,J2035)))</f>
        <v/>
      </c>
      <c r="L2035" s="30" t="str">
        <f>IF(H2035="","",IF($C$30="상세법",FPV(H2035,K2035),IF(H2035="EI",4,IF(H2035="EO",5.2,IF(H2035="EQ",3.9,IF(H2035="ILF",7.5,IF(H2035="EIF",5.4)))))))</f>
        <v/>
      </c>
      <c r="M2035" s="30" t="str">
        <f t="shared" si="212"/>
        <v/>
      </c>
      <c r="N2035" s="134"/>
      <c r="O2035" s="29"/>
      <c r="P2035" s="37" t="str">
        <f t="shared" si="213"/>
        <v/>
      </c>
      <c r="Q2035" s="38" t="str">
        <f t="shared" si="214"/>
        <v/>
      </c>
      <c r="R2035" s="37" t="str">
        <f t="shared" si="215"/>
        <v/>
      </c>
      <c r="S2035" s="37" t="str">
        <f t="shared" si="216"/>
        <v/>
      </c>
      <c r="T2035" s="38" t="str">
        <f t="shared" si="217"/>
        <v/>
      </c>
      <c r="U2035" s="37" t="str">
        <f t="shared" si="218"/>
        <v/>
      </c>
    </row>
    <row r="2036" spans="2:21" ht="17.25">
      <c r="B2036" s="156"/>
      <c r="C2036" s="156"/>
      <c r="D2036" s="157"/>
      <c r="E2036" s="155"/>
      <c r="F2036" s="151"/>
      <c r="G2036" s="152"/>
      <c r="H2036" s="153"/>
      <c r="I2036" s="154"/>
      <c r="J2036" s="154"/>
      <c r="K2036" s="30" t="str">
        <f>IF(H2036="","",IF($C$30="간이법","",FPR(H2036,I2036,J2036)))</f>
        <v/>
      </c>
      <c r="L2036" s="30" t="str">
        <f>IF(H2036="","",IF($C$30="상세법",FPV(H2036,K2036),IF(H2036="EI",4,IF(H2036="EO",5.2,IF(H2036="EQ",3.9,IF(H2036="ILF",7.5,IF(H2036="EIF",5.4)))))))</f>
        <v/>
      </c>
      <c r="M2036" s="30" t="str">
        <f t="shared" si="212"/>
        <v/>
      </c>
      <c r="N2036" s="134"/>
      <c r="O2036" s="29"/>
      <c r="P2036" s="37" t="str">
        <f t="shared" si="213"/>
        <v/>
      </c>
      <c r="Q2036" s="38" t="str">
        <f t="shared" si="214"/>
        <v/>
      </c>
      <c r="R2036" s="37" t="str">
        <f t="shared" si="215"/>
        <v/>
      </c>
      <c r="S2036" s="37" t="str">
        <f t="shared" si="216"/>
        <v/>
      </c>
      <c r="T2036" s="38" t="str">
        <f t="shared" si="217"/>
        <v/>
      </c>
      <c r="U2036" s="37" t="str">
        <f t="shared" si="218"/>
        <v/>
      </c>
    </row>
    <row r="2037" spans="2:21" ht="17.25">
      <c r="B2037" s="156"/>
      <c r="C2037" s="156"/>
      <c r="D2037" s="157"/>
      <c r="E2037" s="155"/>
      <c r="F2037" s="151"/>
      <c r="G2037" s="152"/>
      <c r="H2037" s="153"/>
      <c r="I2037" s="154"/>
      <c r="J2037" s="154"/>
      <c r="K2037" s="30" t="str">
        <f>IF(H2037="","",IF($C$30="간이법","",FPR(H2037,I2037,J2037)))</f>
        <v/>
      </c>
      <c r="L2037" s="30" t="str">
        <f>IF(H2037="","",IF($C$30="상세법",FPV(H2037,K2037),IF(H2037="EI",4,IF(H2037="EO",5.2,IF(H2037="EQ",3.9,IF(H2037="ILF",7.5,IF(H2037="EIF",5.4)))))))</f>
        <v/>
      </c>
      <c r="M2037" s="30" t="str">
        <f t="shared" si="212"/>
        <v/>
      </c>
      <c r="N2037" s="134"/>
      <c r="O2037" s="29"/>
      <c r="P2037" s="37" t="str">
        <f t="shared" si="213"/>
        <v/>
      </c>
      <c r="Q2037" s="38" t="str">
        <f t="shared" si="214"/>
        <v/>
      </c>
      <c r="R2037" s="37" t="str">
        <f t="shared" si="215"/>
        <v/>
      </c>
      <c r="S2037" s="37" t="str">
        <f t="shared" si="216"/>
        <v/>
      </c>
      <c r="T2037" s="38" t="str">
        <f t="shared" si="217"/>
        <v/>
      </c>
      <c r="U2037" s="37" t="str">
        <f t="shared" si="218"/>
        <v/>
      </c>
    </row>
    <row r="2038" spans="2:21" ht="17.25">
      <c r="B2038" s="156"/>
      <c r="C2038" s="156"/>
      <c r="D2038" s="157"/>
      <c r="E2038" s="155"/>
      <c r="F2038" s="151"/>
      <c r="G2038" s="152"/>
      <c r="H2038" s="153"/>
      <c r="I2038" s="154"/>
      <c r="J2038" s="154"/>
      <c r="K2038" s="30" t="str">
        <f>IF(H2038="","",IF($C$30="간이법","",FPR(H2038,I2038,J2038)))</f>
        <v/>
      </c>
      <c r="L2038" s="30" t="str">
        <f>IF(H2038="","",IF($C$30="상세법",FPV(H2038,K2038),IF(H2038="EI",4,IF(H2038="EO",5.2,IF(H2038="EQ",3.9,IF(H2038="ILF",7.5,IF(H2038="EIF",5.4)))))))</f>
        <v/>
      </c>
      <c r="M2038" s="30" t="str">
        <f t="shared" si="212"/>
        <v/>
      </c>
      <c r="N2038" s="134"/>
      <c r="O2038" s="29"/>
      <c r="P2038" s="37" t="str">
        <f t="shared" si="213"/>
        <v/>
      </c>
      <c r="Q2038" s="38" t="str">
        <f t="shared" si="214"/>
        <v/>
      </c>
      <c r="R2038" s="37" t="str">
        <f t="shared" si="215"/>
        <v/>
      </c>
      <c r="S2038" s="37" t="str">
        <f t="shared" si="216"/>
        <v/>
      </c>
      <c r="T2038" s="38" t="str">
        <f t="shared" si="217"/>
        <v/>
      </c>
      <c r="U2038" s="37" t="str">
        <f t="shared" si="218"/>
        <v/>
      </c>
    </row>
    <row r="2039" spans="2:21" ht="17.25">
      <c r="B2039" s="156"/>
      <c r="C2039" s="156"/>
      <c r="D2039" s="157"/>
      <c r="E2039" s="155"/>
      <c r="F2039" s="151"/>
      <c r="G2039" s="152"/>
      <c r="H2039" s="153"/>
      <c r="I2039" s="154"/>
      <c r="J2039" s="154"/>
      <c r="K2039" s="30" t="str">
        <f>IF(H2039="","",IF($C$30="간이법","",FPR(H2039,I2039,J2039)))</f>
        <v/>
      </c>
      <c r="L2039" s="30" t="str">
        <f>IF(H2039="","",IF($C$30="상세법",FPV(H2039,K2039),IF(H2039="EI",4,IF(H2039="EO",5.2,IF(H2039="EQ",3.9,IF(H2039="ILF",7.5,IF(H2039="EIF",5.4)))))))</f>
        <v/>
      </c>
      <c r="M2039" s="30" t="str">
        <f t="shared" si="212"/>
        <v/>
      </c>
      <c r="N2039" s="134"/>
      <c r="O2039" s="29"/>
      <c r="P2039" s="37" t="str">
        <f t="shared" si="213"/>
        <v/>
      </c>
      <c r="Q2039" s="38" t="str">
        <f t="shared" si="214"/>
        <v/>
      </c>
      <c r="R2039" s="37" t="str">
        <f t="shared" si="215"/>
        <v/>
      </c>
      <c r="S2039" s="37" t="str">
        <f t="shared" si="216"/>
        <v/>
      </c>
      <c r="T2039" s="38" t="str">
        <f t="shared" si="217"/>
        <v/>
      </c>
      <c r="U2039" s="37" t="str">
        <f t="shared" si="218"/>
        <v/>
      </c>
    </row>
    <row r="2040" spans="2:21" ht="17.25">
      <c r="B2040" s="156"/>
      <c r="C2040" s="156"/>
      <c r="D2040" s="157"/>
      <c r="E2040" s="155"/>
      <c r="F2040" s="151"/>
      <c r="G2040" s="152"/>
      <c r="H2040" s="153"/>
      <c r="I2040" s="154"/>
      <c r="J2040" s="154"/>
      <c r="K2040" s="30" t="str">
        <f>IF(H2040="","",IF($C$30="간이법","",FPR(H2040,I2040,J2040)))</f>
        <v/>
      </c>
      <c r="L2040" s="30" t="str">
        <f>IF(H2040="","",IF($C$30="상세법",FPV(H2040,K2040),IF(H2040="EI",4,IF(H2040="EO",5.2,IF(H2040="EQ",3.9,IF(H2040="ILF",7.5,IF(H2040="EIF",5.4)))))))</f>
        <v/>
      </c>
      <c r="M2040" s="30" t="str">
        <f t="shared" si="212"/>
        <v/>
      </c>
      <c r="N2040" s="134"/>
      <c r="O2040" s="29"/>
      <c r="P2040" s="37" t="str">
        <f t="shared" si="213"/>
        <v/>
      </c>
      <c r="Q2040" s="38" t="str">
        <f t="shared" si="214"/>
        <v/>
      </c>
      <c r="R2040" s="37" t="str">
        <f t="shared" si="215"/>
        <v/>
      </c>
      <c r="S2040" s="37" t="str">
        <f t="shared" si="216"/>
        <v/>
      </c>
      <c r="T2040" s="38" t="str">
        <f t="shared" si="217"/>
        <v/>
      </c>
      <c r="U2040" s="37" t="str">
        <f t="shared" si="218"/>
        <v/>
      </c>
    </row>
    <row r="2041" spans="2:21" ht="17.25">
      <c r="B2041" s="156"/>
      <c r="C2041" s="156"/>
      <c r="D2041" s="157"/>
      <c r="E2041" s="155"/>
      <c r="F2041" s="151"/>
      <c r="G2041" s="152"/>
      <c r="H2041" s="153"/>
      <c r="I2041" s="154"/>
      <c r="J2041" s="154"/>
      <c r="K2041" s="30" t="str">
        <f>IF(H2041="","",IF($C$30="간이법","",FPR(H2041,I2041,J2041)))</f>
        <v/>
      </c>
      <c r="L2041" s="30" t="str">
        <f>IF(H2041="","",IF($C$30="상세법",FPV(H2041,K2041),IF(H2041="EI",4,IF(H2041="EO",5.2,IF(H2041="EQ",3.9,IF(H2041="ILF",7.5,IF(H2041="EIF",5.4)))))))</f>
        <v/>
      </c>
      <c r="M2041" s="30" t="str">
        <f t="shared" si="212"/>
        <v/>
      </c>
      <c r="N2041" s="134"/>
      <c r="O2041" s="29"/>
      <c r="P2041" s="37" t="str">
        <f t="shared" si="213"/>
        <v/>
      </c>
      <c r="Q2041" s="38" t="str">
        <f t="shared" si="214"/>
        <v/>
      </c>
      <c r="R2041" s="37" t="str">
        <f t="shared" si="215"/>
        <v/>
      </c>
      <c r="S2041" s="37" t="str">
        <f t="shared" si="216"/>
        <v/>
      </c>
      <c r="T2041" s="38" t="str">
        <f t="shared" si="217"/>
        <v/>
      </c>
      <c r="U2041" s="37" t="str">
        <f t="shared" si="218"/>
        <v/>
      </c>
    </row>
    <row r="2042" spans="2:21" ht="17.25">
      <c r="B2042" s="156"/>
      <c r="C2042" s="156"/>
      <c r="D2042" s="157"/>
      <c r="E2042" s="155"/>
      <c r="F2042" s="151"/>
      <c r="G2042" s="152"/>
      <c r="H2042" s="153"/>
      <c r="I2042" s="154"/>
      <c r="J2042" s="154"/>
      <c r="K2042" s="30" t="str">
        <f>IF(H2042="","",IF($C$30="간이법","",FPR(H2042,I2042,J2042)))</f>
        <v/>
      </c>
      <c r="L2042" s="30" t="str">
        <f>IF(H2042="","",IF($C$30="상세법",FPV(H2042,K2042),IF(H2042="EI",4,IF(H2042="EO",5.2,IF(H2042="EQ",3.9,IF(H2042="ILF",7.5,IF(H2042="EIF",5.4)))))))</f>
        <v/>
      </c>
      <c r="M2042" s="30" t="str">
        <f t="shared" si="212"/>
        <v/>
      </c>
      <c r="N2042" s="134"/>
      <c r="O2042" s="29"/>
      <c r="P2042" s="37" t="str">
        <f t="shared" si="213"/>
        <v/>
      </c>
      <c r="Q2042" s="38" t="str">
        <f t="shared" si="214"/>
        <v/>
      </c>
      <c r="R2042" s="37" t="str">
        <f t="shared" si="215"/>
        <v/>
      </c>
      <c r="S2042" s="37" t="str">
        <f t="shared" si="216"/>
        <v/>
      </c>
      <c r="T2042" s="38" t="str">
        <f t="shared" si="217"/>
        <v/>
      </c>
      <c r="U2042" s="37" t="str">
        <f t="shared" si="218"/>
        <v/>
      </c>
    </row>
    <row r="2043" spans="2:21" ht="17.25">
      <c r="B2043" s="156"/>
      <c r="C2043" s="156"/>
      <c r="D2043" s="157"/>
      <c r="E2043" s="155"/>
      <c r="F2043" s="151"/>
      <c r="G2043" s="152"/>
      <c r="H2043" s="153"/>
      <c r="I2043" s="154"/>
      <c r="J2043" s="154"/>
      <c r="K2043" s="30" t="str">
        <f>IF(H2043="","",IF($C$30="간이법","",FPR(H2043,I2043,J2043)))</f>
        <v/>
      </c>
      <c r="L2043" s="30" t="str">
        <f>IF(H2043="","",IF($C$30="상세법",FPV(H2043,K2043),IF(H2043="EI",4,IF(H2043="EO",5.2,IF(H2043="EQ",3.9,IF(H2043="ILF",7.5,IF(H2043="EIF",5.4)))))))</f>
        <v/>
      </c>
      <c r="M2043" s="30" t="str">
        <f t="shared" si="212"/>
        <v/>
      </c>
      <c r="N2043" s="134"/>
      <c r="O2043" s="29"/>
      <c r="P2043" s="37" t="str">
        <f t="shared" si="213"/>
        <v/>
      </c>
      <c r="Q2043" s="38" t="str">
        <f t="shared" si="214"/>
        <v/>
      </c>
      <c r="R2043" s="37" t="str">
        <f t="shared" si="215"/>
        <v/>
      </c>
      <c r="S2043" s="37" t="str">
        <f t="shared" si="216"/>
        <v/>
      </c>
      <c r="T2043" s="38" t="str">
        <f t="shared" si="217"/>
        <v/>
      </c>
      <c r="U2043" s="37" t="str">
        <f t="shared" si="218"/>
        <v/>
      </c>
    </row>
    <row r="2044" spans="2:21" ht="17.25">
      <c r="B2044" s="156"/>
      <c r="C2044" s="156"/>
      <c r="D2044" s="157"/>
      <c r="E2044" s="155"/>
      <c r="F2044" s="151"/>
      <c r="G2044" s="152"/>
      <c r="H2044" s="153"/>
      <c r="I2044" s="154"/>
      <c r="J2044" s="154"/>
      <c r="K2044" s="30" t="str">
        <f>IF(H2044="","",IF($C$30="간이법","",FPR(H2044,I2044,J2044)))</f>
        <v/>
      </c>
      <c r="L2044" s="30" t="str">
        <f>IF(H2044="","",IF($C$30="상세법",FPV(H2044,K2044),IF(H2044="EI",4,IF(H2044="EO",5.2,IF(H2044="EQ",3.9,IF(H2044="ILF",7.5,IF(H2044="EIF",5.4)))))))</f>
        <v/>
      </c>
      <c r="M2044" s="30" t="str">
        <f t="shared" ref="M2044:M2107" si="219">IF(OR(G2044="",$E$36="(선택)",$E$40="(선택)",$E$41="(선택)",F2044="신규 개발",F2044="수정 없이 재사용"),"",(IF(F2044="수정 후 재사용",IF($E$50&lt;=0.5,L2044*($E$36+$E$50*100*(1+0.02*($E$40*$E$41)))/100,L2044*($E$36+$E$50*100+($E$40*$E$41))/100))))</f>
        <v/>
      </c>
      <c r="N2044" s="134"/>
      <c r="O2044" s="29"/>
      <c r="P2044" s="37" t="str">
        <f t="shared" ref="P2044:P2107" si="220">IF(F2044="수정 후 재사용",IF(H2044="ILF",G2044,IF(H2044="EIF",G2044,"")),"")</f>
        <v/>
      </c>
      <c r="Q2044" s="38" t="str">
        <f t="shared" ref="Q2044:Q2107" si="221">IF(P2044&lt;&gt;"",IF(H2044="ILF", L2044/$E$46,IF(H2044="EIF", L2044/$E$46,"")),"")</f>
        <v/>
      </c>
      <c r="R2044" s="37" t="str">
        <f t="shared" ref="R2044:R2107" si="222">IF(P2044&lt;&gt;"",P2044*Q2044,"")</f>
        <v/>
      </c>
      <c r="S2044" s="37" t="str">
        <f t="shared" ref="S2044:S2107" si="223">IF(F2044="수정 후 재사용",IF(H2044="EI",G2044,IF(H2044="EO",G2044,IF(H2044="EQ",G2044,""))),"")</f>
        <v/>
      </c>
      <c r="T2044" s="38" t="str">
        <f t="shared" ref="T2044:T2107" si="224">IF(S2044&lt;&gt;"",IF(H2044="EI",L2044/$E$47,IF(H2044="EO",L2044/$E$47,IF(H2044="EQ",L2044/$E$47,""))),"")</f>
        <v/>
      </c>
      <c r="U2044" s="37" t="str">
        <f t="shared" ref="U2044:U2107" si="225">IF(S2044&lt;&gt;"",S2044*T2044,"")</f>
        <v/>
      </c>
    </row>
    <row r="2045" spans="2:21" ht="17.25">
      <c r="B2045" s="156"/>
      <c r="C2045" s="156"/>
      <c r="D2045" s="157"/>
      <c r="E2045" s="155"/>
      <c r="F2045" s="151"/>
      <c r="G2045" s="152"/>
      <c r="H2045" s="153"/>
      <c r="I2045" s="154"/>
      <c r="J2045" s="154"/>
      <c r="K2045" s="30" t="str">
        <f>IF(H2045="","",IF($C$30="간이법","",FPR(H2045,I2045,J2045)))</f>
        <v/>
      </c>
      <c r="L2045" s="30" t="str">
        <f>IF(H2045="","",IF($C$30="상세법",FPV(H2045,K2045),IF(H2045="EI",4,IF(H2045="EO",5.2,IF(H2045="EQ",3.9,IF(H2045="ILF",7.5,IF(H2045="EIF",5.4)))))))</f>
        <v/>
      </c>
      <c r="M2045" s="30" t="str">
        <f t="shared" si="219"/>
        <v/>
      </c>
      <c r="N2045" s="134"/>
      <c r="O2045" s="29"/>
      <c r="P2045" s="37" t="str">
        <f t="shared" si="220"/>
        <v/>
      </c>
      <c r="Q2045" s="38" t="str">
        <f t="shared" si="221"/>
        <v/>
      </c>
      <c r="R2045" s="37" t="str">
        <f t="shared" si="222"/>
        <v/>
      </c>
      <c r="S2045" s="37" t="str">
        <f t="shared" si="223"/>
        <v/>
      </c>
      <c r="T2045" s="38" t="str">
        <f t="shared" si="224"/>
        <v/>
      </c>
      <c r="U2045" s="37" t="str">
        <f t="shared" si="225"/>
        <v/>
      </c>
    </row>
    <row r="2046" spans="2:21" ht="17.25">
      <c r="B2046" s="156"/>
      <c r="C2046" s="156"/>
      <c r="D2046" s="157"/>
      <c r="E2046" s="155"/>
      <c r="F2046" s="151"/>
      <c r="G2046" s="152"/>
      <c r="H2046" s="153"/>
      <c r="I2046" s="154"/>
      <c r="J2046" s="154"/>
      <c r="K2046" s="30" t="str">
        <f>IF(H2046="","",IF($C$30="간이법","",FPR(H2046,I2046,J2046)))</f>
        <v/>
      </c>
      <c r="L2046" s="30" t="str">
        <f>IF(H2046="","",IF($C$30="상세법",FPV(H2046,K2046),IF(H2046="EI",4,IF(H2046="EO",5.2,IF(H2046="EQ",3.9,IF(H2046="ILF",7.5,IF(H2046="EIF",5.4)))))))</f>
        <v/>
      </c>
      <c r="M2046" s="30" t="str">
        <f t="shared" si="219"/>
        <v/>
      </c>
      <c r="N2046" s="134"/>
      <c r="O2046" s="29"/>
      <c r="P2046" s="37" t="str">
        <f t="shared" si="220"/>
        <v/>
      </c>
      <c r="Q2046" s="38" t="str">
        <f t="shared" si="221"/>
        <v/>
      </c>
      <c r="R2046" s="37" t="str">
        <f t="shared" si="222"/>
        <v/>
      </c>
      <c r="S2046" s="37" t="str">
        <f t="shared" si="223"/>
        <v/>
      </c>
      <c r="T2046" s="38" t="str">
        <f t="shared" si="224"/>
        <v/>
      </c>
      <c r="U2046" s="37" t="str">
        <f t="shared" si="225"/>
        <v/>
      </c>
    </row>
    <row r="2047" spans="2:21" ht="17.25">
      <c r="B2047" s="156"/>
      <c r="C2047" s="156"/>
      <c r="D2047" s="157"/>
      <c r="E2047" s="155"/>
      <c r="F2047" s="151"/>
      <c r="G2047" s="152"/>
      <c r="H2047" s="153"/>
      <c r="I2047" s="154"/>
      <c r="J2047" s="154"/>
      <c r="K2047" s="30" t="str">
        <f>IF(H2047="","",IF($C$30="간이법","",FPR(H2047,I2047,J2047)))</f>
        <v/>
      </c>
      <c r="L2047" s="30" t="str">
        <f>IF(H2047="","",IF($C$30="상세법",FPV(H2047,K2047),IF(H2047="EI",4,IF(H2047="EO",5.2,IF(H2047="EQ",3.9,IF(H2047="ILF",7.5,IF(H2047="EIF",5.4)))))))</f>
        <v/>
      </c>
      <c r="M2047" s="30" t="str">
        <f t="shared" si="219"/>
        <v/>
      </c>
      <c r="N2047" s="134"/>
      <c r="O2047" s="29"/>
      <c r="P2047" s="37" t="str">
        <f t="shared" si="220"/>
        <v/>
      </c>
      <c r="Q2047" s="38" t="str">
        <f t="shared" si="221"/>
        <v/>
      </c>
      <c r="R2047" s="37" t="str">
        <f t="shared" si="222"/>
        <v/>
      </c>
      <c r="S2047" s="37" t="str">
        <f t="shared" si="223"/>
        <v/>
      </c>
      <c r="T2047" s="38" t="str">
        <f t="shared" si="224"/>
        <v/>
      </c>
      <c r="U2047" s="37" t="str">
        <f t="shared" si="225"/>
        <v/>
      </c>
    </row>
    <row r="2048" spans="2:21" ht="17.25">
      <c r="B2048" s="156"/>
      <c r="C2048" s="156"/>
      <c r="D2048" s="157"/>
      <c r="E2048" s="155"/>
      <c r="F2048" s="151"/>
      <c r="G2048" s="152"/>
      <c r="H2048" s="153"/>
      <c r="I2048" s="154"/>
      <c r="J2048" s="154"/>
      <c r="K2048" s="30" t="str">
        <f>IF(H2048="","",IF($C$30="간이법","",FPR(H2048,I2048,J2048)))</f>
        <v/>
      </c>
      <c r="L2048" s="30" t="str">
        <f>IF(H2048="","",IF($C$30="상세법",FPV(H2048,K2048),IF(H2048="EI",4,IF(H2048="EO",5.2,IF(H2048="EQ",3.9,IF(H2048="ILF",7.5,IF(H2048="EIF",5.4)))))))</f>
        <v/>
      </c>
      <c r="M2048" s="30" t="str">
        <f t="shared" si="219"/>
        <v/>
      </c>
      <c r="N2048" s="134"/>
      <c r="O2048" s="29"/>
      <c r="P2048" s="37" t="str">
        <f t="shared" si="220"/>
        <v/>
      </c>
      <c r="Q2048" s="38" t="str">
        <f t="shared" si="221"/>
        <v/>
      </c>
      <c r="R2048" s="37" t="str">
        <f t="shared" si="222"/>
        <v/>
      </c>
      <c r="S2048" s="37" t="str">
        <f t="shared" si="223"/>
        <v/>
      </c>
      <c r="T2048" s="38" t="str">
        <f t="shared" si="224"/>
        <v/>
      </c>
      <c r="U2048" s="37" t="str">
        <f t="shared" si="225"/>
        <v/>
      </c>
    </row>
    <row r="2049" spans="2:21" ht="17.25">
      <c r="B2049" s="156"/>
      <c r="C2049" s="156"/>
      <c r="D2049" s="157"/>
      <c r="E2049" s="155"/>
      <c r="F2049" s="151"/>
      <c r="G2049" s="152"/>
      <c r="H2049" s="153"/>
      <c r="I2049" s="154"/>
      <c r="J2049" s="154"/>
      <c r="K2049" s="30" t="str">
        <f>IF(H2049="","",IF($C$30="간이법","",FPR(H2049,I2049,J2049)))</f>
        <v/>
      </c>
      <c r="L2049" s="30" t="str">
        <f>IF(H2049="","",IF($C$30="상세법",FPV(H2049,K2049),IF(H2049="EI",4,IF(H2049="EO",5.2,IF(H2049="EQ",3.9,IF(H2049="ILF",7.5,IF(H2049="EIF",5.4)))))))</f>
        <v/>
      </c>
      <c r="M2049" s="30" t="str">
        <f t="shared" si="219"/>
        <v/>
      </c>
      <c r="N2049" s="134"/>
      <c r="O2049" s="29"/>
      <c r="P2049" s="37" t="str">
        <f t="shared" si="220"/>
        <v/>
      </c>
      <c r="Q2049" s="38" t="str">
        <f t="shared" si="221"/>
        <v/>
      </c>
      <c r="R2049" s="37" t="str">
        <f t="shared" si="222"/>
        <v/>
      </c>
      <c r="S2049" s="37" t="str">
        <f t="shared" si="223"/>
        <v/>
      </c>
      <c r="T2049" s="38" t="str">
        <f t="shared" si="224"/>
        <v/>
      </c>
      <c r="U2049" s="37" t="str">
        <f t="shared" si="225"/>
        <v/>
      </c>
    </row>
    <row r="2050" spans="2:21" ht="17.25">
      <c r="B2050" s="156"/>
      <c r="C2050" s="156"/>
      <c r="D2050" s="157"/>
      <c r="E2050" s="155"/>
      <c r="F2050" s="151"/>
      <c r="G2050" s="152"/>
      <c r="H2050" s="153"/>
      <c r="I2050" s="154"/>
      <c r="J2050" s="154"/>
      <c r="K2050" s="30" t="str">
        <f>IF(H2050="","",IF($C$30="간이법","",FPR(H2050,I2050,J2050)))</f>
        <v/>
      </c>
      <c r="L2050" s="30" t="str">
        <f>IF(H2050="","",IF($C$30="상세법",FPV(H2050,K2050),IF(H2050="EI",4,IF(H2050="EO",5.2,IF(H2050="EQ",3.9,IF(H2050="ILF",7.5,IF(H2050="EIF",5.4)))))))</f>
        <v/>
      </c>
      <c r="M2050" s="30" t="str">
        <f t="shared" si="219"/>
        <v/>
      </c>
      <c r="N2050" s="134"/>
      <c r="O2050" s="29"/>
      <c r="P2050" s="37" t="str">
        <f t="shared" si="220"/>
        <v/>
      </c>
      <c r="Q2050" s="38" t="str">
        <f t="shared" si="221"/>
        <v/>
      </c>
      <c r="R2050" s="37" t="str">
        <f t="shared" si="222"/>
        <v/>
      </c>
      <c r="S2050" s="37" t="str">
        <f t="shared" si="223"/>
        <v/>
      </c>
      <c r="T2050" s="38" t="str">
        <f t="shared" si="224"/>
        <v/>
      </c>
      <c r="U2050" s="37" t="str">
        <f t="shared" si="225"/>
        <v/>
      </c>
    </row>
    <row r="2051" spans="2:21" ht="17.25">
      <c r="B2051" s="156"/>
      <c r="C2051" s="156"/>
      <c r="D2051" s="157"/>
      <c r="E2051" s="155"/>
      <c r="F2051" s="151"/>
      <c r="G2051" s="152"/>
      <c r="H2051" s="153"/>
      <c r="I2051" s="154"/>
      <c r="J2051" s="154"/>
      <c r="K2051" s="30" t="str">
        <f>IF(H2051="","",IF($C$30="간이법","",FPR(H2051,I2051,J2051)))</f>
        <v/>
      </c>
      <c r="L2051" s="30" t="str">
        <f>IF(H2051="","",IF($C$30="상세법",FPV(H2051,K2051),IF(H2051="EI",4,IF(H2051="EO",5.2,IF(H2051="EQ",3.9,IF(H2051="ILF",7.5,IF(H2051="EIF",5.4)))))))</f>
        <v/>
      </c>
      <c r="M2051" s="30" t="str">
        <f t="shared" si="219"/>
        <v/>
      </c>
      <c r="N2051" s="134"/>
      <c r="O2051" s="29"/>
      <c r="P2051" s="37" t="str">
        <f t="shared" si="220"/>
        <v/>
      </c>
      <c r="Q2051" s="38" t="str">
        <f t="shared" si="221"/>
        <v/>
      </c>
      <c r="R2051" s="37" t="str">
        <f t="shared" si="222"/>
        <v/>
      </c>
      <c r="S2051" s="37" t="str">
        <f t="shared" si="223"/>
        <v/>
      </c>
      <c r="T2051" s="38" t="str">
        <f t="shared" si="224"/>
        <v/>
      </c>
      <c r="U2051" s="37" t="str">
        <f t="shared" si="225"/>
        <v/>
      </c>
    </row>
    <row r="2052" spans="2:21" ht="17.25">
      <c r="B2052" s="156"/>
      <c r="C2052" s="156"/>
      <c r="D2052" s="157"/>
      <c r="E2052" s="155"/>
      <c r="F2052" s="151"/>
      <c r="G2052" s="152"/>
      <c r="H2052" s="153"/>
      <c r="I2052" s="154"/>
      <c r="J2052" s="154"/>
      <c r="K2052" s="30" t="str">
        <f>IF(H2052="","",IF($C$30="간이법","",FPR(H2052,I2052,J2052)))</f>
        <v/>
      </c>
      <c r="L2052" s="30" t="str">
        <f>IF(H2052="","",IF($C$30="상세법",FPV(H2052,K2052),IF(H2052="EI",4,IF(H2052="EO",5.2,IF(H2052="EQ",3.9,IF(H2052="ILF",7.5,IF(H2052="EIF",5.4)))))))</f>
        <v/>
      </c>
      <c r="M2052" s="30" t="str">
        <f t="shared" si="219"/>
        <v/>
      </c>
      <c r="N2052" s="134"/>
      <c r="O2052" s="29"/>
      <c r="P2052" s="37" t="str">
        <f t="shared" si="220"/>
        <v/>
      </c>
      <c r="Q2052" s="38" t="str">
        <f t="shared" si="221"/>
        <v/>
      </c>
      <c r="R2052" s="37" t="str">
        <f t="shared" si="222"/>
        <v/>
      </c>
      <c r="S2052" s="37" t="str">
        <f t="shared" si="223"/>
        <v/>
      </c>
      <c r="T2052" s="38" t="str">
        <f t="shared" si="224"/>
        <v/>
      </c>
      <c r="U2052" s="37" t="str">
        <f t="shared" si="225"/>
        <v/>
      </c>
    </row>
    <row r="2053" spans="2:21" ht="17.25">
      <c r="B2053" s="156"/>
      <c r="C2053" s="156"/>
      <c r="D2053" s="157"/>
      <c r="E2053" s="155"/>
      <c r="F2053" s="151"/>
      <c r="G2053" s="152"/>
      <c r="H2053" s="153"/>
      <c r="I2053" s="154"/>
      <c r="J2053" s="154"/>
      <c r="K2053" s="30" t="str">
        <f>IF(H2053="","",IF($C$30="간이법","",FPR(H2053,I2053,J2053)))</f>
        <v/>
      </c>
      <c r="L2053" s="30" t="str">
        <f>IF(H2053="","",IF($C$30="상세법",FPV(H2053,K2053),IF(H2053="EI",4,IF(H2053="EO",5.2,IF(H2053="EQ",3.9,IF(H2053="ILF",7.5,IF(H2053="EIF",5.4)))))))</f>
        <v/>
      </c>
      <c r="M2053" s="30" t="str">
        <f t="shared" si="219"/>
        <v/>
      </c>
      <c r="N2053" s="134"/>
      <c r="O2053" s="29"/>
      <c r="P2053" s="37" t="str">
        <f t="shared" si="220"/>
        <v/>
      </c>
      <c r="Q2053" s="38" t="str">
        <f t="shared" si="221"/>
        <v/>
      </c>
      <c r="R2053" s="37" t="str">
        <f t="shared" si="222"/>
        <v/>
      </c>
      <c r="S2053" s="37" t="str">
        <f t="shared" si="223"/>
        <v/>
      </c>
      <c r="T2053" s="38" t="str">
        <f t="shared" si="224"/>
        <v/>
      </c>
      <c r="U2053" s="37" t="str">
        <f t="shared" si="225"/>
        <v/>
      </c>
    </row>
    <row r="2054" spans="2:21" ht="17.25">
      <c r="B2054" s="156"/>
      <c r="C2054" s="156"/>
      <c r="D2054" s="157"/>
      <c r="E2054" s="155"/>
      <c r="F2054" s="151"/>
      <c r="G2054" s="152"/>
      <c r="H2054" s="153"/>
      <c r="I2054" s="154"/>
      <c r="J2054" s="154"/>
      <c r="K2054" s="30" t="str">
        <f>IF(H2054="","",IF($C$30="간이법","",FPR(H2054,I2054,J2054)))</f>
        <v/>
      </c>
      <c r="L2054" s="30" t="str">
        <f>IF(H2054="","",IF($C$30="상세법",FPV(H2054,K2054),IF(H2054="EI",4,IF(H2054="EO",5.2,IF(H2054="EQ",3.9,IF(H2054="ILF",7.5,IF(H2054="EIF",5.4)))))))</f>
        <v/>
      </c>
      <c r="M2054" s="30" t="str">
        <f t="shared" si="219"/>
        <v/>
      </c>
      <c r="N2054" s="134"/>
      <c r="O2054" s="29"/>
      <c r="P2054" s="37" t="str">
        <f t="shared" si="220"/>
        <v/>
      </c>
      <c r="Q2054" s="38" t="str">
        <f t="shared" si="221"/>
        <v/>
      </c>
      <c r="R2054" s="37" t="str">
        <f t="shared" si="222"/>
        <v/>
      </c>
      <c r="S2054" s="37" t="str">
        <f t="shared" si="223"/>
        <v/>
      </c>
      <c r="T2054" s="38" t="str">
        <f t="shared" si="224"/>
        <v/>
      </c>
      <c r="U2054" s="37" t="str">
        <f t="shared" si="225"/>
        <v/>
      </c>
    </row>
    <row r="2055" spans="2:21" ht="17.25">
      <c r="B2055" s="156"/>
      <c r="C2055" s="156"/>
      <c r="D2055" s="157"/>
      <c r="E2055" s="155"/>
      <c r="F2055" s="151"/>
      <c r="G2055" s="152"/>
      <c r="H2055" s="153"/>
      <c r="I2055" s="154"/>
      <c r="J2055" s="154"/>
      <c r="K2055" s="30" t="str">
        <f>IF(H2055="","",IF($C$30="간이법","",FPR(H2055,I2055,J2055)))</f>
        <v/>
      </c>
      <c r="L2055" s="30" t="str">
        <f>IF(H2055="","",IF($C$30="상세법",FPV(H2055,K2055),IF(H2055="EI",4,IF(H2055="EO",5.2,IF(H2055="EQ",3.9,IF(H2055="ILF",7.5,IF(H2055="EIF",5.4)))))))</f>
        <v/>
      </c>
      <c r="M2055" s="30" t="str">
        <f t="shared" si="219"/>
        <v/>
      </c>
      <c r="N2055" s="134"/>
      <c r="O2055" s="29"/>
      <c r="P2055" s="37" t="str">
        <f t="shared" si="220"/>
        <v/>
      </c>
      <c r="Q2055" s="38" t="str">
        <f t="shared" si="221"/>
        <v/>
      </c>
      <c r="R2055" s="37" t="str">
        <f t="shared" si="222"/>
        <v/>
      </c>
      <c r="S2055" s="37" t="str">
        <f t="shared" si="223"/>
        <v/>
      </c>
      <c r="T2055" s="38" t="str">
        <f t="shared" si="224"/>
        <v/>
      </c>
      <c r="U2055" s="37" t="str">
        <f t="shared" si="225"/>
        <v/>
      </c>
    </row>
    <row r="2056" spans="2:21" ht="17.25">
      <c r="B2056" s="156"/>
      <c r="C2056" s="156"/>
      <c r="D2056" s="157"/>
      <c r="E2056" s="155"/>
      <c r="F2056" s="151"/>
      <c r="G2056" s="152"/>
      <c r="H2056" s="153"/>
      <c r="I2056" s="154"/>
      <c r="J2056" s="154"/>
      <c r="K2056" s="30" t="str">
        <f>IF(H2056="","",IF($C$30="간이법","",FPR(H2056,I2056,J2056)))</f>
        <v/>
      </c>
      <c r="L2056" s="30" t="str">
        <f>IF(H2056="","",IF($C$30="상세법",FPV(H2056,K2056),IF(H2056="EI",4,IF(H2056="EO",5.2,IF(H2056="EQ",3.9,IF(H2056="ILF",7.5,IF(H2056="EIF",5.4)))))))</f>
        <v/>
      </c>
      <c r="M2056" s="30" t="str">
        <f t="shared" si="219"/>
        <v/>
      </c>
      <c r="N2056" s="134"/>
      <c r="O2056" s="29"/>
      <c r="P2056" s="37" t="str">
        <f t="shared" si="220"/>
        <v/>
      </c>
      <c r="Q2056" s="38" t="str">
        <f t="shared" si="221"/>
        <v/>
      </c>
      <c r="R2056" s="37" t="str">
        <f t="shared" si="222"/>
        <v/>
      </c>
      <c r="S2056" s="37" t="str">
        <f t="shared" si="223"/>
        <v/>
      </c>
      <c r="T2056" s="38" t="str">
        <f t="shared" si="224"/>
        <v/>
      </c>
      <c r="U2056" s="37" t="str">
        <f t="shared" si="225"/>
        <v/>
      </c>
    </row>
    <row r="2057" spans="2:21" ht="17.25">
      <c r="B2057" s="156"/>
      <c r="C2057" s="156"/>
      <c r="D2057" s="157"/>
      <c r="E2057" s="155"/>
      <c r="F2057" s="151"/>
      <c r="G2057" s="152"/>
      <c r="H2057" s="153"/>
      <c r="I2057" s="154"/>
      <c r="J2057" s="154"/>
      <c r="K2057" s="30" t="str">
        <f>IF(H2057="","",IF($C$30="간이법","",FPR(H2057,I2057,J2057)))</f>
        <v/>
      </c>
      <c r="L2057" s="30" t="str">
        <f>IF(H2057="","",IF($C$30="상세법",FPV(H2057,K2057),IF(H2057="EI",4,IF(H2057="EO",5.2,IF(H2057="EQ",3.9,IF(H2057="ILF",7.5,IF(H2057="EIF",5.4)))))))</f>
        <v/>
      </c>
      <c r="M2057" s="30" t="str">
        <f t="shared" si="219"/>
        <v/>
      </c>
      <c r="N2057" s="134"/>
      <c r="O2057" s="29"/>
      <c r="P2057" s="37" t="str">
        <f t="shared" si="220"/>
        <v/>
      </c>
      <c r="Q2057" s="38" t="str">
        <f t="shared" si="221"/>
        <v/>
      </c>
      <c r="R2057" s="37" t="str">
        <f t="shared" si="222"/>
        <v/>
      </c>
      <c r="S2057" s="37" t="str">
        <f t="shared" si="223"/>
        <v/>
      </c>
      <c r="T2057" s="38" t="str">
        <f t="shared" si="224"/>
        <v/>
      </c>
      <c r="U2057" s="37" t="str">
        <f t="shared" si="225"/>
        <v/>
      </c>
    </row>
    <row r="2058" spans="2:21" ht="17.25">
      <c r="B2058" s="156"/>
      <c r="C2058" s="156"/>
      <c r="D2058" s="157"/>
      <c r="E2058" s="155"/>
      <c r="F2058" s="151"/>
      <c r="G2058" s="152"/>
      <c r="H2058" s="153"/>
      <c r="I2058" s="154"/>
      <c r="J2058" s="154"/>
      <c r="K2058" s="30" t="str">
        <f>IF(H2058="","",IF($C$30="간이법","",FPR(H2058,I2058,J2058)))</f>
        <v/>
      </c>
      <c r="L2058" s="30" t="str">
        <f>IF(H2058="","",IF($C$30="상세법",FPV(H2058,K2058),IF(H2058="EI",4,IF(H2058="EO",5.2,IF(H2058="EQ",3.9,IF(H2058="ILF",7.5,IF(H2058="EIF",5.4)))))))</f>
        <v/>
      </c>
      <c r="M2058" s="30" t="str">
        <f t="shared" si="219"/>
        <v/>
      </c>
      <c r="N2058" s="134"/>
      <c r="O2058" s="29"/>
      <c r="P2058" s="37" t="str">
        <f t="shared" si="220"/>
        <v/>
      </c>
      <c r="Q2058" s="38" t="str">
        <f t="shared" si="221"/>
        <v/>
      </c>
      <c r="R2058" s="37" t="str">
        <f t="shared" si="222"/>
        <v/>
      </c>
      <c r="S2058" s="37" t="str">
        <f t="shared" si="223"/>
        <v/>
      </c>
      <c r="T2058" s="38" t="str">
        <f t="shared" si="224"/>
        <v/>
      </c>
      <c r="U2058" s="37" t="str">
        <f t="shared" si="225"/>
        <v/>
      </c>
    </row>
    <row r="2059" spans="2:21" ht="17.25">
      <c r="B2059" s="156"/>
      <c r="C2059" s="156"/>
      <c r="D2059" s="157"/>
      <c r="E2059" s="155"/>
      <c r="F2059" s="151"/>
      <c r="G2059" s="152"/>
      <c r="H2059" s="153"/>
      <c r="I2059" s="154"/>
      <c r="J2059" s="154"/>
      <c r="K2059" s="30" t="str">
        <f>IF(H2059="","",IF($C$30="간이법","",FPR(H2059,I2059,J2059)))</f>
        <v/>
      </c>
      <c r="L2059" s="30" t="str">
        <f>IF(H2059="","",IF($C$30="상세법",FPV(H2059,K2059),IF(H2059="EI",4,IF(H2059="EO",5.2,IF(H2059="EQ",3.9,IF(H2059="ILF",7.5,IF(H2059="EIF",5.4)))))))</f>
        <v/>
      </c>
      <c r="M2059" s="30" t="str">
        <f t="shared" si="219"/>
        <v/>
      </c>
      <c r="N2059" s="134"/>
      <c r="O2059" s="29"/>
      <c r="P2059" s="37" t="str">
        <f t="shared" si="220"/>
        <v/>
      </c>
      <c r="Q2059" s="38" t="str">
        <f t="shared" si="221"/>
        <v/>
      </c>
      <c r="R2059" s="37" t="str">
        <f t="shared" si="222"/>
        <v/>
      </c>
      <c r="S2059" s="37" t="str">
        <f t="shared" si="223"/>
        <v/>
      </c>
      <c r="T2059" s="38" t="str">
        <f t="shared" si="224"/>
        <v/>
      </c>
      <c r="U2059" s="37" t="str">
        <f t="shared" si="225"/>
        <v/>
      </c>
    </row>
    <row r="2060" spans="2:21" ht="17.25">
      <c r="B2060" s="156"/>
      <c r="C2060" s="156"/>
      <c r="D2060" s="157"/>
      <c r="E2060" s="155"/>
      <c r="F2060" s="151"/>
      <c r="G2060" s="152"/>
      <c r="H2060" s="153"/>
      <c r="I2060" s="154"/>
      <c r="J2060" s="154"/>
      <c r="K2060" s="30" t="str">
        <f>IF(H2060="","",IF($C$30="간이법","",FPR(H2060,I2060,J2060)))</f>
        <v/>
      </c>
      <c r="L2060" s="30" t="str">
        <f>IF(H2060="","",IF($C$30="상세법",FPV(H2060,K2060),IF(H2060="EI",4,IF(H2060="EO",5.2,IF(H2060="EQ",3.9,IF(H2060="ILF",7.5,IF(H2060="EIF",5.4)))))))</f>
        <v/>
      </c>
      <c r="M2060" s="30" t="str">
        <f t="shared" si="219"/>
        <v/>
      </c>
      <c r="N2060" s="134"/>
      <c r="O2060" s="29"/>
      <c r="P2060" s="37" t="str">
        <f t="shared" si="220"/>
        <v/>
      </c>
      <c r="Q2060" s="38" t="str">
        <f t="shared" si="221"/>
        <v/>
      </c>
      <c r="R2060" s="37" t="str">
        <f t="shared" si="222"/>
        <v/>
      </c>
      <c r="S2060" s="37" t="str">
        <f t="shared" si="223"/>
        <v/>
      </c>
      <c r="T2060" s="38" t="str">
        <f t="shared" si="224"/>
        <v/>
      </c>
      <c r="U2060" s="37" t="str">
        <f t="shared" si="225"/>
        <v/>
      </c>
    </row>
    <row r="2061" spans="2:21" ht="17.25">
      <c r="B2061" s="156"/>
      <c r="C2061" s="156"/>
      <c r="D2061" s="157"/>
      <c r="E2061" s="155"/>
      <c r="F2061" s="151"/>
      <c r="G2061" s="152"/>
      <c r="H2061" s="153"/>
      <c r="I2061" s="154"/>
      <c r="J2061" s="154"/>
      <c r="K2061" s="30" t="str">
        <f>IF(H2061="","",IF($C$30="간이법","",FPR(H2061,I2061,J2061)))</f>
        <v/>
      </c>
      <c r="L2061" s="30" t="str">
        <f>IF(H2061="","",IF($C$30="상세법",FPV(H2061,K2061),IF(H2061="EI",4,IF(H2061="EO",5.2,IF(H2061="EQ",3.9,IF(H2061="ILF",7.5,IF(H2061="EIF",5.4)))))))</f>
        <v/>
      </c>
      <c r="M2061" s="30" t="str">
        <f t="shared" si="219"/>
        <v/>
      </c>
      <c r="N2061" s="134"/>
      <c r="O2061" s="29"/>
      <c r="P2061" s="37" t="str">
        <f t="shared" si="220"/>
        <v/>
      </c>
      <c r="Q2061" s="38" t="str">
        <f t="shared" si="221"/>
        <v/>
      </c>
      <c r="R2061" s="37" t="str">
        <f t="shared" si="222"/>
        <v/>
      </c>
      <c r="S2061" s="37" t="str">
        <f t="shared" si="223"/>
        <v/>
      </c>
      <c r="T2061" s="38" t="str">
        <f t="shared" si="224"/>
        <v/>
      </c>
      <c r="U2061" s="37" t="str">
        <f t="shared" si="225"/>
        <v/>
      </c>
    </row>
    <row r="2062" spans="2:21" ht="17.25">
      <c r="B2062" s="156"/>
      <c r="C2062" s="156"/>
      <c r="D2062" s="157"/>
      <c r="E2062" s="155"/>
      <c r="F2062" s="151"/>
      <c r="G2062" s="152"/>
      <c r="H2062" s="153"/>
      <c r="I2062" s="154"/>
      <c r="J2062" s="154"/>
      <c r="K2062" s="30" t="str">
        <f>IF(H2062="","",IF($C$30="간이법","",FPR(H2062,I2062,J2062)))</f>
        <v/>
      </c>
      <c r="L2062" s="30" t="str">
        <f>IF(H2062="","",IF($C$30="상세법",FPV(H2062,K2062),IF(H2062="EI",4,IF(H2062="EO",5.2,IF(H2062="EQ",3.9,IF(H2062="ILF",7.5,IF(H2062="EIF",5.4)))))))</f>
        <v/>
      </c>
      <c r="M2062" s="30" t="str">
        <f t="shared" si="219"/>
        <v/>
      </c>
      <c r="N2062" s="134"/>
      <c r="O2062" s="29"/>
      <c r="P2062" s="37" t="str">
        <f t="shared" si="220"/>
        <v/>
      </c>
      <c r="Q2062" s="38" t="str">
        <f t="shared" si="221"/>
        <v/>
      </c>
      <c r="R2062" s="37" t="str">
        <f t="shared" si="222"/>
        <v/>
      </c>
      <c r="S2062" s="37" t="str">
        <f t="shared" si="223"/>
        <v/>
      </c>
      <c r="T2062" s="38" t="str">
        <f t="shared" si="224"/>
        <v/>
      </c>
      <c r="U2062" s="37" t="str">
        <f t="shared" si="225"/>
        <v/>
      </c>
    </row>
    <row r="2063" spans="2:21" ht="17.25">
      <c r="B2063" s="156"/>
      <c r="C2063" s="156"/>
      <c r="D2063" s="157"/>
      <c r="E2063" s="155"/>
      <c r="F2063" s="151"/>
      <c r="G2063" s="152"/>
      <c r="H2063" s="153"/>
      <c r="I2063" s="154"/>
      <c r="J2063" s="154"/>
      <c r="K2063" s="30" t="str">
        <f>IF(H2063="","",IF($C$30="간이법","",FPR(H2063,I2063,J2063)))</f>
        <v/>
      </c>
      <c r="L2063" s="30" t="str">
        <f>IF(H2063="","",IF($C$30="상세법",FPV(H2063,K2063),IF(H2063="EI",4,IF(H2063="EO",5.2,IF(H2063="EQ",3.9,IF(H2063="ILF",7.5,IF(H2063="EIF",5.4)))))))</f>
        <v/>
      </c>
      <c r="M2063" s="30" t="str">
        <f t="shared" si="219"/>
        <v/>
      </c>
      <c r="N2063" s="134"/>
      <c r="O2063" s="29"/>
      <c r="P2063" s="37" t="str">
        <f t="shared" si="220"/>
        <v/>
      </c>
      <c r="Q2063" s="38" t="str">
        <f t="shared" si="221"/>
        <v/>
      </c>
      <c r="R2063" s="37" t="str">
        <f t="shared" si="222"/>
        <v/>
      </c>
      <c r="S2063" s="37" t="str">
        <f t="shared" si="223"/>
        <v/>
      </c>
      <c r="T2063" s="38" t="str">
        <f t="shared" si="224"/>
        <v/>
      </c>
      <c r="U2063" s="37" t="str">
        <f t="shared" si="225"/>
        <v/>
      </c>
    </row>
    <row r="2064" spans="2:21" ht="17.25">
      <c r="B2064" s="156"/>
      <c r="C2064" s="156"/>
      <c r="D2064" s="157"/>
      <c r="E2064" s="155"/>
      <c r="F2064" s="151"/>
      <c r="G2064" s="152"/>
      <c r="H2064" s="153"/>
      <c r="I2064" s="154"/>
      <c r="J2064" s="154"/>
      <c r="K2064" s="30" t="str">
        <f>IF(H2064="","",IF($C$30="간이법","",FPR(H2064,I2064,J2064)))</f>
        <v/>
      </c>
      <c r="L2064" s="30" t="str">
        <f>IF(H2064="","",IF($C$30="상세법",FPV(H2064,K2064),IF(H2064="EI",4,IF(H2064="EO",5.2,IF(H2064="EQ",3.9,IF(H2064="ILF",7.5,IF(H2064="EIF",5.4)))))))</f>
        <v/>
      </c>
      <c r="M2064" s="30" t="str">
        <f t="shared" si="219"/>
        <v/>
      </c>
      <c r="N2064" s="134"/>
      <c r="O2064" s="29"/>
      <c r="P2064" s="37" t="str">
        <f t="shared" si="220"/>
        <v/>
      </c>
      <c r="Q2064" s="38" t="str">
        <f t="shared" si="221"/>
        <v/>
      </c>
      <c r="R2064" s="37" t="str">
        <f t="shared" si="222"/>
        <v/>
      </c>
      <c r="S2064" s="37" t="str">
        <f t="shared" si="223"/>
        <v/>
      </c>
      <c r="T2064" s="38" t="str">
        <f t="shared" si="224"/>
        <v/>
      </c>
      <c r="U2064" s="37" t="str">
        <f t="shared" si="225"/>
        <v/>
      </c>
    </row>
    <row r="2065" spans="2:21" ht="17.25">
      <c r="B2065" s="156"/>
      <c r="C2065" s="156"/>
      <c r="D2065" s="157"/>
      <c r="E2065" s="155"/>
      <c r="F2065" s="151"/>
      <c r="G2065" s="152"/>
      <c r="H2065" s="153"/>
      <c r="I2065" s="154"/>
      <c r="J2065" s="154"/>
      <c r="K2065" s="30" t="str">
        <f>IF(H2065="","",IF($C$30="간이법","",FPR(H2065,I2065,J2065)))</f>
        <v/>
      </c>
      <c r="L2065" s="30" t="str">
        <f>IF(H2065="","",IF($C$30="상세법",FPV(H2065,K2065),IF(H2065="EI",4,IF(H2065="EO",5.2,IF(H2065="EQ",3.9,IF(H2065="ILF",7.5,IF(H2065="EIF",5.4)))))))</f>
        <v/>
      </c>
      <c r="M2065" s="30" t="str">
        <f t="shared" si="219"/>
        <v/>
      </c>
      <c r="N2065" s="134"/>
      <c r="O2065" s="29"/>
      <c r="P2065" s="37" t="str">
        <f t="shared" si="220"/>
        <v/>
      </c>
      <c r="Q2065" s="38" t="str">
        <f t="shared" si="221"/>
        <v/>
      </c>
      <c r="R2065" s="37" t="str">
        <f t="shared" si="222"/>
        <v/>
      </c>
      <c r="S2065" s="37" t="str">
        <f t="shared" si="223"/>
        <v/>
      </c>
      <c r="T2065" s="38" t="str">
        <f t="shared" si="224"/>
        <v/>
      </c>
      <c r="U2065" s="37" t="str">
        <f t="shared" si="225"/>
        <v/>
      </c>
    </row>
    <row r="2066" spans="2:21" ht="17.25">
      <c r="B2066" s="156"/>
      <c r="C2066" s="156"/>
      <c r="D2066" s="157"/>
      <c r="E2066" s="155"/>
      <c r="F2066" s="151"/>
      <c r="G2066" s="152"/>
      <c r="H2066" s="153"/>
      <c r="I2066" s="154"/>
      <c r="J2066" s="154"/>
      <c r="K2066" s="30" t="str">
        <f>IF(H2066="","",IF($C$30="간이법","",FPR(H2066,I2066,J2066)))</f>
        <v/>
      </c>
      <c r="L2066" s="30" t="str">
        <f>IF(H2066="","",IF($C$30="상세법",FPV(H2066,K2066),IF(H2066="EI",4,IF(H2066="EO",5.2,IF(H2066="EQ",3.9,IF(H2066="ILF",7.5,IF(H2066="EIF",5.4)))))))</f>
        <v/>
      </c>
      <c r="M2066" s="30" t="str">
        <f t="shared" si="219"/>
        <v/>
      </c>
      <c r="N2066" s="134"/>
      <c r="O2066" s="29"/>
      <c r="P2066" s="37" t="str">
        <f t="shared" si="220"/>
        <v/>
      </c>
      <c r="Q2066" s="38" t="str">
        <f t="shared" si="221"/>
        <v/>
      </c>
      <c r="R2066" s="37" t="str">
        <f t="shared" si="222"/>
        <v/>
      </c>
      <c r="S2066" s="37" t="str">
        <f t="shared" si="223"/>
        <v/>
      </c>
      <c r="T2066" s="38" t="str">
        <f t="shared" si="224"/>
        <v/>
      </c>
      <c r="U2066" s="37" t="str">
        <f t="shared" si="225"/>
        <v/>
      </c>
    </row>
    <row r="2067" spans="2:21" ht="17.25">
      <c r="B2067" s="156"/>
      <c r="C2067" s="156"/>
      <c r="D2067" s="157"/>
      <c r="E2067" s="155"/>
      <c r="F2067" s="151"/>
      <c r="G2067" s="152"/>
      <c r="H2067" s="153"/>
      <c r="I2067" s="154"/>
      <c r="J2067" s="154"/>
      <c r="K2067" s="30" t="str">
        <f>IF(H2067="","",IF($C$30="간이법","",FPR(H2067,I2067,J2067)))</f>
        <v/>
      </c>
      <c r="L2067" s="30" t="str">
        <f>IF(H2067="","",IF($C$30="상세법",FPV(H2067,K2067),IF(H2067="EI",4,IF(H2067="EO",5.2,IF(H2067="EQ",3.9,IF(H2067="ILF",7.5,IF(H2067="EIF",5.4)))))))</f>
        <v/>
      </c>
      <c r="M2067" s="30" t="str">
        <f t="shared" si="219"/>
        <v/>
      </c>
      <c r="N2067" s="134"/>
      <c r="O2067" s="29"/>
      <c r="P2067" s="37" t="str">
        <f t="shared" si="220"/>
        <v/>
      </c>
      <c r="Q2067" s="38" t="str">
        <f t="shared" si="221"/>
        <v/>
      </c>
      <c r="R2067" s="37" t="str">
        <f t="shared" si="222"/>
        <v/>
      </c>
      <c r="S2067" s="37" t="str">
        <f t="shared" si="223"/>
        <v/>
      </c>
      <c r="T2067" s="38" t="str">
        <f t="shared" si="224"/>
        <v/>
      </c>
      <c r="U2067" s="37" t="str">
        <f t="shared" si="225"/>
        <v/>
      </c>
    </row>
    <row r="2068" spans="2:21" ht="17.25">
      <c r="B2068" s="156"/>
      <c r="C2068" s="156"/>
      <c r="D2068" s="157"/>
      <c r="E2068" s="155"/>
      <c r="F2068" s="151"/>
      <c r="G2068" s="152"/>
      <c r="H2068" s="153"/>
      <c r="I2068" s="154"/>
      <c r="J2068" s="154"/>
      <c r="K2068" s="30" t="str">
        <f>IF(H2068="","",IF($C$30="간이법","",FPR(H2068,I2068,J2068)))</f>
        <v/>
      </c>
      <c r="L2068" s="30" t="str">
        <f>IF(H2068="","",IF($C$30="상세법",FPV(H2068,K2068),IF(H2068="EI",4,IF(H2068="EO",5.2,IF(H2068="EQ",3.9,IF(H2068="ILF",7.5,IF(H2068="EIF",5.4)))))))</f>
        <v/>
      </c>
      <c r="M2068" s="30" t="str">
        <f t="shared" si="219"/>
        <v/>
      </c>
      <c r="N2068" s="134"/>
      <c r="O2068" s="29"/>
      <c r="P2068" s="37" t="str">
        <f t="shared" si="220"/>
        <v/>
      </c>
      <c r="Q2068" s="38" t="str">
        <f t="shared" si="221"/>
        <v/>
      </c>
      <c r="R2068" s="37" t="str">
        <f t="shared" si="222"/>
        <v/>
      </c>
      <c r="S2068" s="37" t="str">
        <f t="shared" si="223"/>
        <v/>
      </c>
      <c r="T2068" s="38" t="str">
        <f t="shared" si="224"/>
        <v/>
      </c>
      <c r="U2068" s="37" t="str">
        <f t="shared" si="225"/>
        <v/>
      </c>
    </row>
    <row r="2069" spans="2:21" ht="17.25">
      <c r="B2069" s="156"/>
      <c r="C2069" s="156"/>
      <c r="D2069" s="157"/>
      <c r="E2069" s="155"/>
      <c r="F2069" s="151"/>
      <c r="G2069" s="152"/>
      <c r="H2069" s="153"/>
      <c r="I2069" s="154"/>
      <c r="J2069" s="154"/>
      <c r="K2069" s="30" t="str">
        <f>IF(H2069="","",IF($C$30="간이법","",FPR(H2069,I2069,J2069)))</f>
        <v/>
      </c>
      <c r="L2069" s="30" t="str">
        <f>IF(H2069="","",IF($C$30="상세법",FPV(H2069,K2069),IF(H2069="EI",4,IF(H2069="EO",5.2,IF(H2069="EQ",3.9,IF(H2069="ILF",7.5,IF(H2069="EIF",5.4)))))))</f>
        <v/>
      </c>
      <c r="M2069" s="30" t="str">
        <f t="shared" si="219"/>
        <v/>
      </c>
      <c r="N2069" s="134"/>
      <c r="O2069" s="29"/>
      <c r="P2069" s="37" t="str">
        <f t="shared" si="220"/>
        <v/>
      </c>
      <c r="Q2069" s="38" t="str">
        <f t="shared" si="221"/>
        <v/>
      </c>
      <c r="R2069" s="37" t="str">
        <f t="shared" si="222"/>
        <v/>
      </c>
      <c r="S2069" s="37" t="str">
        <f t="shared" si="223"/>
        <v/>
      </c>
      <c r="T2069" s="38" t="str">
        <f t="shared" si="224"/>
        <v/>
      </c>
      <c r="U2069" s="37" t="str">
        <f t="shared" si="225"/>
        <v/>
      </c>
    </row>
    <row r="2070" spans="2:21" ht="17.25">
      <c r="B2070" s="156"/>
      <c r="C2070" s="156"/>
      <c r="D2070" s="157"/>
      <c r="E2070" s="155"/>
      <c r="F2070" s="151"/>
      <c r="G2070" s="152"/>
      <c r="H2070" s="153"/>
      <c r="I2070" s="154"/>
      <c r="J2070" s="154"/>
      <c r="K2070" s="30" t="str">
        <f>IF(H2070="","",IF($C$30="간이법","",FPR(H2070,I2070,J2070)))</f>
        <v/>
      </c>
      <c r="L2070" s="30" t="str">
        <f>IF(H2070="","",IF($C$30="상세법",FPV(H2070,K2070),IF(H2070="EI",4,IF(H2070="EO",5.2,IF(H2070="EQ",3.9,IF(H2070="ILF",7.5,IF(H2070="EIF",5.4)))))))</f>
        <v/>
      </c>
      <c r="M2070" s="30" t="str">
        <f t="shared" si="219"/>
        <v/>
      </c>
      <c r="N2070" s="134"/>
      <c r="O2070" s="29"/>
      <c r="P2070" s="37" t="str">
        <f t="shared" si="220"/>
        <v/>
      </c>
      <c r="Q2070" s="38" t="str">
        <f t="shared" si="221"/>
        <v/>
      </c>
      <c r="R2070" s="37" t="str">
        <f t="shared" si="222"/>
        <v/>
      </c>
      <c r="S2070" s="37" t="str">
        <f t="shared" si="223"/>
        <v/>
      </c>
      <c r="T2070" s="38" t="str">
        <f t="shared" si="224"/>
        <v/>
      </c>
      <c r="U2070" s="37" t="str">
        <f t="shared" si="225"/>
        <v/>
      </c>
    </row>
    <row r="2071" spans="2:21" ht="17.25">
      <c r="B2071" s="156"/>
      <c r="C2071" s="156"/>
      <c r="D2071" s="157"/>
      <c r="E2071" s="155"/>
      <c r="F2071" s="151"/>
      <c r="G2071" s="152"/>
      <c r="H2071" s="153"/>
      <c r="I2071" s="154"/>
      <c r="J2071" s="154"/>
      <c r="K2071" s="30" t="str">
        <f>IF(H2071="","",IF($C$30="간이법","",FPR(H2071,I2071,J2071)))</f>
        <v/>
      </c>
      <c r="L2071" s="30" t="str">
        <f>IF(H2071="","",IF($C$30="상세법",FPV(H2071,K2071),IF(H2071="EI",4,IF(H2071="EO",5.2,IF(H2071="EQ",3.9,IF(H2071="ILF",7.5,IF(H2071="EIF",5.4)))))))</f>
        <v/>
      </c>
      <c r="M2071" s="30" t="str">
        <f t="shared" si="219"/>
        <v/>
      </c>
      <c r="N2071" s="134"/>
      <c r="O2071" s="29"/>
      <c r="P2071" s="37" t="str">
        <f t="shared" si="220"/>
        <v/>
      </c>
      <c r="Q2071" s="38" t="str">
        <f t="shared" si="221"/>
        <v/>
      </c>
      <c r="R2071" s="37" t="str">
        <f t="shared" si="222"/>
        <v/>
      </c>
      <c r="S2071" s="37" t="str">
        <f t="shared" si="223"/>
        <v/>
      </c>
      <c r="T2071" s="38" t="str">
        <f t="shared" si="224"/>
        <v/>
      </c>
      <c r="U2071" s="37" t="str">
        <f t="shared" si="225"/>
        <v/>
      </c>
    </row>
    <row r="2072" spans="2:21" ht="17.25">
      <c r="B2072" s="156"/>
      <c r="C2072" s="156"/>
      <c r="D2072" s="157"/>
      <c r="E2072" s="155"/>
      <c r="F2072" s="151"/>
      <c r="G2072" s="152"/>
      <c r="H2072" s="153"/>
      <c r="I2072" s="154"/>
      <c r="J2072" s="154"/>
      <c r="K2072" s="30" t="str">
        <f>IF(H2072="","",IF($C$30="간이법","",FPR(H2072,I2072,J2072)))</f>
        <v/>
      </c>
      <c r="L2072" s="30" t="str">
        <f>IF(H2072="","",IF($C$30="상세법",FPV(H2072,K2072),IF(H2072="EI",4,IF(H2072="EO",5.2,IF(H2072="EQ",3.9,IF(H2072="ILF",7.5,IF(H2072="EIF",5.4)))))))</f>
        <v/>
      </c>
      <c r="M2072" s="30" t="str">
        <f t="shared" si="219"/>
        <v/>
      </c>
      <c r="N2072" s="134"/>
      <c r="O2072" s="29"/>
      <c r="P2072" s="37" t="str">
        <f t="shared" si="220"/>
        <v/>
      </c>
      <c r="Q2072" s="38" t="str">
        <f t="shared" si="221"/>
        <v/>
      </c>
      <c r="R2072" s="37" t="str">
        <f t="shared" si="222"/>
        <v/>
      </c>
      <c r="S2072" s="37" t="str">
        <f t="shared" si="223"/>
        <v/>
      </c>
      <c r="T2072" s="38" t="str">
        <f t="shared" si="224"/>
        <v/>
      </c>
      <c r="U2072" s="37" t="str">
        <f t="shared" si="225"/>
        <v/>
      </c>
    </row>
    <row r="2073" spans="2:21" ht="17.25">
      <c r="B2073" s="156"/>
      <c r="C2073" s="156"/>
      <c r="D2073" s="157"/>
      <c r="E2073" s="155"/>
      <c r="F2073" s="151"/>
      <c r="G2073" s="152"/>
      <c r="H2073" s="153"/>
      <c r="I2073" s="154"/>
      <c r="J2073" s="154"/>
      <c r="K2073" s="30" t="str">
        <f>IF(H2073="","",IF($C$30="간이법","",FPR(H2073,I2073,J2073)))</f>
        <v/>
      </c>
      <c r="L2073" s="30" t="str">
        <f>IF(H2073="","",IF($C$30="상세법",FPV(H2073,K2073),IF(H2073="EI",4,IF(H2073="EO",5.2,IF(H2073="EQ",3.9,IF(H2073="ILF",7.5,IF(H2073="EIF",5.4)))))))</f>
        <v/>
      </c>
      <c r="M2073" s="30" t="str">
        <f t="shared" si="219"/>
        <v/>
      </c>
      <c r="N2073" s="134"/>
      <c r="O2073" s="29"/>
      <c r="P2073" s="37" t="str">
        <f t="shared" si="220"/>
        <v/>
      </c>
      <c r="Q2073" s="38" t="str">
        <f t="shared" si="221"/>
        <v/>
      </c>
      <c r="R2073" s="37" t="str">
        <f t="shared" si="222"/>
        <v/>
      </c>
      <c r="S2073" s="37" t="str">
        <f t="shared" si="223"/>
        <v/>
      </c>
      <c r="T2073" s="38" t="str">
        <f t="shared" si="224"/>
        <v/>
      </c>
      <c r="U2073" s="37" t="str">
        <f t="shared" si="225"/>
        <v/>
      </c>
    </row>
    <row r="2074" spans="2:21" ht="17.25">
      <c r="B2074" s="156"/>
      <c r="C2074" s="156"/>
      <c r="D2074" s="157"/>
      <c r="E2074" s="155"/>
      <c r="F2074" s="151"/>
      <c r="G2074" s="152"/>
      <c r="H2074" s="153"/>
      <c r="I2074" s="154"/>
      <c r="J2074" s="154"/>
      <c r="K2074" s="30" t="str">
        <f>IF(H2074="","",IF($C$30="간이법","",FPR(H2074,I2074,J2074)))</f>
        <v/>
      </c>
      <c r="L2074" s="30" t="str">
        <f>IF(H2074="","",IF($C$30="상세법",FPV(H2074,K2074),IF(H2074="EI",4,IF(H2074="EO",5.2,IF(H2074="EQ",3.9,IF(H2074="ILF",7.5,IF(H2074="EIF",5.4)))))))</f>
        <v/>
      </c>
      <c r="M2074" s="30" t="str">
        <f t="shared" si="219"/>
        <v/>
      </c>
      <c r="N2074" s="134"/>
      <c r="O2074" s="29"/>
      <c r="P2074" s="37" t="str">
        <f t="shared" si="220"/>
        <v/>
      </c>
      <c r="Q2074" s="38" t="str">
        <f t="shared" si="221"/>
        <v/>
      </c>
      <c r="R2074" s="37" t="str">
        <f t="shared" si="222"/>
        <v/>
      </c>
      <c r="S2074" s="37" t="str">
        <f t="shared" si="223"/>
        <v/>
      </c>
      <c r="T2074" s="38" t="str">
        <f t="shared" si="224"/>
        <v/>
      </c>
      <c r="U2074" s="37" t="str">
        <f t="shared" si="225"/>
        <v/>
      </c>
    </row>
    <row r="2075" spans="2:21" ht="17.25">
      <c r="B2075" s="156"/>
      <c r="C2075" s="156"/>
      <c r="D2075" s="157"/>
      <c r="E2075" s="155"/>
      <c r="F2075" s="151"/>
      <c r="G2075" s="152"/>
      <c r="H2075" s="153"/>
      <c r="I2075" s="154"/>
      <c r="J2075" s="154"/>
      <c r="K2075" s="30" t="str">
        <f>IF(H2075="","",IF($C$30="간이법","",FPR(H2075,I2075,J2075)))</f>
        <v/>
      </c>
      <c r="L2075" s="30" t="str">
        <f>IF(H2075="","",IF($C$30="상세법",FPV(H2075,K2075),IF(H2075="EI",4,IF(H2075="EO",5.2,IF(H2075="EQ",3.9,IF(H2075="ILF",7.5,IF(H2075="EIF",5.4)))))))</f>
        <v/>
      </c>
      <c r="M2075" s="30" t="str">
        <f t="shared" si="219"/>
        <v/>
      </c>
      <c r="N2075" s="134"/>
      <c r="O2075" s="29"/>
      <c r="P2075" s="37" t="str">
        <f t="shared" si="220"/>
        <v/>
      </c>
      <c r="Q2075" s="38" t="str">
        <f t="shared" si="221"/>
        <v/>
      </c>
      <c r="R2075" s="37" t="str">
        <f t="shared" si="222"/>
        <v/>
      </c>
      <c r="S2075" s="37" t="str">
        <f t="shared" si="223"/>
        <v/>
      </c>
      <c r="T2075" s="38" t="str">
        <f t="shared" si="224"/>
        <v/>
      </c>
      <c r="U2075" s="37" t="str">
        <f t="shared" si="225"/>
        <v/>
      </c>
    </row>
    <row r="2076" spans="2:21" ht="17.25">
      <c r="B2076" s="156"/>
      <c r="C2076" s="156"/>
      <c r="D2076" s="157"/>
      <c r="E2076" s="155"/>
      <c r="F2076" s="151"/>
      <c r="G2076" s="152"/>
      <c r="H2076" s="153"/>
      <c r="I2076" s="154"/>
      <c r="J2076" s="154"/>
      <c r="K2076" s="30" t="str">
        <f>IF(H2076="","",IF($C$30="간이법","",FPR(H2076,I2076,J2076)))</f>
        <v/>
      </c>
      <c r="L2076" s="30" t="str">
        <f>IF(H2076="","",IF($C$30="상세법",FPV(H2076,K2076),IF(H2076="EI",4,IF(H2076="EO",5.2,IF(H2076="EQ",3.9,IF(H2076="ILF",7.5,IF(H2076="EIF",5.4)))))))</f>
        <v/>
      </c>
      <c r="M2076" s="30" t="str">
        <f t="shared" si="219"/>
        <v/>
      </c>
      <c r="N2076" s="134"/>
      <c r="O2076" s="29"/>
      <c r="P2076" s="37" t="str">
        <f t="shared" si="220"/>
        <v/>
      </c>
      <c r="Q2076" s="38" t="str">
        <f t="shared" si="221"/>
        <v/>
      </c>
      <c r="R2076" s="37" t="str">
        <f t="shared" si="222"/>
        <v/>
      </c>
      <c r="S2076" s="37" t="str">
        <f t="shared" si="223"/>
        <v/>
      </c>
      <c r="T2076" s="38" t="str">
        <f t="shared" si="224"/>
        <v/>
      </c>
      <c r="U2076" s="37" t="str">
        <f t="shared" si="225"/>
        <v/>
      </c>
    </row>
    <row r="2077" spans="2:21" ht="17.25">
      <c r="B2077" s="156"/>
      <c r="C2077" s="156"/>
      <c r="D2077" s="157"/>
      <c r="E2077" s="155"/>
      <c r="F2077" s="151"/>
      <c r="G2077" s="152"/>
      <c r="H2077" s="153"/>
      <c r="I2077" s="154"/>
      <c r="J2077" s="154"/>
      <c r="K2077" s="30" t="str">
        <f>IF(H2077="","",IF($C$30="간이법","",FPR(H2077,I2077,J2077)))</f>
        <v/>
      </c>
      <c r="L2077" s="30" t="str">
        <f>IF(H2077="","",IF($C$30="상세법",FPV(H2077,K2077),IF(H2077="EI",4,IF(H2077="EO",5.2,IF(H2077="EQ",3.9,IF(H2077="ILF",7.5,IF(H2077="EIF",5.4)))))))</f>
        <v/>
      </c>
      <c r="M2077" s="30" t="str">
        <f t="shared" si="219"/>
        <v/>
      </c>
      <c r="N2077" s="134"/>
      <c r="O2077" s="29"/>
      <c r="P2077" s="37" t="str">
        <f t="shared" si="220"/>
        <v/>
      </c>
      <c r="Q2077" s="38" t="str">
        <f t="shared" si="221"/>
        <v/>
      </c>
      <c r="R2077" s="37" t="str">
        <f t="shared" si="222"/>
        <v/>
      </c>
      <c r="S2077" s="37" t="str">
        <f t="shared" si="223"/>
        <v/>
      </c>
      <c r="T2077" s="38" t="str">
        <f t="shared" si="224"/>
        <v/>
      </c>
      <c r="U2077" s="37" t="str">
        <f t="shared" si="225"/>
        <v/>
      </c>
    </row>
    <row r="2078" spans="2:21" ht="17.25">
      <c r="B2078" s="156"/>
      <c r="C2078" s="156"/>
      <c r="D2078" s="157"/>
      <c r="E2078" s="155"/>
      <c r="F2078" s="151"/>
      <c r="G2078" s="152"/>
      <c r="H2078" s="153"/>
      <c r="I2078" s="154"/>
      <c r="J2078" s="154"/>
      <c r="K2078" s="30" t="str">
        <f>IF(H2078="","",IF($C$30="간이법","",FPR(H2078,I2078,J2078)))</f>
        <v/>
      </c>
      <c r="L2078" s="30" t="str">
        <f>IF(H2078="","",IF($C$30="상세법",FPV(H2078,K2078),IF(H2078="EI",4,IF(H2078="EO",5.2,IF(H2078="EQ",3.9,IF(H2078="ILF",7.5,IF(H2078="EIF",5.4)))))))</f>
        <v/>
      </c>
      <c r="M2078" s="30" t="str">
        <f t="shared" si="219"/>
        <v/>
      </c>
      <c r="N2078" s="134"/>
      <c r="O2078" s="29"/>
      <c r="P2078" s="37" t="str">
        <f t="shared" si="220"/>
        <v/>
      </c>
      <c r="Q2078" s="38" t="str">
        <f t="shared" si="221"/>
        <v/>
      </c>
      <c r="R2078" s="37" t="str">
        <f t="shared" si="222"/>
        <v/>
      </c>
      <c r="S2078" s="37" t="str">
        <f t="shared" si="223"/>
        <v/>
      </c>
      <c r="T2078" s="38" t="str">
        <f t="shared" si="224"/>
        <v/>
      </c>
      <c r="U2078" s="37" t="str">
        <f t="shared" si="225"/>
        <v/>
      </c>
    </row>
    <row r="2079" spans="2:21" ht="17.25">
      <c r="B2079" s="156"/>
      <c r="C2079" s="156"/>
      <c r="D2079" s="157"/>
      <c r="E2079" s="155"/>
      <c r="F2079" s="151"/>
      <c r="G2079" s="152"/>
      <c r="H2079" s="153"/>
      <c r="I2079" s="154"/>
      <c r="J2079" s="154"/>
      <c r="K2079" s="30" t="str">
        <f>IF(H2079="","",IF($C$30="간이법","",FPR(H2079,I2079,J2079)))</f>
        <v/>
      </c>
      <c r="L2079" s="30" t="str">
        <f>IF(H2079="","",IF($C$30="상세법",FPV(H2079,K2079),IF(H2079="EI",4,IF(H2079="EO",5.2,IF(H2079="EQ",3.9,IF(H2079="ILF",7.5,IF(H2079="EIF",5.4)))))))</f>
        <v/>
      </c>
      <c r="M2079" s="30" t="str">
        <f t="shared" si="219"/>
        <v/>
      </c>
      <c r="N2079" s="134"/>
      <c r="O2079" s="29"/>
      <c r="P2079" s="37" t="str">
        <f t="shared" si="220"/>
        <v/>
      </c>
      <c r="Q2079" s="38" t="str">
        <f t="shared" si="221"/>
        <v/>
      </c>
      <c r="R2079" s="37" t="str">
        <f t="shared" si="222"/>
        <v/>
      </c>
      <c r="S2079" s="37" t="str">
        <f t="shared" si="223"/>
        <v/>
      </c>
      <c r="T2079" s="38" t="str">
        <f t="shared" si="224"/>
        <v/>
      </c>
      <c r="U2079" s="37" t="str">
        <f t="shared" si="225"/>
        <v/>
      </c>
    </row>
    <row r="2080" spans="2:21" ht="17.25">
      <c r="B2080" s="156"/>
      <c r="C2080" s="156"/>
      <c r="D2080" s="157"/>
      <c r="E2080" s="155"/>
      <c r="F2080" s="151"/>
      <c r="G2080" s="152"/>
      <c r="H2080" s="153"/>
      <c r="I2080" s="154"/>
      <c r="J2080" s="154"/>
      <c r="K2080" s="30" t="str">
        <f>IF(H2080="","",IF($C$30="간이법","",FPR(H2080,I2080,J2080)))</f>
        <v/>
      </c>
      <c r="L2080" s="30" t="str">
        <f>IF(H2080="","",IF($C$30="상세법",FPV(H2080,K2080),IF(H2080="EI",4,IF(H2080="EO",5.2,IF(H2080="EQ",3.9,IF(H2080="ILF",7.5,IF(H2080="EIF",5.4)))))))</f>
        <v/>
      </c>
      <c r="M2080" s="30" t="str">
        <f t="shared" si="219"/>
        <v/>
      </c>
      <c r="N2080" s="134"/>
      <c r="O2080" s="29"/>
      <c r="P2080" s="37" t="str">
        <f t="shared" si="220"/>
        <v/>
      </c>
      <c r="Q2080" s="38" t="str">
        <f t="shared" si="221"/>
        <v/>
      </c>
      <c r="R2080" s="37" t="str">
        <f t="shared" si="222"/>
        <v/>
      </c>
      <c r="S2080" s="37" t="str">
        <f t="shared" si="223"/>
        <v/>
      </c>
      <c r="T2080" s="38" t="str">
        <f t="shared" si="224"/>
        <v/>
      </c>
      <c r="U2080" s="37" t="str">
        <f t="shared" si="225"/>
        <v/>
      </c>
    </row>
    <row r="2081" spans="2:21" ht="17.25">
      <c r="B2081" s="156"/>
      <c r="C2081" s="156"/>
      <c r="D2081" s="157"/>
      <c r="E2081" s="155"/>
      <c r="F2081" s="151"/>
      <c r="G2081" s="152"/>
      <c r="H2081" s="153"/>
      <c r="I2081" s="154"/>
      <c r="J2081" s="154"/>
      <c r="K2081" s="30" t="str">
        <f>IF(H2081="","",IF($C$30="간이법","",FPR(H2081,I2081,J2081)))</f>
        <v/>
      </c>
      <c r="L2081" s="30" t="str">
        <f>IF(H2081="","",IF($C$30="상세법",FPV(H2081,K2081),IF(H2081="EI",4,IF(H2081="EO",5.2,IF(H2081="EQ",3.9,IF(H2081="ILF",7.5,IF(H2081="EIF",5.4)))))))</f>
        <v/>
      </c>
      <c r="M2081" s="30" t="str">
        <f t="shared" si="219"/>
        <v/>
      </c>
      <c r="N2081" s="134"/>
      <c r="O2081" s="29"/>
      <c r="P2081" s="37" t="str">
        <f t="shared" si="220"/>
        <v/>
      </c>
      <c r="Q2081" s="38" t="str">
        <f t="shared" si="221"/>
        <v/>
      </c>
      <c r="R2081" s="37" t="str">
        <f t="shared" si="222"/>
        <v/>
      </c>
      <c r="S2081" s="37" t="str">
        <f t="shared" si="223"/>
        <v/>
      </c>
      <c r="T2081" s="38" t="str">
        <f t="shared" si="224"/>
        <v/>
      </c>
      <c r="U2081" s="37" t="str">
        <f t="shared" si="225"/>
        <v/>
      </c>
    </row>
    <row r="2082" spans="2:21" ht="17.25">
      <c r="B2082" s="156"/>
      <c r="C2082" s="156"/>
      <c r="D2082" s="157"/>
      <c r="E2082" s="155"/>
      <c r="F2082" s="151"/>
      <c r="G2082" s="152"/>
      <c r="H2082" s="153"/>
      <c r="I2082" s="154"/>
      <c r="J2082" s="154"/>
      <c r="K2082" s="30" t="str">
        <f>IF(H2082="","",IF($C$30="간이법","",FPR(H2082,I2082,J2082)))</f>
        <v/>
      </c>
      <c r="L2082" s="30" t="str">
        <f>IF(H2082="","",IF($C$30="상세법",FPV(H2082,K2082),IF(H2082="EI",4,IF(H2082="EO",5.2,IF(H2082="EQ",3.9,IF(H2082="ILF",7.5,IF(H2082="EIF",5.4)))))))</f>
        <v/>
      </c>
      <c r="M2082" s="30" t="str">
        <f t="shared" si="219"/>
        <v/>
      </c>
      <c r="N2082" s="134"/>
      <c r="O2082" s="29"/>
      <c r="P2082" s="37" t="str">
        <f t="shared" si="220"/>
        <v/>
      </c>
      <c r="Q2082" s="38" t="str">
        <f t="shared" si="221"/>
        <v/>
      </c>
      <c r="R2082" s="37" t="str">
        <f t="shared" si="222"/>
        <v/>
      </c>
      <c r="S2082" s="37" t="str">
        <f t="shared" si="223"/>
        <v/>
      </c>
      <c r="T2082" s="38" t="str">
        <f t="shared" si="224"/>
        <v/>
      </c>
      <c r="U2082" s="37" t="str">
        <f t="shared" si="225"/>
        <v/>
      </c>
    </row>
    <row r="2083" spans="2:21" ht="17.25">
      <c r="B2083" s="156"/>
      <c r="C2083" s="156"/>
      <c r="D2083" s="157"/>
      <c r="E2083" s="155"/>
      <c r="F2083" s="151"/>
      <c r="G2083" s="152"/>
      <c r="H2083" s="153"/>
      <c r="I2083" s="154"/>
      <c r="J2083" s="154"/>
      <c r="K2083" s="30" t="str">
        <f>IF(H2083="","",IF($C$30="간이법","",FPR(H2083,I2083,J2083)))</f>
        <v/>
      </c>
      <c r="L2083" s="30" t="str">
        <f>IF(H2083="","",IF($C$30="상세법",FPV(H2083,K2083),IF(H2083="EI",4,IF(H2083="EO",5.2,IF(H2083="EQ",3.9,IF(H2083="ILF",7.5,IF(H2083="EIF",5.4)))))))</f>
        <v/>
      </c>
      <c r="M2083" s="30" t="str">
        <f t="shared" si="219"/>
        <v/>
      </c>
      <c r="N2083" s="134"/>
      <c r="O2083" s="29"/>
      <c r="P2083" s="37" t="str">
        <f t="shared" si="220"/>
        <v/>
      </c>
      <c r="Q2083" s="38" t="str">
        <f t="shared" si="221"/>
        <v/>
      </c>
      <c r="R2083" s="37" t="str">
        <f t="shared" si="222"/>
        <v/>
      </c>
      <c r="S2083" s="37" t="str">
        <f t="shared" si="223"/>
        <v/>
      </c>
      <c r="T2083" s="38" t="str">
        <f t="shared" si="224"/>
        <v/>
      </c>
      <c r="U2083" s="37" t="str">
        <f t="shared" si="225"/>
        <v/>
      </c>
    </row>
    <row r="2084" spans="2:21" ht="17.25">
      <c r="B2084" s="156"/>
      <c r="C2084" s="156"/>
      <c r="D2084" s="157"/>
      <c r="E2084" s="155"/>
      <c r="F2084" s="151"/>
      <c r="G2084" s="152"/>
      <c r="H2084" s="153"/>
      <c r="I2084" s="154"/>
      <c r="J2084" s="154"/>
      <c r="K2084" s="30" t="str">
        <f>IF(H2084="","",IF($C$30="간이법","",FPR(H2084,I2084,J2084)))</f>
        <v/>
      </c>
      <c r="L2084" s="30" t="str">
        <f>IF(H2084="","",IF($C$30="상세법",FPV(H2084,K2084),IF(H2084="EI",4,IF(H2084="EO",5.2,IF(H2084="EQ",3.9,IF(H2084="ILF",7.5,IF(H2084="EIF",5.4)))))))</f>
        <v/>
      </c>
      <c r="M2084" s="30" t="str">
        <f t="shared" si="219"/>
        <v/>
      </c>
      <c r="N2084" s="134"/>
      <c r="O2084" s="29"/>
      <c r="P2084" s="37" t="str">
        <f t="shared" si="220"/>
        <v/>
      </c>
      <c r="Q2084" s="38" t="str">
        <f t="shared" si="221"/>
        <v/>
      </c>
      <c r="R2084" s="37" t="str">
        <f t="shared" si="222"/>
        <v/>
      </c>
      <c r="S2084" s="37" t="str">
        <f t="shared" si="223"/>
        <v/>
      </c>
      <c r="T2084" s="38" t="str">
        <f t="shared" si="224"/>
        <v/>
      </c>
      <c r="U2084" s="37" t="str">
        <f t="shared" si="225"/>
        <v/>
      </c>
    </row>
    <row r="2085" spans="2:21" ht="17.25">
      <c r="B2085" s="156"/>
      <c r="C2085" s="156"/>
      <c r="D2085" s="157"/>
      <c r="E2085" s="155"/>
      <c r="F2085" s="151"/>
      <c r="G2085" s="152"/>
      <c r="H2085" s="153"/>
      <c r="I2085" s="154"/>
      <c r="J2085" s="154"/>
      <c r="K2085" s="30" t="str">
        <f>IF(H2085="","",IF($C$30="간이법","",FPR(H2085,I2085,J2085)))</f>
        <v/>
      </c>
      <c r="L2085" s="30" t="str">
        <f>IF(H2085="","",IF($C$30="상세법",FPV(H2085,K2085),IF(H2085="EI",4,IF(H2085="EO",5.2,IF(H2085="EQ",3.9,IF(H2085="ILF",7.5,IF(H2085="EIF",5.4)))))))</f>
        <v/>
      </c>
      <c r="M2085" s="30" t="str">
        <f t="shared" si="219"/>
        <v/>
      </c>
      <c r="N2085" s="134"/>
      <c r="O2085" s="29"/>
      <c r="P2085" s="37" t="str">
        <f t="shared" si="220"/>
        <v/>
      </c>
      <c r="Q2085" s="38" t="str">
        <f t="shared" si="221"/>
        <v/>
      </c>
      <c r="R2085" s="37" t="str">
        <f t="shared" si="222"/>
        <v/>
      </c>
      <c r="S2085" s="37" t="str">
        <f t="shared" si="223"/>
        <v/>
      </c>
      <c r="T2085" s="38" t="str">
        <f t="shared" si="224"/>
        <v/>
      </c>
      <c r="U2085" s="37" t="str">
        <f t="shared" si="225"/>
        <v/>
      </c>
    </row>
    <row r="2086" spans="2:21" ht="17.25">
      <c r="B2086" s="156"/>
      <c r="C2086" s="156"/>
      <c r="D2086" s="157"/>
      <c r="E2086" s="155"/>
      <c r="F2086" s="151"/>
      <c r="G2086" s="152"/>
      <c r="H2086" s="153"/>
      <c r="I2086" s="154"/>
      <c r="J2086" s="154"/>
      <c r="K2086" s="30" t="str">
        <f>IF(H2086="","",IF($C$30="간이법","",FPR(H2086,I2086,J2086)))</f>
        <v/>
      </c>
      <c r="L2086" s="30" t="str">
        <f>IF(H2086="","",IF($C$30="상세법",FPV(H2086,K2086),IF(H2086="EI",4,IF(H2086="EO",5.2,IF(H2086="EQ",3.9,IF(H2086="ILF",7.5,IF(H2086="EIF",5.4)))))))</f>
        <v/>
      </c>
      <c r="M2086" s="30" t="str">
        <f t="shared" si="219"/>
        <v/>
      </c>
      <c r="N2086" s="134"/>
      <c r="O2086" s="29"/>
      <c r="P2086" s="37" t="str">
        <f t="shared" si="220"/>
        <v/>
      </c>
      <c r="Q2086" s="38" t="str">
        <f t="shared" si="221"/>
        <v/>
      </c>
      <c r="R2086" s="37" t="str">
        <f t="shared" si="222"/>
        <v/>
      </c>
      <c r="S2086" s="37" t="str">
        <f t="shared" si="223"/>
        <v/>
      </c>
      <c r="T2086" s="38" t="str">
        <f t="shared" si="224"/>
        <v/>
      </c>
      <c r="U2086" s="37" t="str">
        <f t="shared" si="225"/>
        <v/>
      </c>
    </row>
    <row r="2087" spans="2:21" ht="17.25">
      <c r="B2087" s="156"/>
      <c r="C2087" s="156"/>
      <c r="D2087" s="157"/>
      <c r="E2087" s="155"/>
      <c r="F2087" s="151"/>
      <c r="G2087" s="152"/>
      <c r="H2087" s="153"/>
      <c r="I2087" s="154"/>
      <c r="J2087" s="154"/>
      <c r="K2087" s="30" t="str">
        <f>IF(H2087="","",IF($C$30="간이법","",FPR(H2087,I2087,J2087)))</f>
        <v/>
      </c>
      <c r="L2087" s="30" t="str">
        <f>IF(H2087="","",IF($C$30="상세법",FPV(H2087,K2087),IF(H2087="EI",4,IF(H2087="EO",5.2,IF(H2087="EQ",3.9,IF(H2087="ILF",7.5,IF(H2087="EIF",5.4)))))))</f>
        <v/>
      </c>
      <c r="M2087" s="30" t="str">
        <f t="shared" si="219"/>
        <v/>
      </c>
      <c r="N2087" s="134"/>
      <c r="O2087" s="29"/>
      <c r="P2087" s="37" t="str">
        <f t="shared" si="220"/>
        <v/>
      </c>
      <c r="Q2087" s="38" t="str">
        <f t="shared" si="221"/>
        <v/>
      </c>
      <c r="R2087" s="37" t="str">
        <f t="shared" si="222"/>
        <v/>
      </c>
      <c r="S2087" s="37" t="str">
        <f t="shared" si="223"/>
        <v/>
      </c>
      <c r="T2087" s="38" t="str">
        <f t="shared" si="224"/>
        <v/>
      </c>
      <c r="U2087" s="37" t="str">
        <f t="shared" si="225"/>
        <v/>
      </c>
    </row>
    <row r="2088" spans="2:21" ht="17.25">
      <c r="B2088" s="156"/>
      <c r="C2088" s="156"/>
      <c r="D2088" s="157"/>
      <c r="E2088" s="155"/>
      <c r="F2088" s="151"/>
      <c r="G2088" s="152"/>
      <c r="H2088" s="153"/>
      <c r="I2088" s="154"/>
      <c r="J2088" s="154"/>
      <c r="K2088" s="30" t="str">
        <f>IF(H2088="","",IF($C$30="간이법","",FPR(H2088,I2088,J2088)))</f>
        <v/>
      </c>
      <c r="L2088" s="30" t="str">
        <f>IF(H2088="","",IF($C$30="상세법",FPV(H2088,K2088),IF(H2088="EI",4,IF(H2088="EO",5.2,IF(H2088="EQ",3.9,IF(H2088="ILF",7.5,IF(H2088="EIF",5.4)))))))</f>
        <v/>
      </c>
      <c r="M2088" s="30" t="str">
        <f t="shared" si="219"/>
        <v/>
      </c>
      <c r="N2088" s="134"/>
      <c r="O2088" s="29"/>
      <c r="P2088" s="37" t="str">
        <f t="shared" si="220"/>
        <v/>
      </c>
      <c r="Q2088" s="38" t="str">
        <f t="shared" si="221"/>
        <v/>
      </c>
      <c r="R2088" s="37" t="str">
        <f t="shared" si="222"/>
        <v/>
      </c>
      <c r="S2088" s="37" t="str">
        <f t="shared" si="223"/>
        <v/>
      </c>
      <c r="T2088" s="38" t="str">
        <f t="shared" si="224"/>
        <v/>
      </c>
      <c r="U2088" s="37" t="str">
        <f t="shared" si="225"/>
        <v/>
      </c>
    </row>
    <row r="2089" spans="2:21" ht="17.25">
      <c r="B2089" s="156"/>
      <c r="C2089" s="156"/>
      <c r="D2089" s="157"/>
      <c r="E2089" s="155"/>
      <c r="F2089" s="151"/>
      <c r="G2089" s="152"/>
      <c r="H2089" s="153"/>
      <c r="I2089" s="154"/>
      <c r="J2089" s="154"/>
      <c r="K2089" s="30" t="str">
        <f>IF(H2089="","",IF($C$30="간이법","",FPR(H2089,I2089,J2089)))</f>
        <v/>
      </c>
      <c r="L2089" s="30" t="str">
        <f>IF(H2089="","",IF($C$30="상세법",FPV(H2089,K2089),IF(H2089="EI",4,IF(H2089="EO",5.2,IF(H2089="EQ",3.9,IF(H2089="ILF",7.5,IF(H2089="EIF",5.4)))))))</f>
        <v/>
      </c>
      <c r="M2089" s="30" t="str">
        <f t="shared" si="219"/>
        <v/>
      </c>
      <c r="N2089" s="134"/>
      <c r="O2089" s="29"/>
      <c r="P2089" s="37" t="str">
        <f t="shared" si="220"/>
        <v/>
      </c>
      <c r="Q2089" s="38" t="str">
        <f t="shared" si="221"/>
        <v/>
      </c>
      <c r="R2089" s="37" t="str">
        <f t="shared" si="222"/>
        <v/>
      </c>
      <c r="S2089" s="37" t="str">
        <f t="shared" si="223"/>
        <v/>
      </c>
      <c r="T2089" s="38" t="str">
        <f t="shared" si="224"/>
        <v/>
      </c>
      <c r="U2089" s="37" t="str">
        <f t="shared" si="225"/>
        <v/>
      </c>
    </row>
    <row r="2090" spans="2:21" ht="17.25">
      <c r="B2090" s="156"/>
      <c r="C2090" s="156"/>
      <c r="D2090" s="157"/>
      <c r="E2090" s="155"/>
      <c r="F2090" s="151"/>
      <c r="G2090" s="152"/>
      <c r="H2090" s="153"/>
      <c r="I2090" s="154"/>
      <c r="J2090" s="154"/>
      <c r="K2090" s="30" t="str">
        <f>IF(H2090="","",IF($C$30="간이법","",FPR(H2090,I2090,J2090)))</f>
        <v/>
      </c>
      <c r="L2090" s="30" t="str">
        <f>IF(H2090="","",IF($C$30="상세법",FPV(H2090,K2090),IF(H2090="EI",4,IF(H2090="EO",5.2,IF(H2090="EQ",3.9,IF(H2090="ILF",7.5,IF(H2090="EIF",5.4)))))))</f>
        <v/>
      </c>
      <c r="M2090" s="30" t="str">
        <f t="shared" si="219"/>
        <v/>
      </c>
      <c r="N2090" s="134"/>
      <c r="O2090" s="29"/>
      <c r="P2090" s="37" t="str">
        <f t="shared" si="220"/>
        <v/>
      </c>
      <c r="Q2090" s="38" t="str">
        <f t="shared" si="221"/>
        <v/>
      </c>
      <c r="R2090" s="37" t="str">
        <f t="shared" si="222"/>
        <v/>
      </c>
      <c r="S2090" s="37" t="str">
        <f t="shared" si="223"/>
        <v/>
      </c>
      <c r="T2090" s="38" t="str">
        <f t="shared" si="224"/>
        <v/>
      </c>
      <c r="U2090" s="37" t="str">
        <f t="shared" si="225"/>
        <v/>
      </c>
    </row>
    <row r="2091" spans="2:21" ht="17.25">
      <c r="B2091" s="156"/>
      <c r="C2091" s="156"/>
      <c r="D2091" s="157"/>
      <c r="E2091" s="155"/>
      <c r="F2091" s="151"/>
      <c r="G2091" s="152"/>
      <c r="H2091" s="153"/>
      <c r="I2091" s="154"/>
      <c r="J2091" s="154"/>
      <c r="K2091" s="30" t="str">
        <f>IF(H2091="","",IF($C$30="간이법","",FPR(H2091,I2091,J2091)))</f>
        <v/>
      </c>
      <c r="L2091" s="30" t="str">
        <f>IF(H2091="","",IF($C$30="상세법",FPV(H2091,K2091),IF(H2091="EI",4,IF(H2091="EO",5.2,IF(H2091="EQ",3.9,IF(H2091="ILF",7.5,IF(H2091="EIF",5.4)))))))</f>
        <v/>
      </c>
      <c r="M2091" s="30" t="str">
        <f t="shared" si="219"/>
        <v/>
      </c>
      <c r="N2091" s="134"/>
      <c r="O2091" s="29"/>
      <c r="P2091" s="37" t="str">
        <f t="shared" si="220"/>
        <v/>
      </c>
      <c r="Q2091" s="38" t="str">
        <f t="shared" si="221"/>
        <v/>
      </c>
      <c r="R2091" s="37" t="str">
        <f t="shared" si="222"/>
        <v/>
      </c>
      <c r="S2091" s="37" t="str">
        <f t="shared" si="223"/>
        <v/>
      </c>
      <c r="T2091" s="38" t="str">
        <f t="shared" si="224"/>
        <v/>
      </c>
      <c r="U2091" s="37" t="str">
        <f t="shared" si="225"/>
        <v/>
      </c>
    </row>
    <row r="2092" spans="2:21" ht="17.25">
      <c r="B2092" s="156"/>
      <c r="C2092" s="156"/>
      <c r="D2092" s="157"/>
      <c r="E2092" s="155"/>
      <c r="F2092" s="151"/>
      <c r="G2092" s="152"/>
      <c r="H2092" s="153"/>
      <c r="I2092" s="154"/>
      <c r="J2092" s="154"/>
      <c r="K2092" s="30" t="str">
        <f>IF(H2092="","",IF($C$30="간이법","",FPR(H2092,I2092,J2092)))</f>
        <v/>
      </c>
      <c r="L2092" s="30" t="str">
        <f>IF(H2092="","",IF($C$30="상세법",FPV(H2092,K2092),IF(H2092="EI",4,IF(H2092="EO",5.2,IF(H2092="EQ",3.9,IF(H2092="ILF",7.5,IF(H2092="EIF",5.4)))))))</f>
        <v/>
      </c>
      <c r="M2092" s="30" t="str">
        <f t="shared" si="219"/>
        <v/>
      </c>
      <c r="N2092" s="134"/>
      <c r="O2092" s="29"/>
      <c r="P2092" s="37" t="str">
        <f t="shared" si="220"/>
        <v/>
      </c>
      <c r="Q2092" s="38" t="str">
        <f t="shared" si="221"/>
        <v/>
      </c>
      <c r="R2092" s="37" t="str">
        <f t="shared" si="222"/>
        <v/>
      </c>
      <c r="S2092" s="37" t="str">
        <f t="shared" si="223"/>
        <v/>
      </c>
      <c r="T2092" s="38" t="str">
        <f t="shared" si="224"/>
        <v/>
      </c>
      <c r="U2092" s="37" t="str">
        <f t="shared" si="225"/>
        <v/>
      </c>
    </row>
    <row r="2093" spans="2:21" ht="17.25">
      <c r="B2093" s="156"/>
      <c r="C2093" s="156"/>
      <c r="D2093" s="157"/>
      <c r="E2093" s="155"/>
      <c r="F2093" s="151"/>
      <c r="G2093" s="152"/>
      <c r="H2093" s="153"/>
      <c r="I2093" s="154"/>
      <c r="J2093" s="154"/>
      <c r="K2093" s="30" t="str">
        <f>IF(H2093="","",IF($C$30="간이법","",FPR(H2093,I2093,J2093)))</f>
        <v/>
      </c>
      <c r="L2093" s="30" t="str">
        <f>IF(H2093="","",IF($C$30="상세법",FPV(H2093,K2093),IF(H2093="EI",4,IF(H2093="EO",5.2,IF(H2093="EQ",3.9,IF(H2093="ILF",7.5,IF(H2093="EIF",5.4)))))))</f>
        <v/>
      </c>
      <c r="M2093" s="30" t="str">
        <f t="shared" si="219"/>
        <v/>
      </c>
      <c r="N2093" s="134"/>
      <c r="O2093" s="29"/>
      <c r="P2093" s="37" t="str">
        <f t="shared" si="220"/>
        <v/>
      </c>
      <c r="Q2093" s="38" t="str">
        <f t="shared" si="221"/>
        <v/>
      </c>
      <c r="R2093" s="37" t="str">
        <f t="shared" si="222"/>
        <v/>
      </c>
      <c r="S2093" s="37" t="str">
        <f t="shared" si="223"/>
        <v/>
      </c>
      <c r="T2093" s="38" t="str">
        <f t="shared" si="224"/>
        <v/>
      </c>
      <c r="U2093" s="37" t="str">
        <f t="shared" si="225"/>
        <v/>
      </c>
    </row>
    <row r="2094" spans="2:21" ht="17.25">
      <c r="B2094" s="156"/>
      <c r="C2094" s="156"/>
      <c r="D2094" s="157"/>
      <c r="E2094" s="155"/>
      <c r="F2094" s="151"/>
      <c r="G2094" s="152"/>
      <c r="H2094" s="153"/>
      <c r="I2094" s="154"/>
      <c r="J2094" s="154"/>
      <c r="K2094" s="30" t="str">
        <f>IF(H2094="","",IF($C$30="간이법","",FPR(H2094,I2094,J2094)))</f>
        <v/>
      </c>
      <c r="L2094" s="30" t="str">
        <f>IF(H2094="","",IF($C$30="상세법",FPV(H2094,K2094),IF(H2094="EI",4,IF(H2094="EO",5.2,IF(H2094="EQ",3.9,IF(H2094="ILF",7.5,IF(H2094="EIF",5.4)))))))</f>
        <v/>
      </c>
      <c r="M2094" s="30" t="str">
        <f t="shared" si="219"/>
        <v/>
      </c>
      <c r="N2094" s="134"/>
      <c r="O2094" s="29"/>
      <c r="P2094" s="37" t="str">
        <f t="shared" si="220"/>
        <v/>
      </c>
      <c r="Q2094" s="38" t="str">
        <f t="shared" si="221"/>
        <v/>
      </c>
      <c r="R2094" s="37" t="str">
        <f t="shared" si="222"/>
        <v/>
      </c>
      <c r="S2094" s="37" t="str">
        <f t="shared" si="223"/>
        <v/>
      </c>
      <c r="T2094" s="38" t="str">
        <f t="shared" si="224"/>
        <v/>
      </c>
      <c r="U2094" s="37" t="str">
        <f t="shared" si="225"/>
        <v/>
      </c>
    </row>
    <row r="2095" spans="2:21" ht="17.25">
      <c r="B2095" s="156"/>
      <c r="C2095" s="156"/>
      <c r="D2095" s="157"/>
      <c r="E2095" s="155"/>
      <c r="F2095" s="151"/>
      <c r="G2095" s="152"/>
      <c r="H2095" s="153"/>
      <c r="I2095" s="154"/>
      <c r="J2095" s="154"/>
      <c r="K2095" s="30" t="str">
        <f>IF(H2095="","",IF($C$30="간이법","",FPR(H2095,I2095,J2095)))</f>
        <v/>
      </c>
      <c r="L2095" s="30" t="str">
        <f>IF(H2095="","",IF($C$30="상세법",FPV(H2095,K2095),IF(H2095="EI",4,IF(H2095="EO",5.2,IF(H2095="EQ",3.9,IF(H2095="ILF",7.5,IF(H2095="EIF",5.4)))))))</f>
        <v/>
      </c>
      <c r="M2095" s="30" t="str">
        <f t="shared" si="219"/>
        <v/>
      </c>
      <c r="N2095" s="134"/>
      <c r="O2095" s="29"/>
      <c r="P2095" s="37" t="str">
        <f t="shared" si="220"/>
        <v/>
      </c>
      <c r="Q2095" s="38" t="str">
        <f t="shared" si="221"/>
        <v/>
      </c>
      <c r="R2095" s="37" t="str">
        <f t="shared" si="222"/>
        <v/>
      </c>
      <c r="S2095" s="37" t="str">
        <f t="shared" si="223"/>
        <v/>
      </c>
      <c r="T2095" s="38" t="str">
        <f t="shared" si="224"/>
        <v/>
      </c>
      <c r="U2095" s="37" t="str">
        <f t="shared" si="225"/>
        <v/>
      </c>
    </row>
    <row r="2096" spans="2:21" ht="17.25">
      <c r="B2096" s="156"/>
      <c r="C2096" s="156"/>
      <c r="D2096" s="157"/>
      <c r="E2096" s="155"/>
      <c r="F2096" s="151"/>
      <c r="G2096" s="152"/>
      <c r="H2096" s="153"/>
      <c r="I2096" s="154"/>
      <c r="J2096" s="154"/>
      <c r="K2096" s="30" t="str">
        <f>IF(H2096="","",IF($C$30="간이법","",FPR(H2096,I2096,J2096)))</f>
        <v/>
      </c>
      <c r="L2096" s="30" t="str">
        <f>IF(H2096="","",IF($C$30="상세법",FPV(H2096,K2096),IF(H2096="EI",4,IF(H2096="EO",5.2,IF(H2096="EQ",3.9,IF(H2096="ILF",7.5,IF(H2096="EIF",5.4)))))))</f>
        <v/>
      </c>
      <c r="M2096" s="30" t="str">
        <f t="shared" si="219"/>
        <v/>
      </c>
      <c r="N2096" s="134"/>
      <c r="O2096" s="29"/>
      <c r="P2096" s="37" t="str">
        <f t="shared" si="220"/>
        <v/>
      </c>
      <c r="Q2096" s="38" t="str">
        <f t="shared" si="221"/>
        <v/>
      </c>
      <c r="R2096" s="37" t="str">
        <f t="shared" si="222"/>
        <v/>
      </c>
      <c r="S2096" s="37" t="str">
        <f t="shared" si="223"/>
        <v/>
      </c>
      <c r="T2096" s="38" t="str">
        <f t="shared" si="224"/>
        <v/>
      </c>
      <c r="U2096" s="37" t="str">
        <f t="shared" si="225"/>
        <v/>
      </c>
    </row>
    <row r="2097" spans="2:21" ht="17.25">
      <c r="B2097" s="156"/>
      <c r="C2097" s="156"/>
      <c r="D2097" s="157"/>
      <c r="E2097" s="155"/>
      <c r="F2097" s="151"/>
      <c r="G2097" s="152"/>
      <c r="H2097" s="153"/>
      <c r="I2097" s="154"/>
      <c r="J2097" s="154"/>
      <c r="K2097" s="30" t="str">
        <f>IF(H2097="","",IF($C$30="간이법","",FPR(H2097,I2097,J2097)))</f>
        <v/>
      </c>
      <c r="L2097" s="30" t="str">
        <f>IF(H2097="","",IF($C$30="상세법",FPV(H2097,K2097),IF(H2097="EI",4,IF(H2097="EO",5.2,IF(H2097="EQ",3.9,IF(H2097="ILF",7.5,IF(H2097="EIF",5.4)))))))</f>
        <v/>
      </c>
      <c r="M2097" s="30" t="str">
        <f t="shared" si="219"/>
        <v/>
      </c>
      <c r="N2097" s="134"/>
      <c r="O2097" s="29"/>
      <c r="P2097" s="37" t="str">
        <f t="shared" si="220"/>
        <v/>
      </c>
      <c r="Q2097" s="38" t="str">
        <f t="shared" si="221"/>
        <v/>
      </c>
      <c r="R2097" s="37" t="str">
        <f t="shared" si="222"/>
        <v/>
      </c>
      <c r="S2097" s="37" t="str">
        <f t="shared" si="223"/>
        <v/>
      </c>
      <c r="T2097" s="38" t="str">
        <f t="shared" si="224"/>
        <v/>
      </c>
      <c r="U2097" s="37" t="str">
        <f t="shared" si="225"/>
        <v/>
      </c>
    </row>
    <row r="2098" spans="2:21" ht="17.25">
      <c r="B2098" s="156"/>
      <c r="C2098" s="156"/>
      <c r="D2098" s="157"/>
      <c r="E2098" s="155"/>
      <c r="F2098" s="151"/>
      <c r="G2098" s="152"/>
      <c r="H2098" s="153"/>
      <c r="I2098" s="154"/>
      <c r="J2098" s="154"/>
      <c r="K2098" s="30" t="str">
        <f>IF(H2098="","",IF($C$30="간이법","",FPR(H2098,I2098,J2098)))</f>
        <v/>
      </c>
      <c r="L2098" s="30" t="str">
        <f>IF(H2098="","",IF($C$30="상세법",FPV(H2098,K2098),IF(H2098="EI",4,IF(H2098="EO",5.2,IF(H2098="EQ",3.9,IF(H2098="ILF",7.5,IF(H2098="EIF",5.4)))))))</f>
        <v/>
      </c>
      <c r="M2098" s="30" t="str">
        <f t="shared" si="219"/>
        <v/>
      </c>
      <c r="N2098" s="134"/>
      <c r="O2098" s="29"/>
      <c r="P2098" s="37" t="str">
        <f t="shared" si="220"/>
        <v/>
      </c>
      <c r="Q2098" s="38" t="str">
        <f t="shared" si="221"/>
        <v/>
      </c>
      <c r="R2098" s="37" t="str">
        <f t="shared" si="222"/>
        <v/>
      </c>
      <c r="S2098" s="37" t="str">
        <f t="shared" si="223"/>
        <v/>
      </c>
      <c r="T2098" s="38" t="str">
        <f t="shared" si="224"/>
        <v/>
      </c>
      <c r="U2098" s="37" t="str">
        <f t="shared" si="225"/>
        <v/>
      </c>
    </row>
    <row r="2099" spans="2:21" ht="17.25">
      <c r="B2099" s="156"/>
      <c r="C2099" s="156"/>
      <c r="D2099" s="157"/>
      <c r="E2099" s="155"/>
      <c r="F2099" s="151"/>
      <c r="G2099" s="152"/>
      <c r="H2099" s="153"/>
      <c r="I2099" s="154"/>
      <c r="J2099" s="154"/>
      <c r="K2099" s="30" t="str">
        <f>IF(H2099="","",IF($C$30="간이법","",FPR(H2099,I2099,J2099)))</f>
        <v/>
      </c>
      <c r="L2099" s="30" t="str">
        <f>IF(H2099="","",IF($C$30="상세법",FPV(H2099,K2099),IF(H2099="EI",4,IF(H2099="EO",5.2,IF(H2099="EQ",3.9,IF(H2099="ILF",7.5,IF(H2099="EIF",5.4)))))))</f>
        <v/>
      </c>
      <c r="M2099" s="30" t="str">
        <f t="shared" si="219"/>
        <v/>
      </c>
      <c r="N2099" s="134"/>
      <c r="O2099" s="29"/>
      <c r="P2099" s="37" t="str">
        <f t="shared" si="220"/>
        <v/>
      </c>
      <c r="Q2099" s="38" t="str">
        <f t="shared" si="221"/>
        <v/>
      </c>
      <c r="R2099" s="37" t="str">
        <f t="shared" si="222"/>
        <v/>
      </c>
      <c r="S2099" s="37" t="str">
        <f t="shared" si="223"/>
        <v/>
      </c>
      <c r="T2099" s="38" t="str">
        <f t="shared" si="224"/>
        <v/>
      </c>
      <c r="U2099" s="37" t="str">
        <f t="shared" si="225"/>
        <v/>
      </c>
    </row>
    <row r="2100" spans="2:21" ht="17.25">
      <c r="B2100" s="156"/>
      <c r="C2100" s="156"/>
      <c r="D2100" s="157"/>
      <c r="E2100" s="155"/>
      <c r="F2100" s="151"/>
      <c r="G2100" s="152"/>
      <c r="H2100" s="153"/>
      <c r="I2100" s="154"/>
      <c r="J2100" s="154"/>
      <c r="K2100" s="30" t="str">
        <f>IF(H2100="","",IF($C$30="간이법","",FPR(H2100,I2100,J2100)))</f>
        <v/>
      </c>
      <c r="L2100" s="30" t="str">
        <f>IF(H2100="","",IF($C$30="상세법",FPV(H2100,K2100),IF(H2100="EI",4,IF(H2100="EO",5.2,IF(H2100="EQ",3.9,IF(H2100="ILF",7.5,IF(H2100="EIF",5.4)))))))</f>
        <v/>
      </c>
      <c r="M2100" s="30" t="str">
        <f t="shared" si="219"/>
        <v/>
      </c>
      <c r="N2100" s="134"/>
      <c r="O2100" s="29"/>
      <c r="P2100" s="37" t="str">
        <f t="shared" si="220"/>
        <v/>
      </c>
      <c r="Q2100" s="38" t="str">
        <f t="shared" si="221"/>
        <v/>
      </c>
      <c r="R2100" s="37" t="str">
        <f t="shared" si="222"/>
        <v/>
      </c>
      <c r="S2100" s="37" t="str">
        <f t="shared" si="223"/>
        <v/>
      </c>
      <c r="T2100" s="38" t="str">
        <f t="shared" si="224"/>
        <v/>
      </c>
      <c r="U2100" s="37" t="str">
        <f t="shared" si="225"/>
        <v/>
      </c>
    </row>
    <row r="2101" spans="2:21" ht="17.25">
      <c r="B2101" s="156"/>
      <c r="C2101" s="156"/>
      <c r="D2101" s="157"/>
      <c r="E2101" s="155"/>
      <c r="F2101" s="151"/>
      <c r="G2101" s="152"/>
      <c r="H2101" s="153"/>
      <c r="I2101" s="154"/>
      <c r="J2101" s="154"/>
      <c r="K2101" s="30" t="str">
        <f>IF(H2101="","",IF($C$30="간이법","",FPR(H2101,I2101,J2101)))</f>
        <v/>
      </c>
      <c r="L2101" s="30" t="str">
        <f>IF(H2101="","",IF($C$30="상세법",FPV(H2101,K2101),IF(H2101="EI",4,IF(H2101="EO",5.2,IF(H2101="EQ",3.9,IF(H2101="ILF",7.5,IF(H2101="EIF",5.4)))))))</f>
        <v/>
      </c>
      <c r="M2101" s="30" t="str">
        <f t="shared" si="219"/>
        <v/>
      </c>
      <c r="N2101" s="134"/>
      <c r="O2101" s="29"/>
      <c r="P2101" s="37" t="str">
        <f t="shared" si="220"/>
        <v/>
      </c>
      <c r="Q2101" s="38" t="str">
        <f t="shared" si="221"/>
        <v/>
      </c>
      <c r="R2101" s="37" t="str">
        <f t="shared" si="222"/>
        <v/>
      </c>
      <c r="S2101" s="37" t="str">
        <f t="shared" si="223"/>
        <v/>
      </c>
      <c r="T2101" s="38" t="str">
        <f t="shared" si="224"/>
        <v/>
      </c>
      <c r="U2101" s="37" t="str">
        <f t="shared" si="225"/>
        <v/>
      </c>
    </row>
    <row r="2102" spans="2:21" ht="17.25">
      <c r="B2102" s="156"/>
      <c r="C2102" s="156"/>
      <c r="D2102" s="157"/>
      <c r="E2102" s="155"/>
      <c r="F2102" s="151"/>
      <c r="G2102" s="152"/>
      <c r="H2102" s="153"/>
      <c r="I2102" s="154"/>
      <c r="J2102" s="154"/>
      <c r="K2102" s="30" t="str">
        <f>IF(H2102="","",IF($C$30="간이법","",FPR(H2102,I2102,J2102)))</f>
        <v/>
      </c>
      <c r="L2102" s="30" t="str">
        <f>IF(H2102="","",IF($C$30="상세법",FPV(H2102,K2102),IF(H2102="EI",4,IF(H2102="EO",5.2,IF(H2102="EQ",3.9,IF(H2102="ILF",7.5,IF(H2102="EIF",5.4)))))))</f>
        <v/>
      </c>
      <c r="M2102" s="30" t="str">
        <f t="shared" si="219"/>
        <v/>
      </c>
      <c r="N2102" s="134"/>
      <c r="O2102" s="29"/>
      <c r="P2102" s="37" t="str">
        <f t="shared" si="220"/>
        <v/>
      </c>
      <c r="Q2102" s="38" t="str">
        <f t="shared" si="221"/>
        <v/>
      </c>
      <c r="R2102" s="37" t="str">
        <f t="shared" si="222"/>
        <v/>
      </c>
      <c r="S2102" s="37" t="str">
        <f t="shared" si="223"/>
        <v/>
      </c>
      <c r="T2102" s="38" t="str">
        <f t="shared" si="224"/>
        <v/>
      </c>
      <c r="U2102" s="37" t="str">
        <f t="shared" si="225"/>
        <v/>
      </c>
    </row>
    <row r="2103" spans="2:21" ht="17.25">
      <c r="B2103" s="156"/>
      <c r="C2103" s="156"/>
      <c r="D2103" s="157"/>
      <c r="E2103" s="155"/>
      <c r="F2103" s="151"/>
      <c r="G2103" s="152"/>
      <c r="H2103" s="153"/>
      <c r="I2103" s="154"/>
      <c r="J2103" s="154"/>
      <c r="K2103" s="30" t="str">
        <f>IF(H2103="","",IF($C$30="간이법","",FPR(H2103,I2103,J2103)))</f>
        <v/>
      </c>
      <c r="L2103" s="30" t="str">
        <f>IF(H2103="","",IF($C$30="상세법",FPV(H2103,K2103),IF(H2103="EI",4,IF(H2103="EO",5.2,IF(H2103="EQ",3.9,IF(H2103="ILF",7.5,IF(H2103="EIF",5.4)))))))</f>
        <v/>
      </c>
      <c r="M2103" s="30" t="str">
        <f t="shared" si="219"/>
        <v/>
      </c>
      <c r="N2103" s="134"/>
      <c r="O2103" s="29"/>
      <c r="P2103" s="37" t="str">
        <f t="shared" si="220"/>
        <v/>
      </c>
      <c r="Q2103" s="38" t="str">
        <f t="shared" si="221"/>
        <v/>
      </c>
      <c r="R2103" s="37" t="str">
        <f t="shared" si="222"/>
        <v/>
      </c>
      <c r="S2103" s="37" t="str">
        <f t="shared" si="223"/>
        <v/>
      </c>
      <c r="T2103" s="38" t="str">
        <f t="shared" si="224"/>
        <v/>
      </c>
      <c r="U2103" s="37" t="str">
        <f t="shared" si="225"/>
        <v/>
      </c>
    </row>
    <row r="2104" spans="2:21" ht="17.25">
      <c r="B2104" s="156"/>
      <c r="C2104" s="156"/>
      <c r="D2104" s="157"/>
      <c r="E2104" s="155"/>
      <c r="F2104" s="151"/>
      <c r="G2104" s="152"/>
      <c r="H2104" s="153"/>
      <c r="I2104" s="154"/>
      <c r="J2104" s="154"/>
      <c r="K2104" s="30" t="str">
        <f>IF(H2104="","",IF($C$30="간이법","",FPR(H2104,I2104,J2104)))</f>
        <v/>
      </c>
      <c r="L2104" s="30" t="str">
        <f>IF(H2104="","",IF($C$30="상세법",FPV(H2104,K2104),IF(H2104="EI",4,IF(H2104="EO",5.2,IF(H2104="EQ",3.9,IF(H2104="ILF",7.5,IF(H2104="EIF",5.4)))))))</f>
        <v/>
      </c>
      <c r="M2104" s="30" t="str">
        <f t="shared" si="219"/>
        <v/>
      </c>
      <c r="N2104" s="134"/>
      <c r="O2104" s="29"/>
      <c r="P2104" s="37" t="str">
        <f t="shared" si="220"/>
        <v/>
      </c>
      <c r="Q2104" s="38" t="str">
        <f t="shared" si="221"/>
        <v/>
      </c>
      <c r="R2104" s="37" t="str">
        <f t="shared" si="222"/>
        <v/>
      </c>
      <c r="S2104" s="37" t="str">
        <f t="shared" si="223"/>
        <v/>
      </c>
      <c r="T2104" s="38" t="str">
        <f t="shared" si="224"/>
        <v/>
      </c>
      <c r="U2104" s="37" t="str">
        <f t="shared" si="225"/>
        <v/>
      </c>
    </row>
    <row r="2105" spans="2:21" ht="17.25">
      <c r="B2105" s="156"/>
      <c r="C2105" s="156"/>
      <c r="D2105" s="157"/>
      <c r="E2105" s="155"/>
      <c r="F2105" s="151"/>
      <c r="G2105" s="152"/>
      <c r="H2105" s="153"/>
      <c r="I2105" s="154"/>
      <c r="J2105" s="154"/>
      <c r="K2105" s="30" t="str">
        <f>IF(H2105="","",IF($C$30="간이법","",FPR(H2105,I2105,J2105)))</f>
        <v/>
      </c>
      <c r="L2105" s="30" t="str">
        <f>IF(H2105="","",IF($C$30="상세법",FPV(H2105,K2105),IF(H2105="EI",4,IF(H2105="EO",5.2,IF(H2105="EQ",3.9,IF(H2105="ILF",7.5,IF(H2105="EIF",5.4)))))))</f>
        <v/>
      </c>
      <c r="M2105" s="30" t="str">
        <f t="shared" si="219"/>
        <v/>
      </c>
      <c r="N2105" s="134"/>
      <c r="O2105" s="29"/>
      <c r="P2105" s="37" t="str">
        <f t="shared" si="220"/>
        <v/>
      </c>
      <c r="Q2105" s="38" t="str">
        <f t="shared" si="221"/>
        <v/>
      </c>
      <c r="R2105" s="37" t="str">
        <f t="shared" si="222"/>
        <v/>
      </c>
      <c r="S2105" s="37" t="str">
        <f t="shared" si="223"/>
        <v/>
      </c>
      <c r="T2105" s="38" t="str">
        <f t="shared" si="224"/>
        <v/>
      </c>
      <c r="U2105" s="37" t="str">
        <f t="shared" si="225"/>
        <v/>
      </c>
    </row>
    <row r="2106" spans="2:21" ht="17.25">
      <c r="B2106" s="156"/>
      <c r="C2106" s="156"/>
      <c r="D2106" s="157"/>
      <c r="E2106" s="155"/>
      <c r="F2106" s="151"/>
      <c r="G2106" s="152"/>
      <c r="H2106" s="153"/>
      <c r="I2106" s="154"/>
      <c r="J2106" s="154"/>
      <c r="K2106" s="30" t="str">
        <f>IF(H2106="","",IF($C$30="간이법","",FPR(H2106,I2106,J2106)))</f>
        <v/>
      </c>
      <c r="L2106" s="30" t="str">
        <f>IF(H2106="","",IF($C$30="상세법",FPV(H2106,K2106),IF(H2106="EI",4,IF(H2106="EO",5.2,IF(H2106="EQ",3.9,IF(H2106="ILF",7.5,IF(H2106="EIF",5.4)))))))</f>
        <v/>
      </c>
      <c r="M2106" s="30" t="str">
        <f t="shared" si="219"/>
        <v/>
      </c>
      <c r="N2106" s="134"/>
      <c r="O2106" s="29"/>
      <c r="P2106" s="37" t="str">
        <f t="shared" si="220"/>
        <v/>
      </c>
      <c r="Q2106" s="38" t="str">
        <f t="shared" si="221"/>
        <v/>
      </c>
      <c r="R2106" s="37" t="str">
        <f t="shared" si="222"/>
        <v/>
      </c>
      <c r="S2106" s="37" t="str">
        <f t="shared" si="223"/>
        <v/>
      </c>
      <c r="T2106" s="38" t="str">
        <f t="shared" si="224"/>
        <v/>
      </c>
      <c r="U2106" s="37" t="str">
        <f t="shared" si="225"/>
        <v/>
      </c>
    </row>
    <row r="2107" spans="2:21" ht="17.25">
      <c r="B2107" s="156"/>
      <c r="C2107" s="156"/>
      <c r="D2107" s="157"/>
      <c r="E2107" s="155"/>
      <c r="F2107" s="151"/>
      <c r="G2107" s="152"/>
      <c r="H2107" s="153"/>
      <c r="I2107" s="154"/>
      <c r="J2107" s="154"/>
      <c r="K2107" s="30" t="str">
        <f>IF(H2107="","",IF($C$30="간이법","",FPR(H2107,I2107,J2107)))</f>
        <v/>
      </c>
      <c r="L2107" s="30" t="str">
        <f>IF(H2107="","",IF($C$30="상세법",FPV(H2107,K2107),IF(H2107="EI",4,IF(H2107="EO",5.2,IF(H2107="EQ",3.9,IF(H2107="ILF",7.5,IF(H2107="EIF",5.4)))))))</f>
        <v/>
      </c>
      <c r="M2107" s="30" t="str">
        <f t="shared" si="219"/>
        <v/>
      </c>
      <c r="N2107" s="134"/>
      <c r="O2107" s="29"/>
      <c r="P2107" s="37" t="str">
        <f t="shared" si="220"/>
        <v/>
      </c>
      <c r="Q2107" s="38" t="str">
        <f t="shared" si="221"/>
        <v/>
      </c>
      <c r="R2107" s="37" t="str">
        <f t="shared" si="222"/>
        <v/>
      </c>
      <c r="S2107" s="37" t="str">
        <f t="shared" si="223"/>
        <v/>
      </c>
      <c r="T2107" s="38" t="str">
        <f t="shared" si="224"/>
        <v/>
      </c>
      <c r="U2107" s="37" t="str">
        <f t="shared" si="225"/>
        <v/>
      </c>
    </row>
    <row r="2108" spans="2:21" ht="17.25">
      <c r="B2108" s="156"/>
      <c r="C2108" s="156"/>
      <c r="D2108" s="157"/>
      <c r="E2108" s="155"/>
      <c r="F2108" s="151"/>
      <c r="G2108" s="152"/>
      <c r="H2108" s="153"/>
      <c r="I2108" s="154"/>
      <c r="J2108" s="154"/>
      <c r="K2108" s="30" t="str">
        <f>IF(H2108="","",IF($C$30="간이법","",FPR(H2108,I2108,J2108)))</f>
        <v/>
      </c>
      <c r="L2108" s="30" t="str">
        <f>IF(H2108="","",IF($C$30="상세법",FPV(H2108,K2108),IF(H2108="EI",4,IF(H2108="EO",5.2,IF(H2108="EQ",3.9,IF(H2108="ILF",7.5,IF(H2108="EIF",5.4)))))))</f>
        <v/>
      </c>
      <c r="M2108" s="30" t="str">
        <f t="shared" ref="M2108:M2171" si="226">IF(OR(G2108="",$E$36="(선택)",$E$40="(선택)",$E$41="(선택)",F2108="신규 개발",F2108="수정 없이 재사용"),"",(IF(F2108="수정 후 재사용",IF($E$50&lt;=0.5,L2108*($E$36+$E$50*100*(1+0.02*($E$40*$E$41)))/100,L2108*($E$36+$E$50*100+($E$40*$E$41))/100))))</f>
        <v/>
      </c>
      <c r="N2108" s="134"/>
      <c r="O2108" s="29"/>
      <c r="P2108" s="37" t="str">
        <f t="shared" ref="P2108:P2171" si="227">IF(F2108="수정 후 재사용",IF(H2108="ILF",G2108,IF(H2108="EIF",G2108,"")),"")</f>
        <v/>
      </c>
      <c r="Q2108" s="38" t="str">
        <f t="shared" ref="Q2108:Q2171" si="228">IF(P2108&lt;&gt;"",IF(H2108="ILF", L2108/$E$46,IF(H2108="EIF", L2108/$E$46,"")),"")</f>
        <v/>
      </c>
      <c r="R2108" s="37" t="str">
        <f t="shared" ref="R2108:R2171" si="229">IF(P2108&lt;&gt;"",P2108*Q2108,"")</f>
        <v/>
      </c>
      <c r="S2108" s="37" t="str">
        <f t="shared" ref="S2108:S2171" si="230">IF(F2108="수정 후 재사용",IF(H2108="EI",G2108,IF(H2108="EO",G2108,IF(H2108="EQ",G2108,""))),"")</f>
        <v/>
      </c>
      <c r="T2108" s="38" t="str">
        <f t="shared" ref="T2108:T2171" si="231">IF(S2108&lt;&gt;"",IF(H2108="EI",L2108/$E$47,IF(H2108="EO",L2108/$E$47,IF(H2108="EQ",L2108/$E$47,""))),"")</f>
        <v/>
      </c>
      <c r="U2108" s="37" t="str">
        <f t="shared" ref="U2108:U2171" si="232">IF(S2108&lt;&gt;"",S2108*T2108,"")</f>
        <v/>
      </c>
    </row>
    <row r="2109" spans="2:21" ht="17.25">
      <c r="B2109" s="156"/>
      <c r="C2109" s="156"/>
      <c r="D2109" s="157"/>
      <c r="E2109" s="155"/>
      <c r="F2109" s="151"/>
      <c r="G2109" s="152"/>
      <c r="H2109" s="153"/>
      <c r="I2109" s="154"/>
      <c r="J2109" s="154"/>
      <c r="K2109" s="30" t="str">
        <f>IF(H2109="","",IF($C$30="간이법","",FPR(H2109,I2109,J2109)))</f>
        <v/>
      </c>
      <c r="L2109" s="30" t="str">
        <f>IF(H2109="","",IF($C$30="상세법",FPV(H2109,K2109),IF(H2109="EI",4,IF(H2109="EO",5.2,IF(H2109="EQ",3.9,IF(H2109="ILF",7.5,IF(H2109="EIF",5.4)))))))</f>
        <v/>
      </c>
      <c r="M2109" s="30" t="str">
        <f t="shared" si="226"/>
        <v/>
      </c>
      <c r="N2109" s="134"/>
      <c r="O2109" s="29"/>
      <c r="P2109" s="37" t="str">
        <f t="shared" si="227"/>
        <v/>
      </c>
      <c r="Q2109" s="38" t="str">
        <f t="shared" si="228"/>
        <v/>
      </c>
      <c r="R2109" s="37" t="str">
        <f t="shared" si="229"/>
        <v/>
      </c>
      <c r="S2109" s="37" t="str">
        <f t="shared" si="230"/>
        <v/>
      </c>
      <c r="T2109" s="38" t="str">
        <f t="shared" si="231"/>
        <v/>
      </c>
      <c r="U2109" s="37" t="str">
        <f t="shared" si="232"/>
        <v/>
      </c>
    </row>
    <row r="2110" spans="2:21" ht="17.25">
      <c r="B2110" s="156"/>
      <c r="C2110" s="156"/>
      <c r="D2110" s="157"/>
      <c r="E2110" s="155"/>
      <c r="F2110" s="151"/>
      <c r="G2110" s="152"/>
      <c r="H2110" s="153"/>
      <c r="I2110" s="154"/>
      <c r="J2110" s="154"/>
      <c r="K2110" s="30" t="str">
        <f>IF(H2110="","",IF($C$30="간이법","",FPR(H2110,I2110,J2110)))</f>
        <v/>
      </c>
      <c r="L2110" s="30" t="str">
        <f>IF(H2110="","",IF($C$30="상세법",FPV(H2110,K2110),IF(H2110="EI",4,IF(H2110="EO",5.2,IF(H2110="EQ",3.9,IF(H2110="ILF",7.5,IF(H2110="EIF",5.4)))))))</f>
        <v/>
      </c>
      <c r="M2110" s="30" t="str">
        <f t="shared" si="226"/>
        <v/>
      </c>
      <c r="N2110" s="134"/>
      <c r="O2110" s="29"/>
      <c r="P2110" s="37" t="str">
        <f t="shared" si="227"/>
        <v/>
      </c>
      <c r="Q2110" s="38" t="str">
        <f t="shared" si="228"/>
        <v/>
      </c>
      <c r="R2110" s="37" t="str">
        <f t="shared" si="229"/>
        <v/>
      </c>
      <c r="S2110" s="37" t="str">
        <f t="shared" si="230"/>
        <v/>
      </c>
      <c r="T2110" s="38" t="str">
        <f t="shared" si="231"/>
        <v/>
      </c>
      <c r="U2110" s="37" t="str">
        <f t="shared" si="232"/>
        <v/>
      </c>
    </row>
    <row r="2111" spans="2:21" ht="17.25">
      <c r="B2111" s="156"/>
      <c r="C2111" s="156"/>
      <c r="D2111" s="157"/>
      <c r="E2111" s="155"/>
      <c r="F2111" s="151"/>
      <c r="G2111" s="152"/>
      <c r="H2111" s="153"/>
      <c r="I2111" s="154"/>
      <c r="J2111" s="154"/>
      <c r="K2111" s="30" t="str">
        <f>IF(H2111="","",IF($C$30="간이법","",FPR(H2111,I2111,J2111)))</f>
        <v/>
      </c>
      <c r="L2111" s="30" t="str">
        <f>IF(H2111="","",IF($C$30="상세법",FPV(H2111,K2111),IF(H2111="EI",4,IF(H2111="EO",5.2,IF(H2111="EQ",3.9,IF(H2111="ILF",7.5,IF(H2111="EIF",5.4)))))))</f>
        <v/>
      </c>
      <c r="M2111" s="30" t="str">
        <f t="shared" si="226"/>
        <v/>
      </c>
      <c r="N2111" s="134"/>
      <c r="O2111" s="29"/>
      <c r="P2111" s="37" t="str">
        <f t="shared" si="227"/>
        <v/>
      </c>
      <c r="Q2111" s="38" t="str">
        <f t="shared" si="228"/>
        <v/>
      </c>
      <c r="R2111" s="37" t="str">
        <f t="shared" si="229"/>
        <v/>
      </c>
      <c r="S2111" s="37" t="str">
        <f t="shared" si="230"/>
        <v/>
      </c>
      <c r="T2111" s="38" t="str">
        <f t="shared" si="231"/>
        <v/>
      </c>
      <c r="U2111" s="37" t="str">
        <f t="shared" si="232"/>
        <v/>
      </c>
    </row>
    <row r="2112" spans="2:21" ht="17.25">
      <c r="B2112" s="156"/>
      <c r="C2112" s="156"/>
      <c r="D2112" s="157"/>
      <c r="E2112" s="155"/>
      <c r="F2112" s="151"/>
      <c r="G2112" s="152"/>
      <c r="H2112" s="153"/>
      <c r="I2112" s="154"/>
      <c r="J2112" s="154"/>
      <c r="K2112" s="30" t="str">
        <f>IF(H2112="","",IF($C$30="간이법","",FPR(H2112,I2112,J2112)))</f>
        <v/>
      </c>
      <c r="L2112" s="30" t="str">
        <f>IF(H2112="","",IF($C$30="상세법",FPV(H2112,K2112),IF(H2112="EI",4,IF(H2112="EO",5.2,IF(H2112="EQ",3.9,IF(H2112="ILF",7.5,IF(H2112="EIF",5.4)))))))</f>
        <v/>
      </c>
      <c r="M2112" s="30" t="str">
        <f t="shared" si="226"/>
        <v/>
      </c>
      <c r="N2112" s="134"/>
      <c r="O2112" s="29"/>
      <c r="P2112" s="37" t="str">
        <f t="shared" si="227"/>
        <v/>
      </c>
      <c r="Q2112" s="38" t="str">
        <f t="shared" si="228"/>
        <v/>
      </c>
      <c r="R2112" s="37" t="str">
        <f t="shared" si="229"/>
        <v/>
      </c>
      <c r="S2112" s="37" t="str">
        <f t="shared" si="230"/>
        <v/>
      </c>
      <c r="T2112" s="38" t="str">
        <f t="shared" si="231"/>
        <v/>
      </c>
      <c r="U2112" s="37" t="str">
        <f t="shared" si="232"/>
        <v/>
      </c>
    </row>
    <row r="2113" spans="2:21" ht="17.25">
      <c r="B2113" s="156"/>
      <c r="C2113" s="156"/>
      <c r="D2113" s="157"/>
      <c r="E2113" s="155"/>
      <c r="F2113" s="151"/>
      <c r="G2113" s="152"/>
      <c r="H2113" s="153"/>
      <c r="I2113" s="154"/>
      <c r="J2113" s="154"/>
      <c r="K2113" s="30" t="str">
        <f>IF(H2113="","",IF($C$30="간이법","",FPR(H2113,I2113,J2113)))</f>
        <v/>
      </c>
      <c r="L2113" s="30" t="str">
        <f>IF(H2113="","",IF($C$30="상세법",FPV(H2113,K2113),IF(H2113="EI",4,IF(H2113="EO",5.2,IF(H2113="EQ",3.9,IF(H2113="ILF",7.5,IF(H2113="EIF",5.4)))))))</f>
        <v/>
      </c>
      <c r="M2113" s="30" t="str">
        <f t="shared" si="226"/>
        <v/>
      </c>
      <c r="N2113" s="134"/>
      <c r="O2113" s="29"/>
      <c r="P2113" s="37" t="str">
        <f t="shared" si="227"/>
        <v/>
      </c>
      <c r="Q2113" s="38" t="str">
        <f t="shared" si="228"/>
        <v/>
      </c>
      <c r="R2113" s="37" t="str">
        <f t="shared" si="229"/>
        <v/>
      </c>
      <c r="S2113" s="37" t="str">
        <f t="shared" si="230"/>
        <v/>
      </c>
      <c r="T2113" s="38" t="str">
        <f t="shared" si="231"/>
        <v/>
      </c>
      <c r="U2113" s="37" t="str">
        <f t="shared" si="232"/>
        <v/>
      </c>
    </row>
    <row r="2114" spans="2:21" ht="17.25">
      <c r="B2114" s="156"/>
      <c r="C2114" s="156"/>
      <c r="D2114" s="157"/>
      <c r="E2114" s="155"/>
      <c r="F2114" s="151"/>
      <c r="G2114" s="152"/>
      <c r="H2114" s="153"/>
      <c r="I2114" s="154"/>
      <c r="J2114" s="154"/>
      <c r="K2114" s="30" t="str">
        <f>IF(H2114="","",IF($C$30="간이법","",FPR(H2114,I2114,J2114)))</f>
        <v/>
      </c>
      <c r="L2114" s="30" t="str">
        <f>IF(H2114="","",IF($C$30="상세법",FPV(H2114,K2114),IF(H2114="EI",4,IF(H2114="EO",5.2,IF(H2114="EQ",3.9,IF(H2114="ILF",7.5,IF(H2114="EIF",5.4)))))))</f>
        <v/>
      </c>
      <c r="M2114" s="30" t="str">
        <f t="shared" si="226"/>
        <v/>
      </c>
      <c r="N2114" s="134"/>
      <c r="O2114" s="29"/>
      <c r="P2114" s="37" t="str">
        <f t="shared" si="227"/>
        <v/>
      </c>
      <c r="Q2114" s="38" t="str">
        <f t="shared" si="228"/>
        <v/>
      </c>
      <c r="R2114" s="37" t="str">
        <f t="shared" si="229"/>
        <v/>
      </c>
      <c r="S2114" s="37" t="str">
        <f t="shared" si="230"/>
        <v/>
      </c>
      <c r="T2114" s="38" t="str">
        <f t="shared" si="231"/>
        <v/>
      </c>
      <c r="U2114" s="37" t="str">
        <f t="shared" si="232"/>
        <v/>
      </c>
    </row>
    <row r="2115" spans="2:21" ht="17.25">
      <c r="B2115" s="156"/>
      <c r="C2115" s="156"/>
      <c r="D2115" s="157"/>
      <c r="E2115" s="155"/>
      <c r="F2115" s="151"/>
      <c r="G2115" s="152"/>
      <c r="H2115" s="153"/>
      <c r="I2115" s="154"/>
      <c r="J2115" s="154"/>
      <c r="K2115" s="30" t="str">
        <f>IF(H2115="","",IF($C$30="간이법","",FPR(H2115,I2115,J2115)))</f>
        <v/>
      </c>
      <c r="L2115" s="30" t="str">
        <f>IF(H2115="","",IF($C$30="상세법",FPV(H2115,K2115),IF(H2115="EI",4,IF(H2115="EO",5.2,IF(H2115="EQ",3.9,IF(H2115="ILF",7.5,IF(H2115="EIF",5.4)))))))</f>
        <v/>
      </c>
      <c r="M2115" s="30" t="str">
        <f t="shared" si="226"/>
        <v/>
      </c>
      <c r="N2115" s="134"/>
      <c r="O2115" s="29"/>
      <c r="P2115" s="37" t="str">
        <f t="shared" si="227"/>
        <v/>
      </c>
      <c r="Q2115" s="38" t="str">
        <f t="shared" si="228"/>
        <v/>
      </c>
      <c r="R2115" s="37" t="str">
        <f t="shared" si="229"/>
        <v/>
      </c>
      <c r="S2115" s="37" t="str">
        <f t="shared" si="230"/>
        <v/>
      </c>
      <c r="T2115" s="38" t="str">
        <f t="shared" si="231"/>
        <v/>
      </c>
      <c r="U2115" s="37" t="str">
        <f t="shared" si="232"/>
        <v/>
      </c>
    </row>
    <row r="2116" spans="2:21" ht="17.25">
      <c r="B2116" s="156"/>
      <c r="C2116" s="156"/>
      <c r="D2116" s="157"/>
      <c r="E2116" s="155"/>
      <c r="F2116" s="151"/>
      <c r="G2116" s="152"/>
      <c r="H2116" s="153"/>
      <c r="I2116" s="154"/>
      <c r="J2116" s="154"/>
      <c r="K2116" s="30" t="str">
        <f>IF(H2116="","",IF($C$30="간이법","",FPR(H2116,I2116,J2116)))</f>
        <v/>
      </c>
      <c r="L2116" s="30" t="str">
        <f>IF(H2116="","",IF($C$30="상세법",FPV(H2116,K2116),IF(H2116="EI",4,IF(H2116="EO",5.2,IF(H2116="EQ",3.9,IF(H2116="ILF",7.5,IF(H2116="EIF",5.4)))))))</f>
        <v/>
      </c>
      <c r="M2116" s="30" t="str">
        <f t="shared" si="226"/>
        <v/>
      </c>
      <c r="N2116" s="134"/>
      <c r="O2116" s="29"/>
      <c r="P2116" s="37" t="str">
        <f t="shared" si="227"/>
        <v/>
      </c>
      <c r="Q2116" s="38" t="str">
        <f t="shared" si="228"/>
        <v/>
      </c>
      <c r="R2116" s="37" t="str">
        <f t="shared" si="229"/>
        <v/>
      </c>
      <c r="S2116" s="37" t="str">
        <f t="shared" si="230"/>
        <v/>
      </c>
      <c r="T2116" s="38" t="str">
        <f t="shared" si="231"/>
        <v/>
      </c>
      <c r="U2116" s="37" t="str">
        <f t="shared" si="232"/>
        <v/>
      </c>
    </row>
    <row r="2117" spans="2:21" ht="17.25">
      <c r="B2117" s="156"/>
      <c r="C2117" s="156"/>
      <c r="D2117" s="157"/>
      <c r="E2117" s="155"/>
      <c r="F2117" s="151"/>
      <c r="G2117" s="152"/>
      <c r="H2117" s="153"/>
      <c r="I2117" s="154"/>
      <c r="J2117" s="154"/>
      <c r="K2117" s="30" t="str">
        <f>IF(H2117="","",IF($C$30="간이법","",FPR(H2117,I2117,J2117)))</f>
        <v/>
      </c>
      <c r="L2117" s="30" t="str">
        <f>IF(H2117="","",IF($C$30="상세법",FPV(H2117,K2117),IF(H2117="EI",4,IF(H2117="EO",5.2,IF(H2117="EQ",3.9,IF(H2117="ILF",7.5,IF(H2117="EIF",5.4)))))))</f>
        <v/>
      </c>
      <c r="M2117" s="30" t="str">
        <f t="shared" si="226"/>
        <v/>
      </c>
      <c r="N2117" s="134"/>
      <c r="O2117" s="29"/>
      <c r="P2117" s="37" t="str">
        <f t="shared" si="227"/>
        <v/>
      </c>
      <c r="Q2117" s="38" t="str">
        <f t="shared" si="228"/>
        <v/>
      </c>
      <c r="R2117" s="37" t="str">
        <f t="shared" si="229"/>
        <v/>
      </c>
      <c r="S2117" s="37" t="str">
        <f t="shared" si="230"/>
        <v/>
      </c>
      <c r="T2117" s="38" t="str">
        <f t="shared" si="231"/>
        <v/>
      </c>
      <c r="U2117" s="37" t="str">
        <f t="shared" si="232"/>
        <v/>
      </c>
    </row>
    <row r="2118" spans="2:21" ht="17.25">
      <c r="B2118" s="156"/>
      <c r="C2118" s="156"/>
      <c r="D2118" s="157"/>
      <c r="E2118" s="155"/>
      <c r="F2118" s="151"/>
      <c r="G2118" s="152"/>
      <c r="H2118" s="153"/>
      <c r="I2118" s="154"/>
      <c r="J2118" s="154"/>
      <c r="K2118" s="30" t="str">
        <f>IF(H2118="","",IF($C$30="간이법","",FPR(H2118,I2118,J2118)))</f>
        <v/>
      </c>
      <c r="L2118" s="30" t="str">
        <f>IF(H2118="","",IF($C$30="상세법",FPV(H2118,K2118),IF(H2118="EI",4,IF(H2118="EO",5.2,IF(H2118="EQ",3.9,IF(H2118="ILF",7.5,IF(H2118="EIF",5.4)))))))</f>
        <v/>
      </c>
      <c r="M2118" s="30" t="str">
        <f t="shared" si="226"/>
        <v/>
      </c>
      <c r="N2118" s="134"/>
      <c r="O2118" s="29"/>
      <c r="P2118" s="37" t="str">
        <f t="shared" si="227"/>
        <v/>
      </c>
      <c r="Q2118" s="38" t="str">
        <f t="shared" si="228"/>
        <v/>
      </c>
      <c r="R2118" s="37" t="str">
        <f t="shared" si="229"/>
        <v/>
      </c>
      <c r="S2118" s="37" t="str">
        <f t="shared" si="230"/>
        <v/>
      </c>
      <c r="T2118" s="38" t="str">
        <f t="shared" si="231"/>
        <v/>
      </c>
      <c r="U2118" s="37" t="str">
        <f t="shared" si="232"/>
        <v/>
      </c>
    </row>
    <row r="2119" spans="2:21" ht="17.25">
      <c r="B2119" s="156"/>
      <c r="C2119" s="156"/>
      <c r="D2119" s="157"/>
      <c r="E2119" s="155"/>
      <c r="F2119" s="151"/>
      <c r="G2119" s="152"/>
      <c r="H2119" s="153"/>
      <c r="I2119" s="154"/>
      <c r="J2119" s="154"/>
      <c r="K2119" s="30" t="str">
        <f>IF(H2119="","",IF($C$30="간이법","",FPR(H2119,I2119,J2119)))</f>
        <v/>
      </c>
      <c r="L2119" s="30" t="str">
        <f>IF(H2119="","",IF($C$30="상세법",FPV(H2119,K2119),IF(H2119="EI",4,IF(H2119="EO",5.2,IF(H2119="EQ",3.9,IF(H2119="ILF",7.5,IF(H2119="EIF",5.4)))))))</f>
        <v/>
      </c>
      <c r="M2119" s="30" t="str">
        <f t="shared" si="226"/>
        <v/>
      </c>
      <c r="N2119" s="134"/>
      <c r="O2119" s="29"/>
      <c r="P2119" s="37" t="str">
        <f t="shared" si="227"/>
        <v/>
      </c>
      <c r="Q2119" s="38" t="str">
        <f t="shared" si="228"/>
        <v/>
      </c>
      <c r="R2119" s="37" t="str">
        <f t="shared" si="229"/>
        <v/>
      </c>
      <c r="S2119" s="37" t="str">
        <f t="shared" si="230"/>
        <v/>
      </c>
      <c r="T2119" s="38" t="str">
        <f t="shared" si="231"/>
        <v/>
      </c>
      <c r="U2119" s="37" t="str">
        <f t="shared" si="232"/>
        <v/>
      </c>
    </row>
    <row r="2120" spans="2:21" ht="17.25">
      <c r="B2120" s="156"/>
      <c r="C2120" s="156"/>
      <c r="D2120" s="157"/>
      <c r="E2120" s="155"/>
      <c r="F2120" s="151"/>
      <c r="G2120" s="152"/>
      <c r="H2120" s="153"/>
      <c r="I2120" s="154"/>
      <c r="J2120" s="154"/>
      <c r="K2120" s="30" t="str">
        <f>IF(H2120="","",IF($C$30="간이법","",FPR(H2120,I2120,J2120)))</f>
        <v/>
      </c>
      <c r="L2120" s="30" t="str">
        <f>IF(H2120="","",IF($C$30="상세법",FPV(H2120,K2120),IF(H2120="EI",4,IF(H2120="EO",5.2,IF(H2120="EQ",3.9,IF(H2120="ILF",7.5,IF(H2120="EIF",5.4)))))))</f>
        <v/>
      </c>
      <c r="M2120" s="30" t="str">
        <f t="shared" si="226"/>
        <v/>
      </c>
      <c r="N2120" s="134"/>
      <c r="O2120" s="29"/>
      <c r="P2120" s="37" t="str">
        <f t="shared" si="227"/>
        <v/>
      </c>
      <c r="Q2120" s="38" t="str">
        <f t="shared" si="228"/>
        <v/>
      </c>
      <c r="R2120" s="37" t="str">
        <f t="shared" si="229"/>
        <v/>
      </c>
      <c r="S2120" s="37" t="str">
        <f t="shared" si="230"/>
        <v/>
      </c>
      <c r="T2120" s="38" t="str">
        <f t="shared" si="231"/>
        <v/>
      </c>
      <c r="U2120" s="37" t="str">
        <f t="shared" si="232"/>
        <v/>
      </c>
    </row>
    <row r="2121" spans="2:21" ht="17.25">
      <c r="B2121" s="156"/>
      <c r="C2121" s="156"/>
      <c r="D2121" s="157"/>
      <c r="E2121" s="155"/>
      <c r="F2121" s="151"/>
      <c r="G2121" s="152"/>
      <c r="H2121" s="153"/>
      <c r="I2121" s="154"/>
      <c r="J2121" s="154"/>
      <c r="K2121" s="30" t="str">
        <f>IF(H2121="","",IF($C$30="간이법","",FPR(H2121,I2121,J2121)))</f>
        <v/>
      </c>
      <c r="L2121" s="30" t="str">
        <f>IF(H2121="","",IF($C$30="상세법",FPV(H2121,K2121),IF(H2121="EI",4,IF(H2121="EO",5.2,IF(H2121="EQ",3.9,IF(H2121="ILF",7.5,IF(H2121="EIF",5.4)))))))</f>
        <v/>
      </c>
      <c r="M2121" s="30" t="str">
        <f t="shared" si="226"/>
        <v/>
      </c>
      <c r="N2121" s="134"/>
      <c r="O2121" s="29"/>
      <c r="P2121" s="37" t="str">
        <f t="shared" si="227"/>
        <v/>
      </c>
      <c r="Q2121" s="38" t="str">
        <f t="shared" si="228"/>
        <v/>
      </c>
      <c r="R2121" s="37" t="str">
        <f t="shared" si="229"/>
        <v/>
      </c>
      <c r="S2121" s="37" t="str">
        <f t="shared" si="230"/>
        <v/>
      </c>
      <c r="T2121" s="38" t="str">
        <f t="shared" si="231"/>
        <v/>
      </c>
      <c r="U2121" s="37" t="str">
        <f t="shared" si="232"/>
        <v/>
      </c>
    </row>
    <row r="2122" spans="2:21" ht="17.25">
      <c r="B2122" s="156"/>
      <c r="C2122" s="156"/>
      <c r="D2122" s="157"/>
      <c r="E2122" s="155"/>
      <c r="F2122" s="151"/>
      <c r="G2122" s="152"/>
      <c r="H2122" s="153"/>
      <c r="I2122" s="154"/>
      <c r="J2122" s="154"/>
      <c r="K2122" s="30" t="str">
        <f>IF(H2122="","",IF($C$30="간이법","",FPR(H2122,I2122,J2122)))</f>
        <v/>
      </c>
      <c r="L2122" s="30" t="str">
        <f>IF(H2122="","",IF($C$30="상세법",FPV(H2122,K2122),IF(H2122="EI",4,IF(H2122="EO",5.2,IF(H2122="EQ",3.9,IF(H2122="ILF",7.5,IF(H2122="EIF",5.4)))))))</f>
        <v/>
      </c>
      <c r="M2122" s="30" t="str">
        <f t="shared" si="226"/>
        <v/>
      </c>
      <c r="N2122" s="134"/>
      <c r="O2122" s="29"/>
      <c r="P2122" s="37" t="str">
        <f t="shared" si="227"/>
        <v/>
      </c>
      <c r="Q2122" s="38" t="str">
        <f t="shared" si="228"/>
        <v/>
      </c>
      <c r="R2122" s="37" t="str">
        <f t="shared" si="229"/>
        <v/>
      </c>
      <c r="S2122" s="37" t="str">
        <f t="shared" si="230"/>
        <v/>
      </c>
      <c r="T2122" s="38" t="str">
        <f t="shared" si="231"/>
        <v/>
      </c>
      <c r="U2122" s="37" t="str">
        <f t="shared" si="232"/>
        <v/>
      </c>
    </row>
    <row r="2123" spans="2:21" ht="17.25">
      <c r="B2123" s="156"/>
      <c r="C2123" s="156"/>
      <c r="D2123" s="157"/>
      <c r="E2123" s="155"/>
      <c r="F2123" s="151"/>
      <c r="G2123" s="152"/>
      <c r="H2123" s="153"/>
      <c r="I2123" s="154"/>
      <c r="J2123" s="154"/>
      <c r="K2123" s="30" t="str">
        <f>IF(H2123="","",IF($C$30="간이법","",FPR(H2123,I2123,J2123)))</f>
        <v/>
      </c>
      <c r="L2123" s="30" t="str">
        <f>IF(H2123="","",IF($C$30="상세법",FPV(H2123,K2123),IF(H2123="EI",4,IF(H2123="EO",5.2,IF(H2123="EQ",3.9,IF(H2123="ILF",7.5,IF(H2123="EIF",5.4)))))))</f>
        <v/>
      </c>
      <c r="M2123" s="30" t="str">
        <f t="shared" si="226"/>
        <v/>
      </c>
      <c r="N2123" s="134"/>
      <c r="O2123" s="29"/>
      <c r="P2123" s="37" t="str">
        <f t="shared" si="227"/>
        <v/>
      </c>
      <c r="Q2123" s="38" t="str">
        <f t="shared" si="228"/>
        <v/>
      </c>
      <c r="R2123" s="37" t="str">
        <f t="shared" si="229"/>
        <v/>
      </c>
      <c r="S2123" s="37" t="str">
        <f t="shared" si="230"/>
        <v/>
      </c>
      <c r="T2123" s="38" t="str">
        <f t="shared" si="231"/>
        <v/>
      </c>
      <c r="U2123" s="37" t="str">
        <f t="shared" si="232"/>
        <v/>
      </c>
    </row>
    <row r="2124" spans="2:21" ht="17.25">
      <c r="B2124" s="156"/>
      <c r="C2124" s="156"/>
      <c r="D2124" s="157"/>
      <c r="E2124" s="155"/>
      <c r="F2124" s="151"/>
      <c r="G2124" s="152"/>
      <c r="H2124" s="153"/>
      <c r="I2124" s="154"/>
      <c r="J2124" s="154"/>
      <c r="K2124" s="30" t="str">
        <f>IF(H2124="","",IF($C$30="간이법","",FPR(H2124,I2124,J2124)))</f>
        <v/>
      </c>
      <c r="L2124" s="30" t="str">
        <f>IF(H2124="","",IF($C$30="상세법",FPV(H2124,K2124),IF(H2124="EI",4,IF(H2124="EO",5.2,IF(H2124="EQ",3.9,IF(H2124="ILF",7.5,IF(H2124="EIF",5.4)))))))</f>
        <v/>
      </c>
      <c r="M2124" s="30" t="str">
        <f t="shared" si="226"/>
        <v/>
      </c>
      <c r="N2124" s="134"/>
      <c r="O2124" s="29"/>
      <c r="P2124" s="37" t="str">
        <f t="shared" si="227"/>
        <v/>
      </c>
      <c r="Q2124" s="38" t="str">
        <f t="shared" si="228"/>
        <v/>
      </c>
      <c r="R2124" s="37" t="str">
        <f t="shared" si="229"/>
        <v/>
      </c>
      <c r="S2124" s="37" t="str">
        <f t="shared" si="230"/>
        <v/>
      </c>
      <c r="T2124" s="38" t="str">
        <f t="shared" si="231"/>
        <v/>
      </c>
      <c r="U2124" s="37" t="str">
        <f t="shared" si="232"/>
        <v/>
      </c>
    </row>
    <row r="2125" spans="2:21" ht="17.25">
      <c r="B2125" s="156"/>
      <c r="C2125" s="156"/>
      <c r="D2125" s="157"/>
      <c r="E2125" s="155"/>
      <c r="F2125" s="151"/>
      <c r="G2125" s="152"/>
      <c r="H2125" s="153"/>
      <c r="I2125" s="154"/>
      <c r="J2125" s="154"/>
      <c r="K2125" s="30" t="str">
        <f>IF(H2125="","",IF($C$30="간이법","",FPR(H2125,I2125,J2125)))</f>
        <v/>
      </c>
      <c r="L2125" s="30" t="str">
        <f>IF(H2125="","",IF($C$30="상세법",FPV(H2125,K2125),IF(H2125="EI",4,IF(H2125="EO",5.2,IF(H2125="EQ",3.9,IF(H2125="ILF",7.5,IF(H2125="EIF",5.4)))))))</f>
        <v/>
      </c>
      <c r="M2125" s="30" t="str">
        <f t="shared" si="226"/>
        <v/>
      </c>
      <c r="N2125" s="134"/>
      <c r="O2125" s="29"/>
      <c r="P2125" s="37" t="str">
        <f t="shared" si="227"/>
        <v/>
      </c>
      <c r="Q2125" s="38" t="str">
        <f t="shared" si="228"/>
        <v/>
      </c>
      <c r="R2125" s="37" t="str">
        <f t="shared" si="229"/>
        <v/>
      </c>
      <c r="S2125" s="37" t="str">
        <f t="shared" si="230"/>
        <v/>
      </c>
      <c r="T2125" s="38" t="str">
        <f t="shared" si="231"/>
        <v/>
      </c>
      <c r="U2125" s="37" t="str">
        <f t="shared" si="232"/>
        <v/>
      </c>
    </row>
    <row r="2126" spans="2:21" ht="17.25">
      <c r="B2126" s="156"/>
      <c r="C2126" s="156"/>
      <c r="D2126" s="157"/>
      <c r="E2126" s="155"/>
      <c r="F2126" s="151"/>
      <c r="G2126" s="152"/>
      <c r="H2126" s="153"/>
      <c r="I2126" s="154"/>
      <c r="J2126" s="154"/>
      <c r="K2126" s="30" t="str">
        <f>IF(H2126="","",IF($C$30="간이법","",FPR(H2126,I2126,J2126)))</f>
        <v/>
      </c>
      <c r="L2126" s="30" t="str">
        <f>IF(H2126="","",IF($C$30="상세법",FPV(H2126,K2126),IF(H2126="EI",4,IF(H2126="EO",5.2,IF(H2126="EQ",3.9,IF(H2126="ILF",7.5,IF(H2126="EIF",5.4)))))))</f>
        <v/>
      </c>
      <c r="M2126" s="30" t="str">
        <f t="shared" si="226"/>
        <v/>
      </c>
      <c r="N2126" s="134"/>
      <c r="O2126" s="29"/>
      <c r="P2126" s="37" t="str">
        <f t="shared" si="227"/>
        <v/>
      </c>
      <c r="Q2126" s="38" t="str">
        <f t="shared" si="228"/>
        <v/>
      </c>
      <c r="R2126" s="37" t="str">
        <f t="shared" si="229"/>
        <v/>
      </c>
      <c r="S2126" s="37" t="str">
        <f t="shared" si="230"/>
        <v/>
      </c>
      <c r="T2126" s="38" t="str">
        <f t="shared" si="231"/>
        <v/>
      </c>
      <c r="U2126" s="37" t="str">
        <f t="shared" si="232"/>
        <v/>
      </c>
    </row>
    <row r="2127" spans="2:21" ht="17.25">
      <c r="B2127" s="156"/>
      <c r="C2127" s="156"/>
      <c r="D2127" s="157"/>
      <c r="E2127" s="155"/>
      <c r="F2127" s="151"/>
      <c r="G2127" s="152"/>
      <c r="H2127" s="153"/>
      <c r="I2127" s="154"/>
      <c r="J2127" s="154"/>
      <c r="K2127" s="30" t="str">
        <f>IF(H2127="","",IF($C$30="간이법","",FPR(H2127,I2127,J2127)))</f>
        <v/>
      </c>
      <c r="L2127" s="30" t="str">
        <f>IF(H2127="","",IF($C$30="상세법",FPV(H2127,K2127),IF(H2127="EI",4,IF(H2127="EO",5.2,IF(H2127="EQ",3.9,IF(H2127="ILF",7.5,IF(H2127="EIF",5.4)))))))</f>
        <v/>
      </c>
      <c r="M2127" s="30" t="str">
        <f t="shared" si="226"/>
        <v/>
      </c>
      <c r="N2127" s="134"/>
      <c r="O2127" s="29"/>
      <c r="P2127" s="37" t="str">
        <f t="shared" si="227"/>
        <v/>
      </c>
      <c r="Q2127" s="38" t="str">
        <f t="shared" si="228"/>
        <v/>
      </c>
      <c r="R2127" s="37" t="str">
        <f t="shared" si="229"/>
        <v/>
      </c>
      <c r="S2127" s="37" t="str">
        <f t="shared" si="230"/>
        <v/>
      </c>
      <c r="T2127" s="38" t="str">
        <f t="shared" si="231"/>
        <v/>
      </c>
      <c r="U2127" s="37" t="str">
        <f t="shared" si="232"/>
        <v/>
      </c>
    </row>
    <row r="2128" spans="2:21" ht="17.25">
      <c r="B2128" s="156"/>
      <c r="C2128" s="156"/>
      <c r="D2128" s="157"/>
      <c r="E2128" s="155"/>
      <c r="F2128" s="151"/>
      <c r="G2128" s="152"/>
      <c r="H2128" s="153"/>
      <c r="I2128" s="154"/>
      <c r="J2128" s="154"/>
      <c r="K2128" s="30" t="str">
        <f>IF(H2128="","",IF($C$30="간이법","",FPR(H2128,I2128,J2128)))</f>
        <v/>
      </c>
      <c r="L2128" s="30" t="str">
        <f>IF(H2128="","",IF($C$30="상세법",FPV(H2128,K2128),IF(H2128="EI",4,IF(H2128="EO",5.2,IF(H2128="EQ",3.9,IF(H2128="ILF",7.5,IF(H2128="EIF",5.4)))))))</f>
        <v/>
      </c>
      <c r="M2128" s="30" t="str">
        <f t="shared" si="226"/>
        <v/>
      </c>
      <c r="N2128" s="134"/>
      <c r="O2128" s="29"/>
      <c r="P2128" s="37" t="str">
        <f t="shared" si="227"/>
        <v/>
      </c>
      <c r="Q2128" s="38" t="str">
        <f t="shared" si="228"/>
        <v/>
      </c>
      <c r="R2128" s="37" t="str">
        <f t="shared" si="229"/>
        <v/>
      </c>
      <c r="S2128" s="37" t="str">
        <f t="shared" si="230"/>
        <v/>
      </c>
      <c r="T2128" s="38" t="str">
        <f t="shared" si="231"/>
        <v/>
      </c>
      <c r="U2128" s="37" t="str">
        <f t="shared" si="232"/>
        <v/>
      </c>
    </row>
    <row r="2129" spans="2:21" ht="17.25">
      <c r="B2129" s="156"/>
      <c r="C2129" s="156"/>
      <c r="D2129" s="157"/>
      <c r="E2129" s="155"/>
      <c r="F2129" s="151"/>
      <c r="G2129" s="152"/>
      <c r="H2129" s="153"/>
      <c r="I2129" s="154"/>
      <c r="J2129" s="154"/>
      <c r="K2129" s="30" t="str">
        <f>IF(H2129="","",IF($C$30="간이법","",FPR(H2129,I2129,J2129)))</f>
        <v/>
      </c>
      <c r="L2129" s="30" t="str">
        <f>IF(H2129="","",IF($C$30="상세법",FPV(H2129,K2129),IF(H2129="EI",4,IF(H2129="EO",5.2,IF(H2129="EQ",3.9,IF(H2129="ILF",7.5,IF(H2129="EIF",5.4)))))))</f>
        <v/>
      </c>
      <c r="M2129" s="30" t="str">
        <f t="shared" si="226"/>
        <v/>
      </c>
      <c r="N2129" s="134"/>
      <c r="O2129" s="29"/>
      <c r="P2129" s="37" t="str">
        <f t="shared" si="227"/>
        <v/>
      </c>
      <c r="Q2129" s="38" t="str">
        <f t="shared" si="228"/>
        <v/>
      </c>
      <c r="R2129" s="37" t="str">
        <f t="shared" si="229"/>
        <v/>
      </c>
      <c r="S2129" s="37" t="str">
        <f t="shared" si="230"/>
        <v/>
      </c>
      <c r="T2129" s="38" t="str">
        <f t="shared" si="231"/>
        <v/>
      </c>
      <c r="U2129" s="37" t="str">
        <f t="shared" si="232"/>
        <v/>
      </c>
    </row>
    <row r="2130" spans="2:21" ht="17.25">
      <c r="B2130" s="156"/>
      <c r="C2130" s="156"/>
      <c r="D2130" s="157"/>
      <c r="E2130" s="155"/>
      <c r="F2130" s="151"/>
      <c r="G2130" s="152"/>
      <c r="H2130" s="153"/>
      <c r="I2130" s="154"/>
      <c r="J2130" s="154"/>
      <c r="K2130" s="30" t="str">
        <f>IF(H2130="","",IF($C$30="간이법","",FPR(H2130,I2130,J2130)))</f>
        <v/>
      </c>
      <c r="L2130" s="30" t="str">
        <f>IF(H2130="","",IF($C$30="상세법",FPV(H2130,K2130),IF(H2130="EI",4,IF(H2130="EO",5.2,IF(H2130="EQ",3.9,IF(H2130="ILF",7.5,IF(H2130="EIF",5.4)))))))</f>
        <v/>
      </c>
      <c r="M2130" s="30" t="str">
        <f t="shared" si="226"/>
        <v/>
      </c>
      <c r="N2130" s="134"/>
      <c r="O2130" s="29"/>
      <c r="P2130" s="37" t="str">
        <f t="shared" si="227"/>
        <v/>
      </c>
      <c r="Q2130" s="38" t="str">
        <f t="shared" si="228"/>
        <v/>
      </c>
      <c r="R2130" s="37" t="str">
        <f t="shared" si="229"/>
        <v/>
      </c>
      <c r="S2130" s="37" t="str">
        <f t="shared" si="230"/>
        <v/>
      </c>
      <c r="T2130" s="38" t="str">
        <f t="shared" si="231"/>
        <v/>
      </c>
      <c r="U2130" s="37" t="str">
        <f t="shared" si="232"/>
        <v/>
      </c>
    </row>
    <row r="2131" spans="2:21" ht="17.25">
      <c r="B2131" s="156"/>
      <c r="C2131" s="156"/>
      <c r="D2131" s="157"/>
      <c r="E2131" s="155"/>
      <c r="F2131" s="151"/>
      <c r="G2131" s="152"/>
      <c r="H2131" s="153"/>
      <c r="I2131" s="154"/>
      <c r="J2131" s="154"/>
      <c r="K2131" s="30" t="str">
        <f>IF(H2131="","",IF($C$30="간이법","",FPR(H2131,I2131,J2131)))</f>
        <v/>
      </c>
      <c r="L2131" s="30" t="str">
        <f>IF(H2131="","",IF($C$30="상세법",FPV(H2131,K2131),IF(H2131="EI",4,IF(H2131="EO",5.2,IF(H2131="EQ",3.9,IF(H2131="ILF",7.5,IF(H2131="EIF",5.4)))))))</f>
        <v/>
      </c>
      <c r="M2131" s="30" t="str">
        <f t="shared" si="226"/>
        <v/>
      </c>
      <c r="N2131" s="134"/>
      <c r="O2131" s="29"/>
      <c r="P2131" s="37" t="str">
        <f t="shared" si="227"/>
        <v/>
      </c>
      <c r="Q2131" s="38" t="str">
        <f t="shared" si="228"/>
        <v/>
      </c>
      <c r="R2131" s="37" t="str">
        <f t="shared" si="229"/>
        <v/>
      </c>
      <c r="S2131" s="37" t="str">
        <f t="shared" si="230"/>
        <v/>
      </c>
      <c r="T2131" s="38" t="str">
        <f t="shared" si="231"/>
        <v/>
      </c>
      <c r="U2131" s="37" t="str">
        <f t="shared" si="232"/>
        <v/>
      </c>
    </row>
    <row r="2132" spans="2:21" ht="17.25">
      <c r="B2132" s="156"/>
      <c r="C2132" s="156"/>
      <c r="D2132" s="157"/>
      <c r="E2132" s="155"/>
      <c r="F2132" s="151"/>
      <c r="G2132" s="152"/>
      <c r="H2132" s="153"/>
      <c r="I2132" s="154"/>
      <c r="J2132" s="154"/>
      <c r="K2132" s="30" t="str">
        <f>IF(H2132="","",IF($C$30="간이법","",FPR(H2132,I2132,J2132)))</f>
        <v/>
      </c>
      <c r="L2132" s="30" t="str">
        <f>IF(H2132="","",IF($C$30="상세법",FPV(H2132,K2132),IF(H2132="EI",4,IF(H2132="EO",5.2,IF(H2132="EQ",3.9,IF(H2132="ILF",7.5,IF(H2132="EIF",5.4)))))))</f>
        <v/>
      </c>
      <c r="M2132" s="30" t="str">
        <f t="shared" si="226"/>
        <v/>
      </c>
      <c r="N2132" s="134"/>
      <c r="O2132" s="29"/>
      <c r="P2132" s="37" t="str">
        <f t="shared" si="227"/>
        <v/>
      </c>
      <c r="Q2132" s="38" t="str">
        <f t="shared" si="228"/>
        <v/>
      </c>
      <c r="R2132" s="37" t="str">
        <f t="shared" si="229"/>
        <v/>
      </c>
      <c r="S2132" s="37" t="str">
        <f t="shared" si="230"/>
        <v/>
      </c>
      <c r="T2132" s="38" t="str">
        <f t="shared" si="231"/>
        <v/>
      </c>
      <c r="U2132" s="37" t="str">
        <f t="shared" si="232"/>
        <v/>
      </c>
    </row>
    <row r="2133" spans="2:21" ht="17.25">
      <c r="B2133" s="156"/>
      <c r="C2133" s="156"/>
      <c r="D2133" s="157"/>
      <c r="E2133" s="155"/>
      <c r="F2133" s="151"/>
      <c r="G2133" s="152"/>
      <c r="H2133" s="153"/>
      <c r="I2133" s="154"/>
      <c r="J2133" s="154"/>
      <c r="K2133" s="30" t="str">
        <f>IF(H2133="","",IF($C$30="간이법","",FPR(H2133,I2133,J2133)))</f>
        <v/>
      </c>
      <c r="L2133" s="30" t="str">
        <f>IF(H2133="","",IF($C$30="상세법",FPV(H2133,K2133),IF(H2133="EI",4,IF(H2133="EO",5.2,IF(H2133="EQ",3.9,IF(H2133="ILF",7.5,IF(H2133="EIF",5.4)))))))</f>
        <v/>
      </c>
      <c r="M2133" s="30" t="str">
        <f t="shared" si="226"/>
        <v/>
      </c>
      <c r="N2133" s="134"/>
      <c r="O2133" s="29"/>
      <c r="P2133" s="37" t="str">
        <f t="shared" si="227"/>
        <v/>
      </c>
      <c r="Q2133" s="38" t="str">
        <f t="shared" si="228"/>
        <v/>
      </c>
      <c r="R2133" s="37" t="str">
        <f t="shared" si="229"/>
        <v/>
      </c>
      <c r="S2133" s="37" t="str">
        <f t="shared" si="230"/>
        <v/>
      </c>
      <c r="T2133" s="38" t="str">
        <f t="shared" si="231"/>
        <v/>
      </c>
      <c r="U2133" s="37" t="str">
        <f t="shared" si="232"/>
        <v/>
      </c>
    </row>
    <row r="2134" spans="2:21" ht="17.25">
      <c r="B2134" s="156"/>
      <c r="C2134" s="156"/>
      <c r="D2134" s="157"/>
      <c r="E2134" s="155"/>
      <c r="F2134" s="151"/>
      <c r="G2134" s="152"/>
      <c r="H2134" s="153"/>
      <c r="I2134" s="154"/>
      <c r="J2134" s="154"/>
      <c r="K2134" s="30" t="str">
        <f>IF(H2134="","",IF($C$30="간이법","",FPR(H2134,I2134,J2134)))</f>
        <v/>
      </c>
      <c r="L2134" s="30" t="str">
        <f>IF(H2134="","",IF($C$30="상세법",FPV(H2134,K2134),IF(H2134="EI",4,IF(H2134="EO",5.2,IF(H2134="EQ",3.9,IF(H2134="ILF",7.5,IF(H2134="EIF",5.4)))))))</f>
        <v/>
      </c>
      <c r="M2134" s="30" t="str">
        <f t="shared" si="226"/>
        <v/>
      </c>
      <c r="N2134" s="134"/>
      <c r="O2134" s="29"/>
      <c r="P2134" s="37" t="str">
        <f t="shared" si="227"/>
        <v/>
      </c>
      <c r="Q2134" s="38" t="str">
        <f t="shared" si="228"/>
        <v/>
      </c>
      <c r="R2134" s="37" t="str">
        <f t="shared" si="229"/>
        <v/>
      </c>
      <c r="S2134" s="37" t="str">
        <f t="shared" si="230"/>
        <v/>
      </c>
      <c r="T2134" s="38" t="str">
        <f t="shared" si="231"/>
        <v/>
      </c>
      <c r="U2134" s="37" t="str">
        <f t="shared" si="232"/>
        <v/>
      </c>
    </row>
    <row r="2135" spans="2:21" ht="17.25">
      <c r="B2135" s="156"/>
      <c r="C2135" s="156"/>
      <c r="D2135" s="157"/>
      <c r="E2135" s="155"/>
      <c r="F2135" s="151"/>
      <c r="G2135" s="152"/>
      <c r="H2135" s="153"/>
      <c r="I2135" s="154"/>
      <c r="J2135" s="154"/>
      <c r="K2135" s="30" t="str">
        <f>IF(H2135="","",IF($C$30="간이법","",FPR(H2135,I2135,J2135)))</f>
        <v/>
      </c>
      <c r="L2135" s="30" t="str">
        <f>IF(H2135="","",IF($C$30="상세법",FPV(H2135,K2135),IF(H2135="EI",4,IF(H2135="EO",5.2,IF(H2135="EQ",3.9,IF(H2135="ILF",7.5,IF(H2135="EIF",5.4)))))))</f>
        <v/>
      </c>
      <c r="M2135" s="30" t="str">
        <f t="shared" si="226"/>
        <v/>
      </c>
      <c r="N2135" s="134"/>
      <c r="O2135" s="29"/>
      <c r="P2135" s="37" t="str">
        <f t="shared" si="227"/>
        <v/>
      </c>
      <c r="Q2135" s="38" t="str">
        <f t="shared" si="228"/>
        <v/>
      </c>
      <c r="R2135" s="37" t="str">
        <f t="shared" si="229"/>
        <v/>
      </c>
      <c r="S2135" s="37" t="str">
        <f t="shared" si="230"/>
        <v/>
      </c>
      <c r="T2135" s="38" t="str">
        <f t="shared" si="231"/>
        <v/>
      </c>
      <c r="U2135" s="37" t="str">
        <f t="shared" si="232"/>
        <v/>
      </c>
    </row>
    <row r="2136" spans="2:21" ht="17.25">
      <c r="B2136" s="156"/>
      <c r="C2136" s="156"/>
      <c r="D2136" s="157"/>
      <c r="E2136" s="155"/>
      <c r="F2136" s="151"/>
      <c r="G2136" s="152"/>
      <c r="H2136" s="153"/>
      <c r="I2136" s="154"/>
      <c r="J2136" s="154"/>
      <c r="K2136" s="30" t="str">
        <f>IF(H2136="","",IF($C$30="간이법","",FPR(H2136,I2136,J2136)))</f>
        <v/>
      </c>
      <c r="L2136" s="30" t="str">
        <f>IF(H2136="","",IF($C$30="상세법",FPV(H2136,K2136),IF(H2136="EI",4,IF(H2136="EO",5.2,IF(H2136="EQ",3.9,IF(H2136="ILF",7.5,IF(H2136="EIF",5.4)))))))</f>
        <v/>
      </c>
      <c r="M2136" s="30" t="str">
        <f t="shared" si="226"/>
        <v/>
      </c>
      <c r="N2136" s="134"/>
      <c r="O2136" s="29"/>
      <c r="P2136" s="37" t="str">
        <f t="shared" si="227"/>
        <v/>
      </c>
      <c r="Q2136" s="38" t="str">
        <f t="shared" si="228"/>
        <v/>
      </c>
      <c r="R2136" s="37" t="str">
        <f t="shared" si="229"/>
        <v/>
      </c>
      <c r="S2136" s="37" t="str">
        <f t="shared" si="230"/>
        <v/>
      </c>
      <c r="T2136" s="38" t="str">
        <f t="shared" si="231"/>
        <v/>
      </c>
      <c r="U2136" s="37" t="str">
        <f t="shared" si="232"/>
        <v/>
      </c>
    </row>
    <row r="2137" spans="2:21" ht="17.25">
      <c r="B2137" s="156"/>
      <c r="C2137" s="156"/>
      <c r="D2137" s="157"/>
      <c r="E2137" s="155"/>
      <c r="F2137" s="151"/>
      <c r="G2137" s="152"/>
      <c r="H2137" s="153"/>
      <c r="I2137" s="154"/>
      <c r="J2137" s="154"/>
      <c r="K2137" s="30" t="str">
        <f>IF(H2137="","",IF($C$30="간이법","",FPR(H2137,I2137,J2137)))</f>
        <v/>
      </c>
      <c r="L2137" s="30" t="str">
        <f>IF(H2137="","",IF($C$30="상세법",FPV(H2137,K2137),IF(H2137="EI",4,IF(H2137="EO",5.2,IF(H2137="EQ",3.9,IF(H2137="ILF",7.5,IF(H2137="EIF",5.4)))))))</f>
        <v/>
      </c>
      <c r="M2137" s="30" t="str">
        <f t="shared" si="226"/>
        <v/>
      </c>
      <c r="N2137" s="134"/>
      <c r="O2137" s="29"/>
      <c r="P2137" s="37" t="str">
        <f t="shared" si="227"/>
        <v/>
      </c>
      <c r="Q2137" s="38" t="str">
        <f t="shared" si="228"/>
        <v/>
      </c>
      <c r="R2137" s="37" t="str">
        <f t="shared" si="229"/>
        <v/>
      </c>
      <c r="S2137" s="37" t="str">
        <f t="shared" si="230"/>
        <v/>
      </c>
      <c r="T2137" s="38" t="str">
        <f t="shared" si="231"/>
        <v/>
      </c>
      <c r="U2137" s="37" t="str">
        <f t="shared" si="232"/>
        <v/>
      </c>
    </row>
    <row r="2138" spans="2:21" ht="17.25">
      <c r="B2138" s="156"/>
      <c r="C2138" s="156"/>
      <c r="D2138" s="157"/>
      <c r="E2138" s="155"/>
      <c r="F2138" s="151"/>
      <c r="G2138" s="152"/>
      <c r="H2138" s="153"/>
      <c r="I2138" s="154"/>
      <c r="J2138" s="154"/>
      <c r="K2138" s="30" t="str">
        <f>IF(H2138="","",IF($C$30="간이법","",FPR(H2138,I2138,J2138)))</f>
        <v/>
      </c>
      <c r="L2138" s="30" t="str">
        <f>IF(H2138="","",IF($C$30="상세법",FPV(H2138,K2138),IF(H2138="EI",4,IF(H2138="EO",5.2,IF(H2138="EQ",3.9,IF(H2138="ILF",7.5,IF(H2138="EIF",5.4)))))))</f>
        <v/>
      </c>
      <c r="M2138" s="30" t="str">
        <f t="shared" si="226"/>
        <v/>
      </c>
      <c r="N2138" s="134"/>
      <c r="O2138" s="29"/>
      <c r="P2138" s="37" t="str">
        <f t="shared" si="227"/>
        <v/>
      </c>
      <c r="Q2138" s="38" t="str">
        <f t="shared" si="228"/>
        <v/>
      </c>
      <c r="R2138" s="37" t="str">
        <f t="shared" si="229"/>
        <v/>
      </c>
      <c r="S2138" s="37" t="str">
        <f t="shared" si="230"/>
        <v/>
      </c>
      <c r="T2138" s="38" t="str">
        <f t="shared" si="231"/>
        <v/>
      </c>
      <c r="U2138" s="37" t="str">
        <f t="shared" si="232"/>
        <v/>
      </c>
    </row>
    <row r="2139" spans="2:21" ht="17.25">
      <c r="B2139" s="156"/>
      <c r="C2139" s="156"/>
      <c r="D2139" s="157"/>
      <c r="E2139" s="155"/>
      <c r="F2139" s="151"/>
      <c r="G2139" s="152"/>
      <c r="H2139" s="153"/>
      <c r="I2139" s="154"/>
      <c r="J2139" s="154"/>
      <c r="K2139" s="30" t="str">
        <f>IF(H2139="","",IF($C$30="간이법","",FPR(H2139,I2139,J2139)))</f>
        <v/>
      </c>
      <c r="L2139" s="30" t="str">
        <f>IF(H2139="","",IF($C$30="상세법",FPV(H2139,K2139),IF(H2139="EI",4,IF(H2139="EO",5.2,IF(H2139="EQ",3.9,IF(H2139="ILF",7.5,IF(H2139="EIF",5.4)))))))</f>
        <v/>
      </c>
      <c r="M2139" s="30" t="str">
        <f t="shared" si="226"/>
        <v/>
      </c>
      <c r="N2139" s="134"/>
      <c r="O2139" s="29"/>
      <c r="P2139" s="37" t="str">
        <f t="shared" si="227"/>
        <v/>
      </c>
      <c r="Q2139" s="38" t="str">
        <f t="shared" si="228"/>
        <v/>
      </c>
      <c r="R2139" s="37" t="str">
        <f t="shared" si="229"/>
        <v/>
      </c>
      <c r="S2139" s="37" t="str">
        <f t="shared" si="230"/>
        <v/>
      </c>
      <c r="T2139" s="38" t="str">
        <f t="shared" si="231"/>
        <v/>
      </c>
      <c r="U2139" s="37" t="str">
        <f t="shared" si="232"/>
        <v/>
      </c>
    </row>
    <row r="2140" spans="2:21" ht="17.25">
      <c r="B2140" s="156"/>
      <c r="C2140" s="156"/>
      <c r="D2140" s="157"/>
      <c r="E2140" s="155"/>
      <c r="F2140" s="151"/>
      <c r="G2140" s="152"/>
      <c r="H2140" s="153"/>
      <c r="I2140" s="154"/>
      <c r="J2140" s="154"/>
      <c r="K2140" s="30" t="str">
        <f>IF(H2140="","",IF($C$30="간이법","",FPR(H2140,I2140,J2140)))</f>
        <v/>
      </c>
      <c r="L2140" s="30" t="str">
        <f>IF(H2140="","",IF($C$30="상세법",FPV(H2140,K2140),IF(H2140="EI",4,IF(H2140="EO",5.2,IF(H2140="EQ",3.9,IF(H2140="ILF",7.5,IF(H2140="EIF",5.4)))))))</f>
        <v/>
      </c>
      <c r="M2140" s="30" t="str">
        <f t="shared" si="226"/>
        <v/>
      </c>
      <c r="N2140" s="134"/>
      <c r="O2140" s="29"/>
      <c r="P2140" s="37" t="str">
        <f t="shared" si="227"/>
        <v/>
      </c>
      <c r="Q2140" s="38" t="str">
        <f t="shared" si="228"/>
        <v/>
      </c>
      <c r="R2140" s="37" t="str">
        <f t="shared" si="229"/>
        <v/>
      </c>
      <c r="S2140" s="37" t="str">
        <f t="shared" si="230"/>
        <v/>
      </c>
      <c r="T2140" s="38" t="str">
        <f t="shared" si="231"/>
        <v/>
      </c>
      <c r="U2140" s="37" t="str">
        <f t="shared" si="232"/>
        <v/>
      </c>
    </row>
    <row r="2141" spans="2:21" ht="17.25">
      <c r="B2141" s="156"/>
      <c r="C2141" s="156"/>
      <c r="D2141" s="157"/>
      <c r="E2141" s="155"/>
      <c r="F2141" s="151"/>
      <c r="G2141" s="152"/>
      <c r="H2141" s="153"/>
      <c r="I2141" s="154"/>
      <c r="J2141" s="154"/>
      <c r="K2141" s="30" t="str">
        <f>IF(H2141="","",IF($C$30="간이법","",FPR(H2141,I2141,J2141)))</f>
        <v/>
      </c>
      <c r="L2141" s="30" t="str">
        <f>IF(H2141="","",IF($C$30="상세법",FPV(H2141,K2141),IF(H2141="EI",4,IF(H2141="EO",5.2,IF(H2141="EQ",3.9,IF(H2141="ILF",7.5,IF(H2141="EIF",5.4)))))))</f>
        <v/>
      </c>
      <c r="M2141" s="30" t="str">
        <f t="shared" si="226"/>
        <v/>
      </c>
      <c r="N2141" s="134"/>
      <c r="O2141" s="29"/>
      <c r="P2141" s="37" t="str">
        <f t="shared" si="227"/>
        <v/>
      </c>
      <c r="Q2141" s="38" t="str">
        <f t="shared" si="228"/>
        <v/>
      </c>
      <c r="R2141" s="37" t="str">
        <f t="shared" si="229"/>
        <v/>
      </c>
      <c r="S2141" s="37" t="str">
        <f t="shared" si="230"/>
        <v/>
      </c>
      <c r="T2141" s="38" t="str">
        <f t="shared" si="231"/>
        <v/>
      </c>
      <c r="U2141" s="37" t="str">
        <f t="shared" si="232"/>
        <v/>
      </c>
    </row>
    <row r="2142" spans="2:21" ht="17.25">
      <c r="B2142" s="156"/>
      <c r="C2142" s="156"/>
      <c r="D2142" s="157"/>
      <c r="E2142" s="155"/>
      <c r="F2142" s="151"/>
      <c r="G2142" s="152"/>
      <c r="H2142" s="153"/>
      <c r="I2142" s="154"/>
      <c r="J2142" s="154"/>
      <c r="K2142" s="30" t="str">
        <f>IF(H2142="","",IF($C$30="간이법","",FPR(H2142,I2142,J2142)))</f>
        <v/>
      </c>
      <c r="L2142" s="30" t="str">
        <f>IF(H2142="","",IF($C$30="상세법",FPV(H2142,K2142),IF(H2142="EI",4,IF(H2142="EO",5.2,IF(H2142="EQ",3.9,IF(H2142="ILF",7.5,IF(H2142="EIF",5.4)))))))</f>
        <v/>
      </c>
      <c r="M2142" s="30" t="str">
        <f t="shared" si="226"/>
        <v/>
      </c>
      <c r="N2142" s="134"/>
      <c r="O2142" s="29"/>
      <c r="P2142" s="37" t="str">
        <f t="shared" si="227"/>
        <v/>
      </c>
      <c r="Q2142" s="38" t="str">
        <f t="shared" si="228"/>
        <v/>
      </c>
      <c r="R2142" s="37" t="str">
        <f t="shared" si="229"/>
        <v/>
      </c>
      <c r="S2142" s="37" t="str">
        <f t="shared" si="230"/>
        <v/>
      </c>
      <c r="T2142" s="38" t="str">
        <f t="shared" si="231"/>
        <v/>
      </c>
      <c r="U2142" s="37" t="str">
        <f t="shared" si="232"/>
        <v/>
      </c>
    </row>
    <row r="2143" spans="2:21" ht="17.25">
      <c r="B2143" s="156"/>
      <c r="C2143" s="156"/>
      <c r="D2143" s="157"/>
      <c r="E2143" s="155"/>
      <c r="F2143" s="151"/>
      <c r="G2143" s="152"/>
      <c r="H2143" s="153"/>
      <c r="I2143" s="154"/>
      <c r="J2143" s="154"/>
      <c r="K2143" s="30" t="str">
        <f>IF(H2143="","",IF($C$30="간이법","",FPR(H2143,I2143,J2143)))</f>
        <v/>
      </c>
      <c r="L2143" s="30" t="str">
        <f>IF(H2143="","",IF($C$30="상세법",FPV(H2143,K2143),IF(H2143="EI",4,IF(H2143="EO",5.2,IF(H2143="EQ",3.9,IF(H2143="ILF",7.5,IF(H2143="EIF",5.4)))))))</f>
        <v/>
      </c>
      <c r="M2143" s="30" t="str">
        <f t="shared" si="226"/>
        <v/>
      </c>
      <c r="N2143" s="134"/>
      <c r="O2143" s="29"/>
      <c r="P2143" s="37" t="str">
        <f t="shared" si="227"/>
        <v/>
      </c>
      <c r="Q2143" s="38" t="str">
        <f t="shared" si="228"/>
        <v/>
      </c>
      <c r="R2143" s="37" t="str">
        <f t="shared" si="229"/>
        <v/>
      </c>
      <c r="S2143" s="37" t="str">
        <f t="shared" si="230"/>
        <v/>
      </c>
      <c r="T2143" s="38" t="str">
        <f t="shared" si="231"/>
        <v/>
      </c>
      <c r="U2143" s="37" t="str">
        <f t="shared" si="232"/>
        <v/>
      </c>
    </row>
    <row r="2144" spans="2:21" ht="17.25">
      <c r="B2144" s="156"/>
      <c r="C2144" s="156"/>
      <c r="D2144" s="157"/>
      <c r="E2144" s="155"/>
      <c r="F2144" s="151"/>
      <c r="G2144" s="152"/>
      <c r="H2144" s="153"/>
      <c r="I2144" s="154"/>
      <c r="J2144" s="154"/>
      <c r="K2144" s="30" t="str">
        <f>IF(H2144="","",IF($C$30="간이법","",FPR(H2144,I2144,J2144)))</f>
        <v/>
      </c>
      <c r="L2144" s="30" t="str">
        <f>IF(H2144="","",IF($C$30="상세법",FPV(H2144,K2144),IF(H2144="EI",4,IF(H2144="EO",5.2,IF(H2144="EQ",3.9,IF(H2144="ILF",7.5,IF(H2144="EIF",5.4)))))))</f>
        <v/>
      </c>
      <c r="M2144" s="30" t="str">
        <f t="shared" si="226"/>
        <v/>
      </c>
      <c r="N2144" s="134"/>
      <c r="O2144" s="29"/>
      <c r="P2144" s="37" t="str">
        <f t="shared" si="227"/>
        <v/>
      </c>
      <c r="Q2144" s="38" t="str">
        <f t="shared" si="228"/>
        <v/>
      </c>
      <c r="R2144" s="37" t="str">
        <f t="shared" si="229"/>
        <v/>
      </c>
      <c r="S2144" s="37" t="str">
        <f t="shared" si="230"/>
        <v/>
      </c>
      <c r="T2144" s="38" t="str">
        <f t="shared" si="231"/>
        <v/>
      </c>
      <c r="U2144" s="37" t="str">
        <f t="shared" si="232"/>
        <v/>
      </c>
    </row>
    <row r="2145" spans="2:21" ht="17.25">
      <c r="B2145" s="156"/>
      <c r="C2145" s="156"/>
      <c r="D2145" s="157"/>
      <c r="E2145" s="155"/>
      <c r="F2145" s="151"/>
      <c r="G2145" s="152"/>
      <c r="H2145" s="153"/>
      <c r="I2145" s="154"/>
      <c r="J2145" s="154"/>
      <c r="K2145" s="30" t="str">
        <f>IF(H2145="","",IF($C$30="간이법","",FPR(H2145,I2145,J2145)))</f>
        <v/>
      </c>
      <c r="L2145" s="30" t="str">
        <f>IF(H2145="","",IF($C$30="상세법",FPV(H2145,K2145),IF(H2145="EI",4,IF(H2145="EO",5.2,IF(H2145="EQ",3.9,IF(H2145="ILF",7.5,IF(H2145="EIF",5.4)))))))</f>
        <v/>
      </c>
      <c r="M2145" s="30" t="str">
        <f t="shared" si="226"/>
        <v/>
      </c>
      <c r="N2145" s="134"/>
      <c r="O2145" s="29"/>
      <c r="P2145" s="37" t="str">
        <f t="shared" si="227"/>
        <v/>
      </c>
      <c r="Q2145" s="38" t="str">
        <f t="shared" si="228"/>
        <v/>
      </c>
      <c r="R2145" s="37" t="str">
        <f t="shared" si="229"/>
        <v/>
      </c>
      <c r="S2145" s="37" t="str">
        <f t="shared" si="230"/>
        <v/>
      </c>
      <c r="T2145" s="38" t="str">
        <f t="shared" si="231"/>
        <v/>
      </c>
      <c r="U2145" s="37" t="str">
        <f t="shared" si="232"/>
        <v/>
      </c>
    </row>
    <row r="2146" spans="2:21" ht="17.25">
      <c r="B2146" s="156"/>
      <c r="C2146" s="156"/>
      <c r="D2146" s="157"/>
      <c r="E2146" s="155"/>
      <c r="F2146" s="151"/>
      <c r="G2146" s="152"/>
      <c r="H2146" s="153"/>
      <c r="I2146" s="154"/>
      <c r="J2146" s="154"/>
      <c r="K2146" s="30" t="str">
        <f>IF(H2146="","",IF($C$30="간이법","",FPR(H2146,I2146,J2146)))</f>
        <v/>
      </c>
      <c r="L2146" s="30" t="str">
        <f>IF(H2146="","",IF($C$30="상세법",FPV(H2146,K2146),IF(H2146="EI",4,IF(H2146="EO",5.2,IF(H2146="EQ",3.9,IF(H2146="ILF",7.5,IF(H2146="EIF",5.4)))))))</f>
        <v/>
      </c>
      <c r="M2146" s="30" t="str">
        <f t="shared" si="226"/>
        <v/>
      </c>
      <c r="N2146" s="134"/>
      <c r="O2146" s="29"/>
      <c r="P2146" s="37" t="str">
        <f t="shared" si="227"/>
        <v/>
      </c>
      <c r="Q2146" s="38" t="str">
        <f t="shared" si="228"/>
        <v/>
      </c>
      <c r="R2146" s="37" t="str">
        <f t="shared" si="229"/>
        <v/>
      </c>
      <c r="S2146" s="37" t="str">
        <f t="shared" si="230"/>
        <v/>
      </c>
      <c r="T2146" s="38" t="str">
        <f t="shared" si="231"/>
        <v/>
      </c>
      <c r="U2146" s="37" t="str">
        <f t="shared" si="232"/>
        <v/>
      </c>
    </row>
    <row r="2147" spans="2:21" ht="17.25">
      <c r="B2147" s="156"/>
      <c r="C2147" s="156"/>
      <c r="D2147" s="157"/>
      <c r="E2147" s="155"/>
      <c r="F2147" s="151"/>
      <c r="G2147" s="152"/>
      <c r="H2147" s="153"/>
      <c r="I2147" s="154"/>
      <c r="J2147" s="154"/>
      <c r="K2147" s="30" t="str">
        <f>IF(H2147="","",IF($C$30="간이법","",FPR(H2147,I2147,J2147)))</f>
        <v/>
      </c>
      <c r="L2147" s="30" t="str">
        <f>IF(H2147="","",IF($C$30="상세법",FPV(H2147,K2147),IF(H2147="EI",4,IF(H2147="EO",5.2,IF(H2147="EQ",3.9,IF(H2147="ILF",7.5,IF(H2147="EIF",5.4)))))))</f>
        <v/>
      </c>
      <c r="M2147" s="30" t="str">
        <f t="shared" si="226"/>
        <v/>
      </c>
      <c r="N2147" s="134"/>
      <c r="O2147" s="29"/>
      <c r="P2147" s="37" t="str">
        <f t="shared" si="227"/>
        <v/>
      </c>
      <c r="Q2147" s="38" t="str">
        <f t="shared" si="228"/>
        <v/>
      </c>
      <c r="R2147" s="37" t="str">
        <f t="shared" si="229"/>
        <v/>
      </c>
      <c r="S2147" s="37" t="str">
        <f t="shared" si="230"/>
        <v/>
      </c>
      <c r="T2147" s="38" t="str">
        <f t="shared" si="231"/>
        <v/>
      </c>
      <c r="U2147" s="37" t="str">
        <f t="shared" si="232"/>
        <v/>
      </c>
    </row>
    <row r="2148" spans="2:21" ht="17.25">
      <c r="B2148" s="156"/>
      <c r="C2148" s="156"/>
      <c r="D2148" s="157"/>
      <c r="E2148" s="155"/>
      <c r="F2148" s="151"/>
      <c r="G2148" s="152"/>
      <c r="H2148" s="153"/>
      <c r="I2148" s="154"/>
      <c r="J2148" s="154"/>
      <c r="K2148" s="30" t="str">
        <f>IF(H2148="","",IF($C$30="간이법","",FPR(H2148,I2148,J2148)))</f>
        <v/>
      </c>
      <c r="L2148" s="30" t="str">
        <f>IF(H2148="","",IF($C$30="상세법",FPV(H2148,K2148),IF(H2148="EI",4,IF(H2148="EO",5.2,IF(H2148="EQ",3.9,IF(H2148="ILF",7.5,IF(H2148="EIF",5.4)))))))</f>
        <v/>
      </c>
      <c r="M2148" s="30" t="str">
        <f t="shared" si="226"/>
        <v/>
      </c>
      <c r="N2148" s="134"/>
      <c r="O2148" s="29"/>
      <c r="P2148" s="37" t="str">
        <f t="shared" si="227"/>
        <v/>
      </c>
      <c r="Q2148" s="38" t="str">
        <f t="shared" si="228"/>
        <v/>
      </c>
      <c r="R2148" s="37" t="str">
        <f t="shared" si="229"/>
        <v/>
      </c>
      <c r="S2148" s="37" t="str">
        <f t="shared" si="230"/>
        <v/>
      </c>
      <c r="T2148" s="38" t="str">
        <f t="shared" si="231"/>
        <v/>
      </c>
      <c r="U2148" s="37" t="str">
        <f t="shared" si="232"/>
        <v/>
      </c>
    </row>
    <row r="2149" spans="2:21" ht="17.25">
      <c r="B2149" s="156"/>
      <c r="C2149" s="156"/>
      <c r="D2149" s="157"/>
      <c r="E2149" s="155"/>
      <c r="F2149" s="151"/>
      <c r="G2149" s="152"/>
      <c r="H2149" s="153"/>
      <c r="I2149" s="154"/>
      <c r="J2149" s="154"/>
      <c r="K2149" s="30" t="str">
        <f>IF(H2149="","",IF($C$30="간이법","",FPR(H2149,I2149,J2149)))</f>
        <v/>
      </c>
      <c r="L2149" s="30" t="str">
        <f>IF(H2149="","",IF($C$30="상세법",FPV(H2149,K2149),IF(H2149="EI",4,IF(H2149="EO",5.2,IF(H2149="EQ",3.9,IF(H2149="ILF",7.5,IF(H2149="EIF",5.4)))))))</f>
        <v/>
      </c>
      <c r="M2149" s="30" t="str">
        <f t="shared" si="226"/>
        <v/>
      </c>
      <c r="N2149" s="134"/>
      <c r="O2149" s="29"/>
      <c r="P2149" s="37" t="str">
        <f t="shared" si="227"/>
        <v/>
      </c>
      <c r="Q2149" s="38" t="str">
        <f t="shared" si="228"/>
        <v/>
      </c>
      <c r="R2149" s="37" t="str">
        <f t="shared" si="229"/>
        <v/>
      </c>
      <c r="S2149" s="37" t="str">
        <f t="shared" si="230"/>
        <v/>
      </c>
      <c r="T2149" s="38" t="str">
        <f t="shared" si="231"/>
        <v/>
      </c>
      <c r="U2149" s="37" t="str">
        <f t="shared" si="232"/>
        <v/>
      </c>
    </row>
    <row r="2150" spans="2:21" ht="17.25">
      <c r="B2150" s="156"/>
      <c r="C2150" s="156"/>
      <c r="D2150" s="157"/>
      <c r="E2150" s="155"/>
      <c r="F2150" s="151"/>
      <c r="G2150" s="152"/>
      <c r="H2150" s="153"/>
      <c r="I2150" s="154"/>
      <c r="J2150" s="154"/>
      <c r="K2150" s="30" t="str">
        <f>IF(H2150="","",IF($C$30="간이법","",FPR(H2150,I2150,J2150)))</f>
        <v/>
      </c>
      <c r="L2150" s="30" t="str">
        <f>IF(H2150="","",IF($C$30="상세법",FPV(H2150,K2150),IF(H2150="EI",4,IF(H2150="EO",5.2,IF(H2150="EQ",3.9,IF(H2150="ILF",7.5,IF(H2150="EIF",5.4)))))))</f>
        <v/>
      </c>
      <c r="M2150" s="30" t="str">
        <f t="shared" si="226"/>
        <v/>
      </c>
      <c r="N2150" s="134"/>
      <c r="O2150" s="29"/>
      <c r="P2150" s="37" t="str">
        <f t="shared" si="227"/>
        <v/>
      </c>
      <c r="Q2150" s="38" t="str">
        <f t="shared" si="228"/>
        <v/>
      </c>
      <c r="R2150" s="37" t="str">
        <f t="shared" si="229"/>
        <v/>
      </c>
      <c r="S2150" s="37" t="str">
        <f t="shared" si="230"/>
        <v/>
      </c>
      <c r="T2150" s="38" t="str">
        <f t="shared" si="231"/>
        <v/>
      </c>
      <c r="U2150" s="37" t="str">
        <f t="shared" si="232"/>
        <v/>
      </c>
    </row>
    <row r="2151" spans="2:21" ht="17.25">
      <c r="B2151" s="156"/>
      <c r="C2151" s="156"/>
      <c r="D2151" s="157"/>
      <c r="E2151" s="155"/>
      <c r="F2151" s="151"/>
      <c r="G2151" s="152"/>
      <c r="H2151" s="153"/>
      <c r="I2151" s="154"/>
      <c r="J2151" s="154"/>
      <c r="K2151" s="30" t="str">
        <f>IF(H2151="","",IF($C$30="간이법","",FPR(H2151,I2151,J2151)))</f>
        <v/>
      </c>
      <c r="L2151" s="30" t="str">
        <f>IF(H2151="","",IF($C$30="상세법",FPV(H2151,K2151),IF(H2151="EI",4,IF(H2151="EO",5.2,IF(H2151="EQ",3.9,IF(H2151="ILF",7.5,IF(H2151="EIF",5.4)))))))</f>
        <v/>
      </c>
      <c r="M2151" s="30" t="str">
        <f t="shared" si="226"/>
        <v/>
      </c>
      <c r="N2151" s="134"/>
      <c r="O2151" s="29"/>
      <c r="P2151" s="37" t="str">
        <f t="shared" si="227"/>
        <v/>
      </c>
      <c r="Q2151" s="38" t="str">
        <f t="shared" si="228"/>
        <v/>
      </c>
      <c r="R2151" s="37" t="str">
        <f t="shared" si="229"/>
        <v/>
      </c>
      <c r="S2151" s="37" t="str">
        <f t="shared" si="230"/>
        <v/>
      </c>
      <c r="T2151" s="38" t="str">
        <f t="shared" si="231"/>
        <v/>
      </c>
      <c r="U2151" s="37" t="str">
        <f t="shared" si="232"/>
        <v/>
      </c>
    </row>
    <row r="2152" spans="2:21" ht="17.25">
      <c r="B2152" s="156"/>
      <c r="C2152" s="156"/>
      <c r="D2152" s="157"/>
      <c r="E2152" s="155"/>
      <c r="F2152" s="151"/>
      <c r="G2152" s="152"/>
      <c r="H2152" s="153"/>
      <c r="I2152" s="154"/>
      <c r="J2152" s="154"/>
      <c r="K2152" s="30" t="str">
        <f>IF(H2152="","",IF($C$30="간이법","",FPR(H2152,I2152,J2152)))</f>
        <v/>
      </c>
      <c r="L2152" s="30" t="str">
        <f>IF(H2152="","",IF($C$30="상세법",FPV(H2152,K2152),IF(H2152="EI",4,IF(H2152="EO",5.2,IF(H2152="EQ",3.9,IF(H2152="ILF",7.5,IF(H2152="EIF",5.4)))))))</f>
        <v/>
      </c>
      <c r="M2152" s="30" t="str">
        <f t="shared" si="226"/>
        <v/>
      </c>
      <c r="N2152" s="134"/>
      <c r="O2152" s="29"/>
      <c r="P2152" s="37" t="str">
        <f t="shared" si="227"/>
        <v/>
      </c>
      <c r="Q2152" s="38" t="str">
        <f t="shared" si="228"/>
        <v/>
      </c>
      <c r="R2152" s="37" t="str">
        <f t="shared" si="229"/>
        <v/>
      </c>
      <c r="S2152" s="37" t="str">
        <f t="shared" si="230"/>
        <v/>
      </c>
      <c r="T2152" s="38" t="str">
        <f t="shared" si="231"/>
        <v/>
      </c>
      <c r="U2152" s="37" t="str">
        <f t="shared" si="232"/>
        <v/>
      </c>
    </row>
    <row r="2153" spans="2:21" ht="17.25">
      <c r="B2153" s="156"/>
      <c r="C2153" s="156"/>
      <c r="D2153" s="157"/>
      <c r="E2153" s="155"/>
      <c r="F2153" s="151"/>
      <c r="G2153" s="152"/>
      <c r="H2153" s="153"/>
      <c r="I2153" s="154"/>
      <c r="J2153" s="154"/>
      <c r="K2153" s="30" t="str">
        <f>IF(H2153="","",IF($C$30="간이법","",FPR(H2153,I2153,J2153)))</f>
        <v/>
      </c>
      <c r="L2153" s="30" t="str">
        <f>IF(H2153="","",IF($C$30="상세법",FPV(H2153,K2153),IF(H2153="EI",4,IF(H2153="EO",5.2,IF(H2153="EQ",3.9,IF(H2153="ILF",7.5,IF(H2153="EIF",5.4)))))))</f>
        <v/>
      </c>
      <c r="M2153" s="30" t="str">
        <f t="shared" si="226"/>
        <v/>
      </c>
      <c r="N2153" s="134"/>
      <c r="O2153" s="29"/>
      <c r="P2153" s="37" t="str">
        <f t="shared" si="227"/>
        <v/>
      </c>
      <c r="Q2153" s="38" t="str">
        <f t="shared" si="228"/>
        <v/>
      </c>
      <c r="R2153" s="37" t="str">
        <f t="shared" si="229"/>
        <v/>
      </c>
      <c r="S2153" s="37" t="str">
        <f t="shared" si="230"/>
        <v/>
      </c>
      <c r="T2153" s="38" t="str">
        <f t="shared" si="231"/>
        <v/>
      </c>
      <c r="U2153" s="37" t="str">
        <f t="shared" si="232"/>
        <v/>
      </c>
    </row>
    <row r="2154" spans="2:21" ht="17.25">
      <c r="B2154" s="156"/>
      <c r="C2154" s="156"/>
      <c r="D2154" s="157"/>
      <c r="E2154" s="155"/>
      <c r="F2154" s="151"/>
      <c r="G2154" s="152"/>
      <c r="H2154" s="153"/>
      <c r="I2154" s="154"/>
      <c r="J2154" s="154"/>
      <c r="K2154" s="30" t="str">
        <f>IF(H2154="","",IF($C$30="간이법","",FPR(H2154,I2154,J2154)))</f>
        <v/>
      </c>
      <c r="L2154" s="30" t="str">
        <f>IF(H2154="","",IF($C$30="상세법",FPV(H2154,K2154),IF(H2154="EI",4,IF(H2154="EO",5.2,IF(H2154="EQ",3.9,IF(H2154="ILF",7.5,IF(H2154="EIF",5.4)))))))</f>
        <v/>
      </c>
      <c r="M2154" s="30" t="str">
        <f t="shared" si="226"/>
        <v/>
      </c>
      <c r="N2154" s="134"/>
      <c r="O2154" s="29"/>
      <c r="P2154" s="37" t="str">
        <f t="shared" si="227"/>
        <v/>
      </c>
      <c r="Q2154" s="38" t="str">
        <f t="shared" si="228"/>
        <v/>
      </c>
      <c r="R2154" s="37" t="str">
        <f t="shared" si="229"/>
        <v/>
      </c>
      <c r="S2154" s="37" t="str">
        <f t="shared" si="230"/>
        <v/>
      </c>
      <c r="T2154" s="38" t="str">
        <f t="shared" si="231"/>
        <v/>
      </c>
      <c r="U2154" s="37" t="str">
        <f t="shared" si="232"/>
        <v/>
      </c>
    </row>
    <row r="2155" spans="2:21" ht="17.25">
      <c r="B2155" s="156"/>
      <c r="C2155" s="156"/>
      <c r="D2155" s="157"/>
      <c r="E2155" s="155"/>
      <c r="F2155" s="151"/>
      <c r="G2155" s="152"/>
      <c r="H2155" s="153"/>
      <c r="I2155" s="154"/>
      <c r="J2155" s="154"/>
      <c r="K2155" s="30" t="str">
        <f>IF(H2155="","",IF($C$30="간이법","",FPR(H2155,I2155,J2155)))</f>
        <v/>
      </c>
      <c r="L2155" s="30" t="str">
        <f>IF(H2155="","",IF($C$30="상세법",FPV(H2155,K2155),IF(H2155="EI",4,IF(H2155="EO",5.2,IF(H2155="EQ",3.9,IF(H2155="ILF",7.5,IF(H2155="EIF",5.4)))))))</f>
        <v/>
      </c>
      <c r="M2155" s="30" t="str">
        <f t="shared" si="226"/>
        <v/>
      </c>
      <c r="N2155" s="134"/>
      <c r="O2155" s="29"/>
      <c r="P2155" s="37" t="str">
        <f t="shared" si="227"/>
        <v/>
      </c>
      <c r="Q2155" s="38" t="str">
        <f t="shared" si="228"/>
        <v/>
      </c>
      <c r="R2155" s="37" t="str">
        <f t="shared" si="229"/>
        <v/>
      </c>
      <c r="S2155" s="37" t="str">
        <f t="shared" si="230"/>
        <v/>
      </c>
      <c r="T2155" s="38" t="str">
        <f t="shared" si="231"/>
        <v/>
      </c>
      <c r="U2155" s="37" t="str">
        <f t="shared" si="232"/>
        <v/>
      </c>
    </row>
    <row r="2156" spans="2:21" ht="17.25">
      <c r="B2156" s="156"/>
      <c r="C2156" s="156"/>
      <c r="D2156" s="157"/>
      <c r="E2156" s="155"/>
      <c r="F2156" s="151"/>
      <c r="G2156" s="152"/>
      <c r="H2156" s="153"/>
      <c r="I2156" s="154"/>
      <c r="J2156" s="154"/>
      <c r="K2156" s="30" t="str">
        <f>IF(H2156="","",IF($C$30="간이법","",FPR(H2156,I2156,J2156)))</f>
        <v/>
      </c>
      <c r="L2156" s="30" t="str">
        <f>IF(H2156="","",IF($C$30="상세법",FPV(H2156,K2156),IF(H2156="EI",4,IF(H2156="EO",5.2,IF(H2156="EQ",3.9,IF(H2156="ILF",7.5,IF(H2156="EIF",5.4)))))))</f>
        <v/>
      </c>
      <c r="M2156" s="30" t="str">
        <f t="shared" si="226"/>
        <v/>
      </c>
      <c r="N2156" s="134"/>
      <c r="O2156" s="29"/>
      <c r="P2156" s="37" t="str">
        <f t="shared" si="227"/>
        <v/>
      </c>
      <c r="Q2156" s="38" t="str">
        <f t="shared" si="228"/>
        <v/>
      </c>
      <c r="R2156" s="37" t="str">
        <f t="shared" si="229"/>
        <v/>
      </c>
      <c r="S2156" s="37" t="str">
        <f t="shared" si="230"/>
        <v/>
      </c>
      <c r="T2156" s="38" t="str">
        <f t="shared" si="231"/>
        <v/>
      </c>
      <c r="U2156" s="37" t="str">
        <f t="shared" si="232"/>
        <v/>
      </c>
    </row>
    <row r="2157" spans="2:21" ht="17.25">
      <c r="B2157" s="156"/>
      <c r="C2157" s="156"/>
      <c r="D2157" s="157"/>
      <c r="E2157" s="155"/>
      <c r="F2157" s="151"/>
      <c r="G2157" s="152"/>
      <c r="H2157" s="153"/>
      <c r="I2157" s="154"/>
      <c r="J2157" s="154"/>
      <c r="K2157" s="30" t="str">
        <f>IF(H2157="","",IF($C$30="간이법","",FPR(H2157,I2157,J2157)))</f>
        <v/>
      </c>
      <c r="L2157" s="30" t="str">
        <f>IF(H2157="","",IF($C$30="상세법",FPV(H2157,K2157),IF(H2157="EI",4,IF(H2157="EO",5.2,IF(H2157="EQ",3.9,IF(H2157="ILF",7.5,IF(H2157="EIF",5.4)))))))</f>
        <v/>
      </c>
      <c r="M2157" s="30" t="str">
        <f t="shared" si="226"/>
        <v/>
      </c>
      <c r="N2157" s="134"/>
      <c r="O2157" s="29"/>
      <c r="P2157" s="37" t="str">
        <f t="shared" si="227"/>
        <v/>
      </c>
      <c r="Q2157" s="38" t="str">
        <f t="shared" si="228"/>
        <v/>
      </c>
      <c r="R2157" s="37" t="str">
        <f t="shared" si="229"/>
        <v/>
      </c>
      <c r="S2157" s="37" t="str">
        <f t="shared" si="230"/>
        <v/>
      </c>
      <c r="T2157" s="38" t="str">
        <f t="shared" si="231"/>
        <v/>
      </c>
      <c r="U2157" s="37" t="str">
        <f t="shared" si="232"/>
        <v/>
      </c>
    </row>
    <row r="2158" spans="2:21" ht="17.25">
      <c r="B2158" s="156"/>
      <c r="C2158" s="156"/>
      <c r="D2158" s="157"/>
      <c r="E2158" s="155"/>
      <c r="F2158" s="151"/>
      <c r="G2158" s="152"/>
      <c r="H2158" s="153"/>
      <c r="I2158" s="154"/>
      <c r="J2158" s="154"/>
      <c r="K2158" s="30" t="str">
        <f>IF(H2158="","",IF($C$30="간이법","",FPR(H2158,I2158,J2158)))</f>
        <v/>
      </c>
      <c r="L2158" s="30" t="str">
        <f>IF(H2158="","",IF($C$30="상세법",FPV(H2158,K2158),IF(H2158="EI",4,IF(H2158="EO",5.2,IF(H2158="EQ",3.9,IF(H2158="ILF",7.5,IF(H2158="EIF",5.4)))))))</f>
        <v/>
      </c>
      <c r="M2158" s="30" t="str">
        <f t="shared" si="226"/>
        <v/>
      </c>
      <c r="N2158" s="134"/>
      <c r="O2158" s="29"/>
      <c r="P2158" s="37" t="str">
        <f t="shared" si="227"/>
        <v/>
      </c>
      <c r="Q2158" s="38" t="str">
        <f t="shared" si="228"/>
        <v/>
      </c>
      <c r="R2158" s="37" t="str">
        <f t="shared" si="229"/>
        <v/>
      </c>
      <c r="S2158" s="37" t="str">
        <f t="shared" si="230"/>
        <v/>
      </c>
      <c r="T2158" s="38" t="str">
        <f t="shared" si="231"/>
        <v/>
      </c>
      <c r="U2158" s="37" t="str">
        <f t="shared" si="232"/>
        <v/>
      </c>
    </row>
    <row r="2159" spans="2:21" ht="17.25">
      <c r="B2159" s="156"/>
      <c r="C2159" s="156"/>
      <c r="D2159" s="157"/>
      <c r="E2159" s="155"/>
      <c r="F2159" s="151"/>
      <c r="G2159" s="152"/>
      <c r="H2159" s="153"/>
      <c r="I2159" s="154"/>
      <c r="J2159" s="154"/>
      <c r="K2159" s="30" t="str">
        <f>IF(H2159="","",IF($C$30="간이법","",FPR(H2159,I2159,J2159)))</f>
        <v/>
      </c>
      <c r="L2159" s="30" t="str">
        <f>IF(H2159="","",IF($C$30="상세법",FPV(H2159,K2159),IF(H2159="EI",4,IF(H2159="EO",5.2,IF(H2159="EQ",3.9,IF(H2159="ILF",7.5,IF(H2159="EIF",5.4)))))))</f>
        <v/>
      </c>
      <c r="M2159" s="30" t="str">
        <f t="shared" si="226"/>
        <v/>
      </c>
      <c r="N2159" s="134"/>
      <c r="O2159" s="29"/>
      <c r="P2159" s="37" t="str">
        <f t="shared" si="227"/>
        <v/>
      </c>
      <c r="Q2159" s="38" t="str">
        <f t="shared" si="228"/>
        <v/>
      </c>
      <c r="R2159" s="37" t="str">
        <f t="shared" si="229"/>
        <v/>
      </c>
      <c r="S2159" s="37" t="str">
        <f t="shared" si="230"/>
        <v/>
      </c>
      <c r="T2159" s="38" t="str">
        <f t="shared" si="231"/>
        <v/>
      </c>
      <c r="U2159" s="37" t="str">
        <f t="shared" si="232"/>
        <v/>
      </c>
    </row>
    <row r="2160" spans="2:21" ht="17.25">
      <c r="B2160" s="156"/>
      <c r="C2160" s="156"/>
      <c r="D2160" s="157"/>
      <c r="E2160" s="155"/>
      <c r="F2160" s="151"/>
      <c r="G2160" s="152"/>
      <c r="H2160" s="153"/>
      <c r="I2160" s="154"/>
      <c r="J2160" s="154"/>
      <c r="K2160" s="30" t="str">
        <f>IF(H2160="","",IF($C$30="간이법","",FPR(H2160,I2160,J2160)))</f>
        <v/>
      </c>
      <c r="L2160" s="30" t="str">
        <f>IF(H2160="","",IF($C$30="상세법",FPV(H2160,K2160),IF(H2160="EI",4,IF(H2160="EO",5.2,IF(H2160="EQ",3.9,IF(H2160="ILF",7.5,IF(H2160="EIF",5.4)))))))</f>
        <v/>
      </c>
      <c r="M2160" s="30" t="str">
        <f t="shared" si="226"/>
        <v/>
      </c>
      <c r="N2160" s="134"/>
      <c r="O2160" s="29"/>
      <c r="P2160" s="37" t="str">
        <f t="shared" si="227"/>
        <v/>
      </c>
      <c r="Q2160" s="38" t="str">
        <f t="shared" si="228"/>
        <v/>
      </c>
      <c r="R2160" s="37" t="str">
        <f t="shared" si="229"/>
        <v/>
      </c>
      <c r="S2160" s="37" t="str">
        <f t="shared" si="230"/>
        <v/>
      </c>
      <c r="T2160" s="38" t="str">
        <f t="shared" si="231"/>
        <v/>
      </c>
      <c r="U2160" s="37" t="str">
        <f t="shared" si="232"/>
        <v/>
      </c>
    </row>
    <row r="2161" spans="2:21" ht="17.25">
      <c r="B2161" s="156"/>
      <c r="C2161" s="156"/>
      <c r="D2161" s="157"/>
      <c r="E2161" s="155"/>
      <c r="F2161" s="151"/>
      <c r="G2161" s="152"/>
      <c r="H2161" s="153"/>
      <c r="I2161" s="154"/>
      <c r="J2161" s="154"/>
      <c r="K2161" s="30" t="str">
        <f>IF(H2161="","",IF($C$30="간이법","",FPR(H2161,I2161,J2161)))</f>
        <v/>
      </c>
      <c r="L2161" s="30" t="str">
        <f>IF(H2161="","",IF($C$30="상세법",FPV(H2161,K2161),IF(H2161="EI",4,IF(H2161="EO",5.2,IF(H2161="EQ",3.9,IF(H2161="ILF",7.5,IF(H2161="EIF",5.4)))))))</f>
        <v/>
      </c>
      <c r="M2161" s="30" t="str">
        <f t="shared" si="226"/>
        <v/>
      </c>
      <c r="N2161" s="134"/>
      <c r="O2161" s="29"/>
      <c r="P2161" s="37" t="str">
        <f t="shared" si="227"/>
        <v/>
      </c>
      <c r="Q2161" s="38" t="str">
        <f t="shared" si="228"/>
        <v/>
      </c>
      <c r="R2161" s="37" t="str">
        <f t="shared" si="229"/>
        <v/>
      </c>
      <c r="S2161" s="37" t="str">
        <f t="shared" si="230"/>
        <v/>
      </c>
      <c r="T2161" s="38" t="str">
        <f t="shared" si="231"/>
        <v/>
      </c>
      <c r="U2161" s="37" t="str">
        <f t="shared" si="232"/>
        <v/>
      </c>
    </row>
    <row r="2162" spans="2:21" ht="17.25">
      <c r="B2162" s="156"/>
      <c r="C2162" s="156"/>
      <c r="D2162" s="157"/>
      <c r="E2162" s="155"/>
      <c r="F2162" s="151"/>
      <c r="G2162" s="152"/>
      <c r="H2162" s="153"/>
      <c r="I2162" s="154"/>
      <c r="J2162" s="154"/>
      <c r="K2162" s="30" t="str">
        <f>IF(H2162="","",IF($C$30="간이법","",FPR(H2162,I2162,J2162)))</f>
        <v/>
      </c>
      <c r="L2162" s="30" t="str">
        <f>IF(H2162="","",IF($C$30="상세법",FPV(H2162,K2162),IF(H2162="EI",4,IF(H2162="EO",5.2,IF(H2162="EQ",3.9,IF(H2162="ILF",7.5,IF(H2162="EIF",5.4)))))))</f>
        <v/>
      </c>
      <c r="M2162" s="30" t="str">
        <f t="shared" si="226"/>
        <v/>
      </c>
      <c r="N2162" s="134"/>
      <c r="O2162" s="29"/>
      <c r="P2162" s="37" t="str">
        <f t="shared" si="227"/>
        <v/>
      </c>
      <c r="Q2162" s="38" t="str">
        <f t="shared" si="228"/>
        <v/>
      </c>
      <c r="R2162" s="37" t="str">
        <f t="shared" si="229"/>
        <v/>
      </c>
      <c r="S2162" s="37" t="str">
        <f t="shared" si="230"/>
        <v/>
      </c>
      <c r="T2162" s="38" t="str">
        <f t="shared" si="231"/>
        <v/>
      </c>
      <c r="U2162" s="37" t="str">
        <f t="shared" si="232"/>
        <v/>
      </c>
    </row>
    <row r="2163" spans="2:21" ht="17.25">
      <c r="B2163" s="156"/>
      <c r="C2163" s="156"/>
      <c r="D2163" s="157"/>
      <c r="E2163" s="155"/>
      <c r="F2163" s="151"/>
      <c r="G2163" s="152"/>
      <c r="H2163" s="153"/>
      <c r="I2163" s="154"/>
      <c r="J2163" s="154"/>
      <c r="K2163" s="30" t="str">
        <f>IF(H2163="","",IF($C$30="간이법","",FPR(H2163,I2163,J2163)))</f>
        <v/>
      </c>
      <c r="L2163" s="30" t="str">
        <f>IF(H2163="","",IF($C$30="상세법",FPV(H2163,K2163),IF(H2163="EI",4,IF(H2163="EO",5.2,IF(H2163="EQ",3.9,IF(H2163="ILF",7.5,IF(H2163="EIF",5.4)))))))</f>
        <v/>
      </c>
      <c r="M2163" s="30" t="str">
        <f t="shared" si="226"/>
        <v/>
      </c>
      <c r="N2163" s="134"/>
      <c r="O2163" s="29"/>
      <c r="P2163" s="37" t="str">
        <f t="shared" si="227"/>
        <v/>
      </c>
      <c r="Q2163" s="38" t="str">
        <f t="shared" si="228"/>
        <v/>
      </c>
      <c r="R2163" s="37" t="str">
        <f t="shared" si="229"/>
        <v/>
      </c>
      <c r="S2163" s="37" t="str">
        <f t="shared" si="230"/>
        <v/>
      </c>
      <c r="T2163" s="38" t="str">
        <f t="shared" si="231"/>
        <v/>
      </c>
      <c r="U2163" s="37" t="str">
        <f t="shared" si="232"/>
        <v/>
      </c>
    </row>
    <row r="2164" spans="2:21" ht="17.25">
      <c r="B2164" s="156"/>
      <c r="C2164" s="156"/>
      <c r="D2164" s="157"/>
      <c r="E2164" s="155"/>
      <c r="F2164" s="151"/>
      <c r="G2164" s="152"/>
      <c r="H2164" s="153"/>
      <c r="I2164" s="154"/>
      <c r="J2164" s="154"/>
      <c r="K2164" s="30" t="str">
        <f>IF(H2164="","",IF($C$30="간이법","",FPR(H2164,I2164,J2164)))</f>
        <v/>
      </c>
      <c r="L2164" s="30" t="str">
        <f>IF(H2164="","",IF($C$30="상세법",FPV(H2164,K2164),IF(H2164="EI",4,IF(H2164="EO",5.2,IF(H2164="EQ",3.9,IF(H2164="ILF",7.5,IF(H2164="EIF",5.4)))))))</f>
        <v/>
      </c>
      <c r="M2164" s="30" t="str">
        <f t="shared" si="226"/>
        <v/>
      </c>
      <c r="N2164" s="134"/>
      <c r="O2164" s="29"/>
      <c r="P2164" s="37" t="str">
        <f t="shared" si="227"/>
        <v/>
      </c>
      <c r="Q2164" s="38" t="str">
        <f t="shared" si="228"/>
        <v/>
      </c>
      <c r="R2164" s="37" t="str">
        <f t="shared" si="229"/>
        <v/>
      </c>
      <c r="S2164" s="37" t="str">
        <f t="shared" si="230"/>
        <v/>
      </c>
      <c r="T2164" s="38" t="str">
        <f t="shared" si="231"/>
        <v/>
      </c>
      <c r="U2164" s="37" t="str">
        <f t="shared" si="232"/>
        <v/>
      </c>
    </row>
    <row r="2165" spans="2:21" ht="17.25">
      <c r="B2165" s="156"/>
      <c r="C2165" s="156"/>
      <c r="D2165" s="157"/>
      <c r="E2165" s="155"/>
      <c r="F2165" s="151"/>
      <c r="G2165" s="152"/>
      <c r="H2165" s="153"/>
      <c r="I2165" s="154"/>
      <c r="J2165" s="154"/>
      <c r="K2165" s="30" t="str">
        <f>IF(H2165="","",IF($C$30="간이법","",FPR(H2165,I2165,J2165)))</f>
        <v/>
      </c>
      <c r="L2165" s="30" t="str">
        <f>IF(H2165="","",IF($C$30="상세법",FPV(H2165,K2165),IF(H2165="EI",4,IF(H2165="EO",5.2,IF(H2165="EQ",3.9,IF(H2165="ILF",7.5,IF(H2165="EIF",5.4)))))))</f>
        <v/>
      </c>
      <c r="M2165" s="30" t="str">
        <f t="shared" si="226"/>
        <v/>
      </c>
      <c r="N2165" s="134"/>
      <c r="O2165" s="29"/>
      <c r="P2165" s="37" t="str">
        <f t="shared" si="227"/>
        <v/>
      </c>
      <c r="Q2165" s="38" t="str">
        <f t="shared" si="228"/>
        <v/>
      </c>
      <c r="R2165" s="37" t="str">
        <f t="shared" si="229"/>
        <v/>
      </c>
      <c r="S2165" s="37" t="str">
        <f t="shared" si="230"/>
        <v/>
      </c>
      <c r="T2165" s="38" t="str">
        <f t="shared" si="231"/>
        <v/>
      </c>
      <c r="U2165" s="37" t="str">
        <f t="shared" si="232"/>
        <v/>
      </c>
    </row>
    <row r="2166" spans="2:21" ht="17.25">
      <c r="B2166" s="156"/>
      <c r="C2166" s="156"/>
      <c r="D2166" s="157"/>
      <c r="E2166" s="155"/>
      <c r="F2166" s="151"/>
      <c r="G2166" s="152"/>
      <c r="H2166" s="153"/>
      <c r="I2166" s="154"/>
      <c r="J2166" s="154"/>
      <c r="K2166" s="30" t="str">
        <f>IF(H2166="","",IF($C$30="간이법","",FPR(H2166,I2166,J2166)))</f>
        <v/>
      </c>
      <c r="L2166" s="30" t="str">
        <f>IF(H2166="","",IF($C$30="상세법",FPV(H2166,K2166),IF(H2166="EI",4,IF(H2166="EO",5.2,IF(H2166="EQ",3.9,IF(H2166="ILF",7.5,IF(H2166="EIF",5.4)))))))</f>
        <v/>
      </c>
      <c r="M2166" s="30" t="str">
        <f t="shared" si="226"/>
        <v/>
      </c>
      <c r="N2166" s="134"/>
      <c r="O2166" s="29"/>
      <c r="P2166" s="37" t="str">
        <f t="shared" si="227"/>
        <v/>
      </c>
      <c r="Q2166" s="38" t="str">
        <f t="shared" si="228"/>
        <v/>
      </c>
      <c r="R2166" s="37" t="str">
        <f t="shared" si="229"/>
        <v/>
      </c>
      <c r="S2166" s="37" t="str">
        <f t="shared" si="230"/>
        <v/>
      </c>
      <c r="T2166" s="38" t="str">
        <f t="shared" si="231"/>
        <v/>
      </c>
      <c r="U2166" s="37" t="str">
        <f t="shared" si="232"/>
        <v/>
      </c>
    </row>
    <row r="2167" spans="2:21" ht="17.25">
      <c r="B2167" s="156"/>
      <c r="C2167" s="156"/>
      <c r="D2167" s="157"/>
      <c r="E2167" s="155"/>
      <c r="F2167" s="151"/>
      <c r="G2167" s="152"/>
      <c r="H2167" s="153"/>
      <c r="I2167" s="154"/>
      <c r="J2167" s="154"/>
      <c r="K2167" s="30" t="str">
        <f>IF(H2167="","",IF($C$30="간이법","",FPR(H2167,I2167,J2167)))</f>
        <v/>
      </c>
      <c r="L2167" s="30" t="str">
        <f>IF(H2167="","",IF($C$30="상세법",FPV(H2167,K2167),IF(H2167="EI",4,IF(H2167="EO",5.2,IF(H2167="EQ",3.9,IF(H2167="ILF",7.5,IF(H2167="EIF",5.4)))))))</f>
        <v/>
      </c>
      <c r="M2167" s="30" t="str">
        <f t="shared" si="226"/>
        <v/>
      </c>
      <c r="N2167" s="134"/>
      <c r="O2167" s="29"/>
      <c r="P2167" s="37" t="str">
        <f t="shared" si="227"/>
        <v/>
      </c>
      <c r="Q2167" s="38" t="str">
        <f t="shared" si="228"/>
        <v/>
      </c>
      <c r="R2167" s="37" t="str">
        <f t="shared" si="229"/>
        <v/>
      </c>
      <c r="S2167" s="37" t="str">
        <f t="shared" si="230"/>
        <v/>
      </c>
      <c r="T2167" s="38" t="str">
        <f t="shared" si="231"/>
        <v/>
      </c>
      <c r="U2167" s="37" t="str">
        <f t="shared" si="232"/>
        <v/>
      </c>
    </row>
    <row r="2168" spans="2:21" ht="17.25">
      <c r="B2168" s="156"/>
      <c r="C2168" s="156"/>
      <c r="D2168" s="157"/>
      <c r="E2168" s="155"/>
      <c r="F2168" s="151"/>
      <c r="G2168" s="152"/>
      <c r="H2168" s="153"/>
      <c r="I2168" s="154"/>
      <c r="J2168" s="154"/>
      <c r="K2168" s="30" t="str">
        <f>IF(H2168="","",IF($C$30="간이법","",FPR(H2168,I2168,J2168)))</f>
        <v/>
      </c>
      <c r="L2168" s="30" t="str">
        <f>IF(H2168="","",IF($C$30="상세법",FPV(H2168,K2168),IF(H2168="EI",4,IF(H2168="EO",5.2,IF(H2168="EQ",3.9,IF(H2168="ILF",7.5,IF(H2168="EIF",5.4)))))))</f>
        <v/>
      </c>
      <c r="M2168" s="30" t="str">
        <f t="shared" si="226"/>
        <v/>
      </c>
      <c r="N2168" s="134"/>
      <c r="O2168" s="29"/>
      <c r="P2168" s="37" t="str">
        <f t="shared" si="227"/>
        <v/>
      </c>
      <c r="Q2168" s="38" t="str">
        <f t="shared" si="228"/>
        <v/>
      </c>
      <c r="R2168" s="37" t="str">
        <f t="shared" si="229"/>
        <v/>
      </c>
      <c r="S2168" s="37" t="str">
        <f t="shared" si="230"/>
        <v/>
      </c>
      <c r="T2168" s="38" t="str">
        <f t="shared" si="231"/>
        <v/>
      </c>
      <c r="U2168" s="37" t="str">
        <f t="shared" si="232"/>
        <v/>
      </c>
    </row>
    <row r="2169" spans="2:21" ht="17.25">
      <c r="B2169" s="156"/>
      <c r="C2169" s="156"/>
      <c r="D2169" s="157"/>
      <c r="E2169" s="155"/>
      <c r="F2169" s="151"/>
      <c r="G2169" s="152"/>
      <c r="H2169" s="153"/>
      <c r="I2169" s="154"/>
      <c r="J2169" s="154"/>
      <c r="K2169" s="30" t="str">
        <f>IF(H2169="","",IF($C$30="간이법","",FPR(H2169,I2169,J2169)))</f>
        <v/>
      </c>
      <c r="L2169" s="30" t="str">
        <f>IF(H2169="","",IF($C$30="상세법",FPV(H2169,K2169),IF(H2169="EI",4,IF(H2169="EO",5.2,IF(H2169="EQ",3.9,IF(H2169="ILF",7.5,IF(H2169="EIF",5.4)))))))</f>
        <v/>
      </c>
      <c r="M2169" s="30" t="str">
        <f t="shared" si="226"/>
        <v/>
      </c>
      <c r="N2169" s="134"/>
      <c r="O2169" s="29"/>
      <c r="P2169" s="37" t="str">
        <f t="shared" si="227"/>
        <v/>
      </c>
      <c r="Q2169" s="38" t="str">
        <f t="shared" si="228"/>
        <v/>
      </c>
      <c r="R2169" s="37" t="str">
        <f t="shared" si="229"/>
        <v/>
      </c>
      <c r="S2169" s="37" t="str">
        <f t="shared" si="230"/>
        <v/>
      </c>
      <c r="T2169" s="38" t="str">
        <f t="shared" si="231"/>
        <v/>
      </c>
      <c r="U2169" s="37" t="str">
        <f t="shared" si="232"/>
        <v/>
      </c>
    </row>
    <row r="2170" spans="2:21" ht="17.25">
      <c r="B2170" s="156"/>
      <c r="C2170" s="156"/>
      <c r="D2170" s="157"/>
      <c r="E2170" s="155"/>
      <c r="F2170" s="151"/>
      <c r="G2170" s="152"/>
      <c r="H2170" s="153"/>
      <c r="I2170" s="154"/>
      <c r="J2170" s="154"/>
      <c r="K2170" s="30" t="str">
        <f>IF(H2170="","",IF($C$30="간이법","",FPR(H2170,I2170,J2170)))</f>
        <v/>
      </c>
      <c r="L2170" s="30" t="str">
        <f>IF(H2170="","",IF($C$30="상세법",FPV(H2170,K2170),IF(H2170="EI",4,IF(H2170="EO",5.2,IF(H2170="EQ",3.9,IF(H2170="ILF",7.5,IF(H2170="EIF",5.4)))))))</f>
        <v/>
      </c>
      <c r="M2170" s="30" t="str">
        <f t="shared" si="226"/>
        <v/>
      </c>
      <c r="N2170" s="134"/>
      <c r="O2170" s="29"/>
      <c r="P2170" s="37" t="str">
        <f t="shared" si="227"/>
        <v/>
      </c>
      <c r="Q2170" s="38" t="str">
        <f t="shared" si="228"/>
        <v/>
      </c>
      <c r="R2170" s="37" t="str">
        <f t="shared" si="229"/>
        <v/>
      </c>
      <c r="S2170" s="37" t="str">
        <f t="shared" si="230"/>
        <v/>
      </c>
      <c r="T2170" s="38" t="str">
        <f t="shared" si="231"/>
        <v/>
      </c>
      <c r="U2170" s="37" t="str">
        <f t="shared" si="232"/>
        <v/>
      </c>
    </row>
    <row r="2171" spans="2:21" ht="17.25">
      <c r="B2171" s="156"/>
      <c r="C2171" s="156"/>
      <c r="D2171" s="157"/>
      <c r="E2171" s="155"/>
      <c r="F2171" s="151"/>
      <c r="G2171" s="152"/>
      <c r="H2171" s="153"/>
      <c r="I2171" s="154"/>
      <c r="J2171" s="154"/>
      <c r="K2171" s="30" t="str">
        <f>IF(H2171="","",IF($C$30="간이법","",FPR(H2171,I2171,J2171)))</f>
        <v/>
      </c>
      <c r="L2171" s="30" t="str">
        <f>IF(H2171="","",IF($C$30="상세법",FPV(H2171,K2171),IF(H2171="EI",4,IF(H2171="EO",5.2,IF(H2171="EQ",3.9,IF(H2171="ILF",7.5,IF(H2171="EIF",5.4)))))))</f>
        <v/>
      </c>
      <c r="M2171" s="30" t="str">
        <f t="shared" si="226"/>
        <v/>
      </c>
      <c r="N2171" s="134"/>
      <c r="O2171" s="29"/>
      <c r="P2171" s="37" t="str">
        <f t="shared" si="227"/>
        <v/>
      </c>
      <c r="Q2171" s="38" t="str">
        <f t="shared" si="228"/>
        <v/>
      </c>
      <c r="R2171" s="37" t="str">
        <f t="shared" si="229"/>
        <v/>
      </c>
      <c r="S2171" s="37" t="str">
        <f t="shared" si="230"/>
        <v/>
      </c>
      <c r="T2171" s="38" t="str">
        <f t="shared" si="231"/>
        <v/>
      </c>
      <c r="U2171" s="37" t="str">
        <f t="shared" si="232"/>
        <v/>
      </c>
    </row>
    <row r="2172" spans="2:21" ht="17.25">
      <c r="B2172" s="156"/>
      <c r="C2172" s="156"/>
      <c r="D2172" s="157"/>
      <c r="E2172" s="155"/>
      <c r="F2172" s="151"/>
      <c r="G2172" s="152"/>
      <c r="H2172" s="153"/>
      <c r="I2172" s="154"/>
      <c r="J2172" s="154"/>
      <c r="K2172" s="30" t="str">
        <f>IF(H2172="","",IF($C$30="간이법","",FPR(H2172,I2172,J2172)))</f>
        <v/>
      </c>
      <c r="L2172" s="30" t="str">
        <f>IF(H2172="","",IF($C$30="상세법",FPV(H2172,K2172),IF(H2172="EI",4,IF(H2172="EO",5.2,IF(H2172="EQ",3.9,IF(H2172="ILF",7.5,IF(H2172="EIF",5.4)))))))</f>
        <v/>
      </c>
      <c r="M2172" s="30" t="str">
        <f t="shared" ref="M2172:M2235" si="233">IF(OR(G2172="",$E$36="(선택)",$E$40="(선택)",$E$41="(선택)",F2172="신규 개발",F2172="수정 없이 재사용"),"",(IF(F2172="수정 후 재사용",IF($E$50&lt;=0.5,L2172*($E$36+$E$50*100*(1+0.02*($E$40*$E$41)))/100,L2172*($E$36+$E$50*100+($E$40*$E$41))/100))))</f>
        <v/>
      </c>
      <c r="N2172" s="134"/>
      <c r="O2172" s="29"/>
      <c r="P2172" s="37" t="str">
        <f t="shared" ref="P2172:P2235" si="234">IF(F2172="수정 후 재사용",IF(H2172="ILF",G2172,IF(H2172="EIF",G2172,"")),"")</f>
        <v/>
      </c>
      <c r="Q2172" s="38" t="str">
        <f t="shared" ref="Q2172:Q2235" si="235">IF(P2172&lt;&gt;"",IF(H2172="ILF", L2172/$E$46,IF(H2172="EIF", L2172/$E$46,"")),"")</f>
        <v/>
      </c>
      <c r="R2172" s="37" t="str">
        <f t="shared" ref="R2172:R2235" si="236">IF(P2172&lt;&gt;"",P2172*Q2172,"")</f>
        <v/>
      </c>
      <c r="S2172" s="37" t="str">
        <f t="shared" ref="S2172:S2235" si="237">IF(F2172="수정 후 재사용",IF(H2172="EI",G2172,IF(H2172="EO",G2172,IF(H2172="EQ",G2172,""))),"")</f>
        <v/>
      </c>
      <c r="T2172" s="38" t="str">
        <f t="shared" ref="T2172:T2235" si="238">IF(S2172&lt;&gt;"",IF(H2172="EI",L2172/$E$47,IF(H2172="EO",L2172/$E$47,IF(H2172="EQ",L2172/$E$47,""))),"")</f>
        <v/>
      </c>
      <c r="U2172" s="37" t="str">
        <f t="shared" ref="U2172:U2235" si="239">IF(S2172&lt;&gt;"",S2172*T2172,"")</f>
        <v/>
      </c>
    </row>
    <row r="2173" spans="2:21" ht="17.25">
      <c r="B2173" s="156"/>
      <c r="C2173" s="156"/>
      <c r="D2173" s="157"/>
      <c r="E2173" s="155"/>
      <c r="F2173" s="151"/>
      <c r="G2173" s="152"/>
      <c r="H2173" s="153"/>
      <c r="I2173" s="154"/>
      <c r="J2173" s="154"/>
      <c r="K2173" s="30" t="str">
        <f>IF(H2173="","",IF($C$30="간이법","",FPR(H2173,I2173,J2173)))</f>
        <v/>
      </c>
      <c r="L2173" s="30" t="str">
        <f>IF(H2173="","",IF($C$30="상세법",FPV(H2173,K2173),IF(H2173="EI",4,IF(H2173="EO",5.2,IF(H2173="EQ",3.9,IF(H2173="ILF",7.5,IF(H2173="EIF",5.4)))))))</f>
        <v/>
      </c>
      <c r="M2173" s="30" t="str">
        <f t="shared" si="233"/>
        <v/>
      </c>
      <c r="N2173" s="134"/>
      <c r="O2173" s="29"/>
      <c r="P2173" s="37" t="str">
        <f t="shared" si="234"/>
        <v/>
      </c>
      <c r="Q2173" s="38" t="str">
        <f t="shared" si="235"/>
        <v/>
      </c>
      <c r="R2173" s="37" t="str">
        <f t="shared" si="236"/>
        <v/>
      </c>
      <c r="S2173" s="37" t="str">
        <f t="shared" si="237"/>
        <v/>
      </c>
      <c r="T2173" s="38" t="str">
        <f t="shared" si="238"/>
        <v/>
      </c>
      <c r="U2173" s="37" t="str">
        <f t="shared" si="239"/>
        <v/>
      </c>
    </row>
    <row r="2174" spans="2:21" ht="17.25">
      <c r="B2174" s="156"/>
      <c r="C2174" s="156"/>
      <c r="D2174" s="157"/>
      <c r="E2174" s="155"/>
      <c r="F2174" s="151"/>
      <c r="G2174" s="152"/>
      <c r="H2174" s="153"/>
      <c r="I2174" s="154"/>
      <c r="J2174" s="154"/>
      <c r="K2174" s="30" t="str">
        <f>IF(H2174="","",IF($C$30="간이법","",FPR(H2174,I2174,J2174)))</f>
        <v/>
      </c>
      <c r="L2174" s="30" t="str">
        <f>IF(H2174="","",IF($C$30="상세법",FPV(H2174,K2174),IF(H2174="EI",4,IF(H2174="EO",5.2,IF(H2174="EQ",3.9,IF(H2174="ILF",7.5,IF(H2174="EIF",5.4)))))))</f>
        <v/>
      </c>
      <c r="M2174" s="30" t="str">
        <f t="shared" si="233"/>
        <v/>
      </c>
      <c r="N2174" s="134"/>
      <c r="O2174" s="29"/>
      <c r="P2174" s="37" t="str">
        <f t="shared" si="234"/>
        <v/>
      </c>
      <c r="Q2174" s="38" t="str">
        <f t="shared" si="235"/>
        <v/>
      </c>
      <c r="R2174" s="37" t="str">
        <f t="shared" si="236"/>
        <v/>
      </c>
      <c r="S2174" s="37" t="str">
        <f t="shared" si="237"/>
        <v/>
      </c>
      <c r="T2174" s="38" t="str">
        <f t="shared" si="238"/>
        <v/>
      </c>
      <c r="U2174" s="37" t="str">
        <f t="shared" si="239"/>
        <v/>
      </c>
    </row>
    <row r="2175" spans="2:21" ht="17.25">
      <c r="B2175" s="156"/>
      <c r="C2175" s="156"/>
      <c r="D2175" s="157"/>
      <c r="E2175" s="155"/>
      <c r="F2175" s="151"/>
      <c r="G2175" s="152"/>
      <c r="H2175" s="153"/>
      <c r="I2175" s="154"/>
      <c r="J2175" s="154"/>
      <c r="K2175" s="30" t="str">
        <f>IF(H2175="","",IF($C$30="간이법","",FPR(H2175,I2175,J2175)))</f>
        <v/>
      </c>
      <c r="L2175" s="30" t="str">
        <f>IF(H2175="","",IF($C$30="상세법",FPV(H2175,K2175),IF(H2175="EI",4,IF(H2175="EO",5.2,IF(H2175="EQ",3.9,IF(H2175="ILF",7.5,IF(H2175="EIF",5.4)))))))</f>
        <v/>
      </c>
      <c r="M2175" s="30" t="str">
        <f t="shared" si="233"/>
        <v/>
      </c>
      <c r="N2175" s="134"/>
      <c r="O2175" s="29"/>
      <c r="P2175" s="37" t="str">
        <f t="shared" si="234"/>
        <v/>
      </c>
      <c r="Q2175" s="38" t="str">
        <f t="shared" si="235"/>
        <v/>
      </c>
      <c r="R2175" s="37" t="str">
        <f t="shared" si="236"/>
        <v/>
      </c>
      <c r="S2175" s="37" t="str">
        <f t="shared" si="237"/>
        <v/>
      </c>
      <c r="T2175" s="38" t="str">
        <f t="shared" si="238"/>
        <v/>
      </c>
      <c r="U2175" s="37" t="str">
        <f t="shared" si="239"/>
        <v/>
      </c>
    </row>
    <row r="2176" spans="2:21" ht="17.25">
      <c r="B2176" s="156"/>
      <c r="C2176" s="156"/>
      <c r="D2176" s="157"/>
      <c r="E2176" s="155"/>
      <c r="F2176" s="151"/>
      <c r="G2176" s="152"/>
      <c r="H2176" s="153"/>
      <c r="I2176" s="154"/>
      <c r="J2176" s="154"/>
      <c r="K2176" s="30" t="str">
        <f>IF(H2176="","",IF($C$30="간이법","",FPR(H2176,I2176,J2176)))</f>
        <v/>
      </c>
      <c r="L2176" s="30" t="str">
        <f>IF(H2176="","",IF($C$30="상세법",FPV(H2176,K2176),IF(H2176="EI",4,IF(H2176="EO",5.2,IF(H2176="EQ",3.9,IF(H2176="ILF",7.5,IF(H2176="EIF",5.4)))))))</f>
        <v/>
      </c>
      <c r="M2176" s="30" t="str">
        <f t="shared" si="233"/>
        <v/>
      </c>
      <c r="N2176" s="134"/>
      <c r="O2176" s="29"/>
      <c r="P2176" s="37" t="str">
        <f t="shared" si="234"/>
        <v/>
      </c>
      <c r="Q2176" s="38" t="str">
        <f t="shared" si="235"/>
        <v/>
      </c>
      <c r="R2176" s="37" t="str">
        <f t="shared" si="236"/>
        <v/>
      </c>
      <c r="S2176" s="37" t="str">
        <f t="shared" si="237"/>
        <v/>
      </c>
      <c r="T2176" s="38" t="str">
        <f t="shared" si="238"/>
        <v/>
      </c>
      <c r="U2176" s="37" t="str">
        <f t="shared" si="239"/>
        <v/>
      </c>
    </row>
    <row r="2177" spans="2:21" ht="17.25">
      <c r="B2177" s="156"/>
      <c r="C2177" s="156"/>
      <c r="D2177" s="157"/>
      <c r="E2177" s="155"/>
      <c r="F2177" s="151"/>
      <c r="G2177" s="152"/>
      <c r="H2177" s="153"/>
      <c r="I2177" s="154"/>
      <c r="J2177" s="154"/>
      <c r="K2177" s="30" t="str">
        <f>IF(H2177="","",IF($C$30="간이법","",FPR(H2177,I2177,J2177)))</f>
        <v/>
      </c>
      <c r="L2177" s="30" t="str">
        <f>IF(H2177="","",IF($C$30="상세법",FPV(H2177,K2177),IF(H2177="EI",4,IF(H2177="EO",5.2,IF(H2177="EQ",3.9,IF(H2177="ILF",7.5,IF(H2177="EIF",5.4)))))))</f>
        <v/>
      </c>
      <c r="M2177" s="30" t="str">
        <f t="shared" si="233"/>
        <v/>
      </c>
      <c r="N2177" s="134"/>
      <c r="O2177" s="29"/>
      <c r="P2177" s="37" t="str">
        <f t="shared" si="234"/>
        <v/>
      </c>
      <c r="Q2177" s="38" t="str">
        <f t="shared" si="235"/>
        <v/>
      </c>
      <c r="R2177" s="37" t="str">
        <f t="shared" si="236"/>
        <v/>
      </c>
      <c r="S2177" s="37" t="str">
        <f t="shared" si="237"/>
        <v/>
      </c>
      <c r="T2177" s="38" t="str">
        <f t="shared" si="238"/>
        <v/>
      </c>
      <c r="U2177" s="37" t="str">
        <f t="shared" si="239"/>
        <v/>
      </c>
    </row>
    <row r="2178" spans="2:21" ht="17.25">
      <c r="B2178" s="156"/>
      <c r="C2178" s="156"/>
      <c r="D2178" s="157"/>
      <c r="E2178" s="155"/>
      <c r="F2178" s="151"/>
      <c r="G2178" s="152"/>
      <c r="H2178" s="153"/>
      <c r="I2178" s="154"/>
      <c r="J2178" s="154"/>
      <c r="K2178" s="30" t="str">
        <f>IF(H2178="","",IF($C$30="간이법","",FPR(H2178,I2178,J2178)))</f>
        <v/>
      </c>
      <c r="L2178" s="30" t="str">
        <f>IF(H2178="","",IF($C$30="상세법",FPV(H2178,K2178),IF(H2178="EI",4,IF(H2178="EO",5.2,IF(H2178="EQ",3.9,IF(H2178="ILF",7.5,IF(H2178="EIF",5.4)))))))</f>
        <v/>
      </c>
      <c r="M2178" s="30" t="str">
        <f t="shared" si="233"/>
        <v/>
      </c>
      <c r="N2178" s="134"/>
      <c r="O2178" s="29"/>
      <c r="P2178" s="37" t="str">
        <f t="shared" si="234"/>
        <v/>
      </c>
      <c r="Q2178" s="38" t="str">
        <f t="shared" si="235"/>
        <v/>
      </c>
      <c r="R2178" s="37" t="str">
        <f t="shared" si="236"/>
        <v/>
      </c>
      <c r="S2178" s="37" t="str">
        <f t="shared" si="237"/>
        <v/>
      </c>
      <c r="T2178" s="38" t="str">
        <f t="shared" si="238"/>
        <v/>
      </c>
      <c r="U2178" s="37" t="str">
        <f t="shared" si="239"/>
        <v/>
      </c>
    </row>
    <row r="2179" spans="2:21" ht="17.25">
      <c r="B2179" s="156"/>
      <c r="C2179" s="156"/>
      <c r="D2179" s="157"/>
      <c r="E2179" s="155"/>
      <c r="F2179" s="151"/>
      <c r="G2179" s="152"/>
      <c r="H2179" s="153"/>
      <c r="I2179" s="154"/>
      <c r="J2179" s="154"/>
      <c r="K2179" s="30" t="str">
        <f>IF(H2179="","",IF($C$30="간이법","",FPR(H2179,I2179,J2179)))</f>
        <v/>
      </c>
      <c r="L2179" s="30" t="str">
        <f>IF(H2179="","",IF($C$30="상세법",FPV(H2179,K2179),IF(H2179="EI",4,IF(H2179="EO",5.2,IF(H2179="EQ",3.9,IF(H2179="ILF",7.5,IF(H2179="EIF",5.4)))))))</f>
        <v/>
      </c>
      <c r="M2179" s="30" t="str">
        <f t="shared" si="233"/>
        <v/>
      </c>
      <c r="N2179" s="134"/>
      <c r="O2179" s="29"/>
      <c r="P2179" s="37" t="str">
        <f t="shared" si="234"/>
        <v/>
      </c>
      <c r="Q2179" s="38" t="str">
        <f t="shared" si="235"/>
        <v/>
      </c>
      <c r="R2179" s="37" t="str">
        <f t="shared" si="236"/>
        <v/>
      </c>
      <c r="S2179" s="37" t="str">
        <f t="shared" si="237"/>
        <v/>
      </c>
      <c r="T2179" s="38" t="str">
        <f t="shared" si="238"/>
        <v/>
      </c>
      <c r="U2179" s="37" t="str">
        <f t="shared" si="239"/>
        <v/>
      </c>
    </row>
    <row r="2180" spans="2:21" ht="17.25">
      <c r="B2180" s="156"/>
      <c r="C2180" s="156"/>
      <c r="D2180" s="157"/>
      <c r="E2180" s="155"/>
      <c r="F2180" s="151"/>
      <c r="G2180" s="152"/>
      <c r="H2180" s="153"/>
      <c r="I2180" s="154"/>
      <c r="J2180" s="154"/>
      <c r="K2180" s="30" t="str">
        <f>IF(H2180="","",IF($C$30="간이법","",FPR(H2180,I2180,J2180)))</f>
        <v/>
      </c>
      <c r="L2180" s="30" t="str">
        <f>IF(H2180="","",IF($C$30="상세법",FPV(H2180,K2180),IF(H2180="EI",4,IF(H2180="EO",5.2,IF(H2180="EQ",3.9,IF(H2180="ILF",7.5,IF(H2180="EIF",5.4)))))))</f>
        <v/>
      </c>
      <c r="M2180" s="30" t="str">
        <f t="shared" si="233"/>
        <v/>
      </c>
      <c r="N2180" s="134"/>
      <c r="O2180" s="29"/>
      <c r="P2180" s="37" t="str">
        <f t="shared" si="234"/>
        <v/>
      </c>
      <c r="Q2180" s="38" t="str">
        <f t="shared" si="235"/>
        <v/>
      </c>
      <c r="R2180" s="37" t="str">
        <f t="shared" si="236"/>
        <v/>
      </c>
      <c r="S2180" s="37" t="str">
        <f t="shared" si="237"/>
        <v/>
      </c>
      <c r="T2180" s="38" t="str">
        <f t="shared" si="238"/>
        <v/>
      </c>
      <c r="U2180" s="37" t="str">
        <f t="shared" si="239"/>
        <v/>
      </c>
    </row>
    <row r="2181" spans="2:21" ht="17.25">
      <c r="B2181" s="156"/>
      <c r="C2181" s="156"/>
      <c r="D2181" s="157"/>
      <c r="E2181" s="155"/>
      <c r="F2181" s="151"/>
      <c r="G2181" s="152"/>
      <c r="H2181" s="153"/>
      <c r="I2181" s="154"/>
      <c r="J2181" s="154"/>
      <c r="K2181" s="30" t="str">
        <f>IF(H2181="","",IF($C$30="간이법","",FPR(H2181,I2181,J2181)))</f>
        <v/>
      </c>
      <c r="L2181" s="30" t="str">
        <f>IF(H2181="","",IF($C$30="상세법",FPV(H2181,K2181),IF(H2181="EI",4,IF(H2181="EO",5.2,IF(H2181="EQ",3.9,IF(H2181="ILF",7.5,IF(H2181="EIF",5.4)))))))</f>
        <v/>
      </c>
      <c r="M2181" s="30" t="str">
        <f t="shared" si="233"/>
        <v/>
      </c>
      <c r="N2181" s="134"/>
      <c r="O2181" s="29"/>
      <c r="P2181" s="37" t="str">
        <f t="shared" si="234"/>
        <v/>
      </c>
      <c r="Q2181" s="38" t="str">
        <f t="shared" si="235"/>
        <v/>
      </c>
      <c r="R2181" s="37" t="str">
        <f t="shared" si="236"/>
        <v/>
      </c>
      <c r="S2181" s="37" t="str">
        <f t="shared" si="237"/>
        <v/>
      </c>
      <c r="T2181" s="38" t="str">
        <f t="shared" si="238"/>
        <v/>
      </c>
      <c r="U2181" s="37" t="str">
        <f t="shared" si="239"/>
        <v/>
      </c>
    </row>
    <row r="2182" spans="2:21" ht="17.25">
      <c r="B2182" s="156"/>
      <c r="C2182" s="156"/>
      <c r="D2182" s="157"/>
      <c r="E2182" s="155"/>
      <c r="F2182" s="151"/>
      <c r="G2182" s="152"/>
      <c r="H2182" s="153"/>
      <c r="I2182" s="154"/>
      <c r="J2182" s="154"/>
      <c r="K2182" s="30" t="str">
        <f>IF(H2182="","",IF($C$30="간이법","",FPR(H2182,I2182,J2182)))</f>
        <v/>
      </c>
      <c r="L2182" s="30" t="str">
        <f>IF(H2182="","",IF($C$30="상세법",FPV(H2182,K2182),IF(H2182="EI",4,IF(H2182="EO",5.2,IF(H2182="EQ",3.9,IF(H2182="ILF",7.5,IF(H2182="EIF",5.4)))))))</f>
        <v/>
      </c>
      <c r="M2182" s="30" t="str">
        <f t="shared" si="233"/>
        <v/>
      </c>
      <c r="N2182" s="134"/>
      <c r="O2182" s="29"/>
      <c r="P2182" s="37" t="str">
        <f t="shared" si="234"/>
        <v/>
      </c>
      <c r="Q2182" s="38" t="str">
        <f t="shared" si="235"/>
        <v/>
      </c>
      <c r="R2182" s="37" t="str">
        <f t="shared" si="236"/>
        <v/>
      </c>
      <c r="S2182" s="37" t="str">
        <f t="shared" si="237"/>
        <v/>
      </c>
      <c r="T2182" s="38" t="str">
        <f t="shared" si="238"/>
        <v/>
      </c>
      <c r="U2182" s="37" t="str">
        <f t="shared" si="239"/>
        <v/>
      </c>
    </row>
    <row r="2183" spans="2:21" ht="17.25">
      <c r="B2183" s="156"/>
      <c r="C2183" s="156"/>
      <c r="D2183" s="157"/>
      <c r="E2183" s="155"/>
      <c r="F2183" s="151"/>
      <c r="G2183" s="152"/>
      <c r="H2183" s="153"/>
      <c r="I2183" s="154"/>
      <c r="J2183" s="154"/>
      <c r="K2183" s="30" t="str">
        <f>IF(H2183="","",IF($C$30="간이법","",FPR(H2183,I2183,J2183)))</f>
        <v/>
      </c>
      <c r="L2183" s="30" t="str">
        <f>IF(H2183="","",IF($C$30="상세법",FPV(H2183,K2183),IF(H2183="EI",4,IF(H2183="EO",5.2,IF(H2183="EQ",3.9,IF(H2183="ILF",7.5,IF(H2183="EIF",5.4)))))))</f>
        <v/>
      </c>
      <c r="M2183" s="30" t="str">
        <f t="shared" si="233"/>
        <v/>
      </c>
      <c r="N2183" s="134"/>
      <c r="O2183" s="29"/>
      <c r="P2183" s="37" t="str">
        <f t="shared" si="234"/>
        <v/>
      </c>
      <c r="Q2183" s="38" t="str">
        <f t="shared" si="235"/>
        <v/>
      </c>
      <c r="R2183" s="37" t="str">
        <f t="shared" si="236"/>
        <v/>
      </c>
      <c r="S2183" s="37" t="str">
        <f t="shared" si="237"/>
        <v/>
      </c>
      <c r="T2183" s="38" t="str">
        <f t="shared" si="238"/>
        <v/>
      </c>
      <c r="U2183" s="37" t="str">
        <f t="shared" si="239"/>
        <v/>
      </c>
    </row>
    <row r="2184" spans="2:21" ht="17.25">
      <c r="B2184" s="156"/>
      <c r="C2184" s="156"/>
      <c r="D2184" s="157"/>
      <c r="E2184" s="155"/>
      <c r="F2184" s="151"/>
      <c r="G2184" s="152"/>
      <c r="H2184" s="153"/>
      <c r="I2184" s="154"/>
      <c r="J2184" s="154"/>
      <c r="K2184" s="30" t="str">
        <f>IF(H2184="","",IF($C$30="간이법","",FPR(H2184,I2184,J2184)))</f>
        <v/>
      </c>
      <c r="L2184" s="30" t="str">
        <f>IF(H2184="","",IF($C$30="상세법",FPV(H2184,K2184),IF(H2184="EI",4,IF(H2184="EO",5.2,IF(H2184="EQ",3.9,IF(H2184="ILF",7.5,IF(H2184="EIF",5.4)))))))</f>
        <v/>
      </c>
      <c r="M2184" s="30" t="str">
        <f t="shared" si="233"/>
        <v/>
      </c>
      <c r="N2184" s="134"/>
      <c r="O2184" s="29"/>
      <c r="P2184" s="37" t="str">
        <f t="shared" si="234"/>
        <v/>
      </c>
      <c r="Q2184" s="38" t="str">
        <f t="shared" si="235"/>
        <v/>
      </c>
      <c r="R2184" s="37" t="str">
        <f t="shared" si="236"/>
        <v/>
      </c>
      <c r="S2184" s="37" t="str">
        <f t="shared" si="237"/>
        <v/>
      </c>
      <c r="T2184" s="38" t="str">
        <f t="shared" si="238"/>
        <v/>
      </c>
      <c r="U2184" s="37" t="str">
        <f t="shared" si="239"/>
        <v/>
      </c>
    </row>
    <row r="2185" spans="2:21" ht="17.25">
      <c r="B2185" s="156"/>
      <c r="C2185" s="156"/>
      <c r="D2185" s="157"/>
      <c r="E2185" s="155"/>
      <c r="F2185" s="151"/>
      <c r="G2185" s="152"/>
      <c r="H2185" s="153"/>
      <c r="I2185" s="154"/>
      <c r="J2185" s="154"/>
      <c r="K2185" s="30" t="str">
        <f>IF(H2185="","",IF($C$30="간이법","",FPR(H2185,I2185,J2185)))</f>
        <v/>
      </c>
      <c r="L2185" s="30" t="str">
        <f>IF(H2185="","",IF($C$30="상세법",FPV(H2185,K2185),IF(H2185="EI",4,IF(H2185="EO",5.2,IF(H2185="EQ",3.9,IF(H2185="ILF",7.5,IF(H2185="EIF",5.4)))))))</f>
        <v/>
      </c>
      <c r="M2185" s="30" t="str">
        <f t="shared" si="233"/>
        <v/>
      </c>
      <c r="N2185" s="134"/>
      <c r="O2185" s="29"/>
      <c r="P2185" s="37" t="str">
        <f t="shared" si="234"/>
        <v/>
      </c>
      <c r="Q2185" s="38" t="str">
        <f t="shared" si="235"/>
        <v/>
      </c>
      <c r="R2185" s="37" t="str">
        <f t="shared" si="236"/>
        <v/>
      </c>
      <c r="S2185" s="37" t="str">
        <f t="shared" si="237"/>
        <v/>
      </c>
      <c r="T2185" s="38" t="str">
        <f t="shared" si="238"/>
        <v/>
      </c>
      <c r="U2185" s="37" t="str">
        <f t="shared" si="239"/>
        <v/>
      </c>
    </row>
    <row r="2186" spans="2:21" ht="17.25">
      <c r="B2186" s="156"/>
      <c r="C2186" s="156"/>
      <c r="D2186" s="157"/>
      <c r="E2186" s="155"/>
      <c r="F2186" s="151"/>
      <c r="G2186" s="152"/>
      <c r="H2186" s="153"/>
      <c r="I2186" s="154"/>
      <c r="J2186" s="154"/>
      <c r="K2186" s="30" t="str">
        <f>IF(H2186="","",IF($C$30="간이법","",FPR(H2186,I2186,J2186)))</f>
        <v/>
      </c>
      <c r="L2186" s="30" t="str">
        <f>IF(H2186="","",IF($C$30="상세법",FPV(H2186,K2186),IF(H2186="EI",4,IF(H2186="EO",5.2,IF(H2186="EQ",3.9,IF(H2186="ILF",7.5,IF(H2186="EIF",5.4)))))))</f>
        <v/>
      </c>
      <c r="M2186" s="30" t="str">
        <f t="shared" si="233"/>
        <v/>
      </c>
      <c r="N2186" s="134"/>
      <c r="O2186" s="29"/>
      <c r="P2186" s="37" t="str">
        <f t="shared" si="234"/>
        <v/>
      </c>
      <c r="Q2186" s="38" t="str">
        <f t="shared" si="235"/>
        <v/>
      </c>
      <c r="R2186" s="37" t="str">
        <f t="shared" si="236"/>
        <v/>
      </c>
      <c r="S2186" s="37" t="str">
        <f t="shared" si="237"/>
        <v/>
      </c>
      <c r="T2186" s="38" t="str">
        <f t="shared" si="238"/>
        <v/>
      </c>
      <c r="U2186" s="37" t="str">
        <f t="shared" si="239"/>
        <v/>
      </c>
    </row>
    <row r="2187" spans="2:21" ht="17.25">
      <c r="B2187" s="156"/>
      <c r="C2187" s="156"/>
      <c r="D2187" s="157"/>
      <c r="E2187" s="155"/>
      <c r="F2187" s="151"/>
      <c r="G2187" s="152"/>
      <c r="H2187" s="153"/>
      <c r="I2187" s="154"/>
      <c r="J2187" s="154"/>
      <c r="K2187" s="30" t="str">
        <f>IF(H2187="","",IF($C$30="간이법","",FPR(H2187,I2187,J2187)))</f>
        <v/>
      </c>
      <c r="L2187" s="30" t="str">
        <f>IF(H2187="","",IF($C$30="상세법",FPV(H2187,K2187),IF(H2187="EI",4,IF(H2187="EO",5.2,IF(H2187="EQ",3.9,IF(H2187="ILF",7.5,IF(H2187="EIF",5.4)))))))</f>
        <v/>
      </c>
      <c r="M2187" s="30" t="str">
        <f t="shared" si="233"/>
        <v/>
      </c>
      <c r="N2187" s="134"/>
      <c r="O2187" s="29"/>
      <c r="P2187" s="37" t="str">
        <f t="shared" si="234"/>
        <v/>
      </c>
      <c r="Q2187" s="38" t="str">
        <f t="shared" si="235"/>
        <v/>
      </c>
      <c r="R2187" s="37" t="str">
        <f t="shared" si="236"/>
        <v/>
      </c>
      <c r="S2187" s="37" t="str">
        <f t="shared" si="237"/>
        <v/>
      </c>
      <c r="T2187" s="38" t="str">
        <f t="shared" si="238"/>
        <v/>
      </c>
      <c r="U2187" s="37" t="str">
        <f t="shared" si="239"/>
        <v/>
      </c>
    </row>
    <row r="2188" spans="2:21" ht="17.25">
      <c r="B2188" s="156"/>
      <c r="C2188" s="156"/>
      <c r="D2188" s="157"/>
      <c r="E2188" s="155"/>
      <c r="F2188" s="151"/>
      <c r="G2188" s="152"/>
      <c r="H2188" s="153"/>
      <c r="I2188" s="154"/>
      <c r="J2188" s="154"/>
      <c r="K2188" s="30" t="str">
        <f>IF(H2188="","",IF($C$30="간이법","",FPR(H2188,I2188,J2188)))</f>
        <v/>
      </c>
      <c r="L2188" s="30" t="str">
        <f>IF(H2188="","",IF($C$30="상세법",FPV(H2188,K2188),IF(H2188="EI",4,IF(H2188="EO",5.2,IF(H2188="EQ",3.9,IF(H2188="ILF",7.5,IF(H2188="EIF",5.4)))))))</f>
        <v/>
      </c>
      <c r="M2188" s="30" t="str">
        <f t="shared" si="233"/>
        <v/>
      </c>
      <c r="N2188" s="134"/>
      <c r="O2188" s="29"/>
      <c r="P2188" s="37" t="str">
        <f t="shared" si="234"/>
        <v/>
      </c>
      <c r="Q2188" s="38" t="str">
        <f t="shared" si="235"/>
        <v/>
      </c>
      <c r="R2188" s="37" t="str">
        <f t="shared" si="236"/>
        <v/>
      </c>
      <c r="S2188" s="37" t="str">
        <f t="shared" si="237"/>
        <v/>
      </c>
      <c r="T2188" s="38" t="str">
        <f t="shared" si="238"/>
        <v/>
      </c>
      <c r="U2188" s="37" t="str">
        <f t="shared" si="239"/>
        <v/>
      </c>
    </row>
    <row r="2189" spans="2:21" ht="17.25">
      <c r="B2189" s="156"/>
      <c r="C2189" s="156"/>
      <c r="D2189" s="157"/>
      <c r="E2189" s="155"/>
      <c r="F2189" s="151"/>
      <c r="G2189" s="152"/>
      <c r="H2189" s="153"/>
      <c r="I2189" s="154"/>
      <c r="J2189" s="154"/>
      <c r="K2189" s="30" t="str">
        <f>IF(H2189="","",IF($C$30="간이법","",FPR(H2189,I2189,J2189)))</f>
        <v/>
      </c>
      <c r="L2189" s="30" t="str">
        <f>IF(H2189="","",IF($C$30="상세법",FPV(H2189,K2189),IF(H2189="EI",4,IF(H2189="EO",5.2,IF(H2189="EQ",3.9,IF(H2189="ILF",7.5,IF(H2189="EIF",5.4)))))))</f>
        <v/>
      </c>
      <c r="M2189" s="30" t="str">
        <f t="shared" si="233"/>
        <v/>
      </c>
      <c r="N2189" s="134"/>
      <c r="O2189" s="29"/>
      <c r="P2189" s="37" t="str">
        <f t="shared" si="234"/>
        <v/>
      </c>
      <c r="Q2189" s="38" t="str">
        <f t="shared" si="235"/>
        <v/>
      </c>
      <c r="R2189" s="37" t="str">
        <f t="shared" si="236"/>
        <v/>
      </c>
      <c r="S2189" s="37" t="str">
        <f t="shared" si="237"/>
        <v/>
      </c>
      <c r="T2189" s="38" t="str">
        <f t="shared" si="238"/>
        <v/>
      </c>
      <c r="U2189" s="37" t="str">
        <f t="shared" si="239"/>
        <v/>
      </c>
    </row>
    <row r="2190" spans="2:21" ht="17.25">
      <c r="B2190" s="156"/>
      <c r="C2190" s="156"/>
      <c r="D2190" s="157"/>
      <c r="E2190" s="155"/>
      <c r="F2190" s="151"/>
      <c r="G2190" s="152"/>
      <c r="H2190" s="153"/>
      <c r="I2190" s="154"/>
      <c r="J2190" s="154"/>
      <c r="K2190" s="30" t="str">
        <f>IF(H2190="","",IF($C$30="간이법","",FPR(H2190,I2190,J2190)))</f>
        <v/>
      </c>
      <c r="L2190" s="30" t="str">
        <f>IF(H2190="","",IF($C$30="상세법",FPV(H2190,K2190),IF(H2190="EI",4,IF(H2190="EO",5.2,IF(H2190="EQ",3.9,IF(H2190="ILF",7.5,IF(H2190="EIF",5.4)))))))</f>
        <v/>
      </c>
      <c r="M2190" s="30" t="str">
        <f t="shared" si="233"/>
        <v/>
      </c>
      <c r="N2190" s="134"/>
      <c r="O2190" s="29"/>
      <c r="P2190" s="37" t="str">
        <f t="shared" si="234"/>
        <v/>
      </c>
      <c r="Q2190" s="38" t="str">
        <f t="shared" si="235"/>
        <v/>
      </c>
      <c r="R2190" s="37" t="str">
        <f t="shared" si="236"/>
        <v/>
      </c>
      <c r="S2190" s="37" t="str">
        <f t="shared" si="237"/>
        <v/>
      </c>
      <c r="T2190" s="38" t="str">
        <f t="shared" si="238"/>
        <v/>
      </c>
      <c r="U2190" s="37" t="str">
        <f t="shared" si="239"/>
        <v/>
      </c>
    </row>
    <row r="2191" spans="2:21" ht="17.25">
      <c r="B2191" s="156"/>
      <c r="C2191" s="156"/>
      <c r="D2191" s="157"/>
      <c r="E2191" s="155"/>
      <c r="F2191" s="151"/>
      <c r="G2191" s="152"/>
      <c r="H2191" s="153"/>
      <c r="I2191" s="154"/>
      <c r="J2191" s="154"/>
      <c r="K2191" s="30" t="str">
        <f>IF(H2191="","",IF($C$30="간이법","",FPR(H2191,I2191,J2191)))</f>
        <v/>
      </c>
      <c r="L2191" s="30" t="str">
        <f>IF(H2191="","",IF($C$30="상세법",FPV(H2191,K2191),IF(H2191="EI",4,IF(H2191="EO",5.2,IF(H2191="EQ",3.9,IF(H2191="ILF",7.5,IF(H2191="EIF",5.4)))))))</f>
        <v/>
      </c>
      <c r="M2191" s="30" t="str">
        <f t="shared" si="233"/>
        <v/>
      </c>
      <c r="N2191" s="134"/>
      <c r="O2191" s="29"/>
      <c r="P2191" s="37" t="str">
        <f t="shared" si="234"/>
        <v/>
      </c>
      <c r="Q2191" s="38" t="str">
        <f t="shared" si="235"/>
        <v/>
      </c>
      <c r="R2191" s="37" t="str">
        <f t="shared" si="236"/>
        <v/>
      </c>
      <c r="S2191" s="37" t="str">
        <f t="shared" si="237"/>
        <v/>
      </c>
      <c r="T2191" s="38" t="str">
        <f t="shared" si="238"/>
        <v/>
      </c>
      <c r="U2191" s="37" t="str">
        <f t="shared" si="239"/>
        <v/>
      </c>
    </row>
    <row r="2192" spans="2:21" ht="17.25">
      <c r="B2192" s="156"/>
      <c r="C2192" s="156"/>
      <c r="D2192" s="157"/>
      <c r="E2192" s="155"/>
      <c r="F2192" s="151"/>
      <c r="G2192" s="152"/>
      <c r="H2192" s="153"/>
      <c r="I2192" s="154"/>
      <c r="J2192" s="154"/>
      <c r="K2192" s="30" t="str">
        <f>IF(H2192="","",IF($C$30="간이법","",FPR(H2192,I2192,J2192)))</f>
        <v/>
      </c>
      <c r="L2192" s="30" t="str">
        <f>IF(H2192="","",IF($C$30="상세법",FPV(H2192,K2192),IF(H2192="EI",4,IF(H2192="EO",5.2,IF(H2192="EQ",3.9,IF(H2192="ILF",7.5,IF(H2192="EIF",5.4)))))))</f>
        <v/>
      </c>
      <c r="M2192" s="30" t="str">
        <f t="shared" si="233"/>
        <v/>
      </c>
      <c r="N2192" s="134"/>
      <c r="O2192" s="29"/>
      <c r="P2192" s="37" t="str">
        <f t="shared" si="234"/>
        <v/>
      </c>
      <c r="Q2192" s="38" t="str">
        <f t="shared" si="235"/>
        <v/>
      </c>
      <c r="R2192" s="37" t="str">
        <f t="shared" si="236"/>
        <v/>
      </c>
      <c r="S2192" s="37" t="str">
        <f t="shared" si="237"/>
        <v/>
      </c>
      <c r="T2192" s="38" t="str">
        <f t="shared" si="238"/>
        <v/>
      </c>
      <c r="U2192" s="37" t="str">
        <f t="shared" si="239"/>
        <v/>
      </c>
    </row>
    <row r="2193" spans="2:21" ht="17.25">
      <c r="B2193" s="156"/>
      <c r="C2193" s="156"/>
      <c r="D2193" s="157"/>
      <c r="E2193" s="155"/>
      <c r="F2193" s="151"/>
      <c r="G2193" s="152"/>
      <c r="H2193" s="153"/>
      <c r="I2193" s="154"/>
      <c r="J2193" s="154"/>
      <c r="K2193" s="30" t="str">
        <f>IF(H2193="","",IF($C$30="간이법","",FPR(H2193,I2193,J2193)))</f>
        <v/>
      </c>
      <c r="L2193" s="30" t="str">
        <f>IF(H2193="","",IF($C$30="상세법",FPV(H2193,K2193),IF(H2193="EI",4,IF(H2193="EO",5.2,IF(H2193="EQ",3.9,IF(H2193="ILF",7.5,IF(H2193="EIF",5.4)))))))</f>
        <v/>
      </c>
      <c r="M2193" s="30" t="str">
        <f t="shared" si="233"/>
        <v/>
      </c>
      <c r="N2193" s="134"/>
      <c r="O2193" s="29"/>
      <c r="P2193" s="37" t="str">
        <f t="shared" si="234"/>
        <v/>
      </c>
      <c r="Q2193" s="38" t="str">
        <f t="shared" si="235"/>
        <v/>
      </c>
      <c r="R2193" s="37" t="str">
        <f t="shared" si="236"/>
        <v/>
      </c>
      <c r="S2193" s="37" t="str">
        <f t="shared" si="237"/>
        <v/>
      </c>
      <c r="T2193" s="38" t="str">
        <f t="shared" si="238"/>
        <v/>
      </c>
      <c r="U2193" s="37" t="str">
        <f t="shared" si="239"/>
        <v/>
      </c>
    </row>
    <row r="2194" spans="2:21" ht="17.25">
      <c r="B2194" s="156"/>
      <c r="C2194" s="156"/>
      <c r="D2194" s="157"/>
      <c r="E2194" s="155"/>
      <c r="F2194" s="151"/>
      <c r="G2194" s="152"/>
      <c r="H2194" s="153"/>
      <c r="I2194" s="154"/>
      <c r="J2194" s="154"/>
      <c r="K2194" s="30" t="str">
        <f>IF(H2194="","",IF($C$30="간이법","",FPR(H2194,I2194,J2194)))</f>
        <v/>
      </c>
      <c r="L2194" s="30" t="str">
        <f>IF(H2194="","",IF($C$30="상세법",FPV(H2194,K2194),IF(H2194="EI",4,IF(H2194="EO",5.2,IF(H2194="EQ",3.9,IF(H2194="ILF",7.5,IF(H2194="EIF",5.4)))))))</f>
        <v/>
      </c>
      <c r="M2194" s="30" t="str">
        <f t="shared" si="233"/>
        <v/>
      </c>
      <c r="N2194" s="134"/>
      <c r="O2194" s="29"/>
      <c r="P2194" s="37" t="str">
        <f t="shared" si="234"/>
        <v/>
      </c>
      <c r="Q2194" s="38" t="str">
        <f t="shared" si="235"/>
        <v/>
      </c>
      <c r="R2194" s="37" t="str">
        <f t="shared" si="236"/>
        <v/>
      </c>
      <c r="S2194" s="37" t="str">
        <f t="shared" si="237"/>
        <v/>
      </c>
      <c r="T2194" s="38" t="str">
        <f t="shared" si="238"/>
        <v/>
      </c>
      <c r="U2194" s="37" t="str">
        <f t="shared" si="239"/>
        <v/>
      </c>
    </row>
    <row r="2195" spans="2:21" ht="17.25">
      <c r="B2195" s="156"/>
      <c r="C2195" s="156"/>
      <c r="D2195" s="157"/>
      <c r="E2195" s="155"/>
      <c r="F2195" s="151"/>
      <c r="G2195" s="152"/>
      <c r="H2195" s="153"/>
      <c r="I2195" s="154"/>
      <c r="J2195" s="154"/>
      <c r="K2195" s="30" t="str">
        <f>IF(H2195="","",IF($C$30="간이법","",FPR(H2195,I2195,J2195)))</f>
        <v/>
      </c>
      <c r="L2195" s="30" t="str">
        <f>IF(H2195="","",IF($C$30="상세법",FPV(H2195,K2195),IF(H2195="EI",4,IF(H2195="EO",5.2,IF(H2195="EQ",3.9,IF(H2195="ILF",7.5,IF(H2195="EIF",5.4)))))))</f>
        <v/>
      </c>
      <c r="M2195" s="30" t="str">
        <f t="shared" si="233"/>
        <v/>
      </c>
      <c r="N2195" s="134"/>
      <c r="O2195" s="29"/>
      <c r="P2195" s="37" t="str">
        <f t="shared" si="234"/>
        <v/>
      </c>
      <c r="Q2195" s="38" t="str">
        <f t="shared" si="235"/>
        <v/>
      </c>
      <c r="R2195" s="37" t="str">
        <f t="shared" si="236"/>
        <v/>
      </c>
      <c r="S2195" s="37" t="str">
        <f t="shared" si="237"/>
        <v/>
      </c>
      <c r="T2195" s="38" t="str">
        <f t="shared" si="238"/>
        <v/>
      </c>
      <c r="U2195" s="37" t="str">
        <f t="shared" si="239"/>
        <v/>
      </c>
    </row>
    <row r="2196" spans="2:21" ht="17.25">
      <c r="B2196" s="156"/>
      <c r="C2196" s="156"/>
      <c r="D2196" s="157"/>
      <c r="E2196" s="155"/>
      <c r="F2196" s="151"/>
      <c r="G2196" s="152"/>
      <c r="H2196" s="153"/>
      <c r="I2196" s="154"/>
      <c r="J2196" s="154"/>
      <c r="K2196" s="30" t="str">
        <f>IF(H2196="","",IF($C$30="간이법","",FPR(H2196,I2196,J2196)))</f>
        <v/>
      </c>
      <c r="L2196" s="30" t="str">
        <f>IF(H2196="","",IF($C$30="상세법",FPV(H2196,K2196),IF(H2196="EI",4,IF(H2196="EO",5.2,IF(H2196="EQ",3.9,IF(H2196="ILF",7.5,IF(H2196="EIF",5.4)))))))</f>
        <v/>
      </c>
      <c r="M2196" s="30" t="str">
        <f t="shared" si="233"/>
        <v/>
      </c>
      <c r="N2196" s="134"/>
      <c r="O2196" s="29"/>
      <c r="P2196" s="37" t="str">
        <f t="shared" si="234"/>
        <v/>
      </c>
      <c r="Q2196" s="38" t="str">
        <f t="shared" si="235"/>
        <v/>
      </c>
      <c r="R2196" s="37" t="str">
        <f t="shared" si="236"/>
        <v/>
      </c>
      <c r="S2196" s="37" t="str">
        <f t="shared" si="237"/>
        <v/>
      </c>
      <c r="T2196" s="38" t="str">
        <f t="shared" si="238"/>
        <v/>
      </c>
      <c r="U2196" s="37" t="str">
        <f t="shared" si="239"/>
        <v/>
      </c>
    </row>
    <row r="2197" spans="2:21" ht="17.25">
      <c r="B2197" s="156"/>
      <c r="C2197" s="156"/>
      <c r="D2197" s="157"/>
      <c r="E2197" s="155"/>
      <c r="F2197" s="151"/>
      <c r="G2197" s="152"/>
      <c r="H2197" s="153"/>
      <c r="I2197" s="154"/>
      <c r="J2197" s="154"/>
      <c r="K2197" s="30" t="str">
        <f>IF(H2197="","",IF($C$30="간이법","",FPR(H2197,I2197,J2197)))</f>
        <v/>
      </c>
      <c r="L2197" s="30" t="str">
        <f>IF(H2197="","",IF($C$30="상세법",FPV(H2197,K2197),IF(H2197="EI",4,IF(H2197="EO",5.2,IF(H2197="EQ",3.9,IF(H2197="ILF",7.5,IF(H2197="EIF",5.4)))))))</f>
        <v/>
      </c>
      <c r="M2197" s="30" t="str">
        <f t="shared" si="233"/>
        <v/>
      </c>
      <c r="N2197" s="134"/>
      <c r="O2197" s="29"/>
      <c r="P2197" s="37" t="str">
        <f t="shared" si="234"/>
        <v/>
      </c>
      <c r="Q2197" s="38" t="str">
        <f t="shared" si="235"/>
        <v/>
      </c>
      <c r="R2197" s="37" t="str">
        <f t="shared" si="236"/>
        <v/>
      </c>
      <c r="S2197" s="37" t="str">
        <f t="shared" si="237"/>
        <v/>
      </c>
      <c r="T2197" s="38" t="str">
        <f t="shared" si="238"/>
        <v/>
      </c>
      <c r="U2197" s="37" t="str">
        <f t="shared" si="239"/>
        <v/>
      </c>
    </row>
    <row r="2198" spans="2:21" ht="17.25">
      <c r="B2198" s="156"/>
      <c r="C2198" s="156"/>
      <c r="D2198" s="157"/>
      <c r="E2198" s="155"/>
      <c r="F2198" s="151"/>
      <c r="G2198" s="152"/>
      <c r="H2198" s="153"/>
      <c r="I2198" s="154"/>
      <c r="J2198" s="154"/>
      <c r="K2198" s="30" t="str">
        <f>IF(H2198="","",IF($C$30="간이법","",FPR(H2198,I2198,J2198)))</f>
        <v/>
      </c>
      <c r="L2198" s="30" t="str">
        <f>IF(H2198="","",IF($C$30="상세법",FPV(H2198,K2198),IF(H2198="EI",4,IF(H2198="EO",5.2,IF(H2198="EQ",3.9,IF(H2198="ILF",7.5,IF(H2198="EIF",5.4)))))))</f>
        <v/>
      </c>
      <c r="M2198" s="30" t="str">
        <f t="shared" si="233"/>
        <v/>
      </c>
      <c r="N2198" s="134"/>
      <c r="O2198" s="29"/>
      <c r="P2198" s="37" t="str">
        <f t="shared" si="234"/>
        <v/>
      </c>
      <c r="Q2198" s="38" t="str">
        <f t="shared" si="235"/>
        <v/>
      </c>
      <c r="R2198" s="37" t="str">
        <f t="shared" si="236"/>
        <v/>
      </c>
      <c r="S2198" s="37" t="str">
        <f t="shared" si="237"/>
        <v/>
      </c>
      <c r="T2198" s="38" t="str">
        <f t="shared" si="238"/>
        <v/>
      </c>
      <c r="U2198" s="37" t="str">
        <f t="shared" si="239"/>
        <v/>
      </c>
    </row>
    <row r="2199" spans="2:21" ht="17.25">
      <c r="B2199" s="156"/>
      <c r="C2199" s="156"/>
      <c r="D2199" s="157"/>
      <c r="E2199" s="155"/>
      <c r="F2199" s="151"/>
      <c r="G2199" s="152"/>
      <c r="H2199" s="153"/>
      <c r="I2199" s="154"/>
      <c r="J2199" s="154"/>
      <c r="K2199" s="30" t="str">
        <f>IF(H2199="","",IF($C$30="간이법","",FPR(H2199,I2199,J2199)))</f>
        <v/>
      </c>
      <c r="L2199" s="30" t="str">
        <f>IF(H2199="","",IF($C$30="상세법",FPV(H2199,K2199),IF(H2199="EI",4,IF(H2199="EO",5.2,IF(H2199="EQ",3.9,IF(H2199="ILF",7.5,IF(H2199="EIF",5.4)))))))</f>
        <v/>
      </c>
      <c r="M2199" s="30" t="str">
        <f t="shared" si="233"/>
        <v/>
      </c>
      <c r="N2199" s="134"/>
      <c r="O2199" s="29"/>
      <c r="P2199" s="37" t="str">
        <f t="shared" si="234"/>
        <v/>
      </c>
      <c r="Q2199" s="38" t="str">
        <f t="shared" si="235"/>
        <v/>
      </c>
      <c r="R2199" s="37" t="str">
        <f t="shared" si="236"/>
        <v/>
      </c>
      <c r="S2199" s="37" t="str">
        <f t="shared" si="237"/>
        <v/>
      </c>
      <c r="T2199" s="38" t="str">
        <f t="shared" si="238"/>
        <v/>
      </c>
      <c r="U2199" s="37" t="str">
        <f t="shared" si="239"/>
        <v/>
      </c>
    </row>
    <row r="2200" spans="2:21" ht="17.25">
      <c r="B2200" s="156"/>
      <c r="C2200" s="156"/>
      <c r="D2200" s="157"/>
      <c r="E2200" s="155"/>
      <c r="F2200" s="151"/>
      <c r="G2200" s="152"/>
      <c r="H2200" s="153"/>
      <c r="I2200" s="154"/>
      <c r="J2200" s="154"/>
      <c r="K2200" s="30" t="str">
        <f>IF(H2200="","",IF($C$30="간이법","",FPR(H2200,I2200,J2200)))</f>
        <v/>
      </c>
      <c r="L2200" s="30" t="str">
        <f>IF(H2200="","",IF($C$30="상세법",FPV(H2200,K2200),IF(H2200="EI",4,IF(H2200="EO",5.2,IF(H2200="EQ",3.9,IF(H2200="ILF",7.5,IF(H2200="EIF",5.4)))))))</f>
        <v/>
      </c>
      <c r="M2200" s="30" t="str">
        <f t="shared" si="233"/>
        <v/>
      </c>
      <c r="N2200" s="134"/>
      <c r="O2200" s="29"/>
      <c r="P2200" s="37" t="str">
        <f t="shared" si="234"/>
        <v/>
      </c>
      <c r="Q2200" s="38" t="str">
        <f t="shared" si="235"/>
        <v/>
      </c>
      <c r="R2200" s="37" t="str">
        <f t="shared" si="236"/>
        <v/>
      </c>
      <c r="S2200" s="37" t="str">
        <f t="shared" si="237"/>
        <v/>
      </c>
      <c r="T2200" s="38" t="str">
        <f t="shared" si="238"/>
        <v/>
      </c>
      <c r="U2200" s="37" t="str">
        <f t="shared" si="239"/>
        <v/>
      </c>
    </row>
    <row r="2201" spans="2:21" ht="17.25">
      <c r="B2201" s="156"/>
      <c r="C2201" s="156"/>
      <c r="D2201" s="157"/>
      <c r="E2201" s="155"/>
      <c r="F2201" s="151"/>
      <c r="G2201" s="152"/>
      <c r="H2201" s="153"/>
      <c r="I2201" s="154"/>
      <c r="J2201" s="154"/>
      <c r="K2201" s="30" t="str">
        <f>IF(H2201="","",IF($C$30="간이법","",FPR(H2201,I2201,J2201)))</f>
        <v/>
      </c>
      <c r="L2201" s="30" t="str">
        <f>IF(H2201="","",IF($C$30="상세법",FPV(H2201,K2201),IF(H2201="EI",4,IF(H2201="EO",5.2,IF(H2201="EQ",3.9,IF(H2201="ILF",7.5,IF(H2201="EIF",5.4)))))))</f>
        <v/>
      </c>
      <c r="M2201" s="30" t="str">
        <f t="shared" si="233"/>
        <v/>
      </c>
      <c r="N2201" s="134"/>
      <c r="O2201" s="29"/>
      <c r="P2201" s="37" t="str">
        <f t="shared" si="234"/>
        <v/>
      </c>
      <c r="Q2201" s="38" t="str">
        <f t="shared" si="235"/>
        <v/>
      </c>
      <c r="R2201" s="37" t="str">
        <f t="shared" si="236"/>
        <v/>
      </c>
      <c r="S2201" s="37" t="str">
        <f t="shared" si="237"/>
        <v/>
      </c>
      <c r="T2201" s="38" t="str">
        <f t="shared" si="238"/>
        <v/>
      </c>
      <c r="U2201" s="37" t="str">
        <f t="shared" si="239"/>
        <v/>
      </c>
    </row>
    <row r="2202" spans="2:21" ht="17.25">
      <c r="B2202" s="156"/>
      <c r="C2202" s="156"/>
      <c r="D2202" s="157"/>
      <c r="E2202" s="155"/>
      <c r="F2202" s="151"/>
      <c r="G2202" s="152"/>
      <c r="H2202" s="153"/>
      <c r="I2202" s="154"/>
      <c r="J2202" s="154"/>
      <c r="K2202" s="30" t="str">
        <f>IF(H2202="","",IF($C$30="간이법","",FPR(H2202,I2202,J2202)))</f>
        <v/>
      </c>
      <c r="L2202" s="30" t="str">
        <f>IF(H2202="","",IF($C$30="상세법",FPV(H2202,K2202),IF(H2202="EI",4,IF(H2202="EO",5.2,IF(H2202="EQ",3.9,IF(H2202="ILF",7.5,IF(H2202="EIF",5.4)))))))</f>
        <v/>
      </c>
      <c r="M2202" s="30" t="str">
        <f t="shared" si="233"/>
        <v/>
      </c>
      <c r="N2202" s="134"/>
      <c r="O2202" s="29"/>
      <c r="P2202" s="37" t="str">
        <f t="shared" si="234"/>
        <v/>
      </c>
      <c r="Q2202" s="38" t="str">
        <f t="shared" si="235"/>
        <v/>
      </c>
      <c r="R2202" s="37" t="str">
        <f t="shared" si="236"/>
        <v/>
      </c>
      <c r="S2202" s="37" t="str">
        <f t="shared" si="237"/>
        <v/>
      </c>
      <c r="T2202" s="38" t="str">
        <f t="shared" si="238"/>
        <v/>
      </c>
      <c r="U2202" s="37" t="str">
        <f t="shared" si="239"/>
        <v/>
      </c>
    </row>
    <row r="2203" spans="2:21" ht="17.25">
      <c r="B2203" s="156"/>
      <c r="C2203" s="156"/>
      <c r="D2203" s="157"/>
      <c r="E2203" s="155"/>
      <c r="F2203" s="151"/>
      <c r="G2203" s="152"/>
      <c r="H2203" s="153"/>
      <c r="I2203" s="154"/>
      <c r="J2203" s="154"/>
      <c r="K2203" s="30" t="str">
        <f>IF(H2203="","",IF($C$30="간이법","",FPR(H2203,I2203,J2203)))</f>
        <v/>
      </c>
      <c r="L2203" s="30" t="str">
        <f>IF(H2203="","",IF($C$30="상세법",FPV(H2203,K2203),IF(H2203="EI",4,IF(H2203="EO",5.2,IF(H2203="EQ",3.9,IF(H2203="ILF",7.5,IF(H2203="EIF",5.4)))))))</f>
        <v/>
      </c>
      <c r="M2203" s="30" t="str">
        <f t="shared" si="233"/>
        <v/>
      </c>
      <c r="N2203" s="134"/>
      <c r="O2203" s="29"/>
      <c r="P2203" s="37" t="str">
        <f t="shared" si="234"/>
        <v/>
      </c>
      <c r="Q2203" s="38" t="str">
        <f t="shared" si="235"/>
        <v/>
      </c>
      <c r="R2203" s="37" t="str">
        <f t="shared" si="236"/>
        <v/>
      </c>
      <c r="S2203" s="37" t="str">
        <f t="shared" si="237"/>
        <v/>
      </c>
      <c r="T2203" s="38" t="str">
        <f t="shared" si="238"/>
        <v/>
      </c>
      <c r="U2203" s="37" t="str">
        <f t="shared" si="239"/>
        <v/>
      </c>
    </row>
    <row r="2204" spans="2:21" ht="17.25">
      <c r="B2204" s="156"/>
      <c r="C2204" s="156"/>
      <c r="D2204" s="157"/>
      <c r="E2204" s="155"/>
      <c r="F2204" s="151"/>
      <c r="G2204" s="152"/>
      <c r="H2204" s="153"/>
      <c r="I2204" s="154"/>
      <c r="J2204" s="154"/>
      <c r="K2204" s="30" t="str">
        <f>IF(H2204="","",IF($C$30="간이법","",FPR(H2204,I2204,J2204)))</f>
        <v/>
      </c>
      <c r="L2204" s="30" t="str">
        <f>IF(H2204="","",IF($C$30="상세법",FPV(H2204,K2204),IF(H2204="EI",4,IF(H2204="EO",5.2,IF(H2204="EQ",3.9,IF(H2204="ILF",7.5,IF(H2204="EIF",5.4)))))))</f>
        <v/>
      </c>
      <c r="M2204" s="30" t="str">
        <f t="shared" si="233"/>
        <v/>
      </c>
      <c r="N2204" s="134"/>
      <c r="O2204" s="29"/>
      <c r="P2204" s="37" t="str">
        <f t="shared" si="234"/>
        <v/>
      </c>
      <c r="Q2204" s="38" t="str">
        <f t="shared" si="235"/>
        <v/>
      </c>
      <c r="R2204" s="37" t="str">
        <f t="shared" si="236"/>
        <v/>
      </c>
      <c r="S2204" s="37" t="str">
        <f t="shared" si="237"/>
        <v/>
      </c>
      <c r="T2204" s="38" t="str">
        <f t="shared" si="238"/>
        <v/>
      </c>
      <c r="U2204" s="37" t="str">
        <f t="shared" si="239"/>
        <v/>
      </c>
    </row>
    <row r="2205" spans="2:21" ht="17.25">
      <c r="B2205" s="156"/>
      <c r="C2205" s="156"/>
      <c r="D2205" s="157"/>
      <c r="E2205" s="155"/>
      <c r="F2205" s="151"/>
      <c r="G2205" s="152"/>
      <c r="H2205" s="153"/>
      <c r="I2205" s="154"/>
      <c r="J2205" s="154"/>
      <c r="K2205" s="30" t="str">
        <f>IF(H2205="","",IF($C$30="간이법","",FPR(H2205,I2205,J2205)))</f>
        <v/>
      </c>
      <c r="L2205" s="30" t="str">
        <f>IF(H2205="","",IF($C$30="상세법",FPV(H2205,K2205),IF(H2205="EI",4,IF(H2205="EO",5.2,IF(H2205="EQ",3.9,IF(H2205="ILF",7.5,IF(H2205="EIF",5.4)))))))</f>
        <v/>
      </c>
      <c r="M2205" s="30" t="str">
        <f t="shared" si="233"/>
        <v/>
      </c>
      <c r="N2205" s="134"/>
      <c r="O2205" s="29"/>
      <c r="P2205" s="37" t="str">
        <f t="shared" si="234"/>
        <v/>
      </c>
      <c r="Q2205" s="38" t="str">
        <f t="shared" si="235"/>
        <v/>
      </c>
      <c r="R2205" s="37" t="str">
        <f t="shared" si="236"/>
        <v/>
      </c>
      <c r="S2205" s="37" t="str">
        <f t="shared" si="237"/>
        <v/>
      </c>
      <c r="T2205" s="38" t="str">
        <f t="shared" si="238"/>
        <v/>
      </c>
      <c r="U2205" s="37" t="str">
        <f t="shared" si="239"/>
        <v/>
      </c>
    </row>
    <row r="2206" spans="2:21" ht="17.25">
      <c r="B2206" s="156"/>
      <c r="C2206" s="156"/>
      <c r="D2206" s="157"/>
      <c r="E2206" s="155"/>
      <c r="F2206" s="151"/>
      <c r="G2206" s="152"/>
      <c r="H2206" s="153"/>
      <c r="I2206" s="154"/>
      <c r="J2206" s="154"/>
      <c r="K2206" s="30" t="str">
        <f>IF(H2206="","",IF($C$30="간이법","",FPR(H2206,I2206,J2206)))</f>
        <v/>
      </c>
      <c r="L2206" s="30" t="str">
        <f>IF(H2206="","",IF($C$30="상세법",FPV(H2206,K2206),IF(H2206="EI",4,IF(H2206="EO",5.2,IF(H2206="EQ",3.9,IF(H2206="ILF",7.5,IF(H2206="EIF",5.4)))))))</f>
        <v/>
      </c>
      <c r="M2206" s="30" t="str">
        <f t="shared" si="233"/>
        <v/>
      </c>
      <c r="N2206" s="134"/>
      <c r="O2206" s="29"/>
      <c r="P2206" s="37" t="str">
        <f t="shared" si="234"/>
        <v/>
      </c>
      <c r="Q2206" s="38" t="str">
        <f t="shared" si="235"/>
        <v/>
      </c>
      <c r="R2206" s="37" t="str">
        <f t="shared" si="236"/>
        <v/>
      </c>
      <c r="S2206" s="37" t="str">
        <f t="shared" si="237"/>
        <v/>
      </c>
      <c r="T2206" s="38" t="str">
        <f t="shared" si="238"/>
        <v/>
      </c>
      <c r="U2206" s="37" t="str">
        <f t="shared" si="239"/>
        <v/>
      </c>
    </row>
    <row r="2207" spans="2:21" ht="17.25">
      <c r="B2207" s="156"/>
      <c r="C2207" s="156"/>
      <c r="D2207" s="157"/>
      <c r="E2207" s="155"/>
      <c r="F2207" s="151"/>
      <c r="G2207" s="152"/>
      <c r="H2207" s="153"/>
      <c r="I2207" s="154"/>
      <c r="J2207" s="154"/>
      <c r="K2207" s="30" t="str">
        <f>IF(H2207="","",IF($C$30="간이법","",FPR(H2207,I2207,J2207)))</f>
        <v/>
      </c>
      <c r="L2207" s="30" t="str">
        <f>IF(H2207="","",IF($C$30="상세법",FPV(H2207,K2207),IF(H2207="EI",4,IF(H2207="EO",5.2,IF(H2207="EQ",3.9,IF(H2207="ILF",7.5,IF(H2207="EIF",5.4)))))))</f>
        <v/>
      </c>
      <c r="M2207" s="30" t="str">
        <f t="shared" si="233"/>
        <v/>
      </c>
      <c r="N2207" s="134"/>
      <c r="O2207" s="29"/>
      <c r="P2207" s="37" t="str">
        <f t="shared" si="234"/>
        <v/>
      </c>
      <c r="Q2207" s="38" t="str">
        <f t="shared" si="235"/>
        <v/>
      </c>
      <c r="R2207" s="37" t="str">
        <f t="shared" si="236"/>
        <v/>
      </c>
      <c r="S2207" s="37" t="str">
        <f t="shared" si="237"/>
        <v/>
      </c>
      <c r="T2207" s="38" t="str">
        <f t="shared" si="238"/>
        <v/>
      </c>
      <c r="U2207" s="37" t="str">
        <f t="shared" si="239"/>
        <v/>
      </c>
    </row>
    <row r="2208" spans="2:21" ht="17.25">
      <c r="B2208" s="156"/>
      <c r="C2208" s="156"/>
      <c r="D2208" s="157"/>
      <c r="E2208" s="155"/>
      <c r="F2208" s="151"/>
      <c r="G2208" s="152"/>
      <c r="H2208" s="153"/>
      <c r="I2208" s="154"/>
      <c r="J2208" s="154"/>
      <c r="K2208" s="30" t="str">
        <f>IF(H2208="","",IF($C$30="간이법","",FPR(H2208,I2208,J2208)))</f>
        <v/>
      </c>
      <c r="L2208" s="30" t="str">
        <f>IF(H2208="","",IF($C$30="상세법",FPV(H2208,K2208),IF(H2208="EI",4,IF(H2208="EO",5.2,IF(H2208="EQ",3.9,IF(H2208="ILF",7.5,IF(H2208="EIF",5.4)))))))</f>
        <v/>
      </c>
      <c r="M2208" s="30" t="str">
        <f t="shared" si="233"/>
        <v/>
      </c>
      <c r="N2208" s="134"/>
      <c r="O2208" s="29"/>
      <c r="P2208" s="37" t="str">
        <f t="shared" si="234"/>
        <v/>
      </c>
      <c r="Q2208" s="38" t="str">
        <f t="shared" si="235"/>
        <v/>
      </c>
      <c r="R2208" s="37" t="str">
        <f t="shared" si="236"/>
        <v/>
      </c>
      <c r="S2208" s="37" t="str">
        <f t="shared" si="237"/>
        <v/>
      </c>
      <c r="T2208" s="38" t="str">
        <f t="shared" si="238"/>
        <v/>
      </c>
      <c r="U2208" s="37" t="str">
        <f t="shared" si="239"/>
        <v/>
      </c>
    </row>
    <row r="2209" spans="2:21" ht="17.25">
      <c r="B2209" s="156"/>
      <c r="C2209" s="156"/>
      <c r="D2209" s="157"/>
      <c r="E2209" s="155"/>
      <c r="F2209" s="151"/>
      <c r="G2209" s="152"/>
      <c r="H2209" s="153"/>
      <c r="I2209" s="154"/>
      <c r="J2209" s="154"/>
      <c r="K2209" s="30" t="str">
        <f>IF(H2209="","",IF($C$30="간이법","",FPR(H2209,I2209,J2209)))</f>
        <v/>
      </c>
      <c r="L2209" s="30" t="str">
        <f>IF(H2209="","",IF($C$30="상세법",FPV(H2209,K2209),IF(H2209="EI",4,IF(H2209="EO",5.2,IF(H2209="EQ",3.9,IF(H2209="ILF",7.5,IF(H2209="EIF",5.4)))))))</f>
        <v/>
      </c>
      <c r="M2209" s="30" t="str">
        <f t="shared" si="233"/>
        <v/>
      </c>
      <c r="N2209" s="134"/>
      <c r="O2209" s="29"/>
      <c r="P2209" s="37" t="str">
        <f t="shared" si="234"/>
        <v/>
      </c>
      <c r="Q2209" s="38" t="str">
        <f t="shared" si="235"/>
        <v/>
      </c>
      <c r="R2209" s="37" t="str">
        <f t="shared" si="236"/>
        <v/>
      </c>
      <c r="S2209" s="37" t="str">
        <f t="shared" si="237"/>
        <v/>
      </c>
      <c r="T2209" s="38" t="str">
        <f t="shared" si="238"/>
        <v/>
      </c>
      <c r="U2209" s="37" t="str">
        <f t="shared" si="239"/>
        <v/>
      </c>
    </row>
    <row r="2210" spans="2:21" ht="17.25">
      <c r="B2210" s="156"/>
      <c r="C2210" s="156"/>
      <c r="D2210" s="157"/>
      <c r="E2210" s="155"/>
      <c r="F2210" s="151"/>
      <c r="G2210" s="152"/>
      <c r="H2210" s="153"/>
      <c r="I2210" s="154"/>
      <c r="J2210" s="154"/>
      <c r="K2210" s="30" t="str">
        <f>IF(H2210="","",IF($C$30="간이법","",FPR(H2210,I2210,J2210)))</f>
        <v/>
      </c>
      <c r="L2210" s="30" t="str">
        <f>IF(H2210="","",IF($C$30="상세법",FPV(H2210,K2210),IF(H2210="EI",4,IF(H2210="EO",5.2,IF(H2210="EQ",3.9,IF(H2210="ILF",7.5,IF(H2210="EIF",5.4)))))))</f>
        <v/>
      </c>
      <c r="M2210" s="30" t="str">
        <f t="shared" si="233"/>
        <v/>
      </c>
      <c r="N2210" s="134"/>
      <c r="O2210" s="29"/>
      <c r="P2210" s="37" t="str">
        <f t="shared" si="234"/>
        <v/>
      </c>
      <c r="Q2210" s="38" t="str">
        <f t="shared" si="235"/>
        <v/>
      </c>
      <c r="R2210" s="37" t="str">
        <f t="shared" si="236"/>
        <v/>
      </c>
      <c r="S2210" s="37" t="str">
        <f t="shared" si="237"/>
        <v/>
      </c>
      <c r="T2210" s="38" t="str">
        <f t="shared" si="238"/>
        <v/>
      </c>
      <c r="U2210" s="37" t="str">
        <f t="shared" si="239"/>
        <v/>
      </c>
    </row>
    <row r="2211" spans="2:21" ht="17.25">
      <c r="B2211" s="156"/>
      <c r="C2211" s="156"/>
      <c r="D2211" s="157"/>
      <c r="E2211" s="155"/>
      <c r="F2211" s="151"/>
      <c r="G2211" s="152"/>
      <c r="H2211" s="153"/>
      <c r="I2211" s="154"/>
      <c r="J2211" s="154"/>
      <c r="K2211" s="30" t="str">
        <f>IF(H2211="","",IF($C$30="간이법","",FPR(H2211,I2211,J2211)))</f>
        <v/>
      </c>
      <c r="L2211" s="30" t="str">
        <f>IF(H2211="","",IF($C$30="상세법",FPV(H2211,K2211),IF(H2211="EI",4,IF(H2211="EO",5.2,IF(H2211="EQ",3.9,IF(H2211="ILF",7.5,IF(H2211="EIF",5.4)))))))</f>
        <v/>
      </c>
      <c r="M2211" s="30" t="str">
        <f t="shared" si="233"/>
        <v/>
      </c>
      <c r="N2211" s="134"/>
      <c r="O2211" s="29"/>
      <c r="P2211" s="37" t="str">
        <f t="shared" si="234"/>
        <v/>
      </c>
      <c r="Q2211" s="38" t="str">
        <f t="shared" si="235"/>
        <v/>
      </c>
      <c r="R2211" s="37" t="str">
        <f t="shared" si="236"/>
        <v/>
      </c>
      <c r="S2211" s="37" t="str">
        <f t="shared" si="237"/>
        <v/>
      </c>
      <c r="T2211" s="38" t="str">
        <f t="shared" si="238"/>
        <v/>
      </c>
      <c r="U2211" s="37" t="str">
        <f t="shared" si="239"/>
        <v/>
      </c>
    </row>
    <row r="2212" spans="2:21" ht="17.25">
      <c r="B2212" s="156"/>
      <c r="C2212" s="156"/>
      <c r="D2212" s="157"/>
      <c r="E2212" s="155"/>
      <c r="F2212" s="151"/>
      <c r="G2212" s="152"/>
      <c r="H2212" s="153"/>
      <c r="I2212" s="154"/>
      <c r="J2212" s="154"/>
      <c r="K2212" s="30" t="str">
        <f>IF(H2212="","",IF($C$30="간이법","",FPR(H2212,I2212,J2212)))</f>
        <v/>
      </c>
      <c r="L2212" s="30" t="str">
        <f>IF(H2212="","",IF($C$30="상세법",FPV(H2212,K2212),IF(H2212="EI",4,IF(H2212="EO",5.2,IF(H2212="EQ",3.9,IF(H2212="ILF",7.5,IF(H2212="EIF",5.4)))))))</f>
        <v/>
      </c>
      <c r="M2212" s="30" t="str">
        <f t="shared" si="233"/>
        <v/>
      </c>
      <c r="N2212" s="134"/>
      <c r="O2212" s="29"/>
      <c r="P2212" s="37" t="str">
        <f t="shared" si="234"/>
        <v/>
      </c>
      <c r="Q2212" s="38" t="str">
        <f t="shared" si="235"/>
        <v/>
      </c>
      <c r="R2212" s="37" t="str">
        <f t="shared" si="236"/>
        <v/>
      </c>
      <c r="S2212" s="37" t="str">
        <f t="shared" si="237"/>
        <v/>
      </c>
      <c r="T2212" s="38" t="str">
        <f t="shared" si="238"/>
        <v/>
      </c>
      <c r="U2212" s="37" t="str">
        <f t="shared" si="239"/>
        <v/>
      </c>
    </row>
    <row r="2213" spans="2:21" ht="17.25">
      <c r="B2213" s="156"/>
      <c r="C2213" s="156"/>
      <c r="D2213" s="157"/>
      <c r="E2213" s="155"/>
      <c r="F2213" s="151"/>
      <c r="G2213" s="152"/>
      <c r="H2213" s="153"/>
      <c r="I2213" s="154"/>
      <c r="J2213" s="154"/>
      <c r="K2213" s="30" t="str">
        <f>IF(H2213="","",IF($C$30="간이법","",FPR(H2213,I2213,J2213)))</f>
        <v/>
      </c>
      <c r="L2213" s="30" t="str">
        <f>IF(H2213="","",IF($C$30="상세법",FPV(H2213,K2213),IF(H2213="EI",4,IF(H2213="EO",5.2,IF(H2213="EQ",3.9,IF(H2213="ILF",7.5,IF(H2213="EIF",5.4)))))))</f>
        <v/>
      </c>
      <c r="M2213" s="30" t="str">
        <f t="shared" si="233"/>
        <v/>
      </c>
      <c r="N2213" s="134"/>
      <c r="O2213" s="29"/>
      <c r="P2213" s="37" t="str">
        <f t="shared" si="234"/>
        <v/>
      </c>
      <c r="Q2213" s="38" t="str">
        <f t="shared" si="235"/>
        <v/>
      </c>
      <c r="R2213" s="37" t="str">
        <f t="shared" si="236"/>
        <v/>
      </c>
      <c r="S2213" s="37" t="str">
        <f t="shared" si="237"/>
        <v/>
      </c>
      <c r="T2213" s="38" t="str">
        <f t="shared" si="238"/>
        <v/>
      </c>
      <c r="U2213" s="37" t="str">
        <f t="shared" si="239"/>
        <v/>
      </c>
    </row>
    <row r="2214" spans="2:21" ht="17.25">
      <c r="B2214" s="156"/>
      <c r="C2214" s="156"/>
      <c r="D2214" s="157"/>
      <c r="E2214" s="155"/>
      <c r="F2214" s="151"/>
      <c r="G2214" s="152"/>
      <c r="H2214" s="153"/>
      <c r="I2214" s="154"/>
      <c r="J2214" s="154"/>
      <c r="K2214" s="30" t="str">
        <f>IF(H2214="","",IF($C$30="간이법","",FPR(H2214,I2214,J2214)))</f>
        <v/>
      </c>
      <c r="L2214" s="30" t="str">
        <f>IF(H2214="","",IF($C$30="상세법",FPV(H2214,K2214),IF(H2214="EI",4,IF(H2214="EO",5.2,IF(H2214="EQ",3.9,IF(H2214="ILF",7.5,IF(H2214="EIF",5.4)))))))</f>
        <v/>
      </c>
      <c r="M2214" s="30" t="str">
        <f t="shared" si="233"/>
        <v/>
      </c>
      <c r="N2214" s="134"/>
      <c r="O2214" s="29"/>
      <c r="P2214" s="37" t="str">
        <f t="shared" si="234"/>
        <v/>
      </c>
      <c r="Q2214" s="38" t="str">
        <f t="shared" si="235"/>
        <v/>
      </c>
      <c r="R2214" s="37" t="str">
        <f t="shared" si="236"/>
        <v/>
      </c>
      <c r="S2214" s="37" t="str">
        <f t="shared" si="237"/>
        <v/>
      </c>
      <c r="T2214" s="38" t="str">
        <f t="shared" si="238"/>
        <v/>
      </c>
      <c r="U2214" s="37" t="str">
        <f t="shared" si="239"/>
        <v/>
      </c>
    </row>
    <row r="2215" spans="2:21" ht="17.25">
      <c r="B2215" s="156"/>
      <c r="C2215" s="156"/>
      <c r="D2215" s="157"/>
      <c r="E2215" s="155"/>
      <c r="F2215" s="151"/>
      <c r="G2215" s="152"/>
      <c r="H2215" s="153"/>
      <c r="I2215" s="154"/>
      <c r="J2215" s="154"/>
      <c r="K2215" s="30" t="str">
        <f>IF(H2215="","",IF($C$30="간이법","",FPR(H2215,I2215,J2215)))</f>
        <v/>
      </c>
      <c r="L2215" s="30" t="str">
        <f>IF(H2215="","",IF($C$30="상세법",FPV(H2215,K2215),IF(H2215="EI",4,IF(H2215="EO",5.2,IF(H2215="EQ",3.9,IF(H2215="ILF",7.5,IF(H2215="EIF",5.4)))))))</f>
        <v/>
      </c>
      <c r="M2215" s="30" t="str">
        <f t="shared" si="233"/>
        <v/>
      </c>
      <c r="N2215" s="134"/>
      <c r="O2215" s="29"/>
      <c r="P2215" s="37" t="str">
        <f t="shared" si="234"/>
        <v/>
      </c>
      <c r="Q2215" s="38" t="str">
        <f t="shared" si="235"/>
        <v/>
      </c>
      <c r="R2215" s="37" t="str">
        <f t="shared" si="236"/>
        <v/>
      </c>
      <c r="S2215" s="37" t="str">
        <f t="shared" si="237"/>
        <v/>
      </c>
      <c r="T2215" s="38" t="str">
        <f t="shared" si="238"/>
        <v/>
      </c>
      <c r="U2215" s="37" t="str">
        <f t="shared" si="239"/>
        <v/>
      </c>
    </row>
    <row r="2216" spans="2:21" ht="17.25">
      <c r="B2216" s="156"/>
      <c r="C2216" s="156"/>
      <c r="D2216" s="157"/>
      <c r="E2216" s="155"/>
      <c r="F2216" s="151"/>
      <c r="G2216" s="152"/>
      <c r="H2216" s="153"/>
      <c r="I2216" s="154"/>
      <c r="J2216" s="154"/>
      <c r="K2216" s="30" t="str">
        <f>IF(H2216="","",IF($C$30="간이법","",FPR(H2216,I2216,J2216)))</f>
        <v/>
      </c>
      <c r="L2216" s="30" t="str">
        <f>IF(H2216="","",IF($C$30="상세법",FPV(H2216,K2216),IF(H2216="EI",4,IF(H2216="EO",5.2,IF(H2216="EQ",3.9,IF(H2216="ILF",7.5,IF(H2216="EIF",5.4)))))))</f>
        <v/>
      </c>
      <c r="M2216" s="30" t="str">
        <f t="shared" si="233"/>
        <v/>
      </c>
      <c r="N2216" s="134"/>
      <c r="O2216" s="29"/>
      <c r="P2216" s="37" t="str">
        <f t="shared" si="234"/>
        <v/>
      </c>
      <c r="Q2216" s="38" t="str">
        <f t="shared" si="235"/>
        <v/>
      </c>
      <c r="R2216" s="37" t="str">
        <f t="shared" si="236"/>
        <v/>
      </c>
      <c r="S2216" s="37" t="str">
        <f t="shared" si="237"/>
        <v/>
      </c>
      <c r="T2216" s="38" t="str">
        <f t="shared" si="238"/>
        <v/>
      </c>
      <c r="U2216" s="37" t="str">
        <f t="shared" si="239"/>
        <v/>
      </c>
    </row>
    <row r="2217" spans="2:21" ht="17.25">
      <c r="B2217" s="156"/>
      <c r="C2217" s="156"/>
      <c r="D2217" s="157"/>
      <c r="E2217" s="155"/>
      <c r="F2217" s="151"/>
      <c r="G2217" s="152"/>
      <c r="H2217" s="153"/>
      <c r="I2217" s="154"/>
      <c r="J2217" s="154"/>
      <c r="K2217" s="30" t="str">
        <f>IF(H2217="","",IF($C$30="간이법","",FPR(H2217,I2217,J2217)))</f>
        <v/>
      </c>
      <c r="L2217" s="30" t="str">
        <f>IF(H2217="","",IF($C$30="상세법",FPV(H2217,K2217),IF(H2217="EI",4,IF(H2217="EO",5.2,IF(H2217="EQ",3.9,IF(H2217="ILF",7.5,IF(H2217="EIF",5.4)))))))</f>
        <v/>
      </c>
      <c r="M2217" s="30" t="str">
        <f t="shared" si="233"/>
        <v/>
      </c>
      <c r="N2217" s="134"/>
      <c r="O2217" s="29"/>
      <c r="P2217" s="37" t="str">
        <f t="shared" si="234"/>
        <v/>
      </c>
      <c r="Q2217" s="38" t="str">
        <f t="shared" si="235"/>
        <v/>
      </c>
      <c r="R2217" s="37" t="str">
        <f t="shared" si="236"/>
        <v/>
      </c>
      <c r="S2217" s="37" t="str">
        <f t="shared" si="237"/>
        <v/>
      </c>
      <c r="T2217" s="38" t="str">
        <f t="shared" si="238"/>
        <v/>
      </c>
      <c r="U2217" s="37" t="str">
        <f t="shared" si="239"/>
        <v/>
      </c>
    </row>
    <row r="2218" spans="2:21" ht="17.25">
      <c r="B2218" s="156"/>
      <c r="C2218" s="156"/>
      <c r="D2218" s="157"/>
      <c r="E2218" s="155"/>
      <c r="F2218" s="151"/>
      <c r="G2218" s="152"/>
      <c r="H2218" s="153"/>
      <c r="I2218" s="154"/>
      <c r="J2218" s="154"/>
      <c r="K2218" s="30" t="str">
        <f>IF(H2218="","",IF($C$30="간이법","",FPR(H2218,I2218,J2218)))</f>
        <v/>
      </c>
      <c r="L2218" s="30" t="str">
        <f>IF(H2218="","",IF($C$30="상세법",FPV(H2218,K2218),IF(H2218="EI",4,IF(H2218="EO",5.2,IF(H2218="EQ",3.9,IF(H2218="ILF",7.5,IF(H2218="EIF",5.4)))))))</f>
        <v/>
      </c>
      <c r="M2218" s="30" t="str">
        <f t="shared" si="233"/>
        <v/>
      </c>
      <c r="N2218" s="134"/>
      <c r="O2218" s="29"/>
      <c r="P2218" s="37" t="str">
        <f t="shared" si="234"/>
        <v/>
      </c>
      <c r="Q2218" s="38" t="str">
        <f t="shared" si="235"/>
        <v/>
      </c>
      <c r="R2218" s="37" t="str">
        <f t="shared" si="236"/>
        <v/>
      </c>
      <c r="S2218" s="37" t="str">
        <f t="shared" si="237"/>
        <v/>
      </c>
      <c r="T2218" s="38" t="str">
        <f t="shared" si="238"/>
        <v/>
      </c>
      <c r="U2218" s="37" t="str">
        <f t="shared" si="239"/>
        <v/>
      </c>
    </row>
    <row r="2219" spans="2:21" ht="17.25">
      <c r="B2219" s="156"/>
      <c r="C2219" s="156"/>
      <c r="D2219" s="157"/>
      <c r="E2219" s="155"/>
      <c r="F2219" s="151"/>
      <c r="G2219" s="152"/>
      <c r="H2219" s="153"/>
      <c r="I2219" s="154"/>
      <c r="J2219" s="154"/>
      <c r="K2219" s="30" t="str">
        <f>IF(H2219="","",IF($C$30="간이법","",FPR(H2219,I2219,J2219)))</f>
        <v/>
      </c>
      <c r="L2219" s="30" t="str">
        <f>IF(H2219="","",IF($C$30="상세법",FPV(H2219,K2219),IF(H2219="EI",4,IF(H2219="EO",5.2,IF(H2219="EQ",3.9,IF(H2219="ILF",7.5,IF(H2219="EIF",5.4)))))))</f>
        <v/>
      </c>
      <c r="M2219" s="30" t="str">
        <f t="shared" si="233"/>
        <v/>
      </c>
      <c r="N2219" s="134"/>
      <c r="O2219" s="29"/>
      <c r="P2219" s="37" t="str">
        <f t="shared" si="234"/>
        <v/>
      </c>
      <c r="Q2219" s="38" t="str">
        <f t="shared" si="235"/>
        <v/>
      </c>
      <c r="R2219" s="37" t="str">
        <f t="shared" si="236"/>
        <v/>
      </c>
      <c r="S2219" s="37" t="str">
        <f t="shared" si="237"/>
        <v/>
      </c>
      <c r="T2219" s="38" t="str">
        <f t="shared" si="238"/>
        <v/>
      </c>
      <c r="U2219" s="37" t="str">
        <f t="shared" si="239"/>
        <v/>
      </c>
    </row>
    <row r="2220" spans="2:21" ht="17.25">
      <c r="B2220" s="156"/>
      <c r="C2220" s="156"/>
      <c r="D2220" s="157"/>
      <c r="E2220" s="155"/>
      <c r="F2220" s="151"/>
      <c r="G2220" s="152"/>
      <c r="H2220" s="153"/>
      <c r="I2220" s="154"/>
      <c r="J2220" s="154"/>
      <c r="K2220" s="30" t="str">
        <f>IF(H2220="","",IF($C$30="간이법","",FPR(H2220,I2220,J2220)))</f>
        <v/>
      </c>
      <c r="L2220" s="30" t="str">
        <f>IF(H2220="","",IF($C$30="상세법",FPV(H2220,K2220),IF(H2220="EI",4,IF(H2220="EO",5.2,IF(H2220="EQ",3.9,IF(H2220="ILF",7.5,IF(H2220="EIF",5.4)))))))</f>
        <v/>
      </c>
      <c r="M2220" s="30" t="str">
        <f t="shared" si="233"/>
        <v/>
      </c>
      <c r="N2220" s="134"/>
      <c r="O2220" s="29"/>
      <c r="P2220" s="37" t="str">
        <f t="shared" si="234"/>
        <v/>
      </c>
      <c r="Q2220" s="38" t="str">
        <f t="shared" si="235"/>
        <v/>
      </c>
      <c r="R2220" s="37" t="str">
        <f t="shared" si="236"/>
        <v/>
      </c>
      <c r="S2220" s="37" t="str">
        <f t="shared" si="237"/>
        <v/>
      </c>
      <c r="T2220" s="38" t="str">
        <f t="shared" si="238"/>
        <v/>
      </c>
      <c r="U2220" s="37" t="str">
        <f t="shared" si="239"/>
        <v/>
      </c>
    </row>
    <row r="2221" spans="2:21" ht="17.25">
      <c r="B2221" s="156"/>
      <c r="C2221" s="156"/>
      <c r="D2221" s="157"/>
      <c r="E2221" s="155"/>
      <c r="F2221" s="151"/>
      <c r="G2221" s="152"/>
      <c r="H2221" s="153"/>
      <c r="I2221" s="154"/>
      <c r="J2221" s="154"/>
      <c r="K2221" s="30" t="str">
        <f>IF(H2221="","",IF($C$30="간이법","",FPR(H2221,I2221,J2221)))</f>
        <v/>
      </c>
      <c r="L2221" s="30" t="str">
        <f>IF(H2221="","",IF($C$30="상세법",FPV(H2221,K2221),IF(H2221="EI",4,IF(H2221="EO",5.2,IF(H2221="EQ",3.9,IF(H2221="ILF",7.5,IF(H2221="EIF",5.4)))))))</f>
        <v/>
      </c>
      <c r="M2221" s="30" t="str">
        <f t="shared" si="233"/>
        <v/>
      </c>
      <c r="N2221" s="134"/>
      <c r="O2221" s="29"/>
      <c r="P2221" s="37" t="str">
        <f t="shared" si="234"/>
        <v/>
      </c>
      <c r="Q2221" s="38" t="str">
        <f t="shared" si="235"/>
        <v/>
      </c>
      <c r="R2221" s="37" t="str">
        <f t="shared" si="236"/>
        <v/>
      </c>
      <c r="S2221" s="37" t="str">
        <f t="shared" si="237"/>
        <v/>
      </c>
      <c r="T2221" s="38" t="str">
        <f t="shared" si="238"/>
        <v/>
      </c>
      <c r="U2221" s="37" t="str">
        <f t="shared" si="239"/>
        <v/>
      </c>
    </row>
    <row r="2222" spans="2:21" ht="17.25">
      <c r="B2222" s="156"/>
      <c r="C2222" s="156"/>
      <c r="D2222" s="157"/>
      <c r="E2222" s="155"/>
      <c r="F2222" s="151"/>
      <c r="G2222" s="152"/>
      <c r="H2222" s="153"/>
      <c r="I2222" s="154"/>
      <c r="J2222" s="154"/>
      <c r="K2222" s="30" t="str">
        <f>IF(H2222="","",IF($C$30="간이법","",FPR(H2222,I2222,J2222)))</f>
        <v/>
      </c>
      <c r="L2222" s="30" t="str">
        <f>IF(H2222="","",IF($C$30="상세법",FPV(H2222,K2222),IF(H2222="EI",4,IF(H2222="EO",5.2,IF(H2222="EQ",3.9,IF(H2222="ILF",7.5,IF(H2222="EIF",5.4)))))))</f>
        <v/>
      </c>
      <c r="M2222" s="30" t="str">
        <f t="shared" si="233"/>
        <v/>
      </c>
      <c r="N2222" s="134"/>
      <c r="O2222" s="29"/>
      <c r="P2222" s="37" t="str">
        <f t="shared" si="234"/>
        <v/>
      </c>
      <c r="Q2222" s="38" t="str">
        <f t="shared" si="235"/>
        <v/>
      </c>
      <c r="R2222" s="37" t="str">
        <f t="shared" si="236"/>
        <v/>
      </c>
      <c r="S2222" s="37" t="str">
        <f t="shared" si="237"/>
        <v/>
      </c>
      <c r="T2222" s="38" t="str">
        <f t="shared" si="238"/>
        <v/>
      </c>
      <c r="U2222" s="37" t="str">
        <f t="shared" si="239"/>
        <v/>
      </c>
    </row>
    <row r="2223" spans="2:21" ht="17.25">
      <c r="B2223" s="156"/>
      <c r="C2223" s="156"/>
      <c r="D2223" s="157"/>
      <c r="E2223" s="155"/>
      <c r="F2223" s="151"/>
      <c r="G2223" s="152"/>
      <c r="H2223" s="153"/>
      <c r="I2223" s="154"/>
      <c r="J2223" s="154"/>
      <c r="K2223" s="30" t="str">
        <f>IF(H2223="","",IF($C$30="간이법","",FPR(H2223,I2223,J2223)))</f>
        <v/>
      </c>
      <c r="L2223" s="30" t="str">
        <f>IF(H2223="","",IF($C$30="상세법",FPV(H2223,K2223),IF(H2223="EI",4,IF(H2223="EO",5.2,IF(H2223="EQ",3.9,IF(H2223="ILF",7.5,IF(H2223="EIF",5.4)))))))</f>
        <v/>
      </c>
      <c r="M2223" s="30" t="str">
        <f t="shared" si="233"/>
        <v/>
      </c>
      <c r="N2223" s="134"/>
      <c r="O2223" s="29"/>
      <c r="P2223" s="37" t="str">
        <f t="shared" si="234"/>
        <v/>
      </c>
      <c r="Q2223" s="38" t="str">
        <f t="shared" si="235"/>
        <v/>
      </c>
      <c r="R2223" s="37" t="str">
        <f t="shared" si="236"/>
        <v/>
      </c>
      <c r="S2223" s="37" t="str">
        <f t="shared" si="237"/>
        <v/>
      </c>
      <c r="T2223" s="38" t="str">
        <f t="shared" si="238"/>
        <v/>
      </c>
      <c r="U2223" s="37" t="str">
        <f t="shared" si="239"/>
        <v/>
      </c>
    </row>
    <row r="2224" spans="2:21" ht="17.25">
      <c r="B2224" s="156"/>
      <c r="C2224" s="156"/>
      <c r="D2224" s="157"/>
      <c r="E2224" s="155"/>
      <c r="F2224" s="151"/>
      <c r="G2224" s="152"/>
      <c r="H2224" s="153"/>
      <c r="I2224" s="154"/>
      <c r="J2224" s="154"/>
      <c r="K2224" s="30" t="str">
        <f>IF(H2224="","",IF($C$30="간이법","",FPR(H2224,I2224,J2224)))</f>
        <v/>
      </c>
      <c r="L2224" s="30" t="str">
        <f>IF(H2224="","",IF($C$30="상세법",FPV(H2224,K2224),IF(H2224="EI",4,IF(H2224="EO",5.2,IF(H2224="EQ",3.9,IF(H2224="ILF",7.5,IF(H2224="EIF",5.4)))))))</f>
        <v/>
      </c>
      <c r="M2224" s="30" t="str">
        <f t="shared" si="233"/>
        <v/>
      </c>
      <c r="N2224" s="134"/>
      <c r="O2224" s="29"/>
      <c r="P2224" s="37" t="str">
        <f t="shared" si="234"/>
        <v/>
      </c>
      <c r="Q2224" s="38" t="str">
        <f t="shared" si="235"/>
        <v/>
      </c>
      <c r="R2224" s="37" t="str">
        <f t="shared" si="236"/>
        <v/>
      </c>
      <c r="S2224" s="37" t="str">
        <f t="shared" si="237"/>
        <v/>
      </c>
      <c r="T2224" s="38" t="str">
        <f t="shared" si="238"/>
        <v/>
      </c>
      <c r="U2224" s="37" t="str">
        <f t="shared" si="239"/>
        <v/>
      </c>
    </row>
    <row r="2225" spans="2:21" ht="17.25">
      <c r="B2225" s="156"/>
      <c r="C2225" s="156"/>
      <c r="D2225" s="157"/>
      <c r="E2225" s="155"/>
      <c r="F2225" s="151"/>
      <c r="G2225" s="152"/>
      <c r="H2225" s="153"/>
      <c r="I2225" s="154"/>
      <c r="J2225" s="154"/>
      <c r="K2225" s="30" t="str">
        <f>IF(H2225="","",IF($C$30="간이법","",FPR(H2225,I2225,J2225)))</f>
        <v/>
      </c>
      <c r="L2225" s="30" t="str">
        <f>IF(H2225="","",IF($C$30="상세법",FPV(H2225,K2225),IF(H2225="EI",4,IF(H2225="EO",5.2,IF(H2225="EQ",3.9,IF(H2225="ILF",7.5,IF(H2225="EIF",5.4)))))))</f>
        <v/>
      </c>
      <c r="M2225" s="30" t="str">
        <f t="shared" si="233"/>
        <v/>
      </c>
      <c r="N2225" s="134"/>
      <c r="O2225" s="29"/>
      <c r="P2225" s="37" t="str">
        <f t="shared" si="234"/>
        <v/>
      </c>
      <c r="Q2225" s="38" t="str">
        <f t="shared" si="235"/>
        <v/>
      </c>
      <c r="R2225" s="37" t="str">
        <f t="shared" si="236"/>
        <v/>
      </c>
      <c r="S2225" s="37" t="str">
        <f t="shared" si="237"/>
        <v/>
      </c>
      <c r="T2225" s="38" t="str">
        <f t="shared" si="238"/>
        <v/>
      </c>
      <c r="U2225" s="37" t="str">
        <f t="shared" si="239"/>
        <v/>
      </c>
    </row>
    <row r="2226" spans="2:21" ht="17.25">
      <c r="B2226" s="156"/>
      <c r="C2226" s="156"/>
      <c r="D2226" s="157"/>
      <c r="E2226" s="155"/>
      <c r="F2226" s="151"/>
      <c r="G2226" s="152"/>
      <c r="H2226" s="153"/>
      <c r="I2226" s="154"/>
      <c r="J2226" s="154"/>
      <c r="K2226" s="30" t="str">
        <f>IF(H2226="","",IF($C$30="간이법","",FPR(H2226,I2226,J2226)))</f>
        <v/>
      </c>
      <c r="L2226" s="30" t="str">
        <f>IF(H2226="","",IF($C$30="상세법",FPV(H2226,K2226),IF(H2226="EI",4,IF(H2226="EO",5.2,IF(H2226="EQ",3.9,IF(H2226="ILF",7.5,IF(H2226="EIF",5.4)))))))</f>
        <v/>
      </c>
      <c r="M2226" s="30" t="str">
        <f t="shared" si="233"/>
        <v/>
      </c>
      <c r="N2226" s="134"/>
      <c r="O2226" s="29"/>
      <c r="P2226" s="37" t="str">
        <f t="shared" si="234"/>
        <v/>
      </c>
      <c r="Q2226" s="38" t="str">
        <f t="shared" si="235"/>
        <v/>
      </c>
      <c r="R2226" s="37" t="str">
        <f t="shared" si="236"/>
        <v/>
      </c>
      <c r="S2226" s="37" t="str">
        <f t="shared" si="237"/>
        <v/>
      </c>
      <c r="T2226" s="38" t="str">
        <f t="shared" si="238"/>
        <v/>
      </c>
      <c r="U2226" s="37" t="str">
        <f t="shared" si="239"/>
        <v/>
      </c>
    </row>
    <row r="2227" spans="2:21" ht="17.25">
      <c r="B2227" s="156"/>
      <c r="C2227" s="156"/>
      <c r="D2227" s="157"/>
      <c r="E2227" s="155"/>
      <c r="F2227" s="151"/>
      <c r="G2227" s="152"/>
      <c r="H2227" s="153"/>
      <c r="I2227" s="154"/>
      <c r="J2227" s="154"/>
      <c r="K2227" s="30" t="str">
        <f>IF(H2227="","",IF($C$30="간이법","",FPR(H2227,I2227,J2227)))</f>
        <v/>
      </c>
      <c r="L2227" s="30" t="str">
        <f>IF(H2227="","",IF($C$30="상세법",FPV(H2227,K2227),IF(H2227="EI",4,IF(H2227="EO",5.2,IF(H2227="EQ",3.9,IF(H2227="ILF",7.5,IF(H2227="EIF",5.4)))))))</f>
        <v/>
      </c>
      <c r="M2227" s="30" t="str">
        <f t="shared" si="233"/>
        <v/>
      </c>
      <c r="N2227" s="134"/>
      <c r="O2227" s="29"/>
      <c r="P2227" s="37" t="str">
        <f t="shared" si="234"/>
        <v/>
      </c>
      <c r="Q2227" s="38" t="str">
        <f t="shared" si="235"/>
        <v/>
      </c>
      <c r="R2227" s="37" t="str">
        <f t="shared" si="236"/>
        <v/>
      </c>
      <c r="S2227" s="37" t="str">
        <f t="shared" si="237"/>
        <v/>
      </c>
      <c r="T2227" s="38" t="str">
        <f t="shared" si="238"/>
        <v/>
      </c>
      <c r="U2227" s="37" t="str">
        <f t="shared" si="239"/>
        <v/>
      </c>
    </row>
    <row r="2228" spans="2:21" ht="17.25">
      <c r="B2228" s="156"/>
      <c r="C2228" s="156"/>
      <c r="D2228" s="157"/>
      <c r="E2228" s="155"/>
      <c r="F2228" s="151"/>
      <c r="G2228" s="152"/>
      <c r="H2228" s="153"/>
      <c r="I2228" s="154"/>
      <c r="J2228" s="154"/>
      <c r="K2228" s="30" t="str">
        <f>IF(H2228="","",IF($C$30="간이법","",FPR(H2228,I2228,J2228)))</f>
        <v/>
      </c>
      <c r="L2228" s="30" t="str">
        <f>IF(H2228="","",IF($C$30="상세법",FPV(H2228,K2228),IF(H2228="EI",4,IF(H2228="EO",5.2,IF(H2228="EQ",3.9,IF(H2228="ILF",7.5,IF(H2228="EIF",5.4)))))))</f>
        <v/>
      </c>
      <c r="M2228" s="30" t="str">
        <f t="shared" si="233"/>
        <v/>
      </c>
      <c r="N2228" s="134"/>
      <c r="O2228" s="29"/>
      <c r="P2228" s="37" t="str">
        <f t="shared" si="234"/>
        <v/>
      </c>
      <c r="Q2228" s="38" t="str">
        <f t="shared" si="235"/>
        <v/>
      </c>
      <c r="R2228" s="37" t="str">
        <f t="shared" si="236"/>
        <v/>
      </c>
      <c r="S2228" s="37" t="str">
        <f t="shared" si="237"/>
        <v/>
      </c>
      <c r="T2228" s="38" t="str">
        <f t="shared" si="238"/>
        <v/>
      </c>
      <c r="U2228" s="37" t="str">
        <f t="shared" si="239"/>
        <v/>
      </c>
    </row>
    <row r="2229" spans="2:21" ht="17.25">
      <c r="B2229" s="156"/>
      <c r="C2229" s="156"/>
      <c r="D2229" s="157"/>
      <c r="E2229" s="155"/>
      <c r="F2229" s="151"/>
      <c r="G2229" s="152"/>
      <c r="H2229" s="153"/>
      <c r="I2229" s="154"/>
      <c r="J2229" s="154"/>
      <c r="K2229" s="30" t="str">
        <f>IF(H2229="","",IF($C$30="간이법","",FPR(H2229,I2229,J2229)))</f>
        <v/>
      </c>
      <c r="L2229" s="30" t="str">
        <f>IF(H2229="","",IF($C$30="상세법",FPV(H2229,K2229),IF(H2229="EI",4,IF(H2229="EO",5.2,IF(H2229="EQ",3.9,IF(H2229="ILF",7.5,IF(H2229="EIF",5.4)))))))</f>
        <v/>
      </c>
      <c r="M2229" s="30" t="str">
        <f t="shared" si="233"/>
        <v/>
      </c>
      <c r="N2229" s="134"/>
      <c r="O2229" s="29"/>
      <c r="P2229" s="37" t="str">
        <f t="shared" si="234"/>
        <v/>
      </c>
      <c r="Q2229" s="38" t="str">
        <f t="shared" si="235"/>
        <v/>
      </c>
      <c r="R2229" s="37" t="str">
        <f t="shared" si="236"/>
        <v/>
      </c>
      <c r="S2229" s="37" t="str">
        <f t="shared" si="237"/>
        <v/>
      </c>
      <c r="T2229" s="38" t="str">
        <f t="shared" si="238"/>
        <v/>
      </c>
      <c r="U2229" s="37" t="str">
        <f t="shared" si="239"/>
        <v/>
      </c>
    </row>
    <row r="2230" spans="2:21" ht="17.25">
      <c r="B2230" s="156"/>
      <c r="C2230" s="156"/>
      <c r="D2230" s="157"/>
      <c r="E2230" s="155"/>
      <c r="F2230" s="151"/>
      <c r="G2230" s="152"/>
      <c r="H2230" s="153"/>
      <c r="I2230" s="154"/>
      <c r="J2230" s="154"/>
      <c r="K2230" s="30" t="str">
        <f>IF(H2230="","",IF($C$30="간이법","",FPR(H2230,I2230,J2230)))</f>
        <v/>
      </c>
      <c r="L2230" s="30" t="str">
        <f>IF(H2230="","",IF($C$30="상세법",FPV(H2230,K2230),IF(H2230="EI",4,IF(H2230="EO",5.2,IF(H2230="EQ",3.9,IF(H2230="ILF",7.5,IF(H2230="EIF",5.4)))))))</f>
        <v/>
      </c>
      <c r="M2230" s="30" t="str">
        <f t="shared" si="233"/>
        <v/>
      </c>
      <c r="N2230" s="134"/>
      <c r="O2230" s="29"/>
      <c r="P2230" s="37" t="str">
        <f t="shared" si="234"/>
        <v/>
      </c>
      <c r="Q2230" s="38" t="str">
        <f t="shared" si="235"/>
        <v/>
      </c>
      <c r="R2230" s="37" t="str">
        <f t="shared" si="236"/>
        <v/>
      </c>
      <c r="S2230" s="37" t="str">
        <f t="shared" si="237"/>
        <v/>
      </c>
      <c r="T2230" s="38" t="str">
        <f t="shared" si="238"/>
        <v/>
      </c>
      <c r="U2230" s="37" t="str">
        <f t="shared" si="239"/>
        <v/>
      </c>
    </row>
    <row r="2231" spans="2:21" ht="17.25">
      <c r="B2231" s="156"/>
      <c r="C2231" s="156"/>
      <c r="D2231" s="157"/>
      <c r="E2231" s="155"/>
      <c r="F2231" s="151"/>
      <c r="G2231" s="152"/>
      <c r="H2231" s="153"/>
      <c r="I2231" s="154"/>
      <c r="J2231" s="154"/>
      <c r="K2231" s="30" t="str">
        <f>IF(H2231="","",IF($C$30="간이법","",FPR(H2231,I2231,J2231)))</f>
        <v/>
      </c>
      <c r="L2231" s="30" t="str">
        <f>IF(H2231="","",IF($C$30="상세법",FPV(H2231,K2231),IF(H2231="EI",4,IF(H2231="EO",5.2,IF(H2231="EQ",3.9,IF(H2231="ILF",7.5,IF(H2231="EIF",5.4)))))))</f>
        <v/>
      </c>
      <c r="M2231" s="30" t="str">
        <f t="shared" si="233"/>
        <v/>
      </c>
      <c r="N2231" s="134"/>
      <c r="O2231" s="29"/>
      <c r="P2231" s="37" t="str">
        <f t="shared" si="234"/>
        <v/>
      </c>
      <c r="Q2231" s="38" t="str">
        <f t="shared" si="235"/>
        <v/>
      </c>
      <c r="R2231" s="37" t="str">
        <f t="shared" si="236"/>
        <v/>
      </c>
      <c r="S2231" s="37" t="str">
        <f t="shared" si="237"/>
        <v/>
      </c>
      <c r="T2231" s="38" t="str">
        <f t="shared" si="238"/>
        <v/>
      </c>
      <c r="U2231" s="37" t="str">
        <f t="shared" si="239"/>
        <v/>
      </c>
    </row>
    <row r="2232" spans="2:21" ht="17.25">
      <c r="B2232" s="156"/>
      <c r="C2232" s="156"/>
      <c r="D2232" s="157"/>
      <c r="E2232" s="155"/>
      <c r="F2232" s="151"/>
      <c r="G2232" s="152"/>
      <c r="H2232" s="153"/>
      <c r="I2232" s="154"/>
      <c r="J2232" s="154"/>
      <c r="K2232" s="30" t="str">
        <f>IF(H2232="","",IF($C$30="간이법","",FPR(H2232,I2232,J2232)))</f>
        <v/>
      </c>
      <c r="L2232" s="30" t="str">
        <f>IF(H2232="","",IF($C$30="상세법",FPV(H2232,K2232),IF(H2232="EI",4,IF(H2232="EO",5.2,IF(H2232="EQ",3.9,IF(H2232="ILF",7.5,IF(H2232="EIF",5.4)))))))</f>
        <v/>
      </c>
      <c r="M2232" s="30" t="str">
        <f t="shared" si="233"/>
        <v/>
      </c>
      <c r="N2232" s="134"/>
      <c r="O2232" s="29"/>
      <c r="P2232" s="37" t="str">
        <f t="shared" si="234"/>
        <v/>
      </c>
      <c r="Q2232" s="38" t="str">
        <f t="shared" si="235"/>
        <v/>
      </c>
      <c r="R2232" s="37" t="str">
        <f t="shared" si="236"/>
        <v/>
      </c>
      <c r="S2232" s="37" t="str">
        <f t="shared" si="237"/>
        <v/>
      </c>
      <c r="T2232" s="38" t="str">
        <f t="shared" si="238"/>
        <v/>
      </c>
      <c r="U2232" s="37" t="str">
        <f t="shared" si="239"/>
        <v/>
      </c>
    </row>
    <row r="2233" spans="2:21" ht="17.25">
      <c r="B2233" s="156"/>
      <c r="C2233" s="156"/>
      <c r="D2233" s="157"/>
      <c r="E2233" s="155"/>
      <c r="F2233" s="151"/>
      <c r="G2233" s="152"/>
      <c r="H2233" s="153"/>
      <c r="I2233" s="154"/>
      <c r="J2233" s="154"/>
      <c r="K2233" s="30" t="str">
        <f>IF(H2233="","",IF($C$30="간이법","",FPR(H2233,I2233,J2233)))</f>
        <v/>
      </c>
      <c r="L2233" s="30" t="str">
        <f>IF(H2233="","",IF($C$30="상세법",FPV(H2233,K2233),IF(H2233="EI",4,IF(H2233="EO",5.2,IF(H2233="EQ",3.9,IF(H2233="ILF",7.5,IF(H2233="EIF",5.4)))))))</f>
        <v/>
      </c>
      <c r="M2233" s="30" t="str">
        <f t="shared" si="233"/>
        <v/>
      </c>
      <c r="N2233" s="134"/>
      <c r="O2233" s="29"/>
      <c r="P2233" s="37" t="str">
        <f t="shared" si="234"/>
        <v/>
      </c>
      <c r="Q2233" s="38" t="str">
        <f t="shared" si="235"/>
        <v/>
      </c>
      <c r="R2233" s="37" t="str">
        <f t="shared" si="236"/>
        <v/>
      </c>
      <c r="S2233" s="37" t="str">
        <f t="shared" si="237"/>
        <v/>
      </c>
      <c r="T2233" s="38" t="str">
        <f t="shared" si="238"/>
        <v/>
      </c>
      <c r="U2233" s="37" t="str">
        <f t="shared" si="239"/>
        <v/>
      </c>
    </row>
    <row r="2234" spans="2:21" ht="17.25">
      <c r="B2234" s="156"/>
      <c r="C2234" s="156"/>
      <c r="D2234" s="157"/>
      <c r="E2234" s="155"/>
      <c r="F2234" s="151"/>
      <c r="G2234" s="152"/>
      <c r="H2234" s="153"/>
      <c r="I2234" s="154"/>
      <c r="J2234" s="154"/>
      <c r="K2234" s="30" t="str">
        <f>IF(H2234="","",IF($C$30="간이법","",FPR(H2234,I2234,J2234)))</f>
        <v/>
      </c>
      <c r="L2234" s="30" t="str">
        <f>IF(H2234="","",IF($C$30="상세법",FPV(H2234,K2234),IF(H2234="EI",4,IF(H2234="EO",5.2,IF(H2234="EQ",3.9,IF(H2234="ILF",7.5,IF(H2234="EIF",5.4)))))))</f>
        <v/>
      </c>
      <c r="M2234" s="30" t="str">
        <f t="shared" si="233"/>
        <v/>
      </c>
      <c r="N2234" s="134"/>
      <c r="O2234" s="29"/>
      <c r="P2234" s="37" t="str">
        <f t="shared" si="234"/>
        <v/>
      </c>
      <c r="Q2234" s="38" t="str">
        <f t="shared" si="235"/>
        <v/>
      </c>
      <c r="R2234" s="37" t="str">
        <f t="shared" si="236"/>
        <v/>
      </c>
      <c r="S2234" s="37" t="str">
        <f t="shared" si="237"/>
        <v/>
      </c>
      <c r="T2234" s="38" t="str">
        <f t="shared" si="238"/>
        <v/>
      </c>
      <c r="U2234" s="37" t="str">
        <f t="shared" si="239"/>
        <v/>
      </c>
    </row>
    <row r="2235" spans="2:21" ht="17.25">
      <c r="B2235" s="156"/>
      <c r="C2235" s="156"/>
      <c r="D2235" s="157"/>
      <c r="E2235" s="155"/>
      <c r="F2235" s="151"/>
      <c r="G2235" s="152"/>
      <c r="H2235" s="153"/>
      <c r="I2235" s="154"/>
      <c r="J2235" s="154"/>
      <c r="K2235" s="30" t="str">
        <f>IF(H2235="","",IF($C$30="간이법","",FPR(H2235,I2235,J2235)))</f>
        <v/>
      </c>
      <c r="L2235" s="30" t="str">
        <f>IF(H2235="","",IF($C$30="상세법",FPV(H2235,K2235),IF(H2235="EI",4,IF(H2235="EO",5.2,IF(H2235="EQ",3.9,IF(H2235="ILF",7.5,IF(H2235="EIF",5.4)))))))</f>
        <v/>
      </c>
      <c r="M2235" s="30" t="str">
        <f t="shared" si="233"/>
        <v/>
      </c>
      <c r="N2235" s="134"/>
      <c r="O2235" s="29"/>
      <c r="P2235" s="37" t="str">
        <f t="shared" si="234"/>
        <v/>
      </c>
      <c r="Q2235" s="38" t="str">
        <f t="shared" si="235"/>
        <v/>
      </c>
      <c r="R2235" s="37" t="str">
        <f t="shared" si="236"/>
        <v/>
      </c>
      <c r="S2235" s="37" t="str">
        <f t="shared" si="237"/>
        <v/>
      </c>
      <c r="T2235" s="38" t="str">
        <f t="shared" si="238"/>
        <v/>
      </c>
      <c r="U2235" s="37" t="str">
        <f t="shared" si="239"/>
        <v/>
      </c>
    </row>
    <row r="2236" spans="2:21" ht="17.25">
      <c r="B2236" s="156"/>
      <c r="C2236" s="156"/>
      <c r="D2236" s="157"/>
      <c r="E2236" s="155"/>
      <c r="F2236" s="151"/>
      <c r="G2236" s="152"/>
      <c r="H2236" s="153"/>
      <c r="I2236" s="154"/>
      <c r="J2236" s="154"/>
      <c r="K2236" s="30" t="str">
        <f>IF(H2236="","",IF($C$30="간이법","",FPR(H2236,I2236,J2236)))</f>
        <v/>
      </c>
      <c r="L2236" s="30" t="str">
        <f>IF(H2236="","",IF($C$30="상세법",FPV(H2236,K2236),IF(H2236="EI",4,IF(H2236="EO",5.2,IF(H2236="EQ",3.9,IF(H2236="ILF",7.5,IF(H2236="EIF",5.4)))))))</f>
        <v/>
      </c>
      <c r="M2236" s="30" t="str">
        <f t="shared" ref="M2236:M2299" si="240">IF(OR(G2236="",$E$36="(선택)",$E$40="(선택)",$E$41="(선택)",F2236="신규 개발",F2236="수정 없이 재사용"),"",(IF(F2236="수정 후 재사용",IF($E$50&lt;=0.5,L2236*($E$36+$E$50*100*(1+0.02*($E$40*$E$41)))/100,L2236*($E$36+$E$50*100+($E$40*$E$41))/100))))</f>
        <v/>
      </c>
      <c r="N2236" s="134"/>
      <c r="O2236" s="29"/>
      <c r="P2236" s="37" t="str">
        <f t="shared" ref="P2236:P2299" si="241">IF(F2236="수정 후 재사용",IF(H2236="ILF",G2236,IF(H2236="EIF",G2236,"")),"")</f>
        <v/>
      </c>
      <c r="Q2236" s="38" t="str">
        <f t="shared" ref="Q2236:Q2299" si="242">IF(P2236&lt;&gt;"",IF(H2236="ILF", L2236/$E$46,IF(H2236="EIF", L2236/$E$46,"")),"")</f>
        <v/>
      </c>
      <c r="R2236" s="37" t="str">
        <f t="shared" ref="R2236:R2299" si="243">IF(P2236&lt;&gt;"",P2236*Q2236,"")</f>
        <v/>
      </c>
      <c r="S2236" s="37" t="str">
        <f t="shared" ref="S2236:S2299" si="244">IF(F2236="수정 후 재사용",IF(H2236="EI",G2236,IF(H2236="EO",G2236,IF(H2236="EQ",G2236,""))),"")</f>
        <v/>
      </c>
      <c r="T2236" s="38" t="str">
        <f t="shared" ref="T2236:T2299" si="245">IF(S2236&lt;&gt;"",IF(H2236="EI",L2236/$E$47,IF(H2236="EO",L2236/$E$47,IF(H2236="EQ",L2236/$E$47,""))),"")</f>
        <v/>
      </c>
      <c r="U2236" s="37" t="str">
        <f t="shared" ref="U2236:U2299" si="246">IF(S2236&lt;&gt;"",S2236*T2236,"")</f>
        <v/>
      </c>
    </row>
    <row r="2237" spans="2:21" ht="17.25">
      <c r="B2237" s="156"/>
      <c r="C2237" s="156"/>
      <c r="D2237" s="157"/>
      <c r="E2237" s="155"/>
      <c r="F2237" s="151"/>
      <c r="G2237" s="152"/>
      <c r="H2237" s="153"/>
      <c r="I2237" s="154"/>
      <c r="J2237" s="154"/>
      <c r="K2237" s="30" t="str">
        <f>IF(H2237="","",IF($C$30="간이법","",FPR(H2237,I2237,J2237)))</f>
        <v/>
      </c>
      <c r="L2237" s="30" t="str">
        <f>IF(H2237="","",IF($C$30="상세법",FPV(H2237,K2237),IF(H2237="EI",4,IF(H2237="EO",5.2,IF(H2237="EQ",3.9,IF(H2237="ILF",7.5,IF(H2237="EIF",5.4)))))))</f>
        <v/>
      </c>
      <c r="M2237" s="30" t="str">
        <f t="shared" si="240"/>
        <v/>
      </c>
      <c r="N2237" s="134"/>
      <c r="O2237" s="29"/>
      <c r="P2237" s="37" t="str">
        <f t="shared" si="241"/>
        <v/>
      </c>
      <c r="Q2237" s="38" t="str">
        <f t="shared" si="242"/>
        <v/>
      </c>
      <c r="R2237" s="37" t="str">
        <f t="shared" si="243"/>
        <v/>
      </c>
      <c r="S2237" s="37" t="str">
        <f t="shared" si="244"/>
        <v/>
      </c>
      <c r="T2237" s="38" t="str">
        <f t="shared" si="245"/>
        <v/>
      </c>
      <c r="U2237" s="37" t="str">
        <f t="shared" si="246"/>
        <v/>
      </c>
    </row>
    <row r="2238" spans="2:21" ht="17.25">
      <c r="B2238" s="156"/>
      <c r="C2238" s="156"/>
      <c r="D2238" s="157"/>
      <c r="E2238" s="155"/>
      <c r="F2238" s="151"/>
      <c r="G2238" s="152"/>
      <c r="H2238" s="153"/>
      <c r="I2238" s="154"/>
      <c r="J2238" s="154"/>
      <c r="K2238" s="30" t="str">
        <f>IF(H2238="","",IF($C$30="간이법","",FPR(H2238,I2238,J2238)))</f>
        <v/>
      </c>
      <c r="L2238" s="30" t="str">
        <f>IF(H2238="","",IF($C$30="상세법",FPV(H2238,K2238),IF(H2238="EI",4,IF(H2238="EO",5.2,IF(H2238="EQ",3.9,IF(H2238="ILF",7.5,IF(H2238="EIF",5.4)))))))</f>
        <v/>
      </c>
      <c r="M2238" s="30" t="str">
        <f t="shared" si="240"/>
        <v/>
      </c>
      <c r="N2238" s="134"/>
      <c r="O2238" s="29"/>
      <c r="P2238" s="37" t="str">
        <f t="shared" si="241"/>
        <v/>
      </c>
      <c r="Q2238" s="38" t="str">
        <f t="shared" si="242"/>
        <v/>
      </c>
      <c r="R2238" s="37" t="str">
        <f t="shared" si="243"/>
        <v/>
      </c>
      <c r="S2238" s="37" t="str">
        <f t="shared" si="244"/>
        <v/>
      </c>
      <c r="T2238" s="38" t="str">
        <f t="shared" si="245"/>
        <v/>
      </c>
      <c r="U2238" s="37" t="str">
        <f t="shared" si="246"/>
        <v/>
      </c>
    </row>
    <row r="2239" spans="2:21" ht="17.25">
      <c r="B2239" s="156"/>
      <c r="C2239" s="156"/>
      <c r="D2239" s="157"/>
      <c r="E2239" s="155"/>
      <c r="F2239" s="151"/>
      <c r="G2239" s="152"/>
      <c r="H2239" s="153"/>
      <c r="I2239" s="154"/>
      <c r="J2239" s="154"/>
      <c r="K2239" s="30" t="str">
        <f>IF(H2239="","",IF($C$30="간이법","",FPR(H2239,I2239,J2239)))</f>
        <v/>
      </c>
      <c r="L2239" s="30" t="str">
        <f>IF(H2239="","",IF($C$30="상세법",FPV(H2239,K2239),IF(H2239="EI",4,IF(H2239="EO",5.2,IF(H2239="EQ",3.9,IF(H2239="ILF",7.5,IF(H2239="EIF",5.4)))))))</f>
        <v/>
      </c>
      <c r="M2239" s="30" t="str">
        <f t="shared" si="240"/>
        <v/>
      </c>
      <c r="N2239" s="134"/>
      <c r="O2239" s="29"/>
      <c r="P2239" s="37" t="str">
        <f t="shared" si="241"/>
        <v/>
      </c>
      <c r="Q2239" s="38" t="str">
        <f t="shared" si="242"/>
        <v/>
      </c>
      <c r="R2239" s="37" t="str">
        <f t="shared" si="243"/>
        <v/>
      </c>
      <c r="S2239" s="37" t="str">
        <f t="shared" si="244"/>
        <v/>
      </c>
      <c r="T2239" s="38" t="str">
        <f t="shared" si="245"/>
        <v/>
      </c>
      <c r="U2239" s="37" t="str">
        <f t="shared" si="246"/>
        <v/>
      </c>
    </row>
    <row r="2240" spans="2:21" ht="17.25">
      <c r="B2240" s="156"/>
      <c r="C2240" s="156"/>
      <c r="D2240" s="157"/>
      <c r="E2240" s="155"/>
      <c r="F2240" s="151"/>
      <c r="G2240" s="152"/>
      <c r="H2240" s="153"/>
      <c r="I2240" s="154"/>
      <c r="J2240" s="154"/>
      <c r="K2240" s="30" t="str">
        <f>IF(H2240="","",IF($C$30="간이법","",FPR(H2240,I2240,J2240)))</f>
        <v/>
      </c>
      <c r="L2240" s="30" t="str">
        <f>IF(H2240="","",IF($C$30="상세법",FPV(H2240,K2240),IF(H2240="EI",4,IF(H2240="EO",5.2,IF(H2240="EQ",3.9,IF(H2240="ILF",7.5,IF(H2240="EIF",5.4)))))))</f>
        <v/>
      </c>
      <c r="M2240" s="30" t="str">
        <f t="shared" si="240"/>
        <v/>
      </c>
      <c r="N2240" s="134"/>
      <c r="O2240" s="29"/>
      <c r="P2240" s="37" t="str">
        <f t="shared" si="241"/>
        <v/>
      </c>
      <c r="Q2240" s="38" t="str">
        <f t="shared" si="242"/>
        <v/>
      </c>
      <c r="R2240" s="37" t="str">
        <f t="shared" si="243"/>
        <v/>
      </c>
      <c r="S2240" s="37" t="str">
        <f t="shared" si="244"/>
        <v/>
      </c>
      <c r="T2240" s="38" t="str">
        <f t="shared" si="245"/>
        <v/>
      </c>
      <c r="U2240" s="37" t="str">
        <f t="shared" si="246"/>
        <v/>
      </c>
    </row>
    <row r="2241" spans="2:21" ht="17.25">
      <c r="B2241" s="156"/>
      <c r="C2241" s="156"/>
      <c r="D2241" s="157"/>
      <c r="E2241" s="155"/>
      <c r="F2241" s="151"/>
      <c r="G2241" s="152"/>
      <c r="H2241" s="153"/>
      <c r="I2241" s="154"/>
      <c r="J2241" s="154"/>
      <c r="K2241" s="30" t="str">
        <f>IF(H2241="","",IF($C$30="간이법","",FPR(H2241,I2241,J2241)))</f>
        <v/>
      </c>
      <c r="L2241" s="30" t="str">
        <f>IF(H2241="","",IF($C$30="상세법",FPV(H2241,K2241),IF(H2241="EI",4,IF(H2241="EO",5.2,IF(H2241="EQ",3.9,IF(H2241="ILF",7.5,IF(H2241="EIF",5.4)))))))</f>
        <v/>
      </c>
      <c r="M2241" s="30" t="str">
        <f t="shared" si="240"/>
        <v/>
      </c>
      <c r="N2241" s="134"/>
      <c r="O2241" s="29"/>
      <c r="P2241" s="37" t="str">
        <f t="shared" si="241"/>
        <v/>
      </c>
      <c r="Q2241" s="38" t="str">
        <f t="shared" si="242"/>
        <v/>
      </c>
      <c r="R2241" s="37" t="str">
        <f t="shared" si="243"/>
        <v/>
      </c>
      <c r="S2241" s="37" t="str">
        <f t="shared" si="244"/>
        <v/>
      </c>
      <c r="T2241" s="38" t="str">
        <f t="shared" si="245"/>
        <v/>
      </c>
      <c r="U2241" s="37" t="str">
        <f t="shared" si="246"/>
        <v/>
      </c>
    </row>
    <row r="2242" spans="2:21" ht="17.25">
      <c r="B2242" s="156"/>
      <c r="C2242" s="156"/>
      <c r="D2242" s="157"/>
      <c r="E2242" s="155"/>
      <c r="F2242" s="151"/>
      <c r="G2242" s="152"/>
      <c r="H2242" s="153"/>
      <c r="I2242" s="154"/>
      <c r="J2242" s="154"/>
      <c r="K2242" s="30" t="str">
        <f>IF(H2242="","",IF($C$30="간이법","",FPR(H2242,I2242,J2242)))</f>
        <v/>
      </c>
      <c r="L2242" s="30" t="str">
        <f>IF(H2242="","",IF($C$30="상세법",FPV(H2242,K2242),IF(H2242="EI",4,IF(H2242="EO",5.2,IF(H2242="EQ",3.9,IF(H2242="ILF",7.5,IF(H2242="EIF",5.4)))))))</f>
        <v/>
      </c>
      <c r="M2242" s="30" t="str">
        <f t="shared" si="240"/>
        <v/>
      </c>
      <c r="N2242" s="134"/>
      <c r="O2242" s="29"/>
      <c r="P2242" s="37" t="str">
        <f t="shared" si="241"/>
        <v/>
      </c>
      <c r="Q2242" s="38" t="str">
        <f t="shared" si="242"/>
        <v/>
      </c>
      <c r="R2242" s="37" t="str">
        <f t="shared" si="243"/>
        <v/>
      </c>
      <c r="S2242" s="37" t="str">
        <f t="shared" si="244"/>
        <v/>
      </c>
      <c r="T2242" s="38" t="str">
        <f t="shared" si="245"/>
        <v/>
      </c>
      <c r="U2242" s="37" t="str">
        <f t="shared" si="246"/>
        <v/>
      </c>
    </row>
    <row r="2243" spans="2:21" ht="17.25">
      <c r="B2243" s="156"/>
      <c r="C2243" s="156"/>
      <c r="D2243" s="157"/>
      <c r="E2243" s="155"/>
      <c r="F2243" s="151"/>
      <c r="G2243" s="152"/>
      <c r="H2243" s="153"/>
      <c r="I2243" s="154"/>
      <c r="J2243" s="154"/>
      <c r="K2243" s="30" t="str">
        <f>IF(H2243="","",IF($C$30="간이법","",FPR(H2243,I2243,J2243)))</f>
        <v/>
      </c>
      <c r="L2243" s="30" t="str">
        <f>IF(H2243="","",IF($C$30="상세법",FPV(H2243,K2243),IF(H2243="EI",4,IF(H2243="EO",5.2,IF(H2243="EQ",3.9,IF(H2243="ILF",7.5,IF(H2243="EIF",5.4)))))))</f>
        <v/>
      </c>
      <c r="M2243" s="30" t="str">
        <f t="shared" si="240"/>
        <v/>
      </c>
      <c r="N2243" s="134"/>
      <c r="O2243" s="29"/>
      <c r="P2243" s="37" t="str">
        <f t="shared" si="241"/>
        <v/>
      </c>
      <c r="Q2243" s="38" t="str">
        <f t="shared" si="242"/>
        <v/>
      </c>
      <c r="R2243" s="37" t="str">
        <f t="shared" si="243"/>
        <v/>
      </c>
      <c r="S2243" s="37" t="str">
        <f t="shared" si="244"/>
        <v/>
      </c>
      <c r="T2243" s="38" t="str">
        <f t="shared" si="245"/>
        <v/>
      </c>
      <c r="U2243" s="37" t="str">
        <f t="shared" si="246"/>
        <v/>
      </c>
    </row>
    <row r="2244" spans="2:21" ht="17.25">
      <c r="B2244" s="156"/>
      <c r="C2244" s="156"/>
      <c r="D2244" s="157"/>
      <c r="E2244" s="155"/>
      <c r="F2244" s="151"/>
      <c r="G2244" s="152"/>
      <c r="H2244" s="153"/>
      <c r="I2244" s="154"/>
      <c r="J2244" s="154"/>
      <c r="K2244" s="30" t="str">
        <f>IF(H2244="","",IF($C$30="간이법","",FPR(H2244,I2244,J2244)))</f>
        <v/>
      </c>
      <c r="L2244" s="30" t="str">
        <f>IF(H2244="","",IF($C$30="상세법",FPV(H2244,K2244),IF(H2244="EI",4,IF(H2244="EO",5.2,IF(H2244="EQ",3.9,IF(H2244="ILF",7.5,IF(H2244="EIF",5.4)))))))</f>
        <v/>
      </c>
      <c r="M2244" s="30" t="str">
        <f t="shared" si="240"/>
        <v/>
      </c>
      <c r="N2244" s="134"/>
      <c r="O2244" s="29"/>
      <c r="P2244" s="37" t="str">
        <f t="shared" si="241"/>
        <v/>
      </c>
      <c r="Q2244" s="38" t="str">
        <f t="shared" si="242"/>
        <v/>
      </c>
      <c r="R2244" s="37" t="str">
        <f t="shared" si="243"/>
        <v/>
      </c>
      <c r="S2244" s="37" t="str">
        <f t="shared" si="244"/>
        <v/>
      </c>
      <c r="T2244" s="38" t="str">
        <f t="shared" si="245"/>
        <v/>
      </c>
      <c r="U2244" s="37" t="str">
        <f t="shared" si="246"/>
        <v/>
      </c>
    </row>
    <row r="2245" spans="2:21" ht="17.25">
      <c r="B2245" s="156"/>
      <c r="C2245" s="156"/>
      <c r="D2245" s="157"/>
      <c r="E2245" s="155"/>
      <c r="F2245" s="151"/>
      <c r="G2245" s="152"/>
      <c r="H2245" s="153"/>
      <c r="I2245" s="154"/>
      <c r="J2245" s="154"/>
      <c r="K2245" s="30" t="str">
        <f>IF(H2245="","",IF($C$30="간이법","",FPR(H2245,I2245,J2245)))</f>
        <v/>
      </c>
      <c r="L2245" s="30" t="str">
        <f>IF(H2245="","",IF($C$30="상세법",FPV(H2245,K2245),IF(H2245="EI",4,IF(H2245="EO",5.2,IF(H2245="EQ",3.9,IF(H2245="ILF",7.5,IF(H2245="EIF",5.4)))))))</f>
        <v/>
      </c>
      <c r="M2245" s="30" t="str">
        <f t="shared" si="240"/>
        <v/>
      </c>
      <c r="N2245" s="134"/>
      <c r="O2245" s="29"/>
      <c r="P2245" s="37" t="str">
        <f t="shared" si="241"/>
        <v/>
      </c>
      <c r="Q2245" s="38" t="str">
        <f t="shared" si="242"/>
        <v/>
      </c>
      <c r="R2245" s="37" t="str">
        <f t="shared" si="243"/>
        <v/>
      </c>
      <c r="S2245" s="37" t="str">
        <f t="shared" si="244"/>
        <v/>
      </c>
      <c r="T2245" s="38" t="str">
        <f t="shared" si="245"/>
        <v/>
      </c>
      <c r="U2245" s="37" t="str">
        <f t="shared" si="246"/>
        <v/>
      </c>
    </row>
    <row r="2246" spans="2:21" ht="17.25">
      <c r="B2246" s="156"/>
      <c r="C2246" s="156"/>
      <c r="D2246" s="157"/>
      <c r="E2246" s="155"/>
      <c r="F2246" s="151"/>
      <c r="G2246" s="152"/>
      <c r="H2246" s="153"/>
      <c r="I2246" s="154"/>
      <c r="J2246" s="154"/>
      <c r="K2246" s="30" t="str">
        <f>IF(H2246="","",IF($C$30="간이법","",FPR(H2246,I2246,J2246)))</f>
        <v/>
      </c>
      <c r="L2246" s="30" t="str">
        <f>IF(H2246="","",IF($C$30="상세법",FPV(H2246,K2246),IF(H2246="EI",4,IF(H2246="EO",5.2,IF(H2246="EQ",3.9,IF(H2246="ILF",7.5,IF(H2246="EIF",5.4)))))))</f>
        <v/>
      </c>
      <c r="M2246" s="30" t="str">
        <f t="shared" si="240"/>
        <v/>
      </c>
      <c r="N2246" s="134"/>
      <c r="O2246" s="29"/>
      <c r="P2246" s="37" t="str">
        <f t="shared" si="241"/>
        <v/>
      </c>
      <c r="Q2246" s="38" t="str">
        <f t="shared" si="242"/>
        <v/>
      </c>
      <c r="R2246" s="37" t="str">
        <f t="shared" si="243"/>
        <v/>
      </c>
      <c r="S2246" s="37" t="str">
        <f t="shared" si="244"/>
        <v/>
      </c>
      <c r="T2246" s="38" t="str">
        <f t="shared" si="245"/>
        <v/>
      </c>
      <c r="U2246" s="37" t="str">
        <f t="shared" si="246"/>
        <v/>
      </c>
    </row>
    <row r="2247" spans="2:21" ht="17.25">
      <c r="B2247" s="156"/>
      <c r="C2247" s="156"/>
      <c r="D2247" s="157"/>
      <c r="E2247" s="155"/>
      <c r="F2247" s="151"/>
      <c r="G2247" s="152"/>
      <c r="H2247" s="153"/>
      <c r="I2247" s="154"/>
      <c r="J2247" s="154"/>
      <c r="K2247" s="30" t="str">
        <f>IF(H2247="","",IF($C$30="간이법","",FPR(H2247,I2247,J2247)))</f>
        <v/>
      </c>
      <c r="L2247" s="30" t="str">
        <f>IF(H2247="","",IF($C$30="상세법",FPV(H2247,K2247),IF(H2247="EI",4,IF(H2247="EO",5.2,IF(H2247="EQ",3.9,IF(H2247="ILF",7.5,IF(H2247="EIF",5.4)))))))</f>
        <v/>
      </c>
      <c r="M2247" s="30" t="str">
        <f t="shared" si="240"/>
        <v/>
      </c>
      <c r="N2247" s="134"/>
      <c r="O2247" s="29"/>
      <c r="P2247" s="37" t="str">
        <f t="shared" si="241"/>
        <v/>
      </c>
      <c r="Q2247" s="38" t="str">
        <f t="shared" si="242"/>
        <v/>
      </c>
      <c r="R2247" s="37" t="str">
        <f t="shared" si="243"/>
        <v/>
      </c>
      <c r="S2247" s="37" t="str">
        <f t="shared" si="244"/>
        <v/>
      </c>
      <c r="T2247" s="38" t="str">
        <f t="shared" si="245"/>
        <v/>
      </c>
      <c r="U2247" s="37" t="str">
        <f t="shared" si="246"/>
        <v/>
      </c>
    </row>
    <row r="2248" spans="2:21" ht="17.25">
      <c r="B2248" s="156"/>
      <c r="C2248" s="156"/>
      <c r="D2248" s="157"/>
      <c r="E2248" s="155"/>
      <c r="F2248" s="151"/>
      <c r="G2248" s="152"/>
      <c r="H2248" s="153"/>
      <c r="I2248" s="154"/>
      <c r="J2248" s="154"/>
      <c r="K2248" s="30" t="str">
        <f>IF(H2248="","",IF($C$30="간이법","",FPR(H2248,I2248,J2248)))</f>
        <v/>
      </c>
      <c r="L2248" s="30" t="str">
        <f>IF(H2248="","",IF($C$30="상세법",FPV(H2248,K2248),IF(H2248="EI",4,IF(H2248="EO",5.2,IF(H2248="EQ",3.9,IF(H2248="ILF",7.5,IF(H2248="EIF",5.4)))))))</f>
        <v/>
      </c>
      <c r="M2248" s="30" t="str">
        <f t="shared" si="240"/>
        <v/>
      </c>
      <c r="N2248" s="134"/>
      <c r="O2248" s="29"/>
      <c r="P2248" s="37" t="str">
        <f t="shared" si="241"/>
        <v/>
      </c>
      <c r="Q2248" s="38" t="str">
        <f t="shared" si="242"/>
        <v/>
      </c>
      <c r="R2248" s="37" t="str">
        <f t="shared" si="243"/>
        <v/>
      </c>
      <c r="S2248" s="37" t="str">
        <f t="shared" si="244"/>
        <v/>
      </c>
      <c r="T2248" s="38" t="str">
        <f t="shared" si="245"/>
        <v/>
      </c>
      <c r="U2248" s="37" t="str">
        <f t="shared" si="246"/>
        <v/>
      </c>
    </row>
    <row r="2249" spans="2:21" ht="17.25">
      <c r="B2249" s="156"/>
      <c r="C2249" s="156"/>
      <c r="D2249" s="157"/>
      <c r="E2249" s="155"/>
      <c r="F2249" s="151"/>
      <c r="G2249" s="152"/>
      <c r="H2249" s="153"/>
      <c r="I2249" s="154"/>
      <c r="J2249" s="154"/>
      <c r="K2249" s="30" t="str">
        <f>IF(H2249="","",IF($C$30="간이법","",FPR(H2249,I2249,J2249)))</f>
        <v/>
      </c>
      <c r="L2249" s="30" t="str">
        <f>IF(H2249="","",IF($C$30="상세법",FPV(H2249,K2249),IF(H2249="EI",4,IF(H2249="EO",5.2,IF(H2249="EQ",3.9,IF(H2249="ILF",7.5,IF(H2249="EIF",5.4)))))))</f>
        <v/>
      </c>
      <c r="M2249" s="30" t="str">
        <f t="shared" si="240"/>
        <v/>
      </c>
      <c r="N2249" s="134"/>
      <c r="O2249" s="29"/>
      <c r="P2249" s="37" t="str">
        <f t="shared" si="241"/>
        <v/>
      </c>
      <c r="Q2249" s="38" t="str">
        <f t="shared" si="242"/>
        <v/>
      </c>
      <c r="R2249" s="37" t="str">
        <f t="shared" si="243"/>
        <v/>
      </c>
      <c r="S2249" s="37" t="str">
        <f t="shared" si="244"/>
        <v/>
      </c>
      <c r="T2249" s="38" t="str">
        <f t="shared" si="245"/>
        <v/>
      </c>
      <c r="U2249" s="37" t="str">
        <f t="shared" si="246"/>
        <v/>
      </c>
    </row>
    <row r="2250" spans="2:21" ht="17.25">
      <c r="B2250" s="156"/>
      <c r="C2250" s="156"/>
      <c r="D2250" s="157"/>
      <c r="E2250" s="155"/>
      <c r="F2250" s="151"/>
      <c r="G2250" s="152"/>
      <c r="H2250" s="153"/>
      <c r="I2250" s="154"/>
      <c r="J2250" s="154"/>
      <c r="K2250" s="30" t="str">
        <f>IF(H2250="","",IF($C$30="간이법","",FPR(H2250,I2250,J2250)))</f>
        <v/>
      </c>
      <c r="L2250" s="30" t="str">
        <f>IF(H2250="","",IF($C$30="상세법",FPV(H2250,K2250),IF(H2250="EI",4,IF(H2250="EO",5.2,IF(H2250="EQ",3.9,IF(H2250="ILF",7.5,IF(H2250="EIF",5.4)))))))</f>
        <v/>
      </c>
      <c r="M2250" s="30" t="str">
        <f t="shared" si="240"/>
        <v/>
      </c>
      <c r="N2250" s="134"/>
      <c r="O2250" s="29"/>
      <c r="P2250" s="37" t="str">
        <f t="shared" si="241"/>
        <v/>
      </c>
      <c r="Q2250" s="38" t="str">
        <f t="shared" si="242"/>
        <v/>
      </c>
      <c r="R2250" s="37" t="str">
        <f t="shared" si="243"/>
        <v/>
      </c>
      <c r="S2250" s="37" t="str">
        <f t="shared" si="244"/>
        <v/>
      </c>
      <c r="T2250" s="38" t="str">
        <f t="shared" si="245"/>
        <v/>
      </c>
      <c r="U2250" s="37" t="str">
        <f t="shared" si="246"/>
        <v/>
      </c>
    </row>
    <row r="2251" spans="2:21" ht="17.25">
      <c r="B2251" s="156"/>
      <c r="C2251" s="156"/>
      <c r="D2251" s="157"/>
      <c r="E2251" s="155"/>
      <c r="F2251" s="151"/>
      <c r="G2251" s="152"/>
      <c r="H2251" s="153"/>
      <c r="I2251" s="154"/>
      <c r="J2251" s="154"/>
      <c r="K2251" s="30" t="str">
        <f>IF(H2251="","",IF($C$30="간이법","",FPR(H2251,I2251,J2251)))</f>
        <v/>
      </c>
      <c r="L2251" s="30" t="str">
        <f>IF(H2251="","",IF($C$30="상세법",FPV(H2251,K2251),IF(H2251="EI",4,IF(H2251="EO",5.2,IF(H2251="EQ",3.9,IF(H2251="ILF",7.5,IF(H2251="EIF",5.4)))))))</f>
        <v/>
      </c>
      <c r="M2251" s="30" t="str">
        <f t="shared" si="240"/>
        <v/>
      </c>
      <c r="N2251" s="134"/>
      <c r="O2251" s="29"/>
      <c r="P2251" s="37" t="str">
        <f t="shared" si="241"/>
        <v/>
      </c>
      <c r="Q2251" s="38" t="str">
        <f t="shared" si="242"/>
        <v/>
      </c>
      <c r="R2251" s="37" t="str">
        <f t="shared" si="243"/>
        <v/>
      </c>
      <c r="S2251" s="37" t="str">
        <f t="shared" si="244"/>
        <v/>
      </c>
      <c r="T2251" s="38" t="str">
        <f t="shared" si="245"/>
        <v/>
      </c>
      <c r="U2251" s="37" t="str">
        <f t="shared" si="246"/>
        <v/>
      </c>
    </row>
    <row r="2252" spans="2:21" ht="17.25">
      <c r="B2252" s="156"/>
      <c r="C2252" s="156"/>
      <c r="D2252" s="157"/>
      <c r="E2252" s="155"/>
      <c r="F2252" s="151"/>
      <c r="G2252" s="152"/>
      <c r="H2252" s="153"/>
      <c r="I2252" s="154"/>
      <c r="J2252" s="154"/>
      <c r="K2252" s="30" t="str">
        <f>IF(H2252="","",IF($C$30="간이법","",FPR(H2252,I2252,J2252)))</f>
        <v/>
      </c>
      <c r="L2252" s="30" t="str">
        <f>IF(H2252="","",IF($C$30="상세법",FPV(H2252,K2252),IF(H2252="EI",4,IF(H2252="EO",5.2,IF(H2252="EQ",3.9,IF(H2252="ILF",7.5,IF(H2252="EIF",5.4)))))))</f>
        <v/>
      </c>
      <c r="M2252" s="30" t="str">
        <f t="shared" si="240"/>
        <v/>
      </c>
      <c r="N2252" s="134"/>
      <c r="O2252" s="29"/>
      <c r="P2252" s="37" t="str">
        <f t="shared" si="241"/>
        <v/>
      </c>
      <c r="Q2252" s="38" t="str">
        <f t="shared" si="242"/>
        <v/>
      </c>
      <c r="R2252" s="37" t="str">
        <f t="shared" si="243"/>
        <v/>
      </c>
      <c r="S2252" s="37" t="str">
        <f t="shared" si="244"/>
        <v/>
      </c>
      <c r="T2252" s="38" t="str">
        <f t="shared" si="245"/>
        <v/>
      </c>
      <c r="U2252" s="37" t="str">
        <f t="shared" si="246"/>
        <v/>
      </c>
    </row>
    <row r="2253" spans="2:21" ht="17.25">
      <c r="B2253" s="156"/>
      <c r="C2253" s="156"/>
      <c r="D2253" s="157"/>
      <c r="E2253" s="155"/>
      <c r="F2253" s="151"/>
      <c r="G2253" s="152"/>
      <c r="H2253" s="153"/>
      <c r="I2253" s="154"/>
      <c r="J2253" s="154"/>
      <c r="K2253" s="30" t="str">
        <f>IF(H2253="","",IF($C$30="간이법","",FPR(H2253,I2253,J2253)))</f>
        <v/>
      </c>
      <c r="L2253" s="30" t="str">
        <f>IF(H2253="","",IF($C$30="상세법",FPV(H2253,K2253),IF(H2253="EI",4,IF(H2253="EO",5.2,IF(H2253="EQ",3.9,IF(H2253="ILF",7.5,IF(H2253="EIF",5.4)))))))</f>
        <v/>
      </c>
      <c r="M2253" s="30" t="str">
        <f t="shared" si="240"/>
        <v/>
      </c>
      <c r="N2253" s="134"/>
      <c r="O2253" s="29"/>
      <c r="P2253" s="37" t="str">
        <f t="shared" si="241"/>
        <v/>
      </c>
      <c r="Q2253" s="38" t="str">
        <f t="shared" si="242"/>
        <v/>
      </c>
      <c r="R2253" s="37" t="str">
        <f t="shared" si="243"/>
        <v/>
      </c>
      <c r="S2253" s="37" t="str">
        <f t="shared" si="244"/>
        <v/>
      </c>
      <c r="T2253" s="38" t="str">
        <f t="shared" si="245"/>
        <v/>
      </c>
      <c r="U2253" s="37" t="str">
        <f t="shared" si="246"/>
        <v/>
      </c>
    </row>
    <row r="2254" spans="2:21" ht="17.25">
      <c r="B2254" s="156"/>
      <c r="C2254" s="156"/>
      <c r="D2254" s="157"/>
      <c r="E2254" s="155"/>
      <c r="F2254" s="151"/>
      <c r="G2254" s="152"/>
      <c r="H2254" s="153"/>
      <c r="I2254" s="154"/>
      <c r="J2254" s="154"/>
      <c r="K2254" s="30" t="str">
        <f>IF(H2254="","",IF($C$30="간이법","",FPR(H2254,I2254,J2254)))</f>
        <v/>
      </c>
      <c r="L2254" s="30" t="str">
        <f>IF(H2254="","",IF($C$30="상세법",FPV(H2254,K2254),IF(H2254="EI",4,IF(H2254="EO",5.2,IF(H2254="EQ",3.9,IF(H2254="ILF",7.5,IF(H2254="EIF",5.4)))))))</f>
        <v/>
      </c>
      <c r="M2254" s="30" t="str">
        <f t="shared" si="240"/>
        <v/>
      </c>
      <c r="N2254" s="134"/>
      <c r="O2254" s="29"/>
      <c r="P2254" s="37" t="str">
        <f t="shared" si="241"/>
        <v/>
      </c>
      <c r="Q2254" s="38" t="str">
        <f t="shared" si="242"/>
        <v/>
      </c>
      <c r="R2254" s="37" t="str">
        <f t="shared" si="243"/>
        <v/>
      </c>
      <c r="S2254" s="37" t="str">
        <f t="shared" si="244"/>
        <v/>
      </c>
      <c r="T2254" s="38" t="str">
        <f t="shared" si="245"/>
        <v/>
      </c>
      <c r="U2254" s="37" t="str">
        <f t="shared" si="246"/>
        <v/>
      </c>
    </row>
    <row r="2255" spans="2:21" ht="17.25">
      <c r="B2255" s="156"/>
      <c r="C2255" s="156"/>
      <c r="D2255" s="157"/>
      <c r="E2255" s="155"/>
      <c r="F2255" s="151"/>
      <c r="G2255" s="152"/>
      <c r="H2255" s="153"/>
      <c r="I2255" s="154"/>
      <c r="J2255" s="154"/>
      <c r="K2255" s="30" t="str">
        <f>IF(H2255="","",IF($C$30="간이법","",FPR(H2255,I2255,J2255)))</f>
        <v/>
      </c>
      <c r="L2255" s="30" t="str">
        <f>IF(H2255="","",IF($C$30="상세법",FPV(H2255,K2255),IF(H2255="EI",4,IF(H2255="EO",5.2,IF(H2255="EQ",3.9,IF(H2255="ILF",7.5,IF(H2255="EIF",5.4)))))))</f>
        <v/>
      </c>
      <c r="M2255" s="30" t="str">
        <f t="shared" si="240"/>
        <v/>
      </c>
      <c r="N2255" s="134"/>
      <c r="O2255" s="29"/>
      <c r="P2255" s="37" t="str">
        <f t="shared" si="241"/>
        <v/>
      </c>
      <c r="Q2255" s="38" t="str">
        <f t="shared" si="242"/>
        <v/>
      </c>
      <c r="R2255" s="37" t="str">
        <f t="shared" si="243"/>
        <v/>
      </c>
      <c r="S2255" s="37" t="str">
        <f t="shared" si="244"/>
        <v/>
      </c>
      <c r="T2255" s="38" t="str">
        <f t="shared" si="245"/>
        <v/>
      </c>
      <c r="U2255" s="37" t="str">
        <f t="shared" si="246"/>
        <v/>
      </c>
    </row>
    <row r="2256" spans="2:21" ht="17.25">
      <c r="B2256" s="156"/>
      <c r="C2256" s="156"/>
      <c r="D2256" s="157"/>
      <c r="E2256" s="155"/>
      <c r="F2256" s="151"/>
      <c r="G2256" s="152"/>
      <c r="H2256" s="153"/>
      <c r="I2256" s="154"/>
      <c r="J2256" s="154"/>
      <c r="K2256" s="30" t="str">
        <f>IF(H2256="","",IF($C$30="간이법","",FPR(H2256,I2256,J2256)))</f>
        <v/>
      </c>
      <c r="L2256" s="30" t="str">
        <f>IF(H2256="","",IF($C$30="상세법",FPV(H2256,K2256),IF(H2256="EI",4,IF(H2256="EO",5.2,IF(H2256="EQ",3.9,IF(H2256="ILF",7.5,IF(H2256="EIF",5.4)))))))</f>
        <v/>
      </c>
      <c r="M2256" s="30" t="str">
        <f t="shared" si="240"/>
        <v/>
      </c>
      <c r="N2256" s="134"/>
      <c r="O2256" s="29"/>
      <c r="P2256" s="37" t="str">
        <f t="shared" si="241"/>
        <v/>
      </c>
      <c r="Q2256" s="38" t="str">
        <f t="shared" si="242"/>
        <v/>
      </c>
      <c r="R2256" s="37" t="str">
        <f t="shared" si="243"/>
        <v/>
      </c>
      <c r="S2256" s="37" t="str">
        <f t="shared" si="244"/>
        <v/>
      </c>
      <c r="T2256" s="38" t="str">
        <f t="shared" si="245"/>
        <v/>
      </c>
      <c r="U2256" s="37" t="str">
        <f t="shared" si="246"/>
        <v/>
      </c>
    </row>
    <row r="2257" spans="2:21" ht="17.25">
      <c r="B2257" s="156"/>
      <c r="C2257" s="156"/>
      <c r="D2257" s="157"/>
      <c r="E2257" s="155"/>
      <c r="F2257" s="151"/>
      <c r="G2257" s="152"/>
      <c r="H2257" s="153"/>
      <c r="I2257" s="154"/>
      <c r="J2257" s="154"/>
      <c r="K2257" s="30" t="str">
        <f>IF(H2257="","",IF($C$30="간이법","",FPR(H2257,I2257,J2257)))</f>
        <v/>
      </c>
      <c r="L2257" s="30" t="str">
        <f>IF(H2257="","",IF($C$30="상세법",FPV(H2257,K2257),IF(H2257="EI",4,IF(H2257="EO",5.2,IF(H2257="EQ",3.9,IF(H2257="ILF",7.5,IF(H2257="EIF",5.4)))))))</f>
        <v/>
      </c>
      <c r="M2257" s="30" t="str">
        <f t="shared" si="240"/>
        <v/>
      </c>
      <c r="N2257" s="134"/>
      <c r="O2257" s="29"/>
      <c r="P2257" s="37" t="str">
        <f t="shared" si="241"/>
        <v/>
      </c>
      <c r="Q2257" s="38" t="str">
        <f t="shared" si="242"/>
        <v/>
      </c>
      <c r="R2257" s="37" t="str">
        <f t="shared" si="243"/>
        <v/>
      </c>
      <c r="S2257" s="37" t="str">
        <f t="shared" si="244"/>
        <v/>
      </c>
      <c r="T2257" s="38" t="str">
        <f t="shared" si="245"/>
        <v/>
      </c>
      <c r="U2257" s="37" t="str">
        <f t="shared" si="246"/>
        <v/>
      </c>
    </row>
    <row r="2258" spans="2:21" ht="17.25">
      <c r="B2258" s="156"/>
      <c r="C2258" s="156"/>
      <c r="D2258" s="157"/>
      <c r="E2258" s="155"/>
      <c r="F2258" s="151"/>
      <c r="G2258" s="152"/>
      <c r="H2258" s="153"/>
      <c r="I2258" s="154"/>
      <c r="J2258" s="154"/>
      <c r="K2258" s="30" t="str">
        <f>IF(H2258="","",IF($C$30="간이법","",FPR(H2258,I2258,J2258)))</f>
        <v/>
      </c>
      <c r="L2258" s="30" t="str">
        <f>IF(H2258="","",IF($C$30="상세법",FPV(H2258,K2258),IF(H2258="EI",4,IF(H2258="EO",5.2,IF(H2258="EQ",3.9,IF(H2258="ILF",7.5,IF(H2258="EIF",5.4)))))))</f>
        <v/>
      </c>
      <c r="M2258" s="30" t="str">
        <f t="shared" si="240"/>
        <v/>
      </c>
      <c r="N2258" s="134"/>
      <c r="O2258" s="29"/>
      <c r="P2258" s="37" t="str">
        <f t="shared" si="241"/>
        <v/>
      </c>
      <c r="Q2258" s="38" t="str">
        <f t="shared" si="242"/>
        <v/>
      </c>
      <c r="R2258" s="37" t="str">
        <f t="shared" si="243"/>
        <v/>
      </c>
      <c r="S2258" s="37" t="str">
        <f t="shared" si="244"/>
        <v/>
      </c>
      <c r="T2258" s="38" t="str">
        <f t="shared" si="245"/>
        <v/>
      </c>
      <c r="U2258" s="37" t="str">
        <f t="shared" si="246"/>
        <v/>
      </c>
    </row>
    <row r="2259" spans="2:21" ht="17.25">
      <c r="B2259" s="156"/>
      <c r="C2259" s="156"/>
      <c r="D2259" s="157"/>
      <c r="E2259" s="155"/>
      <c r="F2259" s="151"/>
      <c r="G2259" s="152"/>
      <c r="H2259" s="153"/>
      <c r="I2259" s="154"/>
      <c r="J2259" s="154"/>
      <c r="K2259" s="30" t="str">
        <f>IF(H2259="","",IF($C$30="간이법","",FPR(H2259,I2259,J2259)))</f>
        <v/>
      </c>
      <c r="L2259" s="30" t="str">
        <f>IF(H2259="","",IF($C$30="상세법",FPV(H2259,K2259),IF(H2259="EI",4,IF(H2259="EO",5.2,IF(H2259="EQ",3.9,IF(H2259="ILF",7.5,IF(H2259="EIF",5.4)))))))</f>
        <v/>
      </c>
      <c r="M2259" s="30" t="str">
        <f t="shared" si="240"/>
        <v/>
      </c>
      <c r="N2259" s="134"/>
      <c r="O2259" s="29"/>
      <c r="P2259" s="37" t="str">
        <f t="shared" si="241"/>
        <v/>
      </c>
      <c r="Q2259" s="38" t="str">
        <f t="shared" si="242"/>
        <v/>
      </c>
      <c r="R2259" s="37" t="str">
        <f t="shared" si="243"/>
        <v/>
      </c>
      <c r="S2259" s="37" t="str">
        <f t="shared" si="244"/>
        <v/>
      </c>
      <c r="T2259" s="38" t="str">
        <f t="shared" si="245"/>
        <v/>
      </c>
      <c r="U2259" s="37" t="str">
        <f t="shared" si="246"/>
        <v/>
      </c>
    </row>
    <row r="2260" spans="2:21" ht="17.25">
      <c r="B2260" s="156"/>
      <c r="C2260" s="156"/>
      <c r="D2260" s="157"/>
      <c r="E2260" s="155"/>
      <c r="F2260" s="151"/>
      <c r="G2260" s="152"/>
      <c r="H2260" s="153"/>
      <c r="I2260" s="154"/>
      <c r="J2260" s="154"/>
      <c r="K2260" s="30" t="str">
        <f>IF(H2260="","",IF($C$30="간이법","",FPR(H2260,I2260,J2260)))</f>
        <v/>
      </c>
      <c r="L2260" s="30" t="str">
        <f>IF(H2260="","",IF($C$30="상세법",FPV(H2260,K2260),IF(H2260="EI",4,IF(H2260="EO",5.2,IF(H2260="EQ",3.9,IF(H2260="ILF",7.5,IF(H2260="EIF",5.4)))))))</f>
        <v/>
      </c>
      <c r="M2260" s="30" t="str">
        <f t="shared" si="240"/>
        <v/>
      </c>
      <c r="N2260" s="134"/>
      <c r="O2260" s="29"/>
      <c r="P2260" s="37" t="str">
        <f t="shared" si="241"/>
        <v/>
      </c>
      <c r="Q2260" s="38" t="str">
        <f t="shared" si="242"/>
        <v/>
      </c>
      <c r="R2260" s="37" t="str">
        <f t="shared" si="243"/>
        <v/>
      </c>
      <c r="S2260" s="37" t="str">
        <f t="shared" si="244"/>
        <v/>
      </c>
      <c r="T2260" s="38" t="str">
        <f t="shared" si="245"/>
        <v/>
      </c>
      <c r="U2260" s="37" t="str">
        <f t="shared" si="246"/>
        <v/>
      </c>
    </row>
    <row r="2261" spans="2:21" ht="17.25">
      <c r="B2261" s="156"/>
      <c r="C2261" s="156"/>
      <c r="D2261" s="157"/>
      <c r="E2261" s="155"/>
      <c r="F2261" s="151"/>
      <c r="G2261" s="152"/>
      <c r="H2261" s="153"/>
      <c r="I2261" s="154"/>
      <c r="J2261" s="154"/>
      <c r="K2261" s="30" t="str">
        <f>IF(H2261="","",IF($C$30="간이법","",FPR(H2261,I2261,J2261)))</f>
        <v/>
      </c>
      <c r="L2261" s="30" t="str">
        <f>IF(H2261="","",IF($C$30="상세법",FPV(H2261,K2261),IF(H2261="EI",4,IF(H2261="EO",5.2,IF(H2261="EQ",3.9,IF(H2261="ILF",7.5,IF(H2261="EIF",5.4)))))))</f>
        <v/>
      </c>
      <c r="M2261" s="30" t="str">
        <f t="shared" si="240"/>
        <v/>
      </c>
      <c r="N2261" s="134"/>
      <c r="O2261" s="29"/>
      <c r="P2261" s="37" t="str">
        <f t="shared" si="241"/>
        <v/>
      </c>
      <c r="Q2261" s="38" t="str">
        <f t="shared" si="242"/>
        <v/>
      </c>
      <c r="R2261" s="37" t="str">
        <f t="shared" si="243"/>
        <v/>
      </c>
      <c r="S2261" s="37" t="str">
        <f t="shared" si="244"/>
        <v/>
      </c>
      <c r="T2261" s="38" t="str">
        <f t="shared" si="245"/>
        <v/>
      </c>
      <c r="U2261" s="37" t="str">
        <f t="shared" si="246"/>
        <v/>
      </c>
    </row>
    <row r="2262" spans="2:21" ht="17.25">
      <c r="B2262" s="156"/>
      <c r="C2262" s="156"/>
      <c r="D2262" s="157"/>
      <c r="E2262" s="155"/>
      <c r="F2262" s="151"/>
      <c r="G2262" s="152"/>
      <c r="H2262" s="153"/>
      <c r="I2262" s="154"/>
      <c r="J2262" s="154"/>
      <c r="K2262" s="30" t="str">
        <f>IF(H2262="","",IF($C$30="간이법","",FPR(H2262,I2262,J2262)))</f>
        <v/>
      </c>
      <c r="L2262" s="30" t="str">
        <f>IF(H2262="","",IF($C$30="상세법",FPV(H2262,K2262),IF(H2262="EI",4,IF(H2262="EO",5.2,IF(H2262="EQ",3.9,IF(H2262="ILF",7.5,IF(H2262="EIF",5.4)))))))</f>
        <v/>
      </c>
      <c r="M2262" s="30" t="str">
        <f t="shared" si="240"/>
        <v/>
      </c>
      <c r="N2262" s="134"/>
      <c r="O2262" s="29"/>
      <c r="P2262" s="37" t="str">
        <f t="shared" si="241"/>
        <v/>
      </c>
      <c r="Q2262" s="38" t="str">
        <f t="shared" si="242"/>
        <v/>
      </c>
      <c r="R2262" s="37" t="str">
        <f t="shared" si="243"/>
        <v/>
      </c>
      <c r="S2262" s="37" t="str">
        <f t="shared" si="244"/>
        <v/>
      </c>
      <c r="T2262" s="38" t="str">
        <f t="shared" si="245"/>
        <v/>
      </c>
      <c r="U2262" s="37" t="str">
        <f t="shared" si="246"/>
        <v/>
      </c>
    </row>
    <row r="2263" spans="2:21" ht="17.25">
      <c r="B2263" s="156"/>
      <c r="C2263" s="156"/>
      <c r="D2263" s="157"/>
      <c r="E2263" s="155"/>
      <c r="F2263" s="151"/>
      <c r="G2263" s="152"/>
      <c r="H2263" s="153"/>
      <c r="I2263" s="154"/>
      <c r="J2263" s="154"/>
      <c r="K2263" s="30" t="str">
        <f>IF(H2263="","",IF($C$30="간이법","",FPR(H2263,I2263,J2263)))</f>
        <v/>
      </c>
      <c r="L2263" s="30" t="str">
        <f>IF(H2263="","",IF($C$30="상세법",FPV(H2263,K2263),IF(H2263="EI",4,IF(H2263="EO",5.2,IF(H2263="EQ",3.9,IF(H2263="ILF",7.5,IF(H2263="EIF",5.4)))))))</f>
        <v/>
      </c>
      <c r="M2263" s="30" t="str">
        <f t="shared" si="240"/>
        <v/>
      </c>
      <c r="N2263" s="134"/>
      <c r="O2263" s="29"/>
      <c r="P2263" s="37" t="str">
        <f t="shared" si="241"/>
        <v/>
      </c>
      <c r="Q2263" s="38" t="str">
        <f t="shared" si="242"/>
        <v/>
      </c>
      <c r="R2263" s="37" t="str">
        <f t="shared" si="243"/>
        <v/>
      </c>
      <c r="S2263" s="37" t="str">
        <f t="shared" si="244"/>
        <v/>
      </c>
      <c r="T2263" s="38" t="str">
        <f t="shared" si="245"/>
        <v/>
      </c>
      <c r="U2263" s="37" t="str">
        <f t="shared" si="246"/>
        <v/>
      </c>
    </row>
    <row r="2264" spans="2:21" ht="17.25">
      <c r="B2264" s="156"/>
      <c r="C2264" s="156"/>
      <c r="D2264" s="157"/>
      <c r="E2264" s="155"/>
      <c r="F2264" s="151"/>
      <c r="G2264" s="152"/>
      <c r="H2264" s="153"/>
      <c r="I2264" s="154"/>
      <c r="J2264" s="154"/>
      <c r="K2264" s="30" t="str">
        <f>IF(H2264="","",IF($C$30="간이법","",FPR(H2264,I2264,J2264)))</f>
        <v/>
      </c>
      <c r="L2264" s="30" t="str">
        <f>IF(H2264="","",IF($C$30="상세법",FPV(H2264,K2264),IF(H2264="EI",4,IF(H2264="EO",5.2,IF(H2264="EQ",3.9,IF(H2264="ILF",7.5,IF(H2264="EIF",5.4)))))))</f>
        <v/>
      </c>
      <c r="M2264" s="30" t="str">
        <f t="shared" si="240"/>
        <v/>
      </c>
      <c r="N2264" s="134"/>
      <c r="O2264" s="29"/>
      <c r="P2264" s="37" t="str">
        <f t="shared" si="241"/>
        <v/>
      </c>
      <c r="Q2264" s="38" t="str">
        <f t="shared" si="242"/>
        <v/>
      </c>
      <c r="R2264" s="37" t="str">
        <f t="shared" si="243"/>
        <v/>
      </c>
      <c r="S2264" s="37" t="str">
        <f t="shared" si="244"/>
        <v/>
      </c>
      <c r="T2264" s="38" t="str">
        <f t="shared" si="245"/>
        <v/>
      </c>
      <c r="U2264" s="37" t="str">
        <f t="shared" si="246"/>
        <v/>
      </c>
    </row>
    <row r="2265" spans="2:21" ht="17.25">
      <c r="B2265" s="156"/>
      <c r="C2265" s="156"/>
      <c r="D2265" s="157"/>
      <c r="E2265" s="155"/>
      <c r="F2265" s="151"/>
      <c r="G2265" s="152"/>
      <c r="H2265" s="153"/>
      <c r="I2265" s="154"/>
      <c r="J2265" s="154"/>
      <c r="K2265" s="30" t="str">
        <f>IF(H2265="","",IF($C$30="간이법","",FPR(H2265,I2265,J2265)))</f>
        <v/>
      </c>
      <c r="L2265" s="30" t="str">
        <f>IF(H2265="","",IF($C$30="상세법",FPV(H2265,K2265),IF(H2265="EI",4,IF(H2265="EO",5.2,IF(H2265="EQ",3.9,IF(H2265="ILF",7.5,IF(H2265="EIF",5.4)))))))</f>
        <v/>
      </c>
      <c r="M2265" s="30" t="str">
        <f t="shared" si="240"/>
        <v/>
      </c>
      <c r="N2265" s="134"/>
      <c r="O2265" s="29"/>
      <c r="P2265" s="37" t="str">
        <f t="shared" si="241"/>
        <v/>
      </c>
      <c r="Q2265" s="38" t="str">
        <f t="shared" si="242"/>
        <v/>
      </c>
      <c r="R2265" s="37" t="str">
        <f t="shared" si="243"/>
        <v/>
      </c>
      <c r="S2265" s="37" t="str">
        <f t="shared" si="244"/>
        <v/>
      </c>
      <c r="T2265" s="38" t="str">
        <f t="shared" si="245"/>
        <v/>
      </c>
      <c r="U2265" s="37" t="str">
        <f t="shared" si="246"/>
        <v/>
      </c>
    </row>
    <row r="2266" spans="2:21" ht="17.25">
      <c r="B2266" s="156"/>
      <c r="C2266" s="156"/>
      <c r="D2266" s="157"/>
      <c r="E2266" s="155"/>
      <c r="F2266" s="151"/>
      <c r="G2266" s="152"/>
      <c r="H2266" s="153"/>
      <c r="I2266" s="154"/>
      <c r="J2266" s="154"/>
      <c r="K2266" s="30" t="str">
        <f>IF(H2266="","",IF($C$30="간이법","",FPR(H2266,I2266,J2266)))</f>
        <v/>
      </c>
      <c r="L2266" s="30" t="str">
        <f>IF(H2266="","",IF($C$30="상세법",FPV(H2266,K2266),IF(H2266="EI",4,IF(H2266="EO",5.2,IF(H2266="EQ",3.9,IF(H2266="ILF",7.5,IF(H2266="EIF",5.4)))))))</f>
        <v/>
      </c>
      <c r="M2266" s="30" t="str">
        <f t="shared" si="240"/>
        <v/>
      </c>
      <c r="N2266" s="134"/>
      <c r="O2266" s="29"/>
      <c r="P2266" s="37" t="str">
        <f t="shared" si="241"/>
        <v/>
      </c>
      <c r="Q2266" s="38" t="str">
        <f t="shared" si="242"/>
        <v/>
      </c>
      <c r="R2266" s="37" t="str">
        <f t="shared" si="243"/>
        <v/>
      </c>
      <c r="S2266" s="37" t="str">
        <f t="shared" si="244"/>
        <v/>
      </c>
      <c r="T2266" s="38" t="str">
        <f t="shared" si="245"/>
        <v/>
      </c>
      <c r="U2266" s="37" t="str">
        <f t="shared" si="246"/>
        <v/>
      </c>
    </row>
    <row r="2267" spans="2:21" ht="17.25">
      <c r="B2267" s="156"/>
      <c r="C2267" s="156"/>
      <c r="D2267" s="157"/>
      <c r="E2267" s="155"/>
      <c r="F2267" s="151"/>
      <c r="G2267" s="152"/>
      <c r="H2267" s="153"/>
      <c r="I2267" s="154"/>
      <c r="J2267" s="154"/>
      <c r="K2267" s="30" t="str">
        <f>IF(H2267="","",IF($C$30="간이법","",FPR(H2267,I2267,J2267)))</f>
        <v/>
      </c>
      <c r="L2267" s="30" t="str">
        <f>IF(H2267="","",IF($C$30="상세법",FPV(H2267,K2267),IF(H2267="EI",4,IF(H2267="EO",5.2,IF(H2267="EQ",3.9,IF(H2267="ILF",7.5,IF(H2267="EIF",5.4)))))))</f>
        <v/>
      </c>
      <c r="M2267" s="30" t="str">
        <f t="shared" si="240"/>
        <v/>
      </c>
      <c r="N2267" s="134"/>
      <c r="O2267" s="29"/>
      <c r="P2267" s="37" t="str">
        <f t="shared" si="241"/>
        <v/>
      </c>
      <c r="Q2267" s="38" t="str">
        <f t="shared" si="242"/>
        <v/>
      </c>
      <c r="R2267" s="37" t="str">
        <f t="shared" si="243"/>
        <v/>
      </c>
      <c r="S2267" s="37" t="str">
        <f t="shared" si="244"/>
        <v/>
      </c>
      <c r="T2267" s="38" t="str">
        <f t="shared" si="245"/>
        <v/>
      </c>
      <c r="U2267" s="37" t="str">
        <f t="shared" si="246"/>
        <v/>
      </c>
    </row>
    <row r="2268" spans="2:21" ht="17.25">
      <c r="B2268" s="156"/>
      <c r="C2268" s="156"/>
      <c r="D2268" s="157"/>
      <c r="E2268" s="155"/>
      <c r="F2268" s="151"/>
      <c r="G2268" s="152"/>
      <c r="H2268" s="153"/>
      <c r="I2268" s="154"/>
      <c r="J2268" s="154"/>
      <c r="K2268" s="30" t="str">
        <f>IF(H2268="","",IF($C$30="간이법","",FPR(H2268,I2268,J2268)))</f>
        <v/>
      </c>
      <c r="L2268" s="30" t="str">
        <f>IF(H2268="","",IF($C$30="상세법",FPV(H2268,K2268),IF(H2268="EI",4,IF(H2268="EO",5.2,IF(H2268="EQ",3.9,IF(H2268="ILF",7.5,IF(H2268="EIF",5.4)))))))</f>
        <v/>
      </c>
      <c r="M2268" s="30" t="str">
        <f t="shared" si="240"/>
        <v/>
      </c>
      <c r="N2268" s="134"/>
      <c r="O2268" s="29"/>
      <c r="P2268" s="37" t="str">
        <f t="shared" si="241"/>
        <v/>
      </c>
      <c r="Q2268" s="38" t="str">
        <f t="shared" si="242"/>
        <v/>
      </c>
      <c r="R2268" s="37" t="str">
        <f t="shared" si="243"/>
        <v/>
      </c>
      <c r="S2268" s="37" t="str">
        <f t="shared" si="244"/>
        <v/>
      </c>
      <c r="T2268" s="38" t="str">
        <f t="shared" si="245"/>
        <v/>
      </c>
      <c r="U2268" s="37" t="str">
        <f t="shared" si="246"/>
        <v/>
      </c>
    </row>
    <row r="2269" spans="2:21" ht="17.25">
      <c r="B2269" s="156"/>
      <c r="C2269" s="156"/>
      <c r="D2269" s="157"/>
      <c r="E2269" s="155"/>
      <c r="F2269" s="151"/>
      <c r="G2269" s="152"/>
      <c r="H2269" s="153"/>
      <c r="I2269" s="154"/>
      <c r="J2269" s="154"/>
      <c r="K2269" s="30" t="str">
        <f>IF(H2269="","",IF($C$30="간이법","",FPR(H2269,I2269,J2269)))</f>
        <v/>
      </c>
      <c r="L2269" s="30" t="str">
        <f>IF(H2269="","",IF($C$30="상세법",FPV(H2269,K2269),IF(H2269="EI",4,IF(H2269="EO",5.2,IF(H2269="EQ",3.9,IF(H2269="ILF",7.5,IF(H2269="EIF",5.4)))))))</f>
        <v/>
      </c>
      <c r="M2269" s="30" t="str">
        <f t="shared" si="240"/>
        <v/>
      </c>
      <c r="N2269" s="134"/>
      <c r="O2269" s="29"/>
      <c r="P2269" s="37" t="str">
        <f t="shared" si="241"/>
        <v/>
      </c>
      <c r="Q2269" s="38" t="str">
        <f t="shared" si="242"/>
        <v/>
      </c>
      <c r="R2269" s="37" t="str">
        <f t="shared" si="243"/>
        <v/>
      </c>
      <c r="S2269" s="37" t="str">
        <f t="shared" si="244"/>
        <v/>
      </c>
      <c r="T2269" s="38" t="str">
        <f t="shared" si="245"/>
        <v/>
      </c>
      <c r="U2269" s="37" t="str">
        <f t="shared" si="246"/>
        <v/>
      </c>
    </row>
    <row r="2270" spans="2:21" ht="17.25">
      <c r="B2270" s="156"/>
      <c r="C2270" s="156"/>
      <c r="D2270" s="157"/>
      <c r="E2270" s="155"/>
      <c r="F2270" s="151"/>
      <c r="G2270" s="152"/>
      <c r="H2270" s="153"/>
      <c r="I2270" s="154"/>
      <c r="J2270" s="154"/>
      <c r="K2270" s="30" t="str">
        <f>IF(H2270="","",IF($C$30="간이법","",FPR(H2270,I2270,J2270)))</f>
        <v/>
      </c>
      <c r="L2270" s="30" t="str">
        <f>IF(H2270="","",IF($C$30="상세법",FPV(H2270,K2270),IF(H2270="EI",4,IF(H2270="EO",5.2,IF(H2270="EQ",3.9,IF(H2270="ILF",7.5,IF(H2270="EIF",5.4)))))))</f>
        <v/>
      </c>
      <c r="M2270" s="30" t="str">
        <f t="shared" si="240"/>
        <v/>
      </c>
      <c r="N2270" s="134"/>
      <c r="O2270" s="29"/>
      <c r="P2270" s="37" t="str">
        <f t="shared" si="241"/>
        <v/>
      </c>
      <c r="Q2270" s="38" t="str">
        <f t="shared" si="242"/>
        <v/>
      </c>
      <c r="R2270" s="37" t="str">
        <f t="shared" si="243"/>
        <v/>
      </c>
      <c r="S2270" s="37" t="str">
        <f t="shared" si="244"/>
        <v/>
      </c>
      <c r="T2270" s="38" t="str">
        <f t="shared" si="245"/>
        <v/>
      </c>
      <c r="U2270" s="37" t="str">
        <f t="shared" si="246"/>
        <v/>
      </c>
    </row>
    <row r="2271" spans="2:21" ht="17.25">
      <c r="B2271" s="156"/>
      <c r="C2271" s="156"/>
      <c r="D2271" s="157"/>
      <c r="E2271" s="155"/>
      <c r="F2271" s="151"/>
      <c r="G2271" s="152"/>
      <c r="H2271" s="153"/>
      <c r="I2271" s="154"/>
      <c r="J2271" s="154"/>
      <c r="K2271" s="30" t="str">
        <f>IF(H2271="","",IF($C$30="간이법","",FPR(H2271,I2271,J2271)))</f>
        <v/>
      </c>
      <c r="L2271" s="30" t="str">
        <f>IF(H2271="","",IF($C$30="상세법",FPV(H2271,K2271),IF(H2271="EI",4,IF(H2271="EO",5.2,IF(H2271="EQ",3.9,IF(H2271="ILF",7.5,IF(H2271="EIF",5.4)))))))</f>
        <v/>
      </c>
      <c r="M2271" s="30" t="str">
        <f t="shared" si="240"/>
        <v/>
      </c>
      <c r="N2271" s="134"/>
      <c r="O2271" s="29"/>
      <c r="P2271" s="37" t="str">
        <f t="shared" si="241"/>
        <v/>
      </c>
      <c r="Q2271" s="38" t="str">
        <f t="shared" si="242"/>
        <v/>
      </c>
      <c r="R2271" s="37" t="str">
        <f t="shared" si="243"/>
        <v/>
      </c>
      <c r="S2271" s="37" t="str">
        <f t="shared" si="244"/>
        <v/>
      </c>
      <c r="T2271" s="38" t="str">
        <f t="shared" si="245"/>
        <v/>
      </c>
      <c r="U2271" s="37" t="str">
        <f t="shared" si="246"/>
        <v/>
      </c>
    </row>
    <row r="2272" spans="2:21" ht="17.25">
      <c r="B2272" s="156"/>
      <c r="C2272" s="156"/>
      <c r="D2272" s="157"/>
      <c r="E2272" s="155"/>
      <c r="F2272" s="151"/>
      <c r="G2272" s="152"/>
      <c r="H2272" s="153"/>
      <c r="I2272" s="154"/>
      <c r="J2272" s="154"/>
      <c r="K2272" s="30" t="str">
        <f>IF(H2272="","",IF($C$30="간이법","",FPR(H2272,I2272,J2272)))</f>
        <v/>
      </c>
      <c r="L2272" s="30" t="str">
        <f>IF(H2272="","",IF($C$30="상세법",FPV(H2272,K2272),IF(H2272="EI",4,IF(H2272="EO",5.2,IF(H2272="EQ",3.9,IF(H2272="ILF",7.5,IF(H2272="EIF",5.4)))))))</f>
        <v/>
      </c>
      <c r="M2272" s="30" t="str">
        <f t="shared" si="240"/>
        <v/>
      </c>
      <c r="N2272" s="134"/>
      <c r="O2272" s="29"/>
      <c r="P2272" s="37" t="str">
        <f t="shared" si="241"/>
        <v/>
      </c>
      <c r="Q2272" s="38" t="str">
        <f t="shared" si="242"/>
        <v/>
      </c>
      <c r="R2272" s="37" t="str">
        <f t="shared" si="243"/>
        <v/>
      </c>
      <c r="S2272" s="37" t="str">
        <f t="shared" si="244"/>
        <v/>
      </c>
      <c r="T2272" s="38" t="str">
        <f t="shared" si="245"/>
        <v/>
      </c>
      <c r="U2272" s="37" t="str">
        <f t="shared" si="246"/>
        <v/>
      </c>
    </row>
    <row r="2273" spans="2:21" ht="17.25">
      <c r="B2273" s="156"/>
      <c r="C2273" s="156"/>
      <c r="D2273" s="157"/>
      <c r="E2273" s="155"/>
      <c r="F2273" s="151"/>
      <c r="G2273" s="152"/>
      <c r="H2273" s="153"/>
      <c r="I2273" s="154"/>
      <c r="J2273" s="154"/>
      <c r="K2273" s="30" t="str">
        <f>IF(H2273="","",IF($C$30="간이법","",FPR(H2273,I2273,J2273)))</f>
        <v/>
      </c>
      <c r="L2273" s="30" t="str">
        <f>IF(H2273="","",IF($C$30="상세법",FPV(H2273,K2273),IF(H2273="EI",4,IF(H2273="EO",5.2,IF(H2273="EQ",3.9,IF(H2273="ILF",7.5,IF(H2273="EIF",5.4)))))))</f>
        <v/>
      </c>
      <c r="M2273" s="30" t="str">
        <f t="shared" si="240"/>
        <v/>
      </c>
      <c r="N2273" s="134"/>
      <c r="O2273" s="29"/>
      <c r="P2273" s="37" t="str">
        <f t="shared" si="241"/>
        <v/>
      </c>
      <c r="Q2273" s="38" t="str">
        <f t="shared" si="242"/>
        <v/>
      </c>
      <c r="R2273" s="37" t="str">
        <f t="shared" si="243"/>
        <v/>
      </c>
      <c r="S2273" s="37" t="str">
        <f t="shared" si="244"/>
        <v/>
      </c>
      <c r="T2273" s="38" t="str">
        <f t="shared" si="245"/>
        <v/>
      </c>
      <c r="U2273" s="37" t="str">
        <f t="shared" si="246"/>
        <v/>
      </c>
    </row>
    <row r="2274" spans="2:21" ht="17.25">
      <c r="B2274" s="156"/>
      <c r="C2274" s="156"/>
      <c r="D2274" s="157"/>
      <c r="E2274" s="155"/>
      <c r="F2274" s="151"/>
      <c r="G2274" s="152"/>
      <c r="H2274" s="153"/>
      <c r="I2274" s="154"/>
      <c r="J2274" s="154"/>
      <c r="K2274" s="30" t="str">
        <f>IF(H2274="","",IF($C$30="간이법","",FPR(H2274,I2274,J2274)))</f>
        <v/>
      </c>
      <c r="L2274" s="30" t="str">
        <f>IF(H2274="","",IF($C$30="상세법",FPV(H2274,K2274),IF(H2274="EI",4,IF(H2274="EO",5.2,IF(H2274="EQ",3.9,IF(H2274="ILF",7.5,IF(H2274="EIF",5.4)))))))</f>
        <v/>
      </c>
      <c r="M2274" s="30" t="str">
        <f t="shared" si="240"/>
        <v/>
      </c>
      <c r="N2274" s="134"/>
      <c r="O2274" s="29"/>
      <c r="P2274" s="37" t="str">
        <f t="shared" si="241"/>
        <v/>
      </c>
      <c r="Q2274" s="38" t="str">
        <f t="shared" si="242"/>
        <v/>
      </c>
      <c r="R2274" s="37" t="str">
        <f t="shared" si="243"/>
        <v/>
      </c>
      <c r="S2274" s="37" t="str">
        <f t="shared" si="244"/>
        <v/>
      </c>
      <c r="T2274" s="38" t="str">
        <f t="shared" si="245"/>
        <v/>
      </c>
      <c r="U2274" s="37" t="str">
        <f t="shared" si="246"/>
        <v/>
      </c>
    </row>
    <row r="2275" spans="2:21" ht="17.25">
      <c r="B2275" s="156"/>
      <c r="C2275" s="156"/>
      <c r="D2275" s="157"/>
      <c r="E2275" s="155"/>
      <c r="F2275" s="151"/>
      <c r="G2275" s="152"/>
      <c r="H2275" s="153"/>
      <c r="I2275" s="154"/>
      <c r="J2275" s="154"/>
      <c r="K2275" s="30" t="str">
        <f>IF(H2275="","",IF($C$30="간이법","",FPR(H2275,I2275,J2275)))</f>
        <v/>
      </c>
      <c r="L2275" s="30" t="str">
        <f>IF(H2275="","",IF($C$30="상세법",FPV(H2275,K2275),IF(H2275="EI",4,IF(H2275="EO",5.2,IF(H2275="EQ",3.9,IF(H2275="ILF",7.5,IF(H2275="EIF",5.4)))))))</f>
        <v/>
      </c>
      <c r="M2275" s="30" t="str">
        <f t="shared" si="240"/>
        <v/>
      </c>
      <c r="N2275" s="134"/>
      <c r="O2275" s="29"/>
      <c r="P2275" s="37" t="str">
        <f t="shared" si="241"/>
        <v/>
      </c>
      <c r="Q2275" s="38" t="str">
        <f t="shared" si="242"/>
        <v/>
      </c>
      <c r="R2275" s="37" t="str">
        <f t="shared" si="243"/>
        <v/>
      </c>
      <c r="S2275" s="37" t="str">
        <f t="shared" si="244"/>
        <v/>
      </c>
      <c r="T2275" s="38" t="str">
        <f t="shared" si="245"/>
        <v/>
      </c>
      <c r="U2275" s="37" t="str">
        <f t="shared" si="246"/>
        <v/>
      </c>
    </row>
    <row r="2276" spans="2:21" ht="17.25">
      <c r="B2276" s="156"/>
      <c r="C2276" s="156"/>
      <c r="D2276" s="157"/>
      <c r="E2276" s="155"/>
      <c r="F2276" s="151"/>
      <c r="G2276" s="152"/>
      <c r="H2276" s="153"/>
      <c r="I2276" s="154"/>
      <c r="J2276" s="154"/>
      <c r="K2276" s="30" t="str">
        <f>IF(H2276="","",IF($C$30="간이법","",FPR(H2276,I2276,J2276)))</f>
        <v/>
      </c>
      <c r="L2276" s="30" t="str">
        <f>IF(H2276="","",IF($C$30="상세법",FPV(H2276,K2276),IF(H2276="EI",4,IF(H2276="EO",5.2,IF(H2276="EQ",3.9,IF(H2276="ILF",7.5,IF(H2276="EIF",5.4)))))))</f>
        <v/>
      </c>
      <c r="M2276" s="30" t="str">
        <f t="shared" si="240"/>
        <v/>
      </c>
      <c r="N2276" s="134"/>
      <c r="O2276" s="29"/>
      <c r="P2276" s="37" t="str">
        <f t="shared" si="241"/>
        <v/>
      </c>
      <c r="Q2276" s="38" t="str">
        <f t="shared" si="242"/>
        <v/>
      </c>
      <c r="R2276" s="37" t="str">
        <f t="shared" si="243"/>
        <v/>
      </c>
      <c r="S2276" s="37" t="str">
        <f t="shared" si="244"/>
        <v/>
      </c>
      <c r="T2276" s="38" t="str">
        <f t="shared" si="245"/>
        <v/>
      </c>
      <c r="U2276" s="37" t="str">
        <f t="shared" si="246"/>
        <v/>
      </c>
    </row>
    <row r="2277" spans="2:21" ht="17.25">
      <c r="B2277" s="156"/>
      <c r="C2277" s="156"/>
      <c r="D2277" s="157"/>
      <c r="E2277" s="155"/>
      <c r="F2277" s="151"/>
      <c r="G2277" s="152"/>
      <c r="H2277" s="153"/>
      <c r="I2277" s="154"/>
      <c r="J2277" s="154"/>
      <c r="K2277" s="30" t="str">
        <f>IF(H2277="","",IF($C$30="간이법","",FPR(H2277,I2277,J2277)))</f>
        <v/>
      </c>
      <c r="L2277" s="30" t="str">
        <f>IF(H2277="","",IF($C$30="상세법",FPV(H2277,K2277),IF(H2277="EI",4,IF(H2277="EO",5.2,IF(H2277="EQ",3.9,IF(H2277="ILF",7.5,IF(H2277="EIF",5.4)))))))</f>
        <v/>
      </c>
      <c r="M2277" s="30" t="str">
        <f t="shared" si="240"/>
        <v/>
      </c>
      <c r="N2277" s="134"/>
      <c r="O2277" s="29"/>
      <c r="P2277" s="37" t="str">
        <f t="shared" si="241"/>
        <v/>
      </c>
      <c r="Q2277" s="38" t="str">
        <f t="shared" si="242"/>
        <v/>
      </c>
      <c r="R2277" s="37" t="str">
        <f t="shared" si="243"/>
        <v/>
      </c>
      <c r="S2277" s="37" t="str">
        <f t="shared" si="244"/>
        <v/>
      </c>
      <c r="T2277" s="38" t="str">
        <f t="shared" si="245"/>
        <v/>
      </c>
      <c r="U2277" s="37" t="str">
        <f t="shared" si="246"/>
        <v/>
      </c>
    </row>
    <row r="2278" spans="2:21" ht="17.25">
      <c r="B2278" s="156"/>
      <c r="C2278" s="156"/>
      <c r="D2278" s="157"/>
      <c r="E2278" s="155"/>
      <c r="F2278" s="151"/>
      <c r="G2278" s="152"/>
      <c r="H2278" s="153"/>
      <c r="I2278" s="154"/>
      <c r="J2278" s="154"/>
      <c r="K2278" s="30" t="str">
        <f>IF(H2278="","",IF($C$30="간이법","",FPR(H2278,I2278,J2278)))</f>
        <v/>
      </c>
      <c r="L2278" s="30" t="str">
        <f>IF(H2278="","",IF($C$30="상세법",FPV(H2278,K2278),IF(H2278="EI",4,IF(H2278="EO",5.2,IF(H2278="EQ",3.9,IF(H2278="ILF",7.5,IF(H2278="EIF",5.4)))))))</f>
        <v/>
      </c>
      <c r="M2278" s="30" t="str">
        <f t="shared" si="240"/>
        <v/>
      </c>
      <c r="N2278" s="134"/>
      <c r="O2278" s="29"/>
      <c r="P2278" s="37" t="str">
        <f t="shared" si="241"/>
        <v/>
      </c>
      <c r="Q2278" s="38" t="str">
        <f t="shared" si="242"/>
        <v/>
      </c>
      <c r="R2278" s="37" t="str">
        <f t="shared" si="243"/>
        <v/>
      </c>
      <c r="S2278" s="37" t="str">
        <f t="shared" si="244"/>
        <v/>
      </c>
      <c r="T2278" s="38" t="str">
        <f t="shared" si="245"/>
        <v/>
      </c>
      <c r="U2278" s="37" t="str">
        <f t="shared" si="246"/>
        <v/>
      </c>
    </row>
    <row r="2279" spans="2:21" ht="17.25">
      <c r="B2279" s="156"/>
      <c r="C2279" s="156"/>
      <c r="D2279" s="157"/>
      <c r="E2279" s="155"/>
      <c r="F2279" s="151"/>
      <c r="G2279" s="152"/>
      <c r="H2279" s="153"/>
      <c r="I2279" s="154"/>
      <c r="J2279" s="154"/>
      <c r="K2279" s="30" t="str">
        <f>IF(H2279="","",IF($C$30="간이법","",FPR(H2279,I2279,J2279)))</f>
        <v/>
      </c>
      <c r="L2279" s="30" t="str">
        <f>IF(H2279="","",IF($C$30="상세법",FPV(H2279,K2279),IF(H2279="EI",4,IF(H2279="EO",5.2,IF(H2279="EQ",3.9,IF(H2279="ILF",7.5,IF(H2279="EIF",5.4)))))))</f>
        <v/>
      </c>
      <c r="M2279" s="30" t="str">
        <f t="shared" si="240"/>
        <v/>
      </c>
      <c r="N2279" s="134"/>
      <c r="O2279" s="29"/>
      <c r="P2279" s="37" t="str">
        <f t="shared" si="241"/>
        <v/>
      </c>
      <c r="Q2279" s="38" t="str">
        <f t="shared" si="242"/>
        <v/>
      </c>
      <c r="R2279" s="37" t="str">
        <f t="shared" si="243"/>
        <v/>
      </c>
      <c r="S2279" s="37" t="str">
        <f t="shared" si="244"/>
        <v/>
      </c>
      <c r="T2279" s="38" t="str">
        <f t="shared" si="245"/>
        <v/>
      </c>
      <c r="U2279" s="37" t="str">
        <f t="shared" si="246"/>
        <v/>
      </c>
    </row>
    <row r="2280" spans="2:21" ht="17.25">
      <c r="B2280" s="156"/>
      <c r="C2280" s="156"/>
      <c r="D2280" s="157"/>
      <c r="E2280" s="155"/>
      <c r="F2280" s="151"/>
      <c r="G2280" s="152"/>
      <c r="H2280" s="153"/>
      <c r="I2280" s="154"/>
      <c r="J2280" s="154"/>
      <c r="K2280" s="30" t="str">
        <f>IF(H2280="","",IF($C$30="간이법","",FPR(H2280,I2280,J2280)))</f>
        <v/>
      </c>
      <c r="L2280" s="30" t="str">
        <f>IF(H2280="","",IF($C$30="상세법",FPV(H2280,K2280),IF(H2280="EI",4,IF(H2280="EO",5.2,IF(H2280="EQ",3.9,IF(H2280="ILF",7.5,IF(H2280="EIF",5.4)))))))</f>
        <v/>
      </c>
      <c r="M2280" s="30" t="str">
        <f t="shared" si="240"/>
        <v/>
      </c>
      <c r="N2280" s="134"/>
      <c r="O2280" s="29"/>
      <c r="P2280" s="37" t="str">
        <f t="shared" si="241"/>
        <v/>
      </c>
      <c r="Q2280" s="38" t="str">
        <f t="shared" si="242"/>
        <v/>
      </c>
      <c r="R2280" s="37" t="str">
        <f t="shared" si="243"/>
        <v/>
      </c>
      <c r="S2280" s="37" t="str">
        <f t="shared" si="244"/>
        <v/>
      </c>
      <c r="T2280" s="38" t="str">
        <f t="shared" si="245"/>
        <v/>
      </c>
      <c r="U2280" s="37" t="str">
        <f t="shared" si="246"/>
        <v/>
      </c>
    </row>
    <row r="2281" spans="2:21" ht="17.25">
      <c r="B2281" s="156"/>
      <c r="C2281" s="156"/>
      <c r="D2281" s="157"/>
      <c r="E2281" s="155"/>
      <c r="F2281" s="151"/>
      <c r="G2281" s="152"/>
      <c r="H2281" s="153"/>
      <c r="I2281" s="154"/>
      <c r="J2281" s="154"/>
      <c r="K2281" s="30" t="str">
        <f>IF(H2281="","",IF($C$30="간이법","",FPR(H2281,I2281,J2281)))</f>
        <v/>
      </c>
      <c r="L2281" s="30" t="str">
        <f>IF(H2281="","",IF($C$30="상세법",FPV(H2281,K2281),IF(H2281="EI",4,IF(H2281="EO",5.2,IF(H2281="EQ",3.9,IF(H2281="ILF",7.5,IF(H2281="EIF",5.4)))))))</f>
        <v/>
      </c>
      <c r="M2281" s="30" t="str">
        <f t="shared" si="240"/>
        <v/>
      </c>
      <c r="N2281" s="134"/>
      <c r="O2281" s="29"/>
      <c r="P2281" s="37" t="str">
        <f t="shared" si="241"/>
        <v/>
      </c>
      <c r="Q2281" s="38" t="str">
        <f t="shared" si="242"/>
        <v/>
      </c>
      <c r="R2281" s="37" t="str">
        <f t="shared" si="243"/>
        <v/>
      </c>
      <c r="S2281" s="37" t="str">
        <f t="shared" si="244"/>
        <v/>
      </c>
      <c r="T2281" s="38" t="str">
        <f t="shared" si="245"/>
        <v/>
      </c>
      <c r="U2281" s="37" t="str">
        <f t="shared" si="246"/>
        <v/>
      </c>
    </row>
    <row r="2282" spans="2:21" ht="17.25">
      <c r="B2282" s="156"/>
      <c r="C2282" s="156"/>
      <c r="D2282" s="157"/>
      <c r="E2282" s="155"/>
      <c r="F2282" s="151"/>
      <c r="G2282" s="152"/>
      <c r="H2282" s="153"/>
      <c r="I2282" s="154"/>
      <c r="J2282" s="154"/>
      <c r="K2282" s="30" t="str">
        <f>IF(H2282="","",IF($C$30="간이법","",FPR(H2282,I2282,J2282)))</f>
        <v/>
      </c>
      <c r="L2282" s="30" t="str">
        <f>IF(H2282="","",IF($C$30="상세법",FPV(H2282,K2282),IF(H2282="EI",4,IF(H2282="EO",5.2,IF(H2282="EQ",3.9,IF(H2282="ILF",7.5,IF(H2282="EIF",5.4)))))))</f>
        <v/>
      </c>
      <c r="M2282" s="30" t="str">
        <f t="shared" si="240"/>
        <v/>
      </c>
      <c r="N2282" s="134"/>
      <c r="O2282" s="29"/>
      <c r="P2282" s="37" t="str">
        <f t="shared" si="241"/>
        <v/>
      </c>
      <c r="Q2282" s="38" t="str">
        <f t="shared" si="242"/>
        <v/>
      </c>
      <c r="R2282" s="37" t="str">
        <f t="shared" si="243"/>
        <v/>
      </c>
      <c r="S2282" s="37" t="str">
        <f t="shared" si="244"/>
        <v/>
      </c>
      <c r="T2282" s="38" t="str">
        <f t="shared" si="245"/>
        <v/>
      </c>
      <c r="U2282" s="37" t="str">
        <f t="shared" si="246"/>
        <v/>
      </c>
    </row>
    <row r="2283" spans="2:21" ht="17.25">
      <c r="B2283" s="156"/>
      <c r="C2283" s="156"/>
      <c r="D2283" s="157"/>
      <c r="E2283" s="155"/>
      <c r="F2283" s="151"/>
      <c r="G2283" s="152"/>
      <c r="H2283" s="153"/>
      <c r="I2283" s="154"/>
      <c r="J2283" s="154"/>
      <c r="K2283" s="30" t="str">
        <f>IF(H2283="","",IF($C$30="간이법","",FPR(H2283,I2283,J2283)))</f>
        <v/>
      </c>
      <c r="L2283" s="30" t="str">
        <f>IF(H2283="","",IF($C$30="상세법",FPV(H2283,K2283),IF(H2283="EI",4,IF(H2283="EO",5.2,IF(H2283="EQ",3.9,IF(H2283="ILF",7.5,IF(H2283="EIF",5.4)))))))</f>
        <v/>
      </c>
      <c r="M2283" s="30" t="str">
        <f t="shared" si="240"/>
        <v/>
      </c>
      <c r="N2283" s="134"/>
      <c r="O2283" s="29"/>
      <c r="P2283" s="37" t="str">
        <f t="shared" si="241"/>
        <v/>
      </c>
      <c r="Q2283" s="38" t="str">
        <f t="shared" si="242"/>
        <v/>
      </c>
      <c r="R2283" s="37" t="str">
        <f t="shared" si="243"/>
        <v/>
      </c>
      <c r="S2283" s="37" t="str">
        <f t="shared" si="244"/>
        <v/>
      </c>
      <c r="T2283" s="38" t="str">
        <f t="shared" si="245"/>
        <v/>
      </c>
      <c r="U2283" s="37" t="str">
        <f t="shared" si="246"/>
        <v/>
      </c>
    </row>
    <row r="2284" spans="2:21" ht="17.25">
      <c r="B2284" s="156"/>
      <c r="C2284" s="156"/>
      <c r="D2284" s="157"/>
      <c r="E2284" s="155"/>
      <c r="F2284" s="151"/>
      <c r="G2284" s="152"/>
      <c r="H2284" s="153"/>
      <c r="I2284" s="154"/>
      <c r="J2284" s="154"/>
      <c r="K2284" s="30" t="str">
        <f>IF(H2284="","",IF($C$30="간이법","",FPR(H2284,I2284,J2284)))</f>
        <v/>
      </c>
      <c r="L2284" s="30" t="str">
        <f>IF(H2284="","",IF($C$30="상세법",FPV(H2284,K2284),IF(H2284="EI",4,IF(H2284="EO",5.2,IF(H2284="EQ",3.9,IF(H2284="ILF",7.5,IF(H2284="EIF",5.4)))))))</f>
        <v/>
      </c>
      <c r="M2284" s="30" t="str">
        <f t="shared" si="240"/>
        <v/>
      </c>
      <c r="N2284" s="134"/>
      <c r="O2284" s="29"/>
      <c r="P2284" s="37" t="str">
        <f t="shared" si="241"/>
        <v/>
      </c>
      <c r="Q2284" s="38" t="str">
        <f t="shared" si="242"/>
        <v/>
      </c>
      <c r="R2284" s="37" t="str">
        <f t="shared" si="243"/>
        <v/>
      </c>
      <c r="S2284" s="37" t="str">
        <f t="shared" si="244"/>
        <v/>
      </c>
      <c r="T2284" s="38" t="str">
        <f t="shared" si="245"/>
        <v/>
      </c>
      <c r="U2284" s="37" t="str">
        <f t="shared" si="246"/>
        <v/>
      </c>
    </row>
    <row r="2285" spans="2:21" ht="17.25">
      <c r="B2285" s="156"/>
      <c r="C2285" s="156"/>
      <c r="D2285" s="157"/>
      <c r="E2285" s="155"/>
      <c r="F2285" s="151"/>
      <c r="G2285" s="152"/>
      <c r="H2285" s="153"/>
      <c r="I2285" s="154"/>
      <c r="J2285" s="154"/>
      <c r="K2285" s="30" t="str">
        <f>IF(H2285="","",IF($C$30="간이법","",FPR(H2285,I2285,J2285)))</f>
        <v/>
      </c>
      <c r="L2285" s="30" t="str">
        <f>IF(H2285="","",IF($C$30="상세법",FPV(H2285,K2285),IF(H2285="EI",4,IF(H2285="EO",5.2,IF(H2285="EQ",3.9,IF(H2285="ILF",7.5,IF(H2285="EIF",5.4)))))))</f>
        <v/>
      </c>
      <c r="M2285" s="30" t="str">
        <f t="shared" si="240"/>
        <v/>
      </c>
      <c r="N2285" s="134"/>
      <c r="O2285" s="29"/>
      <c r="P2285" s="37" t="str">
        <f t="shared" si="241"/>
        <v/>
      </c>
      <c r="Q2285" s="38" t="str">
        <f t="shared" si="242"/>
        <v/>
      </c>
      <c r="R2285" s="37" t="str">
        <f t="shared" si="243"/>
        <v/>
      </c>
      <c r="S2285" s="37" t="str">
        <f t="shared" si="244"/>
        <v/>
      </c>
      <c r="T2285" s="38" t="str">
        <f t="shared" si="245"/>
        <v/>
      </c>
      <c r="U2285" s="37" t="str">
        <f t="shared" si="246"/>
        <v/>
      </c>
    </row>
    <row r="2286" spans="2:21" ht="17.25">
      <c r="B2286" s="156"/>
      <c r="C2286" s="156"/>
      <c r="D2286" s="157"/>
      <c r="E2286" s="155"/>
      <c r="F2286" s="151"/>
      <c r="G2286" s="152"/>
      <c r="H2286" s="153"/>
      <c r="I2286" s="154"/>
      <c r="J2286" s="154"/>
      <c r="K2286" s="30" t="str">
        <f>IF(H2286="","",IF($C$30="간이법","",FPR(H2286,I2286,J2286)))</f>
        <v/>
      </c>
      <c r="L2286" s="30" t="str">
        <f>IF(H2286="","",IF($C$30="상세법",FPV(H2286,K2286),IF(H2286="EI",4,IF(H2286="EO",5.2,IF(H2286="EQ",3.9,IF(H2286="ILF",7.5,IF(H2286="EIF",5.4)))))))</f>
        <v/>
      </c>
      <c r="M2286" s="30" t="str">
        <f t="shared" si="240"/>
        <v/>
      </c>
      <c r="N2286" s="134"/>
      <c r="O2286" s="29"/>
      <c r="P2286" s="37" t="str">
        <f t="shared" si="241"/>
        <v/>
      </c>
      <c r="Q2286" s="38" t="str">
        <f t="shared" si="242"/>
        <v/>
      </c>
      <c r="R2286" s="37" t="str">
        <f t="shared" si="243"/>
        <v/>
      </c>
      <c r="S2286" s="37" t="str">
        <f t="shared" si="244"/>
        <v/>
      </c>
      <c r="T2286" s="38" t="str">
        <f t="shared" si="245"/>
        <v/>
      </c>
      <c r="U2286" s="37" t="str">
        <f t="shared" si="246"/>
        <v/>
      </c>
    </row>
    <row r="2287" spans="2:21" ht="17.25">
      <c r="B2287" s="156"/>
      <c r="C2287" s="156"/>
      <c r="D2287" s="157"/>
      <c r="E2287" s="155"/>
      <c r="F2287" s="151"/>
      <c r="G2287" s="152"/>
      <c r="H2287" s="153"/>
      <c r="I2287" s="154"/>
      <c r="J2287" s="154"/>
      <c r="K2287" s="30" t="str">
        <f>IF(H2287="","",IF($C$30="간이법","",FPR(H2287,I2287,J2287)))</f>
        <v/>
      </c>
      <c r="L2287" s="30" t="str">
        <f>IF(H2287="","",IF($C$30="상세법",FPV(H2287,K2287),IF(H2287="EI",4,IF(H2287="EO",5.2,IF(H2287="EQ",3.9,IF(H2287="ILF",7.5,IF(H2287="EIF",5.4)))))))</f>
        <v/>
      </c>
      <c r="M2287" s="30" t="str">
        <f t="shared" si="240"/>
        <v/>
      </c>
      <c r="N2287" s="134"/>
      <c r="O2287" s="29"/>
      <c r="P2287" s="37" t="str">
        <f t="shared" si="241"/>
        <v/>
      </c>
      <c r="Q2287" s="38" t="str">
        <f t="shared" si="242"/>
        <v/>
      </c>
      <c r="R2287" s="37" t="str">
        <f t="shared" si="243"/>
        <v/>
      </c>
      <c r="S2287" s="37" t="str">
        <f t="shared" si="244"/>
        <v/>
      </c>
      <c r="T2287" s="38" t="str">
        <f t="shared" si="245"/>
        <v/>
      </c>
      <c r="U2287" s="37" t="str">
        <f t="shared" si="246"/>
        <v/>
      </c>
    </row>
    <row r="2288" spans="2:21" ht="17.25">
      <c r="B2288" s="156"/>
      <c r="C2288" s="156"/>
      <c r="D2288" s="157"/>
      <c r="E2288" s="155"/>
      <c r="F2288" s="151"/>
      <c r="G2288" s="152"/>
      <c r="H2288" s="153"/>
      <c r="I2288" s="154"/>
      <c r="J2288" s="154"/>
      <c r="K2288" s="30" t="str">
        <f>IF(H2288="","",IF($C$30="간이법","",FPR(H2288,I2288,J2288)))</f>
        <v/>
      </c>
      <c r="L2288" s="30" t="str">
        <f>IF(H2288="","",IF($C$30="상세법",FPV(H2288,K2288),IF(H2288="EI",4,IF(H2288="EO",5.2,IF(H2288="EQ",3.9,IF(H2288="ILF",7.5,IF(H2288="EIF",5.4)))))))</f>
        <v/>
      </c>
      <c r="M2288" s="30" t="str">
        <f t="shared" si="240"/>
        <v/>
      </c>
      <c r="N2288" s="134"/>
      <c r="O2288" s="29"/>
      <c r="P2288" s="37" t="str">
        <f t="shared" si="241"/>
        <v/>
      </c>
      <c r="Q2288" s="38" t="str">
        <f t="shared" si="242"/>
        <v/>
      </c>
      <c r="R2288" s="37" t="str">
        <f t="shared" si="243"/>
        <v/>
      </c>
      <c r="S2288" s="37" t="str">
        <f t="shared" si="244"/>
        <v/>
      </c>
      <c r="T2288" s="38" t="str">
        <f t="shared" si="245"/>
        <v/>
      </c>
      <c r="U2288" s="37" t="str">
        <f t="shared" si="246"/>
        <v/>
      </c>
    </row>
    <row r="2289" spans="2:21" ht="17.25">
      <c r="B2289" s="156"/>
      <c r="C2289" s="156"/>
      <c r="D2289" s="157"/>
      <c r="E2289" s="155"/>
      <c r="F2289" s="151"/>
      <c r="G2289" s="152"/>
      <c r="H2289" s="153"/>
      <c r="I2289" s="154"/>
      <c r="J2289" s="154"/>
      <c r="K2289" s="30" t="str">
        <f>IF(H2289="","",IF($C$30="간이법","",FPR(H2289,I2289,J2289)))</f>
        <v/>
      </c>
      <c r="L2289" s="30" t="str">
        <f>IF(H2289="","",IF($C$30="상세법",FPV(H2289,K2289),IF(H2289="EI",4,IF(H2289="EO",5.2,IF(H2289="EQ",3.9,IF(H2289="ILF",7.5,IF(H2289="EIF",5.4)))))))</f>
        <v/>
      </c>
      <c r="M2289" s="30" t="str">
        <f t="shared" si="240"/>
        <v/>
      </c>
      <c r="N2289" s="134"/>
      <c r="O2289" s="29"/>
      <c r="P2289" s="37" t="str">
        <f t="shared" si="241"/>
        <v/>
      </c>
      <c r="Q2289" s="38" t="str">
        <f t="shared" si="242"/>
        <v/>
      </c>
      <c r="R2289" s="37" t="str">
        <f t="shared" si="243"/>
        <v/>
      </c>
      <c r="S2289" s="37" t="str">
        <f t="shared" si="244"/>
        <v/>
      </c>
      <c r="T2289" s="38" t="str">
        <f t="shared" si="245"/>
        <v/>
      </c>
      <c r="U2289" s="37" t="str">
        <f t="shared" si="246"/>
        <v/>
      </c>
    </row>
    <row r="2290" spans="2:21" ht="17.25">
      <c r="B2290" s="156"/>
      <c r="C2290" s="156"/>
      <c r="D2290" s="157"/>
      <c r="E2290" s="155"/>
      <c r="F2290" s="151"/>
      <c r="G2290" s="152"/>
      <c r="H2290" s="153"/>
      <c r="I2290" s="154"/>
      <c r="J2290" s="154"/>
      <c r="K2290" s="30" t="str">
        <f>IF(H2290="","",IF($C$30="간이법","",FPR(H2290,I2290,J2290)))</f>
        <v/>
      </c>
      <c r="L2290" s="30" t="str">
        <f>IF(H2290="","",IF($C$30="상세법",FPV(H2290,K2290),IF(H2290="EI",4,IF(H2290="EO",5.2,IF(H2290="EQ",3.9,IF(H2290="ILF",7.5,IF(H2290="EIF",5.4)))))))</f>
        <v/>
      </c>
      <c r="M2290" s="30" t="str">
        <f t="shared" si="240"/>
        <v/>
      </c>
      <c r="N2290" s="134"/>
      <c r="O2290" s="29"/>
      <c r="P2290" s="37" t="str">
        <f t="shared" si="241"/>
        <v/>
      </c>
      <c r="Q2290" s="38" t="str">
        <f t="shared" si="242"/>
        <v/>
      </c>
      <c r="R2290" s="37" t="str">
        <f t="shared" si="243"/>
        <v/>
      </c>
      <c r="S2290" s="37" t="str">
        <f t="shared" si="244"/>
        <v/>
      </c>
      <c r="T2290" s="38" t="str">
        <f t="shared" si="245"/>
        <v/>
      </c>
      <c r="U2290" s="37" t="str">
        <f t="shared" si="246"/>
        <v/>
      </c>
    </row>
    <row r="2291" spans="2:21" ht="17.25">
      <c r="B2291" s="156"/>
      <c r="C2291" s="156"/>
      <c r="D2291" s="157"/>
      <c r="E2291" s="155"/>
      <c r="F2291" s="151"/>
      <c r="G2291" s="152"/>
      <c r="H2291" s="153"/>
      <c r="I2291" s="154"/>
      <c r="J2291" s="154"/>
      <c r="K2291" s="30" t="str">
        <f>IF(H2291="","",IF($C$30="간이법","",FPR(H2291,I2291,J2291)))</f>
        <v/>
      </c>
      <c r="L2291" s="30" t="str">
        <f>IF(H2291="","",IF($C$30="상세법",FPV(H2291,K2291),IF(H2291="EI",4,IF(H2291="EO",5.2,IF(H2291="EQ",3.9,IF(H2291="ILF",7.5,IF(H2291="EIF",5.4)))))))</f>
        <v/>
      </c>
      <c r="M2291" s="30" t="str">
        <f t="shared" si="240"/>
        <v/>
      </c>
      <c r="N2291" s="134"/>
      <c r="O2291" s="29"/>
      <c r="P2291" s="37" t="str">
        <f t="shared" si="241"/>
        <v/>
      </c>
      <c r="Q2291" s="38" t="str">
        <f t="shared" si="242"/>
        <v/>
      </c>
      <c r="R2291" s="37" t="str">
        <f t="shared" si="243"/>
        <v/>
      </c>
      <c r="S2291" s="37" t="str">
        <f t="shared" si="244"/>
        <v/>
      </c>
      <c r="T2291" s="38" t="str">
        <f t="shared" si="245"/>
        <v/>
      </c>
      <c r="U2291" s="37" t="str">
        <f t="shared" si="246"/>
        <v/>
      </c>
    </row>
    <row r="2292" spans="2:21" ht="17.25">
      <c r="B2292" s="156"/>
      <c r="C2292" s="156"/>
      <c r="D2292" s="157"/>
      <c r="E2292" s="155"/>
      <c r="F2292" s="151"/>
      <c r="G2292" s="152"/>
      <c r="H2292" s="153"/>
      <c r="I2292" s="154"/>
      <c r="J2292" s="154"/>
      <c r="K2292" s="30" t="str">
        <f>IF(H2292="","",IF($C$30="간이법","",FPR(H2292,I2292,J2292)))</f>
        <v/>
      </c>
      <c r="L2292" s="30" t="str">
        <f>IF(H2292="","",IF($C$30="상세법",FPV(H2292,K2292),IF(H2292="EI",4,IF(H2292="EO",5.2,IF(H2292="EQ",3.9,IF(H2292="ILF",7.5,IF(H2292="EIF",5.4)))))))</f>
        <v/>
      </c>
      <c r="M2292" s="30" t="str">
        <f t="shared" si="240"/>
        <v/>
      </c>
      <c r="N2292" s="134"/>
      <c r="O2292" s="29"/>
      <c r="P2292" s="37" t="str">
        <f t="shared" si="241"/>
        <v/>
      </c>
      <c r="Q2292" s="38" t="str">
        <f t="shared" si="242"/>
        <v/>
      </c>
      <c r="R2292" s="37" t="str">
        <f t="shared" si="243"/>
        <v/>
      </c>
      <c r="S2292" s="37" t="str">
        <f t="shared" si="244"/>
        <v/>
      </c>
      <c r="T2292" s="38" t="str">
        <f t="shared" si="245"/>
        <v/>
      </c>
      <c r="U2292" s="37" t="str">
        <f t="shared" si="246"/>
        <v/>
      </c>
    </row>
    <row r="2293" spans="2:21" ht="17.25">
      <c r="B2293" s="156"/>
      <c r="C2293" s="156"/>
      <c r="D2293" s="157"/>
      <c r="E2293" s="155"/>
      <c r="F2293" s="151"/>
      <c r="G2293" s="152"/>
      <c r="H2293" s="153"/>
      <c r="I2293" s="154"/>
      <c r="J2293" s="154"/>
      <c r="K2293" s="30" t="str">
        <f>IF(H2293="","",IF($C$30="간이법","",FPR(H2293,I2293,J2293)))</f>
        <v/>
      </c>
      <c r="L2293" s="30" t="str">
        <f>IF(H2293="","",IF($C$30="상세법",FPV(H2293,K2293),IF(H2293="EI",4,IF(H2293="EO",5.2,IF(H2293="EQ",3.9,IF(H2293="ILF",7.5,IF(H2293="EIF",5.4)))))))</f>
        <v/>
      </c>
      <c r="M2293" s="30" t="str">
        <f t="shared" si="240"/>
        <v/>
      </c>
      <c r="N2293" s="134"/>
      <c r="O2293" s="29"/>
      <c r="P2293" s="37" t="str">
        <f t="shared" si="241"/>
        <v/>
      </c>
      <c r="Q2293" s="38" t="str">
        <f t="shared" si="242"/>
        <v/>
      </c>
      <c r="R2293" s="37" t="str">
        <f t="shared" si="243"/>
        <v/>
      </c>
      <c r="S2293" s="37" t="str">
        <f t="shared" si="244"/>
        <v/>
      </c>
      <c r="T2293" s="38" t="str">
        <f t="shared" si="245"/>
        <v/>
      </c>
      <c r="U2293" s="37" t="str">
        <f t="shared" si="246"/>
        <v/>
      </c>
    </row>
    <row r="2294" spans="2:21" ht="17.25">
      <c r="B2294" s="156"/>
      <c r="C2294" s="156"/>
      <c r="D2294" s="157"/>
      <c r="E2294" s="155"/>
      <c r="F2294" s="151"/>
      <c r="G2294" s="152"/>
      <c r="H2294" s="153"/>
      <c r="I2294" s="154"/>
      <c r="J2294" s="154"/>
      <c r="K2294" s="30" t="str">
        <f>IF(H2294="","",IF($C$30="간이법","",FPR(H2294,I2294,J2294)))</f>
        <v/>
      </c>
      <c r="L2294" s="30" t="str">
        <f>IF(H2294="","",IF($C$30="상세법",FPV(H2294,K2294),IF(H2294="EI",4,IF(H2294="EO",5.2,IF(H2294="EQ",3.9,IF(H2294="ILF",7.5,IF(H2294="EIF",5.4)))))))</f>
        <v/>
      </c>
      <c r="M2294" s="30" t="str">
        <f t="shared" si="240"/>
        <v/>
      </c>
      <c r="N2294" s="134"/>
      <c r="O2294" s="29"/>
      <c r="P2294" s="37" t="str">
        <f t="shared" si="241"/>
        <v/>
      </c>
      <c r="Q2294" s="38" t="str">
        <f t="shared" si="242"/>
        <v/>
      </c>
      <c r="R2294" s="37" t="str">
        <f t="shared" si="243"/>
        <v/>
      </c>
      <c r="S2294" s="37" t="str">
        <f t="shared" si="244"/>
        <v/>
      </c>
      <c r="T2294" s="38" t="str">
        <f t="shared" si="245"/>
        <v/>
      </c>
      <c r="U2294" s="37" t="str">
        <f t="shared" si="246"/>
        <v/>
      </c>
    </row>
    <row r="2295" spans="2:21" ht="17.25">
      <c r="B2295" s="156"/>
      <c r="C2295" s="156"/>
      <c r="D2295" s="157"/>
      <c r="E2295" s="155"/>
      <c r="F2295" s="151"/>
      <c r="G2295" s="152"/>
      <c r="H2295" s="153"/>
      <c r="I2295" s="154"/>
      <c r="J2295" s="154"/>
      <c r="K2295" s="30" t="str">
        <f>IF(H2295="","",IF($C$30="간이법","",FPR(H2295,I2295,J2295)))</f>
        <v/>
      </c>
      <c r="L2295" s="30" t="str">
        <f>IF(H2295="","",IF($C$30="상세법",FPV(H2295,K2295),IF(H2295="EI",4,IF(H2295="EO",5.2,IF(H2295="EQ",3.9,IF(H2295="ILF",7.5,IF(H2295="EIF",5.4)))))))</f>
        <v/>
      </c>
      <c r="M2295" s="30" t="str">
        <f t="shared" si="240"/>
        <v/>
      </c>
      <c r="N2295" s="134"/>
      <c r="O2295" s="29"/>
      <c r="P2295" s="37" t="str">
        <f t="shared" si="241"/>
        <v/>
      </c>
      <c r="Q2295" s="38" t="str">
        <f t="shared" si="242"/>
        <v/>
      </c>
      <c r="R2295" s="37" t="str">
        <f t="shared" si="243"/>
        <v/>
      </c>
      <c r="S2295" s="37" t="str">
        <f t="shared" si="244"/>
        <v/>
      </c>
      <c r="T2295" s="38" t="str">
        <f t="shared" si="245"/>
        <v/>
      </c>
      <c r="U2295" s="37" t="str">
        <f t="shared" si="246"/>
        <v/>
      </c>
    </row>
    <row r="2296" spans="2:21" ht="17.25">
      <c r="B2296" s="156"/>
      <c r="C2296" s="156"/>
      <c r="D2296" s="157"/>
      <c r="E2296" s="155"/>
      <c r="F2296" s="151"/>
      <c r="G2296" s="152"/>
      <c r="H2296" s="153"/>
      <c r="I2296" s="154"/>
      <c r="J2296" s="154"/>
      <c r="K2296" s="30" t="str">
        <f>IF(H2296="","",IF($C$30="간이법","",FPR(H2296,I2296,J2296)))</f>
        <v/>
      </c>
      <c r="L2296" s="30" t="str">
        <f>IF(H2296="","",IF($C$30="상세법",FPV(H2296,K2296),IF(H2296="EI",4,IF(H2296="EO",5.2,IF(H2296="EQ",3.9,IF(H2296="ILF",7.5,IF(H2296="EIF",5.4)))))))</f>
        <v/>
      </c>
      <c r="M2296" s="30" t="str">
        <f t="shared" si="240"/>
        <v/>
      </c>
      <c r="N2296" s="134"/>
      <c r="O2296" s="29"/>
      <c r="P2296" s="37" t="str">
        <f t="shared" si="241"/>
        <v/>
      </c>
      <c r="Q2296" s="38" t="str">
        <f t="shared" si="242"/>
        <v/>
      </c>
      <c r="R2296" s="37" t="str">
        <f t="shared" si="243"/>
        <v/>
      </c>
      <c r="S2296" s="37" t="str">
        <f t="shared" si="244"/>
        <v/>
      </c>
      <c r="T2296" s="38" t="str">
        <f t="shared" si="245"/>
        <v/>
      </c>
      <c r="U2296" s="37" t="str">
        <f t="shared" si="246"/>
        <v/>
      </c>
    </row>
    <row r="2297" spans="2:21" ht="17.25">
      <c r="B2297" s="156"/>
      <c r="C2297" s="156"/>
      <c r="D2297" s="157"/>
      <c r="E2297" s="155"/>
      <c r="F2297" s="151"/>
      <c r="G2297" s="152"/>
      <c r="H2297" s="153"/>
      <c r="I2297" s="154"/>
      <c r="J2297" s="154"/>
      <c r="K2297" s="30" t="str">
        <f>IF(H2297="","",IF($C$30="간이법","",FPR(H2297,I2297,J2297)))</f>
        <v/>
      </c>
      <c r="L2297" s="30" t="str">
        <f>IF(H2297="","",IF($C$30="상세법",FPV(H2297,K2297),IF(H2297="EI",4,IF(H2297="EO",5.2,IF(H2297="EQ",3.9,IF(H2297="ILF",7.5,IF(H2297="EIF",5.4)))))))</f>
        <v/>
      </c>
      <c r="M2297" s="30" t="str">
        <f t="shared" si="240"/>
        <v/>
      </c>
      <c r="N2297" s="134"/>
      <c r="O2297" s="29"/>
      <c r="P2297" s="37" t="str">
        <f t="shared" si="241"/>
        <v/>
      </c>
      <c r="Q2297" s="38" t="str">
        <f t="shared" si="242"/>
        <v/>
      </c>
      <c r="R2297" s="37" t="str">
        <f t="shared" si="243"/>
        <v/>
      </c>
      <c r="S2297" s="37" t="str">
        <f t="shared" si="244"/>
        <v/>
      </c>
      <c r="T2297" s="38" t="str">
        <f t="shared" si="245"/>
        <v/>
      </c>
      <c r="U2297" s="37" t="str">
        <f t="shared" si="246"/>
        <v/>
      </c>
    </row>
    <row r="2298" spans="2:21" ht="17.25">
      <c r="B2298" s="156"/>
      <c r="C2298" s="156"/>
      <c r="D2298" s="157"/>
      <c r="E2298" s="155"/>
      <c r="F2298" s="151"/>
      <c r="G2298" s="152"/>
      <c r="H2298" s="153"/>
      <c r="I2298" s="154"/>
      <c r="J2298" s="154"/>
      <c r="K2298" s="30" t="str">
        <f>IF(H2298="","",IF($C$30="간이법","",FPR(H2298,I2298,J2298)))</f>
        <v/>
      </c>
      <c r="L2298" s="30" t="str">
        <f>IF(H2298="","",IF($C$30="상세법",FPV(H2298,K2298),IF(H2298="EI",4,IF(H2298="EO",5.2,IF(H2298="EQ",3.9,IF(H2298="ILF",7.5,IF(H2298="EIF",5.4)))))))</f>
        <v/>
      </c>
      <c r="M2298" s="30" t="str">
        <f t="shared" si="240"/>
        <v/>
      </c>
      <c r="N2298" s="134"/>
      <c r="O2298" s="29"/>
      <c r="P2298" s="37" t="str">
        <f t="shared" si="241"/>
        <v/>
      </c>
      <c r="Q2298" s="38" t="str">
        <f t="shared" si="242"/>
        <v/>
      </c>
      <c r="R2298" s="37" t="str">
        <f t="shared" si="243"/>
        <v/>
      </c>
      <c r="S2298" s="37" t="str">
        <f t="shared" si="244"/>
        <v/>
      </c>
      <c r="T2298" s="38" t="str">
        <f t="shared" si="245"/>
        <v/>
      </c>
      <c r="U2298" s="37" t="str">
        <f t="shared" si="246"/>
        <v/>
      </c>
    </row>
    <row r="2299" spans="2:21" ht="17.25">
      <c r="B2299" s="156"/>
      <c r="C2299" s="156"/>
      <c r="D2299" s="157"/>
      <c r="E2299" s="155"/>
      <c r="F2299" s="151"/>
      <c r="G2299" s="152"/>
      <c r="H2299" s="153"/>
      <c r="I2299" s="154"/>
      <c r="J2299" s="154"/>
      <c r="K2299" s="30" t="str">
        <f>IF(H2299="","",IF($C$30="간이법","",FPR(H2299,I2299,J2299)))</f>
        <v/>
      </c>
      <c r="L2299" s="30" t="str">
        <f>IF(H2299="","",IF($C$30="상세법",FPV(H2299,K2299),IF(H2299="EI",4,IF(H2299="EO",5.2,IF(H2299="EQ",3.9,IF(H2299="ILF",7.5,IF(H2299="EIF",5.4)))))))</f>
        <v/>
      </c>
      <c r="M2299" s="30" t="str">
        <f t="shared" si="240"/>
        <v/>
      </c>
      <c r="N2299" s="134"/>
      <c r="O2299" s="29"/>
      <c r="P2299" s="37" t="str">
        <f t="shared" si="241"/>
        <v/>
      </c>
      <c r="Q2299" s="38" t="str">
        <f t="shared" si="242"/>
        <v/>
      </c>
      <c r="R2299" s="37" t="str">
        <f t="shared" si="243"/>
        <v/>
      </c>
      <c r="S2299" s="37" t="str">
        <f t="shared" si="244"/>
        <v/>
      </c>
      <c r="T2299" s="38" t="str">
        <f t="shared" si="245"/>
        <v/>
      </c>
      <c r="U2299" s="37" t="str">
        <f t="shared" si="246"/>
        <v/>
      </c>
    </row>
    <row r="2300" spans="2:21" ht="17.25">
      <c r="B2300" s="156"/>
      <c r="C2300" s="156"/>
      <c r="D2300" s="157"/>
      <c r="E2300" s="155"/>
      <c r="F2300" s="151"/>
      <c r="G2300" s="152"/>
      <c r="H2300" s="153"/>
      <c r="I2300" s="154"/>
      <c r="J2300" s="154"/>
      <c r="K2300" s="30" t="str">
        <f>IF(H2300="","",IF($C$30="간이법","",FPR(H2300,I2300,J2300)))</f>
        <v/>
      </c>
      <c r="L2300" s="30" t="str">
        <f>IF(H2300="","",IF($C$30="상세법",FPV(H2300,K2300),IF(H2300="EI",4,IF(H2300="EO",5.2,IF(H2300="EQ",3.9,IF(H2300="ILF",7.5,IF(H2300="EIF",5.4)))))))</f>
        <v/>
      </c>
      <c r="M2300" s="30" t="str">
        <f t="shared" ref="M2300:M2363" si="247">IF(OR(G2300="",$E$36="(선택)",$E$40="(선택)",$E$41="(선택)",F2300="신규 개발",F2300="수정 없이 재사용"),"",(IF(F2300="수정 후 재사용",IF($E$50&lt;=0.5,L2300*($E$36+$E$50*100*(1+0.02*($E$40*$E$41)))/100,L2300*($E$36+$E$50*100+($E$40*$E$41))/100))))</f>
        <v/>
      </c>
      <c r="N2300" s="134"/>
      <c r="O2300" s="29"/>
      <c r="P2300" s="37" t="str">
        <f t="shared" ref="P2300:P2363" si="248">IF(F2300="수정 후 재사용",IF(H2300="ILF",G2300,IF(H2300="EIF",G2300,"")),"")</f>
        <v/>
      </c>
      <c r="Q2300" s="38" t="str">
        <f t="shared" ref="Q2300:Q2363" si="249">IF(P2300&lt;&gt;"",IF(H2300="ILF", L2300/$E$46,IF(H2300="EIF", L2300/$E$46,"")),"")</f>
        <v/>
      </c>
      <c r="R2300" s="37" t="str">
        <f t="shared" ref="R2300:R2363" si="250">IF(P2300&lt;&gt;"",P2300*Q2300,"")</f>
        <v/>
      </c>
      <c r="S2300" s="37" t="str">
        <f t="shared" ref="S2300:S2363" si="251">IF(F2300="수정 후 재사용",IF(H2300="EI",G2300,IF(H2300="EO",G2300,IF(H2300="EQ",G2300,""))),"")</f>
        <v/>
      </c>
      <c r="T2300" s="38" t="str">
        <f t="shared" ref="T2300:T2363" si="252">IF(S2300&lt;&gt;"",IF(H2300="EI",L2300/$E$47,IF(H2300="EO",L2300/$E$47,IF(H2300="EQ",L2300/$E$47,""))),"")</f>
        <v/>
      </c>
      <c r="U2300" s="37" t="str">
        <f t="shared" ref="U2300:U2363" si="253">IF(S2300&lt;&gt;"",S2300*T2300,"")</f>
        <v/>
      </c>
    </row>
    <row r="2301" spans="2:21" ht="17.25">
      <c r="B2301" s="156"/>
      <c r="C2301" s="156"/>
      <c r="D2301" s="157"/>
      <c r="E2301" s="155"/>
      <c r="F2301" s="151"/>
      <c r="G2301" s="152"/>
      <c r="H2301" s="153"/>
      <c r="I2301" s="154"/>
      <c r="J2301" s="154"/>
      <c r="K2301" s="30" t="str">
        <f>IF(H2301="","",IF($C$30="간이법","",FPR(H2301,I2301,J2301)))</f>
        <v/>
      </c>
      <c r="L2301" s="30" t="str">
        <f>IF(H2301="","",IF($C$30="상세법",FPV(H2301,K2301),IF(H2301="EI",4,IF(H2301="EO",5.2,IF(H2301="EQ",3.9,IF(H2301="ILF",7.5,IF(H2301="EIF",5.4)))))))</f>
        <v/>
      </c>
      <c r="M2301" s="30" t="str">
        <f t="shared" si="247"/>
        <v/>
      </c>
      <c r="N2301" s="134"/>
      <c r="O2301" s="29"/>
      <c r="P2301" s="37" t="str">
        <f t="shared" si="248"/>
        <v/>
      </c>
      <c r="Q2301" s="38" t="str">
        <f t="shared" si="249"/>
        <v/>
      </c>
      <c r="R2301" s="37" t="str">
        <f t="shared" si="250"/>
        <v/>
      </c>
      <c r="S2301" s="37" t="str">
        <f t="shared" si="251"/>
        <v/>
      </c>
      <c r="T2301" s="38" t="str">
        <f t="shared" si="252"/>
        <v/>
      </c>
      <c r="U2301" s="37" t="str">
        <f t="shared" si="253"/>
        <v/>
      </c>
    </row>
    <row r="2302" spans="2:21" ht="17.25">
      <c r="B2302" s="156"/>
      <c r="C2302" s="156"/>
      <c r="D2302" s="157"/>
      <c r="E2302" s="155"/>
      <c r="F2302" s="151"/>
      <c r="G2302" s="152"/>
      <c r="H2302" s="153"/>
      <c r="I2302" s="154"/>
      <c r="J2302" s="154"/>
      <c r="K2302" s="30" t="str">
        <f>IF(H2302="","",IF($C$30="간이법","",FPR(H2302,I2302,J2302)))</f>
        <v/>
      </c>
      <c r="L2302" s="30" t="str">
        <f>IF(H2302="","",IF($C$30="상세법",FPV(H2302,K2302),IF(H2302="EI",4,IF(H2302="EO",5.2,IF(H2302="EQ",3.9,IF(H2302="ILF",7.5,IF(H2302="EIF",5.4)))))))</f>
        <v/>
      </c>
      <c r="M2302" s="30" t="str">
        <f t="shared" si="247"/>
        <v/>
      </c>
      <c r="N2302" s="134"/>
      <c r="O2302" s="29"/>
      <c r="P2302" s="37" t="str">
        <f t="shared" si="248"/>
        <v/>
      </c>
      <c r="Q2302" s="38" t="str">
        <f t="shared" si="249"/>
        <v/>
      </c>
      <c r="R2302" s="37" t="str">
        <f t="shared" si="250"/>
        <v/>
      </c>
      <c r="S2302" s="37" t="str">
        <f t="shared" si="251"/>
        <v/>
      </c>
      <c r="T2302" s="38" t="str">
        <f t="shared" si="252"/>
        <v/>
      </c>
      <c r="U2302" s="37" t="str">
        <f t="shared" si="253"/>
        <v/>
      </c>
    </row>
    <row r="2303" spans="2:21" ht="17.25">
      <c r="B2303" s="156"/>
      <c r="C2303" s="156"/>
      <c r="D2303" s="157"/>
      <c r="E2303" s="155"/>
      <c r="F2303" s="151"/>
      <c r="G2303" s="152"/>
      <c r="H2303" s="153"/>
      <c r="I2303" s="154"/>
      <c r="J2303" s="154"/>
      <c r="K2303" s="30" t="str">
        <f>IF(H2303="","",IF($C$30="간이법","",FPR(H2303,I2303,J2303)))</f>
        <v/>
      </c>
      <c r="L2303" s="30" t="str">
        <f>IF(H2303="","",IF($C$30="상세법",FPV(H2303,K2303),IF(H2303="EI",4,IF(H2303="EO",5.2,IF(H2303="EQ",3.9,IF(H2303="ILF",7.5,IF(H2303="EIF",5.4)))))))</f>
        <v/>
      </c>
      <c r="M2303" s="30" t="str">
        <f t="shared" si="247"/>
        <v/>
      </c>
      <c r="N2303" s="134"/>
      <c r="O2303" s="29"/>
      <c r="P2303" s="37" t="str">
        <f t="shared" si="248"/>
        <v/>
      </c>
      <c r="Q2303" s="38" t="str">
        <f t="shared" si="249"/>
        <v/>
      </c>
      <c r="R2303" s="37" t="str">
        <f t="shared" si="250"/>
        <v/>
      </c>
      <c r="S2303" s="37" t="str">
        <f t="shared" si="251"/>
        <v/>
      </c>
      <c r="T2303" s="38" t="str">
        <f t="shared" si="252"/>
        <v/>
      </c>
      <c r="U2303" s="37" t="str">
        <f t="shared" si="253"/>
        <v/>
      </c>
    </row>
    <row r="2304" spans="2:21" ht="17.25">
      <c r="B2304" s="156"/>
      <c r="C2304" s="156"/>
      <c r="D2304" s="157"/>
      <c r="E2304" s="155"/>
      <c r="F2304" s="151"/>
      <c r="G2304" s="152"/>
      <c r="H2304" s="153"/>
      <c r="I2304" s="154"/>
      <c r="J2304" s="154"/>
      <c r="K2304" s="30" t="str">
        <f>IF(H2304="","",IF($C$30="간이법","",FPR(H2304,I2304,J2304)))</f>
        <v/>
      </c>
      <c r="L2304" s="30" t="str">
        <f>IF(H2304="","",IF($C$30="상세법",FPV(H2304,K2304),IF(H2304="EI",4,IF(H2304="EO",5.2,IF(H2304="EQ",3.9,IF(H2304="ILF",7.5,IF(H2304="EIF",5.4)))))))</f>
        <v/>
      </c>
      <c r="M2304" s="30" t="str">
        <f t="shared" si="247"/>
        <v/>
      </c>
      <c r="N2304" s="134"/>
      <c r="O2304" s="29"/>
      <c r="P2304" s="37" t="str">
        <f t="shared" si="248"/>
        <v/>
      </c>
      <c r="Q2304" s="38" t="str">
        <f t="shared" si="249"/>
        <v/>
      </c>
      <c r="R2304" s="37" t="str">
        <f t="shared" si="250"/>
        <v/>
      </c>
      <c r="S2304" s="37" t="str">
        <f t="shared" si="251"/>
        <v/>
      </c>
      <c r="T2304" s="38" t="str">
        <f t="shared" si="252"/>
        <v/>
      </c>
      <c r="U2304" s="37" t="str">
        <f t="shared" si="253"/>
        <v/>
      </c>
    </row>
    <row r="2305" spans="2:21" ht="17.25">
      <c r="B2305" s="156"/>
      <c r="C2305" s="156"/>
      <c r="D2305" s="157"/>
      <c r="E2305" s="155"/>
      <c r="F2305" s="151"/>
      <c r="G2305" s="152"/>
      <c r="H2305" s="153"/>
      <c r="I2305" s="154"/>
      <c r="J2305" s="154"/>
      <c r="K2305" s="30" t="str">
        <f>IF(H2305="","",IF($C$30="간이법","",FPR(H2305,I2305,J2305)))</f>
        <v/>
      </c>
      <c r="L2305" s="30" t="str">
        <f>IF(H2305="","",IF($C$30="상세법",FPV(H2305,K2305),IF(H2305="EI",4,IF(H2305="EO",5.2,IF(H2305="EQ",3.9,IF(H2305="ILF",7.5,IF(H2305="EIF",5.4)))))))</f>
        <v/>
      </c>
      <c r="M2305" s="30" t="str">
        <f t="shared" si="247"/>
        <v/>
      </c>
      <c r="N2305" s="134"/>
      <c r="O2305" s="29"/>
      <c r="P2305" s="37" t="str">
        <f t="shared" si="248"/>
        <v/>
      </c>
      <c r="Q2305" s="38" t="str">
        <f t="shared" si="249"/>
        <v/>
      </c>
      <c r="R2305" s="37" t="str">
        <f t="shared" si="250"/>
        <v/>
      </c>
      <c r="S2305" s="37" t="str">
        <f t="shared" si="251"/>
        <v/>
      </c>
      <c r="T2305" s="38" t="str">
        <f t="shared" si="252"/>
        <v/>
      </c>
      <c r="U2305" s="37" t="str">
        <f t="shared" si="253"/>
        <v/>
      </c>
    </row>
    <row r="2306" spans="2:21" ht="17.25">
      <c r="B2306" s="156"/>
      <c r="C2306" s="156"/>
      <c r="D2306" s="157"/>
      <c r="E2306" s="155"/>
      <c r="F2306" s="151"/>
      <c r="G2306" s="152"/>
      <c r="H2306" s="153"/>
      <c r="I2306" s="154"/>
      <c r="J2306" s="154"/>
      <c r="K2306" s="30" t="str">
        <f>IF(H2306="","",IF($C$30="간이법","",FPR(H2306,I2306,J2306)))</f>
        <v/>
      </c>
      <c r="L2306" s="30" t="str">
        <f>IF(H2306="","",IF($C$30="상세법",FPV(H2306,K2306),IF(H2306="EI",4,IF(H2306="EO",5.2,IF(H2306="EQ",3.9,IF(H2306="ILF",7.5,IF(H2306="EIF",5.4)))))))</f>
        <v/>
      </c>
      <c r="M2306" s="30" t="str">
        <f t="shared" si="247"/>
        <v/>
      </c>
      <c r="N2306" s="134"/>
      <c r="O2306" s="29"/>
      <c r="P2306" s="37" t="str">
        <f t="shared" si="248"/>
        <v/>
      </c>
      <c r="Q2306" s="38" t="str">
        <f t="shared" si="249"/>
        <v/>
      </c>
      <c r="R2306" s="37" t="str">
        <f t="shared" si="250"/>
        <v/>
      </c>
      <c r="S2306" s="37" t="str">
        <f t="shared" si="251"/>
        <v/>
      </c>
      <c r="T2306" s="38" t="str">
        <f t="shared" si="252"/>
        <v/>
      </c>
      <c r="U2306" s="37" t="str">
        <f t="shared" si="253"/>
        <v/>
      </c>
    </row>
    <row r="2307" spans="2:21" ht="17.25">
      <c r="B2307" s="156"/>
      <c r="C2307" s="156"/>
      <c r="D2307" s="157"/>
      <c r="E2307" s="155"/>
      <c r="F2307" s="151"/>
      <c r="G2307" s="152"/>
      <c r="H2307" s="153"/>
      <c r="I2307" s="154"/>
      <c r="J2307" s="154"/>
      <c r="K2307" s="30" t="str">
        <f>IF(H2307="","",IF($C$30="간이법","",FPR(H2307,I2307,J2307)))</f>
        <v/>
      </c>
      <c r="L2307" s="30" t="str">
        <f>IF(H2307="","",IF($C$30="상세법",FPV(H2307,K2307),IF(H2307="EI",4,IF(H2307="EO",5.2,IF(H2307="EQ",3.9,IF(H2307="ILF",7.5,IF(H2307="EIF",5.4)))))))</f>
        <v/>
      </c>
      <c r="M2307" s="30" t="str">
        <f t="shared" si="247"/>
        <v/>
      </c>
      <c r="N2307" s="134"/>
      <c r="O2307" s="29"/>
      <c r="P2307" s="37" t="str">
        <f t="shared" si="248"/>
        <v/>
      </c>
      <c r="Q2307" s="38" t="str">
        <f t="shared" si="249"/>
        <v/>
      </c>
      <c r="R2307" s="37" t="str">
        <f t="shared" si="250"/>
        <v/>
      </c>
      <c r="S2307" s="37" t="str">
        <f t="shared" si="251"/>
        <v/>
      </c>
      <c r="T2307" s="38" t="str">
        <f t="shared" si="252"/>
        <v/>
      </c>
      <c r="U2307" s="37" t="str">
        <f t="shared" si="253"/>
        <v/>
      </c>
    </row>
    <row r="2308" spans="2:21" ht="17.25">
      <c r="B2308" s="156"/>
      <c r="C2308" s="156"/>
      <c r="D2308" s="157"/>
      <c r="E2308" s="155"/>
      <c r="F2308" s="151"/>
      <c r="G2308" s="152"/>
      <c r="H2308" s="153"/>
      <c r="I2308" s="154"/>
      <c r="J2308" s="154"/>
      <c r="K2308" s="30" t="str">
        <f>IF(H2308="","",IF($C$30="간이법","",FPR(H2308,I2308,J2308)))</f>
        <v/>
      </c>
      <c r="L2308" s="30" t="str">
        <f>IF(H2308="","",IF($C$30="상세법",FPV(H2308,K2308),IF(H2308="EI",4,IF(H2308="EO",5.2,IF(H2308="EQ",3.9,IF(H2308="ILF",7.5,IF(H2308="EIF",5.4)))))))</f>
        <v/>
      </c>
      <c r="M2308" s="30" t="str">
        <f t="shared" si="247"/>
        <v/>
      </c>
      <c r="N2308" s="134"/>
      <c r="O2308" s="29"/>
      <c r="P2308" s="37" t="str">
        <f t="shared" si="248"/>
        <v/>
      </c>
      <c r="Q2308" s="38" t="str">
        <f t="shared" si="249"/>
        <v/>
      </c>
      <c r="R2308" s="37" t="str">
        <f t="shared" si="250"/>
        <v/>
      </c>
      <c r="S2308" s="37" t="str">
        <f t="shared" si="251"/>
        <v/>
      </c>
      <c r="T2308" s="38" t="str">
        <f t="shared" si="252"/>
        <v/>
      </c>
      <c r="U2308" s="37" t="str">
        <f t="shared" si="253"/>
        <v/>
      </c>
    </row>
    <row r="2309" spans="2:21" ht="17.25">
      <c r="B2309" s="156"/>
      <c r="C2309" s="156"/>
      <c r="D2309" s="157"/>
      <c r="E2309" s="155"/>
      <c r="F2309" s="151"/>
      <c r="G2309" s="152"/>
      <c r="H2309" s="153"/>
      <c r="I2309" s="154"/>
      <c r="J2309" s="154"/>
      <c r="K2309" s="30" t="str">
        <f>IF(H2309="","",IF($C$30="간이법","",FPR(H2309,I2309,J2309)))</f>
        <v/>
      </c>
      <c r="L2309" s="30" t="str">
        <f>IF(H2309="","",IF($C$30="상세법",FPV(H2309,K2309),IF(H2309="EI",4,IF(H2309="EO",5.2,IF(H2309="EQ",3.9,IF(H2309="ILF",7.5,IF(H2309="EIF",5.4)))))))</f>
        <v/>
      </c>
      <c r="M2309" s="30" t="str">
        <f t="shared" si="247"/>
        <v/>
      </c>
      <c r="N2309" s="134"/>
      <c r="O2309" s="29"/>
      <c r="P2309" s="37" t="str">
        <f t="shared" si="248"/>
        <v/>
      </c>
      <c r="Q2309" s="38" t="str">
        <f t="shared" si="249"/>
        <v/>
      </c>
      <c r="R2309" s="37" t="str">
        <f t="shared" si="250"/>
        <v/>
      </c>
      <c r="S2309" s="37" t="str">
        <f t="shared" si="251"/>
        <v/>
      </c>
      <c r="T2309" s="38" t="str">
        <f t="shared" si="252"/>
        <v/>
      </c>
      <c r="U2309" s="37" t="str">
        <f t="shared" si="253"/>
        <v/>
      </c>
    </row>
    <row r="2310" spans="2:21" ht="17.25">
      <c r="B2310" s="156"/>
      <c r="C2310" s="156"/>
      <c r="D2310" s="157"/>
      <c r="E2310" s="155"/>
      <c r="F2310" s="151"/>
      <c r="G2310" s="152"/>
      <c r="H2310" s="153"/>
      <c r="I2310" s="154"/>
      <c r="J2310" s="154"/>
      <c r="K2310" s="30" t="str">
        <f>IF(H2310="","",IF($C$30="간이법","",FPR(H2310,I2310,J2310)))</f>
        <v/>
      </c>
      <c r="L2310" s="30" t="str">
        <f>IF(H2310="","",IF($C$30="상세법",FPV(H2310,K2310),IF(H2310="EI",4,IF(H2310="EO",5.2,IF(H2310="EQ",3.9,IF(H2310="ILF",7.5,IF(H2310="EIF",5.4)))))))</f>
        <v/>
      </c>
      <c r="M2310" s="30" t="str">
        <f t="shared" si="247"/>
        <v/>
      </c>
      <c r="N2310" s="134"/>
      <c r="O2310" s="29"/>
      <c r="P2310" s="37" t="str">
        <f t="shared" si="248"/>
        <v/>
      </c>
      <c r="Q2310" s="38" t="str">
        <f t="shared" si="249"/>
        <v/>
      </c>
      <c r="R2310" s="37" t="str">
        <f t="shared" si="250"/>
        <v/>
      </c>
      <c r="S2310" s="37" t="str">
        <f t="shared" si="251"/>
        <v/>
      </c>
      <c r="T2310" s="38" t="str">
        <f t="shared" si="252"/>
        <v/>
      </c>
      <c r="U2310" s="37" t="str">
        <f t="shared" si="253"/>
        <v/>
      </c>
    </row>
    <row r="2311" spans="2:21" ht="17.25">
      <c r="B2311" s="156"/>
      <c r="C2311" s="156"/>
      <c r="D2311" s="157"/>
      <c r="E2311" s="155"/>
      <c r="F2311" s="151"/>
      <c r="G2311" s="152"/>
      <c r="H2311" s="153"/>
      <c r="I2311" s="154"/>
      <c r="J2311" s="154"/>
      <c r="K2311" s="30" t="str">
        <f>IF(H2311="","",IF($C$30="간이법","",FPR(H2311,I2311,J2311)))</f>
        <v/>
      </c>
      <c r="L2311" s="30" t="str">
        <f>IF(H2311="","",IF($C$30="상세법",FPV(H2311,K2311),IF(H2311="EI",4,IF(H2311="EO",5.2,IF(H2311="EQ",3.9,IF(H2311="ILF",7.5,IF(H2311="EIF",5.4)))))))</f>
        <v/>
      </c>
      <c r="M2311" s="30" t="str">
        <f t="shared" si="247"/>
        <v/>
      </c>
      <c r="N2311" s="134"/>
      <c r="O2311" s="29"/>
      <c r="P2311" s="37" t="str">
        <f t="shared" si="248"/>
        <v/>
      </c>
      <c r="Q2311" s="38" t="str">
        <f t="shared" si="249"/>
        <v/>
      </c>
      <c r="R2311" s="37" t="str">
        <f t="shared" si="250"/>
        <v/>
      </c>
      <c r="S2311" s="37" t="str">
        <f t="shared" si="251"/>
        <v/>
      </c>
      <c r="T2311" s="38" t="str">
        <f t="shared" si="252"/>
        <v/>
      </c>
      <c r="U2311" s="37" t="str">
        <f t="shared" si="253"/>
        <v/>
      </c>
    </row>
    <row r="2312" spans="2:21" ht="17.25">
      <c r="B2312" s="156"/>
      <c r="C2312" s="156"/>
      <c r="D2312" s="157"/>
      <c r="E2312" s="155"/>
      <c r="F2312" s="151"/>
      <c r="G2312" s="152"/>
      <c r="H2312" s="153"/>
      <c r="I2312" s="154"/>
      <c r="J2312" s="154"/>
      <c r="K2312" s="30" t="str">
        <f>IF(H2312="","",IF($C$30="간이법","",FPR(H2312,I2312,J2312)))</f>
        <v/>
      </c>
      <c r="L2312" s="30" t="str">
        <f>IF(H2312="","",IF($C$30="상세법",FPV(H2312,K2312),IF(H2312="EI",4,IF(H2312="EO",5.2,IF(H2312="EQ",3.9,IF(H2312="ILF",7.5,IF(H2312="EIF",5.4)))))))</f>
        <v/>
      </c>
      <c r="M2312" s="30" t="str">
        <f t="shared" si="247"/>
        <v/>
      </c>
      <c r="N2312" s="134"/>
      <c r="O2312" s="29"/>
      <c r="P2312" s="37" t="str">
        <f t="shared" si="248"/>
        <v/>
      </c>
      <c r="Q2312" s="38" t="str">
        <f t="shared" si="249"/>
        <v/>
      </c>
      <c r="R2312" s="37" t="str">
        <f t="shared" si="250"/>
        <v/>
      </c>
      <c r="S2312" s="37" t="str">
        <f t="shared" si="251"/>
        <v/>
      </c>
      <c r="T2312" s="38" t="str">
        <f t="shared" si="252"/>
        <v/>
      </c>
      <c r="U2312" s="37" t="str">
        <f t="shared" si="253"/>
        <v/>
      </c>
    </row>
    <row r="2313" spans="2:21" ht="17.25">
      <c r="B2313" s="156"/>
      <c r="C2313" s="156"/>
      <c r="D2313" s="157"/>
      <c r="E2313" s="155"/>
      <c r="F2313" s="151"/>
      <c r="G2313" s="152"/>
      <c r="H2313" s="153"/>
      <c r="I2313" s="154"/>
      <c r="J2313" s="154"/>
      <c r="K2313" s="30" t="str">
        <f>IF(H2313="","",IF($C$30="간이법","",FPR(H2313,I2313,J2313)))</f>
        <v/>
      </c>
      <c r="L2313" s="30" t="str">
        <f>IF(H2313="","",IF($C$30="상세법",FPV(H2313,K2313),IF(H2313="EI",4,IF(H2313="EO",5.2,IF(H2313="EQ",3.9,IF(H2313="ILF",7.5,IF(H2313="EIF",5.4)))))))</f>
        <v/>
      </c>
      <c r="M2313" s="30" t="str">
        <f t="shared" si="247"/>
        <v/>
      </c>
      <c r="N2313" s="134"/>
      <c r="O2313" s="29"/>
      <c r="P2313" s="37" t="str">
        <f t="shared" si="248"/>
        <v/>
      </c>
      <c r="Q2313" s="38" t="str">
        <f t="shared" si="249"/>
        <v/>
      </c>
      <c r="R2313" s="37" t="str">
        <f t="shared" si="250"/>
        <v/>
      </c>
      <c r="S2313" s="37" t="str">
        <f t="shared" si="251"/>
        <v/>
      </c>
      <c r="T2313" s="38" t="str">
        <f t="shared" si="252"/>
        <v/>
      </c>
      <c r="U2313" s="37" t="str">
        <f t="shared" si="253"/>
        <v/>
      </c>
    </row>
    <row r="2314" spans="2:21" ht="17.25">
      <c r="B2314" s="156"/>
      <c r="C2314" s="156"/>
      <c r="D2314" s="157"/>
      <c r="E2314" s="155"/>
      <c r="F2314" s="151"/>
      <c r="G2314" s="152"/>
      <c r="H2314" s="153"/>
      <c r="I2314" s="154"/>
      <c r="J2314" s="154"/>
      <c r="K2314" s="30" t="str">
        <f>IF(H2314="","",IF($C$30="간이법","",FPR(H2314,I2314,J2314)))</f>
        <v/>
      </c>
      <c r="L2314" s="30" t="str">
        <f>IF(H2314="","",IF($C$30="상세법",FPV(H2314,K2314),IF(H2314="EI",4,IF(H2314="EO",5.2,IF(H2314="EQ",3.9,IF(H2314="ILF",7.5,IF(H2314="EIF",5.4)))))))</f>
        <v/>
      </c>
      <c r="M2314" s="30" t="str">
        <f t="shared" si="247"/>
        <v/>
      </c>
      <c r="N2314" s="134"/>
      <c r="O2314" s="29"/>
      <c r="P2314" s="37" t="str">
        <f t="shared" si="248"/>
        <v/>
      </c>
      <c r="Q2314" s="38" t="str">
        <f t="shared" si="249"/>
        <v/>
      </c>
      <c r="R2314" s="37" t="str">
        <f t="shared" si="250"/>
        <v/>
      </c>
      <c r="S2314" s="37" t="str">
        <f t="shared" si="251"/>
        <v/>
      </c>
      <c r="T2314" s="38" t="str">
        <f t="shared" si="252"/>
        <v/>
      </c>
      <c r="U2314" s="37" t="str">
        <f t="shared" si="253"/>
        <v/>
      </c>
    </row>
    <row r="2315" spans="2:21" ht="17.25">
      <c r="B2315" s="156"/>
      <c r="C2315" s="156"/>
      <c r="D2315" s="157"/>
      <c r="E2315" s="155"/>
      <c r="F2315" s="151"/>
      <c r="G2315" s="152"/>
      <c r="H2315" s="153"/>
      <c r="I2315" s="154"/>
      <c r="J2315" s="154"/>
      <c r="K2315" s="30" t="str">
        <f>IF(H2315="","",IF($C$30="간이법","",FPR(H2315,I2315,J2315)))</f>
        <v/>
      </c>
      <c r="L2315" s="30" t="str">
        <f>IF(H2315="","",IF($C$30="상세법",FPV(H2315,K2315),IF(H2315="EI",4,IF(H2315="EO",5.2,IF(H2315="EQ",3.9,IF(H2315="ILF",7.5,IF(H2315="EIF",5.4)))))))</f>
        <v/>
      </c>
      <c r="M2315" s="30" t="str">
        <f t="shared" si="247"/>
        <v/>
      </c>
      <c r="N2315" s="134"/>
      <c r="O2315" s="29"/>
      <c r="P2315" s="37" t="str">
        <f t="shared" si="248"/>
        <v/>
      </c>
      <c r="Q2315" s="38" t="str">
        <f t="shared" si="249"/>
        <v/>
      </c>
      <c r="R2315" s="37" t="str">
        <f t="shared" si="250"/>
        <v/>
      </c>
      <c r="S2315" s="37" t="str">
        <f t="shared" si="251"/>
        <v/>
      </c>
      <c r="T2315" s="38" t="str">
        <f t="shared" si="252"/>
        <v/>
      </c>
      <c r="U2315" s="37" t="str">
        <f t="shared" si="253"/>
        <v/>
      </c>
    </row>
    <row r="2316" spans="2:21" ht="17.25">
      <c r="B2316" s="156"/>
      <c r="C2316" s="156"/>
      <c r="D2316" s="157"/>
      <c r="E2316" s="155"/>
      <c r="F2316" s="151"/>
      <c r="G2316" s="152"/>
      <c r="H2316" s="153"/>
      <c r="I2316" s="154"/>
      <c r="J2316" s="154"/>
      <c r="K2316" s="30" t="str">
        <f>IF(H2316="","",IF($C$30="간이법","",FPR(H2316,I2316,J2316)))</f>
        <v/>
      </c>
      <c r="L2316" s="30" t="str">
        <f>IF(H2316="","",IF($C$30="상세법",FPV(H2316,K2316),IF(H2316="EI",4,IF(H2316="EO",5.2,IF(H2316="EQ",3.9,IF(H2316="ILF",7.5,IF(H2316="EIF",5.4)))))))</f>
        <v/>
      </c>
      <c r="M2316" s="30" t="str">
        <f t="shared" si="247"/>
        <v/>
      </c>
      <c r="N2316" s="134"/>
      <c r="O2316" s="29"/>
      <c r="P2316" s="37" t="str">
        <f t="shared" si="248"/>
        <v/>
      </c>
      <c r="Q2316" s="38" t="str">
        <f t="shared" si="249"/>
        <v/>
      </c>
      <c r="R2316" s="37" t="str">
        <f t="shared" si="250"/>
        <v/>
      </c>
      <c r="S2316" s="37" t="str">
        <f t="shared" si="251"/>
        <v/>
      </c>
      <c r="T2316" s="38" t="str">
        <f t="shared" si="252"/>
        <v/>
      </c>
      <c r="U2316" s="37" t="str">
        <f t="shared" si="253"/>
        <v/>
      </c>
    </row>
    <row r="2317" spans="2:21" ht="17.25">
      <c r="B2317" s="156"/>
      <c r="C2317" s="156"/>
      <c r="D2317" s="157"/>
      <c r="E2317" s="155"/>
      <c r="F2317" s="151"/>
      <c r="G2317" s="152"/>
      <c r="H2317" s="153"/>
      <c r="I2317" s="154"/>
      <c r="J2317" s="154"/>
      <c r="K2317" s="30" t="str">
        <f>IF(H2317="","",IF($C$30="간이법","",FPR(H2317,I2317,J2317)))</f>
        <v/>
      </c>
      <c r="L2317" s="30" t="str">
        <f>IF(H2317="","",IF($C$30="상세법",FPV(H2317,K2317),IF(H2317="EI",4,IF(H2317="EO",5.2,IF(H2317="EQ",3.9,IF(H2317="ILF",7.5,IF(H2317="EIF",5.4)))))))</f>
        <v/>
      </c>
      <c r="M2317" s="30" t="str">
        <f t="shared" si="247"/>
        <v/>
      </c>
      <c r="N2317" s="134"/>
      <c r="O2317" s="29"/>
      <c r="P2317" s="37" t="str">
        <f t="shared" si="248"/>
        <v/>
      </c>
      <c r="Q2317" s="38" t="str">
        <f t="shared" si="249"/>
        <v/>
      </c>
      <c r="R2317" s="37" t="str">
        <f t="shared" si="250"/>
        <v/>
      </c>
      <c r="S2317" s="37" t="str">
        <f t="shared" si="251"/>
        <v/>
      </c>
      <c r="T2317" s="38" t="str">
        <f t="shared" si="252"/>
        <v/>
      </c>
      <c r="U2317" s="37" t="str">
        <f t="shared" si="253"/>
        <v/>
      </c>
    </row>
    <row r="2318" spans="2:21" ht="17.25">
      <c r="B2318" s="156"/>
      <c r="C2318" s="156"/>
      <c r="D2318" s="157"/>
      <c r="E2318" s="155"/>
      <c r="F2318" s="151"/>
      <c r="G2318" s="152"/>
      <c r="H2318" s="153"/>
      <c r="I2318" s="154"/>
      <c r="J2318" s="154"/>
      <c r="K2318" s="30" t="str">
        <f>IF(H2318="","",IF($C$30="간이법","",FPR(H2318,I2318,J2318)))</f>
        <v/>
      </c>
      <c r="L2318" s="30" t="str">
        <f>IF(H2318="","",IF($C$30="상세법",FPV(H2318,K2318),IF(H2318="EI",4,IF(H2318="EO",5.2,IF(H2318="EQ",3.9,IF(H2318="ILF",7.5,IF(H2318="EIF",5.4)))))))</f>
        <v/>
      </c>
      <c r="M2318" s="30" t="str">
        <f t="shared" si="247"/>
        <v/>
      </c>
      <c r="N2318" s="134"/>
      <c r="O2318" s="29"/>
      <c r="P2318" s="37" t="str">
        <f t="shared" si="248"/>
        <v/>
      </c>
      <c r="Q2318" s="38" t="str">
        <f t="shared" si="249"/>
        <v/>
      </c>
      <c r="R2318" s="37" t="str">
        <f t="shared" si="250"/>
        <v/>
      </c>
      <c r="S2318" s="37" t="str">
        <f t="shared" si="251"/>
        <v/>
      </c>
      <c r="T2318" s="38" t="str">
        <f t="shared" si="252"/>
        <v/>
      </c>
      <c r="U2318" s="37" t="str">
        <f t="shared" si="253"/>
        <v/>
      </c>
    </row>
    <row r="2319" spans="2:21" ht="17.25">
      <c r="B2319" s="156"/>
      <c r="C2319" s="156"/>
      <c r="D2319" s="157"/>
      <c r="E2319" s="155"/>
      <c r="F2319" s="151"/>
      <c r="G2319" s="152"/>
      <c r="H2319" s="153"/>
      <c r="I2319" s="154"/>
      <c r="J2319" s="154"/>
      <c r="K2319" s="30" t="str">
        <f>IF(H2319="","",IF($C$30="간이법","",FPR(H2319,I2319,J2319)))</f>
        <v/>
      </c>
      <c r="L2319" s="30" t="str">
        <f>IF(H2319="","",IF($C$30="상세법",FPV(H2319,K2319),IF(H2319="EI",4,IF(H2319="EO",5.2,IF(H2319="EQ",3.9,IF(H2319="ILF",7.5,IF(H2319="EIF",5.4)))))))</f>
        <v/>
      </c>
      <c r="M2319" s="30" t="str">
        <f t="shared" si="247"/>
        <v/>
      </c>
      <c r="N2319" s="134"/>
      <c r="O2319" s="29"/>
      <c r="P2319" s="37" t="str">
        <f t="shared" si="248"/>
        <v/>
      </c>
      <c r="Q2319" s="38" t="str">
        <f t="shared" si="249"/>
        <v/>
      </c>
      <c r="R2319" s="37" t="str">
        <f t="shared" si="250"/>
        <v/>
      </c>
      <c r="S2319" s="37" t="str">
        <f t="shared" si="251"/>
        <v/>
      </c>
      <c r="T2319" s="38" t="str">
        <f t="shared" si="252"/>
        <v/>
      </c>
      <c r="U2319" s="37" t="str">
        <f t="shared" si="253"/>
        <v/>
      </c>
    </row>
    <row r="2320" spans="2:21" ht="17.25">
      <c r="B2320" s="156"/>
      <c r="C2320" s="156"/>
      <c r="D2320" s="157"/>
      <c r="E2320" s="155"/>
      <c r="F2320" s="151"/>
      <c r="G2320" s="152"/>
      <c r="H2320" s="153"/>
      <c r="I2320" s="154"/>
      <c r="J2320" s="154"/>
      <c r="K2320" s="30" t="str">
        <f>IF(H2320="","",IF($C$30="간이법","",FPR(H2320,I2320,J2320)))</f>
        <v/>
      </c>
      <c r="L2320" s="30" t="str">
        <f>IF(H2320="","",IF($C$30="상세법",FPV(H2320,K2320),IF(H2320="EI",4,IF(H2320="EO",5.2,IF(H2320="EQ",3.9,IF(H2320="ILF",7.5,IF(H2320="EIF",5.4)))))))</f>
        <v/>
      </c>
      <c r="M2320" s="30" t="str">
        <f t="shared" si="247"/>
        <v/>
      </c>
      <c r="N2320" s="134"/>
      <c r="O2320" s="29"/>
      <c r="P2320" s="37" t="str">
        <f t="shared" si="248"/>
        <v/>
      </c>
      <c r="Q2320" s="38" t="str">
        <f t="shared" si="249"/>
        <v/>
      </c>
      <c r="R2320" s="37" t="str">
        <f t="shared" si="250"/>
        <v/>
      </c>
      <c r="S2320" s="37" t="str">
        <f t="shared" si="251"/>
        <v/>
      </c>
      <c r="T2320" s="38" t="str">
        <f t="shared" si="252"/>
        <v/>
      </c>
      <c r="U2320" s="37" t="str">
        <f t="shared" si="253"/>
        <v/>
      </c>
    </row>
    <row r="2321" spans="2:21" ht="17.25">
      <c r="B2321" s="156"/>
      <c r="C2321" s="156"/>
      <c r="D2321" s="157"/>
      <c r="E2321" s="155"/>
      <c r="F2321" s="151"/>
      <c r="G2321" s="152"/>
      <c r="H2321" s="153"/>
      <c r="I2321" s="154"/>
      <c r="J2321" s="154"/>
      <c r="K2321" s="30" t="str">
        <f>IF(H2321="","",IF($C$30="간이법","",FPR(H2321,I2321,J2321)))</f>
        <v/>
      </c>
      <c r="L2321" s="30" t="str">
        <f>IF(H2321="","",IF($C$30="상세법",FPV(H2321,K2321),IF(H2321="EI",4,IF(H2321="EO",5.2,IF(H2321="EQ",3.9,IF(H2321="ILF",7.5,IF(H2321="EIF",5.4)))))))</f>
        <v/>
      </c>
      <c r="M2321" s="30" t="str">
        <f t="shared" si="247"/>
        <v/>
      </c>
      <c r="N2321" s="134"/>
      <c r="O2321" s="29"/>
      <c r="P2321" s="37" t="str">
        <f t="shared" si="248"/>
        <v/>
      </c>
      <c r="Q2321" s="38" t="str">
        <f t="shared" si="249"/>
        <v/>
      </c>
      <c r="R2321" s="37" t="str">
        <f t="shared" si="250"/>
        <v/>
      </c>
      <c r="S2321" s="37" t="str">
        <f t="shared" si="251"/>
        <v/>
      </c>
      <c r="T2321" s="38" t="str">
        <f t="shared" si="252"/>
        <v/>
      </c>
      <c r="U2321" s="37" t="str">
        <f t="shared" si="253"/>
        <v/>
      </c>
    </row>
    <row r="2322" spans="2:21" ht="17.25">
      <c r="B2322" s="156"/>
      <c r="C2322" s="156"/>
      <c r="D2322" s="157"/>
      <c r="E2322" s="155"/>
      <c r="F2322" s="151"/>
      <c r="G2322" s="152"/>
      <c r="H2322" s="153"/>
      <c r="I2322" s="154"/>
      <c r="J2322" s="154"/>
      <c r="K2322" s="30" t="str">
        <f>IF(H2322="","",IF($C$30="간이법","",FPR(H2322,I2322,J2322)))</f>
        <v/>
      </c>
      <c r="L2322" s="30" t="str">
        <f>IF(H2322="","",IF($C$30="상세법",FPV(H2322,K2322),IF(H2322="EI",4,IF(H2322="EO",5.2,IF(H2322="EQ",3.9,IF(H2322="ILF",7.5,IF(H2322="EIF",5.4)))))))</f>
        <v/>
      </c>
      <c r="M2322" s="30" t="str">
        <f t="shared" si="247"/>
        <v/>
      </c>
      <c r="N2322" s="134"/>
      <c r="O2322" s="29"/>
      <c r="P2322" s="37" t="str">
        <f t="shared" si="248"/>
        <v/>
      </c>
      <c r="Q2322" s="38" t="str">
        <f t="shared" si="249"/>
        <v/>
      </c>
      <c r="R2322" s="37" t="str">
        <f t="shared" si="250"/>
        <v/>
      </c>
      <c r="S2322" s="37" t="str">
        <f t="shared" si="251"/>
        <v/>
      </c>
      <c r="T2322" s="38" t="str">
        <f t="shared" si="252"/>
        <v/>
      </c>
      <c r="U2322" s="37" t="str">
        <f t="shared" si="253"/>
        <v/>
      </c>
    </row>
    <row r="2323" spans="2:21" ht="17.25">
      <c r="B2323" s="156"/>
      <c r="C2323" s="156"/>
      <c r="D2323" s="157"/>
      <c r="E2323" s="155"/>
      <c r="F2323" s="151"/>
      <c r="G2323" s="152"/>
      <c r="H2323" s="153"/>
      <c r="I2323" s="154"/>
      <c r="J2323" s="154"/>
      <c r="K2323" s="30" t="str">
        <f>IF(H2323="","",IF($C$30="간이법","",FPR(H2323,I2323,J2323)))</f>
        <v/>
      </c>
      <c r="L2323" s="30" t="str">
        <f>IF(H2323="","",IF($C$30="상세법",FPV(H2323,K2323),IF(H2323="EI",4,IF(H2323="EO",5.2,IF(H2323="EQ",3.9,IF(H2323="ILF",7.5,IF(H2323="EIF",5.4)))))))</f>
        <v/>
      </c>
      <c r="M2323" s="30" t="str">
        <f t="shared" si="247"/>
        <v/>
      </c>
      <c r="N2323" s="134"/>
      <c r="O2323" s="29"/>
      <c r="P2323" s="37" t="str">
        <f t="shared" si="248"/>
        <v/>
      </c>
      <c r="Q2323" s="38" t="str">
        <f t="shared" si="249"/>
        <v/>
      </c>
      <c r="R2323" s="37" t="str">
        <f t="shared" si="250"/>
        <v/>
      </c>
      <c r="S2323" s="37" t="str">
        <f t="shared" si="251"/>
        <v/>
      </c>
      <c r="T2323" s="38" t="str">
        <f t="shared" si="252"/>
        <v/>
      </c>
      <c r="U2323" s="37" t="str">
        <f t="shared" si="253"/>
        <v/>
      </c>
    </row>
    <row r="2324" spans="2:21" ht="17.25">
      <c r="B2324" s="156"/>
      <c r="C2324" s="156"/>
      <c r="D2324" s="157"/>
      <c r="E2324" s="155"/>
      <c r="F2324" s="151"/>
      <c r="G2324" s="152"/>
      <c r="H2324" s="153"/>
      <c r="I2324" s="154"/>
      <c r="J2324" s="154"/>
      <c r="K2324" s="30" t="str">
        <f>IF(H2324="","",IF($C$30="간이법","",FPR(H2324,I2324,J2324)))</f>
        <v/>
      </c>
      <c r="L2324" s="30" t="str">
        <f>IF(H2324="","",IF($C$30="상세법",FPV(H2324,K2324),IF(H2324="EI",4,IF(H2324="EO",5.2,IF(H2324="EQ",3.9,IF(H2324="ILF",7.5,IF(H2324="EIF",5.4)))))))</f>
        <v/>
      </c>
      <c r="M2324" s="30" t="str">
        <f t="shared" si="247"/>
        <v/>
      </c>
      <c r="N2324" s="134"/>
      <c r="O2324" s="29"/>
      <c r="P2324" s="37" t="str">
        <f t="shared" si="248"/>
        <v/>
      </c>
      <c r="Q2324" s="38" t="str">
        <f t="shared" si="249"/>
        <v/>
      </c>
      <c r="R2324" s="37" t="str">
        <f t="shared" si="250"/>
        <v/>
      </c>
      <c r="S2324" s="37" t="str">
        <f t="shared" si="251"/>
        <v/>
      </c>
      <c r="T2324" s="38" t="str">
        <f t="shared" si="252"/>
        <v/>
      </c>
      <c r="U2324" s="37" t="str">
        <f t="shared" si="253"/>
        <v/>
      </c>
    </row>
    <row r="2325" spans="2:21" ht="17.25">
      <c r="B2325" s="156"/>
      <c r="C2325" s="156"/>
      <c r="D2325" s="157"/>
      <c r="E2325" s="155"/>
      <c r="F2325" s="151"/>
      <c r="G2325" s="152"/>
      <c r="H2325" s="153"/>
      <c r="I2325" s="154"/>
      <c r="J2325" s="154"/>
      <c r="K2325" s="30" t="str">
        <f>IF(H2325="","",IF($C$30="간이법","",FPR(H2325,I2325,J2325)))</f>
        <v/>
      </c>
      <c r="L2325" s="30" t="str">
        <f>IF(H2325="","",IF($C$30="상세법",FPV(H2325,K2325),IF(H2325="EI",4,IF(H2325="EO",5.2,IF(H2325="EQ",3.9,IF(H2325="ILF",7.5,IF(H2325="EIF",5.4)))))))</f>
        <v/>
      </c>
      <c r="M2325" s="30" t="str">
        <f t="shared" si="247"/>
        <v/>
      </c>
      <c r="N2325" s="134"/>
      <c r="O2325" s="29"/>
      <c r="P2325" s="37" t="str">
        <f t="shared" si="248"/>
        <v/>
      </c>
      <c r="Q2325" s="38" t="str">
        <f t="shared" si="249"/>
        <v/>
      </c>
      <c r="R2325" s="37" t="str">
        <f t="shared" si="250"/>
        <v/>
      </c>
      <c r="S2325" s="37" t="str">
        <f t="shared" si="251"/>
        <v/>
      </c>
      <c r="T2325" s="38" t="str">
        <f t="shared" si="252"/>
        <v/>
      </c>
      <c r="U2325" s="37" t="str">
        <f t="shared" si="253"/>
        <v/>
      </c>
    </row>
    <row r="2326" spans="2:21" ht="17.25">
      <c r="B2326" s="156"/>
      <c r="C2326" s="156"/>
      <c r="D2326" s="157"/>
      <c r="E2326" s="155"/>
      <c r="F2326" s="151"/>
      <c r="G2326" s="152"/>
      <c r="H2326" s="153"/>
      <c r="I2326" s="154"/>
      <c r="J2326" s="154"/>
      <c r="K2326" s="30" t="str">
        <f>IF(H2326="","",IF($C$30="간이법","",FPR(H2326,I2326,J2326)))</f>
        <v/>
      </c>
      <c r="L2326" s="30" t="str">
        <f>IF(H2326="","",IF($C$30="상세법",FPV(H2326,K2326),IF(H2326="EI",4,IF(H2326="EO",5.2,IF(H2326="EQ",3.9,IF(H2326="ILF",7.5,IF(H2326="EIF",5.4)))))))</f>
        <v/>
      </c>
      <c r="M2326" s="30" t="str">
        <f t="shared" si="247"/>
        <v/>
      </c>
      <c r="N2326" s="134"/>
      <c r="O2326" s="29"/>
      <c r="P2326" s="37" t="str">
        <f t="shared" si="248"/>
        <v/>
      </c>
      <c r="Q2326" s="38" t="str">
        <f t="shared" si="249"/>
        <v/>
      </c>
      <c r="R2326" s="37" t="str">
        <f t="shared" si="250"/>
        <v/>
      </c>
      <c r="S2326" s="37" t="str">
        <f t="shared" si="251"/>
        <v/>
      </c>
      <c r="T2326" s="38" t="str">
        <f t="shared" si="252"/>
        <v/>
      </c>
      <c r="U2326" s="37" t="str">
        <f t="shared" si="253"/>
        <v/>
      </c>
    </row>
    <row r="2327" spans="2:21" ht="17.25">
      <c r="B2327" s="156"/>
      <c r="C2327" s="156"/>
      <c r="D2327" s="157"/>
      <c r="E2327" s="155"/>
      <c r="F2327" s="151"/>
      <c r="G2327" s="152"/>
      <c r="H2327" s="153"/>
      <c r="I2327" s="154"/>
      <c r="J2327" s="154"/>
      <c r="K2327" s="30" t="str">
        <f>IF(H2327="","",IF($C$30="간이법","",FPR(H2327,I2327,J2327)))</f>
        <v/>
      </c>
      <c r="L2327" s="30" t="str">
        <f>IF(H2327="","",IF($C$30="상세법",FPV(H2327,K2327),IF(H2327="EI",4,IF(H2327="EO",5.2,IF(H2327="EQ",3.9,IF(H2327="ILF",7.5,IF(H2327="EIF",5.4)))))))</f>
        <v/>
      </c>
      <c r="M2327" s="30" t="str">
        <f t="shared" si="247"/>
        <v/>
      </c>
      <c r="N2327" s="134"/>
      <c r="O2327" s="29"/>
      <c r="P2327" s="37" t="str">
        <f t="shared" si="248"/>
        <v/>
      </c>
      <c r="Q2327" s="38" t="str">
        <f t="shared" si="249"/>
        <v/>
      </c>
      <c r="R2327" s="37" t="str">
        <f t="shared" si="250"/>
        <v/>
      </c>
      <c r="S2327" s="37" t="str">
        <f t="shared" si="251"/>
        <v/>
      </c>
      <c r="T2327" s="38" t="str">
        <f t="shared" si="252"/>
        <v/>
      </c>
      <c r="U2327" s="37" t="str">
        <f t="shared" si="253"/>
        <v/>
      </c>
    </row>
    <row r="2328" spans="2:21" ht="17.25">
      <c r="B2328" s="156"/>
      <c r="C2328" s="156"/>
      <c r="D2328" s="157"/>
      <c r="E2328" s="155"/>
      <c r="F2328" s="151"/>
      <c r="G2328" s="152"/>
      <c r="H2328" s="153"/>
      <c r="I2328" s="154"/>
      <c r="J2328" s="154"/>
      <c r="K2328" s="30" t="str">
        <f>IF(H2328="","",IF($C$30="간이법","",FPR(H2328,I2328,J2328)))</f>
        <v/>
      </c>
      <c r="L2328" s="30" t="str">
        <f>IF(H2328="","",IF($C$30="상세법",FPV(H2328,K2328),IF(H2328="EI",4,IF(H2328="EO",5.2,IF(H2328="EQ",3.9,IF(H2328="ILF",7.5,IF(H2328="EIF",5.4)))))))</f>
        <v/>
      </c>
      <c r="M2328" s="30" t="str">
        <f t="shared" si="247"/>
        <v/>
      </c>
      <c r="N2328" s="134"/>
      <c r="O2328" s="29"/>
      <c r="P2328" s="37" t="str">
        <f t="shared" si="248"/>
        <v/>
      </c>
      <c r="Q2328" s="38" t="str">
        <f t="shared" si="249"/>
        <v/>
      </c>
      <c r="R2328" s="37" t="str">
        <f t="shared" si="250"/>
        <v/>
      </c>
      <c r="S2328" s="37" t="str">
        <f t="shared" si="251"/>
        <v/>
      </c>
      <c r="T2328" s="38" t="str">
        <f t="shared" si="252"/>
        <v/>
      </c>
      <c r="U2328" s="37" t="str">
        <f t="shared" si="253"/>
        <v/>
      </c>
    </row>
    <row r="2329" spans="2:21" ht="17.25">
      <c r="B2329" s="156"/>
      <c r="C2329" s="156"/>
      <c r="D2329" s="157"/>
      <c r="E2329" s="155"/>
      <c r="F2329" s="151"/>
      <c r="G2329" s="152"/>
      <c r="H2329" s="153"/>
      <c r="I2329" s="154"/>
      <c r="J2329" s="154"/>
      <c r="K2329" s="30" t="str">
        <f>IF(H2329="","",IF($C$30="간이법","",FPR(H2329,I2329,J2329)))</f>
        <v/>
      </c>
      <c r="L2329" s="30" t="str">
        <f>IF(H2329="","",IF($C$30="상세법",FPV(H2329,K2329),IF(H2329="EI",4,IF(H2329="EO",5.2,IF(H2329="EQ",3.9,IF(H2329="ILF",7.5,IF(H2329="EIF",5.4)))))))</f>
        <v/>
      </c>
      <c r="M2329" s="30" t="str">
        <f t="shared" si="247"/>
        <v/>
      </c>
      <c r="N2329" s="134"/>
      <c r="O2329" s="29"/>
      <c r="P2329" s="37" t="str">
        <f t="shared" si="248"/>
        <v/>
      </c>
      <c r="Q2329" s="38" t="str">
        <f t="shared" si="249"/>
        <v/>
      </c>
      <c r="R2329" s="37" t="str">
        <f t="shared" si="250"/>
        <v/>
      </c>
      <c r="S2329" s="37" t="str">
        <f t="shared" si="251"/>
        <v/>
      </c>
      <c r="T2329" s="38" t="str">
        <f t="shared" si="252"/>
        <v/>
      </c>
      <c r="U2329" s="37" t="str">
        <f t="shared" si="253"/>
        <v/>
      </c>
    </row>
    <row r="2330" spans="2:21" ht="17.25">
      <c r="B2330" s="156"/>
      <c r="C2330" s="156"/>
      <c r="D2330" s="157"/>
      <c r="E2330" s="155"/>
      <c r="F2330" s="151"/>
      <c r="G2330" s="152"/>
      <c r="H2330" s="153"/>
      <c r="I2330" s="154"/>
      <c r="J2330" s="154"/>
      <c r="K2330" s="30" t="str">
        <f>IF(H2330="","",IF($C$30="간이법","",FPR(H2330,I2330,J2330)))</f>
        <v/>
      </c>
      <c r="L2330" s="30" t="str">
        <f>IF(H2330="","",IF($C$30="상세법",FPV(H2330,K2330),IF(H2330="EI",4,IF(H2330="EO",5.2,IF(H2330="EQ",3.9,IF(H2330="ILF",7.5,IF(H2330="EIF",5.4)))))))</f>
        <v/>
      </c>
      <c r="M2330" s="30" t="str">
        <f t="shared" si="247"/>
        <v/>
      </c>
      <c r="N2330" s="134"/>
      <c r="O2330" s="29"/>
      <c r="P2330" s="37" t="str">
        <f t="shared" si="248"/>
        <v/>
      </c>
      <c r="Q2330" s="38" t="str">
        <f t="shared" si="249"/>
        <v/>
      </c>
      <c r="R2330" s="37" t="str">
        <f t="shared" si="250"/>
        <v/>
      </c>
      <c r="S2330" s="37" t="str">
        <f t="shared" si="251"/>
        <v/>
      </c>
      <c r="T2330" s="38" t="str">
        <f t="shared" si="252"/>
        <v/>
      </c>
      <c r="U2330" s="37" t="str">
        <f t="shared" si="253"/>
        <v/>
      </c>
    </row>
    <row r="2331" spans="2:21" ht="17.25">
      <c r="B2331" s="156"/>
      <c r="C2331" s="156"/>
      <c r="D2331" s="157"/>
      <c r="E2331" s="155"/>
      <c r="F2331" s="151"/>
      <c r="G2331" s="152"/>
      <c r="H2331" s="153"/>
      <c r="I2331" s="154"/>
      <c r="J2331" s="154"/>
      <c r="K2331" s="30" t="str">
        <f>IF(H2331="","",IF($C$30="간이법","",FPR(H2331,I2331,J2331)))</f>
        <v/>
      </c>
      <c r="L2331" s="30" t="str">
        <f>IF(H2331="","",IF($C$30="상세법",FPV(H2331,K2331),IF(H2331="EI",4,IF(H2331="EO",5.2,IF(H2331="EQ",3.9,IF(H2331="ILF",7.5,IF(H2331="EIF",5.4)))))))</f>
        <v/>
      </c>
      <c r="M2331" s="30" t="str">
        <f t="shared" si="247"/>
        <v/>
      </c>
      <c r="N2331" s="134"/>
      <c r="O2331" s="29"/>
      <c r="P2331" s="37" t="str">
        <f t="shared" si="248"/>
        <v/>
      </c>
      <c r="Q2331" s="38" t="str">
        <f t="shared" si="249"/>
        <v/>
      </c>
      <c r="R2331" s="37" t="str">
        <f t="shared" si="250"/>
        <v/>
      </c>
      <c r="S2331" s="37" t="str">
        <f t="shared" si="251"/>
        <v/>
      </c>
      <c r="T2331" s="38" t="str">
        <f t="shared" si="252"/>
        <v/>
      </c>
      <c r="U2331" s="37" t="str">
        <f t="shared" si="253"/>
        <v/>
      </c>
    </row>
    <row r="2332" spans="2:21" ht="17.25">
      <c r="B2332" s="156"/>
      <c r="C2332" s="156"/>
      <c r="D2332" s="157"/>
      <c r="E2332" s="155"/>
      <c r="F2332" s="151"/>
      <c r="G2332" s="152"/>
      <c r="H2332" s="153"/>
      <c r="I2332" s="154"/>
      <c r="J2332" s="154"/>
      <c r="K2332" s="30" t="str">
        <f>IF(H2332="","",IF($C$30="간이법","",FPR(H2332,I2332,J2332)))</f>
        <v/>
      </c>
      <c r="L2332" s="30" t="str">
        <f>IF(H2332="","",IF($C$30="상세법",FPV(H2332,K2332),IF(H2332="EI",4,IF(H2332="EO",5.2,IF(H2332="EQ",3.9,IF(H2332="ILF",7.5,IF(H2332="EIF",5.4)))))))</f>
        <v/>
      </c>
      <c r="M2332" s="30" t="str">
        <f t="shared" si="247"/>
        <v/>
      </c>
      <c r="N2332" s="134"/>
      <c r="O2332" s="29"/>
      <c r="P2332" s="37" t="str">
        <f t="shared" si="248"/>
        <v/>
      </c>
      <c r="Q2332" s="38" t="str">
        <f t="shared" si="249"/>
        <v/>
      </c>
      <c r="R2332" s="37" t="str">
        <f t="shared" si="250"/>
        <v/>
      </c>
      <c r="S2332" s="37" t="str">
        <f t="shared" si="251"/>
        <v/>
      </c>
      <c r="T2332" s="38" t="str">
        <f t="shared" si="252"/>
        <v/>
      </c>
      <c r="U2332" s="37" t="str">
        <f t="shared" si="253"/>
        <v/>
      </c>
    </row>
    <row r="2333" spans="2:21" ht="17.25">
      <c r="B2333" s="156"/>
      <c r="C2333" s="156"/>
      <c r="D2333" s="157"/>
      <c r="E2333" s="155"/>
      <c r="F2333" s="151"/>
      <c r="G2333" s="152"/>
      <c r="H2333" s="153"/>
      <c r="I2333" s="154"/>
      <c r="J2333" s="154"/>
      <c r="K2333" s="30" t="str">
        <f>IF(H2333="","",IF($C$30="간이법","",FPR(H2333,I2333,J2333)))</f>
        <v/>
      </c>
      <c r="L2333" s="30" t="str">
        <f>IF(H2333="","",IF($C$30="상세법",FPV(H2333,K2333),IF(H2333="EI",4,IF(H2333="EO",5.2,IF(H2333="EQ",3.9,IF(H2333="ILF",7.5,IF(H2333="EIF",5.4)))))))</f>
        <v/>
      </c>
      <c r="M2333" s="30" t="str">
        <f t="shared" si="247"/>
        <v/>
      </c>
      <c r="N2333" s="134"/>
      <c r="O2333" s="29"/>
      <c r="P2333" s="37" t="str">
        <f t="shared" si="248"/>
        <v/>
      </c>
      <c r="Q2333" s="38" t="str">
        <f t="shared" si="249"/>
        <v/>
      </c>
      <c r="R2333" s="37" t="str">
        <f t="shared" si="250"/>
        <v/>
      </c>
      <c r="S2333" s="37" t="str">
        <f t="shared" si="251"/>
        <v/>
      </c>
      <c r="T2333" s="38" t="str">
        <f t="shared" si="252"/>
        <v/>
      </c>
      <c r="U2333" s="37" t="str">
        <f t="shared" si="253"/>
        <v/>
      </c>
    </row>
    <row r="2334" spans="2:21" ht="17.25">
      <c r="B2334" s="156"/>
      <c r="C2334" s="156"/>
      <c r="D2334" s="157"/>
      <c r="E2334" s="155"/>
      <c r="F2334" s="151"/>
      <c r="G2334" s="152"/>
      <c r="H2334" s="153"/>
      <c r="I2334" s="154"/>
      <c r="J2334" s="154"/>
      <c r="K2334" s="30" t="str">
        <f>IF(H2334="","",IF($C$30="간이법","",FPR(H2334,I2334,J2334)))</f>
        <v/>
      </c>
      <c r="L2334" s="30" t="str">
        <f>IF(H2334="","",IF($C$30="상세법",FPV(H2334,K2334),IF(H2334="EI",4,IF(H2334="EO",5.2,IF(H2334="EQ",3.9,IF(H2334="ILF",7.5,IF(H2334="EIF",5.4)))))))</f>
        <v/>
      </c>
      <c r="M2334" s="30" t="str">
        <f t="shared" si="247"/>
        <v/>
      </c>
      <c r="N2334" s="134"/>
      <c r="O2334" s="29"/>
      <c r="P2334" s="37" t="str">
        <f t="shared" si="248"/>
        <v/>
      </c>
      <c r="Q2334" s="38" t="str">
        <f t="shared" si="249"/>
        <v/>
      </c>
      <c r="R2334" s="37" t="str">
        <f t="shared" si="250"/>
        <v/>
      </c>
      <c r="S2334" s="37" t="str">
        <f t="shared" si="251"/>
        <v/>
      </c>
      <c r="T2334" s="38" t="str">
        <f t="shared" si="252"/>
        <v/>
      </c>
      <c r="U2334" s="37" t="str">
        <f t="shared" si="253"/>
        <v/>
      </c>
    </row>
    <row r="2335" spans="2:21" ht="17.25">
      <c r="B2335" s="156"/>
      <c r="C2335" s="156"/>
      <c r="D2335" s="157"/>
      <c r="E2335" s="155"/>
      <c r="F2335" s="151"/>
      <c r="G2335" s="152"/>
      <c r="H2335" s="153"/>
      <c r="I2335" s="154"/>
      <c r="J2335" s="154"/>
      <c r="K2335" s="30" t="str">
        <f>IF(H2335="","",IF($C$30="간이법","",FPR(H2335,I2335,J2335)))</f>
        <v/>
      </c>
      <c r="L2335" s="30" t="str">
        <f>IF(H2335="","",IF($C$30="상세법",FPV(H2335,K2335),IF(H2335="EI",4,IF(H2335="EO",5.2,IF(H2335="EQ",3.9,IF(H2335="ILF",7.5,IF(H2335="EIF",5.4)))))))</f>
        <v/>
      </c>
      <c r="M2335" s="30" t="str">
        <f t="shared" si="247"/>
        <v/>
      </c>
      <c r="N2335" s="134"/>
      <c r="O2335" s="29"/>
      <c r="P2335" s="37" t="str">
        <f t="shared" si="248"/>
        <v/>
      </c>
      <c r="Q2335" s="38" t="str">
        <f t="shared" si="249"/>
        <v/>
      </c>
      <c r="R2335" s="37" t="str">
        <f t="shared" si="250"/>
        <v/>
      </c>
      <c r="S2335" s="37" t="str">
        <f t="shared" si="251"/>
        <v/>
      </c>
      <c r="T2335" s="38" t="str">
        <f t="shared" si="252"/>
        <v/>
      </c>
      <c r="U2335" s="37" t="str">
        <f t="shared" si="253"/>
        <v/>
      </c>
    </row>
    <row r="2336" spans="2:21" ht="17.25">
      <c r="B2336" s="156"/>
      <c r="C2336" s="156"/>
      <c r="D2336" s="157"/>
      <c r="E2336" s="155"/>
      <c r="F2336" s="151"/>
      <c r="G2336" s="152"/>
      <c r="H2336" s="153"/>
      <c r="I2336" s="154"/>
      <c r="J2336" s="154"/>
      <c r="K2336" s="30" t="str">
        <f>IF(H2336="","",IF($C$30="간이법","",FPR(H2336,I2336,J2336)))</f>
        <v/>
      </c>
      <c r="L2336" s="30" t="str">
        <f>IF(H2336="","",IF($C$30="상세법",FPV(H2336,K2336),IF(H2336="EI",4,IF(H2336="EO",5.2,IF(H2336="EQ",3.9,IF(H2336="ILF",7.5,IF(H2336="EIF",5.4)))))))</f>
        <v/>
      </c>
      <c r="M2336" s="30" t="str">
        <f t="shared" si="247"/>
        <v/>
      </c>
      <c r="N2336" s="134"/>
      <c r="O2336" s="29"/>
      <c r="P2336" s="37" t="str">
        <f t="shared" si="248"/>
        <v/>
      </c>
      <c r="Q2336" s="38" t="str">
        <f t="shared" si="249"/>
        <v/>
      </c>
      <c r="R2336" s="37" t="str">
        <f t="shared" si="250"/>
        <v/>
      </c>
      <c r="S2336" s="37" t="str">
        <f t="shared" si="251"/>
        <v/>
      </c>
      <c r="T2336" s="38" t="str">
        <f t="shared" si="252"/>
        <v/>
      </c>
      <c r="U2336" s="37" t="str">
        <f t="shared" si="253"/>
        <v/>
      </c>
    </row>
    <row r="2337" spans="2:21" ht="17.25">
      <c r="B2337" s="156"/>
      <c r="C2337" s="156"/>
      <c r="D2337" s="157"/>
      <c r="E2337" s="155"/>
      <c r="F2337" s="151"/>
      <c r="G2337" s="152"/>
      <c r="H2337" s="153"/>
      <c r="I2337" s="154"/>
      <c r="J2337" s="154"/>
      <c r="K2337" s="30" t="str">
        <f>IF(H2337="","",IF($C$30="간이법","",FPR(H2337,I2337,J2337)))</f>
        <v/>
      </c>
      <c r="L2337" s="30" t="str">
        <f>IF(H2337="","",IF($C$30="상세법",FPV(H2337,K2337),IF(H2337="EI",4,IF(H2337="EO",5.2,IF(H2337="EQ",3.9,IF(H2337="ILF",7.5,IF(H2337="EIF",5.4)))))))</f>
        <v/>
      </c>
      <c r="M2337" s="30" t="str">
        <f t="shared" si="247"/>
        <v/>
      </c>
      <c r="N2337" s="134"/>
      <c r="O2337" s="29"/>
      <c r="P2337" s="37" t="str">
        <f t="shared" si="248"/>
        <v/>
      </c>
      <c r="Q2337" s="38" t="str">
        <f t="shared" si="249"/>
        <v/>
      </c>
      <c r="R2337" s="37" t="str">
        <f t="shared" si="250"/>
        <v/>
      </c>
      <c r="S2337" s="37" t="str">
        <f t="shared" si="251"/>
        <v/>
      </c>
      <c r="T2337" s="38" t="str">
        <f t="shared" si="252"/>
        <v/>
      </c>
      <c r="U2337" s="37" t="str">
        <f t="shared" si="253"/>
        <v/>
      </c>
    </row>
    <row r="2338" spans="2:21" ht="17.25">
      <c r="B2338" s="156"/>
      <c r="C2338" s="156"/>
      <c r="D2338" s="157"/>
      <c r="E2338" s="155"/>
      <c r="F2338" s="151"/>
      <c r="G2338" s="152"/>
      <c r="H2338" s="153"/>
      <c r="I2338" s="154"/>
      <c r="J2338" s="154"/>
      <c r="K2338" s="30" t="str">
        <f>IF(H2338="","",IF($C$30="간이법","",FPR(H2338,I2338,J2338)))</f>
        <v/>
      </c>
      <c r="L2338" s="30" t="str">
        <f>IF(H2338="","",IF($C$30="상세법",FPV(H2338,K2338),IF(H2338="EI",4,IF(H2338="EO",5.2,IF(H2338="EQ",3.9,IF(H2338="ILF",7.5,IF(H2338="EIF",5.4)))))))</f>
        <v/>
      </c>
      <c r="M2338" s="30" t="str">
        <f t="shared" si="247"/>
        <v/>
      </c>
      <c r="N2338" s="134"/>
      <c r="O2338" s="29"/>
      <c r="P2338" s="37" t="str">
        <f t="shared" si="248"/>
        <v/>
      </c>
      <c r="Q2338" s="38" t="str">
        <f t="shared" si="249"/>
        <v/>
      </c>
      <c r="R2338" s="37" t="str">
        <f t="shared" si="250"/>
        <v/>
      </c>
      <c r="S2338" s="37" t="str">
        <f t="shared" si="251"/>
        <v/>
      </c>
      <c r="T2338" s="38" t="str">
        <f t="shared" si="252"/>
        <v/>
      </c>
      <c r="U2338" s="37" t="str">
        <f t="shared" si="253"/>
        <v/>
      </c>
    </row>
    <row r="2339" spans="2:21" ht="17.25">
      <c r="B2339" s="156"/>
      <c r="C2339" s="156"/>
      <c r="D2339" s="157"/>
      <c r="E2339" s="155"/>
      <c r="F2339" s="151"/>
      <c r="G2339" s="152"/>
      <c r="H2339" s="153"/>
      <c r="I2339" s="154"/>
      <c r="J2339" s="154"/>
      <c r="K2339" s="30" t="str">
        <f>IF(H2339="","",IF($C$30="간이법","",FPR(H2339,I2339,J2339)))</f>
        <v/>
      </c>
      <c r="L2339" s="30" t="str">
        <f>IF(H2339="","",IF($C$30="상세법",FPV(H2339,K2339),IF(H2339="EI",4,IF(H2339="EO",5.2,IF(H2339="EQ",3.9,IF(H2339="ILF",7.5,IF(H2339="EIF",5.4)))))))</f>
        <v/>
      </c>
      <c r="M2339" s="30" t="str">
        <f t="shared" si="247"/>
        <v/>
      </c>
      <c r="N2339" s="134"/>
      <c r="O2339" s="29"/>
      <c r="P2339" s="37" t="str">
        <f t="shared" si="248"/>
        <v/>
      </c>
      <c r="Q2339" s="38" t="str">
        <f t="shared" si="249"/>
        <v/>
      </c>
      <c r="R2339" s="37" t="str">
        <f t="shared" si="250"/>
        <v/>
      </c>
      <c r="S2339" s="37" t="str">
        <f t="shared" si="251"/>
        <v/>
      </c>
      <c r="T2339" s="38" t="str">
        <f t="shared" si="252"/>
        <v/>
      </c>
      <c r="U2339" s="37" t="str">
        <f t="shared" si="253"/>
        <v/>
      </c>
    </row>
    <row r="2340" spans="2:21" ht="17.25">
      <c r="B2340" s="156"/>
      <c r="C2340" s="156"/>
      <c r="D2340" s="157"/>
      <c r="E2340" s="155"/>
      <c r="F2340" s="151"/>
      <c r="G2340" s="152"/>
      <c r="H2340" s="153"/>
      <c r="I2340" s="154"/>
      <c r="J2340" s="154"/>
      <c r="K2340" s="30" t="str">
        <f>IF(H2340="","",IF($C$30="간이법","",FPR(H2340,I2340,J2340)))</f>
        <v/>
      </c>
      <c r="L2340" s="30" t="str">
        <f>IF(H2340="","",IF($C$30="상세법",FPV(H2340,K2340),IF(H2340="EI",4,IF(H2340="EO",5.2,IF(H2340="EQ",3.9,IF(H2340="ILF",7.5,IF(H2340="EIF",5.4)))))))</f>
        <v/>
      </c>
      <c r="M2340" s="30" t="str">
        <f t="shared" si="247"/>
        <v/>
      </c>
      <c r="N2340" s="134"/>
      <c r="O2340" s="29"/>
      <c r="P2340" s="37" t="str">
        <f t="shared" si="248"/>
        <v/>
      </c>
      <c r="Q2340" s="38" t="str">
        <f t="shared" si="249"/>
        <v/>
      </c>
      <c r="R2340" s="37" t="str">
        <f t="shared" si="250"/>
        <v/>
      </c>
      <c r="S2340" s="37" t="str">
        <f t="shared" si="251"/>
        <v/>
      </c>
      <c r="T2340" s="38" t="str">
        <f t="shared" si="252"/>
        <v/>
      </c>
      <c r="U2340" s="37" t="str">
        <f t="shared" si="253"/>
        <v/>
      </c>
    </row>
    <row r="2341" spans="2:21" ht="17.25">
      <c r="B2341" s="156"/>
      <c r="C2341" s="156"/>
      <c r="D2341" s="157"/>
      <c r="E2341" s="155"/>
      <c r="F2341" s="151"/>
      <c r="G2341" s="152"/>
      <c r="H2341" s="153"/>
      <c r="I2341" s="154"/>
      <c r="J2341" s="154"/>
      <c r="K2341" s="30" t="str">
        <f>IF(H2341="","",IF($C$30="간이법","",FPR(H2341,I2341,J2341)))</f>
        <v/>
      </c>
      <c r="L2341" s="30" t="str">
        <f>IF(H2341="","",IF($C$30="상세법",FPV(H2341,K2341),IF(H2341="EI",4,IF(H2341="EO",5.2,IF(H2341="EQ",3.9,IF(H2341="ILF",7.5,IF(H2341="EIF",5.4)))))))</f>
        <v/>
      </c>
      <c r="M2341" s="30" t="str">
        <f t="shared" si="247"/>
        <v/>
      </c>
      <c r="N2341" s="134"/>
      <c r="O2341" s="29"/>
      <c r="P2341" s="37" t="str">
        <f t="shared" si="248"/>
        <v/>
      </c>
      <c r="Q2341" s="38" t="str">
        <f t="shared" si="249"/>
        <v/>
      </c>
      <c r="R2341" s="37" t="str">
        <f t="shared" si="250"/>
        <v/>
      </c>
      <c r="S2341" s="37" t="str">
        <f t="shared" si="251"/>
        <v/>
      </c>
      <c r="T2341" s="38" t="str">
        <f t="shared" si="252"/>
        <v/>
      </c>
      <c r="U2341" s="37" t="str">
        <f t="shared" si="253"/>
        <v/>
      </c>
    </row>
    <row r="2342" spans="2:21" ht="17.25">
      <c r="B2342" s="156"/>
      <c r="C2342" s="156"/>
      <c r="D2342" s="157"/>
      <c r="E2342" s="155"/>
      <c r="F2342" s="151"/>
      <c r="G2342" s="152"/>
      <c r="H2342" s="153"/>
      <c r="I2342" s="154"/>
      <c r="J2342" s="154"/>
      <c r="K2342" s="30" t="str">
        <f>IF(H2342="","",IF($C$30="간이법","",FPR(H2342,I2342,J2342)))</f>
        <v/>
      </c>
      <c r="L2342" s="30" t="str">
        <f>IF(H2342="","",IF($C$30="상세법",FPV(H2342,K2342),IF(H2342="EI",4,IF(H2342="EO",5.2,IF(H2342="EQ",3.9,IF(H2342="ILF",7.5,IF(H2342="EIF",5.4)))))))</f>
        <v/>
      </c>
      <c r="M2342" s="30" t="str">
        <f t="shared" si="247"/>
        <v/>
      </c>
      <c r="N2342" s="134"/>
      <c r="O2342" s="29"/>
      <c r="P2342" s="37" t="str">
        <f t="shared" si="248"/>
        <v/>
      </c>
      <c r="Q2342" s="38" t="str">
        <f t="shared" si="249"/>
        <v/>
      </c>
      <c r="R2342" s="37" t="str">
        <f t="shared" si="250"/>
        <v/>
      </c>
      <c r="S2342" s="37" t="str">
        <f t="shared" si="251"/>
        <v/>
      </c>
      <c r="T2342" s="38" t="str">
        <f t="shared" si="252"/>
        <v/>
      </c>
      <c r="U2342" s="37" t="str">
        <f t="shared" si="253"/>
        <v/>
      </c>
    </row>
    <row r="2343" spans="2:21" ht="17.25">
      <c r="B2343" s="156"/>
      <c r="C2343" s="156"/>
      <c r="D2343" s="157"/>
      <c r="E2343" s="155"/>
      <c r="F2343" s="151"/>
      <c r="G2343" s="152"/>
      <c r="H2343" s="153"/>
      <c r="I2343" s="154"/>
      <c r="J2343" s="154"/>
      <c r="K2343" s="30" t="str">
        <f>IF(H2343="","",IF($C$30="간이법","",FPR(H2343,I2343,J2343)))</f>
        <v/>
      </c>
      <c r="L2343" s="30" t="str">
        <f>IF(H2343="","",IF($C$30="상세법",FPV(H2343,K2343),IF(H2343="EI",4,IF(H2343="EO",5.2,IF(H2343="EQ",3.9,IF(H2343="ILF",7.5,IF(H2343="EIF",5.4)))))))</f>
        <v/>
      </c>
      <c r="M2343" s="30" t="str">
        <f t="shared" si="247"/>
        <v/>
      </c>
      <c r="N2343" s="134"/>
      <c r="O2343" s="29"/>
      <c r="P2343" s="37" t="str">
        <f t="shared" si="248"/>
        <v/>
      </c>
      <c r="Q2343" s="38" t="str">
        <f t="shared" si="249"/>
        <v/>
      </c>
      <c r="R2343" s="37" t="str">
        <f t="shared" si="250"/>
        <v/>
      </c>
      <c r="S2343" s="37" t="str">
        <f t="shared" si="251"/>
        <v/>
      </c>
      <c r="T2343" s="38" t="str">
        <f t="shared" si="252"/>
        <v/>
      </c>
      <c r="U2343" s="37" t="str">
        <f t="shared" si="253"/>
        <v/>
      </c>
    </row>
    <row r="2344" spans="2:21" ht="17.25">
      <c r="B2344" s="156"/>
      <c r="C2344" s="156"/>
      <c r="D2344" s="157"/>
      <c r="E2344" s="155"/>
      <c r="F2344" s="151"/>
      <c r="G2344" s="152"/>
      <c r="H2344" s="153"/>
      <c r="I2344" s="154"/>
      <c r="J2344" s="154"/>
      <c r="K2344" s="30" t="str">
        <f>IF(H2344="","",IF($C$30="간이법","",FPR(H2344,I2344,J2344)))</f>
        <v/>
      </c>
      <c r="L2344" s="30" t="str">
        <f>IF(H2344="","",IF($C$30="상세법",FPV(H2344,K2344),IF(H2344="EI",4,IF(H2344="EO",5.2,IF(H2344="EQ",3.9,IF(H2344="ILF",7.5,IF(H2344="EIF",5.4)))))))</f>
        <v/>
      </c>
      <c r="M2344" s="30" t="str">
        <f t="shared" si="247"/>
        <v/>
      </c>
      <c r="N2344" s="134"/>
      <c r="O2344" s="29"/>
      <c r="P2344" s="37" t="str">
        <f t="shared" si="248"/>
        <v/>
      </c>
      <c r="Q2344" s="38" t="str">
        <f t="shared" si="249"/>
        <v/>
      </c>
      <c r="R2344" s="37" t="str">
        <f t="shared" si="250"/>
        <v/>
      </c>
      <c r="S2344" s="37" t="str">
        <f t="shared" si="251"/>
        <v/>
      </c>
      <c r="T2344" s="38" t="str">
        <f t="shared" si="252"/>
        <v/>
      </c>
      <c r="U2344" s="37" t="str">
        <f t="shared" si="253"/>
        <v/>
      </c>
    </row>
    <row r="2345" spans="2:21" ht="17.25">
      <c r="B2345" s="156"/>
      <c r="C2345" s="156"/>
      <c r="D2345" s="157"/>
      <c r="E2345" s="155"/>
      <c r="F2345" s="151"/>
      <c r="G2345" s="152"/>
      <c r="H2345" s="153"/>
      <c r="I2345" s="154"/>
      <c r="J2345" s="154"/>
      <c r="K2345" s="30" t="str">
        <f>IF(H2345="","",IF($C$30="간이법","",FPR(H2345,I2345,J2345)))</f>
        <v/>
      </c>
      <c r="L2345" s="30" t="str">
        <f>IF(H2345="","",IF($C$30="상세법",FPV(H2345,K2345),IF(H2345="EI",4,IF(H2345="EO",5.2,IF(H2345="EQ",3.9,IF(H2345="ILF",7.5,IF(H2345="EIF",5.4)))))))</f>
        <v/>
      </c>
      <c r="M2345" s="30" t="str">
        <f t="shared" si="247"/>
        <v/>
      </c>
      <c r="N2345" s="134"/>
      <c r="O2345" s="29"/>
      <c r="P2345" s="37" t="str">
        <f t="shared" si="248"/>
        <v/>
      </c>
      <c r="Q2345" s="38" t="str">
        <f t="shared" si="249"/>
        <v/>
      </c>
      <c r="R2345" s="37" t="str">
        <f t="shared" si="250"/>
        <v/>
      </c>
      <c r="S2345" s="37" t="str">
        <f t="shared" si="251"/>
        <v/>
      </c>
      <c r="T2345" s="38" t="str">
        <f t="shared" si="252"/>
        <v/>
      </c>
      <c r="U2345" s="37" t="str">
        <f t="shared" si="253"/>
        <v/>
      </c>
    </row>
    <row r="2346" spans="2:21" ht="17.25">
      <c r="B2346" s="156"/>
      <c r="C2346" s="156"/>
      <c r="D2346" s="157"/>
      <c r="E2346" s="155"/>
      <c r="F2346" s="151"/>
      <c r="G2346" s="152"/>
      <c r="H2346" s="153"/>
      <c r="I2346" s="154"/>
      <c r="J2346" s="154"/>
      <c r="K2346" s="30" t="str">
        <f>IF(H2346="","",IF($C$30="간이법","",FPR(H2346,I2346,J2346)))</f>
        <v/>
      </c>
      <c r="L2346" s="30" t="str">
        <f>IF(H2346="","",IF($C$30="상세법",FPV(H2346,K2346),IF(H2346="EI",4,IF(H2346="EO",5.2,IF(H2346="EQ",3.9,IF(H2346="ILF",7.5,IF(H2346="EIF",5.4)))))))</f>
        <v/>
      </c>
      <c r="M2346" s="30" t="str">
        <f t="shared" si="247"/>
        <v/>
      </c>
      <c r="N2346" s="134"/>
      <c r="O2346" s="29"/>
      <c r="P2346" s="37" t="str">
        <f t="shared" si="248"/>
        <v/>
      </c>
      <c r="Q2346" s="38" t="str">
        <f t="shared" si="249"/>
        <v/>
      </c>
      <c r="R2346" s="37" t="str">
        <f t="shared" si="250"/>
        <v/>
      </c>
      <c r="S2346" s="37" t="str">
        <f t="shared" si="251"/>
        <v/>
      </c>
      <c r="T2346" s="38" t="str">
        <f t="shared" si="252"/>
        <v/>
      </c>
      <c r="U2346" s="37" t="str">
        <f t="shared" si="253"/>
        <v/>
      </c>
    </row>
    <row r="2347" spans="2:21" ht="17.25">
      <c r="B2347" s="156"/>
      <c r="C2347" s="156"/>
      <c r="D2347" s="157"/>
      <c r="E2347" s="155"/>
      <c r="F2347" s="151"/>
      <c r="G2347" s="152"/>
      <c r="H2347" s="153"/>
      <c r="I2347" s="154"/>
      <c r="J2347" s="154"/>
      <c r="K2347" s="30" t="str">
        <f>IF(H2347="","",IF($C$30="간이법","",FPR(H2347,I2347,J2347)))</f>
        <v/>
      </c>
      <c r="L2347" s="30" t="str">
        <f>IF(H2347="","",IF($C$30="상세법",FPV(H2347,K2347),IF(H2347="EI",4,IF(H2347="EO",5.2,IF(H2347="EQ",3.9,IF(H2347="ILF",7.5,IF(H2347="EIF",5.4)))))))</f>
        <v/>
      </c>
      <c r="M2347" s="30" t="str">
        <f t="shared" si="247"/>
        <v/>
      </c>
      <c r="N2347" s="134"/>
      <c r="O2347" s="29"/>
      <c r="P2347" s="37" t="str">
        <f t="shared" si="248"/>
        <v/>
      </c>
      <c r="Q2347" s="38" t="str">
        <f t="shared" si="249"/>
        <v/>
      </c>
      <c r="R2347" s="37" t="str">
        <f t="shared" si="250"/>
        <v/>
      </c>
      <c r="S2347" s="37" t="str">
        <f t="shared" si="251"/>
        <v/>
      </c>
      <c r="T2347" s="38" t="str">
        <f t="shared" si="252"/>
        <v/>
      </c>
      <c r="U2347" s="37" t="str">
        <f t="shared" si="253"/>
        <v/>
      </c>
    </row>
    <row r="2348" spans="2:21" ht="17.25">
      <c r="B2348" s="156"/>
      <c r="C2348" s="156"/>
      <c r="D2348" s="157"/>
      <c r="E2348" s="155"/>
      <c r="F2348" s="151"/>
      <c r="G2348" s="152"/>
      <c r="H2348" s="153"/>
      <c r="I2348" s="154"/>
      <c r="J2348" s="154"/>
      <c r="K2348" s="30" t="str">
        <f>IF(H2348="","",IF($C$30="간이법","",FPR(H2348,I2348,J2348)))</f>
        <v/>
      </c>
      <c r="L2348" s="30" t="str">
        <f>IF(H2348="","",IF($C$30="상세법",FPV(H2348,K2348),IF(H2348="EI",4,IF(H2348="EO",5.2,IF(H2348="EQ",3.9,IF(H2348="ILF",7.5,IF(H2348="EIF",5.4)))))))</f>
        <v/>
      </c>
      <c r="M2348" s="30" t="str">
        <f t="shared" si="247"/>
        <v/>
      </c>
      <c r="N2348" s="134"/>
      <c r="O2348" s="29"/>
      <c r="P2348" s="37" t="str">
        <f t="shared" si="248"/>
        <v/>
      </c>
      <c r="Q2348" s="38" t="str">
        <f t="shared" si="249"/>
        <v/>
      </c>
      <c r="R2348" s="37" t="str">
        <f t="shared" si="250"/>
        <v/>
      </c>
      <c r="S2348" s="37" t="str">
        <f t="shared" si="251"/>
        <v/>
      </c>
      <c r="T2348" s="38" t="str">
        <f t="shared" si="252"/>
        <v/>
      </c>
      <c r="U2348" s="37" t="str">
        <f t="shared" si="253"/>
        <v/>
      </c>
    </row>
    <row r="2349" spans="2:21" ht="17.25">
      <c r="B2349" s="156"/>
      <c r="C2349" s="156"/>
      <c r="D2349" s="157"/>
      <c r="E2349" s="155"/>
      <c r="F2349" s="151"/>
      <c r="G2349" s="152"/>
      <c r="H2349" s="153"/>
      <c r="I2349" s="154"/>
      <c r="J2349" s="154"/>
      <c r="K2349" s="30" t="str">
        <f>IF(H2349="","",IF($C$30="간이법","",FPR(H2349,I2349,J2349)))</f>
        <v/>
      </c>
      <c r="L2349" s="30" t="str">
        <f>IF(H2349="","",IF($C$30="상세법",FPV(H2349,K2349),IF(H2349="EI",4,IF(H2349="EO",5.2,IF(H2349="EQ",3.9,IF(H2349="ILF",7.5,IF(H2349="EIF",5.4)))))))</f>
        <v/>
      </c>
      <c r="M2349" s="30" t="str">
        <f t="shared" si="247"/>
        <v/>
      </c>
      <c r="N2349" s="134"/>
      <c r="O2349" s="29"/>
      <c r="P2349" s="37" t="str">
        <f t="shared" si="248"/>
        <v/>
      </c>
      <c r="Q2349" s="38" t="str">
        <f t="shared" si="249"/>
        <v/>
      </c>
      <c r="R2349" s="37" t="str">
        <f t="shared" si="250"/>
        <v/>
      </c>
      <c r="S2349" s="37" t="str">
        <f t="shared" si="251"/>
        <v/>
      </c>
      <c r="T2349" s="38" t="str">
        <f t="shared" si="252"/>
        <v/>
      </c>
      <c r="U2349" s="37" t="str">
        <f t="shared" si="253"/>
        <v/>
      </c>
    </row>
    <row r="2350" spans="2:21" ht="17.25">
      <c r="B2350" s="156"/>
      <c r="C2350" s="156"/>
      <c r="D2350" s="157"/>
      <c r="E2350" s="155"/>
      <c r="F2350" s="151"/>
      <c r="G2350" s="152"/>
      <c r="H2350" s="153"/>
      <c r="I2350" s="154"/>
      <c r="J2350" s="154"/>
      <c r="K2350" s="30" t="str">
        <f>IF(H2350="","",IF($C$30="간이법","",FPR(H2350,I2350,J2350)))</f>
        <v/>
      </c>
      <c r="L2350" s="30" t="str">
        <f>IF(H2350="","",IF($C$30="상세법",FPV(H2350,K2350),IF(H2350="EI",4,IF(H2350="EO",5.2,IF(H2350="EQ",3.9,IF(H2350="ILF",7.5,IF(H2350="EIF",5.4)))))))</f>
        <v/>
      </c>
      <c r="M2350" s="30" t="str">
        <f t="shared" si="247"/>
        <v/>
      </c>
      <c r="N2350" s="134"/>
      <c r="O2350" s="29"/>
      <c r="P2350" s="37" t="str">
        <f t="shared" si="248"/>
        <v/>
      </c>
      <c r="Q2350" s="38" t="str">
        <f t="shared" si="249"/>
        <v/>
      </c>
      <c r="R2350" s="37" t="str">
        <f t="shared" si="250"/>
        <v/>
      </c>
      <c r="S2350" s="37" t="str">
        <f t="shared" si="251"/>
        <v/>
      </c>
      <c r="T2350" s="38" t="str">
        <f t="shared" si="252"/>
        <v/>
      </c>
      <c r="U2350" s="37" t="str">
        <f t="shared" si="253"/>
        <v/>
      </c>
    </row>
    <row r="2351" spans="2:21" ht="17.25">
      <c r="B2351" s="156"/>
      <c r="C2351" s="156"/>
      <c r="D2351" s="157"/>
      <c r="E2351" s="155"/>
      <c r="F2351" s="151"/>
      <c r="G2351" s="152"/>
      <c r="H2351" s="153"/>
      <c r="I2351" s="154"/>
      <c r="J2351" s="154"/>
      <c r="K2351" s="30" t="str">
        <f>IF(H2351="","",IF($C$30="간이법","",FPR(H2351,I2351,J2351)))</f>
        <v/>
      </c>
      <c r="L2351" s="30" t="str">
        <f>IF(H2351="","",IF($C$30="상세법",FPV(H2351,K2351),IF(H2351="EI",4,IF(H2351="EO",5.2,IF(H2351="EQ",3.9,IF(H2351="ILF",7.5,IF(H2351="EIF",5.4)))))))</f>
        <v/>
      </c>
      <c r="M2351" s="30" t="str">
        <f t="shared" si="247"/>
        <v/>
      </c>
      <c r="N2351" s="134"/>
      <c r="O2351" s="29"/>
      <c r="P2351" s="37" t="str">
        <f t="shared" si="248"/>
        <v/>
      </c>
      <c r="Q2351" s="38" t="str">
        <f t="shared" si="249"/>
        <v/>
      </c>
      <c r="R2351" s="37" t="str">
        <f t="shared" si="250"/>
        <v/>
      </c>
      <c r="S2351" s="37" t="str">
        <f t="shared" si="251"/>
        <v/>
      </c>
      <c r="T2351" s="38" t="str">
        <f t="shared" si="252"/>
        <v/>
      </c>
      <c r="U2351" s="37" t="str">
        <f t="shared" si="253"/>
        <v/>
      </c>
    </row>
    <row r="2352" spans="2:21" ht="17.25">
      <c r="B2352" s="156"/>
      <c r="C2352" s="156"/>
      <c r="D2352" s="157"/>
      <c r="E2352" s="155"/>
      <c r="F2352" s="151"/>
      <c r="G2352" s="152"/>
      <c r="H2352" s="153"/>
      <c r="I2352" s="154"/>
      <c r="J2352" s="154"/>
      <c r="K2352" s="30" t="str">
        <f>IF(H2352="","",IF($C$30="간이법","",FPR(H2352,I2352,J2352)))</f>
        <v/>
      </c>
      <c r="L2352" s="30" t="str">
        <f>IF(H2352="","",IF($C$30="상세법",FPV(H2352,K2352),IF(H2352="EI",4,IF(H2352="EO",5.2,IF(H2352="EQ",3.9,IF(H2352="ILF",7.5,IF(H2352="EIF",5.4)))))))</f>
        <v/>
      </c>
      <c r="M2352" s="30" t="str">
        <f t="shared" si="247"/>
        <v/>
      </c>
      <c r="N2352" s="134"/>
      <c r="O2352" s="29"/>
      <c r="P2352" s="37" t="str">
        <f t="shared" si="248"/>
        <v/>
      </c>
      <c r="Q2352" s="38" t="str">
        <f t="shared" si="249"/>
        <v/>
      </c>
      <c r="R2352" s="37" t="str">
        <f t="shared" si="250"/>
        <v/>
      </c>
      <c r="S2352" s="37" t="str">
        <f t="shared" si="251"/>
        <v/>
      </c>
      <c r="T2352" s="38" t="str">
        <f t="shared" si="252"/>
        <v/>
      </c>
      <c r="U2352" s="37" t="str">
        <f t="shared" si="253"/>
        <v/>
      </c>
    </row>
    <row r="2353" spans="2:21" ht="17.25">
      <c r="B2353" s="156"/>
      <c r="C2353" s="156"/>
      <c r="D2353" s="157"/>
      <c r="E2353" s="155"/>
      <c r="F2353" s="151"/>
      <c r="G2353" s="152"/>
      <c r="H2353" s="153"/>
      <c r="I2353" s="154"/>
      <c r="J2353" s="154"/>
      <c r="K2353" s="30" t="str">
        <f>IF(H2353="","",IF($C$30="간이법","",FPR(H2353,I2353,J2353)))</f>
        <v/>
      </c>
      <c r="L2353" s="30" t="str">
        <f>IF(H2353="","",IF($C$30="상세법",FPV(H2353,K2353),IF(H2353="EI",4,IF(H2353="EO",5.2,IF(H2353="EQ",3.9,IF(H2353="ILF",7.5,IF(H2353="EIF",5.4)))))))</f>
        <v/>
      </c>
      <c r="M2353" s="30" t="str">
        <f t="shared" si="247"/>
        <v/>
      </c>
      <c r="N2353" s="134"/>
      <c r="O2353" s="29"/>
      <c r="P2353" s="37" t="str">
        <f t="shared" si="248"/>
        <v/>
      </c>
      <c r="Q2353" s="38" t="str">
        <f t="shared" si="249"/>
        <v/>
      </c>
      <c r="R2353" s="37" t="str">
        <f t="shared" si="250"/>
        <v/>
      </c>
      <c r="S2353" s="37" t="str">
        <f t="shared" si="251"/>
        <v/>
      </c>
      <c r="T2353" s="38" t="str">
        <f t="shared" si="252"/>
        <v/>
      </c>
      <c r="U2353" s="37" t="str">
        <f t="shared" si="253"/>
        <v/>
      </c>
    </row>
    <row r="2354" spans="2:21" ht="17.25">
      <c r="B2354" s="156"/>
      <c r="C2354" s="156"/>
      <c r="D2354" s="157"/>
      <c r="E2354" s="155"/>
      <c r="F2354" s="151"/>
      <c r="G2354" s="152"/>
      <c r="H2354" s="153"/>
      <c r="I2354" s="154"/>
      <c r="J2354" s="154"/>
      <c r="K2354" s="30" t="str">
        <f>IF(H2354="","",IF($C$30="간이법","",FPR(H2354,I2354,J2354)))</f>
        <v/>
      </c>
      <c r="L2354" s="30" t="str">
        <f>IF(H2354="","",IF($C$30="상세법",FPV(H2354,K2354),IF(H2354="EI",4,IF(H2354="EO",5.2,IF(H2354="EQ",3.9,IF(H2354="ILF",7.5,IF(H2354="EIF",5.4)))))))</f>
        <v/>
      </c>
      <c r="M2354" s="30" t="str">
        <f t="shared" si="247"/>
        <v/>
      </c>
      <c r="N2354" s="134"/>
      <c r="O2354" s="29"/>
      <c r="P2354" s="37" t="str">
        <f t="shared" si="248"/>
        <v/>
      </c>
      <c r="Q2354" s="38" t="str">
        <f t="shared" si="249"/>
        <v/>
      </c>
      <c r="R2354" s="37" t="str">
        <f t="shared" si="250"/>
        <v/>
      </c>
      <c r="S2354" s="37" t="str">
        <f t="shared" si="251"/>
        <v/>
      </c>
      <c r="T2354" s="38" t="str">
        <f t="shared" si="252"/>
        <v/>
      </c>
      <c r="U2354" s="37" t="str">
        <f t="shared" si="253"/>
        <v/>
      </c>
    </row>
    <row r="2355" spans="2:21" ht="17.25">
      <c r="B2355" s="156"/>
      <c r="C2355" s="156"/>
      <c r="D2355" s="157"/>
      <c r="E2355" s="155"/>
      <c r="F2355" s="151"/>
      <c r="G2355" s="152"/>
      <c r="H2355" s="153"/>
      <c r="I2355" s="154"/>
      <c r="J2355" s="154"/>
      <c r="K2355" s="30" t="str">
        <f>IF(H2355="","",IF($C$30="간이법","",FPR(H2355,I2355,J2355)))</f>
        <v/>
      </c>
      <c r="L2355" s="30" t="str">
        <f>IF(H2355="","",IF($C$30="상세법",FPV(H2355,K2355),IF(H2355="EI",4,IF(H2355="EO",5.2,IF(H2355="EQ",3.9,IF(H2355="ILF",7.5,IF(H2355="EIF",5.4)))))))</f>
        <v/>
      </c>
      <c r="M2355" s="30" t="str">
        <f t="shared" si="247"/>
        <v/>
      </c>
      <c r="N2355" s="134"/>
      <c r="O2355" s="29"/>
      <c r="P2355" s="37" t="str">
        <f t="shared" si="248"/>
        <v/>
      </c>
      <c r="Q2355" s="38" t="str">
        <f t="shared" si="249"/>
        <v/>
      </c>
      <c r="R2355" s="37" t="str">
        <f t="shared" si="250"/>
        <v/>
      </c>
      <c r="S2355" s="37" t="str">
        <f t="shared" si="251"/>
        <v/>
      </c>
      <c r="T2355" s="38" t="str">
        <f t="shared" si="252"/>
        <v/>
      </c>
      <c r="U2355" s="37" t="str">
        <f t="shared" si="253"/>
        <v/>
      </c>
    </row>
    <row r="2356" spans="2:21" ht="17.25">
      <c r="B2356" s="156"/>
      <c r="C2356" s="156"/>
      <c r="D2356" s="157"/>
      <c r="E2356" s="155"/>
      <c r="F2356" s="151"/>
      <c r="G2356" s="152"/>
      <c r="H2356" s="153"/>
      <c r="I2356" s="154"/>
      <c r="J2356" s="154"/>
      <c r="K2356" s="30" t="str">
        <f>IF(H2356="","",IF($C$30="간이법","",FPR(H2356,I2356,J2356)))</f>
        <v/>
      </c>
      <c r="L2356" s="30" t="str">
        <f>IF(H2356="","",IF($C$30="상세법",FPV(H2356,K2356),IF(H2356="EI",4,IF(H2356="EO",5.2,IF(H2356="EQ",3.9,IF(H2356="ILF",7.5,IF(H2356="EIF",5.4)))))))</f>
        <v/>
      </c>
      <c r="M2356" s="30" t="str">
        <f t="shared" si="247"/>
        <v/>
      </c>
      <c r="N2356" s="134"/>
      <c r="O2356" s="29"/>
      <c r="P2356" s="37" t="str">
        <f t="shared" si="248"/>
        <v/>
      </c>
      <c r="Q2356" s="38" t="str">
        <f t="shared" si="249"/>
        <v/>
      </c>
      <c r="R2356" s="37" t="str">
        <f t="shared" si="250"/>
        <v/>
      </c>
      <c r="S2356" s="37" t="str">
        <f t="shared" si="251"/>
        <v/>
      </c>
      <c r="T2356" s="38" t="str">
        <f t="shared" si="252"/>
        <v/>
      </c>
      <c r="U2356" s="37" t="str">
        <f t="shared" si="253"/>
        <v/>
      </c>
    </row>
    <row r="2357" spans="2:21" ht="17.25">
      <c r="B2357" s="156"/>
      <c r="C2357" s="156"/>
      <c r="D2357" s="157"/>
      <c r="E2357" s="155"/>
      <c r="F2357" s="151"/>
      <c r="G2357" s="152"/>
      <c r="H2357" s="153"/>
      <c r="I2357" s="154"/>
      <c r="J2357" s="154"/>
      <c r="K2357" s="30" t="str">
        <f>IF(H2357="","",IF($C$30="간이법","",FPR(H2357,I2357,J2357)))</f>
        <v/>
      </c>
      <c r="L2357" s="30" t="str">
        <f>IF(H2357="","",IF($C$30="상세법",FPV(H2357,K2357),IF(H2357="EI",4,IF(H2357="EO",5.2,IF(H2357="EQ",3.9,IF(H2357="ILF",7.5,IF(H2357="EIF",5.4)))))))</f>
        <v/>
      </c>
      <c r="M2357" s="30" t="str">
        <f t="shared" si="247"/>
        <v/>
      </c>
      <c r="N2357" s="134"/>
      <c r="O2357" s="29"/>
      <c r="P2357" s="37" t="str">
        <f t="shared" si="248"/>
        <v/>
      </c>
      <c r="Q2357" s="38" t="str">
        <f t="shared" si="249"/>
        <v/>
      </c>
      <c r="R2357" s="37" t="str">
        <f t="shared" si="250"/>
        <v/>
      </c>
      <c r="S2357" s="37" t="str">
        <f t="shared" si="251"/>
        <v/>
      </c>
      <c r="T2357" s="38" t="str">
        <f t="shared" si="252"/>
        <v/>
      </c>
      <c r="U2357" s="37" t="str">
        <f t="shared" si="253"/>
        <v/>
      </c>
    </row>
    <row r="2358" spans="2:21" ht="17.25">
      <c r="B2358" s="156"/>
      <c r="C2358" s="156"/>
      <c r="D2358" s="157"/>
      <c r="E2358" s="155"/>
      <c r="F2358" s="151"/>
      <c r="G2358" s="152"/>
      <c r="H2358" s="153"/>
      <c r="I2358" s="154"/>
      <c r="J2358" s="154"/>
      <c r="K2358" s="30" t="str">
        <f>IF(H2358="","",IF($C$30="간이법","",FPR(H2358,I2358,J2358)))</f>
        <v/>
      </c>
      <c r="L2358" s="30" t="str">
        <f>IF(H2358="","",IF($C$30="상세법",FPV(H2358,K2358),IF(H2358="EI",4,IF(H2358="EO",5.2,IF(H2358="EQ",3.9,IF(H2358="ILF",7.5,IF(H2358="EIF",5.4)))))))</f>
        <v/>
      </c>
      <c r="M2358" s="30" t="str">
        <f t="shared" si="247"/>
        <v/>
      </c>
      <c r="N2358" s="134"/>
      <c r="O2358" s="29"/>
      <c r="P2358" s="37" t="str">
        <f t="shared" si="248"/>
        <v/>
      </c>
      <c r="Q2358" s="38" t="str">
        <f t="shared" si="249"/>
        <v/>
      </c>
      <c r="R2358" s="37" t="str">
        <f t="shared" si="250"/>
        <v/>
      </c>
      <c r="S2358" s="37" t="str">
        <f t="shared" si="251"/>
        <v/>
      </c>
      <c r="T2358" s="38" t="str">
        <f t="shared" si="252"/>
        <v/>
      </c>
      <c r="U2358" s="37" t="str">
        <f t="shared" si="253"/>
        <v/>
      </c>
    </row>
    <row r="2359" spans="2:21" ht="17.25">
      <c r="B2359" s="156"/>
      <c r="C2359" s="156"/>
      <c r="D2359" s="157"/>
      <c r="E2359" s="155"/>
      <c r="F2359" s="151"/>
      <c r="G2359" s="152"/>
      <c r="H2359" s="153"/>
      <c r="I2359" s="154"/>
      <c r="J2359" s="154"/>
      <c r="K2359" s="30" t="str">
        <f>IF(H2359="","",IF($C$30="간이법","",FPR(H2359,I2359,J2359)))</f>
        <v/>
      </c>
      <c r="L2359" s="30" t="str">
        <f>IF(H2359="","",IF($C$30="상세법",FPV(H2359,K2359),IF(H2359="EI",4,IF(H2359="EO",5.2,IF(H2359="EQ",3.9,IF(H2359="ILF",7.5,IF(H2359="EIF",5.4)))))))</f>
        <v/>
      </c>
      <c r="M2359" s="30" t="str">
        <f t="shared" si="247"/>
        <v/>
      </c>
      <c r="N2359" s="134"/>
      <c r="O2359" s="29"/>
      <c r="P2359" s="37" t="str">
        <f t="shared" si="248"/>
        <v/>
      </c>
      <c r="Q2359" s="38" t="str">
        <f t="shared" si="249"/>
        <v/>
      </c>
      <c r="R2359" s="37" t="str">
        <f t="shared" si="250"/>
        <v/>
      </c>
      <c r="S2359" s="37" t="str">
        <f t="shared" si="251"/>
        <v/>
      </c>
      <c r="T2359" s="38" t="str">
        <f t="shared" si="252"/>
        <v/>
      </c>
      <c r="U2359" s="37" t="str">
        <f t="shared" si="253"/>
        <v/>
      </c>
    </row>
    <row r="2360" spans="2:21" ht="17.25">
      <c r="B2360" s="156"/>
      <c r="C2360" s="156"/>
      <c r="D2360" s="157"/>
      <c r="E2360" s="155"/>
      <c r="F2360" s="151"/>
      <c r="G2360" s="152"/>
      <c r="H2360" s="153"/>
      <c r="I2360" s="154"/>
      <c r="J2360" s="154"/>
      <c r="K2360" s="30" t="str">
        <f>IF(H2360="","",IF($C$30="간이법","",FPR(H2360,I2360,J2360)))</f>
        <v/>
      </c>
      <c r="L2360" s="30" t="str">
        <f>IF(H2360="","",IF($C$30="상세법",FPV(H2360,K2360),IF(H2360="EI",4,IF(H2360="EO",5.2,IF(H2360="EQ",3.9,IF(H2360="ILF",7.5,IF(H2360="EIF",5.4)))))))</f>
        <v/>
      </c>
      <c r="M2360" s="30" t="str">
        <f t="shared" si="247"/>
        <v/>
      </c>
      <c r="N2360" s="134"/>
      <c r="O2360" s="29"/>
      <c r="P2360" s="37" t="str">
        <f t="shared" si="248"/>
        <v/>
      </c>
      <c r="Q2360" s="38" t="str">
        <f t="shared" si="249"/>
        <v/>
      </c>
      <c r="R2360" s="37" t="str">
        <f t="shared" si="250"/>
        <v/>
      </c>
      <c r="S2360" s="37" t="str">
        <f t="shared" si="251"/>
        <v/>
      </c>
      <c r="T2360" s="38" t="str">
        <f t="shared" si="252"/>
        <v/>
      </c>
      <c r="U2360" s="37" t="str">
        <f t="shared" si="253"/>
        <v/>
      </c>
    </row>
    <row r="2361" spans="2:21" ht="17.25">
      <c r="B2361" s="156"/>
      <c r="C2361" s="156"/>
      <c r="D2361" s="157"/>
      <c r="E2361" s="155"/>
      <c r="F2361" s="151"/>
      <c r="G2361" s="152"/>
      <c r="H2361" s="153"/>
      <c r="I2361" s="154"/>
      <c r="J2361" s="154"/>
      <c r="K2361" s="30" t="str">
        <f>IF(H2361="","",IF($C$30="간이법","",FPR(H2361,I2361,J2361)))</f>
        <v/>
      </c>
      <c r="L2361" s="30" t="str">
        <f>IF(H2361="","",IF($C$30="상세법",FPV(H2361,K2361),IF(H2361="EI",4,IF(H2361="EO",5.2,IF(H2361="EQ",3.9,IF(H2361="ILF",7.5,IF(H2361="EIF",5.4)))))))</f>
        <v/>
      </c>
      <c r="M2361" s="30" t="str">
        <f t="shared" si="247"/>
        <v/>
      </c>
      <c r="N2361" s="134"/>
      <c r="O2361" s="29"/>
      <c r="P2361" s="37" t="str">
        <f t="shared" si="248"/>
        <v/>
      </c>
      <c r="Q2361" s="38" t="str">
        <f t="shared" si="249"/>
        <v/>
      </c>
      <c r="R2361" s="37" t="str">
        <f t="shared" si="250"/>
        <v/>
      </c>
      <c r="S2361" s="37" t="str">
        <f t="shared" si="251"/>
        <v/>
      </c>
      <c r="T2361" s="38" t="str">
        <f t="shared" si="252"/>
        <v/>
      </c>
      <c r="U2361" s="37" t="str">
        <f t="shared" si="253"/>
        <v/>
      </c>
    </row>
    <row r="2362" spans="2:21" ht="17.25">
      <c r="B2362" s="156"/>
      <c r="C2362" s="156"/>
      <c r="D2362" s="157"/>
      <c r="E2362" s="155"/>
      <c r="F2362" s="151"/>
      <c r="G2362" s="152"/>
      <c r="H2362" s="153"/>
      <c r="I2362" s="154"/>
      <c r="J2362" s="154"/>
      <c r="K2362" s="30" t="str">
        <f>IF(H2362="","",IF($C$30="간이법","",FPR(H2362,I2362,J2362)))</f>
        <v/>
      </c>
      <c r="L2362" s="30" t="str">
        <f>IF(H2362="","",IF($C$30="상세법",FPV(H2362,K2362),IF(H2362="EI",4,IF(H2362="EO",5.2,IF(H2362="EQ",3.9,IF(H2362="ILF",7.5,IF(H2362="EIF",5.4)))))))</f>
        <v/>
      </c>
      <c r="M2362" s="30" t="str">
        <f t="shared" si="247"/>
        <v/>
      </c>
      <c r="N2362" s="134"/>
      <c r="O2362" s="29"/>
      <c r="P2362" s="37" t="str">
        <f t="shared" si="248"/>
        <v/>
      </c>
      <c r="Q2362" s="38" t="str">
        <f t="shared" si="249"/>
        <v/>
      </c>
      <c r="R2362" s="37" t="str">
        <f t="shared" si="250"/>
        <v/>
      </c>
      <c r="S2362" s="37" t="str">
        <f t="shared" si="251"/>
        <v/>
      </c>
      <c r="T2362" s="38" t="str">
        <f t="shared" si="252"/>
        <v/>
      </c>
      <c r="U2362" s="37" t="str">
        <f t="shared" si="253"/>
        <v/>
      </c>
    </row>
    <row r="2363" spans="2:21" ht="17.25">
      <c r="B2363" s="156"/>
      <c r="C2363" s="156"/>
      <c r="D2363" s="157"/>
      <c r="E2363" s="155"/>
      <c r="F2363" s="151"/>
      <c r="G2363" s="152"/>
      <c r="H2363" s="153"/>
      <c r="I2363" s="154"/>
      <c r="J2363" s="154"/>
      <c r="K2363" s="30" t="str">
        <f>IF(H2363="","",IF($C$30="간이법","",FPR(H2363,I2363,J2363)))</f>
        <v/>
      </c>
      <c r="L2363" s="30" t="str">
        <f>IF(H2363="","",IF($C$30="상세법",FPV(H2363,K2363),IF(H2363="EI",4,IF(H2363="EO",5.2,IF(H2363="EQ",3.9,IF(H2363="ILF",7.5,IF(H2363="EIF",5.4)))))))</f>
        <v/>
      </c>
      <c r="M2363" s="30" t="str">
        <f t="shared" si="247"/>
        <v/>
      </c>
      <c r="N2363" s="134"/>
      <c r="O2363" s="29"/>
      <c r="P2363" s="37" t="str">
        <f t="shared" si="248"/>
        <v/>
      </c>
      <c r="Q2363" s="38" t="str">
        <f t="shared" si="249"/>
        <v/>
      </c>
      <c r="R2363" s="37" t="str">
        <f t="shared" si="250"/>
        <v/>
      </c>
      <c r="S2363" s="37" t="str">
        <f t="shared" si="251"/>
        <v/>
      </c>
      <c r="T2363" s="38" t="str">
        <f t="shared" si="252"/>
        <v/>
      </c>
      <c r="U2363" s="37" t="str">
        <f t="shared" si="253"/>
        <v/>
      </c>
    </row>
    <row r="2364" spans="2:21" ht="17.25">
      <c r="B2364" s="156"/>
      <c r="C2364" s="156"/>
      <c r="D2364" s="157"/>
      <c r="E2364" s="155"/>
      <c r="F2364" s="151"/>
      <c r="G2364" s="152"/>
      <c r="H2364" s="153"/>
      <c r="I2364" s="154"/>
      <c r="J2364" s="154"/>
      <c r="K2364" s="30" t="str">
        <f>IF(H2364="","",IF($C$30="간이법","",FPR(H2364,I2364,J2364)))</f>
        <v/>
      </c>
      <c r="L2364" s="30" t="str">
        <f>IF(H2364="","",IF($C$30="상세법",FPV(H2364,K2364),IF(H2364="EI",4,IF(H2364="EO",5.2,IF(H2364="EQ",3.9,IF(H2364="ILF",7.5,IF(H2364="EIF",5.4)))))))</f>
        <v/>
      </c>
      <c r="M2364" s="30" t="str">
        <f t="shared" ref="M2364:M2427" si="254">IF(OR(G2364="",$E$36="(선택)",$E$40="(선택)",$E$41="(선택)",F2364="신규 개발",F2364="수정 없이 재사용"),"",(IF(F2364="수정 후 재사용",IF($E$50&lt;=0.5,L2364*($E$36+$E$50*100*(1+0.02*($E$40*$E$41)))/100,L2364*($E$36+$E$50*100+($E$40*$E$41))/100))))</f>
        <v/>
      </c>
      <c r="N2364" s="134"/>
      <c r="O2364" s="29"/>
      <c r="P2364" s="37" t="str">
        <f t="shared" ref="P2364:P2427" si="255">IF(F2364="수정 후 재사용",IF(H2364="ILF",G2364,IF(H2364="EIF",G2364,"")),"")</f>
        <v/>
      </c>
      <c r="Q2364" s="38" t="str">
        <f t="shared" ref="Q2364:Q2427" si="256">IF(P2364&lt;&gt;"",IF(H2364="ILF", L2364/$E$46,IF(H2364="EIF", L2364/$E$46,"")),"")</f>
        <v/>
      </c>
      <c r="R2364" s="37" t="str">
        <f t="shared" ref="R2364:R2427" si="257">IF(P2364&lt;&gt;"",P2364*Q2364,"")</f>
        <v/>
      </c>
      <c r="S2364" s="37" t="str">
        <f t="shared" ref="S2364:S2427" si="258">IF(F2364="수정 후 재사용",IF(H2364="EI",G2364,IF(H2364="EO",G2364,IF(H2364="EQ",G2364,""))),"")</f>
        <v/>
      </c>
      <c r="T2364" s="38" t="str">
        <f t="shared" ref="T2364:T2427" si="259">IF(S2364&lt;&gt;"",IF(H2364="EI",L2364/$E$47,IF(H2364="EO",L2364/$E$47,IF(H2364="EQ",L2364/$E$47,""))),"")</f>
        <v/>
      </c>
      <c r="U2364" s="37" t="str">
        <f t="shared" ref="U2364:U2427" si="260">IF(S2364&lt;&gt;"",S2364*T2364,"")</f>
        <v/>
      </c>
    </row>
    <row r="2365" spans="2:21" ht="17.25">
      <c r="B2365" s="156"/>
      <c r="C2365" s="156"/>
      <c r="D2365" s="157"/>
      <c r="E2365" s="155"/>
      <c r="F2365" s="151"/>
      <c r="G2365" s="152"/>
      <c r="H2365" s="153"/>
      <c r="I2365" s="154"/>
      <c r="J2365" s="154"/>
      <c r="K2365" s="30" t="str">
        <f>IF(H2365="","",IF($C$30="간이법","",FPR(H2365,I2365,J2365)))</f>
        <v/>
      </c>
      <c r="L2365" s="30" t="str">
        <f>IF(H2365="","",IF($C$30="상세법",FPV(H2365,K2365),IF(H2365="EI",4,IF(H2365="EO",5.2,IF(H2365="EQ",3.9,IF(H2365="ILF",7.5,IF(H2365="EIF",5.4)))))))</f>
        <v/>
      </c>
      <c r="M2365" s="30" t="str">
        <f t="shared" si="254"/>
        <v/>
      </c>
      <c r="N2365" s="134"/>
      <c r="O2365" s="29"/>
      <c r="P2365" s="37" t="str">
        <f t="shared" si="255"/>
        <v/>
      </c>
      <c r="Q2365" s="38" t="str">
        <f t="shared" si="256"/>
        <v/>
      </c>
      <c r="R2365" s="37" t="str">
        <f t="shared" si="257"/>
        <v/>
      </c>
      <c r="S2365" s="37" t="str">
        <f t="shared" si="258"/>
        <v/>
      </c>
      <c r="T2365" s="38" t="str">
        <f t="shared" si="259"/>
        <v/>
      </c>
      <c r="U2365" s="37" t="str">
        <f t="shared" si="260"/>
        <v/>
      </c>
    </row>
    <row r="2366" spans="2:21" ht="17.25">
      <c r="B2366" s="156"/>
      <c r="C2366" s="156"/>
      <c r="D2366" s="157"/>
      <c r="E2366" s="155"/>
      <c r="F2366" s="151"/>
      <c r="G2366" s="152"/>
      <c r="H2366" s="153"/>
      <c r="I2366" s="154"/>
      <c r="J2366" s="154"/>
      <c r="K2366" s="30" t="str">
        <f>IF(H2366="","",IF($C$30="간이법","",FPR(H2366,I2366,J2366)))</f>
        <v/>
      </c>
      <c r="L2366" s="30" t="str">
        <f>IF(H2366="","",IF($C$30="상세법",FPV(H2366,K2366),IF(H2366="EI",4,IF(H2366="EO",5.2,IF(H2366="EQ",3.9,IF(H2366="ILF",7.5,IF(H2366="EIF",5.4)))))))</f>
        <v/>
      </c>
      <c r="M2366" s="30" t="str">
        <f t="shared" si="254"/>
        <v/>
      </c>
      <c r="N2366" s="134"/>
      <c r="O2366" s="29"/>
      <c r="P2366" s="37" t="str">
        <f t="shared" si="255"/>
        <v/>
      </c>
      <c r="Q2366" s="38" t="str">
        <f t="shared" si="256"/>
        <v/>
      </c>
      <c r="R2366" s="37" t="str">
        <f t="shared" si="257"/>
        <v/>
      </c>
      <c r="S2366" s="37" t="str">
        <f t="shared" si="258"/>
        <v/>
      </c>
      <c r="T2366" s="38" t="str">
        <f t="shared" si="259"/>
        <v/>
      </c>
      <c r="U2366" s="37" t="str">
        <f t="shared" si="260"/>
        <v/>
      </c>
    </row>
    <row r="2367" spans="2:21" ht="17.25">
      <c r="B2367" s="156"/>
      <c r="C2367" s="156"/>
      <c r="D2367" s="157"/>
      <c r="E2367" s="155"/>
      <c r="F2367" s="151"/>
      <c r="G2367" s="152"/>
      <c r="H2367" s="153"/>
      <c r="I2367" s="154"/>
      <c r="J2367" s="154"/>
      <c r="K2367" s="30" t="str">
        <f>IF(H2367="","",IF($C$30="간이법","",FPR(H2367,I2367,J2367)))</f>
        <v/>
      </c>
      <c r="L2367" s="30" t="str">
        <f>IF(H2367="","",IF($C$30="상세법",FPV(H2367,K2367),IF(H2367="EI",4,IF(H2367="EO",5.2,IF(H2367="EQ",3.9,IF(H2367="ILF",7.5,IF(H2367="EIF",5.4)))))))</f>
        <v/>
      </c>
      <c r="M2367" s="30" t="str">
        <f t="shared" si="254"/>
        <v/>
      </c>
      <c r="N2367" s="134"/>
      <c r="O2367" s="29"/>
      <c r="P2367" s="37" t="str">
        <f t="shared" si="255"/>
        <v/>
      </c>
      <c r="Q2367" s="38" t="str">
        <f t="shared" si="256"/>
        <v/>
      </c>
      <c r="R2367" s="37" t="str">
        <f t="shared" si="257"/>
        <v/>
      </c>
      <c r="S2367" s="37" t="str">
        <f t="shared" si="258"/>
        <v/>
      </c>
      <c r="T2367" s="38" t="str">
        <f t="shared" si="259"/>
        <v/>
      </c>
      <c r="U2367" s="37" t="str">
        <f t="shared" si="260"/>
        <v/>
      </c>
    </row>
    <row r="2368" spans="2:21" ht="17.25">
      <c r="B2368" s="156"/>
      <c r="C2368" s="156"/>
      <c r="D2368" s="157"/>
      <c r="E2368" s="155"/>
      <c r="F2368" s="151"/>
      <c r="G2368" s="152"/>
      <c r="H2368" s="153"/>
      <c r="I2368" s="154"/>
      <c r="J2368" s="154"/>
      <c r="K2368" s="30" t="str">
        <f>IF(H2368="","",IF($C$30="간이법","",FPR(H2368,I2368,J2368)))</f>
        <v/>
      </c>
      <c r="L2368" s="30" t="str">
        <f>IF(H2368="","",IF($C$30="상세법",FPV(H2368,K2368),IF(H2368="EI",4,IF(H2368="EO",5.2,IF(H2368="EQ",3.9,IF(H2368="ILF",7.5,IF(H2368="EIF",5.4)))))))</f>
        <v/>
      </c>
      <c r="M2368" s="30" t="str">
        <f t="shared" si="254"/>
        <v/>
      </c>
      <c r="N2368" s="134"/>
      <c r="O2368" s="29"/>
      <c r="P2368" s="37" t="str">
        <f t="shared" si="255"/>
        <v/>
      </c>
      <c r="Q2368" s="38" t="str">
        <f t="shared" si="256"/>
        <v/>
      </c>
      <c r="R2368" s="37" t="str">
        <f t="shared" si="257"/>
        <v/>
      </c>
      <c r="S2368" s="37" t="str">
        <f t="shared" si="258"/>
        <v/>
      </c>
      <c r="T2368" s="38" t="str">
        <f t="shared" si="259"/>
        <v/>
      </c>
      <c r="U2368" s="37" t="str">
        <f t="shared" si="260"/>
        <v/>
      </c>
    </row>
    <row r="2369" spans="2:21" ht="17.25">
      <c r="B2369" s="156"/>
      <c r="C2369" s="156"/>
      <c r="D2369" s="157"/>
      <c r="E2369" s="155"/>
      <c r="F2369" s="151"/>
      <c r="G2369" s="152"/>
      <c r="H2369" s="153"/>
      <c r="I2369" s="154"/>
      <c r="J2369" s="154"/>
      <c r="K2369" s="30" t="str">
        <f>IF(H2369="","",IF($C$30="간이법","",FPR(H2369,I2369,J2369)))</f>
        <v/>
      </c>
      <c r="L2369" s="30" t="str">
        <f>IF(H2369="","",IF($C$30="상세법",FPV(H2369,K2369),IF(H2369="EI",4,IF(H2369="EO",5.2,IF(H2369="EQ",3.9,IF(H2369="ILF",7.5,IF(H2369="EIF",5.4)))))))</f>
        <v/>
      </c>
      <c r="M2369" s="30" t="str">
        <f t="shared" si="254"/>
        <v/>
      </c>
      <c r="N2369" s="134"/>
      <c r="O2369" s="29"/>
      <c r="P2369" s="37" t="str">
        <f t="shared" si="255"/>
        <v/>
      </c>
      <c r="Q2369" s="38" t="str">
        <f t="shared" si="256"/>
        <v/>
      </c>
      <c r="R2369" s="37" t="str">
        <f t="shared" si="257"/>
        <v/>
      </c>
      <c r="S2369" s="37" t="str">
        <f t="shared" si="258"/>
        <v/>
      </c>
      <c r="T2369" s="38" t="str">
        <f t="shared" si="259"/>
        <v/>
      </c>
      <c r="U2369" s="37" t="str">
        <f t="shared" si="260"/>
        <v/>
      </c>
    </row>
    <row r="2370" spans="2:21" ht="17.25">
      <c r="B2370" s="156"/>
      <c r="C2370" s="156"/>
      <c r="D2370" s="157"/>
      <c r="E2370" s="155"/>
      <c r="F2370" s="151"/>
      <c r="G2370" s="152"/>
      <c r="H2370" s="153"/>
      <c r="I2370" s="154"/>
      <c r="J2370" s="154"/>
      <c r="K2370" s="30" t="str">
        <f>IF(H2370="","",IF($C$30="간이법","",FPR(H2370,I2370,J2370)))</f>
        <v/>
      </c>
      <c r="L2370" s="30" t="str">
        <f>IF(H2370="","",IF($C$30="상세법",FPV(H2370,K2370),IF(H2370="EI",4,IF(H2370="EO",5.2,IF(H2370="EQ",3.9,IF(H2370="ILF",7.5,IF(H2370="EIF",5.4)))))))</f>
        <v/>
      </c>
      <c r="M2370" s="30" t="str">
        <f t="shared" si="254"/>
        <v/>
      </c>
      <c r="N2370" s="134"/>
      <c r="O2370" s="29"/>
      <c r="P2370" s="37" t="str">
        <f t="shared" si="255"/>
        <v/>
      </c>
      <c r="Q2370" s="38" t="str">
        <f t="shared" si="256"/>
        <v/>
      </c>
      <c r="R2370" s="37" t="str">
        <f t="shared" si="257"/>
        <v/>
      </c>
      <c r="S2370" s="37" t="str">
        <f t="shared" si="258"/>
        <v/>
      </c>
      <c r="T2370" s="38" t="str">
        <f t="shared" si="259"/>
        <v/>
      </c>
      <c r="U2370" s="37" t="str">
        <f t="shared" si="260"/>
        <v/>
      </c>
    </row>
    <row r="2371" spans="2:21" ht="17.25">
      <c r="B2371" s="156"/>
      <c r="C2371" s="156"/>
      <c r="D2371" s="157"/>
      <c r="E2371" s="155"/>
      <c r="F2371" s="151"/>
      <c r="G2371" s="152"/>
      <c r="H2371" s="153"/>
      <c r="I2371" s="154"/>
      <c r="J2371" s="154"/>
      <c r="K2371" s="30" t="str">
        <f>IF(H2371="","",IF($C$30="간이법","",FPR(H2371,I2371,J2371)))</f>
        <v/>
      </c>
      <c r="L2371" s="30" t="str">
        <f>IF(H2371="","",IF($C$30="상세법",FPV(H2371,K2371),IF(H2371="EI",4,IF(H2371="EO",5.2,IF(H2371="EQ",3.9,IF(H2371="ILF",7.5,IF(H2371="EIF",5.4)))))))</f>
        <v/>
      </c>
      <c r="M2371" s="30" t="str">
        <f t="shared" si="254"/>
        <v/>
      </c>
      <c r="N2371" s="134"/>
      <c r="O2371" s="29"/>
      <c r="P2371" s="37" t="str">
        <f t="shared" si="255"/>
        <v/>
      </c>
      <c r="Q2371" s="38" t="str">
        <f t="shared" si="256"/>
        <v/>
      </c>
      <c r="R2371" s="37" t="str">
        <f t="shared" si="257"/>
        <v/>
      </c>
      <c r="S2371" s="37" t="str">
        <f t="shared" si="258"/>
        <v/>
      </c>
      <c r="T2371" s="38" t="str">
        <f t="shared" si="259"/>
        <v/>
      </c>
      <c r="U2371" s="37" t="str">
        <f t="shared" si="260"/>
        <v/>
      </c>
    </row>
    <row r="2372" spans="2:21" ht="17.25">
      <c r="B2372" s="156"/>
      <c r="C2372" s="156"/>
      <c r="D2372" s="157"/>
      <c r="E2372" s="155"/>
      <c r="F2372" s="151"/>
      <c r="G2372" s="152"/>
      <c r="H2372" s="153"/>
      <c r="I2372" s="154"/>
      <c r="J2372" s="154"/>
      <c r="K2372" s="30" t="str">
        <f>IF(H2372="","",IF($C$30="간이법","",FPR(H2372,I2372,J2372)))</f>
        <v/>
      </c>
      <c r="L2372" s="30" t="str">
        <f>IF(H2372="","",IF($C$30="상세법",FPV(H2372,K2372),IF(H2372="EI",4,IF(H2372="EO",5.2,IF(H2372="EQ",3.9,IF(H2372="ILF",7.5,IF(H2372="EIF",5.4)))))))</f>
        <v/>
      </c>
      <c r="M2372" s="30" t="str">
        <f t="shared" si="254"/>
        <v/>
      </c>
      <c r="N2372" s="134"/>
      <c r="O2372" s="29"/>
      <c r="P2372" s="37" t="str">
        <f t="shared" si="255"/>
        <v/>
      </c>
      <c r="Q2372" s="38" t="str">
        <f t="shared" si="256"/>
        <v/>
      </c>
      <c r="R2372" s="37" t="str">
        <f t="shared" si="257"/>
        <v/>
      </c>
      <c r="S2372" s="37" t="str">
        <f t="shared" si="258"/>
        <v/>
      </c>
      <c r="T2372" s="38" t="str">
        <f t="shared" si="259"/>
        <v/>
      </c>
      <c r="U2372" s="37" t="str">
        <f t="shared" si="260"/>
        <v/>
      </c>
    </row>
    <row r="2373" spans="2:21" ht="17.25">
      <c r="B2373" s="156"/>
      <c r="C2373" s="156"/>
      <c r="D2373" s="157"/>
      <c r="E2373" s="155"/>
      <c r="F2373" s="151"/>
      <c r="G2373" s="152"/>
      <c r="H2373" s="153"/>
      <c r="I2373" s="154"/>
      <c r="J2373" s="154"/>
      <c r="K2373" s="30" t="str">
        <f>IF(H2373="","",IF($C$30="간이법","",FPR(H2373,I2373,J2373)))</f>
        <v/>
      </c>
      <c r="L2373" s="30" t="str">
        <f>IF(H2373="","",IF($C$30="상세법",FPV(H2373,K2373),IF(H2373="EI",4,IF(H2373="EO",5.2,IF(H2373="EQ",3.9,IF(H2373="ILF",7.5,IF(H2373="EIF",5.4)))))))</f>
        <v/>
      </c>
      <c r="M2373" s="30" t="str">
        <f t="shared" si="254"/>
        <v/>
      </c>
      <c r="N2373" s="134"/>
      <c r="O2373" s="29"/>
      <c r="P2373" s="37" t="str">
        <f t="shared" si="255"/>
        <v/>
      </c>
      <c r="Q2373" s="38" t="str">
        <f t="shared" si="256"/>
        <v/>
      </c>
      <c r="R2373" s="37" t="str">
        <f t="shared" si="257"/>
        <v/>
      </c>
      <c r="S2373" s="37" t="str">
        <f t="shared" si="258"/>
        <v/>
      </c>
      <c r="T2373" s="38" t="str">
        <f t="shared" si="259"/>
        <v/>
      </c>
      <c r="U2373" s="37" t="str">
        <f t="shared" si="260"/>
        <v/>
      </c>
    </row>
    <row r="2374" spans="2:21" ht="17.25">
      <c r="B2374" s="156"/>
      <c r="C2374" s="156"/>
      <c r="D2374" s="157"/>
      <c r="E2374" s="155"/>
      <c r="F2374" s="151"/>
      <c r="G2374" s="152"/>
      <c r="H2374" s="153"/>
      <c r="I2374" s="154"/>
      <c r="J2374" s="154"/>
      <c r="K2374" s="30" t="str">
        <f>IF(H2374="","",IF($C$30="간이법","",FPR(H2374,I2374,J2374)))</f>
        <v/>
      </c>
      <c r="L2374" s="30" t="str">
        <f>IF(H2374="","",IF($C$30="상세법",FPV(H2374,K2374),IF(H2374="EI",4,IF(H2374="EO",5.2,IF(H2374="EQ",3.9,IF(H2374="ILF",7.5,IF(H2374="EIF",5.4)))))))</f>
        <v/>
      </c>
      <c r="M2374" s="30" t="str">
        <f t="shared" si="254"/>
        <v/>
      </c>
      <c r="N2374" s="134"/>
      <c r="O2374" s="29"/>
      <c r="P2374" s="37" t="str">
        <f t="shared" si="255"/>
        <v/>
      </c>
      <c r="Q2374" s="38" t="str">
        <f t="shared" si="256"/>
        <v/>
      </c>
      <c r="R2374" s="37" t="str">
        <f t="shared" si="257"/>
        <v/>
      </c>
      <c r="S2374" s="37" t="str">
        <f t="shared" si="258"/>
        <v/>
      </c>
      <c r="T2374" s="38" t="str">
        <f t="shared" si="259"/>
        <v/>
      </c>
      <c r="U2374" s="37" t="str">
        <f t="shared" si="260"/>
        <v/>
      </c>
    </row>
    <row r="2375" spans="2:21" ht="17.25">
      <c r="B2375" s="156"/>
      <c r="C2375" s="156"/>
      <c r="D2375" s="157"/>
      <c r="E2375" s="155"/>
      <c r="F2375" s="151"/>
      <c r="G2375" s="152"/>
      <c r="H2375" s="153"/>
      <c r="I2375" s="154"/>
      <c r="J2375" s="154"/>
      <c r="K2375" s="30" t="str">
        <f>IF(H2375="","",IF($C$30="간이법","",FPR(H2375,I2375,J2375)))</f>
        <v/>
      </c>
      <c r="L2375" s="30" t="str">
        <f>IF(H2375="","",IF($C$30="상세법",FPV(H2375,K2375),IF(H2375="EI",4,IF(H2375="EO",5.2,IF(H2375="EQ",3.9,IF(H2375="ILF",7.5,IF(H2375="EIF",5.4)))))))</f>
        <v/>
      </c>
      <c r="M2375" s="30" t="str">
        <f t="shared" si="254"/>
        <v/>
      </c>
      <c r="N2375" s="134"/>
      <c r="O2375" s="29"/>
      <c r="P2375" s="37" t="str">
        <f t="shared" si="255"/>
        <v/>
      </c>
      <c r="Q2375" s="38" t="str">
        <f t="shared" si="256"/>
        <v/>
      </c>
      <c r="R2375" s="37" t="str">
        <f t="shared" si="257"/>
        <v/>
      </c>
      <c r="S2375" s="37" t="str">
        <f t="shared" si="258"/>
        <v/>
      </c>
      <c r="T2375" s="38" t="str">
        <f t="shared" si="259"/>
        <v/>
      </c>
      <c r="U2375" s="37" t="str">
        <f t="shared" si="260"/>
        <v/>
      </c>
    </row>
    <row r="2376" spans="2:21" ht="17.25">
      <c r="B2376" s="156"/>
      <c r="C2376" s="156"/>
      <c r="D2376" s="157"/>
      <c r="E2376" s="155"/>
      <c r="F2376" s="151"/>
      <c r="G2376" s="152"/>
      <c r="H2376" s="153"/>
      <c r="I2376" s="154"/>
      <c r="J2376" s="154"/>
      <c r="K2376" s="30" t="str">
        <f>IF(H2376="","",IF($C$30="간이법","",FPR(H2376,I2376,J2376)))</f>
        <v/>
      </c>
      <c r="L2376" s="30" t="str">
        <f>IF(H2376="","",IF($C$30="상세법",FPV(H2376,K2376),IF(H2376="EI",4,IF(H2376="EO",5.2,IF(H2376="EQ",3.9,IF(H2376="ILF",7.5,IF(H2376="EIF",5.4)))))))</f>
        <v/>
      </c>
      <c r="M2376" s="30" t="str">
        <f t="shared" si="254"/>
        <v/>
      </c>
      <c r="N2376" s="134"/>
      <c r="O2376" s="29"/>
      <c r="P2376" s="37" t="str">
        <f t="shared" si="255"/>
        <v/>
      </c>
      <c r="Q2376" s="38" t="str">
        <f t="shared" si="256"/>
        <v/>
      </c>
      <c r="R2376" s="37" t="str">
        <f t="shared" si="257"/>
        <v/>
      </c>
      <c r="S2376" s="37" t="str">
        <f t="shared" si="258"/>
        <v/>
      </c>
      <c r="T2376" s="38" t="str">
        <f t="shared" si="259"/>
        <v/>
      </c>
      <c r="U2376" s="37" t="str">
        <f t="shared" si="260"/>
        <v/>
      </c>
    </row>
    <row r="2377" spans="2:21" ht="17.25">
      <c r="B2377" s="156"/>
      <c r="C2377" s="156"/>
      <c r="D2377" s="157"/>
      <c r="E2377" s="155"/>
      <c r="F2377" s="151"/>
      <c r="G2377" s="152"/>
      <c r="H2377" s="153"/>
      <c r="I2377" s="154"/>
      <c r="J2377" s="154"/>
      <c r="K2377" s="30" t="str">
        <f>IF(H2377="","",IF($C$30="간이법","",FPR(H2377,I2377,J2377)))</f>
        <v/>
      </c>
      <c r="L2377" s="30" t="str">
        <f>IF(H2377="","",IF($C$30="상세법",FPV(H2377,K2377),IF(H2377="EI",4,IF(H2377="EO",5.2,IF(H2377="EQ",3.9,IF(H2377="ILF",7.5,IF(H2377="EIF",5.4)))))))</f>
        <v/>
      </c>
      <c r="M2377" s="30" t="str">
        <f t="shared" si="254"/>
        <v/>
      </c>
      <c r="N2377" s="134"/>
      <c r="O2377" s="29"/>
      <c r="P2377" s="37" t="str">
        <f t="shared" si="255"/>
        <v/>
      </c>
      <c r="Q2377" s="38" t="str">
        <f t="shared" si="256"/>
        <v/>
      </c>
      <c r="R2377" s="37" t="str">
        <f t="shared" si="257"/>
        <v/>
      </c>
      <c r="S2377" s="37" t="str">
        <f t="shared" si="258"/>
        <v/>
      </c>
      <c r="T2377" s="38" t="str">
        <f t="shared" si="259"/>
        <v/>
      </c>
      <c r="U2377" s="37" t="str">
        <f t="shared" si="260"/>
        <v/>
      </c>
    </row>
    <row r="2378" spans="2:21" ht="17.25">
      <c r="B2378" s="156"/>
      <c r="C2378" s="156"/>
      <c r="D2378" s="157"/>
      <c r="E2378" s="155"/>
      <c r="F2378" s="151"/>
      <c r="G2378" s="152"/>
      <c r="H2378" s="153"/>
      <c r="I2378" s="154"/>
      <c r="J2378" s="154"/>
      <c r="K2378" s="30" t="str">
        <f>IF(H2378="","",IF($C$30="간이법","",FPR(H2378,I2378,J2378)))</f>
        <v/>
      </c>
      <c r="L2378" s="30" t="str">
        <f>IF(H2378="","",IF($C$30="상세법",FPV(H2378,K2378),IF(H2378="EI",4,IF(H2378="EO",5.2,IF(H2378="EQ",3.9,IF(H2378="ILF",7.5,IF(H2378="EIF",5.4)))))))</f>
        <v/>
      </c>
      <c r="M2378" s="30" t="str">
        <f t="shared" si="254"/>
        <v/>
      </c>
      <c r="N2378" s="134"/>
      <c r="O2378" s="29"/>
      <c r="P2378" s="37" t="str">
        <f t="shared" si="255"/>
        <v/>
      </c>
      <c r="Q2378" s="38" t="str">
        <f t="shared" si="256"/>
        <v/>
      </c>
      <c r="R2378" s="37" t="str">
        <f t="shared" si="257"/>
        <v/>
      </c>
      <c r="S2378" s="37" t="str">
        <f t="shared" si="258"/>
        <v/>
      </c>
      <c r="T2378" s="38" t="str">
        <f t="shared" si="259"/>
        <v/>
      </c>
      <c r="U2378" s="37" t="str">
        <f t="shared" si="260"/>
        <v/>
      </c>
    </row>
    <row r="2379" spans="2:21" ht="17.25">
      <c r="B2379" s="156"/>
      <c r="C2379" s="156"/>
      <c r="D2379" s="157"/>
      <c r="E2379" s="155"/>
      <c r="F2379" s="151"/>
      <c r="G2379" s="152"/>
      <c r="H2379" s="153"/>
      <c r="I2379" s="154"/>
      <c r="J2379" s="154"/>
      <c r="K2379" s="30" t="str">
        <f>IF(H2379="","",IF($C$30="간이법","",FPR(H2379,I2379,J2379)))</f>
        <v/>
      </c>
      <c r="L2379" s="30" t="str">
        <f>IF(H2379="","",IF($C$30="상세법",FPV(H2379,K2379),IF(H2379="EI",4,IF(H2379="EO",5.2,IF(H2379="EQ",3.9,IF(H2379="ILF",7.5,IF(H2379="EIF",5.4)))))))</f>
        <v/>
      </c>
      <c r="M2379" s="30" t="str">
        <f t="shared" si="254"/>
        <v/>
      </c>
      <c r="N2379" s="134"/>
      <c r="O2379" s="29"/>
      <c r="P2379" s="37" t="str">
        <f t="shared" si="255"/>
        <v/>
      </c>
      <c r="Q2379" s="38" t="str">
        <f t="shared" si="256"/>
        <v/>
      </c>
      <c r="R2379" s="37" t="str">
        <f t="shared" si="257"/>
        <v/>
      </c>
      <c r="S2379" s="37" t="str">
        <f t="shared" si="258"/>
        <v/>
      </c>
      <c r="T2379" s="38" t="str">
        <f t="shared" si="259"/>
        <v/>
      </c>
      <c r="U2379" s="37" t="str">
        <f t="shared" si="260"/>
        <v/>
      </c>
    </row>
    <row r="2380" spans="2:21" ht="17.25">
      <c r="B2380" s="156"/>
      <c r="C2380" s="156"/>
      <c r="D2380" s="157"/>
      <c r="E2380" s="155"/>
      <c r="F2380" s="151"/>
      <c r="G2380" s="152"/>
      <c r="H2380" s="153"/>
      <c r="I2380" s="154"/>
      <c r="J2380" s="154"/>
      <c r="K2380" s="30" t="str">
        <f>IF(H2380="","",IF($C$30="간이법","",FPR(H2380,I2380,J2380)))</f>
        <v/>
      </c>
      <c r="L2380" s="30" t="str">
        <f>IF(H2380="","",IF($C$30="상세법",FPV(H2380,K2380),IF(H2380="EI",4,IF(H2380="EO",5.2,IF(H2380="EQ",3.9,IF(H2380="ILF",7.5,IF(H2380="EIF",5.4)))))))</f>
        <v/>
      </c>
      <c r="M2380" s="30" t="str">
        <f t="shared" si="254"/>
        <v/>
      </c>
      <c r="N2380" s="134"/>
      <c r="O2380" s="29"/>
      <c r="P2380" s="37" t="str">
        <f t="shared" si="255"/>
        <v/>
      </c>
      <c r="Q2380" s="38" t="str">
        <f t="shared" si="256"/>
        <v/>
      </c>
      <c r="R2380" s="37" t="str">
        <f t="shared" si="257"/>
        <v/>
      </c>
      <c r="S2380" s="37" t="str">
        <f t="shared" si="258"/>
        <v/>
      </c>
      <c r="T2380" s="38" t="str">
        <f t="shared" si="259"/>
        <v/>
      </c>
      <c r="U2380" s="37" t="str">
        <f t="shared" si="260"/>
        <v/>
      </c>
    </row>
    <row r="2381" spans="2:21" ht="17.25">
      <c r="B2381" s="156"/>
      <c r="C2381" s="156"/>
      <c r="D2381" s="157"/>
      <c r="E2381" s="155"/>
      <c r="F2381" s="151"/>
      <c r="G2381" s="152"/>
      <c r="H2381" s="153"/>
      <c r="I2381" s="154"/>
      <c r="J2381" s="154"/>
      <c r="K2381" s="30" t="str">
        <f>IF(H2381="","",IF($C$30="간이법","",FPR(H2381,I2381,J2381)))</f>
        <v/>
      </c>
      <c r="L2381" s="30" t="str">
        <f>IF(H2381="","",IF($C$30="상세법",FPV(H2381,K2381),IF(H2381="EI",4,IF(H2381="EO",5.2,IF(H2381="EQ",3.9,IF(H2381="ILF",7.5,IF(H2381="EIF",5.4)))))))</f>
        <v/>
      </c>
      <c r="M2381" s="30" t="str">
        <f t="shared" si="254"/>
        <v/>
      </c>
      <c r="N2381" s="134"/>
      <c r="O2381" s="29"/>
      <c r="P2381" s="37" t="str">
        <f t="shared" si="255"/>
        <v/>
      </c>
      <c r="Q2381" s="38" t="str">
        <f t="shared" si="256"/>
        <v/>
      </c>
      <c r="R2381" s="37" t="str">
        <f t="shared" si="257"/>
        <v/>
      </c>
      <c r="S2381" s="37" t="str">
        <f t="shared" si="258"/>
        <v/>
      </c>
      <c r="T2381" s="38" t="str">
        <f t="shared" si="259"/>
        <v/>
      </c>
      <c r="U2381" s="37" t="str">
        <f t="shared" si="260"/>
        <v/>
      </c>
    </row>
    <row r="2382" spans="2:21" ht="17.25">
      <c r="B2382" s="156"/>
      <c r="C2382" s="156"/>
      <c r="D2382" s="157"/>
      <c r="E2382" s="155"/>
      <c r="F2382" s="151"/>
      <c r="G2382" s="152"/>
      <c r="H2382" s="153"/>
      <c r="I2382" s="154"/>
      <c r="J2382" s="154"/>
      <c r="K2382" s="30" t="str">
        <f>IF(H2382="","",IF($C$30="간이법","",FPR(H2382,I2382,J2382)))</f>
        <v/>
      </c>
      <c r="L2382" s="30" t="str">
        <f>IF(H2382="","",IF($C$30="상세법",FPV(H2382,K2382),IF(H2382="EI",4,IF(H2382="EO",5.2,IF(H2382="EQ",3.9,IF(H2382="ILF",7.5,IF(H2382="EIF",5.4)))))))</f>
        <v/>
      </c>
      <c r="M2382" s="30" t="str">
        <f t="shared" si="254"/>
        <v/>
      </c>
      <c r="N2382" s="134"/>
      <c r="O2382" s="29"/>
      <c r="P2382" s="37" t="str">
        <f t="shared" si="255"/>
        <v/>
      </c>
      <c r="Q2382" s="38" t="str">
        <f t="shared" si="256"/>
        <v/>
      </c>
      <c r="R2382" s="37" t="str">
        <f t="shared" si="257"/>
        <v/>
      </c>
      <c r="S2382" s="37" t="str">
        <f t="shared" si="258"/>
        <v/>
      </c>
      <c r="T2382" s="38" t="str">
        <f t="shared" si="259"/>
        <v/>
      </c>
      <c r="U2382" s="37" t="str">
        <f t="shared" si="260"/>
        <v/>
      </c>
    </row>
    <row r="2383" spans="2:21" ht="17.25">
      <c r="B2383" s="156"/>
      <c r="C2383" s="156"/>
      <c r="D2383" s="157"/>
      <c r="E2383" s="155"/>
      <c r="F2383" s="151"/>
      <c r="G2383" s="152"/>
      <c r="H2383" s="153"/>
      <c r="I2383" s="154"/>
      <c r="J2383" s="154"/>
      <c r="K2383" s="30" t="str">
        <f>IF(H2383="","",IF($C$30="간이법","",FPR(H2383,I2383,J2383)))</f>
        <v/>
      </c>
      <c r="L2383" s="30" t="str">
        <f>IF(H2383="","",IF($C$30="상세법",FPV(H2383,K2383),IF(H2383="EI",4,IF(H2383="EO",5.2,IF(H2383="EQ",3.9,IF(H2383="ILF",7.5,IF(H2383="EIF",5.4)))))))</f>
        <v/>
      </c>
      <c r="M2383" s="30" t="str">
        <f t="shared" si="254"/>
        <v/>
      </c>
      <c r="N2383" s="134"/>
      <c r="O2383" s="29"/>
      <c r="P2383" s="37" t="str">
        <f t="shared" si="255"/>
        <v/>
      </c>
      <c r="Q2383" s="38" t="str">
        <f t="shared" si="256"/>
        <v/>
      </c>
      <c r="R2383" s="37" t="str">
        <f t="shared" si="257"/>
        <v/>
      </c>
      <c r="S2383" s="37" t="str">
        <f t="shared" si="258"/>
        <v/>
      </c>
      <c r="T2383" s="38" t="str">
        <f t="shared" si="259"/>
        <v/>
      </c>
      <c r="U2383" s="37" t="str">
        <f t="shared" si="260"/>
        <v/>
      </c>
    </row>
    <row r="2384" spans="2:21" ht="17.25">
      <c r="B2384" s="156"/>
      <c r="C2384" s="156"/>
      <c r="D2384" s="157"/>
      <c r="E2384" s="155"/>
      <c r="F2384" s="151"/>
      <c r="G2384" s="152"/>
      <c r="H2384" s="153"/>
      <c r="I2384" s="154"/>
      <c r="J2384" s="154"/>
      <c r="K2384" s="30" t="str">
        <f>IF(H2384="","",IF($C$30="간이법","",FPR(H2384,I2384,J2384)))</f>
        <v/>
      </c>
      <c r="L2384" s="30" t="str">
        <f>IF(H2384="","",IF($C$30="상세법",FPV(H2384,K2384),IF(H2384="EI",4,IF(H2384="EO",5.2,IF(H2384="EQ",3.9,IF(H2384="ILF",7.5,IF(H2384="EIF",5.4)))))))</f>
        <v/>
      </c>
      <c r="M2384" s="30" t="str">
        <f t="shared" si="254"/>
        <v/>
      </c>
      <c r="N2384" s="134"/>
      <c r="O2384" s="29"/>
      <c r="P2384" s="37" t="str">
        <f t="shared" si="255"/>
        <v/>
      </c>
      <c r="Q2384" s="38" t="str">
        <f t="shared" si="256"/>
        <v/>
      </c>
      <c r="R2384" s="37" t="str">
        <f t="shared" si="257"/>
        <v/>
      </c>
      <c r="S2384" s="37" t="str">
        <f t="shared" si="258"/>
        <v/>
      </c>
      <c r="T2384" s="38" t="str">
        <f t="shared" si="259"/>
        <v/>
      </c>
      <c r="U2384" s="37" t="str">
        <f t="shared" si="260"/>
        <v/>
      </c>
    </row>
    <row r="2385" spans="2:21" ht="17.25">
      <c r="B2385" s="156"/>
      <c r="C2385" s="156"/>
      <c r="D2385" s="157"/>
      <c r="E2385" s="155"/>
      <c r="F2385" s="151"/>
      <c r="G2385" s="152"/>
      <c r="H2385" s="153"/>
      <c r="I2385" s="154"/>
      <c r="J2385" s="154"/>
      <c r="K2385" s="30" t="str">
        <f>IF(H2385="","",IF($C$30="간이법","",FPR(H2385,I2385,J2385)))</f>
        <v/>
      </c>
      <c r="L2385" s="30" t="str">
        <f>IF(H2385="","",IF($C$30="상세법",FPV(H2385,K2385),IF(H2385="EI",4,IF(H2385="EO",5.2,IF(H2385="EQ",3.9,IF(H2385="ILF",7.5,IF(H2385="EIF",5.4)))))))</f>
        <v/>
      </c>
      <c r="M2385" s="30" t="str">
        <f t="shared" si="254"/>
        <v/>
      </c>
      <c r="N2385" s="134"/>
      <c r="O2385" s="29"/>
      <c r="P2385" s="37" t="str">
        <f t="shared" si="255"/>
        <v/>
      </c>
      <c r="Q2385" s="38" t="str">
        <f t="shared" si="256"/>
        <v/>
      </c>
      <c r="R2385" s="37" t="str">
        <f t="shared" si="257"/>
        <v/>
      </c>
      <c r="S2385" s="37" t="str">
        <f t="shared" si="258"/>
        <v/>
      </c>
      <c r="T2385" s="38" t="str">
        <f t="shared" si="259"/>
        <v/>
      </c>
      <c r="U2385" s="37" t="str">
        <f t="shared" si="260"/>
        <v/>
      </c>
    </row>
    <row r="2386" spans="2:21" ht="17.25">
      <c r="B2386" s="156"/>
      <c r="C2386" s="156"/>
      <c r="D2386" s="157"/>
      <c r="E2386" s="155"/>
      <c r="F2386" s="151"/>
      <c r="G2386" s="152"/>
      <c r="H2386" s="153"/>
      <c r="I2386" s="154"/>
      <c r="J2386" s="154"/>
      <c r="K2386" s="30" t="str">
        <f>IF(H2386="","",IF($C$30="간이법","",FPR(H2386,I2386,J2386)))</f>
        <v/>
      </c>
      <c r="L2386" s="30" t="str">
        <f>IF(H2386="","",IF($C$30="상세법",FPV(H2386,K2386),IF(H2386="EI",4,IF(H2386="EO",5.2,IF(H2386="EQ",3.9,IF(H2386="ILF",7.5,IF(H2386="EIF",5.4)))))))</f>
        <v/>
      </c>
      <c r="M2386" s="30" t="str">
        <f t="shared" si="254"/>
        <v/>
      </c>
      <c r="N2386" s="134"/>
      <c r="O2386" s="29"/>
      <c r="P2386" s="37" t="str">
        <f t="shared" si="255"/>
        <v/>
      </c>
      <c r="Q2386" s="38" t="str">
        <f t="shared" si="256"/>
        <v/>
      </c>
      <c r="R2386" s="37" t="str">
        <f t="shared" si="257"/>
        <v/>
      </c>
      <c r="S2386" s="37" t="str">
        <f t="shared" si="258"/>
        <v/>
      </c>
      <c r="T2386" s="38" t="str">
        <f t="shared" si="259"/>
        <v/>
      </c>
      <c r="U2386" s="37" t="str">
        <f t="shared" si="260"/>
        <v/>
      </c>
    </row>
    <row r="2387" spans="2:21" ht="17.25">
      <c r="B2387" s="156"/>
      <c r="C2387" s="156"/>
      <c r="D2387" s="157"/>
      <c r="E2387" s="155"/>
      <c r="F2387" s="151"/>
      <c r="G2387" s="152"/>
      <c r="H2387" s="153"/>
      <c r="I2387" s="154"/>
      <c r="J2387" s="154"/>
      <c r="K2387" s="30" t="str">
        <f>IF(H2387="","",IF($C$30="간이법","",FPR(H2387,I2387,J2387)))</f>
        <v/>
      </c>
      <c r="L2387" s="30" t="str">
        <f>IF(H2387="","",IF($C$30="상세법",FPV(H2387,K2387),IF(H2387="EI",4,IF(H2387="EO",5.2,IF(H2387="EQ",3.9,IF(H2387="ILF",7.5,IF(H2387="EIF",5.4)))))))</f>
        <v/>
      </c>
      <c r="M2387" s="30" t="str">
        <f t="shared" si="254"/>
        <v/>
      </c>
      <c r="N2387" s="134"/>
      <c r="O2387" s="29"/>
      <c r="P2387" s="37" t="str">
        <f t="shared" si="255"/>
        <v/>
      </c>
      <c r="Q2387" s="38" t="str">
        <f t="shared" si="256"/>
        <v/>
      </c>
      <c r="R2387" s="37" t="str">
        <f t="shared" si="257"/>
        <v/>
      </c>
      <c r="S2387" s="37" t="str">
        <f t="shared" si="258"/>
        <v/>
      </c>
      <c r="T2387" s="38" t="str">
        <f t="shared" si="259"/>
        <v/>
      </c>
      <c r="U2387" s="37" t="str">
        <f t="shared" si="260"/>
        <v/>
      </c>
    </row>
    <row r="2388" spans="2:21" ht="17.25">
      <c r="B2388" s="156"/>
      <c r="C2388" s="156"/>
      <c r="D2388" s="157"/>
      <c r="E2388" s="155"/>
      <c r="F2388" s="151"/>
      <c r="G2388" s="152"/>
      <c r="H2388" s="153"/>
      <c r="I2388" s="154"/>
      <c r="J2388" s="154"/>
      <c r="K2388" s="30" t="str">
        <f>IF(H2388="","",IF($C$30="간이법","",FPR(H2388,I2388,J2388)))</f>
        <v/>
      </c>
      <c r="L2388" s="30" t="str">
        <f>IF(H2388="","",IF($C$30="상세법",FPV(H2388,K2388),IF(H2388="EI",4,IF(H2388="EO",5.2,IF(H2388="EQ",3.9,IF(H2388="ILF",7.5,IF(H2388="EIF",5.4)))))))</f>
        <v/>
      </c>
      <c r="M2388" s="30" t="str">
        <f t="shared" si="254"/>
        <v/>
      </c>
      <c r="N2388" s="134"/>
      <c r="O2388" s="29"/>
      <c r="P2388" s="37" t="str">
        <f t="shared" si="255"/>
        <v/>
      </c>
      <c r="Q2388" s="38" t="str">
        <f t="shared" si="256"/>
        <v/>
      </c>
      <c r="R2388" s="37" t="str">
        <f t="shared" si="257"/>
        <v/>
      </c>
      <c r="S2388" s="37" t="str">
        <f t="shared" si="258"/>
        <v/>
      </c>
      <c r="T2388" s="38" t="str">
        <f t="shared" si="259"/>
        <v/>
      </c>
      <c r="U2388" s="37" t="str">
        <f t="shared" si="260"/>
        <v/>
      </c>
    </row>
    <row r="2389" spans="2:21" ht="17.25">
      <c r="B2389" s="156"/>
      <c r="C2389" s="156"/>
      <c r="D2389" s="157"/>
      <c r="E2389" s="155"/>
      <c r="F2389" s="151"/>
      <c r="G2389" s="152"/>
      <c r="H2389" s="153"/>
      <c r="I2389" s="154"/>
      <c r="J2389" s="154"/>
      <c r="K2389" s="30" t="str">
        <f>IF(H2389="","",IF($C$30="간이법","",FPR(H2389,I2389,J2389)))</f>
        <v/>
      </c>
      <c r="L2389" s="30" t="str">
        <f>IF(H2389="","",IF($C$30="상세법",FPV(H2389,K2389),IF(H2389="EI",4,IF(H2389="EO",5.2,IF(H2389="EQ",3.9,IF(H2389="ILF",7.5,IF(H2389="EIF",5.4)))))))</f>
        <v/>
      </c>
      <c r="M2389" s="30" t="str">
        <f t="shared" si="254"/>
        <v/>
      </c>
      <c r="N2389" s="134"/>
      <c r="O2389" s="29"/>
      <c r="P2389" s="37" t="str">
        <f t="shared" si="255"/>
        <v/>
      </c>
      <c r="Q2389" s="38" t="str">
        <f t="shared" si="256"/>
        <v/>
      </c>
      <c r="R2389" s="37" t="str">
        <f t="shared" si="257"/>
        <v/>
      </c>
      <c r="S2389" s="37" t="str">
        <f t="shared" si="258"/>
        <v/>
      </c>
      <c r="T2389" s="38" t="str">
        <f t="shared" si="259"/>
        <v/>
      </c>
      <c r="U2389" s="37" t="str">
        <f t="shared" si="260"/>
        <v/>
      </c>
    </row>
    <row r="2390" spans="2:21" ht="17.25">
      <c r="B2390" s="156"/>
      <c r="C2390" s="156"/>
      <c r="D2390" s="157"/>
      <c r="E2390" s="155"/>
      <c r="F2390" s="151"/>
      <c r="G2390" s="152"/>
      <c r="H2390" s="153"/>
      <c r="I2390" s="154"/>
      <c r="J2390" s="154"/>
      <c r="K2390" s="30" t="str">
        <f>IF(H2390="","",IF($C$30="간이법","",FPR(H2390,I2390,J2390)))</f>
        <v/>
      </c>
      <c r="L2390" s="30" t="str">
        <f>IF(H2390="","",IF($C$30="상세법",FPV(H2390,K2390),IF(H2390="EI",4,IF(H2390="EO",5.2,IF(H2390="EQ",3.9,IF(H2390="ILF",7.5,IF(H2390="EIF",5.4)))))))</f>
        <v/>
      </c>
      <c r="M2390" s="30" t="str">
        <f t="shared" si="254"/>
        <v/>
      </c>
      <c r="N2390" s="134"/>
      <c r="O2390" s="29"/>
      <c r="P2390" s="37" t="str">
        <f t="shared" si="255"/>
        <v/>
      </c>
      <c r="Q2390" s="38" t="str">
        <f t="shared" si="256"/>
        <v/>
      </c>
      <c r="R2390" s="37" t="str">
        <f t="shared" si="257"/>
        <v/>
      </c>
      <c r="S2390" s="37" t="str">
        <f t="shared" si="258"/>
        <v/>
      </c>
      <c r="T2390" s="38" t="str">
        <f t="shared" si="259"/>
        <v/>
      </c>
      <c r="U2390" s="37" t="str">
        <f t="shared" si="260"/>
        <v/>
      </c>
    </row>
    <row r="2391" spans="2:21" ht="17.25">
      <c r="B2391" s="156"/>
      <c r="C2391" s="156"/>
      <c r="D2391" s="157"/>
      <c r="E2391" s="155"/>
      <c r="F2391" s="151"/>
      <c r="G2391" s="152"/>
      <c r="H2391" s="153"/>
      <c r="I2391" s="154"/>
      <c r="J2391" s="154"/>
      <c r="K2391" s="30" t="str">
        <f>IF(H2391="","",IF($C$30="간이법","",FPR(H2391,I2391,J2391)))</f>
        <v/>
      </c>
      <c r="L2391" s="30" t="str">
        <f>IF(H2391="","",IF($C$30="상세법",FPV(H2391,K2391),IF(H2391="EI",4,IF(H2391="EO",5.2,IF(H2391="EQ",3.9,IF(H2391="ILF",7.5,IF(H2391="EIF",5.4)))))))</f>
        <v/>
      </c>
      <c r="M2391" s="30" t="str">
        <f t="shared" si="254"/>
        <v/>
      </c>
      <c r="N2391" s="134"/>
      <c r="O2391" s="29"/>
      <c r="P2391" s="37" t="str">
        <f t="shared" si="255"/>
        <v/>
      </c>
      <c r="Q2391" s="38" t="str">
        <f t="shared" si="256"/>
        <v/>
      </c>
      <c r="R2391" s="37" t="str">
        <f t="shared" si="257"/>
        <v/>
      </c>
      <c r="S2391" s="37" t="str">
        <f t="shared" si="258"/>
        <v/>
      </c>
      <c r="T2391" s="38" t="str">
        <f t="shared" si="259"/>
        <v/>
      </c>
      <c r="U2391" s="37" t="str">
        <f t="shared" si="260"/>
        <v/>
      </c>
    </row>
    <row r="2392" spans="2:21" ht="17.25">
      <c r="B2392" s="156"/>
      <c r="C2392" s="156"/>
      <c r="D2392" s="157"/>
      <c r="E2392" s="155"/>
      <c r="F2392" s="151"/>
      <c r="G2392" s="152"/>
      <c r="H2392" s="153"/>
      <c r="I2392" s="154"/>
      <c r="J2392" s="154"/>
      <c r="K2392" s="30" t="str">
        <f>IF(H2392="","",IF($C$30="간이법","",FPR(H2392,I2392,J2392)))</f>
        <v/>
      </c>
      <c r="L2392" s="30" t="str">
        <f>IF(H2392="","",IF($C$30="상세법",FPV(H2392,K2392),IF(H2392="EI",4,IF(H2392="EO",5.2,IF(H2392="EQ",3.9,IF(H2392="ILF",7.5,IF(H2392="EIF",5.4)))))))</f>
        <v/>
      </c>
      <c r="M2392" s="30" t="str">
        <f t="shared" si="254"/>
        <v/>
      </c>
      <c r="N2392" s="134"/>
      <c r="O2392" s="29"/>
      <c r="P2392" s="37" t="str">
        <f t="shared" si="255"/>
        <v/>
      </c>
      <c r="Q2392" s="38" t="str">
        <f t="shared" si="256"/>
        <v/>
      </c>
      <c r="R2392" s="37" t="str">
        <f t="shared" si="257"/>
        <v/>
      </c>
      <c r="S2392" s="37" t="str">
        <f t="shared" si="258"/>
        <v/>
      </c>
      <c r="T2392" s="38" t="str">
        <f t="shared" si="259"/>
        <v/>
      </c>
      <c r="U2392" s="37" t="str">
        <f t="shared" si="260"/>
        <v/>
      </c>
    </row>
    <row r="2393" spans="2:21" ht="17.25">
      <c r="B2393" s="156"/>
      <c r="C2393" s="156"/>
      <c r="D2393" s="157"/>
      <c r="E2393" s="155"/>
      <c r="F2393" s="151"/>
      <c r="G2393" s="152"/>
      <c r="H2393" s="153"/>
      <c r="I2393" s="154"/>
      <c r="J2393" s="154"/>
      <c r="K2393" s="30" t="str">
        <f>IF(H2393="","",IF($C$30="간이법","",FPR(H2393,I2393,J2393)))</f>
        <v/>
      </c>
      <c r="L2393" s="30" t="str">
        <f>IF(H2393="","",IF($C$30="상세법",FPV(H2393,K2393),IF(H2393="EI",4,IF(H2393="EO",5.2,IF(H2393="EQ",3.9,IF(H2393="ILF",7.5,IF(H2393="EIF",5.4)))))))</f>
        <v/>
      </c>
      <c r="M2393" s="30" t="str">
        <f t="shared" si="254"/>
        <v/>
      </c>
      <c r="N2393" s="134"/>
      <c r="O2393" s="29"/>
      <c r="P2393" s="37" t="str">
        <f t="shared" si="255"/>
        <v/>
      </c>
      <c r="Q2393" s="38" t="str">
        <f t="shared" si="256"/>
        <v/>
      </c>
      <c r="R2393" s="37" t="str">
        <f t="shared" si="257"/>
        <v/>
      </c>
      <c r="S2393" s="37" t="str">
        <f t="shared" si="258"/>
        <v/>
      </c>
      <c r="T2393" s="38" t="str">
        <f t="shared" si="259"/>
        <v/>
      </c>
      <c r="U2393" s="37" t="str">
        <f t="shared" si="260"/>
        <v/>
      </c>
    </row>
    <row r="2394" spans="2:21" ht="17.25">
      <c r="B2394" s="156"/>
      <c r="C2394" s="156"/>
      <c r="D2394" s="157"/>
      <c r="E2394" s="155"/>
      <c r="F2394" s="151"/>
      <c r="G2394" s="152"/>
      <c r="H2394" s="153"/>
      <c r="I2394" s="154"/>
      <c r="J2394" s="154"/>
      <c r="K2394" s="30" t="str">
        <f>IF(H2394="","",IF($C$30="간이법","",FPR(H2394,I2394,J2394)))</f>
        <v/>
      </c>
      <c r="L2394" s="30" t="str">
        <f>IF(H2394="","",IF($C$30="상세법",FPV(H2394,K2394),IF(H2394="EI",4,IF(H2394="EO",5.2,IF(H2394="EQ",3.9,IF(H2394="ILF",7.5,IF(H2394="EIF",5.4)))))))</f>
        <v/>
      </c>
      <c r="M2394" s="30" t="str">
        <f t="shared" si="254"/>
        <v/>
      </c>
      <c r="N2394" s="134"/>
      <c r="O2394" s="29"/>
      <c r="P2394" s="37" t="str">
        <f t="shared" si="255"/>
        <v/>
      </c>
      <c r="Q2394" s="38" t="str">
        <f t="shared" si="256"/>
        <v/>
      </c>
      <c r="R2394" s="37" t="str">
        <f t="shared" si="257"/>
        <v/>
      </c>
      <c r="S2394" s="37" t="str">
        <f t="shared" si="258"/>
        <v/>
      </c>
      <c r="T2394" s="38" t="str">
        <f t="shared" si="259"/>
        <v/>
      </c>
      <c r="U2394" s="37" t="str">
        <f t="shared" si="260"/>
        <v/>
      </c>
    </row>
    <row r="2395" spans="2:21" ht="17.25">
      <c r="B2395" s="156"/>
      <c r="C2395" s="156"/>
      <c r="D2395" s="157"/>
      <c r="E2395" s="155"/>
      <c r="F2395" s="151"/>
      <c r="G2395" s="152"/>
      <c r="H2395" s="153"/>
      <c r="I2395" s="154"/>
      <c r="J2395" s="154"/>
      <c r="K2395" s="30" t="str">
        <f>IF(H2395="","",IF($C$30="간이법","",FPR(H2395,I2395,J2395)))</f>
        <v/>
      </c>
      <c r="L2395" s="30" t="str">
        <f>IF(H2395="","",IF($C$30="상세법",FPV(H2395,K2395),IF(H2395="EI",4,IF(H2395="EO",5.2,IF(H2395="EQ",3.9,IF(H2395="ILF",7.5,IF(H2395="EIF",5.4)))))))</f>
        <v/>
      </c>
      <c r="M2395" s="30" t="str">
        <f t="shared" si="254"/>
        <v/>
      </c>
      <c r="N2395" s="134"/>
      <c r="O2395" s="29"/>
      <c r="P2395" s="37" t="str">
        <f t="shared" si="255"/>
        <v/>
      </c>
      <c r="Q2395" s="38" t="str">
        <f t="shared" si="256"/>
        <v/>
      </c>
      <c r="R2395" s="37" t="str">
        <f t="shared" si="257"/>
        <v/>
      </c>
      <c r="S2395" s="37" t="str">
        <f t="shared" si="258"/>
        <v/>
      </c>
      <c r="T2395" s="38" t="str">
        <f t="shared" si="259"/>
        <v/>
      </c>
      <c r="U2395" s="37" t="str">
        <f t="shared" si="260"/>
        <v/>
      </c>
    </row>
    <row r="2396" spans="2:21" ht="17.25">
      <c r="B2396" s="156"/>
      <c r="C2396" s="156"/>
      <c r="D2396" s="157"/>
      <c r="E2396" s="155"/>
      <c r="F2396" s="151"/>
      <c r="G2396" s="152"/>
      <c r="H2396" s="153"/>
      <c r="I2396" s="154"/>
      <c r="J2396" s="154"/>
      <c r="K2396" s="30" t="str">
        <f>IF(H2396="","",IF($C$30="간이법","",FPR(H2396,I2396,J2396)))</f>
        <v/>
      </c>
      <c r="L2396" s="30" t="str">
        <f>IF(H2396="","",IF($C$30="상세법",FPV(H2396,K2396),IF(H2396="EI",4,IF(H2396="EO",5.2,IF(H2396="EQ",3.9,IF(H2396="ILF",7.5,IF(H2396="EIF",5.4)))))))</f>
        <v/>
      </c>
      <c r="M2396" s="30" t="str">
        <f t="shared" si="254"/>
        <v/>
      </c>
      <c r="N2396" s="134"/>
      <c r="O2396" s="29"/>
      <c r="P2396" s="37" t="str">
        <f t="shared" si="255"/>
        <v/>
      </c>
      <c r="Q2396" s="38" t="str">
        <f t="shared" si="256"/>
        <v/>
      </c>
      <c r="R2396" s="37" t="str">
        <f t="shared" si="257"/>
        <v/>
      </c>
      <c r="S2396" s="37" t="str">
        <f t="shared" si="258"/>
        <v/>
      </c>
      <c r="T2396" s="38" t="str">
        <f t="shared" si="259"/>
        <v/>
      </c>
      <c r="U2396" s="37" t="str">
        <f t="shared" si="260"/>
        <v/>
      </c>
    </row>
    <row r="2397" spans="2:21" ht="17.25">
      <c r="B2397" s="156"/>
      <c r="C2397" s="156"/>
      <c r="D2397" s="157"/>
      <c r="E2397" s="155"/>
      <c r="F2397" s="151"/>
      <c r="G2397" s="152"/>
      <c r="H2397" s="153"/>
      <c r="I2397" s="154"/>
      <c r="J2397" s="154"/>
      <c r="K2397" s="30" t="str">
        <f>IF(H2397="","",IF($C$30="간이법","",FPR(H2397,I2397,J2397)))</f>
        <v/>
      </c>
      <c r="L2397" s="30" t="str">
        <f>IF(H2397="","",IF($C$30="상세법",FPV(H2397,K2397),IF(H2397="EI",4,IF(H2397="EO",5.2,IF(H2397="EQ",3.9,IF(H2397="ILF",7.5,IF(H2397="EIF",5.4)))))))</f>
        <v/>
      </c>
      <c r="M2397" s="30" t="str">
        <f t="shared" si="254"/>
        <v/>
      </c>
      <c r="N2397" s="134"/>
      <c r="O2397" s="29"/>
      <c r="P2397" s="37" t="str">
        <f t="shared" si="255"/>
        <v/>
      </c>
      <c r="Q2397" s="38" t="str">
        <f t="shared" si="256"/>
        <v/>
      </c>
      <c r="R2397" s="37" t="str">
        <f t="shared" si="257"/>
        <v/>
      </c>
      <c r="S2397" s="37" t="str">
        <f t="shared" si="258"/>
        <v/>
      </c>
      <c r="T2397" s="38" t="str">
        <f t="shared" si="259"/>
        <v/>
      </c>
      <c r="U2397" s="37" t="str">
        <f t="shared" si="260"/>
        <v/>
      </c>
    </row>
    <row r="2398" spans="2:21" ht="17.25">
      <c r="B2398" s="156"/>
      <c r="C2398" s="156"/>
      <c r="D2398" s="157"/>
      <c r="E2398" s="155"/>
      <c r="F2398" s="151"/>
      <c r="G2398" s="152"/>
      <c r="H2398" s="153"/>
      <c r="I2398" s="154"/>
      <c r="J2398" s="154"/>
      <c r="K2398" s="30" t="str">
        <f>IF(H2398="","",IF($C$30="간이법","",FPR(H2398,I2398,J2398)))</f>
        <v/>
      </c>
      <c r="L2398" s="30" t="str">
        <f>IF(H2398="","",IF($C$30="상세법",FPV(H2398,K2398),IF(H2398="EI",4,IF(H2398="EO",5.2,IF(H2398="EQ",3.9,IF(H2398="ILF",7.5,IF(H2398="EIF",5.4)))))))</f>
        <v/>
      </c>
      <c r="M2398" s="30" t="str">
        <f t="shared" si="254"/>
        <v/>
      </c>
      <c r="N2398" s="134"/>
      <c r="O2398" s="29"/>
      <c r="P2398" s="37" t="str">
        <f t="shared" si="255"/>
        <v/>
      </c>
      <c r="Q2398" s="38" t="str">
        <f t="shared" si="256"/>
        <v/>
      </c>
      <c r="R2398" s="37" t="str">
        <f t="shared" si="257"/>
        <v/>
      </c>
      <c r="S2398" s="37" t="str">
        <f t="shared" si="258"/>
        <v/>
      </c>
      <c r="T2398" s="38" t="str">
        <f t="shared" si="259"/>
        <v/>
      </c>
      <c r="U2398" s="37" t="str">
        <f t="shared" si="260"/>
        <v/>
      </c>
    </row>
    <row r="2399" spans="2:21" ht="17.25">
      <c r="B2399" s="156"/>
      <c r="C2399" s="156"/>
      <c r="D2399" s="157"/>
      <c r="E2399" s="155"/>
      <c r="F2399" s="151"/>
      <c r="G2399" s="152"/>
      <c r="H2399" s="153"/>
      <c r="I2399" s="154"/>
      <c r="J2399" s="154"/>
      <c r="K2399" s="30" t="str">
        <f>IF(H2399="","",IF($C$30="간이법","",FPR(H2399,I2399,J2399)))</f>
        <v/>
      </c>
      <c r="L2399" s="30" t="str">
        <f>IF(H2399="","",IF($C$30="상세법",FPV(H2399,K2399),IF(H2399="EI",4,IF(H2399="EO",5.2,IF(H2399="EQ",3.9,IF(H2399="ILF",7.5,IF(H2399="EIF",5.4)))))))</f>
        <v/>
      </c>
      <c r="M2399" s="30" t="str">
        <f t="shared" si="254"/>
        <v/>
      </c>
      <c r="N2399" s="134"/>
      <c r="O2399" s="29"/>
      <c r="P2399" s="37" t="str">
        <f t="shared" si="255"/>
        <v/>
      </c>
      <c r="Q2399" s="38" t="str">
        <f t="shared" si="256"/>
        <v/>
      </c>
      <c r="R2399" s="37" t="str">
        <f t="shared" si="257"/>
        <v/>
      </c>
      <c r="S2399" s="37" t="str">
        <f t="shared" si="258"/>
        <v/>
      </c>
      <c r="T2399" s="38" t="str">
        <f t="shared" si="259"/>
        <v/>
      </c>
      <c r="U2399" s="37" t="str">
        <f t="shared" si="260"/>
        <v/>
      </c>
    </row>
    <row r="2400" spans="2:21" ht="17.25">
      <c r="B2400" s="156"/>
      <c r="C2400" s="156"/>
      <c r="D2400" s="157"/>
      <c r="E2400" s="155"/>
      <c r="F2400" s="151"/>
      <c r="G2400" s="152"/>
      <c r="H2400" s="153"/>
      <c r="I2400" s="154"/>
      <c r="J2400" s="154"/>
      <c r="K2400" s="30" t="str">
        <f>IF(H2400="","",IF($C$30="간이법","",FPR(H2400,I2400,J2400)))</f>
        <v/>
      </c>
      <c r="L2400" s="30" t="str">
        <f>IF(H2400="","",IF($C$30="상세법",FPV(H2400,K2400),IF(H2400="EI",4,IF(H2400="EO",5.2,IF(H2400="EQ",3.9,IF(H2400="ILF",7.5,IF(H2400="EIF",5.4)))))))</f>
        <v/>
      </c>
      <c r="M2400" s="30" t="str">
        <f t="shared" si="254"/>
        <v/>
      </c>
      <c r="N2400" s="134"/>
      <c r="O2400" s="29"/>
      <c r="P2400" s="37" t="str">
        <f t="shared" si="255"/>
        <v/>
      </c>
      <c r="Q2400" s="38" t="str">
        <f t="shared" si="256"/>
        <v/>
      </c>
      <c r="R2400" s="37" t="str">
        <f t="shared" si="257"/>
        <v/>
      </c>
      <c r="S2400" s="37" t="str">
        <f t="shared" si="258"/>
        <v/>
      </c>
      <c r="T2400" s="38" t="str">
        <f t="shared" si="259"/>
        <v/>
      </c>
      <c r="U2400" s="37" t="str">
        <f t="shared" si="260"/>
        <v/>
      </c>
    </row>
    <row r="2401" spans="2:21" ht="17.25">
      <c r="B2401" s="156"/>
      <c r="C2401" s="156"/>
      <c r="D2401" s="157"/>
      <c r="E2401" s="155"/>
      <c r="F2401" s="151"/>
      <c r="G2401" s="152"/>
      <c r="H2401" s="153"/>
      <c r="I2401" s="154"/>
      <c r="J2401" s="154"/>
      <c r="K2401" s="30" t="str">
        <f>IF(H2401="","",IF($C$30="간이법","",FPR(H2401,I2401,J2401)))</f>
        <v/>
      </c>
      <c r="L2401" s="30" t="str">
        <f>IF(H2401="","",IF($C$30="상세법",FPV(H2401,K2401),IF(H2401="EI",4,IF(H2401="EO",5.2,IF(H2401="EQ",3.9,IF(H2401="ILF",7.5,IF(H2401="EIF",5.4)))))))</f>
        <v/>
      </c>
      <c r="M2401" s="30" t="str">
        <f t="shared" si="254"/>
        <v/>
      </c>
      <c r="N2401" s="134"/>
      <c r="O2401" s="29"/>
      <c r="P2401" s="37" t="str">
        <f t="shared" si="255"/>
        <v/>
      </c>
      <c r="Q2401" s="38" t="str">
        <f t="shared" si="256"/>
        <v/>
      </c>
      <c r="R2401" s="37" t="str">
        <f t="shared" si="257"/>
        <v/>
      </c>
      <c r="S2401" s="37" t="str">
        <f t="shared" si="258"/>
        <v/>
      </c>
      <c r="T2401" s="38" t="str">
        <f t="shared" si="259"/>
        <v/>
      </c>
      <c r="U2401" s="37" t="str">
        <f t="shared" si="260"/>
        <v/>
      </c>
    </row>
    <row r="2402" spans="2:21" ht="17.25">
      <c r="B2402" s="156"/>
      <c r="C2402" s="156"/>
      <c r="D2402" s="157"/>
      <c r="E2402" s="155"/>
      <c r="F2402" s="151"/>
      <c r="G2402" s="152"/>
      <c r="H2402" s="153"/>
      <c r="I2402" s="154"/>
      <c r="J2402" s="154"/>
      <c r="K2402" s="30" t="str">
        <f>IF(H2402="","",IF($C$30="간이법","",FPR(H2402,I2402,J2402)))</f>
        <v/>
      </c>
      <c r="L2402" s="30" t="str">
        <f>IF(H2402="","",IF($C$30="상세법",FPV(H2402,K2402),IF(H2402="EI",4,IF(H2402="EO",5.2,IF(H2402="EQ",3.9,IF(H2402="ILF",7.5,IF(H2402="EIF",5.4)))))))</f>
        <v/>
      </c>
      <c r="M2402" s="30" t="str">
        <f t="shared" si="254"/>
        <v/>
      </c>
      <c r="N2402" s="134"/>
      <c r="O2402" s="29"/>
      <c r="P2402" s="37" t="str">
        <f t="shared" si="255"/>
        <v/>
      </c>
      <c r="Q2402" s="38" t="str">
        <f t="shared" si="256"/>
        <v/>
      </c>
      <c r="R2402" s="37" t="str">
        <f t="shared" si="257"/>
        <v/>
      </c>
      <c r="S2402" s="37" t="str">
        <f t="shared" si="258"/>
        <v/>
      </c>
      <c r="T2402" s="38" t="str">
        <f t="shared" si="259"/>
        <v/>
      </c>
      <c r="U2402" s="37" t="str">
        <f t="shared" si="260"/>
        <v/>
      </c>
    </row>
    <row r="2403" spans="2:21" ht="17.25">
      <c r="B2403" s="156"/>
      <c r="C2403" s="156"/>
      <c r="D2403" s="157"/>
      <c r="E2403" s="155"/>
      <c r="F2403" s="151"/>
      <c r="G2403" s="152"/>
      <c r="H2403" s="153"/>
      <c r="I2403" s="154"/>
      <c r="J2403" s="154"/>
      <c r="K2403" s="30" t="str">
        <f>IF(H2403="","",IF($C$30="간이법","",FPR(H2403,I2403,J2403)))</f>
        <v/>
      </c>
      <c r="L2403" s="30" t="str">
        <f>IF(H2403="","",IF($C$30="상세법",FPV(H2403,K2403),IF(H2403="EI",4,IF(H2403="EO",5.2,IF(H2403="EQ",3.9,IF(H2403="ILF",7.5,IF(H2403="EIF",5.4)))))))</f>
        <v/>
      </c>
      <c r="M2403" s="30" t="str">
        <f t="shared" si="254"/>
        <v/>
      </c>
      <c r="N2403" s="134"/>
      <c r="O2403" s="29"/>
      <c r="P2403" s="37" t="str">
        <f t="shared" si="255"/>
        <v/>
      </c>
      <c r="Q2403" s="38" t="str">
        <f t="shared" si="256"/>
        <v/>
      </c>
      <c r="R2403" s="37" t="str">
        <f t="shared" si="257"/>
        <v/>
      </c>
      <c r="S2403" s="37" t="str">
        <f t="shared" si="258"/>
        <v/>
      </c>
      <c r="T2403" s="38" t="str">
        <f t="shared" si="259"/>
        <v/>
      </c>
      <c r="U2403" s="37" t="str">
        <f t="shared" si="260"/>
        <v/>
      </c>
    </row>
    <row r="2404" spans="2:21" ht="17.25">
      <c r="B2404" s="156"/>
      <c r="C2404" s="156"/>
      <c r="D2404" s="157"/>
      <c r="E2404" s="155"/>
      <c r="F2404" s="151"/>
      <c r="G2404" s="152"/>
      <c r="H2404" s="153"/>
      <c r="I2404" s="154"/>
      <c r="J2404" s="154"/>
      <c r="K2404" s="30" t="str">
        <f>IF(H2404="","",IF($C$30="간이법","",FPR(H2404,I2404,J2404)))</f>
        <v/>
      </c>
      <c r="L2404" s="30" t="str">
        <f>IF(H2404="","",IF($C$30="상세법",FPV(H2404,K2404),IF(H2404="EI",4,IF(H2404="EO",5.2,IF(H2404="EQ",3.9,IF(H2404="ILF",7.5,IF(H2404="EIF",5.4)))))))</f>
        <v/>
      </c>
      <c r="M2404" s="30" t="str">
        <f t="shared" si="254"/>
        <v/>
      </c>
      <c r="N2404" s="134"/>
      <c r="O2404" s="29"/>
      <c r="P2404" s="37" t="str">
        <f t="shared" si="255"/>
        <v/>
      </c>
      <c r="Q2404" s="38" t="str">
        <f t="shared" si="256"/>
        <v/>
      </c>
      <c r="R2404" s="37" t="str">
        <f t="shared" si="257"/>
        <v/>
      </c>
      <c r="S2404" s="37" t="str">
        <f t="shared" si="258"/>
        <v/>
      </c>
      <c r="T2404" s="38" t="str">
        <f t="shared" si="259"/>
        <v/>
      </c>
      <c r="U2404" s="37" t="str">
        <f t="shared" si="260"/>
        <v/>
      </c>
    </row>
    <row r="2405" spans="2:21" ht="17.25">
      <c r="B2405" s="156"/>
      <c r="C2405" s="156"/>
      <c r="D2405" s="157"/>
      <c r="E2405" s="155"/>
      <c r="F2405" s="151"/>
      <c r="G2405" s="152"/>
      <c r="H2405" s="153"/>
      <c r="I2405" s="154"/>
      <c r="J2405" s="154"/>
      <c r="K2405" s="30" t="str">
        <f>IF(H2405="","",IF($C$30="간이법","",FPR(H2405,I2405,J2405)))</f>
        <v/>
      </c>
      <c r="L2405" s="30" t="str">
        <f>IF(H2405="","",IF($C$30="상세법",FPV(H2405,K2405),IF(H2405="EI",4,IF(H2405="EO",5.2,IF(H2405="EQ",3.9,IF(H2405="ILF",7.5,IF(H2405="EIF",5.4)))))))</f>
        <v/>
      </c>
      <c r="M2405" s="30" t="str">
        <f t="shared" si="254"/>
        <v/>
      </c>
      <c r="N2405" s="134"/>
      <c r="O2405" s="29"/>
      <c r="P2405" s="37" t="str">
        <f t="shared" si="255"/>
        <v/>
      </c>
      <c r="Q2405" s="38" t="str">
        <f t="shared" si="256"/>
        <v/>
      </c>
      <c r="R2405" s="37" t="str">
        <f t="shared" si="257"/>
        <v/>
      </c>
      <c r="S2405" s="37" t="str">
        <f t="shared" si="258"/>
        <v/>
      </c>
      <c r="T2405" s="38" t="str">
        <f t="shared" si="259"/>
        <v/>
      </c>
      <c r="U2405" s="37" t="str">
        <f t="shared" si="260"/>
        <v/>
      </c>
    </row>
    <row r="2406" spans="2:21" ht="17.25">
      <c r="B2406" s="156"/>
      <c r="C2406" s="156"/>
      <c r="D2406" s="157"/>
      <c r="E2406" s="155"/>
      <c r="F2406" s="151"/>
      <c r="G2406" s="152"/>
      <c r="H2406" s="153"/>
      <c r="I2406" s="154"/>
      <c r="J2406" s="154"/>
      <c r="K2406" s="30" t="str">
        <f>IF(H2406="","",IF($C$30="간이법","",FPR(H2406,I2406,J2406)))</f>
        <v/>
      </c>
      <c r="L2406" s="30" t="str">
        <f>IF(H2406="","",IF($C$30="상세법",FPV(H2406,K2406),IF(H2406="EI",4,IF(H2406="EO",5.2,IF(H2406="EQ",3.9,IF(H2406="ILF",7.5,IF(H2406="EIF",5.4)))))))</f>
        <v/>
      </c>
      <c r="M2406" s="30" t="str">
        <f t="shared" si="254"/>
        <v/>
      </c>
      <c r="N2406" s="134"/>
      <c r="O2406" s="29"/>
      <c r="P2406" s="37" t="str">
        <f t="shared" si="255"/>
        <v/>
      </c>
      <c r="Q2406" s="38" t="str">
        <f t="shared" si="256"/>
        <v/>
      </c>
      <c r="R2406" s="37" t="str">
        <f t="shared" si="257"/>
        <v/>
      </c>
      <c r="S2406" s="37" t="str">
        <f t="shared" si="258"/>
        <v/>
      </c>
      <c r="T2406" s="38" t="str">
        <f t="shared" si="259"/>
        <v/>
      </c>
      <c r="U2406" s="37" t="str">
        <f t="shared" si="260"/>
        <v/>
      </c>
    </row>
    <row r="2407" spans="2:21" ht="17.25">
      <c r="B2407" s="156"/>
      <c r="C2407" s="156"/>
      <c r="D2407" s="157"/>
      <c r="E2407" s="155"/>
      <c r="F2407" s="151"/>
      <c r="G2407" s="152"/>
      <c r="H2407" s="153"/>
      <c r="I2407" s="154"/>
      <c r="J2407" s="154"/>
      <c r="K2407" s="30" t="str">
        <f>IF(H2407="","",IF($C$30="간이법","",FPR(H2407,I2407,J2407)))</f>
        <v/>
      </c>
      <c r="L2407" s="30" t="str">
        <f>IF(H2407="","",IF($C$30="상세법",FPV(H2407,K2407),IF(H2407="EI",4,IF(H2407="EO",5.2,IF(H2407="EQ",3.9,IF(H2407="ILF",7.5,IF(H2407="EIF",5.4)))))))</f>
        <v/>
      </c>
      <c r="M2407" s="30" t="str">
        <f t="shared" si="254"/>
        <v/>
      </c>
      <c r="N2407" s="134"/>
      <c r="O2407" s="29"/>
      <c r="P2407" s="37" t="str">
        <f t="shared" si="255"/>
        <v/>
      </c>
      <c r="Q2407" s="38" t="str">
        <f t="shared" si="256"/>
        <v/>
      </c>
      <c r="R2407" s="37" t="str">
        <f t="shared" si="257"/>
        <v/>
      </c>
      <c r="S2407" s="37" t="str">
        <f t="shared" si="258"/>
        <v/>
      </c>
      <c r="T2407" s="38" t="str">
        <f t="shared" si="259"/>
        <v/>
      </c>
      <c r="U2407" s="37" t="str">
        <f t="shared" si="260"/>
        <v/>
      </c>
    </row>
    <row r="2408" spans="2:21" ht="17.25">
      <c r="B2408" s="156"/>
      <c r="C2408" s="156"/>
      <c r="D2408" s="157"/>
      <c r="E2408" s="155"/>
      <c r="F2408" s="151"/>
      <c r="G2408" s="152"/>
      <c r="H2408" s="153"/>
      <c r="I2408" s="154"/>
      <c r="J2408" s="154"/>
      <c r="K2408" s="30" t="str">
        <f>IF(H2408="","",IF($C$30="간이법","",FPR(H2408,I2408,J2408)))</f>
        <v/>
      </c>
      <c r="L2408" s="30" t="str">
        <f>IF(H2408="","",IF($C$30="상세법",FPV(H2408,K2408),IF(H2408="EI",4,IF(H2408="EO",5.2,IF(H2408="EQ",3.9,IF(H2408="ILF",7.5,IF(H2408="EIF",5.4)))))))</f>
        <v/>
      </c>
      <c r="M2408" s="30" t="str">
        <f t="shared" si="254"/>
        <v/>
      </c>
      <c r="N2408" s="134"/>
      <c r="O2408" s="29"/>
      <c r="P2408" s="37" t="str">
        <f t="shared" si="255"/>
        <v/>
      </c>
      <c r="Q2408" s="38" t="str">
        <f t="shared" si="256"/>
        <v/>
      </c>
      <c r="R2408" s="37" t="str">
        <f t="shared" si="257"/>
        <v/>
      </c>
      <c r="S2408" s="37" t="str">
        <f t="shared" si="258"/>
        <v/>
      </c>
      <c r="T2408" s="38" t="str">
        <f t="shared" si="259"/>
        <v/>
      </c>
      <c r="U2408" s="37" t="str">
        <f t="shared" si="260"/>
        <v/>
      </c>
    </row>
    <row r="2409" spans="2:21" ht="17.25">
      <c r="B2409" s="156"/>
      <c r="C2409" s="156"/>
      <c r="D2409" s="157"/>
      <c r="E2409" s="155"/>
      <c r="F2409" s="151"/>
      <c r="G2409" s="152"/>
      <c r="H2409" s="153"/>
      <c r="I2409" s="154"/>
      <c r="J2409" s="154"/>
      <c r="K2409" s="30" t="str">
        <f>IF(H2409="","",IF($C$30="간이법","",FPR(H2409,I2409,J2409)))</f>
        <v/>
      </c>
      <c r="L2409" s="30" t="str">
        <f>IF(H2409="","",IF($C$30="상세법",FPV(H2409,K2409),IF(H2409="EI",4,IF(H2409="EO",5.2,IF(H2409="EQ",3.9,IF(H2409="ILF",7.5,IF(H2409="EIF",5.4)))))))</f>
        <v/>
      </c>
      <c r="M2409" s="30" t="str">
        <f t="shared" si="254"/>
        <v/>
      </c>
      <c r="N2409" s="134"/>
      <c r="O2409" s="29"/>
      <c r="P2409" s="37" t="str">
        <f t="shared" si="255"/>
        <v/>
      </c>
      <c r="Q2409" s="38" t="str">
        <f t="shared" si="256"/>
        <v/>
      </c>
      <c r="R2409" s="37" t="str">
        <f t="shared" si="257"/>
        <v/>
      </c>
      <c r="S2409" s="37" t="str">
        <f t="shared" si="258"/>
        <v/>
      </c>
      <c r="T2409" s="38" t="str">
        <f t="shared" si="259"/>
        <v/>
      </c>
      <c r="U2409" s="37" t="str">
        <f t="shared" si="260"/>
        <v/>
      </c>
    </row>
    <row r="2410" spans="2:21" ht="17.25">
      <c r="B2410" s="156"/>
      <c r="C2410" s="156"/>
      <c r="D2410" s="157"/>
      <c r="E2410" s="155"/>
      <c r="F2410" s="151"/>
      <c r="G2410" s="152"/>
      <c r="H2410" s="153"/>
      <c r="I2410" s="154"/>
      <c r="J2410" s="154"/>
      <c r="K2410" s="30" t="str">
        <f>IF(H2410="","",IF($C$30="간이법","",FPR(H2410,I2410,J2410)))</f>
        <v/>
      </c>
      <c r="L2410" s="30" t="str">
        <f>IF(H2410="","",IF($C$30="상세법",FPV(H2410,K2410),IF(H2410="EI",4,IF(H2410="EO",5.2,IF(H2410="EQ",3.9,IF(H2410="ILF",7.5,IF(H2410="EIF",5.4)))))))</f>
        <v/>
      </c>
      <c r="M2410" s="30" t="str">
        <f t="shared" si="254"/>
        <v/>
      </c>
      <c r="N2410" s="134"/>
      <c r="O2410" s="29"/>
      <c r="P2410" s="37" t="str">
        <f t="shared" si="255"/>
        <v/>
      </c>
      <c r="Q2410" s="38" t="str">
        <f t="shared" si="256"/>
        <v/>
      </c>
      <c r="R2410" s="37" t="str">
        <f t="shared" si="257"/>
        <v/>
      </c>
      <c r="S2410" s="37" t="str">
        <f t="shared" si="258"/>
        <v/>
      </c>
      <c r="T2410" s="38" t="str">
        <f t="shared" si="259"/>
        <v/>
      </c>
      <c r="U2410" s="37" t="str">
        <f t="shared" si="260"/>
        <v/>
      </c>
    </row>
    <row r="2411" spans="2:21" ht="17.25">
      <c r="B2411" s="156"/>
      <c r="C2411" s="156"/>
      <c r="D2411" s="157"/>
      <c r="E2411" s="155"/>
      <c r="F2411" s="151"/>
      <c r="G2411" s="152"/>
      <c r="H2411" s="153"/>
      <c r="I2411" s="154"/>
      <c r="J2411" s="154"/>
      <c r="K2411" s="30" t="str">
        <f>IF(H2411="","",IF($C$30="간이법","",FPR(H2411,I2411,J2411)))</f>
        <v/>
      </c>
      <c r="L2411" s="30" t="str">
        <f>IF(H2411="","",IF($C$30="상세법",FPV(H2411,K2411),IF(H2411="EI",4,IF(H2411="EO",5.2,IF(H2411="EQ",3.9,IF(H2411="ILF",7.5,IF(H2411="EIF",5.4)))))))</f>
        <v/>
      </c>
      <c r="M2411" s="30" t="str">
        <f t="shared" si="254"/>
        <v/>
      </c>
      <c r="N2411" s="134"/>
      <c r="O2411" s="29"/>
      <c r="P2411" s="37" t="str">
        <f t="shared" si="255"/>
        <v/>
      </c>
      <c r="Q2411" s="38" t="str">
        <f t="shared" si="256"/>
        <v/>
      </c>
      <c r="R2411" s="37" t="str">
        <f t="shared" si="257"/>
        <v/>
      </c>
      <c r="S2411" s="37" t="str">
        <f t="shared" si="258"/>
        <v/>
      </c>
      <c r="T2411" s="38" t="str">
        <f t="shared" si="259"/>
        <v/>
      </c>
      <c r="U2411" s="37" t="str">
        <f t="shared" si="260"/>
        <v/>
      </c>
    </row>
    <row r="2412" spans="2:21" ht="17.25">
      <c r="B2412" s="156"/>
      <c r="C2412" s="156"/>
      <c r="D2412" s="157"/>
      <c r="E2412" s="155"/>
      <c r="F2412" s="151"/>
      <c r="G2412" s="152"/>
      <c r="H2412" s="153"/>
      <c r="I2412" s="154"/>
      <c r="J2412" s="154"/>
      <c r="K2412" s="30" t="str">
        <f>IF(H2412="","",IF($C$30="간이법","",FPR(H2412,I2412,J2412)))</f>
        <v/>
      </c>
      <c r="L2412" s="30" t="str">
        <f>IF(H2412="","",IF($C$30="상세법",FPV(H2412,K2412),IF(H2412="EI",4,IF(H2412="EO",5.2,IF(H2412="EQ",3.9,IF(H2412="ILF",7.5,IF(H2412="EIF",5.4)))))))</f>
        <v/>
      </c>
      <c r="M2412" s="30" t="str">
        <f t="shared" si="254"/>
        <v/>
      </c>
      <c r="N2412" s="134"/>
      <c r="O2412" s="29"/>
      <c r="P2412" s="37" t="str">
        <f t="shared" si="255"/>
        <v/>
      </c>
      <c r="Q2412" s="38" t="str">
        <f t="shared" si="256"/>
        <v/>
      </c>
      <c r="R2412" s="37" t="str">
        <f t="shared" si="257"/>
        <v/>
      </c>
      <c r="S2412" s="37" t="str">
        <f t="shared" si="258"/>
        <v/>
      </c>
      <c r="T2412" s="38" t="str">
        <f t="shared" si="259"/>
        <v/>
      </c>
      <c r="U2412" s="37" t="str">
        <f t="shared" si="260"/>
        <v/>
      </c>
    </row>
    <row r="2413" spans="2:21" ht="17.25">
      <c r="B2413" s="156"/>
      <c r="C2413" s="156"/>
      <c r="D2413" s="157"/>
      <c r="E2413" s="155"/>
      <c r="F2413" s="151"/>
      <c r="G2413" s="152"/>
      <c r="H2413" s="153"/>
      <c r="I2413" s="154"/>
      <c r="J2413" s="154"/>
      <c r="K2413" s="30" t="str">
        <f>IF(H2413="","",IF($C$30="간이법","",FPR(H2413,I2413,J2413)))</f>
        <v/>
      </c>
      <c r="L2413" s="30" t="str">
        <f>IF(H2413="","",IF($C$30="상세법",FPV(H2413,K2413),IF(H2413="EI",4,IF(H2413="EO",5.2,IF(H2413="EQ",3.9,IF(H2413="ILF",7.5,IF(H2413="EIF",5.4)))))))</f>
        <v/>
      </c>
      <c r="M2413" s="30" t="str">
        <f t="shared" si="254"/>
        <v/>
      </c>
      <c r="N2413" s="134"/>
      <c r="O2413" s="29"/>
      <c r="P2413" s="37" t="str">
        <f t="shared" si="255"/>
        <v/>
      </c>
      <c r="Q2413" s="38" t="str">
        <f t="shared" si="256"/>
        <v/>
      </c>
      <c r="R2413" s="37" t="str">
        <f t="shared" si="257"/>
        <v/>
      </c>
      <c r="S2413" s="37" t="str">
        <f t="shared" si="258"/>
        <v/>
      </c>
      <c r="T2413" s="38" t="str">
        <f t="shared" si="259"/>
        <v/>
      </c>
      <c r="U2413" s="37" t="str">
        <f t="shared" si="260"/>
        <v/>
      </c>
    </row>
    <row r="2414" spans="2:21" ht="17.25">
      <c r="B2414" s="156"/>
      <c r="C2414" s="156"/>
      <c r="D2414" s="157"/>
      <c r="E2414" s="155"/>
      <c r="F2414" s="151"/>
      <c r="G2414" s="152"/>
      <c r="H2414" s="153"/>
      <c r="I2414" s="154"/>
      <c r="J2414" s="154"/>
      <c r="K2414" s="30" t="str">
        <f>IF(H2414="","",IF($C$30="간이법","",FPR(H2414,I2414,J2414)))</f>
        <v/>
      </c>
      <c r="L2414" s="30" t="str">
        <f>IF(H2414="","",IF($C$30="상세법",FPV(H2414,K2414),IF(H2414="EI",4,IF(H2414="EO",5.2,IF(H2414="EQ",3.9,IF(H2414="ILF",7.5,IF(H2414="EIF",5.4)))))))</f>
        <v/>
      </c>
      <c r="M2414" s="30" t="str">
        <f t="shared" si="254"/>
        <v/>
      </c>
      <c r="N2414" s="134"/>
      <c r="O2414" s="29"/>
      <c r="P2414" s="37" t="str">
        <f t="shared" si="255"/>
        <v/>
      </c>
      <c r="Q2414" s="38" t="str">
        <f t="shared" si="256"/>
        <v/>
      </c>
      <c r="R2414" s="37" t="str">
        <f t="shared" si="257"/>
        <v/>
      </c>
      <c r="S2414" s="37" t="str">
        <f t="shared" si="258"/>
        <v/>
      </c>
      <c r="T2414" s="38" t="str">
        <f t="shared" si="259"/>
        <v/>
      </c>
      <c r="U2414" s="37" t="str">
        <f t="shared" si="260"/>
        <v/>
      </c>
    </row>
    <row r="2415" spans="2:21" ht="17.25">
      <c r="B2415" s="156"/>
      <c r="C2415" s="156"/>
      <c r="D2415" s="157"/>
      <c r="E2415" s="155"/>
      <c r="F2415" s="151"/>
      <c r="G2415" s="152"/>
      <c r="H2415" s="153"/>
      <c r="I2415" s="154"/>
      <c r="J2415" s="154"/>
      <c r="K2415" s="30" t="str">
        <f>IF(H2415="","",IF($C$30="간이법","",FPR(H2415,I2415,J2415)))</f>
        <v/>
      </c>
      <c r="L2415" s="30" t="str">
        <f>IF(H2415="","",IF($C$30="상세법",FPV(H2415,K2415),IF(H2415="EI",4,IF(H2415="EO",5.2,IF(H2415="EQ",3.9,IF(H2415="ILF",7.5,IF(H2415="EIF",5.4)))))))</f>
        <v/>
      </c>
      <c r="M2415" s="30" t="str">
        <f t="shared" si="254"/>
        <v/>
      </c>
      <c r="N2415" s="134"/>
      <c r="O2415" s="29"/>
      <c r="P2415" s="37" t="str">
        <f t="shared" si="255"/>
        <v/>
      </c>
      <c r="Q2415" s="38" t="str">
        <f t="shared" si="256"/>
        <v/>
      </c>
      <c r="R2415" s="37" t="str">
        <f t="shared" si="257"/>
        <v/>
      </c>
      <c r="S2415" s="37" t="str">
        <f t="shared" si="258"/>
        <v/>
      </c>
      <c r="T2415" s="38" t="str">
        <f t="shared" si="259"/>
        <v/>
      </c>
      <c r="U2415" s="37" t="str">
        <f t="shared" si="260"/>
        <v/>
      </c>
    </row>
    <row r="2416" spans="2:21" ht="17.25">
      <c r="B2416" s="156"/>
      <c r="C2416" s="156"/>
      <c r="D2416" s="157"/>
      <c r="E2416" s="155"/>
      <c r="F2416" s="151"/>
      <c r="G2416" s="152"/>
      <c r="H2416" s="153"/>
      <c r="I2416" s="154"/>
      <c r="J2416" s="154"/>
      <c r="K2416" s="30" t="str">
        <f>IF(H2416="","",IF($C$30="간이법","",FPR(H2416,I2416,J2416)))</f>
        <v/>
      </c>
      <c r="L2416" s="30" t="str">
        <f>IF(H2416="","",IF($C$30="상세법",FPV(H2416,K2416),IF(H2416="EI",4,IF(H2416="EO",5.2,IF(H2416="EQ",3.9,IF(H2416="ILF",7.5,IF(H2416="EIF",5.4)))))))</f>
        <v/>
      </c>
      <c r="M2416" s="30" t="str">
        <f t="shared" si="254"/>
        <v/>
      </c>
      <c r="N2416" s="134"/>
      <c r="O2416" s="29"/>
      <c r="P2416" s="37" t="str">
        <f t="shared" si="255"/>
        <v/>
      </c>
      <c r="Q2416" s="38" t="str">
        <f t="shared" si="256"/>
        <v/>
      </c>
      <c r="R2416" s="37" t="str">
        <f t="shared" si="257"/>
        <v/>
      </c>
      <c r="S2416" s="37" t="str">
        <f t="shared" si="258"/>
        <v/>
      </c>
      <c r="T2416" s="38" t="str">
        <f t="shared" si="259"/>
        <v/>
      </c>
      <c r="U2416" s="37" t="str">
        <f t="shared" si="260"/>
        <v/>
      </c>
    </row>
    <row r="2417" spans="2:21" ht="17.25">
      <c r="B2417" s="156"/>
      <c r="C2417" s="156"/>
      <c r="D2417" s="157"/>
      <c r="E2417" s="155"/>
      <c r="F2417" s="151"/>
      <c r="G2417" s="152"/>
      <c r="H2417" s="153"/>
      <c r="I2417" s="154"/>
      <c r="J2417" s="154"/>
      <c r="K2417" s="30" t="str">
        <f>IF(H2417="","",IF($C$30="간이법","",FPR(H2417,I2417,J2417)))</f>
        <v/>
      </c>
      <c r="L2417" s="30" t="str">
        <f>IF(H2417="","",IF($C$30="상세법",FPV(H2417,K2417),IF(H2417="EI",4,IF(H2417="EO",5.2,IF(H2417="EQ",3.9,IF(H2417="ILF",7.5,IF(H2417="EIF",5.4)))))))</f>
        <v/>
      </c>
      <c r="M2417" s="30" t="str">
        <f t="shared" si="254"/>
        <v/>
      </c>
      <c r="N2417" s="134"/>
      <c r="O2417" s="29"/>
      <c r="P2417" s="37" t="str">
        <f t="shared" si="255"/>
        <v/>
      </c>
      <c r="Q2417" s="38" t="str">
        <f t="shared" si="256"/>
        <v/>
      </c>
      <c r="R2417" s="37" t="str">
        <f t="shared" si="257"/>
        <v/>
      </c>
      <c r="S2417" s="37" t="str">
        <f t="shared" si="258"/>
        <v/>
      </c>
      <c r="T2417" s="38" t="str">
        <f t="shared" si="259"/>
        <v/>
      </c>
      <c r="U2417" s="37" t="str">
        <f t="shared" si="260"/>
        <v/>
      </c>
    </row>
    <row r="2418" spans="2:21" ht="17.25">
      <c r="B2418" s="156"/>
      <c r="C2418" s="156"/>
      <c r="D2418" s="157"/>
      <c r="E2418" s="155"/>
      <c r="F2418" s="151"/>
      <c r="G2418" s="152"/>
      <c r="H2418" s="153"/>
      <c r="I2418" s="154"/>
      <c r="J2418" s="154"/>
      <c r="K2418" s="30" t="str">
        <f>IF(H2418="","",IF($C$30="간이법","",FPR(H2418,I2418,J2418)))</f>
        <v/>
      </c>
      <c r="L2418" s="30" t="str">
        <f>IF(H2418="","",IF($C$30="상세법",FPV(H2418,K2418),IF(H2418="EI",4,IF(H2418="EO",5.2,IF(H2418="EQ",3.9,IF(H2418="ILF",7.5,IF(H2418="EIF",5.4)))))))</f>
        <v/>
      </c>
      <c r="M2418" s="30" t="str">
        <f t="shared" si="254"/>
        <v/>
      </c>
      <c r="N2418" s="134"/>
      <c r="O2418" s="29"/>
      <c r="P2418" s="37" t="str">
        <f t="shared" si="255"/>
        <v/>
      </c>
      <c r="Q2418" s="38" t="str">
        <f t="shared" si="256"/>
        <v/>
      </c>
      <c r="R2418" s="37" t="str">
        <f t="shared" si="257"/>
        <v/>
      </c>
      <c r="S2418" s="37" t="str">
        <f t="shared" si="258"/>
        <v/>
      </c>
      <c r="T2418" s="38" t="str">
        <f t="shared" si="259"/>
        <v/>
      </c>
      <c r="U2418" s="37" t="str">
        <f t="shared" si="260"/>
        <v/>
      </c>
    </row>
    <row r="2419" spans="2:21" ht="17.25">
      <c r="B2419" s="156"/>
      <c r="C2419" s="156"/>
      <c r="D2419" s="157"/>
      <c r="E2419" s="155"/>
      <c r="F2419" s="151"/>
      <c r="G2419" s="152"/>
      <c r="H2419" s="153"/>
      <c r="I2419" s="154"/>
      <c r="J2419" s="154"/>
      <c r="K2419" s="30" t="str">
        <f>IF(H2419="","",IF($C$30="간이법","",FPR(H2419,I2419,J2419)))</f>
        <v/>
      </c>
      <c r="L2419" s="30" t="str">
        <f>IF(H2419="","",IF($C$30="상세법",FPV(H2419,K2419),IF(H2419="EI",4,IF(H2419="EO",5.2,IF(H2419="EQ",3.9,IF(H2419="ILF",7.5,IF(H2419="EIF",5.4)))))))</f>
        <v/>
      </c>
      <c r="M2419" s="30" t="str">
        <f t="shared" si="254"/>
        <v/>
      </c>
      <c r="N2419" s="134"/>
      <c r="O2419" s="29"/>
      <c r="P2419" s="37" t="str">
        <f t="shared" si="255"/>
        <v/>
      </c>
      <c r="Q2419" s="38" t="str">
        <f t="shared" si="256"/>
        <v/>
      </c>
      <c r="R2419" s="37" t="str">
        <f t="shared" si="257"/>
        <v/>
      </c>
      <c r="S2419" s="37" t="str">
        <f t="shared" si="258"/>
        <v/>
      </c>
      <c r="T2419" s="38" t="str">
        <f t="shared" si="259"/>
        <v/>
      </c>
      <c r="U2419" s="37" t="str">
        <f t="shared" si="260"/>
        <v/>
      </c>
    </row>
    <row r="2420" spans="2:21" ht="17.25">
      <c r="B2420" s="156"/>
      <c r="C2420" s="156"/>
      <c r="D2420" s="157"/>
      <c r="E2420" s="155"/>
      <c r="F2420" s="151"/>
      <c r="G2420" s="152"/>
      <c r="H2420" s="153"/>
      <c r="I2420" s="154"/>
      <c r="J2420" s="154"/>
      <c r="K2420" s="30" t="str">
        <f>IF(H2420="","",IF($C$30="간이법","",FPR(H2420,I2420,J2420)))</f>
        <v/>
      </c>
      <c r="L2420" s="30" t="str">
        <f>IF(H2420="","",IF($C$30="상세법",FPV(H2420,K2420),IF(H2420="EI",4,IF(H2420="EO",5.2,IF(H2420="EQ",3.9,IF(H2420="ILF",7.5,IF(H2420="EIF",5.4)))))))</f>
        <v/>
      </c>
      <c r="M2420" s="30" t="str">
        <f t="shared" si="254"/>
        <v/>
      </c>
      <c r="N2420" s="134"/>
      <c r="O2420" s="29"/>
      <c r="P2420" s="37" t="str">
        <f t="shared" si="255"/>
        <v/>
      </c>
      <c r="Q2420" s="38" t="str">
        <f t="shared" si="256"/>
        <v/>
      </c>
      <c r="R2420" s="37" t="str">
        <f t="shared" si="257"/>
        <v/>
      </c>
      <c r="S2420" s="37" t="str">
        <f t="shared" si="258"/>
        <v/>
      </c>
      <c r="T2420" s="38" t="str">
        <f t="shared" si="259"/>
        <v/>
      </c>
      <c r="U2420" s="37" t="str">
        <f t="shared" si="260"/>
        <v/>
      </c>
    </row>
    <row r="2421" spans="2:21" ht="17.25">
      <c r="B2421" s="156"/>
      <c r="C2421" s="156"/>
      <c r="D2421" s="157"/>
      <c r="E2421" s="155"/>
      <c r="F2421" s="151"/>
      <c r="G2421" s="152"/>
      <c r="H2421" s="153"/>
      <c r="I2421" s="154"/>
      <c r="J2421" s="154"/>
      <c r="K2421" s="30" t="str">
        <f>IF(H2421="","",IF($C$30="간이법","",FPR(H2421,I2421,J2421)))</f>
        <v/>
      </c>
      <c r="L2421" s="30" t="str">
        <f>IF(H2421="","",IF($C$30="상세법",FPV(H2421,K2421),IF(H2421="EI",4,IF(H2421="EO",5.2,IF(H2421="EQ",3.9,IF(H2421="ILF",7.5,IF(H2421="EIF",5.4)))))))</f>
        <v/>
      </c>
      <c r="M2421" s="30" t="str">
        <f t="shared" si="254"/>
        <v/>
      </c>
      <c r="N2421" s="134"/>
      <c r="O2421" s="29"/>
      <c r="P2421" s="37" t="str">
        <f t="shared" si="255"/>
        <v/>
      </c>
      <c r="Q2421" s="38" t="str">
        <f t="shared" si="256"/>
        <v/>
      </c>
      <c r="R2421" s="37" t="str">
        <f t="shared" si="257"/>
        <v/>
      </c>
      <c r="S2421" s="37" t="str">
        <f t="shared" si="258"/>
        <v/>
      </c>
      <c r="T2421" s="38" t="str">
        <f t="shared" si="259"/>
        <v/>
      </c>
      <c r="U2421" s="37" t="str">
        <f t="shared" si="260"/>
        <v/>
      </c>
    </row>
    <row r="2422" spans="2:21" ht="17.25">
      <c r="B2422" s="156"/>
      <c r="C2422" s="156"/>
      <c r="D2422" s="157"/>
      <c r="E2422" s="155"/>
      <c r="F2422" s="151"/>
      <c r="G2422" s="152"/>
      <c r="H2422" s="153"/>
      <c r="I2422" s="154"/>
      <c r="J2422" s="154"/>
      <c r="K2422" s="30" t="str">
        <f>IF(H2422="","",IF($C$30="간이법","",FPR(H2422,I2422,J2422)))</f>
        <v/>
      </c>
      <c r="L2422" s="30" t="str">
        <f>IF(H2422="","",IF($C$30="상세법",FPV(H2422,K2422),IF(H2422="EI",4,IF(H2422="EO",5.2,IF(H2422="EQ",3.9,IF(H2422="ILF",7.5,IF(H2422="EIF",5.4)))))))</f>
        <v/>
      </c>
      <c r="M2422" s="30" t="str">
        <f t="shared" si="254"/>
        <v/>
      </c>
      <c r="N2422" s="134"/>
      <c r="O2422" s="29"/>
      <c r="P2422" s="37" t="str">
        <f t="shared" si="255"/>
        <v/>
      </c>
      <c r="Q2422" s="38" t="str">
        <f t="shared" si="256"/>
        <v/>
      </c>
      <c r="R2422" s="37" t="str">
        <f t="shared" si="257"/>
        <v/>
      </c>
      <c r="S2422" s="37" t="str">
        <f t="shared" si="258"/>
        <v/>
      </c>
      <c r="T2422" s="38" t="str">
        <f t="shared" si="259"/>
        <v/>
      </c>
      <c r="U2422" s="37" t="str">
        <f t="shared" si="260"/>
        <v/>
      </c>
    </row>
    <row r="2423" spans="2:21" ht="17.25">
      <c r="B2423" s="156"/>
      <c r="C2423" s="156"/>
      <c r="D2423" s="157"/>
      <c r="E2423" s="155"/>
      <c r="F2423" s="151"/>
      <c r="G2423" s="152"/>
      <c r="H2423" s="153"/>
      <c r="I2423" s="154"/>
      <c r="J2423" s="154"/>
      <c r="K2423" s="30" t="str">
        <f>IF(H2423="","",IF($C$30="간이법","",FPR(H2423,I2423,J2423)))</f>
        <v/>
      </c>
      <c r="L2423" s="30" t="str">
        <f>IF(H2423="","",IF($C$30="상세법",FPV(H2423,K2423),IF(H2423="EI",4,IF(H2423="EO",5.2,IF(H2423="EQ",3.9,IF(H2423="ILF",7.5,IF(H2423="EIF",5.4)))))))</f>
        <v/>
      </c>
      <c r="M2423" s="30" t="str">
        <f t="shared" si="254"/>
        <v/>
      </c>
      <c r="N2423" s="134"/>
      <c r="O2423" s="29"/>
      <c r="P2423" s="37" t="str">
        <f t="shared" si="255"/>
        <v/>
      </c>
      <c r="Q2423" s="38" t="str">
        <f t="shared" si="256"/>
        <v/>
      </c>
      <c r="R2423" s="37" t="str">
        <f t="shared" si="257"/>
        <v/>
      </c>
      <c r="S2423" s="37" t="str">
        <f t="shared" si="258"/>
        <v/>
      </c>
      <c r="T2423" s="38" t="str">
        <f t="shared" si="259"/>
        <v/>
      </c>
      <c r="U2423" s="37" t="str">
        <f t="shared" si="260"/>
        <v/>
      </c>
    </row>
    <row r="2424" spans="2:21" ht="17.25">
      <c r="B2424" s="156"/>
      <c r="C2424" s="156"/>
      <c r="D2424" s="157"/>
      <c r="E2424" s="155"/>
      <c r="F2424" s="151"/>
      <c r="G2424" s="152"/>
      <c r="H2424" s="153"/>
      <c r="I2424" s="154"/>
      <c r="J2424" s="154"/>
      <c r="K2424" s="30" t="str">
        <f>IF(H2424="","",IF($C$30="간이법","",FPR(H2424,I2424,J2424)))</f>
        <v/>
      </c>
      <c r="L2424" s="30" t="str">
        <f>IF(H2424="","",IF($C$30="상세법",FPV(H2424,K2424),IF(H2424="EI",4,IF(H2424="EO",5.2,IF(H2424="EQ",3.9,IF(H2424="ILF",7.5,IF(H2424="EIF",5.4)))))))</f>
        <v/>
      </c>
      <c r="M2424" s="30" t="str">
        <f t="shared" si="254"/>
        <v/>
      </c>
      <c r="N2424" s="134"/>
      <c r="O2424" s="29"/>
      <c r="P2424" s="37" t="str">
        <f t="shared" si="255"/>
        <v/>
      </c>
      <c r="Q2424" s="38" t="str">
        <f t="shared" si="256"/>
        <v/>
      </c>
      <c r="R2424" s="37" t="str">
        <f t="shared" si="257"/>
        <v/>
      </c>
      <c r="S2424" s="37" t="str">
        <f t="shared" si="258"/>
        <v/>
      </c>
      <c r="T2424" s="38" t="str">
        <f t="shared" si="259"/>
        <v/>
      </c>
      <c r="U2424" s="37" t="str">
        <f t="shared" si="260"/>
        <v/>
      </c>
    </row>
    <row r="2425" spans="2:21" ht="17.25">
      <c r="B2425" s="156"/>
      <c r="C2425" s="156"/>
      <c r="D2425" s="157"/>
      <c r="E2425" s="155"/>
      <c r="F2425" s="151"/>
      <c r="G2425" s="152"/>
      <c r="H2425" s="153"/>
      <c r="I2425" s="154"/>
      <c r="J2425" s="154"/>
      <c r="K2425" s="30" t="str">
        <f>IF(H2425="","",IF($C$30="간이법","",FPR(H2425,I2425,J2425)))</f>
        <v/>
      </c>
      <c r="L2425" s="30" t="str">
        <f>IF(H2425="","",IF($C$30="상세법",FPV(H2425,K2425),IF(H2425="EI",4,IF(H2425="EO",5.2,IF(H2425="EQ",3.9,IF(H2425="ILF",7.5,IF(H2425="EIF",5.4)))))))</f>
        <v/>
      </c>
      <c r="M2425" s="30" t="str">
        <f t="shared" si="254"/>
        <v/>
      </c>
      <c r="N2425" s="134"/>
      <c r="O2425" s="29"/>
      <c r="P2425" s="37" t="str">
        <f t="shared" si="255"/>
        <v/>
      </c>
      <c r="Q2425" s="38" t="str">
        <f t="shared" si="256"/>
        <v/>
      </c>
      <c r="R2425" s="37" t="str">
        <f t="shared" si="257"/>
        <v/>
      </c>
      <c r="S2425" s="37" t="str">
        <f t="shared" si="258"/>
        <v/>
      </c>
      <c r="T2425" s="38" t="str">
        <f t="shared" si="259"/>
        <v/>
      </c>
      <c r="U2425" s="37" t="str">
        <f t="shared" si="260"/>
        <v/>
      </c>
    </row>
    <row r="2426" spans="2:21" ht="17.25">
      <c r="B2426" s="156"/>
      <c r="C2426" s="156"/>
      <c r="D2426" s="157"/>
      <c r="E2426" s="155"/>
      <c r="F2426" s="151"/>
      <c r="G2426" s="152"/>
      <c r="H2426" s="153"/>
      <c r="I2426" s="154"/>
      <c r="J2426" s="154"/>
      <c r="K2426" s="30" t="str">
        <f>IF(H2426="","",IF($C$30="간이법","",FPR(H2426,I2426,J2426)))</f>
        <v/>
      </c>
      <c r="L2426" s="30" t="str">
        <f>IF(H2426="","",IF($C$30="상세법",FPV(H2426,K2426),IF(H2426="EI",4,IF(H2426="EO",5.2,IF(H2426="EQ",3.9,IF(H2426="ILF",7.5,IF(H2426="EIF",5.4)))))))</f>
        <v/>
      </c>
      <c r="M2426" s="30" t="str">
        <f t="shared" si="254"/>
        <v/>
      </c>
      <c r="N2426" s="134"/>
      <c r="O2426" s="29"/>
      <c r="P2426" s="37" t="str">
        <f t="shared" si="255"/>
        <v/>
      </c>
      <c r="Q2426" s="38" t="str">
        <f t="shared" si="256"/>
        <v/>
      </c>
      <c r="R2426" s="37" t="str">
        <f t="shared" si="257"/>
        <v/>
      </c>
      <c r="S2426" s="37" t="str">
        <f t="shared" si="258"/>
        <v/>
      </c>
      <c r="T2426" s="38" t="str">
        <f t="shared" si="259"/>
        <v/>
      </c>
      <c r="U2426" s="37" t="str">
        <f t="shared" si="260"/>
        <v/>
      </c>
    </row>
    <row r="2427" spans="2:21" ht="17.25">
      <c r="B2427" s="156"/>
      <c r="C2427" s="156"/>
      <c r="D2427" s="157"/>
      <c r="E2427" s="155"/>
      <c r="F2427" s="151"/>
      <c r="G2427" s="152"/>
      <c r="H2427" s="153"/>
      <c r="I2427" s="154"/>
      <c r="J2427" s="154"/>
      <c r="K2427" s="30" t="str">
        <f>IF(H2427="","",IF($C$30="간이법","",FPR(H2427,I2427,J2427)))</f>
        <v/>
      </c>
      <c r="L2427" s="30" t="str">
        <f>IF(H2427="","",IF($C$30="상세법",FPV(H2427,K2427),IF(H2427="EI",4,IF(H2427="EO",5.2,IF(H2427="EQ",3.9,IF(H2427="ILF",7.5,IF(H2427="EIF",5.4)))))))</f>
        <v/>
      </c>
      <c r="M2427" s="30" t="str">
        <f t="shared" si="254"/>
        <v/>
      </c>
      <c r="N2427" s="134"/>
      <c r="O2427" s="29"/>
      <c r="P2427" s="37" t="str">
        <f t="shared" si="255"/>
        <v/>
      </c>
      <c r="Q2427" s="38" t="str">
        <f t="shared" si="256"/>
        <v/>
      </c>
      <c r="R2427" s="37" t="str">
        <f t="shared" si="257"/>
        <v/>
      </c>
      <c r="S2427" s="37" t="str">
        <f t="shared" si="258"/>
        <v/>
      </c>
      <c r="T2427" s="38" t="str">
        <f t="shared" si="259"/>
        <v/>
      </c>
      <c r="U2427" s="37" t="str">
        <f t="shared" si="260"/>
        <v/>
      </c>
    </row>
    <row r="2428" spans="2:21" ht="17.25">
      <c r="B2428" s="156"/>
      <c r="C2428" s="156"/>
      <c r="D2428" s="157"/>
      <c r="E2428" s="155"/>
      <c r="F2428" s="151"/>
      <c r="G2428" s="152"/>
      <c r="H2428" s="153"/>
      <c r="I2428" s="154"/>
      <c r="J2428" s="154"/>
      <c r="K2428" s="30" t="str">
        <f>IF(H2428="","",IF($C$30="간이법","",FPR(H2428,I2428,J2428)))</f>
        <v/>
      </c>
      <c r="L2428" s="30" t="str">
        <f>IF(H2428="","",IF($C$30="상세법",FPV(H2428,K2428),IF(H2428="EI",4,IF(H2428="EO",5.2,IF(H2428="EQ",3.9,IF(H2428="ILF",7.5,IF(H2428="EIF",5.4)))))))</f>
        <v/>
      </c>
      <c r="M2428" s="30" t="str">
        <f t="shared" ref="M2428:M2491" si="261">IF(OR(G2428="",$E$36="(선택)",$E$40="(선택)",$E$41="(선택)",F2428="신규 개발",F2428="수정 없이 재사용"),"",(IF(F2428="수정 후 재사용",IF($E$50&lt;=0.5,L2428*($E$36+$E$50*100*(1+0.02*($E$40*$E$41)))/100,L2428*($E$36+$E$50*100+($E$40*$E$41))/100))))</f>
        <v/>
      </c>
      <c r="N2428" s="134"/>
      <c r="O2428" s="29"/>
      <c r="P2428" s="37" t="str">
        <f t="shared" ref="P2428:P2491" si="262">IF(F2428="수정 후 재사용",IF(H2428="ILF",G2428,IF(H2428="EIF",G2428,"")),"")</f>
        <v/>
      </c>
      <c r="Q2428" s="38" t="str">
        <f t="shared" ref="Q2428:Q2491" si="263">IF(P2428&lt;&gt;"",IF(H2428="ILF", L2428/$E$46,IF(H2428="EIF", L2428/$E$46,"")),"")</f>
        <v/>
      </c>
      <c r="R2428" s="37" t="str">
        <f t="shared" ref="R2428:R2491" si="264">IF(P2428&lt;&gt;"",P2428*Q2428,"")</f>
        <v/>
      </c>
      <c r="S2428" s="37" t="str">
        <f t="shared" ref="S2428:S2491" si="265">IF(F2428="수정 후 재사용",IF(H2428="EI",G2428,IF(H2428="EO",G2428,IF(H2428="EQ",G2428,""))),"")</f>
        <v/>
      </c>
      <c r="T2428" s="38" t="str">
        <f t="shared" ref="T2428:T2491" si="266">IF(S2428&lt;&gt;"",IF(H2428="EI",L2428/$E$47,IF(H2428="EO",L2428/$E$47,IF(H2428="EQ",L2428/$E$47,""))),"")</f>
        <v/>
      </c>
      <c r="U2428" s="37" t="str">
        <f t="shared" ref="U2428:U2491" si="267">IF(S2428&lt;&gt;"",S2428*T2428,"")</f>
        <v/>
      </c>
    </row>
    <row r="2429" spans="2:21" ht="17.25">
      <c r="B2429" s="156"/>
      <c r="C2429" s="156"/>
      <c r="D2429" s="157"/>
      <c r="E2429" s="155"/>
      <c r="F2429" s="151"/>
      <c r="G2429" s="152"/>
      <c r="H2429" s="153"/>
      <c r="I2429" s="154"/>
      <c r="J2429" s="154"/>
      <c r="K2429" s="30" t="str">
        <f>IF(H2429="","",IF($C$30="간이법","",FPR(H2429,I2429,J2429)))</f>
        <v/>
      </c>
      <c r="L2429" s="30" t="str">
        <f>IF(H2429="","",IF($C$30="상세법",FPV(H2429,K2429),IF(H2429="EI",4,IF(H2429="EO",5.2,IF(H2429="EQ",3.9,IF(H2429="ILF",7.5,IF(H2429="EIF",5.4)))))))</f>
        <v/>
      </c>
      <c r="M2429" s="30" t="str">
        <f t="shared" si="261"/>
        <v/>
      </c>
      <c r="N2429" s="134"/>
      <c r="O2429" s="29"/>
      <c r="P2429" s="37" t="str">
        <f t="shared" si="262"/>
        <v/>
      </c>
      <c r="Q2429" s="38" t="str">
        <f t="shared" si="263"/>
        <v/>
      </c>
      <c r="R2429" s="37" t="str">
        <f t="shared" si="264"/>
        <v/>
      </c>
      <c r="S2429" s="37" t="str">
        <f t="shared" si="265"/>
        <v/>
      </c>
      <c r="T2429" s="38" t="str">
        <f t="shared" si="266"/>
        <v/>
      </c>
      <c r="U2429" s="37" t="str">
        <f t="shared" si="267"/>
        <v/>
      </c>
    </row>
    <row r="2430" spans="2:21" ht="17.25">
      <c r="B2430" s="156"/>
      <c r="C2430" s="156"/>
      <c r="D2430" s="157"/>
      <c r="E2430" s="155"/>
      <c r="F2430" s="151"/>
      <c r="G2430" s="152"/>
      <c r="H2430" s="153"/>
      <c r="I2430" s="154"/>
      <c r="J2430" s="154"/>
      <c r="K2430" s="30" t="str">
        <f>IF(H2430="","",IF($C$30="간이법","",FPR(H2430,I2430,J2430)))</f>
        <v/>
      </c>
      <c r="L2430" s="30" t="str">
        <f>IF(H2430="","",IF($C$30="상세법",FPV(H2430,K2430),IF(H2430="EI",4,IF(H2430="EO",5.2,IF(H2430="EQ",3.9,IF(H2430="ILF",7.5,IF(H2430="EIF",5.4)))))))</f>
        <v/>
      </c>
      <c r="M2430" s="30" t="str">
        <f t="shared" si="261"/>
        <v/>
      </c>
      <c r="N2430" s="134"/>
      <c r="O2430" s="29"/>
      <c r="P2430" s="37" t="str">
        <f t="shared" si="262"/>
        <v/>
      </c>
      <c r="Q2430" s="38" t="str">
        <f t="shared" si="263"/>
        <v/>
      </c>
      <c r="R2430" s="37" t="str">
        <f t="shared" si="264"/>
        <v/>
      </c>
      <c r="S2430" s="37" t="str">
        <f t="shared" si="265"/>
        <v/>
      </c>
      <c r="T2430" s="38" t="str">
        <f t="shared" si="266"/>
        <v/>
      </c>
      <c r="U2430" s="37" t="str">
        <f t="shared" si="267"/>
        <v/>
      </c>
    </row>
    <row r="2431" spans="2:21" ht="17.25">
      <c r="B2431" s="156"/>
      <c r="C2431" s="156"/>
      <c r="D2431" s="157"/>
      <c r="E2431" s="155"/>
      <c r="F2431" s="151"/>
      <c r="G2431" s="152"/>
      <c r="H2431" s="153"/>
      <c r="I2431" s="154"/>
      <c r="J2431" s="154"/>
      <c r="K2431" s="30" t="str">
        <f>IF(H2431="","",IF($C$30="간이법","",FPR(H2431,I2431,J2431)))</f>
        <v/>
      </c>
      <c r="L2431" s="30" t="str">
        <f>IF(H2431="","",IF($C$30="상세법",FPV(H2431,K2431),IF(H2431="EI",4,IF(H2431="EO",5.2,IF(H2431="EQ",3.9,IF(H2431="ILF",7.5,IF(H2431="EIF",5.4)))))))</f>
        <v/>
      </c>
      <c r="M2431" s="30" t="str">
        <f t="shared" si="261"/>
        <v/>
      </c>
      <c r="N2431" s="134"/>
      <c r="O2431" s="29"/>
      <c r="P2431" s="37" t="str">
        <f t="shared" si="262"/>
        <v/>
      </c>
      <c r="Q2431" s="38" t="str">
        <f t="shared" si="263"/>
        <v/>
      </c>
      <c r="R2431" s="37" t="str">
        <f t="shared" si="264"/>
        <v/>
      </c>
      <c r="S2431" s="37" t="str">
        <f t="shared" si="265"/>
        <v/>
      </c>
      <c r="T2431" s="38" t="str">
        <f t="shared" si="266"/>
        <v/>
      </c>
      <c r="U2431" s="37" t="str">
        <f t="shared" si="267"/>
        <v/>
      </c>
    </row>
    <row r="2432" spans="2:21" ht="17.25">
      <c r="B2432" s="156"/>
      <c r="C2432" s="156"/>
      <c r="D2432" s="157"/>
      <c r="E2432" s="155"/>
      <c r="F2432" s="151"/>
      <c r="G2432" s="152"/>
      <c r="H2432" s="153"/>
      <c r="I2432" s="154"/>
      <c r="J2432" s="154"/>
      <c r="K2432" s="30" t="str">
        <f>IF(H2432="","",IF($C$30="간이법","",FPR(H2432,I2432,J2432)))</f>
        <v/>
      </c>
      <c r="L2432" s="30" t="str">
        <f>IF(H2432="","",IF($C$30="상세법",FPV(H2432,K2432),IF(H2432="EI",4,IF(H2432="EO",5.2,IF(H2432="EQ",3.9,IF(H2432="ILF",7.5,IF(H2432="EIF",5.4)))))))</f>
        <v/>
      </c>
      <c r="M2432" s="30" t="str">
        <f t="shared" si="261"/>
        <v/>
      </c>
      <c r="N2432" s="134"/>
      <c r="O2432" s="29"/>
      <c r="P2432" s="37" t="str">
        <f t="shared" si="262"/>
        <v/>
      </c>
      <c r="Q2432" s="38" t="str">
        <f t="shared" si="263"/>
        <v/>
      </c>
      <c r="R2432" s="37" t="str">
        <f t="shared" si="264"/>
        <v/>
      </c>
      <c r="S2432" s="37" t="str">
        <f t="shared" si="265"/>
        <v/>
      </c>
      <c r="T2432" s="38" t="str">
        <f t="shared" si="266"/>
        <v/>
      </c>
      <c r="U2432" s="37" t="str">
        <f t="shared" si="267"/>
        <v/>
      </c>
    </row>
    <row r="2433" spans="2:21" ht="17.25">
      <c r="B2433" s="156"/>
      <c r="C2433" s="156"/>
      <c r="D2433" s="157"/>
      <c r="E2433" s="155"/>
      <c r="F2433" s="151"/>
      <c r="G2433" s="152"/>
      <c r="H2433" s="153"/>
      <c r="I2433" s="154"/>
      <c r="J2433" s="154"/>
      <c r="K2433" s="30" t="str">
        <f>IF(H2433="","",IF($C$30="간이법","",FPR(H2433,I2433,J2433)))</f>
        <v/>
      </c>
      <c r="L2433" s="30" t="str">
        <f>IF(H2433="","",IF($C$30="상세법",FPV(H2433,K2433),IF(H2433="EI",4,IF(H2433="EO",5.2,IF(H2433="EQ",3.9,IF(H2433="ILF",7.5,IF(H2433="EIF",5.4)))))))</f>
        <v/>
      </c>
      <c r="M2433" s="30" t="str">
        <f t="shared" si="261"/>
        <v/>
      </c>
      <c r="N2433" s="134"/>
      <c r="O2433" s="29"/>
      <c r="P2433" s="37" t="str">
        <f t="shared" si="262"/>
        <v/>
      </c>
      <c r="Q2433" s="38" t="str">
        <f t="shared" si="263"/>
        <v/>
      </c>
      <c r="R2433" s="37" t="str">
        <f t="shared" si="264"/>
        <v/>
      </c>
      <c r="S2433" s="37" t="str">
        <f t="shared" si="265"/>
        <v/>
      </c>
      <c r="T2433" s="38" t="str">
        <f t="shared" si="266"/>
        <v/>
      </c>
      <c r="U2433" s="37" t="str">
        <f t="shared" si="267"/>
        <v/>
      </c>
    </row>
    <row r="2434" spans="2:21" ht="17.25">
      <c r="B2434" s="156"/>
      <c r="C2434" s="156"/>
      <c r="D2434" s="157"/>
      <c r="E2434" s="155"/>
      <c r="F2434" s="151"/>
      <c r="G2434" s="152"/>
      <c r="H2434" s="153"/>
      <c r="I2434" s="154"/>
      <c r="J2434" s="154"/>
      <c r="K2434" s="30" t="str">
        <f>IF(H2434="","",IF($C$30="간이법","",FPR(H2434,I2434,J2434)))</f>
        <v/>
      </c>
      <c r="L2434" s="30" t="str">
        <f>IF(H2434="","",IF($C$30="상세법",FPV(H2434,K2434),IF(H2434="EI",4,IF(H2434="EO",5.2,IF(H2434="EQ",3.9,IF(H2434="ILF",7.5,IF(H2434="EIF",5.4)))))))</f>
        <v/>
      </c>
      <c r="M2434" s="30" t="str">
        <f t="shared" si="261"/>
        <v/>
      </c>
      <c r="N2434" s="134"/>
      <c r="O2434" s="29"/>
      <c r="P2434" s="37" t="str">
        <f t="shared" si="262"/>
        <v/>
      </c>
      <c r="Q2434" s="38" t="str">
        <f t="shared" si="263"/>
        <v/>
      </c>
      <c r="R2434" s="37" t="str">
        <f t="shared" si="264"/>
        <v/>
      </c>
      <c r="S2434" s="37" t="str">
        <f t="shared" si="265"/>
        <v/>
      </c>
      <c r="T2434" s="38" t="str">
        <f t="shared" si="266"/>
        <v/>
      </c>
      <c r="U2434" s="37" t="str">
        <f t="shared" si="267"/>
        <v/>
      </c>
    </row>
    <row r="2435" spans="2:21" ht="17.25">
      <c r="B2435" s="156"/>
      <c r="C2435" s="156"/>
      <c r="D2435" s="157"/>
      <c r="E2435" s="155"/>
      <c r="F2435" s="151"/>
      <c r="G2435" s="152"/>
      <c r="H2435" s="153"/>
      <c r="I2435" s="154"/>
      <c r="J2435" s="154"/>
      <c r="K2435" s="30" t="str">
        <f>IF(H2435="","",IF($C$30="간이법","",FPR(H2435,I2435,J2435)))</f>
        <v/>
      </c>
      <c r="L2435" s="30" t="str">
        <f>IF(H2435="","",IF($C$30="상세법",FPV(H2435,K2435),IF(H2435="EI",4,IF(H2435="EO",5.2,IF(H2435="EQ",3.9,IF(H2435="ILF",7.5,IF(H2435="EIF",5.4)))))))</f>
        <v/>
      </c>
      <c r="M2435" s="30" t="str">
        <f t="shared" si="261"/>
        <v/>
      </c>
      <c r="N2435" s="134"/>
      <c r="O2435" s="29"/>
      <c r="P2435" s="37" t="str">
        <f t="shared" si="262"/>
        <v/>
      </c>
      <c r="Q2435" s="38" t="str">
        <f t="shared" si="263"/>
        <v/>
      </c>
      <c r="R2435" s="37" t="str">
        <f t="shared" si="264"/>
        <v/>
      </c>
      <c r="S2435" s="37" t="str">
        <f t="shared" si="265"/>
        <v/>
      </c>
      <c r="T2435" s="38" t="str">
        <f t="shared" si="266"/>
        <v/>
      </c>
      <c r="U2435" s="37" t="str">
        <f t="shared" si="267"/>
        <v/>
      </c>
    </row>
    <row r="2436" spans="2:21" ht="17.25">
      <c r="B2436" s="156"/>
      <c r="C2436" s="156"/>
      <c r="D2436" s="157"/>
      <c r="E2436" s="155"/>
      <c r="F2436" s="151"/>
      <c r="G2436" s="152"/>
      <c r="H2436" s="153"/>
      <c r="I2436" s="154"/>
      <c r="J2436" s="154"/>
      <c r="K2436" s="30" t="str">
        <f>IF(H2436="","",IF($C$30="간이법","",FPR(H2436,I2436,J2436)))</f>
        <v/>
      </c>
      <c r="L2436" s="30" t="str">
        <f>IF(H2436="","",IF($C$30="상세법",FPV(H2436,K2436),IF(H2436="EI",4,IF(H2436="EO",5.2,IF(H2436="EQ",3.9,IF(H2436="ILF",7.5,IF(H2436="EIF",5.4)))))))</f>
        <v/>
      </c>
      <c r="M2436" s="30" t="str">
        <f t="shared" si="261"/>
        <v/>
      </c>
      <c r="N2436" s="134"/>
      <c r="O2436" s="29"/>
      <c r="P2436" s="37" t="str">
        <f t="shared" si="262"/>
        <v/>
      </c>
      <c r="Q2436" s="38" t="str">
        <f t="shared" si="263"/>
        <v/>
      </c>
      <c r="R2436" s="37" t="str">
        <f t="shared" si="264"/>
        <v/>
      </c>
      <c r="S2436" s="37" t="str">
        <f t="shared" si="265"/>
        <v/>
      </c>
      <c r="T2436" s="38" t="str">
        <f t="shared" si="266"/>
        <v/>
      </c>
      <c r="U2436" s="37" t="str">
        <f t="shared" si="267"/>
        <v/>
      </c>
    </row>
    <row r="2437" spans="2:21" ht="17.25">
      <c r="B2437" s="156"/>
      <c r="C2437" s="156"/>
      <c r="D2437" s="157"/>
      <c r="E2437" s="155"/>
      <c r="F2437" s="151"/>
      <c r="G2437" s="152"/>
      <c r="H2437" s="153"/>
      <c r="I2437" s="154"/>
      <c r="J2437" s="154"/>
      <c r="K2437" s="30" t="str">
        <f>IF(H2437="","",IF($C$30="간이법","",FPR(H2437,I2437,J2437)))</f>
        <v/>
      </c>
      <c r="L2437" s="30" t="str">
        <f>IF(H2437="","",IF($C$30="상세법",FPV(H2437,K2437),IF(H2437="EI",4,IF(H2437="EO",5.2,IF(H2437="EQ",3.9,IF(H2437="ILF",7.5,IF(H2437="EIF",5.4)))))))</f>
        <v/>
      </c>
      <c r="M2437" s="30" t="str">
        <f t="shared" si="261"/>
        <v/>
      </c>
      <c r="N2437" s="134"/>
      <c r="O2437" s="29"/>
      <c r="P2437" s="37" t="str">
        <f t="shared" si="262"/>
        <v/>
      </c>
      <c r="Q2437" s="38" t="str">
        <f t="shared" si="263"/>
        <v/>
      </c>
      <c r="R2437" s="37" t="str">
        <f t="shared" si="264"/>
        <v/>
      </c>
      <c r="S2437" s="37" t="str">
        <f t="shared" si="265"/>
        <v/>
      </c>
      <c r="T2437" s="38" t="str">
        <f t="shared" si="266"/>
        <v/>
      </c>
      <c r="U2437" s="37" t="str">
        <f t="shared" si="267"/>
        <v/>
      </c>
    </row>
    <row r="2438" spans="2:21" ht="17.25">
      <c r="B2438" s="156"/>
      <c r="C2438" s="156"/>
      <c r="D2438" s="157"/>
      <c r="E2438" s="155"/>
      <c r="F2438" s="151"/>
      <c r="G2438" s="152"/>
      <c r="H2438" s="153"/>
      <c r="I2438" s="154"/>
      <c r="J2438" s="154"/>
      <c r="K2438" s="30" t="str">
        <f>IF(H2438="","",IF($C$30="간이법","",FPR(H2438,I2438,J2438)))</f>
        <v/>
      </c>
      <c r="L2438" s="30" t="str">
        <f>IF(H2438="","",IF($C$30="상세법",FPV(H2438,K2438),IF(H2438="EI",4,IF(H2438="EO",5.2,IF(H2438="EQ",3.9,IF(H2438="ILF",7.5,IF(H2438="EIF",5.4)))))))</f>
        <v/>
      </c>
      <c r="M2438" s="30" t="str">
        <f t="shared" si="261"/>
        <v/>
      </c>
      <c r="N2438" s="134"/>
      <c r="O2438" s="29"/>
      <c r="P2438" s="37" t="str">
        <f t="shared" si="262"/>
        <v/>
      </c>
      <c r="Q2438" s="38" t="str">
        <f t="shared" si="263"/>
        <v/>
      </c>
      <c r="R2438" s="37" t="str">
        <f t="shared" si="264"/>
        <v/>
      </c>
      <c r="S2438" s="37" t="str">
        <f t="shared" si="265"/>
        <v/>
      </c>
      <c r="T2438" s="38" t="str">
        <f t="shared" si="266"/>
        <v/>
      </c>
      <c r="U2438" s="37" t="str">
        <f t="shared" si="267"/>
        <v/>
      </c>
    </row>
    <row r="2439" spans="2:21" ht="17.25">
      <c r="B2439" s="156"/>
      <c r="C2439" s="156"/>
      <c r="D2439" s="157"/>
      <c r="E2439" s="155"/>
      <c r="F2439" s="151"/>
      <c r="G2439" s="152"/>
      <c r="H2439" s="153"/>
      <c r="I2439" s="154"/>
      <c r="J2439" s="154"/>
      <c r="K2439" s="30" t="str">
        <f>IF(H2439="","",IF($C$30="간이법","",FPR(H2439,I2439,J2439)))</f>
        <v/>
      </c>
      <c r="L2439" s="30" t="str">
        <f>IF(H2439="","",IF($C$30="상세법",FPV(H2439,K2439),IF(H2439="EI",4,IF(H2439="EO",5.2,IF(H2439="EQ",3.9,IF(H2439="ILF",7.5,IF(H2439="EIF",5.4)))))))</f>
        <v/>
      </c>
      <c r="M2439" s="30" t="str">
        <f t="shared" si="261"/>
        <v/>
      </c>
      <c r="N2439" s="134"/>
      <c r="O2439" s="29"/>
      <c r="P2439" s="37" t="str">
        <f t="shared" si="262"/>
        <v/>
      </c>
      <c r="Q2439" s="38" t="str">
        <f t="shared" si="263"/>
        <v/>
      </c>
      <c r="R2439" s="37" t="str">
        <f t="shared" si="264"/>
        <v/>
      </c>
      <c r="S2439" s="37" t="str">
        <f t="shared" si="265"/>
        <v/>
      </c>
      <c r="T2439" s="38" t="str">
        <f t="shared" si="266"/>
        <v/>
      </c>
      <c r="U2439" s="37" t="str">
        <f t="shared" si="267"/>
        <v/>
      </c>
    </row>
    <row r="2440" spans="2:21" ht="17.25">
      <c r="B2440" s="156"/>
      <c r="C2440" s="156"/>
      <c r="D2440" s="157"/>
      <c r="E2440" s="155"/>
      <c r="F2440" s="151"/>
      <c r="G2440" s="152"/>
      <c r="H2440" s="153"/>
      <c r="I2440" s="154"/>
      <c r="J2440" s="154"/>
      <c r="K2440" s="30" t="str">
        <f>IF(H2440="","",IF($C$30="간이법","",FPR(H2440,I2440,J2440)))</f>
        <v/>
      </c>
      <c r="L2440" s="30" t="str">
        <f>IF(H2440="","",IF($C$30="상세법",FPV(H2440,K2440),IF(H2440="EI",4,IF(H2440="EO",5.2,IF(H2440="EQ",3.9,IF(H2440="ILF",7.5,IF(H2440="EIF",5.4)))))))</f>
        <v/>
      </c>
      <c r="M2440" s="30" t="str">
        <f t="shared" si="261"/>
        <v/>
      </c>
      <c r="N2440" s="134"/>
      <c r="O2440" s="29"/>
      <c r="P2440" s="37" t="str">
        <f t="shared" si="262"/>
        <v/>
      </c>
      <c r="Q2440" s="38" t="str">
        <f t="shared" si="263"/>
        <v/>
      </c>
      <c r="R2440" s="37" t="str">
        <f t="shared" si="264"/>
        <v/>
      </c>
      <c r="S2440" s="37" t="str">
        <f t="shared" si="265"/>
        <v/>
      </c>
      <c r="T2440" s="38" t="str">
        <f t="shared" si="266"/>
        <v/>
      </c>
      <c r="U2440" s="37" t="str">
        <f t="shared" si="267"/>
        <v/>
      </c>
    </row>
    <row r="2441" spans="2:21" ht="17.25">
      <c r="B2441" s="156"/>
      <c r="C2441" s="156"/>
      <c r="D2441" s="157"/>
      <c r="E2441" s="155"/>
      <c r="F2441" s="151"/>
      <c r="G2441" s="152"/>
      <c r="H2441" s="153"/>
      <c r="I2441" s="154"/>
      <c r="J2441" s="154"/>
      <c r="K2441" s="30" t="str">
        <f>IF(H2441="","",IF($C$30="간이법","",FPR(H2441,I2441,J2441)))</f>
        <v/>
      </c>
      <c r="L2441" s="30" t="str">
        <f>IF(H2441="","",IF($C$30="상세법",FPV(H2441,K2441),IF(H2441="EI",4,IF(H2441="EO",5.2,IF(H2441="EQ",3.9,IF(H2441="ILF",7.5,IF(H2441="EIF",5.4)))))))</f>
        <v/>
      </c>
      <c r="M2441" s="30" t="str">
        <f t="shared" si="261"/>
        <v/>
      </c>
      <c r="N2441" s="134"/>
      <c r="O2441" s="29"/>
      <c r="P2441" s="37" t="str">
        <f t="shared" si="262"/>
        <v/>
      </c>
      <c r="Q2441" s="38" t="str">
        <f t="shared" si="263"/>
        <v/>
      </c>
      <c r="R2441" s="37" t="str">
        <f t="shared" si="264"/>
        <v/>
      </c>
      <c r="S2441" s="37" t="str">
        <f t="shared" si="265"/>
        <v/>
      </c>
      <c r="T2441" s="38" t="str">
        <f t="shared" si="266"/>
        <v/>
      </c>
      <c r="U2441" s="37" t="str">
        <f t="shared" si="267"/>
        <v/>
      </c>
    </row>
    <row r="2442" spans="2:21" ht="17.25">
      <c r="B2442" s="156"/>
      <c r="C2442" s="156"/>
      <c r="D2442" s="157"/>
      <c r="E2442" s="155"/>
      <c r="F2442" s="151"/>
      <c r="G2442" s="152"/>
      <c r="H2442" s="153"/>
      <c r="I2442" s="154"/>
      <c r="J2442" s="154"/>
      <c r="K2442" s="30" t="str">
        <f>IF(H2442="","",IF($C$30="간이법","",FPR(H2442,I2442,J2442)))</f>
        <v/>
      </c>
      <c r="L2442" s="30" t="str">
        <f>IF(H2442="","",IF($C$30="상세법",FPV(H2442,K2442),IF(H2442="EI",4,IF(H2442="EO",5.2,IF(H2442="EQ",3.9,IF(H2442="ILF",7.5,IF(H2442="EIF",5.4)))))))</f>
        <v/>
      </c>
      <c r="M2442" s="30" t="str">
        <f t="shared" si="261"/>
        <v/>
      </c>
      <c r="N2442" s="134"/>
      <c r="O2442" s="29"/>
      <c r="P2442" s="37" t="str">
        <f t="shared" si="262"/>
        <v/>
      </c>
      <c r="Q2442" s="38" t="str">
        <f t="shared" si="263"/>
        <v/>
      </c>
      <c r="R2442" s="37" t="str">
        <f t="shared" si="264"/>
        <v/>
      </c>
      <c r="S2442" s="37" t="str">
        <f t="shared" si="265"/>
        <v/>
      </c>
      <c r="T2442" s="38" t="str">
        <f t="shared" si="266"/>
        <v/>
      </c>
      <c r="U2442" s="37" t="str">
        <f t="shared" si="267"/>
        <v/>
      </c>
    </row>
    <row r="2443" spans="2:21" ht="17.25">
      <c r="B2443" s="156"/>
      <c r="C2443" s="156"/>
      <c r="D2443" s="157"/>
      <c r="E2443" s="155"/>
      <c r="F2443" s="151"/>
      <c r="G2443" s="152"/>
      <c r="H2443" s="153"/>
      <c r="I2443" s="154"/>
      <c r="J2443" s="154"/>
      <c r="K2443" s="30" t="str">
        <f>IF(H2443="","",IF($C$30="간이법","",FPR(H2443,I2443,J2443)))</f>
        <v/>
      </c>
      <c r="L2443" s="30" t="str">
        <f>IF(H2443="","",IF($C$30="상세법",FPV(H2443,K2443),IF(H2443="EI",4,IF(H2443="EO",5.2,IF(H2443="EQ",3.9,IF(H2443="ILF",7.5,IF(H2443="EIF",5.4)))))))</f>
        <v/>
      </c>
      <c r="M2443" s="30" t="str">
        <f t="shared" si="261"/>
        <v/>
      </c>
      <c r="N2443" s="134"/>
      <c r="O2443" s="29"/>
      <c r="P2443" s="37" t="str">
        <f t="shared" si="262"/>
        <v/>
      </c>
      <c r="Q2443" s="38" t="str">
        <f t="shared" si="263"/>
        <v/>
      </c>
      <c r="R2443" s="37" t="str">
        <f t="shared" si="264"/>
        <v/>
      </c>
      <c r="S2443" s="37" t="str">
        <f t="shared" si="265"/>
        <v/>
      </c>
      <c r="T2443" s="38" t="str">
        <f t="shared" si="266"/>
        <v/>
      </c>
      <c r="U2443" s="37" t="str">
        <f t="shared" si="267"/>
        <v/>
      </c>
    </row>
    <row r="2444" spans="2:21" ht="17.25">
      <c r="B2444" s="156"/>
      <c r="C2444" s="156"/>
      <c r="D2444" s="157"/>
      <c r="E2444" s="155"/>
      <c r="F2444" s="151"/>
      <c r="G2444" s="152"/>
      <c r="H2444" s="153"/>
      <c r="I2444" s="154"/>
      <c r="J2444" s="154"/>
      <c r="K2444" s="30" t="str">
        <f>IF(H2444="","",IF($C$30="간이법","",FPR(H2444,I2444,J2444)))</f>
        <v/>
      </c>
      <c r="L2444" s="30" t="str">
        <f>IF(H2444="","",IF($C$30="상세법",FPV(H2444,K2444),IF(H2444="EI",4,IF(H2444="EO",5.2,IF(H2444="EQ",3.9,IF(H2444="ILF",7.5,IF(H2444="EIF",5.4)))))))</f>
        <v/>
      </c>
      <c r="M2444" s="30" t="str">
        <f t="shared" si="261"/>
        <v/>
      </c>
      <c r="N2444" s="134"/>
      <c r="O2444" s="29"/>
      <c r="P2444" s="37" t="str">
        <f t="shared" si="262"/>
        <v/>
      </c>
      <c r="Q2444" s="38" t="str">
        <f t="shared" si="263"/>
        <v/>
      </c>
      <c r="R2444" s="37" t="str">
        <f t="shared" si="264"/>
        <v/>
      </c>
      <c r="S2444" s="37" t="str">
        <f t="shared" si="265"/>
        <v/>
      </c>
      <c r="T2444" s="38" t="str">
        <f t="shared" si="266"/>
        <v/>
      </c>
      <c r="U2444" s="37" t="str">
        <f t="shared" si="267"/>
        <v/>
      </c>
    </row>
    <row r="2445" spans="2:21" ht="17.25">
      <c r="B2445" s="156"/>
      <c r="C2445" s="156"/>
      <c r="D2445" s="157"/>
      <c r="E2445" s="155"/>
      <c r="F2445" s="151"/>
      <c r="G2445" s="152"/>
      <c r="H2445" s="153"/>
      <c r="I2445" s="154"/>
      <c r="J2445" s="154"/>
      <c r="K2445" s="30" t="str">
        <f>IF(H2445="","",IF($C$30="간이법","",FPR(H2445,I2445,J2445)))</f>
        <v/>
      </c>
      <c r="L2445" s="30" t="str">
        <f>IF(H2445="","",IF($C$30="상세법",FPV(H2445,K2445),IF(H2445="EI",4,IF(H2445="EO",5.2,IF(H2445="EQ",3.9,IF(H2445="ILF",7.5,IF(H2445="EIF",5.4)))))))</f>
        <v/>
      </c>
      <c r="M2445" s="30" t="str">
        <f t="shared" si="261"/>
        <v/>
      </c>
      <c r="N2445" s="134"/>
      <c r="O2445" s="29"/>
      <c r="P2445" s="37" t="str">
        <f t="shared" si="262"/>
        <v/>
      </c>
      <c r="Q2445" s="38" t="str">
        <f t="shared" si="263"/>
        <v/>
      </c>
      <c r="R2445" s="37" t="str">
        <f t="shared" si="264"/>
        <v/>
      </c>
      <c r="S2445" s="37" t="str">
        <f t="shared" si="265"/>
        <v/>
      </c>
      <c r="T2445" s="38" t="str">
        <f t="shared" si="266"/>
        <v/>
      </c>
      <c r="U2445" s="37" t="str">
        <f t="shared" si="267"/>
        <v/>
      </c>
    </row>
    <row r="2446" spans="2:21" ht="17.25">
      <c r="B2446" s="156"/>
      <c r="C2446" s="156"/>
      <c r="D2446" s="157"/>
      <c r="E2446" s="155"/>
      <c r="F2446" s="151"/>
      <c r="G2446" s="152"/>
      <c r="H2446" s="153"/>
      <c r="I2446" s="154"/>
      <c r="J2446" s="154"/>
      <c r="K2446" s="30" t="str">
        <f>IF(H2446="","",IF($C$30="간이법","",FPR(H2446,I2446,J2446)))</f>
        <v/>
      </c>
      <c r="L2446" s="30" t="str">
        <f>IF(H2446="","",IF($C$30="상세법",FPV(H2446,K2446),IF(H2446="EI",4,IF(H2446="EO",5.2,IF(H2446="EQ",3.9,IF(H2446="ILF",7.5,IF(H2446="EIF",5.4)))))))</f>
        <v/>
      </c>
      <c r="M2446" s="30" t="str">
        <f t="shared" si="261"/>
        <v/>
      </c>
      <c r="N2446" s="134"/>
      <c r="O2446" s="29"/>
      <c r="P2446" s="37" t="str">
        <f t="shared" si="262"/>
        <v/>
      </c>
      <c r="Q2446" s="38" t="str">
        <f t="shared" si="263"/>
        <v/>
      </c>
      <c r="R2446" s="37" t="str">
        <f t="shared" si="264"/>
        <v/>
      </c>
      <c r="S2446" s="37" t="str">
        <f t="shared" si="265"/>
        <v/>
      </c>
      <c r="T2446" s="38" t="str">
        <f t="shared" si="266"/>
        <v/>
      </c>
      <c r="U2446" s="37" t="str">
        <f t="shared" si="267"/>
        <v/>
      </c>
    </row>
    <row r="2447" spans="2:21" ht="17.25">
      <c r="B2447" s="156"/>
      <c r="C2447" s="156"/>
      <c r="D2447" s="157"/>
      <c r="E2447" s="155"/>
      <c r="F2447" s="151"/>
      <c r="G2447" s="152"/>
      <c r="H2447" s="153"/>
      <c r="I2447" s="154"/>
      <c r="J2447" s="154"/>
      <c r="K2447" s="30" t="str">
        <f>IF(H2447="","",IF($C$30="간이법","",FPR(H2447,I2447,J2447)))</f>
        <v/>
      </c>
      <c r="L2447" s="30" t="str">
        <f>IF(H2447="","",IF($C$30="상세법",FPV(H2447,K2447),IF(H2447="EI",4,IF(H2447="EO",5.2,IF(H2447="EQ",3.9,IF(H2447="ILF",7.5,IF(H2447="EIF",5.4)))))))</f>
        <v/>
      </c>
      <c r="M2447" s="30" t="str">
        <f t="shared" si="261"/>
        <v/>
      </c>
      <c r="N2447" s="134"/>
      <c r="O2447" s="29"/>
      <c r="P2447" s="37" t="str">
        <f t="shared" si="262"/>
        <v/>
      </c>
      <c r="Q2447" s="38" t="str">
        <f t="shared" si="263"/>
        <v/>
      </c>
      <c r="R2447" s="37" t="str">
        <f t="shared" si="264"/>
        <v/>
      </c>
      <c r="S2447" s="37" t="str">
        <f t="shared" si="265"/>
        <v/>
      </c>
      <c r="T2447" s="38" t="str">
        <f t="shared" si="266"/>
        <v/>
      </c>
      <c r="U2447" s="37" t="str">
        <f t="shared" si="267"/>
        <v/>
      </c>
    </row>
    <row r="2448" spans="2:21" ht="17.25">
      <c r="B2448" s="156"/>
      <c r="C2448" s="156"/>
      <c r="D2448" s="157"/>
      <c r="E2448" s="155"/>
      <c r="F2448" s="151"/>
      <c r="G2448" s="152"/>
      <c r="H2448" s="153"/>
      <c r="I2448" s="154"/>
      <c r="J2448" s="154"/>
      <c r="K2448" s="30" t="str">
        <f>IF(H2448="","",IF($C$30="간이법","",FPR(H2448,I2448,J2448)))</f>
        <v/>
      </c>
      <c r="L2448" s="30" t="str">
        <f>IF(H2448="","",IF($C$30="상세법",FPV(H2448,K2448),IF(H2448="EI",4,IF(H2448="EO",5.2,IF(H2448="EQ",3.9,IF(H2448="ILF",7.5,IF(H2448="EIF",5.4)))))))</f>
        <v/>
      </c>
      <c r="M2448" s="30" t="str">
        <f t="shared" si="261"/>
        <v/>
      </c>
      <c r="N2448" s="134"/>
      <c r="O2448" s="29"/>
      <c r="P2448" s="37" t="str">
        <f t="shared" si="262"/>
        <v/>
      </c>
      <c r="Q2448" s="38" t="str">
        <f t="shared" si="263"/>
        <v/>
      </c>
      <c r="R2448" s="37" t="str">
        <f t="shared" si="264"/>
        <v/>
      </c>
      <c r="S2448" s="37" t="str">
        <f t="shared" si="265"/>
        <v/>
      </c>
      <c r="T2448" s="38" t="str">
        <f t="shared" si="266"/>
        <v/>
      </c>
      <c r="U2448" s="37" t="str">
        <f t="shared" si="267"/>
        <v/>
      </c>
    </row>
    <row r="2449" spans="2:21" ht="17.25">
      <c r="B2449" s="156"/>
      <c r="C2449" s="156"/>
      <c r="D2449" s="157"/>
      <c r="E2449" s="155"/>
      <c r="F2449" s="151"/>
      <c r="G2449" s="152"/>
      <c r="H2449" s="153"/>
      <c r="I2449" s="154"/>
      <c r="J2449" s="154"/>
      <c r="K2449" s="30" t="str">
        <f>IF(H2449="","",IF($C$30="간이법","",FPR(H2449,I2449,J2449)))</f>
        <v/>
      </c>
      <c r="L2449" s="30" t="str">
        <f>IF(H2449="","",IF($C$30="상세법",FPV(H2449,K2449),IF(H2449="EI",4,IF(H2449="EO",5.2,IF(H2449="EQ",3.9,IF(H2449="ILF",7.5,IF(H2449="EIF",5.4)))))))</f>
        <v/>
      </c>
      <c r="M2449" s="30" t="str">
        <f t="shared" si="261"/>
        <v/>
      </c>
      <c r="N2449" s="134"/>
      <c r="O2449" s="29"/>
      <c r="P2449" s="37" t="str">
        <f t="shared" si="262"/>
        <v/>
      </c>
      <c r="Q2449" s="38" t="str">
        <f t="shared" si="263"/>
        <v/>
      </c>
      <c r="R2449" s="37" t="str">
        <f t="shared" si="264"/>
        <v/>
      </c>
      <c r="S2449" s="37" t="str">
        <f t="shared" si="265"/>
        <v/>
      </c>
      <c r="T2449" s="38" t="str">
        <f t="shared" si="266"/>
        <v/>
      </c>
      <c r="U2449" s="37" t="str">
        <f t="shared" si="267"/>
        <v/>
      </c>
    </row>
    <row r="2450" spans="2:21" ht="17.25">
      <c r="B2450" s="156"/>
      <c r="C2450" s="156"/>
      <c r="D2450" s="157"/>
      <c r="E2450" s="155"/>
      <c r="F2450" s="151"/>
      <c r="G2450" s="152"/>
      <c r="H2450" s="153"/>
      <c r="I2450" s="154"/>
      <c r="J2450" s="154"/>
      <c r="K2450" s="30" t="str">
        <f>IF(H2450="","",IF($C$30="간이법","",FPR(H2450,I2450,J2450)))</f>
        <v/>
      </c>
      <c r="L2450" s="30" t="str">
        <f>IF(H2450="","",IF($C$30="상세법",FPV(H2450,K2450),IF(H2450="EI",4,IF(H2450="EO",5.2,IF(H2450="EQ",3.9,IF(H2450="ILF",7.5,IF(H2450="EIF",5.4)))))))</f>
        <v/>
      </c>
      <c r="M2450" s="30" t="str">
        <f t="shared" si="261"/>
        <v/>
      </c>
      <c r="N2450" s="134"/>
      <c r="O2450" s="29"/>
      <c r="P2450" s="37" t="str">
        <f t="shared" si="262"/>
        <v/>
      </c>
      <c r="Q2450" s="38" t="str">
        <f t="shared" si="263"/>
        <v/>
      </c>
      <c r="R2450" s="37" t="str">
        <f t="shared" si="264"/>
        <v/>
      </c>
      <c r="S2450" s="37" t="str">
        <f t="shared" si="265"/>
        <v/>
      </c>
      <c r="T2450" s="38" t="str">
        <f t="shared" si="266"/>
        <v/>
      </c>
      <c r="U2450" s="37" t="str">
        <f t="shared" si="267"/>
        <v/>
      </c>
    </row>
    <row r="2451" spans="2:21" ht="17.25">
      <c r="B2451" s="156"/>
      <c r="C2451" s="156"/>
      <c r="D2451" s="157"/>
      <c r="E2451" s="155"/>
      <c r="F2451" s="151"/>
      <c r="G2451" s="152"/>
      <c r="H2451" s="153"/>
      <c r="I2451" s="154"/>
      <c r="J2451" s="154"/>
      <c r="K2451" s="30" t="str">
        <f>IF(H2451="","",IF($C$30="간이법","",FPR(H2451,I2451,J2451)))</f>
        <v/>
      </c>
      <c r="L2451" s="30" t="str">
        <f>IF(H2451="","",IF($C$30="상세법",FPV(H2451,K2451),IF(H2451="EI",4,IF(H2451="EO",5.2,IF(H2451="EQ",3.9,IF(H2451="ILF",7.5,IF(H2451="EIF",5.4)))))))</f>
        <v/>
      </c>
      <c r="M2451" s="30" t="str">
        <f t="shared" si="261"/>
        <v/>
      </c>
      <c r="N2451" s="134"/>
      <c r="O2451" s="29"/>
      <c r="P2451" s="37" t="str">
        <f t="shared" si="262"/>
        <v/>
      </c>
      <c r="Q2451" s="38" t="str">
        <f t="shared" si="263"/>
        <v/>
      </c>
      <c r="R2451" s="37" t="str">
        <f t="shared" si="264"/>
        <v/>
      </c>
      <c r="S2451" s="37" t="str">
        <f t="shared" si="265"/>
        <v/>
      </c>
      <c r="T2451" s="38" t="str">
        <f t="shared" si="266"/>
        <v/>
      </c>
      <c r="U2451" s="37" t="str">
        <f t="shared" si="267"/>
        <v/>
      </c>
    </row>
    <row r="2452" spans="2:21" ht="17.25">
      <c r="B2452" s="156"/>
      <c r="C2452" s="156"/>
      <c r="D2452" s="157"/>
      <c r="E2452" s="155"/>
      <c r="F2452" s="151"/>
      <c r="G2452" s="152"/>
      <c r="H2452" s="153"/>
      <c r="I2452" s="154"/>
      <c r="J2452" s="154"/>
      <c r="K2452" s="30" t="str">
        <f>IF(H2452="","",IF($C$30="간이법","",FPR(H2452,I2452,J2452)))</f>
        <v/>
      </c>
      <c r="L2452" s="30" t="str">
        <f>IF(H2452="","",IF($C$30="상세법",FPV(H2452,K2452),IF(H2452="EI",4,IF(H2452="EO",5.2,IF(H2452="EQ",3.9,IF(H2452="ILF",7.5,IF(H2452="EIF",5.4)))))))</f>
        <v/>
      </c>
      <c r="M2452" s="30" t="str">
        <f t="shared" si="261"/>
        <v/>
      </c>
      <c r="N2452" s="134"/>
      <c r="O2452" s="29"/>
      <c r="P2452" s="37" t="str">
        <f t="shared" si="262"/>
        <v/>
      </c>
      <c r="Q2452" s="38" t="str">
        <f t="shared" si="263"/>
        <v/>
      </c>
      <c r="R2452" s="37" t="str">
        <f t="shared" si="264"/>
        <v/>
      </c>
      <c r="S2452" s="37" t="str">
        <f t="shared" si="265"/>
        <v/>
      </c>
      <c r="T2452" s="38" t="str">
        <f t="shared" si="266"/>
        <v/>
      </c>
      <c r="U2452" s="37" t="str">
        <f t="shared" si="267"/>
        <v/>
      </c>
    </row>
    <row r="2453" spans="2:21" ht="17.25">
      <c r="B2453" s="156"/>
      <c r="C2453" s="156"/>
      <c r="D2453" s="157"/>
      <c r="E2453" s="155"/>
      <c r="F2453" s="151"/>
      <c r="G2453" s="152"/>
      <c r="H2453" s="153"/>
      <c r="I2453" s="154"/>
      <c r="J2453" s="154"/>
      <c r="K2453" s="30" t="str">
        <f>IF(H2453="","",IF($C$30="간이법","",FPR(H2453,I2453,J2453)))</f>
        <v/>
      </c>
      <c r="L2453" s="30" t="str">
        <f>IF(H2453="","",IF($C$30="상세법",FPV(H2453,K2453),IF(H2453="EI",4,IF(H2453="EO",5.2,IF(H2453="EQ",3.9,IF(H2453="ILF",7.5,IF(H2453="EIF",5.4)))))))</f>
        <v/>
      </c>
      <c r="M2453" s="30" t="str">
        <f t="shared" si="261"/>
        <v/>
      </c>
      <c r="N2453" s="134"/>
      <c r="O2453" s="29"/>
      <c r="P2453" s="37" t="str">
        <f t="shared" si="262"/>
        <v/>
      </c>
      <c r="Q2453" s="38" t="str">
        <f t="shared" si="263"/>
        <v/>
      </c>
      <c r="R2453" s="37" t="str">
        <f t="shared" si="264"/>
        <v/>
      </c>
      <c r="S2453" s="37" t="str">
        <f t="shared" si="265"/>
        <v/>
      </c>
      <c r="T2453" s="38" t="str">
        <f t="shared" si="266"/>
        <v/>
      </c>
      <c r="U2453" s="37" t="str">
        <f t="shared" si="267"/>
        <v/>
      </c>
    </row>
    <row r="2454" spans="2:21" ht="17.25">
      <c r="B2454" s="156"/>
      <c r="C2454" s="156"/>
      <c r="D2454" s="157"/>
      <c r="E2454" s="155"/>
      <c r="F2454" s="151"/>
      <c r="G2454" s="152"/>
      <c r="H2454" s="153"/>
      <c r="I2454" s="154"/>
      <c r="J2454" s="154"/>
      <c r="K2454" s="30" t="str">
        <f>IF(H2454="","",IF($C$30="간이법","",FPR(H2454,I2454,J2454)))</f>
        <v/>
      </c>
      <c r="L2454" s="30" t="str">
        <f>IF(H2454="","",IF($C$30="상세법",FPV(H2454,K2454),IF(H2454="EI",4,IF(H2454="EO",5.2,IF(H2454="EQ",3.9,IF(H2454="ILF",7.5,IF(H2454="EIF",5.4)))))))</f>
        <v/>
      </c>
      <c r="M2454" s="30" t="str">
        <f t="shared" si="261"/>
        <v/>
      </c>
      <c r="N2454" s="134"/>
      <c r="O2454" s="29"/>
      <c r="P2454" s="37" t="str">
        <f t="shared" si="262"/>
        <v/>
      </c>
      <c r="Q2454" s="38" t="str">
        <f t="shared" si="263"/>
        <v/>
      </c>
      <c r="R2454" s="37" t="str">
        <f t="shared" si="264"/>
        <v/>
      </c>
      <c r="S2454" s="37" t="str">
        <f t="shared" si="265"/>
        <v/>
      </c>
      <c r="T2454" s="38" t="str">
        <f t="shared" si="266"/>
        <v/>
      </c>
      <c r="U2454" s="37" t="str">
        <f t="shared" si="267"/>
        <v/>
      </c>
    </row>
    <row r="2455" spans="2:21" ht="17.25">
      <c r="B2455" s="156"/>
      <c r="C2455" s="156"/>
      <c r="D2455" s="157"/>
      <c r="E2455" s="155"/>
      <c r="F2455" s="151"/>
      <c r="G2455" s="152"/>
      <c r="H2455" s="153"/>
      <c r="I2455" s="154"/>
      <c r="J2455" s="154"/>
      <c r="K2455" s="30" t="str">
        <f>IF(H2455="","",IF($C$30="간이법","",FPR(H2455,I2455,J2455)))</f>
        <v/>
      </c>
      <c r="L2455" s="30" t="str">
        <f>IF(H2455="","",IF($C$30="상세법",FPV(H2455,K2455),IF(H2455="EI",4,IF(H2455="EO",5.2,IF(H2455="EQ",3.9,IF(H2455="ILF",7.5,IF(H2455="EIF",5.4)))))))</f>
        <v/>
      </c>
      <c r="M2455" s="30" t="str">
        <f t="shared" si="261"/>
        <v/>
      </c>
      <c r="N2455" s="134"/>
      <c r="O2455" s="29"/>
      <c r="P2455" s="37" t="str">
        <f t="shared" si="262"/>
        <v/>
      </c>
      <c r="Q2455" s="38" t="str">
        <f t="shared" si="263"/>
        <v/>
      </c>
      <c r="R2455" s="37" t="str">
        <f t="shared" si="264"/>
        <v/>
      </c>
      <c r="S2455" s="37" t="str">
        <f t="shared" si="265"/>
        <v/>
      </c>
      <c r="T2455" s="38" t="str">
        <f t="shared" si="266"/>
        <v/>
      </c>
      <c r="U2455" s="37" t="str">
        <f t="shared" si="267"/>
        <v/>
      </c>
    </row>
    <row r="2456" spans="2:21" ht="17.25">
      <c r="B2456" s="156"/>
      <c r="C2456" s="156"/>
      <c r="D2456" s="157"/>
      <c r="E2456" s="155"/>
      <c r="F2456" s="151"/>
      <c r="G2456" s="152"/>
      <c r="H2456" s="153"/>
      <c r="I2456" s="154"/>
      <c r="J2456" s="154"/>
      <c r="K2456" s="30" t="str">
        <f>IF(H2456="","",IF($C$30="간이법","",FPR(H2456,I2456,J2456)))</f>
        <v/>
      </c>
      <c r="L2456" s="30" t="str">
        <f>IF(H2456="","",IF($C$30="상세법",FPV(H2456,K2456),IF(H2456="EI",4,IF(H2456="EO",5.2,IF(H2456="EQ",3.9,IF(H2456="ILF",7.5,IF(H2456="EIF",5.4)))))))</f>
        <v/>
      </c>
      <c r="M2456" s="30" t="str">
        <f t="shared" si="261"/>
        <v/>
      </c>
      <c r="N2456" s="134"/>
      <c r="O2456" s="29"/>
      <c r="P2456" s="37" t="str">
        <f t="shared" si="262"/>
        <v/>
      </c>
      <c r="Q2456" s="38" t="str">
        <f t="shared" si="263"/>
        <v/>
      </c>
      <c r="R2456" s="37" t="str">
        <f t="shared" si="264"/>
        <v/>
      </c>
      <c r="S2456" s="37" t="str">
        <f t="shared" si="265"/>
        <v/>
      </c>
      <c r="T2456" s="38" t="str">
        <f t="shared" si="266"/>
        <v/>
      </c>
      <c r="U2456" s="37" t="str">
        <f t="shared" si="267"/>
        <v/>
      </c>
    </row>
    <row r="2457" spans="2:21" ht="17.25">
      <c r="B2457" s="156"/>
      <c r="C2457" s="156"/>
      <c r="D2457" s="157"/>
      <c r="E2457" s="155"/>
      <c r="F2457" s="151"/>
      <c r="G2457" s="152"/>
      <c r="H2457" s="153"/>
      <c r="I2457" s="154"/>
      <c r="J2457" s="154"/>
      <c r="K2457" s="30" t="str">
        <f>IF(H2457="","",IF($C$30="간이법","",FPR(H2457,I2457,J2457)))</f>
        <v/>
      </c>
      <c r="L2457" s="30" t="str">
        <f>IF(H2457="","",IF($C$30="상세법",FPV(H2457,K2457),IF(H2457="EI",4,IF(H2457="EO",5.2,IF(H2457="EQ",3.9,IF(H2457="ILF",7.5,IF(H2457="EIF",5.4)))))))</f>
        <v/>
      </c>
      <c r="M2457" s="30" t="str">
        <f t="shared" si="261"/>
        <v/>
      </c>
      <c r="N2457" s="134"/>
      <c r="O2457" s="29"/>
      <c r="P2457" s="37" t="str">
        <f t="shared" si="262"/>
        <v/>
      </c>
      <c r="Q2457" s="38" t="str">
        <f t="shared" si="263"/>
        <v/>
      </c>
      <c r="R2457" s="37" t="str">
        <f t="shared" si="264"/>
        <v/>
      </c>
      <c r="S2457" s="37" t="str">
        <f t="shared" si="265"/>
        <v/>
      </c>
      <c r="T2457" s="38" t="str">
        <f t="shared" si="266"/>
        <v/>
      </c>
      <c r="U2457" s="37" t="str">
        <f t="shared" si="267"/>
        <v/>
      </c>
    </row>
    <row r="2458" spans="2:21" ht="17.25">
      <c r="B2458" s="156"/>
      <c r="C2458" s="156"/>
      <c r="D2458" s="157"/>
      <c r="E2458" s="155"/>
      <c r="F2458" s="151"/>
      <c r="G2458" s="152"/>
      <c r="H2458" s="153"/>
      <c r="I2458" s="154"/>
      <c r="J2458" s="154"/>
      <c r="K2458" s="30" t="str">
        <f>IF(H2458="","",IF($C$30="간이법","",FPR(H2458,I2458,J2458)))</f>
        <v/>
      </c>
      <c r="L2458" s="30" t="str">
        <f>IF(H2458="","",IF($C$30="상세법",FPV(H2458,K2458),IF(H2458="EI",4,IF(H2458="EO",5.2,IF(H2458="EQ",3.9,IF(H2458="ILF",7.5,IF(H2458="EIF",5.4)))))))</f>
        <v/>
      </c>
      <c r="M2458" s="30" t="str">
        <f t="shared" si="261"/>
        <v/>
      </c>
      <c r="N2458" s="134"/>
      <c r="O2458" s="29"/>
      <c r="P2458" s="37" t="str">
        <f t="shared" si="262"/>
        <v/>
      </c>
      <c r="Q2458" s="38" t="str">
        <f t="shared" si="263"/>
        <v/>
      </c>
      <c r="R2458" s="37" t="str">
        <f t="shared" si="264"/>
        <v/>
      </c>
      <c r="S2458" s="37" t="str">
        <f t="shared" si="265"/>
        <v/>
      </c>
      <c r="T2458" s="38" t="str">
        <f t="shared" si="266"/>
        <v/>
      </c>
      <c r="U2458" s="37" t="str">
        <f t="shared" si="267"/>
        <v/>
      </c>
    </row>
    <row r="2459" spans="2:21" ht="17.25">
      <c r="B2459" s="156"/>
      <c r="C2459" s="156"/>
      <c r="D2459" s="157"/>
      <c r="E2459" s="155"/>
      <c r="F2459" s="151"/>
      <c r="G2459" s="152"/>
      <c r="H2459" s="153"/>
      <c r="I2459" s="154"/>
      <c r="J2459" s="154"/>
      <c r="K2459" s="30" t="str">
        <f>IF(H2459="","",IF($C$30="간이법","",FPR(H2459,I2459,J2459)))</f>
        <v/>
      </c>
      <c r="L2459" s="30" t="str">
        <f>IF(H2459="","",IF($C$30="상세법",FPV(H2459,K2459),IF(H2459="EI",4,IF(H2459="EO",5.2,IF(H2459="EQ",3.9,IF(H2459="ILF",7.5,IF(H2459="EIF",5.4)))))))</f>
        <v/>
      </c>
      <c r="M2459" s="30" t="str">
        <f t="shared" si="261"/>
        <v/>
      </c>
      <c r="N2459" s="134"/>
      <c r="O2459" s="29"/>
      <c r="P2459" s="37" t="str">
        <f t="shared" si="262"/>
        <v/>
      </c>
      <c r="Q2459" s="38" t="str">
        <f t="shared" si="263"/>
        <v/>
      </c>
      <c r="R2459" s="37" t="str">
        <f t="shared" si="264"/>
        <v/>
      </c>
      <c r="S2459" s="37" t="str">
        <f t="shared" si="265"/>
        <v/>
      </c>
      <c r="T2459" s="38" t="str">
        <f t="shared" si="266"/>
        <v/>
      </c>
      <c r="U2459" s="37" t="str">
        <f t="shared" si="267"/>
        <v/>
      </c>
    </row>
    <row r="2460" spans="2:21" ht="17.25">
      <c r="B2460" s="156"/>
      <c r="C2460" s="156"/>
      <c r="D2460" s="157"/>
      <c r="E2460" s="155"/>
      <c r="F2460" s="151"/>
      <c r="G2460" s="152"/>
      <c r="H2460" s="153"/>
      <c r="I2460" s="154"/>
      <c r="J2460" s="154"/>
      <c r="K2460" s="30" t="str">
        <f>IF(H2460="","",IF($C$30="간이법","",FPR(H2460,I2460,J2460)))</f>
        <v/>
      </c>
      <c r="L2460" s="30" t="str">
        <f>IF(H2460="","",IF($C$30="상세법",FPV(H2460,K2460),IF(H2460="EI",4,IF(H2460="EO",5.2,IF(H2460="EQ",3.9,IF(H2460="ILF",7.5,IF(H2460="EIF",5.4)))))))</f>
        <v/>
      </c>
      <c r="M2460" s="30" t="str">
        <f t="shared" si="261"/>
        <v/>
      </c>
      <c r="N2460" s="134"/>
      <c r="O2460" s="29"/>
      <c r="P2460" s="37" t="str">
        <f t="shared" si="262"/>
        <v/>
      </c>
      <c r="Q2460" s="38" t="str">
        <f t="shared" si="263"/>
        <v/>
      </c>
      <c r="R2460" s="37" t="str">
        <f t="shared" si="264"/>
        <v/>
      </c>
      <c r="S2460" s="37" t="str">
        <f t="shared" si="265"/>
        <v/>
      </c>
      <c r="T2460" s="38" t="str">
        <f t="shared" si="266"/>
        <v/>
      </c>
      <c r="U2460" s="37" t="str">
        <f t="shared" si="267"/>
        <v/>
      </c>
    </row>
    <row r="2461" spans="2:21" ht="17.25">
      <c r="B2461" s="156"/>
      <c r="C2461" s="156"/>
      <c r="D2461" s="157"/>
      <c r="E2461" s="155"/>
      <c r="F2461" s="151"/>
      <c r="G2461" s="152"/>
      <c r="H2461" s="153"/>
      <c r="I2461" s="154"/>
      <c r="J2461" s="154"/>
      <c r="K2461" s="30" t="str">
        <f>IF(H2461="","",IF($C$30="간이법","",FPR(H2461,I2461,J2461)))</f>
        <v/>
      </c>
      <c r="L2461" s="30" t="str">
        <f>IF(H2461="","",IF($C$30="상세법",FPV(H2461,K2461),IF(H2461="EI",4,IF(H2461="EO",5.2,IF(H2461="EQ",3.9,IF(H2461="ILF",7.5,IF(H2461="EIF",5.4)))))))</f>
        <v/>
      </c>
      <c r="M2461" s="30" t="str">
        <f t="shared" si="261"/>
        <v/>
      </c>
      <c r="N2461" s="134"/>
      <c r="O2461" s="29"/>
      <c r="P2461" s="37" t="str">
        <f t="shared" si="262"/>
        <v/>
      </c>
      <c r="Q2461" s="38" t="str">
        <f t="shared" si="263"/>
        <v/>
      </c>
      <c r="R2461" s="37" t="str">
        <f t="shared" si="264"/>
        <v/>
      </c>
      <c r="S2461" s="37" t="str">
        <f t="shared" si="265"/>
        <v/>
      </c>
      <c r="T2461" s="38" t="str">
        <f t="shared" si="266"/>
        <v/>
      </c>
      <c r="U2461" s="37" t="str">
        <f t="shared" si="267"/>
        <v/>
      </c>
    </row>
    <row r="2462" spans="2:21" ht="17.25">
      <c r="B2462" s="156"/>
      <c r="C2462" s="156"/>
      <c r="D2462" s="157"/>
      <c r="E2462" s="155"/>
      <c r="F2462" s="151"/>
      <c r="G2462" s="152"/>
      <c r="H2462" s="153"/>
      <c r="I2462" s="154"/>
      <c r="J2462" s="154"/>
      <c r="K2462" s="30" t="str">
        <f>IF(H2462="","",IF($C$30="간이법","",FPR(H2462,I2462,J2462)))</f>
        <v/>
      </c>
      <c r="L2462" s="30" t="str">
        <f>IF(H2462="","",IF($C$30="상세법",FPV(H2462,K2462),IF(H2462="EI",4,IF(H2462="EO",5.2,IF(H2462="EQ",3.9,IF(H2462="ILF",7.5,IF(H2462="EIF",5.4)))))))</f>
        <v/>
      </c>
      <c r="M2462" s="30" t="str">
        <f t="shared" si="261"/>
        <v/>
      </c>
      <c r="N2462" s="134"/>
      <c r="O2462" s="29"/>
      <c r="P2462" s="37" t="str">
        <f t="shared" si="262"/>
        <v/>
      </c>
      <c r="Q2462" s="38" t="str">
        <f t="shared" si="263"/>
        <v/>
      </c>
      <c r="R2462" s="37" t="str">
        <f t="shared" si="264"/>
        <v/>
      </c>
      <c r="S2462" s="37" t="str">
        <f t="shared" si="265"/>
        <v/>
      </c>
      <c r="T2462" s="38" t="str">
        <f t="shared" si="266"/>
        <v/>
      </c>
      <c r="U2462" s="37" t="str">
        <f t="shared" si="267"/>
        <v/>
      </c>
    </row>
    <row r="2463" spans="2:21" ht="17.25">
      <c r="B2463" s="156"/>
      <c r="C2463" s="156"/>
      <c r="D2463" s="157"/>
      <c r="E2463" s="155"/>
      <c r="F2463" s="151"/>
      <c r="G2463" s="152"/>
      <c r="H2463" s="153"/>
      <c r="I2463" s="154"/>
      <c r="J2463" s="154"/>
      <c r="K2463" s="30" t="str">
        <f>IF(H2463="","",IF($C$30="간이법","",FPR(H2463,I2463,J2463)))</f>
        <v/>
      </c>
      <c r="L2463" s="30" t="str">
        <f>IF(H2463="","",IF($C$30="상세법",FPV(H2463,K2463),IF(H2463="EI",4,IF(H2463="EO",5.2,IF(H2463="EQ",3.9,IF(H2463="ILF",7.5,IF(H2463="EIF",5.4)))))))</f>
        <v/>
      </c>
      <c r="M2463" s="30" t="str">
        <f t="shared" si="261"/>
        <v/>
      </c>
      <c r="N2463" s="134"/>
      <c r="O2463" s="29"/>
      <c r="P2463" s="37" t="str">
        <f t="shared" si="262"/>
        <v/>
      </c>
      <c r="Q2463" s="38" t="str">
        <f t="shared" si="263"/>
        <v/>
      </c>
      <c r="R2463" s="37" t="str">
        <f t="shared" si="264"/>
        <v/>
      </c>
      <c r="S2463" s="37" t="str">
        <f t="shared" si="265"/>
        <v/>
      </c>
      <c r="T2463" s="38" t="str">
        <f t="shared" si="266"/>
        <v/>
      </c>
      <c r="U2463" s="37" t="str">
        <f t="shared" si="267"/>
        <v/>
      </c>
    </row>
    <row r="2464" spans="2:21" ht="17.25">
      <c r="B2464" s="156"/>
      <c r="C2464" s="156"/>
      <c r="D2464" s="157"/>
      <c r="E2464" s="155"/>
      <c r="F2464" s="151"/>
      <c r="G2464" s="152"/>
      <c r="H2464" s="153"/>
      <c r="I2464" s="154"/>
      <c r="J2464" s="154"/>
      <c r="K2464" s="30" t="str">
        <f>IF(H2464="","",IF($C$30="간이법","",FPR(H2464,I2464,J2464)))</f>
        <v/>
      </c>
      <c r="L2464" s="30" t="str">
        <f>IF(H2464="","",IF($C$30="상세법",FPV(H2464,K2464),IF(H2464="EI",4,IF(H2464="EO",5.2,IF(H2464="EQ",3.9,IF(H2464="ILF",7.5,IF(H2464="EIF",5.4)))))))</f>
        <v/>
      </c>
      <c r="M2464" s="30" t="str">
        <f t="shared" si="261"/>
        <v/>
      </c>
      <c r="N2464" s="134"/>
      <c r="O2464" s="29"/>
      <c r="P2464" s="37" t="str">
        <f t="shared" si="262"/>
        <v/>
      </c>
      <c r="Q2464" s="38" t="str">
        <f t="shared" si="263"/>
        <v/>
      </c>
      <c r="R2464" s="37" t="str">
        <f t="shared" si="264"/>
        <v/>
      </c>
      <c r="S2464" s="37" t="str">
        <f t="shared" si="265"/>
        <v/>
      </c>
      <c r="T2464" s="38" t="str">
        <f t="shared" si="266"/>
        <v/>
      </c>
      <c r="U2464" s="37" t="str">
        <f t="shared" si="267"/>
        <v/>
      </c>
    </row>
    <row r="2465" spans="2:21" ht="17.25">
      <c r="B2465" s="156"/>
      <c r="C2465" s="156"/>
      <c r="D2465" s="157"/>
      <c r="E2465" s="155"/>
      <c r="F2465" s="151"/>
      <c r="G2465" s="152"/>
      <c r="H2465" s="153"/>
      <c r="I2465" s="154"/>
      <c r="J2465" s="154"/>
      <c r="K2465" s="30" t="str">
        <f>IF(H2465="","",IF($C$30="간이법","",FPR(H2465,I2465,J2465)))</f>
        <v/>
      </c>
      <c r="L2465" s="30" t="str">
        <f>IF(H2465="","",IF($C$30="상세법",FPV(H2465,K2465),IF(H2465="EI",4,IF(H2465="EO",5.2,IF(H2465="EQ",3.9,IF(H2465="ILF",7.5,IF(H2465="EIF",5.4)))))))</f>
        <v/>
      </c>
      <c r="M2465" s="30" t="str">
        <f t="shared" si="261"/>
        <v/>
      </c>
      <c r="N2465" s="134"/>
      <c r="O2465" s="29"/>
      <c r="P2465" s="37" t="str">
        <f t="shared" si="262"/>
        <v/>
      </c>
      <c r="Q2465" s="38" t="str">
        <f t="shared" si="263"/>
        <v/>
      </c>
      <c r="R2465" s="37" t="str">
        <f t="shared" si="264"/>
        <v/>
      </c>
      <c r="S2465" s="37" t="str">
        <f t="shared" si="265"/>
        <v/>
      </c>
      <c r="T2465" s="38" t="str">
        <f t="shared" si="266"/>
        <v/>
      </c>
      <c r="U2465" s="37" t="str">
        <f t="shared" si="267"/>
        <v/>
      </c>
    </row>
    <row r="2466" spans="2:21" ht="17.25">
      <c r="B2466" s="156"/>
      <c r="C2466" s="156"/>
      <c r="D2466" s="157"/>
      <c r="E2466" s="155"/>
      <c r="F2466" s="151"/>
      <c r="G2466" s="152"/>
      <c r="H2466" s="153"/>
      <c r="I2466" s="154"/>
      <c r="J2466" s="154"/>
      <c r="K2466" s="30" t="str">
        <f>IF(H2466="","",IF($C$30="간이법","",FPR(H2466,I2466,J2466)))</f>
        <v/>
      </c>
      <c r="L2466" s="30" t="str">
        <f>IF(H2466="","",IF($C$30="상세법",FPV(H2466,K2466),IF(H2466="EI",4,IF(H2466="EO",5.2,IF(H2466="EQ",3.9,IF(H2466="ILF",7.5,IF(H2466="EIF",5.4)))))))</f>
        <v/>
      </c>
      <c r="M2466" s="30" t="str">
        <f t="shared" si="261"/>
        <v/>
      </c>
      <c r="N2466" s="134"/>
      <c r="O2466" s="29"/>
      <c r="P2466" s="37" t="str">
        <f t="shared" si="262"/>
        <v/>
      </c>
      <c r="Q2466" s="38" t="str">
        <f t="shared" si="263"/>
        <v/>
      </c>
      <c r="R2466" s="37" t="str">
        <f t="shared" si="264"/>
        <v/>
      </c>
      <c r="S2466" s="37" t="str">
        <f t="shared" si="265"/>
        <v/>
      </c>
      <c r="T2466" s="38" t="str">
        <f t="shared" si="266"/>
        <v/>
      </c>
      <c r="U2466" s="37" t="str">
        <f t="shared" si="267"/>
        <v/>
      </c>
    </row>
    <row r="2467" spans="2:21" ht="17.25">
      <c r="B2467" s="156"/>
      <c r="C2467" s="156"/>
      <c r="D2467" s="157"/>
      <c r="E2467" s="155"/>
      <c r="F2467" s="151"/>
      <c r="G2467" s="152"/>
      <c r="H2467" s="153"/>
      <c r="I2467" s="154"/>
      <c r="J2467" s="154"/>
      <c r="K2467" s="30" t="str">
        <f>IF(H2467="","",IF($C$30="간이법","",FPR(H2467,I2467,J2467)))</f>
        <v/>
      </c>
      <c r="L2467" s="30" t="str">
        <f>IF(H2467="","",IF($C$30="상세법",FPV(H2467,K2467),IF(H2467="EI",4,IF(H2467="EO",5.2,IF(H2467="EQ",3.9,IF(H2467="ILF",7.5,IF(H2467="EIF",5.4)))))))</f>
        <v/>
      </c>
      <c r="M2467" s="30" t="str">
        <f t="shared" si="261"/>
        <v/>
      </c>
      <c r="N2467" s="134"/>
      <c r="O2467" s="29"/>
      <c r="P2467" s="37" t="str">
        <f t="shared" si="262"/>
        <v/>
      </c>
      <c r="Q2467" s="38" t="str">
        <f t="shared" si="263"/>
        <v/>
      </c>
      <c r="R2467" s="37" t="str">
        <f t="shared" si="264"/>
        <v/>
      </c>
      <c r="S2467" s="37" t="str">
        <f t="shared" si="265"/>
        <v/>
      </c>
      <c r="T2467" s="38" t="str">
        <f t="shared" si="266"/>
        <v/>
      </c>
      <c r="U2467" s="37" t="str">
        <f t="shared" si="267"/>
        <v/>
      </c>
    </row>
    <row r="2468" spans="2:21" ht="17.25">
      <c r="B2468" s="156"/>
      <c r="C2468" s="156"/>
      <c r="D2468" s="157"/>
      <c r="E2468" s="155"/>
      <c r="F2468" s="151"/>
      <c r="G2468" s="152"/>
      <c r="H2468" s="153"/>
      <c r="I2468" s="154"/>
      <c r="J2468" s="154"/>
      <c r="K2468" s="30" t="str">
        <f>IF(H2468="","",IF($C$30="간이법","",FPR(H2468,I2468,J2468)))</f>
        <v/>
      </c>
      <c r="L2468" s="30" t="str">
        <f>IF(H2468="","",IF($C$30="상세법",FPV(H2468,K2468),IF(H2468="EI",4,IF(H2468="EO",5.2,IF(H2468="EQ",3.9,IF(H2468="ILF",7.5,IF(H2468="EIF",5.4)))))))</f>
        <v/>
      </c>
      <c r="M2468" s="30" t="str">
        <f t="shared" si="261"/>
        <v/>
      </c>
      <c r="N2468" s="134"/>
      <c r="O2468" s="29"/>
      <c r="P2468" s="37" t="str">
        <f t="shared" si="262"/>
        <v/>
      </c>
      <c r="Q2468" s="38" t="str">
        <f t="shared" si="263"/>
        <v/>
      </c>
      <c r="R2468" s="37" t="str">
        <f t="shared" si="264"/>
        <v/>
      </c>
      <c r="S2468" s="37" t="str">
        <f t="shared" si="265"/>
        <v/>
      </c>
      <c r="T2468" s="38" t="str">
        <f t="shared" si="266"/>
        <v/>
      </c>
      <c r="U2468" s="37" t="str">
        <f t="shared" si="267"/>
        <v/>
      </c>
    </row>
    <row r="2469" spans="2:21" ht="17.25">
      <c r="B2469" s="156"/>
      <c r="C2469" s="156"/>
      <c r="D2469" s="157"/>
      <c r="E2469" s="155"/>
      <c r="F2469" s="151"/>
      <c r="G2469" s="152"/>
      <c r="H2469" s="153"/>
      <c r="I2469" s="154"/>
      <c r="J2469" s="154"/>
      <c r="K2469" s="30" t="str">
        <f>IF(H2469="","",IF($C$30="간이법","",FPR(H2469,I2469,J2469)))</f>
        <v/>
      </c>
      <c r="L2469" s="30" t="str">
        <f>IF(H2469="","",IF($C$30="상세법",FPV(H2469,K2469),IF(H2469="EI",4,IF(H2469="EO",5.2,IF(H2469="EQ",3.9,IF(H2469="ILF",7.5,IF(H2469="EIF",5.4)))))))</f>
        <v/>
      </c>
      <c r="M2469" s="30" t="str">
        <f t="shared" si="261"/>
        <v/>
      </c>
      <c r="N2469" s="134"/>
      <c r="O2469" s="29"/>
      <c r="P2469" s="37" t="str">
        <f t="shared" si="262"/>
        <v/>
      </c>
      <c r="Q2469" s="38" t="str">
        <f t="shared" si="263"/>
        <v/>
      </c>
      <c r="R2469" s="37" t="str">
        <f t="shared" si="264"/>
        <v/>
      </c>
      <c r="S2469" s="37" t="str">
        <f t="shared" si="265"/>
        <v/>
      </c>
      <c r="T2469" s="38" t="str">
        <f t="shared" si="266"/>
        <v/>
      </c>
      <c r="U2469" s="37" t="str">
        <f t="shared" si="267"/>
        <v/>
      </c>
    </row>
    <row r="2470" spans="2:21" ht="17.25">
      <c r="B2470" s="156"/>
      <c r="C2470" s="156"/>
      <c r="D2470" s="157"/>
      <c r="E2470" s="155"/>
      <c r="F2470" s="151"/>
      <c r="G2470" s="152"/>
      <c r="H2470" s="153"/>
      <c r="I2470" s="154"/>
      <c r="J2470" s="154"/>
      <c r="K2470" s="30" t="str">
        <f>IF(H2470="","",IF($C$30="간이법","",FPR(H2470,I2470,J2470)))</f>
        <v/>
      </c>
      <c r="L2470" s="30" t="str">
        <f>IF(H2470="","",IF($C$30="상세법",FPV(H2470,K2470),IF(H2470="EI",4,IF(H2470="EO",5.2,IF(H2470="EQ",3.9,IF(H2470="ILF",7.5,IF(H2470="EIF",5.4)))))))</f>
        <v/>
      </c>
      <c r="M2470" s="30" t="str">
        <f t="shared" si="261"/>
        <v/>
      </c>
      <c r="N2470" s="134"/>
      <c r="O2470" s="29"/>
      <c r="P2470" s="37" t="str">
        <f t="shared" si="262"/>
        <v/>
      </c>
      <c r="Q2470" s="38" t="str">
        <f t="shared" si="263"/>
        <v/>
      </c>
      <c r="R2470" s="37" t="str">
        <f t="shared" si="264"/>
        <v/>
      </c>
      <c r="S2470" s="37" t="str">
        <f t="shared" si="265"/>
        <v/>
      </c>
      <c r="T2470" s="38" t="str">
        <f t="shared" si="266"/>
        <v/>
      </c>
      <c r="U2470" s="37" t="str">
        <f t="shared" si="267"/>
        <v/>
      </c>
    </row>
    <row r="2471" spans="2:21" ht="17.25">
      <c r="B2471" s="156"/>
      <c r="C2471" s="156"/>
      <c r="D2471" s="157"/>
      <c r="E2471" s="155"/>
      <c r="F2471" s="151"/>
      <c r="G2471" s="152"/>
      <c r="H2471" s="153"/>
      <c r="I2471" s="154"/>
      <c r="J2471" s="154"/>
      <c r="K2471" s="30" t="str">
        <f>IF(H2471="","",IF($C$30="간이법","",FPR(H2471,I2471,J2471)))</f>
        <v/>
      </c>
      <c r="L2471" s="30" t="str">
        <f>IF(H2471="","",IF($C$30="상세법",FPV(H2471,K2471),IF(H2471="EI",4,IF(H2471="EO",5.2,IF(H2471="EQ",3.9,IF(H2471="ILF",7.5,IF(H2471="EIF",5.4)))))))</f>
        <v/>
      </c>
      <c r="M2471" s="30" t="str">
        <f t="shared" si="261"/>
        <v/>
      </c>
      <c r="N2471" s="134"/>
      <c r="O2471" s="29"/>
      <c r="P2471" s="37" t="str">
        <f t="shared" si="262"/>
        <v/>
      </c>
      <c r="Q2471" s="38" t="str">
        <f t="shared" si="263"/>
        <v/>
      </c>
      <c r="R2471" s="37" t="str">
        <f t="shared" si="264"/>
        <v/>
      </c>
      <c r="S2471" s="37" t="str">
        <f t="shared" si="265"/>
        <v/>
      </c>
      <c r="T2471" s="38" t="str">
        <f t="shared" si="266"/>
        <v/>
      </c>
      <c r="U2471" s="37" t="str">
        <f t="shared" si="267"/>
        <v/>
      </c>
    </row>
    <row r="2472" spans="2:21" ht="17.25">
      <c r="B2472" s="156"/>
      <c r="C2472" s="156"/>
      <c r="D2472" s="157"/>
      <c r="E2472" s="155"/>
      <c r="F2472" s="151"/>
      <c r="G2472" s="152"/>
      <c r="H2472" s="153"/>
      <c r="I2472" s="154"/>
      <c r="J2472" s="154"/>
      <c r="K2472" s="30" t="str">
        <f>IF(H2472="","",IF($C$30="간이법","",FPR(H2472,I2472,J2472)))</f>
        <v/>
      </c>
      <c r="L2472" s="30" t="str">
        <f>IF(H2472="","",IF($C$30="상세법",FPV(H2472,K2472),IF(H2472="EI",4,IF(H2472="EO",5.2,IF(H2472="EQ",3.9,IF(H2472="ILF",7.5,IF(H2472="EIF",5.4)))))))</f>
        <v/>
      </c>
      <c r="M2472" s="30" t="str">
        <f t="shared" si="261"/>
        <v/>
      </c>
      <c r="N2472" s="134"/>
      <c r="O2472" s="29"/>
      <c r="P2472" s="37" t="str">
        <f t="shared" si="262"/>
        <v/>
      </c>
      <c r="Q2472" s="38" t="str">
        <f t="shared" si="263"/>
        <v/>
      </c>
      <c r="R2472" s="37" t="str">
        <f t="shared" si="264"/>
        <v/>
      </c>
      <c r="S2472" s="37" t="str">
        <f t="shared" si="265"/>
        <v/>
      </c>
      <c r="T2472" s="38" t="str">
        <f t="shared" si="266"/>
        <v/>
      </c>
      <c r="U2472" s="37" t="str">
        <f t="shared" si="267"/>
        <v/>
      </c>
    </row>
    <row r="2473" spans="2:21" ht="17.25">
      <c r="B2473" s="156"/>
      <c r="C2473" s="156"/>
      <c r="D2473" s="157"/>
      <c r="E2473" s="155"/>
      <c r="F2473" s="151"/>
      <c r="G2473" s="152"/>
      <c r="H2473" s="153"/>
      <c r="I2473" s="154"/>
      <c r="J2473" s="154"/>
      <c r="K2473" s="30" t="str">
        <f>IF(H2473="","",IF($C$30="간이법","",FPR(H2473,I2473,J2473)))</f>
        <v/>
      </c>
      <c r="L2473" s="30" t="str">
        <f>IF(H2473="","",IF($C$30="상세법",FPV(H2473,K2473),IF(H2473="EI",4,IF(H2473="EO",5.2,IF(H2473="EQ",3.9,IF(H2473="ILF",7.5,IF(H2473="EIF",5.4)))))))</f>
        <v/>
      </c>
      <c r="M2473" s="30" t="str">
        <f t="shared" si="261"/>
        <v/>
      </c>
      <c r="N2473" s="134"/>
      <c r="O2473" s="29"/>
      <c r="P2473" s="37" t="str">
        <f t="shared" si="262"/>
        <v/>
      </c>
      <c r="Q2473" s="38" t="str">
        <f t="shared" si="263"/>
        <v/>
      </c>
      <c r="R2473" s="37" t="str">
        <f t="shared" si="264"/>
        <v/>
      </c>
      <c r="S2473" s="37" t="str">
        <f t="shared" si="265"/>
        <v/>
      </c>
      <c r="T2473" s="38" t="str">
        <f t="shared" si="266"/>
        <v/>
      </c>
      <c r="U2473" s="37" t="str">
        <f t="shared" si="267"/>
        <v/>
      </c>
    </row>
    <row r="2474" spans="2:21" ht="17.25">
      <c r="B2474" s="156"/>
      <c r="C2474" s="156"/>
      <c r="D2474" s="157"/>
      <c r="E2474" s="155"/>
      <c r="F2474" s="151"/>
      <c r="G2474" s="152"/>
      <c r="H2474" s="153"/>
      <c r="I2474" s="154"/>
      <c r="J2474" s="154"/>
      <c r="K2474" s="30" t="str">
        <f>IF(H2474="","",IF($C$30="간이법","",FPR(H2474,I2474,J2474)))</f>
        <v/>
      </c>
      <c r="L2474" s="30" t="str">
        <f>IF(H2474="","",IF($C$30="상세법",FPV(H2474,K2474),IF(H2474="EI",4,IF(H2474="EO",5.2,IF(H2474="EQ",3.9,IF(H2474="ILF",7.5,IF(H2474="EIF",5.4)))))))</f>
        <v/>
      </c>
      <c r="M2474" s="30" t="str">
        <f t="shared" si="261"/>
        <v/>
      </c>
      <c r="N2474" s="134"/>
      <c r="O2474" s="29"/>
      <c r="P2474" s="37" t="str">
        <f t="shared" si="262"/>
        <v/>
      </c>
      <c r="Q2474" s="38" t="str">
        <f t="shared" si="263"/>
        <v/>
      </c>
      <c r="R2474" s="37" t="str">
        <f t="shared" si="264"/>
        <v/>
      </c>
      <c r="S2474" s="37" t="str">
        <f t="shared" si="265"/>
        <v/>
      </c>
      <c r="T2474" s="38" t="str">
        <f t="shared" si="266"/>
        <v/>
      </c>
      <c r="U2474" s="37" t="str">
        <f t="shared" si="267"/>
        <v/>
      </c>
    </row>
    <row r="2475" spans="2:21" ht="17.25">
      <c r="B2475" s="156"/>
      <c r="C2475" s="156"/>
      <c r="D2475" s="157"/>
      <c r="E2475" s="155"/>
      <c r="F2475" s="151"/>
      <c r="G2475" s="152"/>
      <c r="H2475" s="153"/>
      <c r="I2475" s="154"/>
      <c r="J2475" s="154"/>
      <c r="K2475" s="30" t="str">
        <f>IF(H2475="","",IF($C$30="간이법","",FPR(H2475,I2475,J2475)))</f>
        <v/>
      </c>
      <c r="L2475" s="30" t="str">
        <f>IF(H2475="","",IF($C$30="상세법",FPV(H2475,K2475),IF(H2475="EI",4,IF(H2475="EO",5.2,IF(H2475="EQ",3.9,IF(H2475="ILF",7.5,IF(H2475="EIF",5.4)))))))</f>
        <v/>
      </c>
      <c r="M2475" s="30" t="str">
        <f t="shared" si="261"/>
        <v/>
      </c>
      <c r="N2475" s="134"/>
      <c r="O2475" s="29"/>
      <c r="P2475" s="37" t="str">
        <f t="shared" si="262"/>
        <v/>
      </c>
      <c r="Q2475" s="38" t="str">
        <f t="shared" si="263"/>
        <v/>
      </c>
      <c r="R2475" s="37" t="str">
        <f t="shared" si="264"/>
        <v/>
      </c>
      <c r="S2475" s="37" t="str">
        <f t="shared" si="265"/>
        <v/>
      </c>
      <c r="T2475" s="38" t="str">
        <f t="shared" si="266"/>
        <v/>
      </c>
      <c r="U2475" s="37" t="str">
        <f t="shared" si="267"/>
        <v/>
      </c>
    </row>
    <row r="2476" spans="2:21" ht="17.25">
      <c r="B2476" s="156"/>
      <c r="C2476" s="156"/>
      <c r="D2476" s="157"/>
      <c r="E2476" s="155"/>
      <c r="F2476" s="151"/>
      <c r="G2476" s="152"/>
      <c r="H2476" s="153"/>
      <c r="I2476" s="154"/>
      <c r="J2476" s="154"/>
      <c r="K2476" s="30" t="str">
        <f>IF(H2476="","",IF($C$30="간이법","",FPR(H2476,I2476,J2476)))</f>
        <v/>
      </c>
      <c r="L2476" s="30" t="str">
        <f>IF(H2476="","",IF($C$30="상세법",FPV(H2476,K2476),IF(H2476="EI",4,IF(H2476="EO",5.2,IF(H2476="EQ",3.9,IF(H2476="ILF",7.5,IF(H2476="EIF",5.4)))))))</f>
        <v/>
      </c>
      <c r="M2476" s="30" t="str">
        <f t="shared" si="261"/>
        <v/>
      </c>
      <c r="N2476" s="134"/>
      <c r="O2476" s="29"/>
      <c r="P2476" s="37" t="str">
        <f t="shared" si="262"/>
        <v/>
      </c>
      <c r="Q2476" s="38" t="str">
        <f t="shared" si="263"/>
        <v/>
      </c>
      <c r="R2476" s="37" t="str">
        <f t="shared" si="264"/>
        <v/>
      </c>
      <c r="S2476" s="37" t="str">
        <f t="shared" si="265"/>
        <v/>
      </c>
      <c r="T2476" s="38" t="str">
        <f t="shared" si="266"/>
        <v/>
      </c>
      <c r="U2476" s="37" t="str">
        <f t="shared" si="267"/>
        <v/>
      </c>
    </row>
    <row r="2477" spans="2:21" ht="17.25">
      <c r="B2477" s="156"/>
      <c r="C2477" s="156"/>
      <c r="D2477" s="157"/>
      <c r="E2477" s="155"/>
      <c r="F2477" s="151"/>
      <c r="G2477" s="152"/>
      <c r="H2477" s="153"/>
      <c r="I2477" s="154"/>
      <c r="J2477" s="154"/>
      <c r="K2477" s="30" t="str">
        <f>IF(H2477="","",IF($C$30="간이법","",FPR(H2477,I2477,J2477)))</f>
        <v/>
      </c>
      <c r="L2477" s="30" t="str">
        <f>IF(H2477="","",IF($C$30="상세법",FPV(H2477,K2477),IF(H2477="EI",4,IF(H2477="EO",5.2,IF(H2477="EQ",3.9,IF(H2477="ILF",7.5,IF(H2477="EIF",5.4)))))))</f>
        <v/>
      </c>
      <c r="M2477" s="30" t="str">
        <f t="shared" si="261"/>
        <v/>
      </c>
      <c r="N2477" s="134"/>
      <c r="O2477" s="29"/>
      <c r="P2477" s="37" t="str">
        <f t="shared" si="262"/>
        <v/>
      </c>
      <c r="Q2477" s="38" t="str">
        <f t="shared" si="263"/>
        <v/>
      </c>
      <c r="R2477" s="37" t="str">
        <f t="shared" si="264"/>
        <v/>
      </c>
      <c r="S2477" s="37" t="str">
        <f t="shared" si="265"/>
        <v/>
      </c>
      <c r="T2477" s="38" t="str">
        <f t="shared" si="266"/>
        <v/>
      </c>
      <c r="U2477" s="37" t="str">
        <f t="shared" si="267"/>
        <v/>
      </c>
    </row>
    <row r="2478" spans="2:21" ht="17.25">
      <c r="B2478" s="156"/>
      <c r="C2478" s="156"/>
      <c r="D2478" s="157"/>
      <c r="E2478" s="155"/>
      <c r="F2478" s="151"/>
      <c r="G2478" s="152"/>
      <c r="H2478" s="153"/>
      <c r="I2478" s="154"/>
      <c r="J2478" s="154"/>
      <c r="K2478" s="30" t="str">
        <f>IF(H2478="","",IF($C$30="간이법","",FPR(H2478,I2478,J2478)))</f>
        <v/>
      </c>
      <c r="L2478" s="30" t="str">
        <f>IF(H2478="","",IF($C$30="상세법",FPV(H2478,K2478),IF(H2478="EI",4,IF(H2478="EO",5.2,IF(H2478="EQ",3.9,IF(H2478="ILF",7.5,IF(H2478="EIF",5.4)))))))</f>
        <v/>
      </c>
      <c r="M2478" s="30" t="str">
        <f t="shared" si="261"/>
        <v/>
      </c>
      <c r="N2478" s="134"/>
      <c r="O2478" s="29"/>
      <c r="P2478" s="37" t="str">
        <f t="shared" si="262"/>
        <v/>
      </c>
      <c r="Q2478" s="38" t="str">
        <f t="shared" si="263"/>
        <v/>
      </c>
      <c r="R2478" s="37" t="str">
        <f t="shared" si="264"/>
        <v/>
      </c>
      <c r="S2478" s="37" t="str">
        <f t="shared" si="265"/>
        <v/>
      </c>
      <c r="T2478" s="38" t="str">
        <f t="shared" si="266"/>
        <v/>
      </c>
      <c r="U2478" s="37" t="str">
        <f t="shared" si="267"/>
        <v/>
      </c>
    </row>
    <row r="2479" spans="2:21" ht="17.25">
      <c r="B2479" s="156"/>
      <c r="C2479" s="156"/>
      <c r="D2479" s="157"/>
      <c r="E2479" s="155"/>
      <c r="F2479" s="151"/>
      <c r="G2479" s="152"/>
      <c r="H2479" s="153"/>
      <c r="I2479" s="154"/>
      <c r="J2479" s="154"/>
      <c r="K2479" s="30" t="str">
        <f>IF(H2479="","",IF($C$30="간이법","",FPR(H2479,I2479,J2479)))</f>
        <v/>
      </c>
      <c r="L2479" s="30" t="str">
        <f>IF(H2479="","",IF($C$30="상세법",FPV(H2479,K2479),IF(H2479="EI",4,IF(H2479="EO",5.2,IF(H2479="EQ",3.9,IF(H2479="ILF",7.5,IF(H2479="EIF",5.4)))))))</f>
        <v/>
      </c>
      <c r="M2479" s="30" t="str">
        <f t="shared" si="261"/>
        <v/>
      </c>
      <c r="N2479" s="134"/>
      <c r="O2479" s="29"/>
      <c r="P2479" s="37" t="str">
        <f t="shared" si="262"/>
        <v/>
      </c>
      <c r="Q2479" s="38" t="str">
        <f t="shared" si="263"/>
        <v/>
      </c>
      <c r="R2479" s="37" t="str">
        <f t="shared" si="264"/>
        <v/>
      </c>
      <c r="S2479" s="37" t="str">
        <f t="shared" si="265"/>
        <v/>
      </c>
      <c r="T2479" s="38" t="str">
        <f t="shared" si="266"/>
        <v/>
      </c>
      <c r="U2479" s="37" t="str">
        <f t="shared" si="267"/>
        <v/>
      </c>
    </row>
    <row r="2480" spans="2:21" ht="17.25">
      <c r="B2480" s="156"/>
      <c r="C2480" s="156"/>
      <c r="D2480" s="157"/>
      <c r="E2480" s="155"/>
      <c r="F2480" s="151"/>
      <c r="G2480" s="152"/>
      <c r="H2480" s="153"/>
      <c r="I2480" s="154"/>
      <c r="J2480" s="154"/>
      <c r="K2480" s="30" t="str">
        <f>IF(H2480="","",IF($C$30="간이법","",FPR(H2480,I2480,J2480)))</f>
        <v/>
      </c>
      <c r="L2480" s="30" t="str">
        <f>IF(H2480="","",IF($C$30="상세법",FPV(H2480,K2480),IF(H2480="EI",4,IF(H2480="EO",5.2,IF(H2480="EQ",3.9,IF(H2480="ILF",7.5,IF(H2480="EIF",5.4)))))))</f>
        <v/>
      </c>
      <c r="M2480" s="30" t="str">
        <f t="shared" si="261"/>
        <v/>
      </c>
      <c r="N2480" s="134"/>
      <c r="O2480" s="29"/>
      <c r="P2480" s="37" t="str">
        <f t="shared" si="262"/>
        <v/>
      </c>
      <c r="Q2480" s="38" t="str">
        <f t="shared" si="263"/>
        <v/>
      </c>
      <c r="R2480" s="37" t="str">
        <f t="shared" si="264"/>
        <v/>
      </c>
      <c r="S2480" s="37" t="str">
        <f t="shared" si="265"/>
        <v/>
      </c>
      <c r="T2480" s="38" t="str">
        <f t="shared" si="266"/>
        <v/>
      </c>
      <c r="U2480" s="37" t="str">
        <f t="shared" si="267"/>
        <v/>
      </c>
    </row>
    <row r="2481" spans="2:21" ht="17.25">
      <c r="B2481" s="156"/>
      <c r="C2481" s="156"/>
      <c r="D2481" s="157"/>
      <c r="E2481" s="155"/>
      <c r="F2481" s="151"/>
      <c r="G2481" s="152"/>
      <c r="H2481" s="153"/>
      <c r="I2481" s="154"/>
      <c r="J2481" s="154"/>
      <c r="K2481" s="30" t="str">
        <f>IF(H2481="","",IF($C$30="간이법","",FPR(H2481,I2481,J2481)))</f>
        <v/>
      </c>
      <c r="L2481" s="30" t="str">
        <f>IF(H2481="","",IF($C$30="상세법",FPV(H2481,K2481),IF(H2481="EI",4,IF(H2481="EO",5.2,IF(H2481="EQ",3.9,IF(H2481="ILF",7.5,IF(H2481="EIF",5.4)))))))</f>
        <v/>
      </c>
      <c r="M2481" s="30" t="str">
        <f t="shared" si="261"/>
        <v/>
      </c>
      <c r="N2481" s="134"/>
      <c r="O2481" s="29"/>
      <c r="P2481" s="37" t="str">
        <f t="shared" si="262"/>
        <v/>
      </c>
      <c r="Q2481" s="38" t="str">
        <f t="shared" si="263"/>
        <v/>
      </c>
      <c r="R2481" s="37" t="str">
        <f t="shared" si="264"/>
        <v/>
      </c>
      <c r="S2481" s="37" t="str">
        <f t="shared" si="265"/>
        <v/>
      </c>
      <c r="T2481" s="38" t="str">
        <f t="shared" si="266"/>
        <v/>
      </c>
      <c r="U2481" s="37" t="str">
        <f t="shared" si="267"/>
        <v/>
      </c>
    </row>
    <row r="2482" spans="2:21" ht="17.25">
      <c r="B2482" s="156"/>
      <c r="C2482" s="156"/>
      <c r="D2482" s="157"/>
      <c r="E2482" s="155"/>
      <c r="F2482" s="151"/>
      <c r="G2482" s="152"/>
      <c r="H2482" s="153"/>
      <c r="I2482" s="154"/>
      <c r="J2482" s="154"/>
      <c r="K2482" s="30" t="str">
        <f>IF(H2482="","",IF($C$30="간이법","",FPR(H2482,I2482,J2482)))</f>
        <v/>
      </c>
      <c r="L2482" s="30" t="str">
        <f>IF(H2482="","",IF($C$30="상세법",FPV(H2482,K2482),IF(H2482="EI",4,IF(H2482="EO",5.2,IF(H2482="EQ",3.9,IF(H2482="ILF",7.5,IF(H2482="EIF",5.4)))))))</f>
        <v/>
      </c>
      <c r="M2482" s="30" t="str">
        <f t="shared" si="261"/>
        <v/>
      </c>
      <c r="N2482" s="134"/>
      <c r="O2482" s="29"/>
      <c r="P2482" s="37" t="str">
        <f t="shared" si="262"/>
        <v/>
      </c>
      <c r="Q2482" s="38" t="str">
        <f t="shared" si="263"/>
        <v/>
      </c>
      <c r="R2482" s="37" t="str">
        <f t="shared" si="264"/>
        <v/>
      </c>
      <c r="S2482" s="37" t="str">
        <f t="shared" si="265"/>
        <v/>
      </c>
      <c r="T2482" s="38" t="str">
        <f t="shared" si="266"/>
        <v/>
      </c>
      <c r="U2482" s="37" t="str">
        <f t="shared" si="267"/>
        <v/>
      </c>
    </row>
    <row r="2483" spans="2:21" ht="17.25">
      <c r="B2483" s="156"/>
      <c r="C2483" s="156"/>
      <c r="D2483" s="157"/>
      <c r="E2483" s="155"/>
      <c r="F2483" s="151"/>
      <c r="G2483" s="152"/>
      <c r="H2483" s="153"/>
      <c r="I2483" s="154"/>
      <c r="J2483" s="154"/>
      <c r="K2483" s="30" t="str">
        <f>IF(H2483="","",IF($C$30="간이법","",FPR(H2483,I2483,J2483)))</f>
        <v/>
      </c>
      <c r="L2483" s="30" t="str">
        <f>IF(H2483="","",IF($C$30="상세법",FPV(H2483,K2483),IF(H2483="EI",4,IF(H2483="EO",5.2,IF(H2483="EQ",3.9,IF(H2483="ILF",7.5,IF(H2483="EIF",5.4)))))))</f>
        <v/>
      </c>
      <c r="M2483" s="30" t="str">
        <f t="shared" si="261"/>
        <v/>
      </c>
      <c r="N2483" s="134"/>
      <c r="O2483" s="29"/>
      <c r="P2483" s="37" t="str">
        <f t="shared" si="262"/>
        <v/>
      </c>
      <c r="Q2483" s="38" t="str">
        <f t="shared" si="263"/>
        <v/>
      </c>
      <c r="R2483" s="37" t="str">
        <f t="shared" si="264"/>
        <v/>
      </c>
      <c r="S2483" s="37" t="str">
        <f t="shared" si="265"/>
        <v/>
      </c>
      <c r="T2483" s="38" t="str">
        <f t="shared" si="266"/>
        <v/>
      </c>
      <c r="U2483" s="37" t="str">
        <f t="shared" si="267"/>
        <v/>
      </c>
    </row>
    <row r="2484" spans="2:21" ht="17.25">
      <c r="B2484" s="156"/>
      <c r="C2484" s="156"/>
      <c r="D2484" s="157"/>
      <c r="E2484" s="155"/>
      <c r="F2484" s="151"/>
      <c r="G2484" s="152"/>
      <c r="H2484" s="153"/>
      <c r="I2484" s="154"/>
      <c r="J2484" s="154"/>
      <c r="K2484" s="30" t="str">
        <f>IF(H2484="","",IF($C$30="간이법","",FPR(H2484,I2484,J2484)))</f>
        <v/>
      </c>
      <c r="L2484" s="30" t="str">
        <f>IF(H2484="","",IF($C$30="상세법",FPV(H2484,K2484),IF(H2484="EI",4,IF(H2484="EO",5.2,IF(H2484="EQ",3.9,IF(H2484="ILF",7.5,IF(H2484="EIF",5.4)))))))</f>
        <v/>
      </c>
      <c r="M2484" s="30" t="str">
        <f t="shared" si="261"/>
        <v/>
      </c>
      <c r="N2484" s="134"/>
      <c r="O2484" s="29"/>
      <c r="P2484" s="37" t="str">
        <f t="shared" si="262"/>
        <v/>
      </c>
      <c r="Q2484" s="38" t="str">
        <f t="shared" si="263"/>
        <v/>
      </c>
      <c r="R2484" s="37" t="str">
        <f t="shared" si="264"/>
        <v/>
      </c>
      <c r="S2484" s="37" t="str">
        <f t="shared" si="265"/>
        <v/>
      </c>
      <c r="T2484" s="38" t="str">
        <f t="shared" si="266"/>
        <v/>
      </c>
      <c r="U2484" s="37" t="str">
        <f t="shared" si="267"/>
        <v/>
      </c>
    </row>
    <row r="2485" spans="2:21" ht="17.25">
      <c r="B2485" s="156"/>
      <c r="C2485" s="156"/>
      <c r="D2485" s="157"/>
      <c r="E2485" s="155"/>
      <c r="F2485" s="151"/>
      <c r="G2485" s="152"/>
      <c r="H2485" s="153"/>
      <c r="I2485" s="154"/>
      <c r="J2485" s="154"/>
      <c r="K2485" s="30" t="str">
        <f>IF(H2485="","",IF($C$30="간이법","",FPR(H2485,I2485,J2485)))</f>
        <v/>
      </c>
      <c r="L2485" s="30" t="str">
        <f>IF(H2485="","",IF($C$30="상세법",FPV(H2485,K2485),IF(H2485="EI",4,IF(H2485="EO",5.2,IF(H2485="EQ",3.9,IF(H2485="ILF",7.5,IF(H2485="EIF",5.4)))))))</f>
        <v/>
      </c>
      <c r="M2485" s="30" t="str">
        <f t="shared" si="261"/>
        <v/>
      </c>
      <c r="N2485" s="134"/>
      <c r="O2485" s="29"/>
      <c r="P2485" s="37" t="str">
        <f t="shared" si="262"/>
        <v/>
      </c>
      <c r="Q2485" s="38" t="str">
        <f t="shared" si="263"/>
        <v/>
      </c>
      <c r="R2485" s="37" t="str">
        <f t="shared" si="264"/>
        <v/>
      </c>
      <c r="S2485" s="37" t="str">
        <f t="shared" si="265"/>
        <v/>
      </c>
      <c r="T2485" s="38" t="str">
        <f t="shared" si="266"/>
        <v/>
      </c>
      <c r="U2485" s="37" t="str">
        <f t="shared" si="267"/>
        <v/>
      </c>
    </row>
    <row r="2486" spans="2:21" ht="17.25">
      <c r="B2486" s="156"/>
      <c r="C2486" s="156"/>
      <c r="D2486" s="157"/>
      <c r="E2486" s="155"/>
      <c r="F2486" s="151"/>
      <c r="G2486" s="152"/>
      <c r="H2486" s="153"/>
      <c r="I2486" s="154"/>
      <c r="J2486" s="154"/>
      <c r="K2486" s="30" t="str">
        <f>IF(H2486="","",IF($C$30="간이법","",FPR(H2486,I2486,J2486)))</f>
        <v/>
      </c>
      <c r="L2486" s="30" t="str">
        <f>IF(H2486="","",IF($C$30="상세법",FPV(H2486,K2486),IF(H2486="EI",4,IF(H2486="EO",5.2,IF(H2486="EQ",3.9,IF(H2486="ILF",7.5,IF(H2486="EIF",5.4)))))))</f>
        <v/>
      </c>
      <c r="M2486" s="30" t="str">
        <f t="shared" si="261"/>
        <v/>
      </c>
      <c r="N2486" s="134"/>
      <c r="O2486" s="29"/>
      <c r="P2486" s="37" t="str">
        <f t="shared" si="262"/>
        <v/>
      </c>
      <c r="Q2486" s="38" t="str">
        <f t="shared" si="263"/>
        <v/>
      </c>
      <c r="R2486" s="37" t="str">
        <f t="shared" si="264"/>
        <v/>
      </c>
      <c r="S2486" s="37" t="str">
        <f t="shared" si="265"/>
        <v/>
      </c>
      <c r="T2486" s="38" t="str">
        <f t="shared" si="266"/>
        <v/>
      </c>
      <c r="U2486" s="37" t="str">
        <f t="shared" si="267"/>
        <v/>
      </c>
    </row>
    <row r="2487" spans="2:21" ht="17.25">
      <c r="B2487" s="156"/>
      <c r="C2487" s="156"/>
      <c r="D2487" s="157"/>
      <c r="E2487" s="155"/>
      <c r="F2487" s="151"/>
      <c r="G2487" s="152"/>
      <c r="H2487" s="153"/>
      <c r="I2487" s="154"/>
      <c r="J2487" s="154"/>
      <c r="K2487" s="30" t="str">
        <f>IF(H2487="","",IF($C$30="간이법","",FPR(H2487,I2487,J2487)))</f>
        <v/>
      </c>
      <c r="L2487" s="30" t="str">
        <f>IF(H2487="","",IF($C$30="상세법",FPV(H2487,K2487),IF(H2487="EI",4,IF(H2487="EO",5.2,IF(H2487="EQ",3.9,IF(H2487="ILF",7.5,IF(H2487="EIF",5.4)))))))</f>
        <v/>
      </c>
      <c r="M2487" s="30" t="str">
        <f t="shared" si="261"/>
        <v/>
      </c>
      <c r="N2487" s="134"/>
      <c r="O2487" s="29"/>
      <c r="P2487" s="37" t="str">
        <f t="shared" si="262"/>
        <v/>
      </c>
      <c r="Q2487" s="38" t="str">
        <f t="shared" si="263"/>
        <v/>
      </c>
      <c r="R2487" s="37" t="str">
        <f t="shared" si="264"/>
        <v/>
      </c>
      <c r="S2487" s="37" t="str">
        <f t="shared" si="265"/>
        <v/>
      </c>
      <c r="T2487" s="38" t="str">
        <f t="shared" si="266"/>
        <v/>
      </c>
      <c r="U2487" s="37" t="str">
        <f t="shared" si="267"/>
        <v/>
      </c>
    </row>
    <row r="2488" spans="2:21" ht="17.25">
      <c r="B2488" s="156"/>
      <c r="C2488" s="156"/>
      <c r="D2488" s="157"/>
      <c r="E2488" s="155"/>
      <c r="F2488" s="151"/>
      <c r="G2488" s="152"/>
      <c r="H2488" s="153"/>
      <c r="I2488" s="154"/>
      <c r="J2488" s="154"/>
      <c r="K2488" s="30" t="str">
        <f>IF(H2488="","",IF($C$30="간이법","",FPR(H2488,I2488,J2488)))</f>
        <v/>
      </c>
      <c r="L2488" s="30" t="str">
        <f>IF(H2488="","",IF($C$30="상세법",FPV(H2488,K2488),IF(H2488="EI",4,IF(H2488="EO",5.2,IF(H2488="EQ",3.9,IF(H2488="ILF",7.5,IF(H2488="EIF",5.4)))))))</f>
        <v/>
      </c>
      <c r="M2488" s="30" t="str">
        <f t="shared" si="261"/>
        <v/>
      </c>
      <c r="N2488" s="134"/>
      <c r="O2488" s="29"/>
      <c r="P2488" s="37" t="str">
        <f t="shared" si="262"/>
        <v/>
      </c>
      <c r="Q2488" s="38" t="str">
        <f t="shared" si="263"/>
        <v/>
      </c>
      <c r="R2488" s="37" t="str">
        <f t="shared" si="264"/>
        <v/>
      </c>
      <c r="S2488" s="37" t="str">
        <f t="shared" si="265"/>
        <v/>
      </c>
      <c r="T2488" s="38" t="str">
        <f t="shared" si="266"/>
        <v/>
      </c>
      <c r="U2488" s="37" t="str">
        <f t="shared" si="267"/>
        <v/>
      </c>
    </row>
    <row r="2489" spans="2:21" ht="17.25">
      <c r="B2489" s="156"/>
      <c r="C2489" s="156"/>
      <c r="D2489" s="157"/>
      <c r="E2489" s="155"/>
      <c r="F2489" s="151"/>
      <c r="G2489" s="152"/>
      <c r="H2489" s="153"/>
      <c r="I2489" s="154"/>
      <c r="J2489" s="154"/>
      <c r="K2489" s="30" t="str">
        <f>IF(H2489="","",IF($C$30="간이법","",FPR(H2489,I2489,J2489)))</f>
        <v/>
      </c>
      <c r="L2489" s="30" t="str">
        <f>IF(H2489="","",IF($C$30="상세법",FPV(H2489,K2489),IF(H2489="EI",4,IF(H2489="EO",5.2,IF(H2489="EQ",3.9,IF(H2489="ILF",7.5,IF(H2489="EIF",5.4)))))))</f>
        <v/>
      </c>
      <c r="M2489" s="30" t="str">
        <f t="shared" si="261"/>
        <v/>
      </c>
      <c r="N2489" s="134"/>
      <c r="O2489" s="29"/>
      <c r="P2489" s="37" t="str">
        <f t="shared" si="262"/>
        <v/>
      </c>
      <c r="Q2489" s="38" t="str">
        <f t="shared" si="263"/>
        <v/>
      </c>
      <c r="R2489" s="37" t="str">
        <f t="shared" si="264"/>
        <v/>
      </c>
      <c r="S2489" s="37" t="str">
        <f t="shared" si="265"/>
        <v/>
      </c>
      <c r="T2489" s="38" t="str">
        <f t="shared" si="266"/>
        <v/>
      </c>
      <c r="U2489" s="37" t="str">
        <f t="shared" si="267"/>
        <v/>
      </c>
    </row>
    <row r="2490" spans="2:21" ht="17.25">
      <c r="B2490" s="156"/>
      <c r="C2490" s="156"/>
      <c r="D2490" s="157"/>
      <c r="E2490" s="155"/>
      <c r="F2490" s="151"/>
      <c r="G2490" s="152"/>
      <c r="H2490" s="153"/>
      <c r="I2490" s="154"/>
      <c r="J2490" s="154"/>
      <c r="K2490" s="30" t="str">
        <f>IF(H2490="","",IF($C$30="간이법","",FPR(H2490,I2490,J2490)))</f>
        <v/>
      </c>
      <c r="L2490" s="30" t="str">
        <f>IF(H2490="","",IF($C$30="상세법",FPV(H2490,K2490),IF(H2490="EI",4,IF(H2490="EO",5.2,IF(H2490="EQ",3.9,IF(H2490="ILF",7.5,IF(H2490="EIF",5.4)))))))</f>
        <v/>
      </c>
      <c r="M2490" s="30" t="str">
        <f t="shared" si="261"/>
        <v/>
      </c>
      <c r="N2490" s="134"/>
      <c r="O2490" s="29"/>
      <c r="P2490" s="37" t="str">
        <f t="shared" si="262"/>
        <v/>
      </c>
      <c r="Q2490" s="38" t="str">
        <f t="shared" si="263"/>
        <v/>
      </c>
      <c r="R2490" s="37" t="str">
        <f t="shared" si="264"/>
        <v/>
      </c>
      <c r="S2490" s="37" t="str">
        <f t="shared" si="265"/>
        <v/>
      </c>
      <c r="T2490" s="38" t="str">
        <f t="shared" si="266"/>
        <v/>
      </c>
      <c r="U2490" s="37" t="str">
        <f t="shared" si="267"/>
        <v/>
      </c>
    </row>
    <row r="2491" spans="2:21" ht="17.25">
      <c r="B2491" s="156"/>
      <c r="C2491" s="156"/>
      <c r="D2491" s="157"/>
      <c r="E2491" s="155"/>
      <c r="F2491" s="151"/>
      <c r="G2491" s="152"/>
      <c r="H2491" s="153"/>
      <c r="I2491" s="154"/>
      <c r="J2491" s="154"/>
      <c r="K2491" s="30" t="str">
        <f>IF(H2491="","",IF($C$30="간이법","",FPR(H2491,I2491,J2491)))</f>
        <v/>
      </c>
      <c r="L2491" s="30" t="str">
        <f>IF(H2491="","",IF($C$30="상세법",FPV(H2491,K2491),IF(H2491="EI",4,IF(H2491="EO",5.2,IF(H2491="EQ",3.9,IF(H2491="ILF",7.5,IF(H2491="EIF",5.4)))))))</f>
        <v/>
      </c>
      <c r="M2491" s="30" t="str">
        <f t="shared" si="261"/>
        <v/>
      </c>
      <c r="N2491" s="134"/>
      <c r="O2491" s="29"/>
      <c r="P2491" s="37" t="str">
        <f t="shared" si="262"/>
        <v/>
      </c>
      <c r="Q2491" s="38" t="str">
        <f t="shared" si="263"/>
        <v/>
      </c>
      <c r="R2491" s="37" t="str">
        <f t="shared" si="264"/>
        <v/>
      </c>
      <c r="S2491" s="37" t="str">
        <f t="shared" si="265"/>
        <v/>
      </c>
      <c r="T2491" s="38" t="str">
        <f t="shared" si="266"/>
        <v/>
      </c>
      <c r="U2491" s="37" t="str">
        <f t="shared" si="267"/>
        <v/>
      </c>
    </row>
    <row r="2492" spans="2:21" ht="17.25">
      <c r="B2492" s="156"/>
      <c r="C2492" s="156"/>
      <c r="D2492" s="157"/>
      <c r="E2492" s="155"/>
      <c r="F2492" s="151"/>
      <c r="G2492" s="152"/>
      <c r="H2492" s="153"/>
      <c r="I2492" s="154"/>
      <c r="J2492" s="154"/>
      <c r="K2492" s="30" t="str">
        <f>IF(H2492="","",IF($C$30="간이법","",FPR(H2492,I2492,J2492)))</f>
        <v/>
      </c>
      <c r="L2492" s="30" t="str">
        <f>IF(H2492="","",IF($C$30="상세법",FPV(H2492,K2492),IF(H2492="EI",4,IF(H2492="EO",5.2,IF(H2492="EQ",3.9,IF(H2492="ILF",7.5,IF(H2492="EIF",5.4)))))))</f>
        <v/>
      </c>
      <c r="M2492" s="30" t="str">
        <f t="shared" ref="M2492:M2555" si="268">IF(OR(G2492="",$E$36="(선택)",$E$40="(선택)",$E$41="(선택)",F2492="신규 개발",F2492="수정 없이 재사용"),"",(IF(F2492="수정 후 재사용",IF($E$50&lt;=0.5,L2492*($E$36+$E$50*100*(1+0.02*($E$40*$E$41)))/100,L2492*($E$36+$E$50*100+($E$40*$E$41))/100))))</f>
        <v/>
      </c>
      <c r="N2492" s="134"/>
      <c r="O2492" s="29"/>
      <c r="P2492" s="37" t="str">
        <f t="shared" ref="P2492:P2555" si="269">IF(F2492="수정 후 재사용",IF(H2492="ILF",G2492,IF(H2492="EIF",G2492,"")),"")</f>
        <v/>
      </c>
      <c r="Q2492" s="38" t="str">
        <f t="shared" ref="Q2492:Q2555" si="270">IF(P2492&lt;&gt;"",IF(H2492="ILF", L2492/$E$46,IF(H2492="EIF", L2492/$E$46,"")),"")</f>
        <v/>
      </c>
      <c r="R2492" s="37" t="str">
        <f t="shared" ref="R2492:R2555" si="271">IF(P2492&lt;&gt;"",P2492*Q2492,"")</f>
        <v/>
      </c>
      <c r="S2492" s="37" t="str">
        <f t="shared" ref="S2492:S2555" si="272">IF(F2492="수정 후 재사용",IF(H2492="EI",G2492,IF(H2492="EO",G2492,IF(H2492="EQ",G2492,""))),"")</f>
        <v/>
      </c>
      <c r="T2492" s="38" t="str">
        <f t="shared" ref="T2492:T2555" si="273">IF(S2492&lt;&gt;"",IF(H2492="EI",L2492/$E$47,IF(H2492="EO",L2492/$E$47,IF(H2492="EQ",L2492/$E$47,""))),"")</f>
        <v/>
      </c>
      <c r="U2492" s="37" t="str">
        <f t="shared" ref="U2492:U2555" si="274">IF(S2492&lt;&gt;"",S2492*T2492,"")</f>
        <v/>
      </c>
    </row>
    <row r="2493" spans="2:21" ht="17.25">
      <c r="B2493" s="156"/>
      <c r="C2493" s="156"/>
      <c r="D2493" s="157"/>
      <c r="E2493" s="155"/>
      <c r="F2493" s="151"/>
      <c r="G2493" s="152"/>
      <c r="H2493" s="153"/>
      <c r="I2493" s="154"/>
      <c r="J2493" s="154"/>
      <c r="K2493" s="30" t="str">
        <f>IF(H2493="","",IF($C$30="간이법","",FPR(H2493,I2493,J2493)))</f>
        <v/>
      </c>
      <c r="L2493" s="30" t="str">
        <f>IF(H2493="","",IF($C$30="상세법",FPV(H2493,K2493),IF(H2493="EI",4,IF(H2493="EO",5.2,IF(H2493="EQ",3.9,IF(H2493="ILF",7.5,IF(H2493="EIF",5.4)))))))</f>
        <v/>
      </c>
      <c r="M2493" s="30" t="str">
        <f t="shared" si="268"/>
        <v/>
      </c>
      <c r="N2493" s="134"/>
      <c r="O2493" s="29"/>
      <c r="P2493" s="37" t="str">
        <f t="shared" si="269"/>
        <v/>
      </c>
      <c r="Q2493" s="38" t="str">
        <f t="shared" si="270"/>
        <v/>
      </c>
      <c r="R2493" s="37" t="str">
        <f t="shared" si="271"/>
        <v/>
      </c>
      <c r="S2493" s="37" t="str">
        <f t="shared" si="272"/>
        <v/>
      </c>
      <c r="T2493" s="38" t="str">
        <f t="shared" si="273"/>
        <v/>
      </c>
      <c r="U2493" s="37" t="str">
        <f t="shared" si="274"/>
        <v/>
      </c>
    </row>
    <row r="2494" spans="2:21" ht="17.25">
      <c r="B2494" s="156"/>
      <c r="C2494" s="156"/>
      <c r="D2494" s="157"/>
      <c r="E2494" s="155"/>
      <c r="F2494" s="151"/>
      <c r="G2494" s="152"/>
      <c r="H2494" s="153"/>
      <c r="I2494" s="154"/>
      <c r="J2494" s="154"/>
      <c r="K2494" s="30" t="str">
        <f>IF(H2494="","",IF($C$30="간이법","",FPR(H2494,I2494,J2494)))</f>
        <v/>
      </c>
      <c r="L2494" s="30" t="str">
        <f>IF(H2494="","",IF($C$30="상세법",FPV(H2494,K2494),IF(H2494="EI",4,IF(H2494="EO",5.2,IF(H2494="EQ",3.9,IF(H2494="ILF",7.5,IF(H2494="EIF",5.4)))))))</f>
        <v/>
      </c>
      <c r="M2494" s="30" t="str">
        <f t="shared" si="268"/>
        <v/>
      </c>
      <c r="N2494" s="134"/>
      <c r="O2494" s="29"/>
      <c r="P2494" s="37" t="str">
        <f t="shared" si="269"/>
        <v/>
      </c>
      <c r="Q2494" s="38" t="str">
        <f t="shared" si="270"/>
        <v/>
      </c>
      <c r="R2494" s="37" t="str">
        <f t="shared" si="271"/>
        <v/>
      </c>
      <c r="S2494" s="37" t="str">
        <f t="shared" si="272"/>
        <v/>
      </c>
      <c r="T2494" s="38" t="str">
        <f t="shared" si="273"/>
        <v/>
      </c>
      <c r="U2494" s="37" t="str">
        <f t="shared" si="274"/>
        <v/>
      </c>
    </row>
    <row r="2495" spans="2:21" ht="17.25">
      <c r="B2495" s="156"/>
      <c r="C2495" s="156"/>
      <c r="D2495" s="157"/>
      <c r="E2495" s="155"/>
      <c r="F2495" s="151"/>
      <c r="G2495" s="152"/>
      <c r="H2495" s="153"/>
      <c r="I2495" s="154"/>
      <c r="J2495" s="154"/>
      <c r="K2495" s="30" t="str">
        <f>IF(H2495="","",IF($C$30="간이법","",FPR(H2495,I2495,J2495)))</f>
        <v/>
      </c>
      <c r="L2495" s="30" t="str">
        <f>IF(H2495="","",IF($C$30="상세법",FPV(H2495,K2495),IF(H2495="EI",4,IF(H2495="EO",5.2,IF(H2495="EQ",3.9,IF(H2495="ILF",7.5,IF(H2495="EIF",5.4)))))))</f>
        <v/>
      </c>
      <c r="M2495" s="30" t="str">
        <f t="shared" si="268"/>
        <v/>
      </c>
      <c r="N2495" s="134"/>
      <c r="O2495" s="29"/>
      <c r="P2495" s="37" t="str">
        <f t="shared" si="269"/>
        <v/>
      </c>
      <c r="Q2495" s="38" t="str">
        <f t="shared" si="270"/>
        <v/>
      </c>
      <c r="R2495" s="37" t="str">
        <f t="shared" si="271"/>
        <v/>
      </c>
      <c r="S2495" s="37" t="str">
        <f t="shared" si="272"/>
        <v/>
      </c>
      <c r="T2495" s="38" t="str">
        <f t="shared" si="273"/>
        <v/>
      </c>
      <c r="U2495" s="37" t="str">
        <f t="shared" si="274"/>
        <v/>
      </c>
    </row>
    <row r="2496" spans="2:21" ht="17.25">
      <c r="B2496" s="156"/>
      <c r="C2496" s="156"/>
      <c r="D2496" s="157"/>
      <c r="E2496" s="155"/>
      <c r="F2496" s="151"/>
      <c r="G2496" s="152"/>
      <c r="H2496" s="153"/>
      <c r="I2496" s="154"/>
      <c r="J2496" s="154"/>
      <c r="K2496" s="30" t="str">
        <f>IF(H2496="","",IF($C$30="간이법","",FPR(H2496,I2496,J2496)))</f>
        <v/>
      </c>
      <c r="L2496" s="30" t="str">
        <f>IF(H2496="","",IF($C$30="상세법",FPV(H2496,K2496),IF(H2496="EI",4,IF(H2496="EO",5.2,IF(H2496="EQ",3.9,IF(H2496="ILF",7.5,IF(H2496="EIF",5.4)))))))</f>
        <v/>
      </c>
      <c r="M2496" s="30" t="str">
        <f t="shared" si="268"/>
        <v/>
      </c>
      <c r="N2496" s="134"/>
      <c r="O2496" s="29"/>
      <c r="P2496" s="37" t="str">
        <f t="shared" si="269"/>
        <v/>
      </c>
      <c r="Q2496" s="38" t="str">
        <f t="shared" si="270"/>
        <v/>
      </c>
      <c r="R2496" s="37" t="str">
        <f t="shared" si="271"/>
        <v/>
      </c>
      <c r="S2496" s="37" t="str">
        <f t="shared" si="272"/>
        <v/>
      </c>
      <c r="T2496" s="38" t="str">
        <f t="shared" si="273"/>
        <v/>
      </c>
      <c r="U2496" s="37" t="str">
        <f t="shared" si="274"/>
        <v/>
      </c>
    </row>
    <row r="2497" spans="2:21" ht="17.25">
      <c r="B2497" s="156"/>
      <c r="C2497" s="156"/>
      <c r="D2497" s="157"/>
      <c r="E2497" s="155"/>
      <c r="F2497" s="151"/>
      <c r="G2497" s="152"/>
      <c r="H2497" s="153"/>
      <c r="I2497" s="154"/>
      <c r="J2497" s="154"/>
      <c r="K2497" s="30" t="str">
        <f>IF(H2497="","",IF($C$30="간이법","",FPR(H2497,I2497,J2497)))</f>
        <v/>
      </c>
      <c r="L2497" s="30" t="str">
        <f>IF(H2497="","",IF($C$30="상세법",FPV(H2497,K2497),IF(H2497="EI",4,IF(H2497="EO",5.2,IF(H2497="EQ",3.9,IF(H2497="ILF",7.5,IF(H2497="EIF",5.4)))))))</f>
        <v/>
      </c>
      <c r="M2497" s="30" t="str">
        <f t="shared" si="268"/>
        <v/>
      </c>
      <c r="N2497" s="134"/>
      <c r="O2497" s="29"/>
      <c r="P2497" s="37" t="str">
        <f t="shared" si="269"/>
        <v/>
      </c>
      <c r="Q2497" s="38" t="str">
        <f t="shared" si="270"/>
        <v/>
      </c>
      <c r="R2497" s="37" t="str">
        <f t="shared" si="271"/>
        <v/>
      </c>
      <c r="S2497" s="37" t="str">
        <f t="shared" si="272"/>
        <v/>
      </c>
      <c r="T2497" s="38" t="str">
        <f t="shared" si="273"/>
        <v/>
      </c>
      <c r="U2497" s="37" t="str">
        <f t="shared" si="274"/>
        <v/>
      </c>
    </row>
    <row r="2498" spans="2:21" ht="17.25">
      <c r="B2498" s="156"/>
      <c r="C2498" s="156"/>
      <c r="D2498" s="157"/>
      <c r="E2498" s="155"/>
      <c r="F2498" s="151"/>
      <c r="G2498" s="152"/>
      <c r="H2498" s="153"/>
      <c r="I2498" s="154"/>
      <c r="J2498" s="154"/>
      <c r="K2498" s="30" t="str">
        <f>IF(H2498="","",IF($C$30="간이법","",FPR(H2498,I2498,J2498)))</f>
        <v/>
      </c>
      <c r="L2498" s="30" t="str">
        <f>IF(H2498="","",IF($C$30="상세법",FPV(H2498,K2498),IF(H2498="EI",4,IF(H2498="EO",5.2,IF(H2498="EQ",3.9,IF(H2498="ILF",7.5,IF(H2498="EIF",5.4)))))))</f>
        <v/>
      </c>
      <c r="M2498" s="30" t="str">
        <f t="shared" si="268"/>
        <v/>
      </c>
      <c r="N2498" s="134"/>
      <c r="O2498" s="29"/>
      <c r="P2498" s="37" t="str">
        <f t="shared" si="269"/>
        <v/>
      </c>
      <c r="Q2498" s="38" t="str">
        <f t="shared" si="270"/>
        <v/>
      </c>
      <c r="R2498" s="37" t="str">
        <f t="shared" si="271"/>
        <v/>
      </c>
      <c r="S2498" s="37" t="str">
        <f t="shared" si="272"/>
        <v/>
      </c>
      <c r="T2498" s="38" t="str">
        <f t="shared" si="273"/>
        <v/>
      </c>
      <c r="U2498" s="37" t="str">
        <f t="shared" si="274"/>
        <v/>
      </c>
    </row>
    <row r="2499" spans="2:21" ht="17.25">
      <c r="B2499" s="156"/>
      <c r="C2499" s="156"/>
      <c r="D2499" s="157"/>
      <c r="E2499" s="155"/>
      <c r="F2499" s="151"/>
      <c r="G2499" s="152"/>
      <c r="H2499" s="153"/>
      <c r="I2499" s="154"/>
      <c r="J2499" s="154"/>
      <c r="K2499" s="30" t="str">
        <f>IF(H2499="","",IF($C$30="간이법","",FPR(H2499,I2499,J2499)))</f>
        <v/>
      </c>
      <c r="L2499" s="30" t="str">
        <f>IF(H2499="","",IF($C$30="상세법",FPV(H2499,K2499),IF(H2499="EI",4,IF(H2499="EO",5.2,IF(H2499="EQ",3.9,IF(H2499="ILF",7.5,IF(H2499="EIF",5.4)))))))</f>
        <v/>
      </c>
      <c r="M2499" s="30" t="str">
        <f t="shared" si="268"/>
        <v/>
      </c>
      <c r="N2499" s="134"/>
      <c r="O2499" s="29"/>
      <c r="P2499" s="37" t="str">
        <f t="shared" si="269"/>
        <v/>
      </c>
      <c r="Q2499" s="38" t="str">
        <f t="shared" si="270"/>
        <v/>
      </c>
      <c r="R2499" s="37" t="str">
        <f t="shared" si="271"/>
        <v/>
      </c>
      <c r="S2499" s="37" t="str">
        <f t="shared" si="272"/>
        <v/>
      </c>
      <c r="T2499" s="38" t="str">
        <f t="shared" si="273"/>
        <v/>
      </c>
      <c r="U2499" s="37" t="str">
        <f t="shared" si="274"/>
        <v/>
      </c>
    </row>
    <row r="2500" spans="2:21" ht="17.25">
      <c r="B2500" s="156"/>
      <c r="C2500" s="156"/>
      <c r="D2500" s="157"/>
      <c r="E2500" s="155"/>
      <c r="F2500" s="151"/>
      <c r="G2500" s="152"/>
      <c r="H2500" s="153"/>
      <c r="I2500" s="154"/>
      <c r="J2500" s="154"/>
      <c r="K2500" s="30" t="str">
        <f>IF(H2500="","",IF($C$30="간이법","",FPR(H2500,I2500,J2500)))</f>
        <v/>
      </c>
      <c r="L2500" s="30" t="str">
        <f>IF(H2500="","",IF($C$30="상세법",FPV(H2500,K2500),IF(H2500="EI",4,IF(H2500="EO",5.2,IF(H2500="EQ",3.9,IF(H2500="ILF",7.5,IF(H2500="EIF",5.4)))))))</f>
        <v/>
      </c>
      <c r="M2500" s="30" t="str">
        <f t="shared" si="268"/>
        <v/>
      </c>
      <c r="N2500" s="134"/>
      <c r="O2500" s="29"/>
      <c r="P2500" s="37" t="str">
        <f t="shared" si="269"/>
        <v/>
      </c>
      <c r="Q2500" s="38" t="str">
        <f t="shared" si="270"/>
        <v/>
      </c>
      <c r="R2500" s="37" t="str">
        <f t="shared" si="271"/>
        <v/>
      </c>
      <c r="S2500" s="37" t="str">
        <f t="shared" si="272"/>
        <v/>
      </c>
      <c r="T2500" s="38" t="str">
        <f t="shared" si="273"/>
        <v/>
      </c>
      <c r="U2500" s="37" t="str">
        <f t="shared" si="274"/>
        <v/>
      </c>
    </row>
    <row r="2501" spans="2:21" ht="17.25">
      <c r="B2501" s="156"/>
      <c r="C2501" s="156"/>
      <c r="D2501" s="157"/>
      <c r="E2501" s="155"/>
      <c r="F2501" s="151"/>
      <c r="G2501" s="152"/>
      <c r="H2501" s="153"/>
      <c r="I2501" s="154"/>
      <c r="J2501" s="154"/>
      <c r="K2501" s="30" t="str">
        <f>IF(H2501="","",IF($C$30="간이법","",FPR(H2501,I2501,J2501)))</f>
        <v/>
      </c>
      <c r="L2501" s="30" t="str">
        <f>IF(H2501="","",IF($C$30="상세법",FPV(H2501,K2501),IF(H2501="EI",4,IF(H2501="EO",5.2,IF(H2501="EQ",3.9,IF(H2501="ILF",7.5,IF(H2501="EIF",5.4)))))))</f>
        <v/>
      </c>
      <c r="M2501" s="30" t="str">
        <f t="shared" si="268"/>
        <v/>
      </c>
      <c r="N2501" s="134"/>
      <c r="O2501" s="29"/>
      <c r="P2501" s="37" t="str">
        <f t="shared" si="269"/>
        <v/>
      </c>
      <c r="Q2501" s="38" t="str">
        <f t="shared" si="270"/>
        <v/>
      </c>
      <c r="R2501" s="37" t="str">
        <f t="shared" si="271"/>
        <v/>
      </c>
      <c r="S2501" s="37" t="str">
        <f t="shared" si="272"/>
        <v/>
      </c>
      <c r="T2501" s="38" t="str">
        <f t="shared" si="273"/>
        <v/>
      </c>
      <c r="U2501" s="37" t="str">
        <f t="shared" si="274"/>
        <v/>
      </c>
    </row>
    <row r="2502" spans="2:21" ht="17.25">
      <c r="B2502" s="156"/>
      <c r="C2502" s="156"/>
      <c r="D2502" s="157"/>
      <c r="E2502" s="155"/>
      <c r="F2502" s="151"/>
      <c r="G2502" s="152"/>
      <c r="H2502" s="153"/>
      <c r="I2502" s="154"/>
      <c r="J2502" s="154"/>
      <c r="K2502" s="30" t="str">
        <f>IF(H2502="","",IF($C$30="간이법","",FPR(H2502,I2502,J2502)))</f>
        <v/>
      </c>
      <c r="L2502" s="30" t="str">
        <f>IF(H2502="","",IF($C$30="상세법",FPV(H2502,K2502),IF(H2502="EI",4,IF(H2502="EO",5.2,IF(H2502="EQ",3.9,IF(H2502="ILF",7.5,IF(H2502="EIF",5.4)))))))</f>
        <v/>
      </c>
      <c r="M2502" s="30" t="str">
        <f t="shared" si="268"/>
        <v/>
      </c>
      <c r="N2502" s="134"/>
      <c r="O2502" s="29"/>
      <c r="P2502" s="37" t="str">
        <f t="shared" si="269"/>
        <v/>
      </c>
      <c r="Q2502" s="38" t="str">
        <f t="shared" si="270"/>
        <v/>
      </c>
      <c r="R2502" s="37" t="str">
        <f t="shared" si="271"/>
        <v/>
      </c>
      <c r="S2502" s="37" t="str">
        <f t="shared" si="272"/>
        <v/>
      </c>
      <c r="T2502" s="38" t="str">
        <f t="shared" si="273"/>
        <v/>
      </c>
      <c r="U2502" s="37" t="str">
        <f t="shared" si="274"/>
        <v/>
      </c>
    </row>
    <row r="2503" spans="2:21" ht="17.25">
      <c r="B2503" s="156"/>
      <c r="C2503" s="156"/>
      <c r="D2503" s="157"/>
      <c r="E2503" s="155"/>
      <c r="F2503" s="151"/>
      <c r="G2503" s="152"/>
      <c r="H2503" s="153"/>
      <c r="I2503" s="154"/>
      <c r="J2503" s="154"/>
      <c r="K2503" s="30" t="str">
        <f>IF(H2503="","",IF($C$30="간이법","",FPR(H2503,I2503,J2503)))</f>
        <v/>
      </c>
      <c r="L2503" s="30" t="str">
        <f>IF(H2503="","",IF($C$30="상세법",FPV(H2503,K2503),IF(H2503="EI",4,IF(H2503="EO",5.2,IF(H2503="EQ",3.9,IF(H2503="ILF",7.5,IF(H2503="EIF",5.4)))))))</f>
        <v/>
      </c>
      <c r="M2503" s="30" t="str">
        <f t="shared" si="268"/>
        <v/>
      </c>
      <c r="N2503" s="134"/>
      <c r="O2503" s="29"/>
      <c r="P2503" s="37" t="str">
        <f t="shared" si="269"/>
        <v/>
      </c>
      <c r="Q2503" s="38" t="str">
        <f t="shared" si="270"/>
        <v/>
      </c>
      <c r="R2503" s="37" t="str">
        <f t="shared" si="271"/>
        <v/>
      </c>
      <c r="S2503" s="37" t="str">
        <f t="shared" si="272"/>
        <v/>
      </c>
      <c r="T2503" s="38" t="str">
        <f t="shared" si="273"/>
        <v/>
      </c>
      <c r="U2503" s="37" t="str">
        <f t="shared" si="274"/>
        <v/>
      </c>
    </row>
    <row r="2504" spans="2:21" ht="17.25">
      <c r="B2504" s="156"/>
      <c r="C2504" s="156"/>
      <c r="D2504" s="157"/>
      <c r="E2504" s="155"/>
      <c r="F2504" s="151"/>
      <c r="G2504" s="152"/>
      <c r="H2504" s="153"/>
      <c r="I2504" s="154"/>
      <c r="J2504" s="154"/>
      <c r="K2504" s="30" t="str">
        <f>IF(H2504="","",IF($C$30="간이법","",FPR(H2504,I2504,J2504)))</f>
        <v/>
      </c>
      <c r="L2504" s="30" t="str">
        <f>IF(H2504="","",IF($C$30="상세법",FPV(H2504,K2504),IF(H2504="EI",4,IF(H2504="EO",5.2,IF(H2504="EQ",3.9,IF(H2504="ILF",7.5,IF(H2504="EIF",5.4)))))))</f>
        <v/>
      </c>
      <c r="M2504" s="30" t="str">
        <f t="shared" si="268"/>
        <v/>
      </c>
      <c r="N2504" s="134"/>
      <c r="O2504" s="29"/>
      <c r="P2504" s="37" t="str">
        <f t="shared" si="269"/>
        <v/>
      </c>
      <c r="Q2504" s="38" t="str">
        <f t="shared" si="270"/>
        <v/>
      </c>
      <c r="R2504" s="37" t="str">
        <f t="shared" si="271"/>
        <v/>
      </c>
      <c r="S2504" s="37" t="str">
        <f t="shared" si="272"/>
        <v/>
      </c>
      <c r="T2504" s="38" t="str">
        <f t="shared" si="273"/>
        <v/>
      </c>
      <c r="U2504" s="37" t="str">
        <f t="shared" si="274"/>
        <v/>
      </c>
    </row>
    <row r="2505" spans="2:21" ht="17.25">
      <c r="B2505" s="156"/>
      <c r="C2505" s="156"/>
      <c r="D2505" s="157"/>
      <c r="E2505" s="155"/>
      <c r="F2505" s="151"/>
      <c r="G2505" s="152"/>
      <c r="H2505" s="153"/>
      <c r="I2505" s="154"/>
      <c r="J2505" s="154"/>
      <c r="K2505" s="30" t="str">
        <f>IF(H2505="","",IF($C$30="간이법","",FPR(H2505,I2505,J2505)))</f>
        <v/>
      </c>
      <c r="L2505" s="30" t="str">
        <f>IF(H2505="","",IF($C$30="상세법",FPV(H2505,K2505),IF(H2505="EI",4,IF(H2505="EO",5.2,IF(H2505="EQ",3.9,IF(H2505="ILF",7.5,IF(H2505="EIF",5.4)))))))</f>
        <v/>
      </c>
      <c r="M2505" s="30" t="str">
        <f t="shared" si="268"/>
        <v/>
      </c>
      <c r="N2505" s="134"/>
      <c r="O2505" s="29"/>
      <c r="P2505" s="37" t="str">
        <f t="shared" si="269"/>
        <v/>
      </c>
      <c r="Q2505" s="38" t="str">
        <f t="shared" si="270"/>
        <v/>
      </c>
      <c r="R2505" s="37" t="str">
        <f t="shared" si="271"/>
        <v/>
      </c>
      <c r="S2505" s="37" t="str">
        <f t="shared" si="272"/>
        <v/>
      </c>
      <c r="T2505" s="38" t="str">
        <f t="shared" si="273"/>
        <v/>
      </c>
      <c r="U2505" s="37" t="str">
        <f t="shared" si="274"/>
        <v/>
      </c>
    </row>
    <row r="2506" spans="2:21" ht="17.25">
      <c r="B2506" s="156"/>
      <c r="C2506" s="156"/>
      <c r="D2506" s="157"/>
      <c r="E2506" s="155"/>
      <c r="F2506" s="151"/>
      <c r="G2506" s="152"/>
      <c r="H2506" s="153"/>
      <c r="I2506" s="154"/>
      <c r="J2506" s="154"/>
      <c r="K2506" s="30" t="str">
        <f>IF(H2506="","",IF($C$30="간이법","",FPR(H2506,I2506,J2506)))</f>
        <v/>
      </c>
      <c r="L2506" s="30" t="str">
        <f>IF(H2506="","",IF($C$30="상세법",FPV(H2506,K2506),IF(H2506="EI",4,IF(H2506="EO",5.2,IF(H2506="EQ",3.9,IF(H2506="ILF",7.5,IF(H2506="EIF",5.4)))))))</f>
        <v/>
      </c>
      <c r="M2506" s="30" t="str">
        <f t="shared" si="268"/>
        <v/>
      </c>
      <c r="N2506" s="134"/>
      <c r="O2506" s="29"/>
      <c r="P2506" s="37" t="str">
        <f t="shared" si="269"/>
        <v/>
      </c>
      <c r="Q2506" s="38" t="str">
        <f t="shared" si="270"/>
        <v/>
      </c>
      <c r="R2506" s="37" t="str">
        <f t="shared" si="271"/>
        <v/>
      </c>
      <c r="S2506" s="37" t="str">
        <f t="shared" si="272"/>
        <v/>
      </c>
      <c r="T2506" s="38" t="str">
        <f t="shared" si="273"/>
        <v/>
      </c>
      <c r="U2506" s="37" t="str">
        <f t="shared" si="274"/>
        <v/>
      </c>
    </row>
    <row r="2507" spans="2:21" ht="17.25">
      <c r="B2507" s="156"/>
      <c r="C2507" s="156"/>
      <c r="D2507" s="157"/>
      <c r="E2507" s="155"/>
      <c r="F2507" s="151"/>
      <c r="G2507" s="152"/>
      <c r="H2507" s="153"/>
      <c r="I2507" s="154"/>
      <c r="J2507" s="154"/>
      <c r="K2507" s="30" t="str">
        <f>IF(H2507="","",IF($C$30="간이법","",FPR(H2507,I2507,J2507)))</f>
        <v/>
      </c>
      <c r="L2507" s="30" t="str">
        <f>IF(H2507="","",IF($C$30="상세법",FPV(H2507,K2507),IF(H2507="EI",4,IF(H2507="EO",5.2,IF(H2507="EQ",3.9,IF(H2507="ILF",7.5,IF(H2507="EIF",5.4)))))))</f>
        <v/>
      </c>
      <c r="M2507" s="30" t="str">
        <f t="shared" si="268"/>
        <v/>
      </c>
      <c r="N2507" s="134"/>
      <c r="O2507" s="29"/>
      <c r="P2507" s="37" t="str">
        <f t="shared" si="269"/>
        <v/>
      </c>
      <c r="Q2507" s="38" t="str">
        <f t="shared" si="270"/>
        <v/>
      </c>
      <c r="R2507" s="37" t="str">
        <f t="shared" si="271"/>
        <v/>
      </c>
      <c r="S2507" s="37" t="str">
        <f t="shared" si="272"/>
        <v/>
      </c>
      <c r="T2507" s="38" t="str">
        <f t="shared" si="273"/>
        <v/>
      </c>
      <c r="U2507" s="37" t="str">
        <f t="shared" si="274"/>
        <v/>
      </c>
    </row>
    <row r="2508" spans="2:21" ht="17.25">
      <c r="B2508" s="156"/>
      <c r="C2508" s="156"/>
      <c r="D2508" s="157"/>
      <c r="E2508" s="155"/>
      <c r="F2508" s="151"/>
      <c r="G2508" s="152"/>
      <c r="H2508" s="153"/>
      <c r="I2508" s="154"/>
      <c r="J2508" s="154"/>
      <c r="K2508" s="30" t="str">
        <f>IF(H2508="","",IF($C$30="간이법","",FPR(H2508,I2508,J2508)))</f>
        <v/>
      </c>
      <c r="L2508" s="30" t="str">
        <f>IF(H2508="","",IF($C$30="상세법",FPV(H2508,K2508),IF(H2508="EI",4,IF(H2508="EO",5.2,IF(H2508="EQ",3.9,IF(H2508="ILF",7.5,IF(H2508="EIF",5.4)))))))</f>
        <v/>
      </c>
      <c r="M2508" s="30" t="str">
        <f t="shared" si="268"/>
        <v/>
      </c>
      <c r="N2508" s="134"/>
      <c r="O2508" s="29"/>
      <c r="P2508" s="37" t="str">
        <f t="shared" si="269"/>
        <v/>
      </c>
      <c r="Q2508" s="38" t="str">
        <f t="shared" si="270"/>
        <v/>
      </c>
      <c r="R2508" s="37" t="str">
        <f t="shared" si="271"/>
        <v/>
      </c>
      <c r="S2508" s="37" t="str">
        <f t="shared" si="272"/>
        <v/>
      </c>
      <c r="T2508" s="38" t="str">
        <f t="shared" si="273"/>
        <v/>
      </c>
      <c r="U2508" s="37" t="str">
        <f t="shared" si="274"/>
        <v/>
      </c>
    </row>
    <row r="2509" spans="2:21" ht="17.25">
      <c r="B2509" s="156"/>
      <c r="C2509" s="156"/>
      <c r="D2509" s="157"/>
      <c r="E2509" s="155"/>
      <c r="F2509" s="151"/>
      <c r="G2509" s="152"/>
      <c r="H2509" s="153"/>
      <c r="I2509" s="154"/>
      <c r="J2509" s="154"/>
      <c r="K2509" s="30" t="str">
        <f>IF(H2509="","",IF($C$30="간이법","",FPR(H2509,I2509,J2509)))</f>
        <v/>
      </c>
      <c r="L2509" s="30" t="str">
        <f>IF(H2509="","",IF($C$30="상세법",FPV(H2509,K2509),IF(H2509="EI",4,IF(H2509="EO",5.2,IF(H2509="EQ",3.9,IF(H2509="ILF",7.5,IF(H2509="EIF",5.4)))))))</f>
        <v/>
      </c>
      <c r="M2509" s="30" t="str">
        <f t="shared" si="268"/>
        <v/>
      </c>
      <c r="N2509" s="134"/>
      <c r="O2509" s="29"/>
      <c r="P2509" s="37" t="str">
        <f t="shared" si="269"/>
        <v/>
      </c>
      <c r="Q2509" s="38" t="str">
        <f t="shared" si="270"/>
        <v/>
      </c>
      <c r="R2509" s="37" t="str">
        <f t="shared" si="271"/>
        <v/>
      </c>
      <c r="S2509" s="37" t="str">
        <f t="shared" si="272"/>
        <v/>
      </c>
      <c r="T2509" s="38" t="str">
        <f t="shared" si="273"/>
        <v/>
      </c>
      <c r="U2509" s="37" t="str">
        <f t="shared" si="274"/>
        <v/>
      </c>
    </row>
    <row r="2510" spans="2:21" ht="17.25">
      <c r="B2510" s="156"/>
      <c r="C2510" s="156"/>
      <c r="D2510" s="157"/>
      <c r="E2510" s="155"/>
      <c r="F2510" s="151"/>
      <c r="G2510" s="152"/>
      <c r="H2510" s="153"/>
      <c r="I2510" s="154"/>
      <c r="J2510" s="154"/>
      <c r="K2510" s="30" t="str">
        <f>IF(H2510="","",IF($C$30="간이법","",FPR(H2510,I2510,J2510)))</f>
        <v/>
      </c>
      <c r="L2510" s="30" t="str">
        <f>IF(H2510="","",IF($C$30="상세법",FPV(H2510,K2510),IF(H2510="EI",4,IF(H2510="EO",5.2,IF(H2510="EQ",3.9,IF(H2510="ILF",7.5,IF(H2510="EIF",5.4)))))))</f>
        <v/>
      </c>
      <c r="M2510" s="30" t="str">
        <f t="shared" si="268"/>
        <v/>
      </c>
      <c r="N2510" s="134"/>
      <c r="O2510" s="29"/>
      <c r="P2510" s="37" t="str">
        <f t="shared" si="269"/>
        <v/>
      </c>
      <c r="Q2510" s="38" t="str">
        <f t="shared" si="270"/>
        <v/>
      </c>
      <c r="R2510" s="37" t="str">
        <f t="shared" si="271"/>
        <v/>
      </c>
      <c r="S2510" s="37" t="str">
        <f t="shared" si="272"/>
        <v/>
      </c>
      <c r="T2510" s="38" t="str">
        <f t="shared" si="273"/>
        <v/>
      </c>
      <c r="U2510" s="37" t="str">
        <f t="shared" si="274"/>
        <v/>
      </c>
    </row>
    <row r="2511" spans="2:21" ht="17.25">
      <c r="B2511" s="156"/>
      <c r="C2511" s="156"/>
      <c r="D2511" s="157"/>
      <c r="E2511" s="155"/>
      <c r="F2511" s="151"/>
      <c r="G2511" s="152"/>
      <c r="H2511" s="153"/>
      <c r="I2511" s="154"/>
      <c r="J2511" s="154"/>
      <c r="K2511" s="30" t="str">
        <f>IF(H2511="","",IF($C$30="간이법","",FPR(H2511,I2511,J2511)))</f>
        <v/>
      </c>
      <c r="L2511" s="30" t="str">
        <f>IF(H2511="","",IF($C$30="상세법",FPV(H2511,K2511),IF(H2511="EI",4,IF(H2511="EO",5.2,IF(H2511="EQ",3.9,IF(H2511="ILF",7.5,IF(H2511="EIF",5.4)))))))</f>
        <v/>
      </c>
      <c r="M2511" s="30" t="str">
        <f t="shared" si="268"/>
        <v/>
      </c>
      <c r="N2511" s="134"/>
      <c r="O2511" s="29"/>
      <c r="P2511" s="37" t="str">
        <f t="shared" si="269"/>
        <v/>
      </c>
      <c r="Q2511" s="38" t="str">
        <f t="shared" si="270"/>
        <v/>
      </c>
      <c r="R2511" s="37" t="str">
        <f t="shared" si="271"/>
        <v/>
      </c>
      <c r="S2511" s="37" t="str">
        <f t="shared" si="272"/>
        <v/>
      </c>
      <c r="T2511" s="38" t="str">
        <f t="shared" si="273"/>
        <v/>
      </c>
      <c r="U2511" s="37" t="str">
        <f t="shared" si="274"/>
        <v/>
      </c>
    </row>
    <row r="2512" spans="2:21" ht="17.25">
      <c r="B2512" s="156"/>
      <c r="C2512" s="156"/>
      <c r="D2512" s="157"/>
      <c r="E2512" s="155"/>
      <c r="F2512" s="151"/>
      <c r="G2512" s="152"/>
      <c r="H2512" s="153"/>
      <c r="I2512" s="154"/>
      <c r="J2512" s="154"/>
      <c r="K2512" s="30" t="str">
        <f>IF(H2512="","",IF($C$30="간이법","",FPR(H2512,I2512,J2512)))</f>
        <v/>
      </c>
      <c r="L2512" s="30" t="str">
        <f>IF(H2512="","",IF($C$30="상세법",FPV(H2512,K2512),IF(H2512="EI",4,IF(H2512="EO",5.2,IF(H2512="EQ",3.9,IF(H2512="ILF",7.5,IF(H2512="EIF",5.4)))))))</f>
        <v/>
      </c>
      <c r="M2512" s="30" t="str">
        <f t="shared" si="268"/>
        <v/>
      </c>
      <c r="N2512" s="134"/>
      <c r="O2512" s="29"/>
      <c r="P2512" s="37" t="str">
        <f t="shared" si="269"/>
        <v/>
      </c>
      <c r="Q2512" s="38" t="str">
        <f t="shared" si="270"/>
        <v/>
      </c>
      <c r="R2512" s="37" t="str">
        <f t="shared" si="271"/>
        <v/>
      </c>
      <c r="S2512" s="37" t="str">
        <f t="shared" si="272"/>
        <v/>
      </c>
      <c r="T2512" s="38" t="str">
        <f t="shared" si="273"/>
        <v/>
      </c>
      <c r="U2512" s="37" t="str">
        <f t="shared" si="274"/>
        <v/>
      </c>
    </row>
    <row r="2513" spans="2:21" ht="17.25">
      <c r="B2513" s="156"/>
      <c r="C2513" s="156"/>
      <c r="D2513" s="157"/>
      <c r="E2513" s="155"/>
      <c r="F2513" s="151"/>
      <c r="G2513" s="152"/>
      <c r="H2513" s="153"/>
      <c r="I2513" s="154"/>
      <c r="J2513" s="154"/>
      <c r="K2513" s="30" t="str">
        <f>IF(H2513="","",IF($C$30="간이법","",FPR(H2513,I2513,J2513)))</f>
        <v/>
      </c>
      <c r="L2513" s="30" t="str">
        <f>IF(H2513="","",IF($C$30="상세법",FPV(H2513,K2513),IF(H2513="EI",4,IF(H2513="EO",5.2,IF(H2513="EQ",3.9,IF(H2513="ILF",7.5,IF(H2513="EIF",5.4)))))))</f>
        <v/>
      </c>
      <c r="M2513" s="30" t="str">
        <f t="shared" si="268"/>
        <v/>
      </c>
      <c r="N2513" s="134"/>
      <c r="O2513" s="29"/>
      <c r="P2513" s="37" t="str">
        <f t="shared" si="269"/>
        <v/>
      </c>
      <c r="Q2513" s="38" t="str">
        <f t="shared" si="270"/>
        <v/>
      </c>
      <c r="R2513" s="37" t="str">
        <f t="shared" si="271"/>
        <v/>
      </c>
      <c r="S2513" s="37" t="str">
        <f t="shared" si="272"/>
        <v/>
      </c>
      <c r="T2513" s="38" t="str">
        <f t="shared" si="273"/>
        <v/>
      </c>
      <c r="U2513" s="37" t="str">
        <f t="shared" si="274"/>
        <v/>
      </c>
    </row>
    <row r="2514" spans="2:21" ht="17.25">
      <c r="B2514" s="156"/>
      <c r="C2514" s="156"/>
      <c r="D2514" s="157"/>
      <c r="E2514" s="155"/>
      <c r="F2514" s="151"/>
      <c r="G2514" s="152"/>
      <c r="H2514" s="153"/>
      <c r="I2514" s="154"/>
      <c r="J2514" s="154"/>
      <c r="K2514" s="30" t="str">
        <f>IF(H2514="","",IF($C$30="간이법","",FPR(H2514,I2514,J2514)))</f>
        <v/>
      </c>
      <c r="L2514" s="30" t="str">
        <f>IF(H2514="","",IF($C$30="상세법",FPV(H2514,K2514),IF(H2514="EI",4,IF(H2514="EO",5.2,IF(H2514="EQ",3.9,IF(H2514="ILF",7.5,IF(H2514="EIF",5.4)))))))</f>
        <v/>
      </c>
      <c r="M2514" s="30" t="str">
        <f t="shared" si="268"/>
        <v/>
      </c>
      <c r="N2514" s="134"/>
      <c r="O2514" s="29"/>
      <c r="P2514" s="37" t="str">
        <f t="shared" si="269"/>
        <v/>
      </c>
      <c r="Q2514" s="38" t="str">
        <f t="shared" si="270"/>
        <v/>
      </c>
      <c r="R2514" s="37" t="str">
        <f t="shared" si="271"/>
        <v/>
      </c>
      <c r="S2514" s="37" t="str">
        <f t="shared" si="272"/>
        <v/>
      </c>
      <c r="T2514" s="38" t="str">
        <f t="shared" si="273"/>
        <v/>
      </c>
      <c r="U2514" s="37" t="str">
        <f t="shared" si="274"/>
        <v/>
      </c>
    </row>
    <row r="2515" spans="2:21" ht="17.25">
      <c r="B2515" s="156"/>
      <c r="C2515" s="156"/>
      <c r="D2515" s="157"/>
      <c r="E2515" s="155"/>
      <c r="F2515" s="151"/>
      <c r="G2515" s="152"/>
      <c r="H2515" s="153"/>
      <c r="I2515" s="154"/>
      <c r="J2515" s="154"/>
      <c r="K2515" s="30" t="str">
        <f>IF(H2515="","",IF($C$30="간이법","",FPR(H2515,I2515,J2515)))</f>
        <v/>
      </c>
      <c r="L2515" s="30" t="str">
        <f>IF(H2515="","",IF($C$30="상세법",FPV(H2515,K2515),IF(H2515="EI",4,IF(H2515="EO",5.2,IF(H2515="EQ",3.9,IF(H2515="ILF",7.5,IF(H2515="EIF",5.4)))))))</f>
        <v/>
      </c>
      <c r="M2515" s="30" t="str">
        <f t="shared" si="268"/>
        <v/>
      </c>
      <c r="N2515" s="134"/>
      <c r="O2515" s="29"/>
      <c r="P2515" s="37" t="str">
        <f t="shared" si="269"/>
        <v/>
      </c>
      <c r="Q2515" s="38" t="str">
        <f t="shared" si="270"/>
        <v/>
      </c>
      <c r="R2515" s="37" t="str">
        <f t="shared" si="271"/>
        <v/>
      </c>
      <c r="S2515" s="37" t="str">
        <f t="shared" si="272"/>
        <v/>
      </c>
      <c r="T2515" s="38" t="str">
        <f t="shared" si="273"/>
        <v/>
      </c>
      <c r="U2515" s="37" t="str">
        <f t="shared" si="274"/>
        <v/>
      </c>
    </row>
    <row r="2516" spans="2:21" ht="17.25">
      <c r="B2516" s="156"/>
      <c r="C2516" s="156"/>
      <c r="D2516" s="157"/>
      <c r="E2516" s="155"/>
      <c r="F2516" s="151"/>
      <c r="G2516" s="152"/>
      <c r="H2516" s="153"/>
      <c r="I2516" s="154"/>
      <c r="J2516" s="154"/>
      <c r="K2516" s="30" t="str">
        <f>IF(H2516="","",IF($C$30="간이법","",FPR(H2516,I2516,J2516)))</f>
        <v/>
      </c>
      <c r="L2516" s="30" t="str">
        <f>IF(H2516="","",IF($C$30="상세법",FPV(H2516,K2516),IF(H2516="EI",4,IF(H2516="EO",5.2,IF(H2516="EQ",3.9,IF(H2516="ILF",7.5,IF(H2516="EIF",5.4)))))))</f>
        <v/>
      </c>
      <c r="M2516" s="30" t="str">
        <f t="shared" si="268"/>
        <v/>
      </c>
      <c r="N2516" s="134"/>
      <c r="O2516" s="29"/>
      <c r="P2516" s="37" t="str">
        <f t="shared" si="269"/>
        <v/>
      </c>
      <c r="Q2516" s="38" t="str">
        <f t="shared" si="270"/>
        <v/>
      </c>
      <c r="R2516" s="37" t="str">
        <f t="shared" si="271"/>
        <v/>
      </c>
      <c r="S2516" s="37" t="str">
        <f t="shared" si="272"/>
        <v/>
      </c>
      <c r="T2516" s="38" t="str">
        <f t="shared" si="273"/>
        <v/>
      </c>
      <c r="U2516" s="37" t="str">
        <f t="shared" si="274"/>
        <v/>
      </c>
    </row>
    <row r="2517" spans="2:21" ht="17.25">
      <c r="B2517" s="156"/>
      <c r="C2517" s="156"/>
      <c r="D2517" s="157"/>
      <c r="E2517" s="155"/>
      <c r="F2517" s="151"/>
      <c r="G2517" s="152"/>
      <c r="H2517" s="153"/>
      <c r="I2517" s="154"/>
      <c r="J2517" s="154"/>
      <c r="K2517" s="30" t="str">
        <f>IF(H2517="","",IF($C$30="간이법","",FPR(H2517,I2517,J2517)))</f>
        <v/>
      </c>
      <c r="L2517" s="30" t="str">
        <f>IF(H2517="","",IF($C$30="상세법",FPV(H2517,K2517),IF(H2517="EI",4,IF(H2517="EO",5.2,IF(H2517="EQ",3.9,IF(H2517="ILF",7.5,IF(H2517="EIF",5.4)))))))</f>
        <v/>
      </c>
      <c r="M2517" s="30" t="str">
        <f t="shared" si="268"/>
        <v/>
      </c>
      <c r="N2517" s="134"/>
      <c r="O2517" s="29"/>
      <c r="P2517" s="37" t="str">
        <f t="shared" si="269"/>
        <v/>
      </c>
      <c r="Q2517" s="38" t="str">
        <f t="shared" si="270"/>
        <v/>
      </c>
      <c r="R2517" s="37" t="str">
        <f t="shared" si="271"/>
        <v/>
      </c>
      <c r="S2517" s="37" t="str">
        <f t="shared" si="272"/>
        <v/>
      </c>
      <c r="T2517" s="38" t="str">
        <f t="shared" si="273"/>
        <v/>
      </c>
      <c r="U2517" s="37" t="str">
        <f t="shared" si="274"/>
        <v/>
      </c>
    </row>
    <row r="2518" spans="2:21" ht="17.25">
      <c r="B2518" s="156"/>
      <c r="C2518" s="156"/>
      <c r="D2518" s="157"/>
      <c r="E2518" s="155"/>
      <c r="F2518" s="151"/>
      <c r="G2518" s="152"/>
      <c r="H2518" s="153"/>
      <c r="I2518" s="154"/>
      <c r="J2518" s="154"/>
      <c r="K2518" s="30" t="str">
        <f>IF(H2518="","",IF($C$30="간이법","",FPR(H2518,I2518,J2518)))</f>
        <v/>
      </c>
      <c r="L2518" s="30" t="str">
        <f>IF(H2518="","",IF($C$30="상세법",FPV(H2518,K2518),IF(H2518="EI",4,IF(H2518="EO",5.2,IF(H2518="EQ",3.9,IF(H2518="ILF",7.5,IF(H2518="EIF",5.4)))))))</f>
        <v/>
      </c>
      <c r="M2518" s="30" t="str">
        <f t="shared" si="268"/>
        <v/>
      </c>
      <c r="N2518" s="134"/>
      <c r="O2518" s="29"/>
      <c r="P2518" s="37" t="str">
        <f t="shared" si="269"/>
        <v/>
      </c>
      <c r="Q2518" s="38" t="str">
        <f t="shared" si="270"/>
        <v/>
      </c>
      <c r="R2518" s="37" t="str">
        <f t="shared" si="271"/>
        <v/>
      </c>
      <c r="S2518" s="37" t="str">
        <f t="shared" si="272"/>
        <v/>
      </c>
      <c r="T2518" s="38" t="str">
        <f t="shared" si="273"/>
        <v/>
      </c>
      <c r="U2518" s="37" t="str">
        <f t="shared" si="274"/>
        <v/>
      </c>
    </row>
    <row r="2519" spans="2:21" ht="17.25">
      <c r="B2519" s="156"/>
      <c r="C2519" s="156"/>
      <c r="D2519" s="157"/>
      <c r="E2519" s="155"/>
      <c r="F2519" s="151"/>
      <c r="G2519" s="152"/>
      <c r="H2519" s="153"/>
      <c r="I2519" s="154"/>
      <c r="J2519" s="154"/>
      <c r="K2519" s="30" t="str">
        <f>IF(H2519="","",IF($C$30="간이법","",FPR(H2519,I2519,J2519)))</f>
        <v/>
      </c>
      <c r="L2519" s="30" t="str">
        <f>IF(H2519="","",IF($C$30="상세법",FPV(H2519,K2519),IF(H2519="EI",4,IF(H2519="EO",5.2,IF(H2519="EQ",3.9,IF(H2519="ILF",7.5,IF(H2519="EIF",5.4)))))))</f>
        <v/>
      </c>
      <c r="M2519" s="30" t="str">
        <f t="shared" si="268"/>
        <v/>
      </c>
      <c r="N2519" s="134"/>
      <c r="O2519" s="29"/>
      <c r="P2519" s="37" t="str">
        <f t="shared" si="269"/>
        <v/>
      </c>
      <c r="Q2519" s="38" t="str">
        <f t="shared" si="270"/>
        <v/>
      </c>
      <c r="R2519" s="37" t="str">
        <f t="shared" si="271"/>
        <v/>
      </c>
      <c r="S2519" s="37" t="str">
        <f t="shared" si="272"/>
        <v/>
      </c>
      <c r="T2519" s="38" t="str">
        <f t="shared" si="273"/>
        <v/>
      </c>
      <c r="U2519" s="37" t="str">
        <f t="shared" si="274"/>
        <v/>
      </c>
    </row>
    <row r="2520" spans="2:21" ht="17.25">
      <c r="B2520" s="156"/>
      <c r="C2520" s="156"/>
      <c r="D2520" s="157"/>
      <c r="E2520" s="155"/>
      <c r="F2520" s="151"/>
      <c r="G2520" s="152"/>
      <c r="H2520" s="153"/>
      <c r="I2520" s="154"/>
      <c r="J2520" s="154"/>
      <c r="K2520" s="30" t="str">
        <f>IF(H2520="","",IF($C$30="간이법","",FPR(H2520,I2520,J2520)))</f>
        <v/>
      </c>
      <c r="L2520" s="30" t="str">
        <f>IF(H2520="","",IF($C$30="상세법",FPV(H2520,K2520),IF(H2520="EI",4,IF(H2520="EO",5.2,IF(H2520="EQ",3.9,IF(H2520="ILF",7.5,IF(H2520="EIF",5.4)))))))</f>
        <v/>
      </c>
      <c r="M2520" s="30" t="str">
        <f t="shared" si="268"/>
        <v/>
      </c>
      <c r="N2520" s="134"/>
      <c r="O2520" s="29"/>
      <c r="P2520" s="37" t="str">
        <f t="shared" si="269"/>
        <v/>
      </c>
      <c r="Q2520" s="38" t="str">
        <f t="shared" si="270"/>
        <v/>
      </c>
      <c r="R2520" s="37" t="str">
        <f t="shared" si="271"/>
        <v/>
      </c>
      <c r="S2520" s="37" t="str">
        <f t="shared" si="272"/>
        <v/>
      </c>
      <c r="T2520" s="38" t="str">
        <f t="shared" si="273"/>
        <v/>
      </c>
      <c r="U2520" s="37" t="str">
        <f t="shared" si="274"/>
        <v/>
      </c>
    </row>
    <row r="2521" spans="2:21" ht="17.25">
      <c r="B2521" s="156"/>
      <c r="C2521" s="156"/>
      <c r="D2521" s="157"/>
      <c r="E2521" s="155"/>
      <c r="F2521" s="151"/>
      <c r="G2521" s="152"/>
      <c r="H2521" s="153"/>
      <c r="I2521" s="154"/>
      <c r="J2521" s="154"/>
      <c r="K2521" s="30" t="str">
        <f>IF(H2521="","",IF($C$30="간이법","",FPR(H2521,I2521,J2521)))</f>
        <v/>
      </c>
      <c r="L2521" s="30" t="str">
        <f>IF(H2521="","",IF($C$30="상세법",FPV(H2521,K2521),IF(H2521="EI",4,IF(H2521="EO",5.2,IF(H2521="EQ",3.9,IF(H2521="ILF",7.5,IF(H2521="EIF",5.4)))))))</f>
        <v/>
      </c>
      <c r="M2521" s="30" t="str">
        <f t="shared" si="268"/>
        <v/>
      </c>
      <c r="N2521" s="134"/>
      <c r="O2521" s="29"/>
      <c r="P2521" s="37" t="str">
        <f t="shared" si="269"/>
        <v/>
      </c>
      <c r="Q2521" s="38" t="str">
        <f t="shared" si="270"/>
        <v/>
      </c>
      <c r="R2521" s="37" t="str">
        <f t="shared" si="271"/>
        <v/>
      </c>
      <c r="S2521" s="37" t="str">
        <f t="shared" si="272"/>
        <v/>
      </c>
      <c r="T2521" s="38" t="str">
        <f t="shared" si="273"/>
        <v/>
      </c>
      <c r="U2521" s="37" t="str">
        <f t="shared" si="274"/>
        <v/>
      </c>
    </row>
    <row r="2522" spans="2:21" ht="17.25">
      <c r="B2522" s="156"/>
      <c r="C2522" s="156"/>
      <c r="D2522" s="157"/>
      <c r="E2522" s="155"/>
      <c r="F2522" s="151"/>
      <c r="G2522" s="152"/>
      <c r="H2522" s="153"/>
      <c r="I2522" s="154"/>
      <c r="J2522" s="154"/>
      <c r="K2522" s="30" t="str">
        <f>IF(H2522="","",IF($C$30="간이법","",FPR(H2522,I2522,J2522)))</f>
        <v/>
      </c>
      <c r="L2522" s="30" t="str">
        <f>IF(H2522="","",IF($C$30="상세법",FPV(H2522,K2522),IF(H2522="EI",4,IF(H2522="EO",5.2,IF(H2522="EQ",3.9,IF(H2522="ILF",7.5,IF(H2522="EIF",5.4)))))))</f>
        <v/>
      </c>
      <c r="M2522" s="30" t="str">
        <f t="shared" si="268"/>
        <v/>
      </c>
      <c r="N2522" s="134"/>
      <c r="O2522" s="29"/>
      <c r="P2522" s="37" t="str">
        <f t="shared" si="269"/>
        <v/>
      </c>
      <c r="Q2522" s="38" t="str">
        <f t="shared" si="270"/>
        <v/>
      </c>
      <c r="R2522" s="37" t="str">
        <f t="shared" si="271"/>
        <v/>
      </c>
      <c r="S2522" s="37" t="str">
        <f t="shared" si="272"/>
        <v/>
      </c>
      <c r="T2522" s="38" t="str">
        <f t="shared" si="273"/>
        <v/>
      </c>
      <c r="U2522" s="37" t="str">
        <f t="shared" si="274"/>
        <v/>
      </c>
    </row>
    <row r="2523" spans="2:21" ht="17.25">
      <c r="B2523" s="156"/>
      <c r="C2523" s="156"/>
      <c r="D2523" s="157"/>
      <c r="E2523" s="155"/>
      <c r="F2523" s="151"/>
      <c r="G2523" s="152"/>
      <c r="H2523" s="153"/>
      <c r="I2523" s="154"/>
      <c r="J2523" s="154"/>
      <c r="K2523" s="30" t="str">
        <f>IF(H2523="","",IF($C$30="간이법","",FPR(H2523,I2523,J2523)))</f>
        <v/>
      </c>
      <c r="L2523" s="30" t="str">
        <f>IF(H2523="","",IF($C$30="상세법",FPV(H2523,K2523),IF(H2523="EI",4,IF(H2523="EO",5.2,IF(H2523="EQ",3.9,IF(H2523="ILF",7.5,IF(H2523="EIF",5.4)))))))</f>
        <v/>
      </c>
      <c r="M2523" s="30" t="str">
        <f t="shared" si="268"/>
        <v/>
      </c>
      <c r="N2523" s="134"/>
      <c r="O2523" s="29"/>
      <c r="P2523" s="37" t="str">
        <f t="shared" si="269"/>
        <v/>
      </c>
      <c r="Q2523" s="38" t="str">
        <f t="shared" si="270"/>
        <v/>
      </c>
      <c r="R2523" s="37" t="str">
        <f t="shared" si="271"/>
        <v/>
      </c>
      <c r="S2523" s="37" t="str">
        <f t="shared" si="272"/>
        <v/>
      </c>
      <c r="T2523" s="38" t="str">
        <f t="shared" si="273"/>
        <v/>
      </c>
      <c r="U2523" s="37" t="str">
        <f t="shared" si="274"/>
        <v/>
      </c>
    </row>
    <row r="2524" spans="2:21" ht="17.25">
      <c r="B2524" s="156"/>
      <c r="C2524" s="156"/>
      <c r="D2524" s="157"/>
      <c r="E2524" s="155"/>
      <c r="F2524" s="151"/>
      <c r="G2524" s="152"/>
      <c r="H2524" s="153"/>
      <c r="I2524" s="154"/>
      <c r="J2524" s="154"/>
      <c r="K2524" s="30" t="str">
        <f>IF(H2524="","",IF($C$30="간이법","",FPR(H2524,I2524,J2524)))</f>
        <v/>
      </c>
      <c r="L2524" s="30" t="str">
        <f>IF(H2524="","",IF($C$30="상세법",FPV(H2524,K2524),IF(H2524="EI",4,IF(H2524="EO",5.2,IF(H2524="EQ",3.9,IF(H2524="ILF",7.5,IF(H2524="EIF",5.4)))))))</f>
        <v/>
      </c>
      <c r="M2524" s="30" t="str">
        <f t="shared" si="268"/>
        <v/>
      </c>
      <c r="N2524" s="134"/>
      <c r="O2524" s="29"/>
      <c r="P2524" s="37" t="str">
        <f t="shared" si="269"/>
        <v/>
      </c>
      <c r="Q2524" s="38" t="str">
        <f t="shared" si="270"/>
        <v/>
      </c>
      <c r="R2524" s="37" t="str">
        <f t="shared" si="271"/>
        <v/>
      </c>
      <c r="S2524" s="37" t="str">
        <f t="shared" si="272"/>
        <v/>
      </c>
      <c r="T2524" s="38" t="str">
        <f t="shared" si="273"/>
        <v/>
      </c>
      <c r="U2524" s="37" t="str">
        <f t="shared" si="274"/>
        <v/>
      </c>
    </row>
    <row r="2525" spans="2:21" ht="17.25">
      <c r="B2525" s="156"/>
      <c r="C2525" s="156"/>
      <c r="D2525" s="157"/>
      <c r="E2525" s="155"/>
      <c r="F2525" s="151"/>
      <c r="G2525" s="152"/>
      <c r="H2525" s="153"/>
      <c r="I2525" s="154"/>
      <c r="J2525" s="154"/>
      <c r="K2525" s="30" t="str">
        <f>IF(H2525="","",IF($C$30="간이법","",FPR(H2525,I2525,J2525)))</f>
        <v/>
      </c>
      <c r="L2525" s="30" t="str">
        <f>IF(H2525="","",IF($C$30="상세법",FPV(H2525,K2525),IF(H2525="EI",4,IF(H2525="EO",5.2,IF(H2525="EQ",3.9,IF(H2525="ILF",7.5,IF(H2525="EIF",5.4)))))))</f>
        <v/>
      </c>
      <c r="M2525" s="30" t="str">
        <f t="shared" si="268"/>
        <v/>
      </c>
      <c r="N2525" s="134"/>
      <c r="O2525" s="29"/>
      <c r="P2525" s="37" t="str">
        <f t="shared" si="269"/>
        <v/>
      </c>
      <c r="Q2525" s="38" t="str">
        <f t="shared" si="270"/>
        <v/>
      </c>
      <c r="R2525" s="37" t="str">
        <f t="shared" si="271"/>
        <v/>
      </c>
      <c r="S2525" s="37" t="str">
        <f t="shared" si="272"/>
        <v/>
      </c>
      <c r="T2525" s="38" t="str">
        <f t="shared" si="273"/>
        <v/>
      </c>
      <c r="U2525" s="37" t="str">
        <f t="shared" si="274"/>
        <v/>
      </c>
    </row>
    <row r="2526" spans="2:21" ht="17.25">
      <c r="B2526" s="156"/>
      <c r="C2526" s="156"/>
      <c r="D2526" s="157"/>
      <c r="E2526" s="155"/>
      <c r="F2526" s="151"/>
      <c r="G2526" s="152"/>
      <c r="H2526" s="153"/>
      <c r="I2526" s="154"/>
      <c r="J2526" s="154"/>
      <c r="K2526" s="30" t="str">
        <f>IF(H2526="","",IF($C$30="간이법","",FPR(H2526,I2526,J2526)))</f>
        <v/>
      </c>
      <c r="L2526" s="30" t="str">
        <f>IF(H2526="","",IF($C$30="상세법",FPV(H2526,K2526),IF(H2526="EI",4,IF(H2526="EO",5.2,IF(H2526="EQ",3.9,IF(H2526="ILF",7.5,IF(H2526="EIF",5.4)))))))</f>
        <v/>
      </c>
      <c r="M2526" s="30" t="str">
        <f t="shared" si="268"/>
        <v/>
      </c>
      <c r="N2526" s="134"/>
      <c r="O2526" s="29"/>
      <c r="P2526" s="37" t="str">
        <f t="shared" si="269"/>
        <v/>
      </c>
      <c r="Q2526" s="38" t="str">
        <f t="shared" si="270"/>
        <v/>
      </c>
      <c r="R2526" s="37" t="str">
        <f t="shared" si="271"/>
        <v/>
      </c>
      <c r="S2526" s="37" t="str">
        <f t="shared" si="272"/>
        <v/>
      </c>
      <c r="T2526" s="38" t="str">
        <f t="shared" si="273"/>
        <v/>
      </c>
      <c r="U2526" s="37" t="str">
        <f t="shared" si="274"/>
        <v/>
      </c>
    </row>
    <row r="2527" spans="2:21" ht="17.25">
      <c r="B2527" s="156"/>
      <c r="C2527" s="156"/>
      <c r="D2527" s="157"/>
      <c r="E2527" s="155"/>
      <c r="F2527" s="151"/>
      <c r="G2527" s="152"/>
      <c r="H2527" s="153"/>
      <c r="I2527" s="154"/>
      <c r="J2527" s="154"/>
      <c r="K2527" s="30" t="str">
        <f>IF(H2527="","",IF($C$30="간이법","",FPR(H2527,I2527,J2527)))</f>
        <v/>
      </c>
      <c r="L2527" s="30" t="str">
        <f>IF(H2527="","",IF($C$30="상세법",FPV(H2527,K2527),IF(H2527="EI",4,IF(H2527="EO",5.2,IF(H2527="EQ",3.9,IF(H2527="ILF",7.5,IF(H2527="EIF",5.4)))))))</f>
        <v/>
      </c>
      <c r="M2527" s="30" t="str">
        <f t="shared" si="268"/>
        <v/>
      </c>
      <c r="N2527" s="134"/>
      <c r="O2527" s="29"/>
      <c r="P2527" s="37" t="str">
        <f t="shared" si="269"/>
        <v/>
      </c>
      <c r="Q2527" s="38" t="str">
        <f t="shared" si="270"/>
        <v/>
      </c>
      <c r="R2527" s="37" t="str">
        <f t="shared" si="271"/>
        <v/>
      </c>
      <c r="S2527" s="37" t="str">
        <f t="shared" si="272"/>
        <v/>
      </c>
      <c r="T2527" s="38" t="str">
        <f t="shared" si="273"/>
        <v/>
      </c>
      <c r="U2527" s="37" t="str">
        <f t="shared" si="274"/>
        <v/>
      </c>
    </row>
    <row r="2528" spans="2:21" ht="17.25">
      <c r="B2528" s="156"/>
      <c r="C2528" s="156"/>
      <c r="D2528" s="157"/>
      <c r="E2528" s="155"/>
      <c r="F2528" s="151"/>
      <c r="G2528" s="152"/>
      <c r="H2528" s="153"/>
      <c r="I2528" s="154"/>
      <c r="J2528" s="154"/>
      <c r="K2528" s="30" t="str">
        <f>IF(H2528="","",IF($C$30="간이법","",FPR(H2528,I2528,J2528)))</f>
        <v/>
      </c>
      <c r="L2528" s="30" t="str">
        <f>IF(H2528="","",IF($C$30="상세법",FPV(H2528,K2528),IF(H2528="EI",4,IF(H2528="EO",5.2,IF(H2528="EQ",3.9,IF(H2528="ILF",7.5,IF(H2528="EIF",5.4)))))))</f>
        <v/>
      </c>
      <c r="M2528" s="30" t="str">
        <f t="shared" si="268"/>
        <v/>
      </c>
      <c r="N2528" s="134"/>
      <c r="O2528" s="29"/>
      <c r="P2528" s="37" t="str">
        <f t="shared" si="269"/>
        <v/>
      </c>
      <c r="Q2528" s="38" t="str">
        <f t="shared" si="270"/>
        <v/>
      </c>
      <c r="R2528" s="37" t="str">
        <f t="shared" si="271"/>
        <v/>
      </c>
      <c r="S2528" s="37" t="str">
        <f t="shared" si="272"/>
        <v/>
      </c>
      <c r="T2528" s="38" t="str">
        <f t="shared" si="273"/>
        <v/>
      </c>
      <c r="U2528" s="37" t="str">
        <f t="shared" si="274"/>
        <v/>
      </c>
    </row>
    <row r="2529" spans="2:21" ht="17.25">
      <c r="B2529" s="156"/>
      <c r="C2529" s="156"/>
      <c r="D2529" s="157"/>
      <c r="E2529" s="155"/>
      <c r="F2529" s="151"/>
      <c r="G2529" s="152"/>
      <c r="H2529" s="153"/>
      <c r="I2529" s="154"/>
      <c r="J2529" s="154"/>
      <c r="K2529" s="30" t="str">
        <f>IF(H2529="","",IF($C$30="간이법","",FPR(H2529,I2529,J2529)))</f>
        <v/>
      </c>
      <c r="L2529" s="30" t="str">
        <f>IF(H2529="","",IF($C$30="상세법",FPV(H2529,K2529),IF(H2529="EI",4,IF(H2529="EO",5.2,IF(H2529="EQ",3.9,IF(H2529="ILF",7.5,IF(H2529="EIF",5.4)))))))</f>
        <v/>
      </c>
      <c r="M2529" s="30" t="str">
        <f t="shared" si="268"/>
        <v/>
      </c>
      <c r="N2529" s="134"/>
      <c r="O2529" s="29"/>
      <c r="P2529" s="37" t="str">
        <f t="shared" si="269"/>
        <v/>
      </c>
      <c r="Q2529" s="38" t="str">
        <f t="shared" si="270"/>
        <v/>
      </c>
      <c r="R2529" s="37" t="str">
        <f t="shared" si="271"/>
        <v/>
      </c>
      <c r="S2529" s="37" t="str">
        <f t="shared" si="272"/>
        <v/>
      </c>
      <c r="T2529" s="38" t="str">
        <f t="shared" si="273"/>
        <v/>
      </c>
      <c r="U2529" s="37" t="str">
        <f t="shared" si="274"/>
        <v/>
      </c>
    </row>
    <row r="2530" spans="2:21" ht="17.25">
      <c r="B2530" s="156"/>
      <c r="C2530" s="156"/>
      <c r="D2530" s="157"/>
      <c r="E2530" s="155"/>
      <c r="F2530" s="151"/>
      <c r="G2530" s="152"/>
      <c r="H2530" s="153"/>
      <c r="I2530" s="154"/>
      <c r="J2530" s="154"/>
      <c r="K2530" s="30" t="str">
        <f>IF(H2530="","",IF($C$30="간이법","",FPR(H2530,I2530,J2530)))</f>
        <v/>
      </c>
      <c r="L2530" s="30" t="str">
        <f>IF(H2530="","",IF($C$30="상세법",FPV(H2530,K2530),IF(H2530="EI",4,IF(H2530="EO",5.2,IF(H2530="EQ",3.9,IF(H2530="ILF",7.5,IF(H2530="EIF",5.4)))))))</f>
        <v/>
      </c>
      <c r="M2530" s="30" t="str">
        <f t="shared" si="268"/>
        <v/>
      </c>
      <c r="N2530" s="134"/>
      <c r="O2530" s="29"/>
      <c r="P2530" s="37" t="str">
        <f t="shared" si="269"/>
        <v/>
      </c>
      <c r="Q2530" s="38" t="str">
        <f t="shared" si="270"/>
        <v/>
      </c>
      <c r="R2530" s="37" t="str">
        <f t="shared" si="271"/>
        <v/>
      </c>
      <c r="S2530" s="37" t="str">
        <f t="shared" si="272"/>
        <v/>
      </c>
      <c r="T2530" s="38" t="str">
        <f t="shared" si="273"/>
        <v/>
      </c>
      <c r="U2530" s="37" t="str">
        <f t="shared" si="274"/>
        <v/>
      </c>
    </row>
    <row r="2531" spans="2:21" ht="17.25">
      <c r="B2531" s="156"/>
      <c r="C2531" s="156"/>
      <c r="D2531" s="157"/>
      <c r="E2531" s="155"/>
      <c r="F2531" s="151"/>
      <c r="G2531" s="152"/>
      <c r="H2531" s="153"/>
      <c r="I2531" s="154"/>
      <c r="J2531" s="154"/>
      <c r="K2531" s="30" t="str">
        <f>IF(H2531="","",IF($C$30="간이법","",FPR(H2531,I2531,J2531)))</f>
        <v/>
      </c>
      <c r="L2531" s="30" t="str">
        <f>IF(H2531="","",IF($C$30="상세법",FPV(H2531,K2531),IF(H2531="EI",4,IF(H2531="EO",5.2,IF(H2531="EQ",3.9,IF(H2531="ILF",7.5,IF(H2531="EIF",5.4)))))))</f>
        <v/>
      </c>
      <c r="M2531" s="30" t="str">
        <f t="shared" si="268"/>
        <v/>
      </c>
      <c r="N2531" s="134"/>
      <c r="O2531" s="29"/>
      <c r="P2531" s="37" t="str">
        <f t="shared" si="269"/>
        <v/>
      </c>
      <c r="Q2531" s="38" t="str">
        <f t="shared" si="270"/>
        <v/>
      </c>
      <c r="R2531" s="37" t="str">
        <f t="shared" si="271"/>
        <v/>
      </c>
      <c r="S2531" s="37" t="str">
        <f t="shared" si="272"/>
        <v/>
      </c>
      <c r="T2531" s="38" t="str">
        <f t="shared" si="273"/>
        <v/>
      </c>
      <c r="U2531" s="37" t="str">
        <f t="shared" si="274"/>
        <v/>
      </c>
    </row>
    <row r="2532" spans="2:21" ht="17.25">
      <c r="B2532" s="156"/>
      <c r="C2532" s="156"/>
      <c r="D2532" s="157"/>
      <c r="E2532" s="155"/>
      <c r="F2532" s="151"/>
      <c r="G2532" s="152"/>
      <c r="H2532" s="153"/>
      <c r="I2532" s="154"/>
      <c r="J2532" s="154"/>
      <c r="K2532" s="30" t="str">
        <f>IF(H2532="","",IF($C$30="간이법","",FPR(H2532,I2532,J2532)))</f>
        <v/>
      </c>
      <c r="L2532" s="30" t="str">
        <f>IF(H2532="","",IF($C$30="상세법",FPV(H2532,K2532),IF(H2532="EI",4,IF(H2532="EO",5.2,IF(H2532="EQ",3.9,IF(H2532="ILF",7.5,IF(H2532="EIF",5.4)))))))</f>
        <v/>
      </c>
      <c r="M2532" s="30" t="str">
        <f t="shared" si="268"/>
        <v/>
      </c>
      <c r="N2532" s="134"/>
      <c r="O2532" s="29"/>
      <c r="P2532" s="37" t="str">
        <f t="shared" si="269"/>
        <v/>
      </c>
      <c r="Q2532" s="38" t="str">
        <f t="shared" si="270"/>
        <v/>
      </c>
      <c r="R2532" s="37" t="str">
        <f t="shared" si="271"/>
        <v/>
      </c>
      <c r="S2532" s="37" t="str">
        <f t="shared" si="272"/>
        <v/>
      </c>
      <c r="T2532" s="38" t="str">
        <f t="shared" si="273"/>
        <v/>
      </c>
      <c r="U2532" s="37" t="str">
        <f t="shared" si="274"/>
        <v/>
      </c>
    </row>
    <row r="2533" spans="2:21" ht="17.25">
      <c r="B2533" s="156"/>
      <c r="C2533" s="156"/>
      <c r="D2533" s="157"/>
      <c r="E2533" s="155"/>
      <c r="F2533" s="151"/>
      <c r="G2533" s="152"/>
      <c r="H2533" s="153"/>
      <c r="I2533" s="154"/>
      <c r="J2533" s="154"/>
      <c r="K2533" s="30" t="str">
        <f>IF(H2533="","",IF($C$30="간이법","",FPR(H2533,I2533,J2533)))</f>
        <v/>
      </c>
      <c r="L2533" s="30" t="str">
        <f>IF(H2533="","",IF($C$30="상세법",FPV(H2533,K2533),IF(H2533="EI",4,IF(H2533="EO",5.2,IF(H2533="EQ",3.9,IF(H2533="ILF",7.5,IF(H2533="EIF",5.4)))))))</f>
        <v/>
      </c>
      <c r="M2533" s="30" t="str">
        <f t="shared" si="268"/>
        <v/>
      </c>
      <c r="N2533" s="134"/>
      <c r="O2533" s="29"/>
      <c r="P2533" s="37" t="str">
        <f t="shared" si="269"/>
        <v/>
      </c>
      <c r="Q2533" s="38" t="str">
        <f t="shared" si="270"/>
        <v/>
      </c>
      <c r="R2533" s="37" t="str">
        <f t="shared" si="271"/>
        <v/>
      </c>
      <c r="S2533" s="37" t="str">
        <f t="shared" si="272"/>
        <v/>
      </c>
      <c r="T2533" s="38" t="str">
        <f t="shared" si="273"/>
        <v/>
      </c>
      <c r="U2533" s="37" t="str">
        <f t="shared" si="274"/>
        <v/>
      </c>
    </row>
    <row r="2534" spans="2:21" ht="17.25">
      <c r="B2534" s="156"/>
      <c r="C2534" s="156"/>
      <c r="D2534" s="157"/>
      <c r="E2534" s="155"/>
      <c r="F2534" s="151"/>
      <c r="G2534" s="152"/>
      <c r="H2534" s="153"/>
      <c r="I2534" s="154"/>
      <c r="J2534" s="154"/>
      <c r="K2534" s="30" t="str">
        <f>IF(H2534="","",IF($C$30="간이법","",FPR(H2534,I2534,J2534)))</f>
        <v/>
      </c>
      <c r="L2534" s="30" t="str">
        <f>IF(H2534="","",IF($C$30="상세법",FPV(H2534,K2534),IF(H2534="EI",4,IF(H2534="EO",5.2,IF(H2534="EQ",3.9,IF(H2534="ILF",7.5,IF(H2534="EIF",5.4)))))))</f>
        <v/>
      </c>
      <c r="M2534" s="30" t="str">
        <f t="shared" si="268"/>
        <v/>
      </c>
      <c r="N2534" s="134"/>
      <c r="O2534" s="29"/>
      <c r="P2534" s="37" t="str">
        <f t="shared" si="269"/>
        <v/>
      </c>
      <c r="Q2534" s="38" t="str">
        <f t="shared" si="270"/>
        <v/>
      </c>
      <c r="R2534" s="37" t="str">
        <f t="shared" si="271"/>
        <v/>
      </c>
      <c r="S2534" s="37" t="str">
        <f t="shared" si="272"/>
        <v/>
      </c>
      <c r="T2534" s="38" t="str">
        <f t="shared" si="273"/>
        <v/>
      </c>
      <c r="U2534" s="37" t="str">
        <f t="shared" si="274"/>
        <v/>
      </c>
    </row>
    <row r="2535" spans="2:21" ht="17.25">
      <c r="B2535" s="156"/>
      <c r="C2535" s="156"/>
      <c r="D2535" s="157"/>
      <c r="E2535" s="155"/>
      <c r="F2535" s="151"/>
      <c r="G2535" s="152"/>
      <c r="H2535" s="153"/>
      <c r="I2535" s="154"/>
      <c r="J2535" s="154"/>
      <c r="K2535" s="30" t="str">
        <f>IF(H2535="","",IF($C$30="간이법","",FPR(H2535,I2535,J2535)))</f>
        <v/>
      </c>
      <c r="L2535" s="30" t="str">
        <f>IF(H2535="","",IF($C$30="상세법",FPV(H2535,K2535),IF(H2535="EI",4,IF(H2535="EO",5.2,IF(H2535="EQ",3.9,IF(H2535="ILF",7.5,IF(H2535="EIF",5.4)))))))</f>
        <v/>
      </c>
      <c r="M2535" s="30" t="str">
        <f t="shared" si="268"/>
        <v/>
      </c>
      <c r="N2535" s="134"/>
      <c r="O2535" s="29"/>
      <c r="P2535" s="37" t="str">
        <f t="shared" si="269"/>
        <v/>
      </c>
      <c r="Q2535" s="38" t="str">
        <f t="shared" si="270"/>
        <v/>
      </c>
      <c r="R2535" s="37" t="str">
        <f t="shared" si="271"/>
        <v/>
      </c>
      <c r="S2535" s="37" t="str">
        <f t="shared" si="272"/>
        <v/>
      </c>
      <c r="T2535" s="38" t="str">
        <f t="shared" si="273"/>
        <v/>
      </c>
      <c r="U2535" s="37" t="str">
        <f t="shared" si="274"/>
        <v/>
      </c>
    </row>
    <row r="2536" spans="2:21" ht="17.25">
      <c r="B2536" s="156"/>
      <c r="C2536" s="156"/>
      <c r="D2536" s="157"/>
      <c r="E2536" s="155"/>
      <c r="F2536" s="151"/>
      <c r="G2536" s="152"/>
      <c r="H2536" s="153"/>
      <c r="I2536" s="154"/>
      <c r="J2536" s="154"/>
      <c r="K2536" s="30" t="str">
        <f>IF(H2536="","",IF($C$30="간이법","",FPR(H2536,I2536,J2536)))</f>
        <v/>
      </c>
      <c r="L2536" s="30" t="str">
        <f>IF(H2536="","",IF($C$30="상세법",FPV(H2536,K2536),IF(H2536="EI",4,IF(H2536="EO",5.2,IF(H2536="EQ",3.9,IF(H2536="ILF",7.5,IF(H2536="EIF",5.4)))))))</f>
        <v/>
      </c>
      <c r="M2536" s="30" t="str">
        <f t="shared" si="268"/>
        <v/>
      </c>
      <c r="N2536" s="134"/>
      <c r="O2536" s="29"/>
      <c r="P2536" s="37" t="str">
        <f t="shared" si="269"/>
        <v/>
      </c>
      <c r="Q2536" s="38" t="str">
        <f t="shared" si="270"/>
        <v/>
      </c>
      <c r="R2536" s="37" t="str">
        <f t="shared" si="271"/>
        <v/>
      </c>
      <c r="S2536" s="37" t="str">
        <f t="shared" si="272"/>
        <v/>
      </c>
      <c r="T2536" s="38" t="str">
        <f t="shared" si="273"/>
        <v/>
      </c>
      <c r="U2536" s="37" t="str">
        <f t="shared" si="274"/>
        <v/>
      </c>
    </row>
    <row r="2537" spans="2:21" ht="17.25">
      <c r="B2537" s="156"/>
      <c r="C2537" s="156"/>
      <c r="D2537" s="157"/>
      <c r="E2537" s="155"/>
      <c r="F2537" s="151"/>
      <c r="G2537" s="152"/>
      <c r="H2537" s="153"/>
      <c r="I2537" s="154"/>
      <c r="J2537" s="154"/>
      <c r="K2537" s="30" t="str">
        <f>IF(H2537="","",IF($C$30="간이법","",FPR(H2537,I2537,J2537)))</f>
        <v/>
      </c>
      <c r="L2537" s="30" t="str">
        <f>IF(H2537="","",IF($C$30="상세법",FPV(H2537,K2537),IF(H2537="EI",4,IF(H2537="EO",5.2,IF(H2537="EQ",3.9,IF(H2537="ILF",7.5,IF(H2537="EIF",5.4)))))))</f>
        <v/>
      </c>
      <c r="M2537" s="30" t="str">
        <f t="shared" si="268"/>
        <v/>
      </c>
      <c r="N2537" s="134"/>
      <c r="O2537" s="29"/>
      <c r="P2537" s="37" t="str">
        <f t="shared" si="269"/>
        <v/>
      </c>
      <c r="Q2537" s="38" t="str">
        <f t="shared" si="270"/>
        <v/>
      </c>
      <c r="R2537" s="37" t="str">
        <f t="shared" si="271"/>
        <v/>
      </c>
      <c r="S2537" s="37" t="str">
        <f t="shared" si="272"/>
        <v/>
      </c>
      <c r="T2537" s="38" t="str">
        <f t="shared" si="273"/>
        <v/>
      </c>
      <c r="U2537" s="37" t="str">
        <f t="shared" si="274"/>
        <v/>
      </c>
    </row>
    <row r="2538" spans="2:21" ht="17.25">
      <c r="B2538" s="156"/>
      <c r="C2538" s="156"/>
      <c r="D2538" s="157"/>
      <c r="E2538" s="155"/>
      <c r="F2538" s="151"/>
      <c r="G2538" s="152"/>
      <c r="H2538" s="153"/>
      <c r="I2538" s="154"/>
      <c r="J2538" s="154"/>
      <c r="K2538" s="30" t="str">
        <f>IF(H2538="","",IF($C$30="간이법","",FPR(H2538,I2538,J2538)))</f>
        <v/>
      </c>
      <c r="L2538" s="30" t="str">
        <f>IF(H2538="","",IF($C$30="상세법",FPV(H2538,K2538),IF(H2538="EI",4,IF(H2538="EO",5.2,IF(H2538="EQ",3.9,IF(H2538="ILF",7.5,IF(H2538="EIF",5.4)))))))</f>
        <v/>
      </c>
      <c r="M2538" s="30" t="str">
        <f t="shared" si="268"/>
        <v/>
      </c>
      <c r="N2538" s="134"/>
      <c r="O2538" s="29"/>
      <c r="P2538" s="37" t="str">
        <f t="shared" si="269"/>
        <v/>
      </c>
      <c r="Q2538" s="38" t="str">
        <f t="shared" si="270"/>
        <v/>
      </c>
      <c r="R2538" s="37" t="str">
        <f t="shared" si="271"/>
        <v/>
      </c>
      <c r="S2538" s="37" t="str">
        <f t="shared" si="272"/>
        <v/>
      </c>
      <c r="T2538" s="38" t="str">
        <f t="shared" si="273"/>
        <v/>
      </c>
      <c r="U2538" s="37" t="str">
        <f t="shared" si="274"/>
        <v/>
      </c>
    </row>
    <row r="2539" spans="2:21" ht="17.25">
      <c r="B2539" s="156"/>
      <c r="C2539" s="156"/>
      <c r="D2539" s="157"/>
      <c r="E2539" s="155"/>
      <c r="F2539" s="151"/>
      <c r="G2539" s="152"/>
      <c r="H2539" s="153"/>
      <c r="I2539" s="154"/>
      <c r="J2539" s="154"/>
      <c r="K2539" s="30" t="str">
        <f>IF(H2539="","",IF($C$30="간이법","",FPR(H2539,I2539,J2539)))</f>
        <v/>
      </c>
      <c r="L2539" s="30" t="str">
        <f>IF(H2539="","",IF($C$30="상세법",FPV(H2539,K2539),IF(H2539="EI",4,IF(H2539="EO",5.2,IF(H2539="EQ",3.9,IF(H2539="ILF",7.5,IF(H2539="EIF",5.4)))))))</f>
        <v/>
      </c>
      <c r="M2539" s="30" t="str">
        <f t="shared" si="268"/>
        <v/>
      </c>
      <c r="N2539" s="134"/>
      <c r="O2539" s="29"/>
      <c r="P2539" s="37" t="str">
        <f t="shared" si="269"/>
        <v/>
      </c>
      <c r="Q2539" s="38" t="str">
        <f t="shared" si="270"/>
        <v/>
      </c>
      <c r="R2539" s="37" t="str">
        <f t="shared" si="271"/>
        <v/>
      </c>
      <c r="S2539" s="37" t="str">
        <f t="shared" si="272"/>
        <v/>
      </c>
      <c r="T2539" s="38" t="str">
        <f t="shared" si="273"/>
        <v/>
      </c>
      <c r="U2539" s="37" t="str">
        <f t="shared" si="274"/>
        <v/>
      </c>
    </row>
    <row r="2540" spans="2:21" ht="17.25">
      <c r="B2540" s="156"/>
      <c r="C2540" s="156"/>
      <c r="D2540" s="157"/>
      <c r="E2540" s="155"/>
      <c r="F2540" s="151"/>
      <c r="G2540" s="152"/>
      <c r="H2540" s="153"/>
      <c r="I2540" s="154"/>
      <c r="J2540" s="154"/>
      <c r="K2540" s="30" t="str">
        <f>IF(H2540="","",IF($C$30="간이법","",FPR(H2540,I2540,J2540)))</f>
        <v/>
      </c>
      <c r="L2540" s="30" t="str">
        <f>IF(H2540="","",IF($C$30="상세법",FPV(H2540,K2540),IF(H2540="EI",4,IF(H2540="EO",5.2,IF(H2540="EQ",3.9,IF(H2540="ILF",7.5,IF(H2540="EIF",5.4)))))))</f>
        <v/>
      </c>
      <c r="M2540" s="30" t="str">
        <f t="shared" si="268"/>
        <v/>
      </c>
      <c r="N2540" s="134"/>
      <c r="O2540" s="29"/>
      <c r="P2540" s="37" t="str">
        <f t="shared" si="269"/>
        <v/>
      </c>
      <c r="Q2540" s="38" t="str">
        <f t="shared" si="270"/>
        <v/>
      </c>
      <c r="R2540" s="37" t="str">
        <f t="shared" si="271"/>
        <v/>
      </c>
      <c r="S2540" s="37" t="str">
        <f t="shared" si="272"/>
        <v/>
      </c>
      <c r="T2540" s="38" t="str">
        <f t="shared" si="273"/>
        <v/>
      </c>
      <c r="U2540" s="37" t="str">
        <f t="shared" si="274"/>
        <v/>
      </c>
    </row>
    <row r="2541" spans="2:21" ht="17.25">
      <c r="B2541" s="156"/>
      <c r="C2541" s="156"/>
      <c r="D2541" s="157"/>
      <c r="E2541" s="155"/>
      <c r="F2541" s="151"/>
      <c r="G2541" s="152"/>
      <c r="H2541" s="153"/>
      <c r="I2541" s="154"/>
      <c r="J2541" s="154"/>
      <c r="K2541" s="30" t="str">
        <f>IF(H2541="","",IF($C$30="간이법","",FPR(H2541,I2541,J2541)))</f>
        <v/>
      </c>
      <c r="L2541" s="30" t="str">
        <f>IF(H2541="","",IF($C$30="상세법",FPV(H2541,K2541),IF(H2541="EI",4,IF(H2541="EO",5.2,IF(H2541="EQ",3.9,IF(H2541="ILF",7.5,IF(H2541="EIF",5.4)))))))</f>
        <v/>
      </c>
      <c r="M2541" s="30" t="str">
        <f t="shared" si="268"/>
        <v/>
      </c>
      <c r="N2541" s="134"/>
      <c r="O2541" s="29"/>
      <c r="P2541" s="37" t="str">
        <f t="shared" si="269"/>
        <v/>
      </c>
      <c r="Q2541" s="38" t="str">
        <f t="shared" si="270"/>
        <v/>
      </c>
      <c r="R2541" s="37" t="str">
        <f t="shared" si="271"/>
        <v/>
      </c>
      <c r="S2541" s="37" t="str">
        <f t="shared" si="272"/>
        <v/>
      </c>
      <c r="T2541" s="38" t="str">
        <f t="shared" si="273"/>
        <v/>
      </c>
      <c r="U2541" s="37" t="str">
        <f t="shared" si="274"/>
        <v/>
      </c>
    </row>
    <row r="2542" spans="2:21" ht="17.25">
      <c r="B2542" s="156"/>
      <c r="C2542" s="156"/>
      <c r="D2542" s="157"/>
      <c r="E2542" s="155"/>
      <c r="F2542" s="151"/>
      <c r="G2542" s="152"/>
      <c r="H2542" s="153"/>
      <c r="I2542" s="154"/>
      <c r="J2542" s="154"/>
      <c r="K2542" s="30" t="str">
        <f>IF(H2542="","",IF($C$30="간이법","",FPR(H2542,I2542,J2542)))</f>
        <v/>
      </c>
      <c r="L2542" s="30" t="str">
        <f>IF(H2542="","",IF($C$30="상세법",FPV(H2542,K2542),IF(H2542="EI",4,IF(H2542="EO",5.2,IF(H2542="EQ",3.9,IF(H2542="ILF",7.5,IF(H2542="EIF",5.4)))))))</f>
        <v/>
      </c>
      <c r="M2542" s="30" t="str">
        <f t="shared" si="268"/>
        <v/>
      </c>
      <c r="N2542" s="134"/>
      <c r="O2542" s="29"/>
      <c r="P2542" s="37" t="str">
        <f t="shared" si="269"/>
        <v/>
      </c>
      <c r="Q2542" s="38" t="str">
        <f t="shared" si="270"/>
        <v/>
      </c>
      <c r="R2542" s="37" t="str">
        <f t="shared" si="271"/>
        <v/>
      </c>
      <c r="S2542" s="37" t="str">
        <f t="shared" si="272"/>
        <v/>
      </c>
      <c r="T2542" s="38" t="str">
        <f t="shared" si="273"/>
        <v/>
      </c>
      <c r="U2542" s="37" t="str">
        <f t="shared" si="274"/>
        <v/>
      </c>
    </row>
    <row r="2543" spans="2:21" ht="17.25">
      <c r="B2543" s="156"/>
      <c r="C2543" s="156"/>
      <c r="D2543" s="157"/>
      <c r="E2543" s="155"/>
      <c r="F2543" s="151"/>
      <c r="G2543" s="152"/>
      <c r="H2543" s="153"/>
      <c r="I2543" s="154"/>
      <c r="J2543" s="154"/>
      <c r="K2543" s="30" t="str">
        <f>IF(H2543="","",IF($C$30="간이법","",FPR(H2543,I2543,J2543)))</f>
        <v/>
      </c>
      <c r="L2543" s="30" t="str">
        <f>IF(H2543="","",IF($C$30="상세법",FPV(H2543,K2543),IF(H2543="EI",4,IF(H2543="EO",5.2,IF(H2543="EQ",3.9,IF(H2543="ILF",7.5,IF(H2543="EIF",5.4)))))))</f>
        <v/>
      </c>
      <c r="M2543" s="30" t="str">
        <f t="shared" si="268"/>
        <v/>
      </c>
      <c r="N2543" s="134"/>
      <c r="O2543" s="29"/>
      <c r="P2543" s="37" t="str">
        <f t="shared" si="269"/>
        <v/>
      </c>
      <c r="Q2543" s="38" t="str">
        <f t="shared" si="270"/>
        <v/>
      </c>
      <c r="R2543" s="37" t="str">
        <f t="shared" si="271"/>
        <v/>
      </c>
      <c r="S2543" s="37" t="str">
        <f t="shared" si="272"/>
        <v/>
      </c>
      <c r="T2543" s="38" t="str">
        <f t="shared" si="273"/>
        <v/>
      </c>
      <c r="U2543" s="37" t="str">
        <f t="shared" si="274"/>
        <v/>
      </c>
    </row>
    <row r="2544" spans="2:21" ht="17.25">
      <c r="B2544" s="156"/>
      <c r="C2544" s="156"/>
      <c r="D2544" s="157"/>
      <c r="E2544" s="155"/>
      <c r="F2544" s="151"/>
      <c r="G2544" s="152"/>
      <c r="H2544" s="153"/>
      <c r="I2544" s="154"/>
      <c r="J2544" s="154"/>
      <c r="K2544" s="30" t="str">
        <f>IF(H2544="","",IF($C$30="간이법","",FPR(H2544,I2544,J2544)))</f>
        <v/>
      </c>
      <c r="L2544" s="30" t="str">
        <f>IF(H2544="","",IF($C$30="상세법",FPV(H2544,K2544),IF(H2544="EI",4,IF(H2544="EO",5.2,IF(H2544="EQ",3.9,IF(H2544="ILF",7.5,IF(H2544="EIF",5.4)))))))</f>
        <v/>
      </c>
      <c r="M2544" s="30" t="str">
        <f t="shared" si="268"/>
        <v/>
      </c>
      <c r="N2544" s="134"/>
      <c r="O2544" s="29"/>
      <c r="P2544" s="37" t="str">
        <f t="shared" si="269"/>
        <v/>
      </c>
      <c r="Q2544" s="38" t="str">
        <f t="shared" si="270"/>
        <v/>
      </c>
      <c r="R2544" s="37" t="str">
        <f t="shared" si="271"/>
        <v/>
      </c>
      <c r="S2544" s="37" t="str">
        <f t="shared" si="272"/>
        <v/>
      </c>
      <c r="T2544" s="38" t="str">
        <f t="shared" si="273"/>
        <v/>
      </c>
      <c r="U2544" s="37" t="str">
        <f t="shared" si="274"/>
        <v/>
      </c>
    </row>
    <row r="2545" spans="2:21" ht="17.25">
      <c r="B2545" s="156"/>
      <c r="C2545" s="156"/>
      <c r="D2545" s="157"/>
      <c r="E2545" s="155"/>
      <c r="F2545" s="151"/>
      <c r="G2545" s="152"/>
      <c r="H2545" s="153"/>
      <c r="I2545" s="154"/>
      <c r="J2545" s="154"/>
      <c r="K2545" s="30" t="str">
        <f>IF(H2545="","",IF($C$30="간이법","",FPR(H2545,I2545,J2545)))</f>
        <v/>
      </c>
      <c r="L2545" s="30" t="str">
        <f>IF(H2545="","",IF($C$30="상세법",FPV(H2545,K2545),IF(H2545="EI",4,IF(H2545="EO",5.2,IF(H2545="EQ",3.9,IF(H2545="ILF",7.5,IF(H2545="EIF",5.4)))))))</f>
        <v/>
      </c>
      <c r="M2545" s="30" t="str">
        <f t="shared" si="268"/>
        <v/>
      </c>
      <c r="N2545" s="134"/>
      <c r="O2545" s="29"/>
      <c r="P2545" s="37" t="str">
        <f t="shared" si="269"/>
        <v/>
      </c>
      <c r="Q2545" s="38" t="str">
        <f t="shared" si="270"/>
        <v/>
      </c>
      <c r="R2545" s="37" t="str">
        <f t="shared" si="271"/>
        <v/>
      </c>
      <c r="S2545" s="37" t="str">
        <f t="shared" si="272"/>
        <v/>
      </c>
      <c r="T2545" s="38" t="str">
        <f t="shared" si="273"/>
        <v/>
      </c>
      <c r="U2545" s="37" t="str">
        <f t="shared" si="274"/>
        <v/>
      </c>
    </row>
    <row r="2546" spans="2:21" ht="17.25">
      <c r="B2546" s="156"/>
      <c r="C2546" s="156"/>
      <c r="D2546" s="157"/>
      <c r="E2546" s="155"/>
      <c r="F2546" s="151"/>
      <c r="G2546" s="152"/>
      <c r="H2546" s="153"/>
      <c r="I2546" s="154"/>
      <c r="J2546" s="154"/>
      <c r="K2546" s="30" t="str">
        <f>IF(H2546="","",IF($C$30="간이법","",FPR(H2546,I2546,J2546)))</f>
        <v/>
      </c>
      <c r="L2546" s="30" t="str">
        <f>IF(H2546="","",IF($C$30="상세법",FPV(H2546,K2546),IF(H2546="EI",4,IF(H2546="EO",5.2,IF(H2546="EQ",3.9,IF(H2546="ILF",7.5,IF(H2546="EIF",5.4)))))))</f>
        <v/>
      </c>
      <c r="M2546" s="30" t="str">
        <f t="shared" si="268"/>
        <v/>
      </c>
      <c r="N2546" s="134"/>
      <c r="O2546" s="29"/>
      <c r="P2546" s="37" t="str">
        <f t="shared" si="269"/>
        <v/>
      </c>
      <c r="Q2546" s="38" t="str">
        <f t="shared" si="270"/>
        <v/>
      </c>
      <c r="R2546" s="37" t="str">
        <f t="shared" si="271"/>
        <v/>
      </c>
      <c r="S2546" s="37" t="str">
        <f t="shared" si="272"/>
        <v/>
      </c>
      <c r="T2546" s="38" t="str">
        <f t="shared" si="273"/>
        <v/>
      </c>
      <c r="U2546" s="37" t="str">
        <f t="shared" si="274"/>
        <v/>
      </c>
    </row>
    <row r="2547" spans="2:21" ht="17.25">
      <c r="B2547" s="156"/>
      <c r="C2547" s="156"/>
      <c r="D2547" s="157"/>
      <c r="E2547" s="155"/>
      <c r="F2547" s="151"/>
      <c r="G2547" s="152"/>
      <c r="H2547" s="153"/>
      <c r="I2547" s="154"/>
      <c r="J2547" s="154"/>
      <c r="K2547" s="30" t="str">
        <f>IF(H2547="","",IF($C$30="간이법","",FPR(H2547,I2547,J2547)))</f>
        <v/>
      </c>
      <c r="L2547" s="30" t="str">
        <f>IF(H2547="","",IF($C$30="상세법",FPV(H2547,K2547),IF(H2547="EI",4,IF(H2547="EO",5.2,IF(H2547="EQ",3.9,IF(H2547="ILF",7.5,IF(H2547="EIF",5.4)))))))</f>
        <v/>
      </c>
      <c r="M2547" s="30" t="str">
        <f t="shared" si="268"/>
        <v/>
      </c>
      <c r="N2547" s="134"/>
      <c r="O2547" s="29"/>
      <c r="P2547" s="37" t="str">
        <f t="shared" si="269"/>
        <v/>
      </c>
      <c r="Q2547" s="38" t="str">
        <f t="shared" si="270"/>
        <v/>
      </c>
      <c r="R2547" s="37" t="str">
        <f t="shared" si="271"/>
        <v/>
      </c>
      <c r="S2547" s="37" t="str">
        <f t="shared" si="272"/>
        <v/>
      </c>
      <c r="T2547" s="38" t="str">
        <f t="shared" si="273"/>
        <v/>
      </c>
      <c r="U2547" s="37" t="str">
        <f t="shared" si="274"/>
        <v/>
      </c>
    </row>
    <row r="2548" spans="2:21" ht="17.25">
      <c r="B2548" s="156"/>
      <c r="C2548" s="156"/>
      <c r="D2548" s="157"/>
      <c r="E2548" s="155"/>
      <c r="F2548" s="151"/>
      <c r="G2548" s="152"/>
      <c r="H2548" s="153"/>
      <c r="I2548" s="154"/>
      <c r="J2548" s="154"/>
      <c r="K2548" s="30" t="str">
        <f>IF(H2548="","",IF($C$30="간이법","",FPR(H2548,I2548,J2548)))</f>
        <v/>
      </c>
      <c r="L2548" s="30" t="str">
        <f>IF(H2548="","",IF($C$30="상세법",FPV(H2548,K2548),IF(H2548="EI",4,IF(H2548="EO",5.2,IF(H2548="EQ",3.9,IF(H2548="ILF",7.5,IF(H2548="EIF",5.4)))))))</f>
        <v/>
      </c>
      <c r="M2548" s="30" t="str">
        <f t="shared" si="268"/>
        <v/>
      </c>
      <c r="N2548" s="134"/>
      <c r="O2548" s="29"/>
      <c r="P2548" s="37" t="str">
        <f t="shared" si="269"/>
        <v/>
      </c>
      <c r="Q2548" s="38" t="str">
        <f t="shared" si="270"/>
        <v/>
      </c>
      <c r="R2548" s="37" t="str">
        <f t="shared" si="271"/>
        <v/>
      </c>
      <c r="S2548" s="37" t="str">
        <f t="shared" si="272"/>
        <v/>
      </c>
      <c r="T2548" s="38" t="str">
        <f t="shared" si="273"/>
        <v/>
      </c>
      <c r="U2548" s="37" t="str">
        <f t="shared" si="274"/>
        <v/>
      </c>
    </row>
    <row r="2549" spans="2:21" ht="17.25">
      <c r="B2549" s="156"/>
      <c r="C2549" s="156"/>
      <c r="D2549" s="157"/>
      <c r="E2549" s="155"/>
      <c r="F2549" s="151"/>
      <c r="G2549" s="152"/>
      <c r="H2549" s="153"/>
      <c r="I2549" s="154"/>
      <c r="J2549" s="154"/>
      <c r="K2549" s="30" t="str">
        <f>IF(H2549="","",IF($C$30="간이법","",FPR(H2549,I2549,J2549)))</f>
        <v/>
      </c>
      <c r="L2549" s="30" t="str">
        <f>IF(H2549="","",IF($C$30="상세법",FPV(H2549,K2549),IF(H2549="EI",4,IF(H2549="EO",5.2,IF(H2549="EQ",3.9,IF(H2549="ILF",7.5,IF(H2549="EIF",5.4)))))))</f>
        <v/>
      </c>
      <c r="M2549" s="30" t="str">
        <f t="shared" si="268"/>
        <v/>
      </c>
      <c r="N2549" s="134"/>
      <c r="O2549" s="29"/>
      <c r="P2549" s="37" t="str">
        <f t="shared" si="269"/>
        <v/>
      </c>
      <c r="Q2549" s="38" t="str">
        <f t="shared" si="270"/>
        <v/>
      </c>
      <c r="R2549" s="37" t="str">
        <f t="shared" si="271"/>
        <v/>
      </c>
      <c r="S2549" s="37" t="str">
        <f t="shared" si="272"/>
        <v/>
      </c>
      <c r="T2549" s="38" t="str">
        <f t="shared" si="273"/>
        <v/>
      </c>
      <c r="U2549" s="37" t="str">
        <f t="shared" si="274"/>
        <v/>
      </c>
    </row>
    <row r="2550" spans="2:21" ht="17.25">
      <c r="B2550" s="156"/>
      <c r="C2550" s="156"/>
      <c r="D2550" s="157"/>
      <c r="E2550" s="155"/>
      <c r="F2550" s="151"/>
      <c r="G2550" s="152"/>
      <c r="H2550" s="153"/>
      <c r="I2550" s="154"/>
      <c r="J2550" s="154"/>
      <c r="K2550" s="30" t="str">
        <f>IF(H2550="","",IF($C$30="간이법","",FPR(H2550,I2550,J2550)))</f>
        <v/>
      </c>
      <c r="L2550" s="30" t="str">
        <f>IF(H2550="","",IF($C$30="상세법",FPV(H2550,K2550),IF(H2550="EI",4,IF(H2550="EO",5.2,IF(H2550="EQ",3.9,IF(H2550="ILF",7.5,IF(H2550="EIF",5.4)))))))</f>
        <v/>
      </c>
      <c r="M2550" s="30" t="str">
        <f t="shared" si="268"/>
        <v/>
      </c>
      <c r="N2550" s="134"/>
      <c r="O2550" s="29"/>
      <c r="P2550" s="37" t="str">
        <f t="shared" si="269"/>
        <v/>
      </c>
      <c r="Q2550" s="38" t="str">
        <f t="shared" si="270"/>
        <v/>
      </c>
      <c r="R2550" s="37" t="str">
        <f t="shared" si="271"/>
        <v/>
      </c>
      <c r="S2550" s="37" t="str">
        <f t="shared" si="272"/>
        <v/>
      </c>
      <c r="T2550" s="38" t="str">
        <f t="shared" si="273"/>
        <v/>
      </c>
      <c r="U2550" s="37" t="str">
        <f t="shared" si="274"/>
        <v/>
      </c>
    </row>
    <row r="2551" spans="2:21" ht="17.25">
      <c r="B2551" s="156"/>
      <c r="C2551" s="156"/>
      <c r="D2551" s="157"/>
      <c r="E2551" s="155"/>
      <c r="F2551" s="151"/>
      <c r="G2551" s="152"/>
      <c r="H2551" s="153"/>
      <c r="I2551" s="154"/>
      <c r="J2551" s="154"/>
      <c r="K2551" s="30" t="str">
        <f>IF(H2551="","",IF($C$30="간이법","",FPR(H2551,I2551,J2551)))</f>
        <v/>
      </c>
      <c r="L2551" s="30" t="str">
        <f>IF(H2551="","",IF($C$30="상세법",FPV(H2551,K2551),IF(H2551="EI",4,IF(H2551="EO",5.2,IF(H2551="EQ",3.9,IF(H2551="ILF",7.5,IF(H2551="EIF",5.4)))))))</f>
        <v/>
      </c>
      <c r="M2551" s="30" t="str">
        <f t="shared" si="268"/>
        <v/>
      </c>
      <c r="N2551" s="134"/>
      <c r="O2551" s="29"/>
      <c r="P2551" s="37" t="str">
        <f t="shared" si="269"/>
        <v/>
      </c>
      <c r="Q2551" s="38" t="str">
        <f t="shared" si="270"/>
        <v/>
      </c>
      <c r="R2551" s="37" t="str">
        <f t="shared" si="271"/>
        <v/>
      </c>
      <c r="S2551" s="37" t="str">
        <f t="shared" si="272"/>
        <v/>
      </c>
      <c r="T2551" s="38" t="str">
        <f t="shared" si="273"/>
        <v/>
      </c>
      <c r="U2551" s="37" t="str">
        <f t="shared" si="274"/>
        <v/>
      </c>
    </row>
    <row r="2552" spans="2:21" ht="17.25">
      <c r="B2552" s="156"/>
      <c r="C2552" s="156"/>
      <c r="D2552" s="157"/>
      <c r="E2552" s="155"/>
      <c r="F2552" s="151"/>
      <c r="G2552" s="152"/>
      <c r="H2552" s="153"/>
      <c r="I2552" s="154"/>
      <c r="J2552" s="154"/>
      <c r="K2552" s="30" t="str">
        <f>IF(H2552="","",IF($C$30="간이법","",FPR(H2552,I2552,J2552)))</f>
        <v/>
      </c>
      <c r="L2552" s="30" t="str">
        <f>IF(H2552="","",IF($C$30="상세법",FPV(H2552,K2552),IF(H2552="EI",4,IF(H2552="EO",5.2,IF(H2552="EQ",3.9,IF(H2552="ILF",7.5,IF(H2552="EIF",5.4)))))))</f>
        <v/>
      </c>
      <c r="M2552" s="30" t="str">
        <f t="shared" si="268"/>
        <v/>
      </c>
      <c r="N2552" s="134"/>
      <c r="O2552" s="29"/>
      <c r="P2552" s="37" t="str">
        <f t="shared" si="269"/>
        <v/>
      </c>
      <c r="Q2552" s="38" t="str">
        <f t="shared" si="270"/>
        <v/>
      </c>
      <c r="R2552" s="37" t="str">
        <f t="shared" si="271"/>
        <v/>
      </c>
      <c r="S2552" s="37" t="str">
        <f t="shared" si="272"/>
        <v/>
      </c>
      <c r="T2552" s="38" t="str">
        <f t="shared" si="273"/>
        <v/>
      </c>
      <c r="U2552" s="37" t="str">
        <f t="shared" si="274"/>
        <v/>
      </c>
    </row>
    <row r="2553" spans="2:21" ht="17.25">
      <c r="B2553" s="156"/>
      <c r="C2553" s="156"/>
      <c r="D2553" s="157"/>
      <c r="E2553" s="155"/>
      <c r="F2553" s="151"/>
      <c r="G2553" s="152"/>
      <c r="H2553" s="153"/>
      <c r="I2553" s="154"/>
      <c r="J2553" s="154"/>
      <c r="K2553" s="30" t="str">
        <f>IF(H2553="","",IF($C$30="간이법","",FPR(H2553,I2553,J2553)))</f>
        <v/>
      </c>
      <c r="L2553" s="30" t="str">
        <f>IF(H2553="","",IF($C$30="상세법",FPV(H2553,K2553),IF(H2553="EI",4,IF(H2553="EO",5.2,IF(H2553="EQ",3.9,IF(H2553="ILF",7.5,IF(H2553="EIF",5.4)))))))</f>
        <v/>
      </c>
      <c r="M2553" s="30" t="str">
        <f t="shared" si="268"/>
        <v/>
      </c>
      <c r="N2553" s="134"/>
      <c r="O2553" s="29"/>
      <c r="P2553" s="37" t="str">
        <f t="shared" si="269"/>
        <v/>
      </c>
      <c r="Q2553" s="38" t="str">
        <f t="shared" si="270"/>
        <v/>
      </c>
      <c r="R2553" s="37" t="str">
        <f t="shared" si="271"/>
        <v/>
      </c>
      <c r="S2553" s="37" t="str">
        <f t="shared" si="272"/>
        <v/>
      </c>
      <c r="T2553" s="38" t="str">
        <f t="shared" si="273"/>
        <v/>
      </c>
      <c r="U2553" s="37" t="str">
        <f t="shared" si="274"/>
        <v/>
      </c>
    </row>
    <row r="2554" spans="2:21" ht="17.25">
      <c r="B2554" s="156"/>
      <c r="C2554" s="156"/>
      <c r="D2554" s="157"/>
      <c r="E2554" s="155"/>
      <c r="F2554" s="151"/>
      <c r="G2554" s="152"/>
      <c r="H2554" s="153"/>
      <c r="I2554" s="154"/>
      <c r="J2554" s="154"/>
      <c r="K2554" s="30" t="str">
        <f>IF(H2554="","",IF($C$30="간이법","",FPR(H2554,I2554,J2554)))</f>
        <v/>
      </c>
      <c r="L2554" s="30" t="str">
        <f>IF(H2554="","",IF($C$30="상세법",FPV(H2554,K2554),IF(H2554="EI",4,IF(H2554="EO",5.2,IF(H2554="EQ",3.9,IF(H2554="ILF",7.5,IF(H2554="EIF",5.4)))))))</f>
        <v/>
      </c>
      <c r="M2554" s="30" t="str">
        <f t="shared" si="268"/>
        <v/>
      </c>
      <c r="N2554" s="134"/>
      <c r="O2554" s="29"/>
      <c r="P2554" s="37" t="str">
        <f t="shared" si="269"/>
        <v/>
      </c>
      <c r="Q2554" s="38" t="str">
        <f t="shared" si="270"/>
        <v/>
      </c>
      <c r="R2554" s="37" t="str">
        <f t="shared" si="271"/>
        <v/>
      </c>
      <c r="S2554" s="37" t="str">
        <f t="shared" si="272"/>
        <v/>
      </c>
      <c r="T2554" s="38" t="str">
        <f t="shared" si="273"/>
        <v/>
      </c>
      <c r="U2554" s="37" t="str">
        <f t="shared" si="274"/>
        <v/>
      </c>
    </row>
    <row r="2555" spans="2:21" ht="17.25">
      <c r="B2555" s="156"/>
      <c r="C2555" s="156"/>
      <c r="D2555" s="157"/>
      <c r="E2555" s="155"/>
      <c r="F2555" s="151"/>
      <c r="G2555" s="152"/>
      <c r="H2555" s="153"/>
      <c r="I2555" s="154"/>
      <c r="J2555" s="154"/>
      <c r="K2555" s="30" t="str">
        <f>IF(H2555="","",IF($C$30="간이법","",FPR(H2555,I2555,J2555)))</f>
        <v/>
      </c>
      <c r="L2555" s="30" t="str">
        <f>IF(H2555="","",IF($C$30="상세법",FPV(H2555,K2555),IF(H2555="EI",4,IF(H2555="EO",5.2,IF(H2555="EQ",3.9,IF(H2555="ILF",7.5,IF(H2555="EIF",5.4)))))))</f>
        <v/>
      </c>
      <c r="M2555" s="30" t="str">
        <f t="shared" si="268"/>
        <v/>
      </c>
      <c r="N2555" s="134"/>
      <c r="O2555" s="29"/>
      <c r="P2555" s="37" t="str">
        <f t="shared" si="269"/>
        <v/>
      </c>
      <c r="Q2555" s="38" t="str">
        <f t="shared" si="270"/>
        <v/>
      </c>
      <c r="R2555" s="37" t="str">
        <f t="shared" si="271"/>
        <v/>
      </c>
      <c r="S2555" s="37" t="str">
        <f t="shared" si="272"/>
        <v/>
      </c>
      <c r="T2555" s="38" t="str">
        <f t="shared" si="273"/>
        <v/>
      </c>
      <c r="U2555" s="37" t="str">
        <f t="shared" si="274"/>
        <v/>
      </c>
    </row>
    <row r="2556" spans="2:21" ht="17.25">
      <c r="B2556" s="156"/>
      <c r="C2556" s="156"/>
      <c r="D2556" s="157"/>
      <c r="E2556" s="155"/>
      <c r="F2556" s="151"/>
      <c r="G2556" s="152"/>
      <c r="H2556" s="153"/>
      <c r="I2556" s="154"/>
      <c r="J2556" s="154"/>
      <c r="K2556" s="30" t="str">
        <f>IF(H2556="","",IF($C$30="간이법","",FPR(H2556,I2556,J2556)))</f>
        <v/>
      </c>
      <c r="L2556" s="30" t="str">
        <f>IF(H2556="","",IF($C$30="상세법",FPV(H2556,K2556),IF(H2556="EI",4,IF(H2556="EO",5.2,IF(H2556="EQ",3.9,IF(H2556="ILF",7.5,IF(H2556="EIF",5.4)))))))</f>
        <v/>
      </c>
      <c r="M2556" s="30" t="str">
        <f t="shared" ref="M2556:M2619" si="275">IF(OR(G2556="",$E$36="(선택)",$E$40="(선택)",$E$41="(선택)",F2556="신규 개발",F2556="수정 없이 재사용"),"",(IF(F2556="수정 후 재사용",IF($E$50&lt;=0.5,L2556*($E$36+$E$50*100*(1+0.02*($E$40*$E$41)))/100,L2556*($E$36+$E$50*100+($E$40*$E$41))/100))))</f>
        <v/>
      </c>
      <c r="N2556" s="134"/>
      <c r="O2556" s="29"/>
      <c r="P2556" s="37" t="str">
        <f t="shared" ref="P2556:P2619" si="276">IF(F2556="수정 후 재사용",IF(H2556="ILF",G2556,IF(H2556="EIF",G2556,"")),"")</f>
        <v/>
      </c>
      <c r="Q2556" s="38" t="str">
        <f t="shared" ref="Q2556:Q2619" si="277">IF(P2556&lt;&gt;"",IF(H2556="ILF", L2556/$E$46,IF(H2556="EIF", L2556/$E$46,"")),"")</f>
        <v/>
      </c>
      <c r="R2556" s="37" t="str">
        <f t="shared" ref="R2556:R2619" si="278">IF(P2556&lt;&gt;"",P2556*Q2556,"")</f>
        <v/>
      </c>
      <c r="S2556" s="37" t="str">
        <f t="shared" ref="S2556:S2619" si="279">IF(F2556="수정 후 재사용",IF(H2556="EI",G2556,IF(H2556="EO",G2556,IF(H2556="EQ",G2556,""))),"")</f>
        <v/>
      </c>
      <c r="T2556" s="38" t="str">
        <f t="shared" ref="T2556:T2619" si="280">IF(S2556&lt;&gt;"",IF(H2556="EI",L2556/$E$47,IF(H2556="EO",L2556/$E$47,IF(H2556="EQ",L2556/$E$47,""))),"")</f>
        <v/>
      </c>
      <c r="U2556" s="37" t="str">
        <f t="shared" ref="U2556:U2619" si="281">IF(S2556&lt;&gt;"",S2556*T2556,"")</f>
        <v/>
      </c>
    </row>
    <row r="2557" spans="2:21" ht="17.25">
      <c r="B2557" s="156"/>
      <c r="C2557" s="156"/>
      <c r="D2557" s="157"/>
      <c r="E2557" s="155"/>
      <c r="F2557" s="151"/>
      <c r="G2557" s="152"/>
      <c r="H2557" s="153"/>
      <c r="I2557" s="154"/>
      <c r="J2557" s="154"/>
      <c r="K2557" s="30" t="str">
        <f>IF(H2557="","",IF($C$30="간이법","",FPR(H2557,I2557,J2557)))</f>
        <v/>
      </c>
      <c r="L2557" s="30" t="str">
        <f>IF(H2557="","",IF($C$30="상세법",FPV(H2557,K2557),IF(H2557="EI",4,IF(H2557="EO",5.2,IF(H2557="EQ",3.9,IF(H2557="ILF",7.5,IF(H2557="EIF",5.4)))))))</f>
        <v/>
      </c>
      <c r="M2557" s="30" t="str">
        <f t="shared" si="275"/>
        <v/>
      </c>
      <c r="N2557" s="134"/>
      <c r="O2557" s="29"/>
      <c r="P2557" s="37" t="str">
        <f t="shared" si="276"/>
        <v/>
      </c>
      <c r="Q2557" s="38" t="str">
        <f t="shared" si="277"/>
        <v/>
      </c>
      <c r="R2557" s="37" t="str">
        <f t="shared" si="278"/>
        <v/>
      </c>
      <c r="S2557" s="37" t="str">
        <f t="shared" si="279"/>
        <v/>
      </c>
      <c r="T2557" s="38" t="str">
        <f t="shared" si="280"/>
        <v/>
      </c>
      <c r="U2557" s="37" t="str">
        <f t="shared" si="281"/>
        <v/>
      </c>
    </row>
    <row r="2558" spans="2:21" ht="17.25">
      <c r="B2558" s="156"/>
      <c r="C2558" s="156"/>
      <c r="D2558" s="157"/>
      <c r="E2558" s="155"/>
      <c r="F2558" s="151"/>
      <c r="G2558" s="152"/>
      <c r="H2558" s="153"/>
      <c r="I2558" s="154"/>
      <c r="J2558" s="154"/>
      <c r="K2558" s="30" t="str">
        <f>IF(H2558="","",IF($C$30="간이법","",FPR(H2558,I2558,J2558)))</f>
        <v/>
      </c>
      <c r="L2558" s="30" t="str">
        <f>IF(H2558="","",IF($C$30="상세법",FPV(H2558,K2558),IF(H2558="EI",4,IF(H2558="EO",5.2,IF(H2558="EQ",3.9,IF(H2558="ILF",7.5,IF(H2558="EIF",5.4)))))))</f>
        <v/>
      </c>
      <c r="M2558" s="30" t="str">
        <f t="shared" si="275"/>
        <v/>
      </c>
      <c r="N2558" s="134"/>
      <c r="O2558" s="29"/>
      <c r="P2558" s="37" t="str">
        <f t="shared" si="276"/>
        <v/>
      </c>
      <c r="Q2558" s="38" t="str">
        <f t="shared" si="277"/>
        <v/>
      </c>
      <c r="R2558" s="37" t="str">
        <f t="shared" si="278"/>
        <v/>
      </c>
      <c r="S2558" s="37" t="str">
        <f t="shared" si="279"/>
        <v/>
      </c>
      <c r="T2558" s="38" t="str">
        <f t="shared" si="280"/>
        <v/>
      </c>
      <c r="U2558" s="37" t="str">
        <f t="shared" si="281"/>
        <v/>
      </c>
    </row>
    <row r="2559" spans="2:21" ht="17.25">
      <c r="B2559" s="156"/>
      <c r="C2559" s="156"/>
      <c r="D2559" s="157"/>
      <c r="E2559" s="155"/>
      <c r="F2559" s="151"/>
      <c r="G2559" s="152"/>
      <c r="H2559" s="153"/>
      <c r="I2559" s="154"/>
      <c r="J2559" s="154"/>
      <c r="K2559" s="30" t="str">
        <f>IF(H2559="","",IF($C$30="간이법","",FPR(H2559,I2559,J2559)))</f>
        <v/>
      </c>
      <c r="L2559" s="30" t="str">
        <f>IF(H2559="","",IF($C$30="상세법",FPV(H2559,K2559),IF(H2559="EI",4,IF(H2559="EO",5.2,IF(H2559="EQ",3.9,IF(H2559="ILF",7.5,IF(H2559="EIF",5.4)))))))</f>
        <v/>
      </c>
      <c r="M2559" s="30" t="str">
        <f t="shared" si="275"/>
        <v/>
      </c>
      <c r="N2559" s="134"/>
      <c r="O2559" s="29"/>
      <c r="P2559" s="37" t="str">
        <f t="shared" si="276"/>
        <v/>
      </c>
      <c r="Q2559" s="38" t="str">
        <f t="shared" si="277"/>
        <v/>
      </c>
      <c r="R2559" s="37" t="str">
        <f t="shared" si="278"/>
        <v/>
      </c>
      <c r="S2559" s="37" t="str">
        <f t="shared" si="279"/>
        <v/>
      </c>
      <c r="T2559" s="38" t="str">
        <f t="shared" si="280"/>
        <v/>
      </c>
      <c r="U2559" s="37" t="str">
        <f t="shared" si="281"/>
        <v/>
      </c>
    </row>
    <row r="2560" spans="2:21" ht="17.25">
      <c r="B2560" s="156"/>
      <c r="C2560" s="156"/>
      <c r="D2560" s="157"/>
      <c r="E2560" s="155"/>
      <c r="F2560" s="151"/>
      <c r="G2560" s="152"/>
      <c r="H2560" s="153"/>
      <c r="I2560" s="154"/>
      <c r="J2560" s="154"/>
      <c r="K2560" s="30" t="str">
        <f>IF(H2560="","",IF($C$30="간이법","",FPR(H2560,I2560,J2560)))</f>
        <v/>
      </c>
      <c r="L2560" s="30" t="str">
        <f>IF(H2560="","",IF($C$30="상세법",FPV(H2560,K2560),IF(H2560="EI",4,IF(H2560="EO",5.2,IF(H2560="EQ",3.9,IF(H2560="ILF",7.5,IF(H2560="EIF",5.4)))))))</f>
        <v/>
      </c>
      <c r="M2560" s="30" t="str">
        <f t="shared" si="275"/>
        <v/>
      </c>
      <c r="N2560" s="134"/>
      <c r="O2560" s="29"/>
      <c r="P2560" s="37" t="str">
        <f t="shared" si="276"/>
        <v/>
      </c>
      <c r="Q2560" s="38" t="str">
        <f t="shared" si="277"/>
        <v/>
      </c>
      <c r="R2560" s="37" t="str">
        <f t="shared" si="278"/>
        <v/>
      </c>
      <c r="S2560" s="37" t="str">
        <f t="shared" si="279"/>
        <v/>
      </c>
      <c r="T2560" s="38" t="str">
        <f t="shared" si="280"/>
        <v/>
      </c>
      <c r="U2560" s="37" t="str">
        <f t="shared" si="281"/>
        <v/>
      </c>
    </row>
    <row r="2561" spans="2:21" ht="17.25">
      <c r="B2561" s="156"/>
      <c r="C2561" s="156"/>
      <c r="D2561" s="157"/>
      <c r="E2561" s="155"/>
      <c r="F2561" s="151"/>
      <c r="G2561" s="152"/>
      <c r="H2561" s="153"/>
      <c r="I2561" s="154"/>
      <c r="J2561" s="154"/>
      <c r="K2561" s="30" t="str">
        <f>IF(H2561="","",IF($C$30="간이법","",FPR(H2561,I2561,J2561)))</f>
        <v/>
      </c>
      <c r="L2561" s="30" t="str">
        <f>IF(H2561="","",IF($C$30="상세법",FPV(H2561,K2561),IF(H2561="EI",4,IF(H2561="EO",5.2,IF(H2561="EQ",3.9,IF(H2561="ILF",7.5,IF(H2561="EIF",5.4)))))))</f>
        <v/>
      </c>
      <c r="M2561" s="30" t="str">
        <f t="shared" si="275"/>
        <v/>
      </c>
      <c r="N2561" s="134"/>
      <c r="O2561" s="29"/>
      <c r="P2561" s="37" t="str">
        <f t="shared" si="276"/>
        <v/>
      </c>
      <c r="Q2561" s="38" t="str">
        <f t="shared" si="277"/>
        <v/>
      </c>
      <c r="R2561" s="37" t="str">
        <f t="shared" si="278"/>
        <v/>
      </c>
      <c r="S2561" s="37" t="str">
        <f t="shared" si="279"/>
        <v/>
      </c>
      <c r="T2561" s="38" t="str">
        <f t="shared" si="280"/>
        <v/>
      </c>
      <c r="U2561" s="37" t="str">
        <f t="shared" si="281"/>
        <v/>
      </c>
    </row>
    <row r="2562" spans="2:21" ht="17.25">
      <c r="B2562" s="156"/>
      <c r="C2562" s="156"/>
      <c r="D2562" s="157"/>
      <c r="E2562" s="155"/>
      <c r="F2562" s="151"/>
      <c r="G2562" s="152"/>
      <c r="H2562" s="153"/>
      <c r="I2562" s="154"/>
      <c r="J2562" s="154"/>
      <c r="K2562" s="30" t="str">
        <f>IF(H2562="","",IF($C$30="간이법","",FPR(H2562,I2562,J2562)))</f>
        <v/>
      </c>
      <c r="L2562" s="30" t="str">
        <f>IF(H2562="","",IF($C$30="상세법",FPV(H2562,K2562),IF(H2562="EI",4,IF(H2562="EO",5.2,IF(H2562="EQ",3.9,IF(H2562="ILF",7.5,IF(H2562="EIF",5.4)))))))</f>
        <v/>
      </c>
      <c r="M2562" s="30" t="str">
        <f t="shared" si="275"/>
        <v/>
      </c>
      <c r="N2562" s="134"/>
      <c r="O2562" s="29"/>
      <c r="P2562" s="37" t="str">
        <f t="shared" si="276"/>
        <v/>
      </c>
      <c r="Q2562" s="38" t="str">
        <f t="shared" si="277"/>
        <v/>
      </c>
      <c r="R2562" s="37" t="str">
        <f t="shared" si="278"/>
        <v/>
      </c>
      <c r="S2562" s="37" t="str">
        <f t="shared" si="279"/>
        <v/>
      </c>
      <c r="T2562" s="38" t="str">
        <f t="shared" si="280"/>
        <v/>
      </c>
      <c r="U2562" s="37" t="str">
        <f t="shared" si="281"/>
        <v/>
      </c>
    </row>
    <row r="2563" spans="2:21" ht="17.25">
      <c r="B2563" s="156"/>
      <c r="C2563" s="156"/>
      <c r="D2563" s="157"/>
      <c r="E2563" s="155"/>
      <c r="F2563" s="151"/>
      <c r="G2563" s="152"/>
      <c r="H2563" s="153"/>
      <c r="I2563" s="154"/>
      <c r="J2563" s="154"/>
      <c r="K2563" s="30" t="str">
        <f>IF(H2563="","",IF($C$30="간이법","",FPR(H2563,I2563,J2563)))</f>
        <v/>
      </c>
      <c r="L2563" s="30" t="str">
        <f>IF(H2563="","",IF($C$30="상세법",FPV(H2563,K2563),IF(H2563="EI",4,IF(H2563="EO",5.2,IF(H2563="EQ",3.9,IF(H2563="ILF",7.5,IF(H2563="EIF",5.4)))))))</f>
        <v/>
      </c>
      <c r="M2563" s="30" t="str">
        <f t="shared" si="275"/>
        <v/>
      </c>
      <c r="N2563" s="134"/>
      <c r="O2563" s="29"/>
      <c r="P2563" s="37" t="str">
        <f t="shared" si="276"/>
        <v/>
      </c>
      <c r="Q2563" s="38" t="str">
        <f t="shared" si="277"/>
        <v/>
      </c>
      <c r="R2563" s="37" t="str">
        <f t="shared" si="278"/>
        <v/>
      </c>
      <c r="S2563" s="37" t="str">
        <f t="shared" si="279"/>
        <v/>
      </c>
      <c r="T2563" s="38" t="str">
        <f t="shared" si="280"/>
        <v/>
      </c>
      <c r="U2563" s="37" t="str">
        <f t="shared" si="281"/>
        <v/>
      </c>
    </row>
    <row r="2564" spans="2:21" ht="17.25">
      <c r="B2564" s="156"/>
      <c r="C2564" s="156"/>
      <c r="D2564" s="157"/>
      <c r="E2564" s="155"/>
      <c r="F2564" s="151"/>
      <c r="G2564" s="152"/>
      <c r="H2564" s="153"/>
      <c r="I2564" s="154"/>
      <c r="J2564" s="154"/>
      <c r="K2564" s="30" t="str">
        <f>IF(H2564="","",IF($C$30="간이법","",FPR(H2564,I2564,J2564)))</f>
        <v/>
      </c>
      <c r="L2564" s="30" t="str">
        <f>IF(H2564="","",IF($C$30="상세법",FPV(H2564,K2564),IF(H2564="EI",4,IF(H2564="EO",5.2,IF(H2564="EQ",3.9,IF(H2564="ILF",7.5,IF(H2564="EIF",5.4)))))))</f>
        <v/>
      </c>
      <c r="M2564" s="30" t="str">
        <f t="shared" si="275"/>
        <v/>
      </c>
      <c r="N2564" s="134"/>
      <c r="O2564" s="29"/>
      <c r="P2564" s="37" t="str">
        <f t="shared" si="276"/>
        <v/>
      </c>
      <c r="Q2564" s="38" t="str">
        <f t="shared" si="277"/>
        <v/>
      </c>
      <c r="R2564" s="37" t="str">
        <f t="shared" si="278"/>
        <v/>
      </c>
      <c r="S2564" s="37" t="str">
        <f t="shared" si="279"/>
        <v/>
      </c>
      <c r="T2564" s="38" t="str">
        <f t="shared" si="280"/>
        <v/>
      </c>
      <c r="U2564" s="37" t="str">
        <f t="shared" si="281"/>
        <v/>
      </c>
    </row>
    <row r="2565" spans="2:21" ht="17.25">
      <c r="B2565" s="156"/>
      <c r="C2565" s="156"/>
      <c r="D2565" s="157"/>
      <c r="E2565" s="155"/>
      <c r="F2565" s="151"/>
      <c r="G2565" s="152"/>
      <c r="H2565" s="153"/>
      <c r="I2565" s="154"/>
      <c r="J2565" s="154"/>
      <c r="K2565" s="30" t="str">
        <f>IF(H2565="","",IF($C$30="간이법","",FPR(H2565,I2565,J2565)))</f>
        <v/>
      </c>
      <c r="L2565" s="30" t="str">
        <f>IF(H2565="","",IF($C$30="상세법",FPV(H2565,K2565),IF(H2565="EI",4,IF(H2565="EO",5.2,IF(H2565="EQ",3.9,IF(H2565="ILF",7.5,IF(H2565="EIF",5.4)))))))</f>
        <v/>
      </c>
      <c r="M2565" s="30" t="str">
        <f t="shared" si="275"/>
        <v/>
      </c>
      <c r="N2565" s="134"/>
      <c r="O2565" s="29"/>
      <c r="P2565" s="37" t="str">
        <f t="shared" si="276"/>
        <v/>
      </c>
      <c r="Q2565" s="38" t="str">
        <f t="shared" si="277"/>
        <v/>
      </c>
      <c r="R2565" s="37" t="str">
        <f t="shared" si="278"/>
        <v/>
      </c>
      <c r="S2565" s="37" t="str">
        <f t="shared" si="279"/>
        <v/>
      </c>
      <c r="T2565" s="38" t="str">
        <f t="shared" si="280"/>
        <v/>
      </c>
      <c r="U2565" s="37" t="str">
        <f t="shared" si="281"/>
        <v/>
      </c>
    </row>
    <row r="2566" spans="2:21" ht="17.25">
      <c r="B2566" s="156"/>
      <c r="C2566" s="156"/>
      <c r="D2566" s="157"/>
      <c r="E2566" s="155"/>
      <c r="F2566" s="151"/>
      <c r="G2566" s="152"/>
      <c r="H2566" s="153"/>
      <c r="I2566" s="154"/>
      <c r="J2566" s="154"/>
      <c r="K2566" s="30" t="str">
        <f>IF(H2566="","",IF($C$30="간이법","",FPR(H2566,I2566,J2566)))</f>
        <v/>
      </c>
      <c r="L2566" s="30" t="str">
        <f>IF(H2566="","",IF($C$30="상세법",FPV(H2566,K2566),IF(H2566="EI",4,IF(H2566="EO",5.2,IF(H2566="EQ",3.9,IF(H2566="ILF",7.5,IF(H2566="EIF",5.4)))))))</f>
        <v/>
      </c>
      <c r="M2566" s="30" t="str">
        <f t="shared" si="275"/>
        <v/>
      </c>
      <c r="N2566" s="134"/>
      <c r="O2566" s="29"/>
      <c r="P2566" s="37" t="str">
        <f t="shared" si="276"/>
        <v/>
      </c>
      <c r="Q2566" s="38" t="str">
        <f t="shared" si="277"/>
        <v/>
      </c>
      <c r="R2566" s="37" t="str">
        <f t="shared" si="278"/>
        <v/>
      </c>
      <c r="S2566" s="37" t="str">
        <f t="shared" si="279"/>
        <v/>
      </c>
      <c r="T2566" s="38" t="str">
        <f t="shared" si="280"/>
        <v/>
      </c>
      <c r="U2566" s="37" t="str">
        <f t="shared" si="281"/>
        <v/>
      </c>
    </row>
    <row r="2567" spans="2:21" ht="17.25">
      <c r="B2567" s="156"/>
      <c r="C2567" s="156"/>
      <c r="D2567" s="157"/>
      <c r="E2567" s="155"/>
      <c r="F2567" s="151"/>
      <c r="G2567" s="152"/>
      <c r="H2567" s="153"/>
      <c r="I2567" s="154"/>
      <c r="J2567" s="154"/>
      <c r="K2567" s="30" t="str">
        <f>IF(H2567="","",IF($C$30="간이법","",FPR(H2567,I2567,J2567)))</f>
        <v/>
      </c>
      <c r="L2567" s="30" t="str">
        <f>IF(H2567="","",IF($C$30="상세법",FPV(H2567,K2567),IF(H2567="EI",4,IF(H2567="EO",5.2,IF(H2567="EQ",3.9,IF(H2567="ILF",7.5,IF(H2567="EIF",5.4)))))))</f>
        <v/>
      </c>
      <c r="M2567" s="30" t="str">
        <f t="shared" si="275"/>
        <v/>
      </c>
      <c r="N2567" s="134"/>
      <c r="O2567" s="29"/>
      <c r="P2567" s="37" t="str">
        <f t="shared" si="276"/>
        <v/>
      </c>
      <c r="Q2567" s="38" t="str">
        <f t="shared" si="277"/>
        <v/>
      </c>
      <c r="R2567" s="37" t="str">
        <f t="shared" si="278"/>
        <v/>
      </c>
      <c r="S2567" s="37" t="str">
        <f t="shared" si="279"/>
        <v/>
      </c>
      <c r="T2567" s="38" t="str">
        <f t="shared" si="280"/>
        <v/>
      </c>
      <c r="U2567" s="37" t="str">
        <f t="shared" si="281"/>
        <v/>
      </c>
    </row>
    <row r="2568" spans="2:21" ht="17.25">
      <c r="B2568" s="156"/>
      <c r="C2568" s="156"/>
      <c r="D2568" s="157"/>
      <c r="E2568" s="155"/>
      <c r="F2568" s="151"/>
      <c r="G2568" s="152"/>
      <c r="H2568" s="153"/>
      <c r="I2568" s="154"/>
      <c r="J2568" s="154"/>
      <c r="K2568" s="30" t="str">
        <f>IF(H2568="","",IF($C$30="간이법","",FPR(H2568,I2568,J2568)))</f>
        <v/>
      </c>
      <c r="L2568" s="30" t="str">
        <f>IF(H2568="","",IF($C$30="상세법",FPV(H2568,K2568),IF(H2568="EI",4,IF(H2568="EO",5.2,IF(H2568="EQ",3.9,IF(H2568="ILF",7.5,IF(H2568="EIF",5.4)))))))</f>
        <v/>
      </c>
      <c r="M2568" s="30" t="str">
        <f t="shared" si="275"/>
        <v/>
      </c>
      <c r="N2568" s="134"/>
      <c r="O2568" s="29"/>
      <c r="P2568" s="37" t="str">
        <f t="shared" si="276"/>
        <v/>
      </c>
      <c r="Q2568" s="38" t="str">
        <f t="shared" si="277"/>
        <v/>
      </c>
      <c r="R2568" s="37" t="str">
        <f t="shared" si="278"/>
        <v/>
      </c>
      <c r="S2568" s="37" t="str">
        <f t="shared" si="279"/>
        <v/>
      </c>
      <c r="T2568" s="38" t="str">
        <f t="shared" si="280"/>
        <v/>
      </c>
      <c r="U2568" s="37" t="str">
        <f t="shared" si="281"/>
        <v/>
      </c>
    </row>
    <row r="2569" spans="2:21" ht="17.25">
      <c r="B2569" s="156"/>
      <c r="C2569" s="156"/>
      <c r="D2569" s="157"/>
      <c r="E2569" s="155"/>
      <c r="F2569" s="151"/>
      <c r="G2569" s="152"/>
      <c r="H2569" s="153"/>
      <c r="I2569" s="154"/>
      <c r="J2569" s="154"/>
      <c r="K2569" s="30" t="str">
        <f>IF(H2569="","",IF($C$30="간이법","",FPR(H2569,I2569,J2569)))</f>
        <v/>
      </c>
      <c r="L2569" s="30" t="str">
        <f>IF(H2569="","",IF($C$30="상세법",FPV(H2569,K2569),IF(H2569="EI",4,IF(H2569="EO",5.2,IF(H2569="EQ",3.9,IF(H2569="ILF",7.5,IF(H2569="EIF",5.4)))))))</f>
        <v/>
      </c>
      <c r="M2569" s="30" t="str">
        <f t="shared" si="275"/>
        <v/>
      </c>
      <c r="N2569" s="134"/>
      <c r="O2569" s="29"/>
      <c r="P2569" s="37" t="str">
        <f t="shared" si="276"/>
        <v/>
      </c>
      <c r="Q2569" s="38" t="str">
        <f t="shared" si="277"/>
        <v/>
      </c>
      <c r="R2569" s="37" t="str">
        <f t="shared" si="278"/>
        <v/>
      </c>
      <c r="S2569" s="37" t="str">
        <f t="shared" si="279"/>
        <v/>
      </c>
      <c r="T2569" s="38" t="str">
        <f t="shared" si="280"/>
        <v/>
      </c>
      <c r="U2569" s="37" t="str">
        <f t="shared" si="281"/>
        <v/>
      </c>
    </row>
    <row r="2570" spans="2:21" ht="17.25">
      <c r="B2570" s="156"/>
      <c r="C2570" s="156"/>
      <c r="D2570" s="157"/>
      <c r="E2570" s="155"/>
      <c r="F2570" s="151"/>
      <c r="G2570" s="152"/>
      <c r="H2570" s="153"/>
      <c r="I2570" s="154"/>
      <c r="J2570" s="154"/>
      <c r="K2570" s="30" t="str">
        <f>IF(H2570="","",IF($C$30="간이법","",FPR(H2570,I2570,J2570)))</f>
        <v/>
      </c>
      <c r="L2570" s="30" t="str">
        <f>IF(H2570="","",IF($C$30="상세법",FPV(H2570,K2570),IF(H2570="EI",4,IF(H2570="EO",5.2,IF(H2570="EQ",3.9,IF(H2570="ILF",7.5,IF(H2570="EIF",5.4)))))))</f>
        <v/>
      </c>
      <c r="M2570" s="30" t="str">
        <f t="shared" si="275"/>
        <v/>
      </c>
      <c r="N2570" s="134"/>
      <c r="O2570" s="29"/>
      <c r="P2570" s="37" t="str">
        <f t="shared" si="276"/>
        <v/>
      </c>
      <c r="Q2570" s="38" t="str">
        <f t="shared" si="277"/>
        <v/>
      </c>
      <c r="R2570" s="37" t="str">
        <f t="shared" si="278"/>
        <v/>
      </c>
      <c r="S2570" s="37" t="str">
        <f t="shared" si="279"/>
        <v/>
      </c>
      <c r="T2570" s="38" t="str">
        <f t="shared" si="280"/>
        <v/>
      </c>
      <c r="U2570" s="37" t="str">
        <f t="shared" si="281"/>
        <v/>
      </c>
    </row>
    <row r="2571" spans="2:21" ht="17.25">
      <c r="B2571" s="156"/>
      <c r="C2571" s="156"/>
      <c r="D2571" s="157"/>
      <c r="E2571" s="155"/>
      <c r="F2571" s="151"/>
      <c r="G2571" s="152"/>
      <c r="H2571" s="153"/>
      <c r="I2571" s="154"/>
      <c r="J2571" s="154"/>
      <c r="K2571" s="30" t="str">
        <f>IF(H2571="","",IF($C$30="간이법","",FPR(H2571,I2571,J2571)))</f>
        <v/>
      </c>
      <c r="L2571" s="30" t="str">
        <f>IF(H2571="","",IF($C$30="상세법",FPV(H2571,K2571),IF(H2571="EI",4,IF(H2571="EO",5.2,IF(H2571="EQ",3.9,IF(H2571="ILF",7.5,IF(H2571="EIF",5.4)))))))</f>
        <v/>
      </c>
      <c r="M2571" s="30" t="str">
        <f t="shared" si="275"/>
        <v/>
      </c>
      <c r="N2571" s="134"/>
      <c r="O2571" s="29"/>
      <c r="P2571" s="37" t="str">
        <f t="shared" si="276"/>
        <v/>
      </c>
      <c r="Q2571" s="38" t="str">
        <f t="shared" si="277"/>
        <v/>
      </c>
      <c r="R2571" s="37" t="str">
        <f t="shared" si="278"/>
        <v/>
      </c>
      <c r="S2571" s="37" t="str">
        <f t="shared" si="279"/>
        <v/>
      </c>
      <c r="T2571" s="38" t="str">
        <f t="shared" si="280"/>
        <v/>
      </c>
      <c r="U2571" s="37" t="str">
        <f t="shared" si="281"/>
        <v/>
      </c>
    </row>
    <row r="2572" spans="2:21" ht="17.25">
      <c r="B2572" s="156"/>
      <c r="C2572" s="156"/>
      <c r="D2572" s="157"/>
      <c r="E2572" s="155"/>
      <c r="F2572" s="151"/>
      <c r="G2572" s="152"/>
      <c r="H2572" s="153"/>
      <c r="I2572" s="154"/>
      <c r="J2572" s="154"/>
      <c r="K2572" s="30" t="str">
        <f>IF(H2572="","",IF($C$30="간이법","",FPR(H2572,I2572,J2572)))</f>
        <v/>
      </c>
      <c r="L2572" s="30" t="str">
        <f>IF(H2572="","",IF($C$30="상세법",FPV(H2572,K2572),IF(H2572="EI",4,IF(H2572="EO",5.2,IF(H2572="EQ",3.9,IF(H2572="ILF",7.5,IF(H2572="EIF",5.4)))))))</f>
        <v/>
      </c>
      <c r="M2572" s="30" t="str">
        <f t="shared" si="275"/>
        <v/>
      </c>
      <c r="N2572" s="134"/>
      <c r="O2572" s="29"/>
      <c r="P2572" s="37" t="str">
        <f t="shared" si="276"/>
        <v/>
      </c>
      <c r="Q2572" s="38" t="str">
        <f t="shared" si="277"/>
        <v/>
      </c>
      <c r="R2572" s="37" t="str">
        <f t="shared" si="278"/>
        <v/>
      </c>
      <c r="S2572" s="37" t="str">
        <f t="shared" si="279"/>
        <v/>
      </c>
      <c r="T2572" s="38" t="str">
        <f t="shared" si="280"/>
        <v/>
      </c>
      <c r="U2572" s="37" t="str">
        <f t="shared" si="281"/>
        <v/>
      </c>
    </row>
    <row r="2573" spans="2:21" ht="17.25">
      <c r="B2573" s="156"/>
      <c r="C2573" s="156"/>
      <c r="D2573" s="157"/>
      <c r="E2573" s="155"/>
      <c r="F2573" s="151"/>
      <c r="G2573" s="152"/>
      <c r="H2573" s="153"/>
      <c r="I2573" s="154"/>
      <c r="J2573" s="154"/>
      <c r="K2573" s="30" t="str">
        <f>IF(H2573="","",IF($C$30="간이법","",FPR(H2573,I2573,J2573)))</f>
        <v/>
      </c>
      <c r="L2573" s="30" t="str">
        <f>IF(H2573="","",IF($C$30="상세법",FPV(H2573,K2573),IF(H2573="EI",4,IF(H2573="EO",5.2,IF(H2573="EQ",3.9,IF(H2573="ILF",7.5,IF(H2573="EIF",5.4)))))))</f>
        <v/>
      </c>
      <c r="M2573" s="30" t="str">
        <f t="shared" si="275"/>
        <v/>
      </c>
      <c r="N2573" s="134"/>
      <c r="O2573" s="29"/>
      <c r="P2573" s="37" t="str">
        <f t="shared" si="276"/>
        <v/>
      </c>
      <c r="Q2573" s="38" t="str">
        <f t="shared" si="277"/>
        <v/>
      </c>
      <c r="R2573" s="37" t="str">
        <f t="shared" si="278"/>
        <v/>
      </c>
      <c r="S2573" s="37" t="str">
        <f t="shared" si="279"/>
        <v/>
      </c>
      <c r="T2573" s="38" t="str">
        <f t="shared" si="280"/>
        <v/>
      </c>
      <c r="U2573" s="37" t="str">
        <f t="shared" si="281"/>
        <v/>
      </c>
    </row>
    <row r="2574" spans="2:21" ht="17.25">
      <c r="B2574" s="156"/>
      <c r="C2574" s="156"/>
      <c r="D2574" s="157"/>
      <c r="E2574" s="155"/>
      <c r="F2574" s="151"/>
      <c r="G2574" s="152"/>
      <c r="H2574" s="153"/>
      <c r="I2574" s="154"/>
      <c r="J2574" s="154"/>
      <c r="K2574" s="30" t="str">
        <f>IF(H2574="","",IF($C$30="간이법","",FPR(H2574,I2574,J2574)))</f>
        <v/>
      </c>
      <c r="L2574" s="30" t="str">
        <f>IF(H2574="","",IF($C$30="상세법",FPV(H2574,K2574),IF(H2574="EI",4,IF(H2574="EO",5.2,IF(H2574="EQ",3.9,IF(H2574="ILF",7.5,IF(H2574="EIF",5.4)))))))</f>
        <v/>
      </c>
      <c r="M2574" s="30" t="str">
        <f t="shared" si="275"/>
        <v/>
      </c>
      <c r="N2574" s="134"/>
      <c r="O2574" s="29"/>
      <c r="P2574" s="37" t="str">
        <f t="shared" si="276"/>
        <v/>
      </c>
      <c r="Q2574" s="38" t="str">
        <f t="shared" si="277"/>
        <v/>
      </c>
      <c r="R2574" s="37" t="str">
        <f t="shared" si="278"/>
        <v/>
      </c>
      <c r="S2574" s="37" t="str">
        <f t="shared" si="279"/>
        <v/>
      </c>
      <c r="T2574" s="38" t="str">
        <f t="shared" si="280"/>
        <v/>
      </c>
      <c r="U2574" s="37" t="str">
        <f t="shared" si="281"/>
        <v/>
      </c>
    </row>
    <row r="2575" spans="2:21" ht="17.25">
      <c r="B2575" s="156"/>
      <c r="C2575" s="156"/>
      <c r="D2575" s="157"/>
      <c r="E2575" s="155"/>
      <c r="F2575" s="151"/>
      <c r="G2575" s="152"/>
      <c r="H2575" s="153"/>
      <c r="I2575" s="154"/>
      <c r="J2575" s="154"/>
      <c r="K2575" s="30" t="str">
        <f>IF(H2575="","",IF($C$30="간이법","",FPR(H2575,I2575,J2575)))</f>
        <v/>
      </c>
      <c r="L2575" s="30" t="str">
        <f>IF(H2575="","",IF($C$30="상세법",FPV(H2575,K2575),IF(H2575="EI",4,IF(H2575="EO",5.2,IF(H2575="EQ",3.9,IF(H2575="ILF",7.5,IF(H2575="EIF",5.4)))))))</f>
        <v/>
      </c>
      <c r="M2575" s="30" t="str">
        <f t="shared" si="275"/>
        <v/>
      </c>
      <c r="N2575" s="134"/>
      <c r="O2575" s="29"/>
      <c r="P2575" s="37" t="str">
        <f t="shared" si="276"/>
        <v/>
      </c>
      <c r="Q2575" s="38" t="str">
        <f t="shared" si="277"/>
        <v/>
      </c>
      <c r="R2575" s="37" t="str">
        <f t="shared" si="278"/>
        <v/>
      </c>
      <c r="S2575" s="37" t="str">
        <f t="shared" si="279"/>
        <v/>
      </c>
      <c r="T2575" s="38" t="str">
        <f t="shared" si="280"/>
        <v/>
      </c>
      <c r="U2575" s="37" t="str">
        <f t="shared" si="281"/>
        <v/>
      </c>
    </row>
    <row r="2576" spans="2:21" ht="17.25">
      <c r="B2576" s="156"/>
      <c r="C2576" s="156"/>
      <c r="D2576" s="157"/>
      <c r="E2576" s="155"/>
      <c r="F2576" s="151"/>
      <c r="G2576" s="152"/>
      <c r="H2576" s="153"/>
      <c r="I2576" s="154"/>
      <c r="J2576" s="154"/>
      <c r="K2576" s="30" t="str">
        <f>IF(H2576="","",IF($C$30="간이법","",FPR(H2576,I2576,J2576)))</f>
        <v/>
      </c>
      <c r="L2576" s="30" t="str">
        <f>IF(H2576="","",IF($C$30="상세법",FPV(H2576,K2576),IF(H2576="EI",4,IF(H2576="EO",5.2,IF(H2576="EQ",3.9,IF(H2576="ILF",7.5,IF(H2576="EIF",5.4)))))))</f>
        <v/>
      </c>
      <c r="M2576" s="30" t="str">
        <f t="shared" si="275"/>
        <v/>
      </c>
      <c r="N2576" s="134"/>
      <c r="O2576" s="29"/>
      <c r="P2576" s="37" t="str">
        <f t="shared" si="276"/>
        <v/>
      </c>
      <c r="Q2576" s="38" t="str">
        <f t="shared" si="277"/>
        <v/>
      </c>
      <c r="R2576" s="37" t="str">
        <f t="shared" si="278"/>
        <v/>
      </c>
      <c r="S2576" s="37" t="str">
        <f t="shared" si="279"/>
        <v/>
      </c>
      <c r="T2576" s="38" t="str">
        <f t="shared" si="280"/>
        <v/>
      </c>
      <c r="U2576" s="37" t="str">
        <f t="shared" si="281"/>
        <v/>
      </c>
    </row>
    <row r="2577" spans="2:21" ht="17.25">
      <c r="B2577" s="156"/>
      <c r="C2577" s="156"/>
      <c r="D2577" s="157"/>
      <c r="E2577" s="155"/>
      <c r="F2577" s="151"/>
      <c r="G2577" s="152"/>
      <c r="H2577" s="153"/>
      <c r="I2577" s="154"/>
      <c r="J2577" s="154"/>
      <c r="K2577" s="30" t="str">
        <f>IF(H2577="","",IF($C$30="간이법","",FPR(H2577,I2577,J2577)))</f>
        <v/>
      </c>
      <c r="L2577" s="30" t="str">
        <f>IF(H2577="","",IF($C$30="상세법",FPV(H2577,K2577),IF(H2577="EI",4,IF(H2577="EO",5.2,IF(H2577="EQ",3.9,IF(H2577="ILF",7.5,IF(H2577="EIF",5.4)))))))</f>
        <v/>
      </c>
      <c r="M2577" s="30" t="str">
        <f t="shared" si="275"/>
        <v/>
      </c>
      <c r="N2577" s="134"/>
      <c r="O2577" s="29"/>
      <c r="P2577" s="37" t="str">
        <f t="shared" si="276"/>
        <v/>
      </c>
      <c r="Q2577" s="38" t="str">
        <f t="shared" si="277"/>
        <v/>
      </c>
      <c r="R2577" s="37" t="str">
        <f t="shared" si="278"/>
        <v/>
      </c>
      <c r="S2577" s="37" t="str">
        <f t="shared" si="279"/>
        <v/>
      </c>
      <c r="T2577" s="38" t="str">
        <f t="shared" si="280"/>
        <v/>
      </c>
      <c r="U2577" s="37" t="str">
        <f t="shared" si="281"/>
        <v/>
      </c>
    </row>
    <row r="2578" spans="2:21" ht="17.25">
      <c r="B2578" s="156"/>
      <c r="C2578" s="156"/>
      <c r="D2578" s="157"/>
      <c r="E2578" s="155"/>
      <c r="F2578" s="151"/>
      <c r="G2578" s="152"/>
      <c r="H2578" s="153"/>
      <c r="I2578" s="154"/>
      <c r="J2578" s="154"/>
      <c r="K2578" s="30" t="str">
        <f>IF(H2578="","",IF($C$30="간이법","",FPR(H2578,I2578,J2578)))</f>
        <v/>
      </c>
      <c r="L2578" s="30" t="str">
        <f>IF(H2578="","",IF($C$30="상세법",FPV(H2578,K2578),IF(H2578="EI",4,IF(H2578="EO",5.2,IF(H2578="EQ",3.9,IF(H2578="ILF",7.5,IF(H2578="EIF",5.4)))))))</f>
        <v/>
      </c>
      <c r="M2578" s="30" t="str">
        <f t="shared" si="275"/>
        <v/>
      </c>
      <c r="N2578" s="134"/>
      <c r="O2578" s="29"/>
      <c r="P2578" s="37" t="str">
        <f t="shared" si="276"/>
        <v/>
      </c>
      <c r="Q2578" s="38" t="str">
        <f t="shared" si="277"/>
        <v/>
      </c>
      <c r="R2578" s="37" t="str">
        <f t="shared" si="278"/>
        <v/>
      </c>
      <c r="S2578" s="37" t="str">
        <f t="shared" si="279"/>
        <v/>
      </c>
      <c r="T2578" s="38" t="str">
        <f t="shared" si="280"/>
        <v/>
      </c>
      <c r="U2578" s="37" t="str">
        <f t="shared" si="281"/>
        <v/>
      </c>
    </row>
    <row r="2579" spans="2:21" ht="17.25">
      <c r="B2579" s="156"/>
      <c r="C2579" s="156"/>
      <c r="D2579" s="157"/>
      <c r="E2579" s="155"/>
      <c r="F2579" s="151"/>
      <c r="G2579" s="152"/>
      <c r="H2579" s="153"/>
      <c r="I2579" s="154"/>
      <c r="J2579" s="154"/>
      <c r="K2579" s="30" t="str">
        <f>IF(H2579="","",IF($C$30="간이법","",FPR(H2579,I2579,J2579)))</f>
        <v/>
      </c>
      <c r="L2579" s="30" t="str">
        <f>IF(H2579="","",IF($C$30="상세법",FPV(H2579,K2579),IF(H2579="EI",4,IF(H2579="EO",5.2,IF(H2579="EQ",3.9,IF(H2579="ILF",7.5,IF(H2579="EIF",5.4)))))))</f>
        <v/>
      </c>
      <c r="M2579" s="30" t="str">
        <f t="shared" si="275"/>
        <v/>
      </c>
      <c r="N2579" s="134"/>
      <c r="O2579" s="29"/>
      <c r="P2579" s="37" t="str">
        <f t="shared" si="276"/>
        <v/>
      </c>
      <c r="Q2579" s="38" t="str">
        <f t="shared" si="277"/>
        <v/>
      </c>
      <c r="R2579" s="37" t="str">
        <f t="shared" si="278"/>
        <v/>
      </c>
      <c r="S2579" s="37" t="str">
        <f t="shared" si="279"/>
        <v/>
      </c>
      <c r="T2579" s="38" t="str">
        <f t="shared" si="280"/>
        <v/>
      </c>
      <c r="U2579" s="37" t="str">
        <f t="shared" si="281"/>
        <v/>
      </c>
    </row>
    <row r="2580" spans="2:21" ht="17.25">
      <c r="B2580" s="156"/>
      <c r="C2580" s="156"/>
      <c r="D2580" s="157"/>
      <c r="E2580" s="155"/>
      <c r="F2580" s="151"/>
      <c r="G2580" s="152"/>
      <c r="H2580" s="153"/>
      <c r="I2580" s="154"/>
      <c r="J2580" s="154"/>
      <c r="K2580" s="30" t="str">
        <f>IF(H2580="","",IF($C$30="간이법","",FPR(H2580,I2580,J2580)))</f>
        <v/>
      </c>
      <c r="L2580" s="30" t="str">
        <f>IF(H2580="","",IF($C$30="상세법",FPV(H2580,K2580),IF(H2580="EI",4,IF(H2580="EO",5.2,IF(H2580="EQ",3.9,IF(H2580="ILF",7.5,IF(H2580="EIF",5.4)))))))</f>
        <v/>
      </c>
      <c r="M2580" s="30" t="str">
        <f t="shared" si="275"/>
        <v/>
      </c>
      <c r="N2580" s="134"/>
      <c r="O2580" s="29"/>
      <c r="P2580" s="37" t="str">
        <f t="shared" si="276"/>
        <v/>
      </c>
      <c r="Q2580" s="38" t="str">
        <f t="shared" si="277"/>
        <v/>
      </c>
      <c r="R2580" s="37" t="str">
        <f t="shared" si="278"/>
        <v/>
      </c>
      <c r="S2580" s="37" t="str">
        <f t="shared" si="279"/>
        <v/>
      </c>
      <c r="T2580" s="38" t="str">
        <f t="shared" si="280"/>
        <v/>
      </c>
      <c r="U2580" s="37" t="str">
        <f t="shared" si="281"/>
        <v/>
      </c>
    </row>
    <row r="2581" spans="2:21" ht="17.25">
      <c r="B2581" s="156"/>
      <c r="C2581" s="156"/>
      <c r="D2581" s="157"/>
      <c r="E2581" s="155"/>
      <c r="F2581" s="151"/>
      <c r="G2581" s="152"/>
      <c r="H2581" s="153"/>
      <c r="I2581" s="154"/>
      <c r="J2581" s="154"/>
      <c r="K2581" s="30" t="str">
        <f>IF(H2581="","",IF($C$30="간이법","",FPR(H2581,I2581,J2581)))</f>
        <v/>
      </c>
      <c r="L2581" s="30" t="str">
        <f>IF(H2581="","",IF($C$30="상세법",FPV(H2581,K2581),IF(H2581="EI",4,IF(H2581="EO",5.2,IF(H2581="EQ",3.9,IF(H2581="ILF",7.5,IF(H2581="EIF",5.4)))))))</f>
        <v/>
      </c>
      <c r="M2581" s="30" t="str">
        <f t="shared" si="275"/>
        <v/>
      </c>
      <c r="N2581" s="134"/>
      <c r="O2581" s="29"/>
      <c r="P2581" s="37" t="str">
        <f t="shared" si="276"/>
        <v/>
      </c>
      <c r="Q2581" s="38" t="str">
        <f t="shared" si="277"/>
        <v/>
      </c>
      <c r="R2581" s="37" t="str">
        <f t="shared" si="278"/>
        <v/>
      </c>
      <c r="S2581" s="37" t="str">
        <f t="shared" si="279"/>
        <v/>
      </c>
      <c r="T2581" s="38" t="str">
        <f t="shared" si="280"/>
        <v/>
      </c>
      <c r="U2581" s="37" t="str">
        <f t="shared" si="281"/>
        <v/>
      </c>
    </row>
    <row r="2582" spans="2:21" ht="17.25">
      <c r="B2582" s="156"/>
      <c r="C2582" s="156"/>
      <c r="D2582" s="157"/>
      <c r="E2582" s="155"/>
      <c r="F2582" s="151"/>
      <c r="G2582" s="152"/>
      <c r="H2582" s="153"/>
      <c r="I2582" s="154"/>
      <c r="J2582" s="154"/>
      <c r="K2582" s="30" t="str">
        <f>IF(H2582="","",IF($C$30="간이법","",FPR(H2582,I2582,J2582)))</f>
        <v/>
      </c>
      <c r="L2582" s="30" t="str">
        <f>IF(H2582="","",IF($C$30="상세법",FPV(H2582,K2582),IF(H2582="EI",4,IF(H2582="EO",5.2,IF(H2582="EQ",3.9,IF(H2582="ILF",7.5,IF(H2582="EIF",5.4)))))))</f>
        <v/>
      </c>
      <c r="M2582" s="30" t="str">
        <f t="shared" si="275"/>
        <v/>
      </c>
      <c r="N2582" s="134"/>
      <c r="O2582" s="29"/>
      <c r="P2582" s="37" t="str">
        <f t="shared" si="276"/>
        <v/>
      </c>
      <c r="Q2582" s="38" t="str">
        <f t="shared" si="277"/>
        <v/>
      </c>
      <c r="R2582" s="37" t="str">
        <f t="shared" si="278"/>
        <v/>
      </c>
      <c r="S2582" s="37" t="str">
        <f t="shared" si="279"/>
        <v/>
      </c>
      <c r="T2582" s="38" t="str">
        <f t="shared" si="280"/>
        <v/>
      </c>
      <c r="U2582" s="37" t="str">
        <f t="shared" si="281"/>
        <v/>
      </c>
    </row>
    <row r="2583" spans="2:21" ht="17.25">
      <c r="B2583" s="156"/>
      <c r="C2583" s="156"/>
      <c r="D2583" s="157"/>
      <c r="E2583" s="155"/>
      <c r="F2583" s="151"/>
      <c r="G2583" s="152"/>
      <c r="H2583" s="153"/>
      <c r="I2583" s="154"/>
      <c r="J2583" s="154"/>
      <c r="K2583" s="30" t="str">
        <f>IF(H2583="","",IF($C$30="간이법","",FPR(H2583,I2583,J2583)))</f>
        <v/>
      </c>
      <c r="L2583" s="30" t="str">
        <f>IF(H2583="","",IF($C$30="상세법",FPV(H2583,K2583),IF(H2583="EI",4,IF(H2583="EO",5.2,IF(H2583="EQ",3.9,IF(H2583="ILF",7.5,IF(H2583="EIF",5.4)))))))</f>
        <v/>
      </c>
      <c r="M2583" s="30" t="str">
        <f t="shared" si="275"/>
        <v/>
      </c>
      <c r="N2583" s="134"/>
      <c r="O2583" s="29"/>
      <c r="P2583" s="37" t="str">
        <f t="shared" si="276"/>
        <v/>
      </c>
      <c r="Q2583" s="38" t="str">
        <f t="shared" si="277"/>
        <v/>
      </c>
      <c r="R2583" s="37" t="str">
        <f t="shared" si="278"/>
        <v/>
      </c>
      <c r="S2583" s="37" t="str">
        <f t="shared" si="279"/>
        <v/>
      </c>
      <c r="T2583" s="38" t="str">
        <f t="shared" si="280"/>
        <v/>
      </c>
      <c r="U2583" s="37" t="str">
        <f t="shared" si="281"/>
        <v/>
      </c>
    </row>
    <row r="2584" spans="2:21" ht="17.25">
      <c r="B2584" s="156"/>
      <c r="C2584" s="156"/>
      <c r="D2584" s="157"/>
      <c r="E2584" s="155"/>
      <c r="F2584" s="151"/>
      <c r="G2584" s="152"/>
      <c r="H2584" s="153"/>
      <c r="I2584" s="154"/>
      <c r="J2584" s="154"/>
      <c r="K2584" s="30" t="str">
        <f>IF(H2584="","",IF($C$30="간이법","",FPR(H2584,I2584,J2584)))</f>
        <v/>
      </c>
      <c r="L2584" s="30" t="str">
        <f>IF(H2584="","",IF($C$30="상세법",FPV(H2584,K2584),IF(H2584="EI",4,IF(H2584="EO",5.2,IF(H2584="EQ",3.9,IF(H2584="ILF",7.5,IF(H2584="EIF",5.4)))))))</f>
        <v/>
      </c>
      <c r="M2584" s="30" t="str">
        <f t="shared" si="275"/>
        <v/>
      </c>
      <c r="N2584" s="134"/>
      <c r="O2584" s="29"/>
      <c r="P2584" s="37" t="str">
        <f t="shared" si="276"/>
        <v/>
      </c>
      <c r="Q2584" s="38" t="str">
        <f t="shared" si="277"/>
        <v/>
      </c>
      <c r="R2584" s="37" t="str">
        <f t="shared" si="278"/>
        <v/>
      </c>
      <c r="S2584" s="37" t="str">
        <f t="shared" si="279"/>
        <v/>
      </c>
      <c r="T2584" s="38" t="str">
        <f t="shared" si="280"/>
        <v/>
      </c>
      <c r="U2584" s="37" t="str">
        <f t="shared" si="281"/>
        <v/>
      </c>
    </row>
    <row r="2585" spans="2:21" ht="17.25">
      <c r="B2585" s="156"/>
      <c r="C2585" s="156"/>
      <c r="D2585" s="157"/>
      <c r="E2585" s="155"/>
      <c r="F2585" s="151"/>
      <c r="G2585" s="152"/>
      <c r="H2585" s="153"/>
      <c r="I2585" s="154"/>
      <c r="J2585" s="154"/>
      <c r="K2585" s="30" t="str">
        <f>IF(H2585="","",IF($C$30="간이법","",FPR(H2585,I2585,J2585)))</f>
        <v/>
      </c>
      <c r="L2585" s="30" t="str">
        <f>IF(H2585="","",IF($C$30="상세법",FPV(H2585,K2585),IF(H2585="EI",4,IF(H2585="EO",5.2,IF(H2585="EQ",3.9,IF(H2585="ILF",7.5,IF(H2585="EIF",5.4)))))))</f>
        <v/>
      </c>
      <c r="M2585" s="30" t="str">
        <f t="shared" si="275"/>
        <v/>
      </c>
      <c r="N2585" s="134"/>
      <c r="O2585" s="29"/>
      <c r="P2585" s="37" t="str">
        <f t="shared" si="276"/>
        <v/>
      </c>
      <c r="Q2585" s="38" t="str">
        <f t="shared" si="277"/>
        <v/>
      </c>
      <c r="R2585" s="37" t="str">
        <f t="shared" si="278"/>
        <v/>
      </c>
      <c r="S2585" s="37" t="str">
        <f t="shared" si="279"/>
        <v/>
      </c>
      <c r="T2585" s="38" t="str">
        <f t="shared" si="280"/>
        <v/>
      </c>
      <c r="U2585" s="37" t="str">
        <f t="shared" si="281"/>
        <v/>
      </c>
    </row>
    <row r="2586" spans="2:21" ht="17.25">
      <c r="B2586" s="156"/>
      <c r="C2586" s="156"/>
      <c r="D2586" s="157"/>
      <c r="E2586" s="155"/>
      <c r="F2586" s="151"/>
      <c r="G2586" s="152"/>
      <c r="H2586" s="153"/>
      <c r="I2586" s="154"/>
      <c r="J2586" s="154"/>
      <c r="K2586" s="30" t="str">
        <f>IF(H2586="","",IF($C$30="간이법","",FPR(H2586,I2586,J2586)))</f>
        <v/>
      </c>
      <c r="L2586" s="30" t="str">
        <f>IF(H2586="","",IF($C$30="상세법",FPV(H2586,K2586),IF(H2586="EI",4,IF(H2586="EO",5.2,IF(H2586="EQ",3.9,IF(H2586="ILF",7.5,IF(H2586="EIF",5.4)))))))</f>
        <v/>
      </c>
      <c r="M2586" s="30" t="str">
        <f t="shared" si="275"/>
        <v/>
      </c>
      <c r="N2586" s="134"/>
      <c r="O2586" s="29"/>
      <c r="P2586" s="37" t="str">
        <f t="shared" si="276"/>
        <v/>
      </c>
      <c r="Q2586" s="38" t="str">
        <f t="shared" si="277"/>
        <v/>
      </c>
      <c r="R2586" s="37" t="str">
        <f t="shared" si="278"/>
        <v/>
      </c>
      <c r="S2586" s="37" t="str">
        <f t="shared" si="279"/>
        <v/>
      </c>
      <c r="T2586" s="38" t="str">
        <f t="shared" si="280"/>
        <v/>
      </c>
      <c r="U2586" s="37" t="str">
        <f t="shared" si="281"/>
        <v/>
      </c>
    </row>
    <row r="2587" spans="2:21" ht="17.25">
      <c r="B2587" s="156"/>
      <c r="C2587" s="156"/>
      <c r="D2587" s="157"/>
      <c r="E2587" s="155"/>
      <c r="F2587" s="151"/>
      <c r="G2587" s="152"/>
      <c r="H2587" s="153"/>
      <c r="I2587" s="154"/>
      <c r="J2587" s="154"/>
      <c r="K2587" s="30" t="str">
        <f>IF(H2587="","",IF($C$30="간이법","",FPR(H2587,I2587,J2587)))</f>
        <v/>
      </c>
      <c r="L2587" s="30" t="str">
        <f>IF(H2587="","",IF($C$30="상세법",FPV(H2587,K2587),IF(H2587="EI",4,IF(H2587="EO",5.2,IF(H2587="EQ",3.9,IF(H2587="ILF",7.5,IF(H2587="EIF",5.4)))))))</f>
        <v/>
      </c>
      <c r="M2587" s="30" t="str">
        <f t="shared" si="275"/>
        <v/>
      </c>
      <c r="N2587" s="134"/>
      <c r="O2587" s="29"/>
      <c r="P2587" s="37" t="str">
        <f t="shared" si="276"/>
        <v/>
      </c>
      <c r="Q2587" s="38" t="str">
        <f t="shared" si="277"/>
        <v/>
      </c>
      <c r="R2587" s="37" t="str">
        <f t="shared" si="278"/>
        <v/>
      </c>
      <c r="S2587" s="37" t="str">
        <f t="shared" si="279"/>
        <v/>
      </c>
      <c r="T2587" s="38" t="str">
        <f t="shared" si="280"/>
        <v/>
      </c>
      <c r="U2587" s="37" t="str">
        <f t="shared" si="281"/>
        <v/>
      </c>
    </row>
    <row r="2588" spans="2:21" ht="17.25">
      <c r="B2588" s="156"/>
      <c r="C2588" s="156"/>
      <c r="D2588" s="157"/>
      <c r="E2588" s="155"/>
      <c r="F2588" s="151"/>
      <c r="G2588" s="152"/>
      <c r="H2588" s="153"/>
      <c r="I2588" s="154"/>
      <c r="J2588" s="154"/>
      <c r="K2588" s="30" t="str">
        <f>IF(H2588="","",IF($C$30="간이법","",FPR(H2588,I2588,J2588)))</f>
        <v/>
      </c>
      <c r="L2588" s="30" t="str">
        <f>IF(H2588="","",IF($C$30="상세법",FPV(H2588,K2588),IF(H2588="EI",4,IF(H2588="EO",5.2,IF(H2588="EQ",3.9,IF(H2588="ILF",7.5,IF(H2588="EIF",5.4)))))))</f>
        <v/>
      </c>
      <c r="M2588" s="30" t="str">
        <f t="shared" si="275"/>
        <v/>
      </c>
      <c r="N2588" s="134"/>
      <c r="O2588" s="29"/>
      <c r="P2588" s="37" t="str">
        <f t="shared" si="276"/>
        <v/>
      </c>
      <c r="Q2588" s="38" t="str">
        <f t="shared" si="277"/>
        <v/>
      </c>
      <c r="R2588" s="37" t="str">
        <f t="shared" si="278"/>
        <v/>
      </c>
      <c r="S2588" s="37" t="str">
        <f t="shared" si="279"/>
        <v/>
      </c>
      <c r="T2588" s="38" t="str">
        <f t="shared" si="280"/>
        <v/>
      </c>
      <c r="U2588" s="37" t="str">
        <f t="shared" si="281"/>
        <v/>
      </c>
    </row>
    <row r="2589" spans="2:21" ht="17.25">
      <c r="B2589" s="156"/>
      <c r="C2589" s="156"/>
      <c r="D2589" s="157"/>
      <c r="E2589" s="155"/>
      <c r="F2589" s="151"/>
      <c r="G2589" s="152"/>
      <c r="H2589" s="153"/>
      <c r="I2589" s="154"/>
      <c r="J2589" s="154"/>
      <c r="K2589" s="30" t="str">
        <f>IF(H2589="","",IF($C$30="간이법","",FPR(H2589,I2589,J2589)))</f>
        <v/>
      </c>
      <c r="L2589" s="30" t="str">
        <f>IF(H2589="","",IF($C$30="상세법",FPV(H2589,K2589),IF(H2589="EI",4,IF(H2589="EO",5.2,IF(H2589="EQ",3.9,IF(H2589="ILF",7.5,IF(H2589="EIF",5.4)))))))</f>
        <v/>
      </c>
      <c r="M2589" s="30" t="str">
        <f t="shared" si="275"/>
        <v/>
      </c>
      <c r="N2589" s="134"/>
      <c r="O2589" s="29"/>
      <c r="P2589" s="37" t="str">
        <f t="shared" si="276"/>
        <v/>
      </c>
      <c r="Q2589" s="38" t="str">
        <f t="shared" si="277"/>
        <v/>
      </c>
      <c r="R2589" s="37" t="str">
        <f t="shared" si="278"/>
        <v/>
      </c>
      <c r="S2589" s="37" t="str">
        <f t="shared" si="279"/>
        <v/>
      </c>
      <c r="T2589" s="38" t="str">
        <f t="shared" si="280"/>
        <v/>
      </c>
      <c r="U2589" s="37" t="str">
        <f t="shared" si="281"/>
        <v/>
      </c>
    </row>
    <row r="2590" spans="2:21" ht="17.25">
      <c r="B2590" s="156"/>
      <c r="C2590" s="156"/>
      <c r="D2590" s="157"/>
      <c r="E2590" s="155"/>
      <c r="F2590" s="151"/>
      <c r="G2590" s="152"/>
      <c r="H2590" s="153"/>
      <c r="I2590" s="154"/>
      <c r="J2590" s="154"/>
      <c r="K2590" s="30" t="str">
        <f>IF(H2590="","",IF($C$30="간이법","",FPR(H2590,I2590,J2590)))</f>
        <v/>
      </c>
      <c r="L2590" s="30" t="str">
        <f>IF(H2590="","",IF($C$30="상세법",FPV(H2590,K2590),IF(H2590="EI",4,IF(H2590="EO",5.2,IF(H2590="EQ",3.9,IF(H2590="ILF",7.5,IF(H2590="EIF",5.4)))))))</f>
        <v/>
      </c>
      <c r="M2590" s="30" t="str">
        <f t="shared" si="275"/>
        <v/>
      </c>
      <c r="N2590" s="134"/>
      <c r="O2590" s="29"/>
      <c r="P2590" s="37" t="str">
        <f t="shared" si="276"/>
        <v/>
      </c>
      <c r="Q2590" s="38" t="str">
        <f t="shared" si="277"/>
        <v/>
      </c>
      <c r="R2590" s="37" t="str">
        <f t="shared" si="278"/>
        <v/>
      </c>
      <c r="S2590" s="37" t="str">
        <f t="shared" si="279"/>
        <v/>
      </c>
      <c r="T2590" s="38" t="str">
        <f t="shared" si="280"/>
        <v/>
      </c>
      <c r="U2590" s="37" t="str">
        <f t="shared" si="281"/>
        <v/>
      </c>
    </row>
    <row r="2591" spans="2:21" ht="17.25">
      <c r="B2591" s="156"/>
      <c r="C2591" s="156"/>
      <c r="D2591" s="157"/>
      <c r="E2591" s="155"/>
      <c r="F2591" s="151"/>
      <c r="G2591" s="152"/>
      <c r="H2591" s="153"/>
      <c r="I2591" s="154"/>
      <c r="J2591" s="154"/>
      <c r="K2591" s="30" t="str">
        <f>IF(H2591="","",IF($C$30="간이법","",FPR(H2591,I2591,J2591)))</f>
        <v/>
      </c>
      <c r="L2591" s="30" t="str">
        <f>IF(H2591="","",IF($C$30="상세법",FPV(H2591,K2591),IF(H2591="EI",4,IF(H2591="EO",5.2,IF(H2591="EQ",3.9,IF(H2591="ILF",7.5,IF(H2591="EIF",5.4)))))))</f>
        <v/>
      </c>
      <c r="M2591" s="30" t="str">
        <f t="shared" si="275"/>
        <v/>
      </c>
      <c r="N2591" s="134"/>
      <c r="O2591" s="29"/>
      <c r="P2591" s="37" t="str">
        <f t="shared" si="276"/>
        <v/>
      </c>
      <c r="Q2591" s="38" t="str">
        <f t="shared" si="277"/>
        <v/>
      </c>
      <c r="R2591" s="37" t="str">
        <f t="shared" si="278"/>
        <v/>
      </c>
      <c r="S2591" s="37" t="str">
        <f t="shared" si="279"/>
        <v/>
      </c>
      <c r="T2591" s="38" t="str">
        <f t="shared" si="280"/>
        <v/>
      </c>
      <c r="U2591" s="37" t="str">
        <f t="shared" si="281"/>
        <v/>
      </c>
    </row>
    <row r="2592" spans="2:21" ht="17.25">
      <c r="B2592" s="156"/>
      <c r="C2592" s="156"/>
      <c r="D2592" s="157"/>
      <c r="E2592" s="155"/>
      <c r="F2592" s="151"/>
      <c r="G2592" s="152"/>
      <c r="H2592" s="153"/>
      <c r="I2592" s="154"/>
      <c r="J2592" s="154"/>
      <c r="K2592" s="30" t="str">
        <f>IF(H2592="","",IF($C$30="간이법","",FPR(H2592,I2592,J2592)))</f>
        <v/>
      </c>
      <c r="L2592" s="30" t="str">
        <f>IF(H2592="","",IF($C$30="상세법",FPV(H2592,K2592),IF(H2592="EI",4,IF(H2592="EO",5.2,IF(H2592="EQ",3.9,IF(H2592="ILF",7.5,IF(H2592="EIF",5.4)))))))</f>
        <v/>
      </c>
      <c r="M2592" s="30" t="str">
        <f t="shared" si="275"/>
        <v/>
      </c>
      <c r="N2592" s="134"/>
      <c r="O2592" s="29"/>
      <c r="P2592" s="37" t="str">
        <f t="shared" si="276"/>
        <v/>
      </c>
      <c r="Q2592" s="38" t="str">
        <f t="shared" si="277"/>
        <v/>
      </c>
      <c r="R2592" s="37" t="str">
        <f t="shared" si="278"/>
        <v/>
      </c>
      <c r="S2592" s="37" t="str">
        <f t="shared" si="279"/>
        <v/>
      </c>
      <c r="T2592" s="38" t="str">
        <f t="shared" si="280"/>
        <v/>
      </c>
      <c r="U2592" s="37" t="str">
        <f t="shared" si="281"/>
        <v/>
      </c>
    </row>
    <row r="2593" spans="2:21" ht="17.25">
      <c r="B2593" s="156"/>
      <c r="C2593" s="156"/>
      <c r="D2593" s="157"/>
      <c r="E2593" s="155"/>
      <c r="F2593" s="151"/>
      <c r="G2593" s="152"/>
      <c r="H2593" s="153"/>
      <c r="I2593" s="154"/>
      <c r="J2593" s="154"/>
      <c r="K2593" s="30" t="str">
        <f>IF(H2593="","",IF($C$30="간이법","",FPR(H2593,I2593,J2593)))</f>
        <v/>
      </c>
      <c r="L2593" s="30" t="str">
        <f>IF(H2593="","",IF($C$30="상세법",FPV(H2593,K2593),IF(H2593="EI",4,IF(H2593="EO",5.2,IF(H2593="EQ",3.9,IF(H2593="ILF",7.5,IF(H2593="EIF",5.4)))))))</f>
        <v/>
      </c>
      <c r="M2593" s="30" t="str">
        <f t="shared" si="275"/>
        <v/>
      </c>
      <c r="N2593" s="134"/>
      <c r="O2593" s="29"/>
      <c r="P2593" s="37" t="str">
        <f t="shared" si="276"/>
        <v/>
      </c>
      <c r="Q2593" s="38" t="str">
        <f t="shared" si="277"/>
        <v/>
      </c>
      <c r="R2593" s="37" t="str">
        <f t="shared" si="278"/>
        <v/>
      </c>
      <c r="S2593" s="37" t="str">
        <f t="shared" si="279"/>
        <v/>
      </c>
      <c r="T2593" s="38" t="str">
        <f t="shared" si="280"/>
        <v/>
      </c>
      <c r="U2593" s="37" t="str">
        <f t="shared" si="281"/>
        <v/>
      </c>
    </row>
    <row r="2594" spans="2:21" ht="17.25">
      <c r="B2594" s="156"/>
      <c r="C2594" s="156"/>
      <c r="D2594" s="157"/>
      <c r="E2594" s="155"/>
      <c r="F2594" s="151"/>
      <c r="G2594" s="152"/>
      <c r="H2594" s="153"/>
      <c r="I2594" s="154"/>
      <c r="J2594" s="154"/>
      <c r="K2594" s="30" t="str">
        <f>IF(H2594="","",IF($C$30="간이법","",FPR(H2594,I2594,J2594)))</f>
        <v/>
      </c>
      <c r="L2594" s="30" t="str">
        <f>IF(H2594="","",IF($C$30="상세법",FPV(H2594,K2594),IF(H2594="EI",4,IF(H2594="EO",5.2,IF(H2594="EQ",3.9,IF(H2594="ILF",7.5,IF(H2594="EIF",5.4)))))))</f>
        <v/>
      </c>
      <c r="M2594" s="30" t="str">
        <f t="shared" si="275"/>
        <v/>
      </c>
      <c r="N2594" s="134"/>
      <c r="O2594" s="29"/>
      <c r="P2594" s="37" t="str">
        <f t="shared" si="276"/>
        <v/>
      </c>
      <c r="Q2594" s="38" t="str">
        <f t="shared" si="277"/>
        <v/>
      </c>
      <c r="R2594" s="37" t="str">
        <f t="shared" si="278"/>
        <v/>
      </c>
      <c r="S2594" s="37" t="str">
        <f t="shared" si="279"/>
        <v/>
      </c>
      <c r="T2594" s="38" t="str">
        <f t="shared" si="280"/>
        <v/>
      </c>
      <c r="U2594" s="37" t="str">
        <f t="shared" si="281"/>
        <v/>
      </c>
    </row>
    <row r="2595" spans="2:21" ht="17.25">
      <c r="B2595" s="156"/>
      <c r="C2595" s="156"/>
      <c r="D2595" s="157"/>
      <c r="E2595" s="155"/>
      <c r="F2595" s="151"/>
      <c r="G2595" s="152"/>
      <c r="H2595" s="153"/>
      <c r="I2595" s="154"/>
      <c r="J2595" s="154"/>
      <c r="K2595" s="30" t="str">
        <f>IF(H2595="","",IF($C$30="간이법","",FPR(H2595,I2595,J2595)))</f>
        <v/>
      </c>
      <c r="L2595" s="30" t="str">
        <f>IF(H2595="","",IF($C$30="상세법",FPV(H2595,K2595),IF(H2595="EI",4,IF(H2595="EO",5.2,IF(H2595="EQ",3.9,IF(H2595="ILF",7.5,IF(H2595="EIF",5.4)))))))</f>
        <v/>
      </c>
      <c r="M2595" s="30" t="str">
        <f t="shared" si="275"/>
        <v/>
      </c>
      <c r="N2595" s="134"/>
      <c r="O2595" s="29"/>
      <c r="P2595" s="37" t="str">
        <f t="shared" si="276"/>
        <v/>
      </c>
      <c r="Q2595" s="38" t="str">
        <f t="shared" si="277"/>
        <v/>
      </c>
      <c r="R2595" s="37" t="str">
        <f t="shared" si="278"/>
        <v/>
      </c>
      <c r="S2595" s="37" t="str">
        <f t="shared" si="279"/>
        <v/>
      </c>
      <c r="T2595" s="38" t="str">
        <f t="shared" si="280"/>
        <v/>
      </c>
      <c r="U2595" s="37" t="str">
        <f t="shared" si="281"/>
        <v/>
      </c>
    </row>
    <row r="2596" spans="2:21" ht="17.25">
      <c r="B2596" s="156"/>
      <c r="C2596" s="156"/>
      <c r="D2596" s="157"/>
      <c r="E2596" s="155"/>
      <c r="F2596" s="151"/>
      <c r="G2596" s="152"/>
      <c r="H2596" s="153"/>
      <c r="I2596" s="154"/>
      <c r="J2596" s="154"/>
      <c r="K2596" s="30" t="str">
        <f>IF(H2596="","",IF($C$30="간이법","",FPR(H2596,I2596,J2596)))</f>
        <v/>
      </c>
      <c r="L2596" s="30" t="str">
        <f>IF(H2596="","",IF($C$30="상세법",FPV(H2596,K2596),IF(H2596="EI",4,IF(H2596="EO",5.2,IF(H2596="EQ",3.9,IF(H2596="ILF",7.5,IF(H2596="EIF",5.4)))))))</f>
        <v/>
      </c>
      <c r="M2596" s="30" t="str">
        <f t="shared" si="275"/>
        <v/>
      </c>
      <c r="N2596" s="134"/>
      <c r="O2596" s="29"/>
      <c r="P2596" s="37" t="str">
        <f t="shared" si="276"/>
        <v/>
      </c>
      <c r="Q2596" s="38" t="str">
        <f t="shared" si="277"/>
        <v/>
      </c>
      <c r="R2596" s="37" t="str">
        <f t="shared" si="278"/>
        <v/>
      </c>
      <c r="S2596" s="37" t="str">
        <f t="shared" si="279"/>
        <v/>
      </c>
      <c r="T2596" s="38" t="str">
        <f t="shared" si="280"/>
        <v/>
      </c>
      <c r="U2596" s="37" t="str">
        <f t="shared" si="281"/>
        <v/>
      </c>
    </row>
    <row r="2597" spans="2:21" ht="17.25">
      <c r="B2597" s="156"/>
      <c r="C2597" s="156"/>
      <c r="D2597" s="157"/>
      <c r="E2597" s="155"/>
      <c r="F2597" s="151"/>
      <c r="G2597" s="152"/>
      <c r="H2597" s="153"/>
      <c r="I2597" s="154"/>
      <c r="J2597" s="154"/>
      <c r="K2597" s="30" t="str">
        <f>IF(H2597="","",IF($C$30="간이법","",FPR(H2597,I2597,J2597)))</f>
        <v/>
      </c>
      <c r="L2597" s="30" t="str">
        <f>IF(H2597="","",IF($C$30="상세법",FPV(H2597,K2597),IF(H2597="EI",4,IF(H2597="EO",5.2,IF(H2597="EQ",3.9,IF(H2597="ILF",7.5,IF(H2597="EIF",5.4)))))))</f>
        <v/>
      </c>
      <c r="M2597" s="30" t="str">
        <f t="shared" si="275"/>
        <v/>
      </c>
      <c r="N2597" s="134"/>
      <c r="O2597" s="29"/>
      <c r="P2597" s="37" t="str">
        <f t="shared" si="276"/>
        <v/>
      </c>
      <c r="Q2597" s="38" t="str">
        <f t="shared" si="277"/>
        <v/>
      </c>
      <c r="R2597" s="37" t="str">
        <f t="shared" si="278"/>
        <v/>
      </c>
      <c r="S2597" s="37" t="str">
        <f t="shared" si="279"/>
        <v/>
      </c>
      <c r="T2597" s="38" t="str">
        <f t="shared" si="280"/>
        <v/>
      </c>
      <c r="U2597" s="37" t="str">
        <f t="shared" si="281"/>
        <v/>
      </c>
    </row>
    <row r="2598" spans="2:21" ht="17.25">
      <c r="B2598" s="156"/>
      <c r="C2598" s="156"/>
      <c r="D2598" s="157"/>
      <c r="E2598" s="155"/>
      <c r="F2598" s="151"/>
      <c r="G2598" s="152"/>
      <c r="H2598" s="153"/>
      <c r="I2598" s="154"/>
      <c r="J2598" s="154"/>
      <c r="K2598" s="30" t="str">
        <f>IF(H2598="","",IF($C$30="간이법","",FPR(H2598,I2598,J2598)))</f>
        <v/>
      </c>
      <c r="L2598" s="30" t="str">
        <f>IF(H2598="","",IF($C$30="상세법",FPV(H2598,K2598),IF(H2598="EI",4,IF(H2598="EO",5.2,IF(H2598="EQ",3.9,IF(H2598="ILF",7.5,IF(H2598="EIF",5.4)))))))</f>
        <v/>
      </c>
      <c r="M2598" s="30" t="str">
        <f t="shared" si="275"/>
        <v/>
      </c>
      <c r="N2598" s="134"/>
      <c r="O2598" s="29"/>
      <c r="P2598" s="37" t="str">
        <f t="shared" si="276"/>
        <v/>
      </c>
      <c r="Q2598" s="38" t="str">
        <f t="shared" si="277"/>
        <v/>
      </c>
      <c r="R2598" s="37" t="str">
        <f t="shared" si="278"/>
        <v/>
      </c>
      <c r="S2598" s="37" t="str">
        <f t="shared" si="279"/>
        <v/>
      </c>
      <c r="T2598" s="38" t="str">
        <f t="shared" si="280"/>
        <v/>
      </c>
      <c r="U2598" s="37" t="str">
        <f t="shared" si="281"/>
        <v/>
      </c>
    </row>
    <row r="2599" spans="2:21" ht="17.25">
      <c r="B2599" s="156"/>
      <c r="C2599" s="156"/>
      <c r="D2599" s="157"/>
      <c r="E2599" s="155"/>
      <c r="F2599" s="151"/>
      <c r="G2599" s="152"/>
      <c r="H2599" s="153"/>
      <c r="I2599" s="154"/>
      <c r="J2599" s="154"/>
      <c r="K2599" s="30" t="str">
        <f>IF(H2599="","",IF($C$30="간이법","",FPR(H2599,I2599,J2599)))</f>
        <v/>
      </c>
      <c r="L2599" s="30" t="str">
        <f>IF(H2599="","",IF($C$30="상세법",FPV(H2599,K2599),IF(H2599="EI",4,IF(H2599="EO",5.2,IF(H2599="EQ",3.9,IF(H2599="ILF",7.5,IF(H2599="EIF",5.4)))))))</f>
        <v/>
      </c>
      <c r="M2599" s="30" t="str">
        <f t="shared" si="275"/>
        <v/>
      </c>
      <c r="N2599" s="134"/>
      <c r="O2599" s="29"/>
      <c r="P2599" s="37" t="str">
        <f t="shared" si="276"/>
        <v/>
      </c>
      <c r="Q2599" s="38" t="str">
        <f t="shared" si="277"/>
        <v/>
      </c>
      <c r="R2599" s="37" t="str">
        <f t="shared" si="278"/>
        <v/>
      </c>
      <c r="S2599" s="37" t="str">
        <f t="shared" si="279"/>
        <v/>
      </c>
      <c r="T2599" s="38" t="str">
        <f t="shared" si="280"/>
        <v/>
      </c>
      <c r="U2599" s="37" t="str">
        <f t="shared" si="281"/>
        <v/>
      </c>
    </row>
    <row r="2600" spans="2:21" ht="17.25">
      <c r="B2600" s="156"/>
      <c r="C2600" s="156"/>
      <c r="D2600" s="157"/>
      <c r="E2600" s="155"/>
      <c r="F2600" s="151"/>
      <c r="G2600" s="152"/>
      <c r="H2600" s="153"/>
      <c r="I2600" s="154"/>
      <c r="J2600" s="154"/>
      <c r="K2600" s="30" t="str">
        <f>IF(H2600="","",IF($C$30="간이법","",FPR(H2600,I2600,J2600)))</f>
        <v/>
      </c>
      <c r="L2600" s="30" t="str">
        <f>IF(H2600="","",IF($C$30="상세법",FPV(H2600,K2600),IF(H2600="EI",4,IF(H2600="EO",5.2,IF(H2600="EQ",3.9,IF(H2600="ILF",7.5,IF(H2600="EIF",5.4)))))))</f>
        <v/>
      </c>
      <c r="M2600" s="30" t="str">
        <f t="shared" si="275"/>
        <v/>
      </c>
      <c r="N2600" s="134"/>
      <c r="O2600" s="29"/>
      <c r="P2600" s="37" t="str">
        <f t="shared" si="276"/>
        <v/>
      </c>
      <c r="Q2600" s="38" t="str">
        <f t="shared" si="277"/>
        <v/>
      </c>
      <c r="R2600" s="37" t="str">
        <f t="shared" si="278"/>
        <v/>
      </c>
      <c r="S2600" s="37" t="str">
        <f t="shared" si="279"/>
        <v/>
      </c>
      <c r="T2600" s="38" t="str">
        <f t="shared" si="280"/>
        <v/>
      </c>
      <c r="U2600" s="37" t="str">
        <f t="shared" si="281"/>
        <v/>
      </c>
    </row>
    <row r="2601" spans="2:21" ht="17.25">
      <c r="B2601" s="156"/>
      <c r="C2601" s="156"/>
      <c r="D2601" s="157"/>
      <c r="E2601" s="155"/>
      <c r="F2601" s="151"/>
      <c r="G2601" s="152"/>
      <c r="H2601" s="153"/>
      <c r="I2601" s="154"/>
      <c r="J2601" s="154"/>
      <c r="K2601" s="30" t="str">
        <f>IF(H2601="","",IF($C$30="간이법","",FPR(H2601,I2601,J2601)))</f>
        <v/>
      </c>
      <c r="L2601" s="30" t="str">
        <f>IF(H2601="","",IF($C$30="상세법",FPV(H2601,K2601),IF(H2601="EI",4,IF(H2601="EO",5.2,IF(H2601="EQ",3.9,IF(H2601="ILF",7.5,IF(H2601="EIF",5.4)))))))</f>
        <v/>
      </c>
      <c r="M2601" s="30" t="str">
        <f t="shared" si="275"/>
        <v/>
      </c>
      <c r="N2601" s="134"/>
      <c r="O2601" s="29"/>
      <c r="P2601" s="37" t="str">
        <f t="shared" si="276"/>
        <v/>
      </c>
      <c r="Q2601" s="38" t="str">
        <f t="shared" si="277"/>
        <v/>
      </c>
      <c r="R2601" s="37" t="str">
        <f t="shared" si="278"/>
        <v/>
      </c>
      <c r="S2601" s="37" t="str">
        <f t="shared" si="279"/>
        <v/>
      </c>
      <c r="T2601" s="38" t="str">
        <f t="shared" si="280"/>
        <v/>
      </c>
      <c r="U2601" s="37" t="str">
        <f t="shared" si="281"/>
        <v/>
      </c>
    </row>
    <row r="2602" spans="2:21" ht="17.25">
      <c r="B2602" s="156"/>
      <c r="C2602" s="156"/>
      <c r="D2602" s="157"/>
      <c r="E2602" s="155"/>
      <c r="F2602" s="151"/>
      <c r="G2602" s="152"/>
      <c r="H2602" s="153"/>
      <c r="I2602" s="154"/>
      <c r="J2602" s="154"/>
      <c r="K2602" s="30" t="str">
        <f>IF(H2602="","",IF($C$30="간이법","",FPR(H2602,I2602,J2602)))</f>
        <v/>
      </c>
      <c r="L2602" s="30" t="str">
        <f>IF(H2602="","",IF($C$30="상세법",FPV(H2602,K2602),IF(H2602="EI",4,IF(H2602="EO",5.2,IF(H2602="EQ",3.9,IF(H2602="ILF",7.5,IF(H2602="EIF",5.4)))))))</f>
        <v/>
      </c>
      <c r="M2602" s="30" t="str">
        <f t="shared" si="275"/>
        <v/>
      </c>
      <c r="N2602" s="134"/>
      <c r="O2602" s="29"/>
      <c r="P2602" s="37" t="str">
        <f t="shared" si="276"/>
        <v/>
      </c>
      <c r="Q2602" s="38" t="str">
        <f t="shared" si="277"/>
        <v/>
      </c>
      <c r="R2602" s="37" t="str">
        <f t="shared" si="278"/>
        <v/>
      </c>
      <c r="S2602" s="37" t="str">
        <f t="shared" si="279"/>
        <v/>
      </c>
      <c r="T2602" s="38" t="str">
        <f t="shared" si="280"/>
        <v/>
      </c>
      <c r="U2602" s="37" t="str">
        <f t="shared" si="281"/>
        <v/>
      </c>
    </row>
    <row r="2603" spans="2:21" ht="17.25">
      <c r="B2603" s="156"/>
      <c r="C2603" s="156"/>
      <c r="D2603" s="157"/>
      <c r="E2603" s="155"/>
      <c r="F2603" s="151"/>
      <c r="G2603" s="152"/>
      <c r="H2603" s="153"/>
      <c r="I2603" s="154"/>
      <c r="J2603" s="154"/>
      <c r="K2603" s="30" t="str">
        <f>IF(H2603="","",IF($C$30="간이법","",FPR(H2603,I2603,J2603)))</f>
        <v/>
      </c>
      <c r="L2603" s="30" t="str">
        <f>IF(H2603="","",IF($C$30="상세법",FPV(H2603,K2603),IF(H2603="EI",4,IF(H2603="EO",5.2,IF(H2603="EQ",3.9,IF(H2603="ILF",7.5,IF(H2603="EIF",5.4)))))))</f>
        <v/>
      </c>
      <c r="M2603" s="30" t="str">
        <f t="shared" si="275"/>
        <v/>
      </c>
      <c r="N2603" s="134"/>
      <c r="O2603" s="29"/>
      <c r="P2603" s="37" t="str">
        <f t="shared" si="276"/>
        <v/>
      </c>
      <c r="Q2603" s="38" t="str">
        <f t="shared" si="277"/>
        <v/>
      </c>
      <c r="R2603" s="37" t="str">
        <f t="shared" si="278"/>
        <v/>
      </c>
      <c r="S2603" s="37" t="str">
        <f t="shared" si="279"/>
        <v/>
      </c>
      <c r="T2603" s="38" t="str">
        <f t="shared" si="280"/>
        <v/>
      </c>
      <c r="U2603" s="37" t="str">
        <f t="shared" si="281"/>
        <v/>
      </c>
    </row>
    <row r="2604" spans="2:21" ht="17.25">
      <c r="B2604" s="156"/>
      <c r="C2604" s="156"/>
      <c r="D2604" s="157"/>
      <c r="E2604" s="155"/>
      <c r="F2604" s="151"/>
      <c r="G2604" s="152"/>
      <c r="H2604" s="153"/>
      <c r="I2604" s="154"/>
      <c r="J2604" s="154"/>
      <c r="K2604" s="30" t="str">
        <f>IF(H2604="","",IF($C$30="간이법","",FPR(H2604,I2604,J2604)))</f>
        <v/>
      </c>
      <c r="L2604" s="30" t="str">
        <f>IF(H2604="","",IF($C$30="상세법",FPV(H2604,K2604),IF(H2604="EI",4,IF(H2604="EO",5.2,IF(H2604="EQ",3.9,IF(H2604="ILF",7.5,IF(H2604="EIF",5.4)))))))</f>
        <v/>
      </c>
      <c r="M2604" s="30" t="str">
        <f t="shared" si="275"/>
        <v/>
      </c>
      <c r="N2604" s="134"/>
      <c r="O2604" s="29"/>
      <c r="P2604" s="37" t="str">
        <f t="shared" si="276"/>
        <v/>
      </c>
      <c r="Q2604" s="38" t="str">
        <f t="shared" si="277"/>
        <v/>
      </c>
      <c r="R2604" s="37" t="str">
        <f t="shared" si="278"/>
        <v/>
      </c>
      <c r="S2604" s="37" t="str">
        <f t="shared" si="279"/>
        <v/>
      </c>
      <c r="T2604" s="38" t="str">
        <f t="shared" si="280"/>
        <v/>
      </c>
      <c r="U2604" s="37" t="str">
        <f t="shared" si="281"/>
        <v/>
      </c>
    </row>
    <row r="2605" spans="2:21" ht="17.25">
      <c r="B2605" s="156"/>
      <c r="C2605" s="156"/>
      <c r="D2605" s="157"/>
      <c r="E2605" s="155"/>
      <c r="F2605" s="151"/>
      <c r="G2605" s="152"/>
      <c r="H2605" s="153"/>
      <c r="I2605" s="154"/>
      <c r="J2605" s="154"/>
      <c r="K2605" s="30" t="str">
        <f>IF(H2605="","",IF($C$30="간이법","",FPR(H2605,I2605,J2605)))</f>
        <v/>
      </c>
      <c r="L2605" s="30" t="str">
        <f>IF(H2605="","",IF($C$30="상세법",FPV(H2605,K2605),IF(H2605="EI",4,IF(H2605="EO",5.2,IF(H2605="EQ",3.9,IF(H2605="ILF",7.5,IF(H2605="EIF",5.4)))))))</f>
        <v/>
      </c>
      <c r="M2605" s="30" t="str">
        <f t="shared" si="275"/>
        <v/>
      </c>
      <c r="N2605" s="134"/>
      <c r="O2605" s="29"/>
      <c r="P2605" s="37" t="str">
        <f t="shared" si="276"/>
        <v/>
      </c>
      <c r="Q2605" s="38" t="str">
        <f t="shared" si="277"/>
        <v/>
      </c>
      <c r="R2605" s="37" t="str">
        <f t="shared" si="278"/>
        <v/>
      </c>
      <c r="S2605" s="37" t="str">
        <f t="shared" si="279"/>
        <v/>
      </c>
      <c r="T2605" s="38" t="str">
        <f t="shared" si="280"/>
        <v/>
      </c>
      <c r="U2605" s="37" t="str">
        <f t="shared" si="281"/>
        <v/>
      </c>
    </row>
    <row r="2606" spans="2:21" ht="17.25">
      <c r="B2606" s="156"/>
      <c r="C2606" s="156"/>
      <c r="D2606" s="157"/>
      <c r="E2606" s="155"/>
      <c r="F2606" s="151"/>
      <c r="G2606" s="152"/>
      <c r="H2606" s="153"/>
      <c r="I2606" s="154"/>
      <c r="J2606" s="154"/>
      <c r="K2606" s="30" t="str">
        <f>IF(H2606="","",IF($C$30="간이법","",FPR(H2606,I2606,J2606)))</f>
        <v/>
      </c>
      <c r="L2606" s="30" t="str">
        <f>IF(H2606="","",IF($C$30="상세법",FPV(H2606,K2606),IF(H2606="EI",4,IF(H2606="EO",5.2,IF(H2606="EQ",3.9,IF(H2606="ILF",7.5,IF(H2606="EIF",5.4)))))))</f>
        <v/>
      </c>
      <c r="M2606" s="30" t="str">
        <f t="shared" si="275"/>
        <v/>
      </c>
      <c r="N2606" s="134"/>
      <c r="O2606" s="29"/>
      <c r="P2606" s="37" t="str">
        <f t="shared" si="276"/>
        <v/>
      </c>
      <c r="Q2606" s="38" t="str">
        <f t="shared" si="277"/>
        <v/>
      </c>
      <c r="R2606" s="37" t="str">
        <f t="shared" si="278"/>
        <v/>
      </c>
      <c r="S2606" s="37" t="str">
        <f t="shared" si="279"/>
        <v/>
      </c>
      <c r="T2606" s="38" t="str">
        <f t="shared" si="280"/>
        <v/>
      </c>
      <c r="U2606" s="37" t="str">
        <f t="shared" si="281"/>
        <v/>
      </c>
    </row>
    <row r="2607" spans="2:21" ht="17.25">
      <c r="B2607" s="156"/>
      <c r="C2607" s="156"/>
      <c r="D2607" s="157"/>
      <c r="E2607" s="155"/>
      <c r="F2607" s="151"/>
      <c r="G2607" s="152"/>
      <c r="H2607" s="153"/>
      <c r="I2607" s="154"/>
      <c r="J2607" s="154"/>
      <c r="K2607" s="30" t="str">
        <f>IF(H2607="","",IF($C$30="간이법","",FPR(H2607,I2607,J2607)))</f>
        <v/>
      </c>
      <c r="L2607" s="30" t="str">
        <f>IF(H2607="","",IF($C$30="상세법",FPV(H2607,K2607),IF(H2607="EI",4,IF(H2607="EO",5.2,IF(H2607="EQ",3.9,IF(H2607="ILF",7.5,IF(H2607="EIF",5.4)))))))</f>
        <v/>
      </c>
      <c r="M2607" s="30" t="str">
        <f t="shared" si="275"/>
        <v/>
      </c>
      <c r="N2607" s="134"/>
      <c r="O2607" s="29"/>
      <c r="P2607" s="37" t="str">
        <f t="shared" si="276"/>
        <v/>
      </c>
      <c r="Q2607" s="38" t="str">
        <f t="shared" si="277"/>
        <v/>
      </c>
      <c r="R2607" s="37" t="str">
        <f t="shared" si="278"/>
        <v/>
      </c>
      <c r="S2607" s="37" t="str">
        <f t="shared" si="279"/>
        <v/>
      </c>
      <c r="T2607" s="38" t="str">
        <f t="shared" si="280"/>
        <v/>
      </c>
      <c r="U2607" s="37" t="str">
        <f t="shared" si="281"/>
        <v/>
      </c>
    </row>
    <row r="2608" spans="2:21" ht="17.25">
      <c r="B2608" s="156"/>
      <c r="C2608" s="156"/>
      <c r="D2608" s="157"/>
      <c r="E2608" s="155"/>
      <c r="F2608" s="151"/>
      <c r="G2608" s="152"/>
      <c r="H2608" s="153"/>
      <c r="I2608" s="154"/>
      <c r="J2608" s="154"/>
      <c r="K2608" s="30" t="str">
        <f>IF(H2608="","",IF($C$30="간이법","",FPR(H2608,I2608,J2608)))</f>
        <v/>
      </c>
      <c r="L2608" s="30" t="str">
        <f>IF(H2608="","",IF($C$30="상세법",FPV(H2608,K2608),IF(H2608="EI",4,IF(H2608="EO",5.2,IF(H2608="EQ",3.9,IF(H2608="ILF",7.5,IF(H2608="EIF",5.4)))))))</f>
        <v/>
      </c>
      <c r="M2608" s="30" t="str">
        <f t="shared" si="275"/>
        <v/>
      </c>
      <c r="N2608" s="134"/>
      <c r="O2608" s="29"/>
      <c r="P2608" s="37" t="str">
        <f t="shared" si="276"/>
        <v/>
      </c>
      <c r="Q2608" s="38" t="str">
        <f t="shared" si="277"/>
        <v/>
      </c>
      <c r="R2608" s="37" t="str">
        <f t="shared" si="278"/>
        <v/>
      </c>
      <c r="S2608" s="37" t="str">
        <f t="shared" si="279"/>
        <v/>
      </c>
      <c r="T2608" s="38" t="str">
        <f t="shared" si="280"/>
        <v/>
      </c>
      <c r="U2608" s="37" t="str">
        <f t="shared" si="281"/>
        <v/>
      </c>
    </row>
    <row r="2609" spans="2:21" ht="17.25">
      <c r="B2609" s="156"/>
      <c r="C2609" s="156"/>
      <c r="D2609" s="157"/>
      <c r="E2609" s="155"/>
      <c r="F2609" s="151"/>
      <c r="G2609" s="152"/>
      <c r="H2609" s="153"/>
      <c r="I2609" s="154"/>
      <c r="J2609" s="154"/>
      <c r="K2609" s="30" t="str">
        <f>IF(H2609="","",IF($C$30="간이법","",FPR(H2609,I2609,J2609)))</f>
        <v/>
      </c>
      <c r="L2609" s="30" t="str">
        <f>IF(H2609="","",IF($C$30="상세법",FPV(H2609,K2609),IF(H2609="EI",4,IF(H2609="EO",5.2,IF(H2609="EQ",3.9,IF(H2609="ILF",7.5,IF(H2609="EIF",5.4)))))))</f>
        <v/>
      </c>
      <c r="M2609" s="30" t="str">
        <f t="shared" si="275"/>
        <v/>
      </c>
      <c r="N2609" s="134"/>
      <c r="O2609" s="29"/>
      <c r="P2609" s="37" t="str">
        <f t="shared" si="276"/>
        <v/>
      </c>
      <c r="Q2609" s="38" t="str">
        <f t="shared" si="277"/>
        <v/>
      </c>
      <c r="R2609" s="37" t="str">
        <f t="shared" si="278"/>
        <v/>
      </c>
      <c r="S2609" s="37" t="str">
        <f t="shared" si="279"/>
        <v/>
      </c>
      <c r="T2609" s="38" t="str">
        <f t="shared" si="280"/>
        <v/>
      </c>
      <c r="U2609" s="37" t="str">
        <f t="shared" si="281"/>
        <v/>
      </c>
    </row>
    <row r="2610" spans="2:21" ht="17.25">
      <c r="B2610" s="156"/>
      <c r="C2610" s="156"/>
      <c r="D2610" s="157"/>
      <c r="E2610" s="155"/>
      <c r="F2610" s="151"/>
      <c r="G2610" s="152"/>
      <c r="H2610" s="153"/>
      <c r="I2610" s="154"/>
      <c r="J2610" s="154"/>
      <c r="K2610" s="30" t="str">
        <f>IF(H2610="","",IF($C$30="간이법","",FPR(H2610,I2610,J2610)))</f>
        <v/>
      </c>
      <c r="L2610" s="30" t="str">
        <f>IF(H2610="","",IF($C$30="상세법",FPV(H2610,K2610),IF(H2610="EI",4,IF(H2610="EO",5.2,IF(H2610="EQ",3.9,IF(H2610="ILF",7.5,IF(H2610="EIF",5.4)))))))</f>
        <v/>
      </c>
      <c r="M2610" s="30" t="str">
        <f t="shared" si="275"/>
        <v/>
      </c>
      <c r="N2610" s="134"/>
      <c r="O2610" s="29"/>
      <c r="P2610" s="37" t="str">
        <f t="shared" si="276"/>
        <v/>
      </c>
      <c r="Q2610" s="38" t="str">
        <f t="shared" si="277"/>
        <v/>
      </c>
      <c r="R2610" s="37" t="str">
        <f t="shared" si="278"/>
        <v/>
      </c>
      <c r="S2610" s="37" t="str">
        <f t="shared" si="279"/>
        <v/>
      </c>
      <c r="T2610" s="38" t="str">
        <f t="shared" si="280"/>
        <v/>
      </c>
      <c r="U2610" s="37" t="str">
        <f t="shared" si="281"/>
        <v/>
      </c>
    </row>
    <row r="2611" spans="2:21" ht="17.25">
      <c r="B2611" s="156"/>
      <c r="C2611" s="156"/>
      <c r="D2611" s="157"/>
      <c r="E2611" s="155"/>
      <c r="F2611" s="151"/>
      <c r="G2611" s="152"/>
      <c r="H2611" s="153"/>
      <c r="I2611" s="154"/>
      <c r="J2611" s="154"/>
      <c r="K2611" s="30" t="str">
        <f>IF(H2611="","",IF($C$30="간이법","",FPR(H2611,I2611,J2611)))</f>
        <v/>
      </c>
      <c r="L2611" s="30" t="str">
        <f>IF(H2611="","",IF($C$30="상세법",FPV(H2611,K2611),IF(H2611="EI",4,IF(H2611="EO",5.2,IF(H2611="EQ",3.9,IF(H2611="ILF",7.5,IF(H2611="EIF",5.4)))))))</f>
        <v/>
      </c>
      <c r="M2611" s="30" t="str">
        <f t="shared" si="275"/>
        <v/>
      </c>
      <c r="N2611" s="134"/>
      <c r="O2611" s="29"/>
      <c r="P2611" s="37" t="str">
        <f t="shared" si="276"/>
        <v/>
      </c>
      <c r="Q2611" s="38" t="str">
        <f t="shared" si="277"/>
        <v/>
      </c>
      <c r="R2611" s="37" t="str">
        <f t="shared" si="278"/>
        <v/>
      </c>
      <c r="S2611" s="37" t="str">
        <f t="shared" si="279"/>
        <v/>
      </c>
      <c r="T2611" s="38" t="str">
        <f t="shared" si="280"/>
        <v/>
      </c>
      <c r="U2611" s="37" t="str">
        <f t="shared" si="281"/>
        <v/>
      </c>
    </row>
    <row r="2612" spans="2:21" ht="17.25">
      <c r="B2612" s="156"/>
      <c r="C2612" s="156"/>
      <c r="D2612" s="157"/>
      <c r="E2612" s="155"/>
      <c r="F2612" s="151"/>
      <c r="G2612" s="152"/>
      <c r="H2612" s="153"/>
      <c r="I2612" s="154"/>
      <c r="J2612" s="154"/>
      <c r="K2612" s="30" t="str">
        <f>IF(H2612="","",IF($C$30="간이법","",FPR(H2612,I2612,J2612)))</f>
        <v/>
      </c>
      <c r="L2612" s="30" t="str">
        <f>IF(H2612="","",IF($C$30="상세법",FPV(H2612,K2612),IF(H2612="EI",4,IF(H2612="EO",5.2,IF(H2612="EQ",3.9,IF(H2612="ILF",7.5,IF(H2612="EIF",5.4)))))))</f>
        <v/>
      </c>
      <c r="M2612" s="30" t="str">
        <f t="shared" si="275"/>
        <v/>
      </c>
      <c r="N2612" s="134"/>
      <c r="O2612" s="29"/>
      <c r="P2612" s="37" t="str">
        <f t="shared" si="276"/>
        <v/>
      </c>
      <c r="Q2612" s="38" t="str">
        <f t="shared" si="277"/>
        <v/>
      </c>
      <c r="R2612" s="37" t="str">
        <f t="shared" si="278"/>
        <v/>
      </c>
      <c r="S2612" s="37" t="str">
        <f t="shared" si="279"/>
        <v/>
      </c>
      <c r="T2612" s="38" t="str">
        <f t="shared" si="280"/>
        <v/>
      </c>
      <c r="U2612" s="37" t="str">
        <f t="shared" si="281"/>
        <v/>
      </c>
    </row>
    <row r="2613" spans="2:21" ht="17.25">
      <c r="B2613" s="156"/>
      <c r="C2613" s="156"/>
      <c r="D2613" s="157"/>
      <c r="E2613" s="155"/>
      <c r="F2613" s="151"/>
      <c r="G2613" s="152"/>
      <c r="H2613" s="153"/>
      <c r="I2613" s="154"/>
      <c r="J2613" s="154"/>
      <c r="K2613" s="30" t="str">
        <f>IF(H2613="","",IF($C$30="간이법","",FPR(H2613,I2613,J2613)))</f>
        <v/>
      </c>
      <c r="L2613" s="30" t="str">
        <f>IF(H2613="","",IF($C$30="상세법",FPV(H2613,K2613),IF(H2613="EI",4,IF(H2613="EO",5.2,IF(H2613="EQ",3.9,IF(H2613="ILF",7.5,IF(H2613="EIF",5.4)))))))</f>
        <v/>
      </c>
      <c r="M2613" s="30" t="str">
        <f t="shared" si="275"/>
        <v/>
      </c>
      <c r="N2613" s="134"/>
      <c r="O2613" s="29"/>
      <c r="P2613" s="37" t="str">
        <f t="shared" si="276"/>
        <v/>
      </c>
      <c r="Q2613" s="38" t="str">
        <f t="shared" si="277"/>
        <v/>
      </c>
      <c r="R2613" s="37" t="str">
        <f t="shared" si="278"/>
        <v/>
      </c>
      <c r="S2613" s="37" t="str">
        <f t="shared" si="279"/>
        <v/>
      </c>
      <c r="T2613" s="38" t="str">
        <f t="shared" si="280"/>
        <v/>
      </c>
      <c r="U2613" s="37" t="str">
        <f t="shared" si="281"/>
        <v/>
      </c>
    </row>
    <row r="2614" spans="2:21" ht="17.25">
      <c r="B2614" s="156"/>
      <c r="C2614" s="156"/>
      <c r="D2614" s="157"/>
      <c r="E2614" s="155"/>
      <c r="F2614" s="151"/>
      <c r="G2614" s="152"/>
      <c r="H2614" s="153"/>
      <c r="I2614" s="154"/>
      <c r="J2614" s="154"/>
      <c r="K2614" s="30" t="str">
        <f>IF(H2614="","",IF($C$30="간이법","",FPR(H2614,I2614,J2614)))</f>
        <v/>
      </c>
      <c r="L2614" s="30" t="str">
        <f>IF(H2614="","",IF($C$30="상세법",FPV(H2614,K2614),IF(H2614="EI",4,IF(H2614="EO",5.2,IF(H2614="EQ",3.9,IF(H2614="ILF",7.5,IF(H2614="EIF",5.4)))))))</f>
        <v/>
      </c>
      <c r="M2614" s="30" t="str">
        <f t="shared" si="275"/>
        <v/>
      </c>
      <c r="N2614" s="134"/>
      <c r="O2614" s="29"/>
      <c r="P2614" s="37" t="str">
        <f t="shared" si="276"/>
        <v/>
      </c>
      <c r="Q2614" s="38" t="str">
        <f t="shared" si="277"/>
        <v/>
      </c>
      <c r="R2614" s="37" t="str">
        <f t="shared" si="278"/>
        <v/>
      </c>
      <c r="S2614" s="37" t="str">
        <f t="shared" si="279"/>
        <v/>
      </c>
      <c r="T2614" s="38" t="str">
        <f t="shared" si="280"/>
        <v/>
      </c>
      <c r="U2614" s="37" t="str">
        <f t="shared" si="281"/>
        <v/>
      </c>
    </row>
    <row r="2615" spans="2:21" ht="17.25">
      <c r="B2615" s="156"/>
      <c r="C2615" s="156"/>
      <c r="D2615" s="157"/>
      <c r="E2615" s="155"/>
      <c r="F2615" s="151"/>
      <c r="G2615" s="152"/>
      <c r="H2615" s="153"/>
      <c r="I2615" s="154"/>
      <c r="J2615" s="154"/>
      <c r="K2615" s="30" t="str">
        <f>IF(H2615="","",IF($C$30="간이법","",FPR(H2615,I2615,J2615)))</f>
        <v/>
      </c>
      <c r="L2615" s="30" t="str">
        <f>IF(H2615="","",IF($C$30="상세법",FPV(H2615,K2615),IF(H2615="EI",4,IF(H2615="EO",5.2,IF(H2615="EQ",3.9,IF(H2615="ILF",7.5,IF(H2615="EIF",5.4)))))))</f>
        <v/>
      </c>
      <c r="M2615" s="30" t="str">
        <f t="shared" si="275"/>
        <v/>
      </c>
      <c r="N2615" s="134"/>
      <c r="O2615" s="29"/>
      <c r="P2615" s="37" t="str">
        <f t="shared" si="276"/>
        <v/>
      </c>
      <c r="Q2615" s="38" t="str">
        <f t="shared" si="277"/>
        <v/>
      </c>
      <c r="R2615" s="37" t="str">
        <f t="shared" si="278"/>
        <v/>
      </c>
      <c r="S2615" s="37" t="str">
        <f t="shared" si="279"/>
        <v/>
      </c>
      <c r="T2615" s="38" t="str">
        <f t="shared" si="280"/>
        <v/>
      </c>
      <c r="U2615" s="37" t="str">
        <f t="shared" si="281"/>
        <v/>
      </c>
    </row>
    <row r="2616" spans="2:21" ht="17.25">
      <c r="B2616" s="156"/>
      <c r="C2616" s="156"/>
      <c r="D2616" s="157"/>
      <c r="E2616" s="155"/>
      <c r="F2616" s="151"/>
      <c r="G2616" s="152"/>
      <c r="H2616" s="153"/>
      <c r="I2616" s="154"/>
      <c r="J2616" s="154"/>
      <c r="K2616" s="30" t="str">
        <f>IF(H2616="","",IF($C$30="간이법","",FPR(H2616,I2616,J2616)))</f>
        <v/>
      </c>
      <c r="L2616" s="30" t="str">
        <f>IF(H2616="","",IF($C$30="상세법",FPV(H2616,K2616),IF(H2616="EI",4,IF(H2616="EO",5.2,IF(H2616="EQ",3.9,IF(H2616="ILF",7.5,IF(H2616="EIF",5.4)))))))</f>
        <v/>
      </c>
      <c r="M2616" s="30" t="str">
        <f t="shared" si="275"/>
        <v/>
      </c>
      <c r="N2616" s="134"/>
      <c r="O2616" s="29"/>
      <c r="P2616" s="37" t="str">
        <f t="shared" si="276"/>
        <v/>
      </c>
      <c r="Q2616" s="38" t="str">
        <f t="shared" si="277"/>
        <v/>
      </c>
      <c r="R2616" s="37" t="str">
        <f t="shared" si="278"/>
        <v/>
      </c>
      <c r="S2616" s="37" t="str">
        <f t="shared" si="279"/>
        <v/>
      </c>
      <c r="T2616" s="38" t="str">
        <f t="shared" si="280"/>
        <v/>
      </c>
      <c r="U2616" s="37" t="str">
        <f t="shared" si="281"/>
        <v/>
      </c>
    </row>
    <row r="2617" spans="2:21" ht="17.25">
      <c r="B2617" s="156"/>
      <c r="C2617" s="156"/>
      <c r="D2617" s="157"/>
      <c r="E2617" s="155"/>
      <c r="F2617" s="151"/>
      <c r="G2617" s="152"/>
      <c r="H2617" s="153"/>
      <c r="I2617" s="154"/>
      <c r="J2617" s="154"/>
      <c r="K2617" s="30" t="str">
        <f>IF(H2617="","",IF($C$30="간이법","",FPR(H2617,I2617,J2617)))</f>
        <v/>
      </c>
      <c r="L2617" s="30" t="str">
        <f>IF(H2617="","",IF($C$30="상세법",FPV(H2617,K2617),IF(H2617="EI",4,IF(H2617="EO",5.2,IF(H2617="EQ",3.9,IF(H2617="ILF",7.5,IF(H2617="EIF",5.4)))))))</f>
        <v/>
      </c>
      <c r="M2617" s="30" t="str">
        <f t="shared" si="275"/>
        <v/>
      </c>
      <c r="N2617" s="134"/>
      <c r="O2617" s="29"/>
      <c r="P2617" s="37" t="str">
        <f t="shared" si="276"/>
        <v/>
      </c>
      <c r="Q2617" s="38" t="str">
        <f t="shared" si="277"/>
        <v/>
      </c>
      <c r="R2617" s="37" t="str">
        <f t="shared" si="278"/>
        <v/>
      </c>
      <c r="S2617" s="37" t="str">
        <f t="shared" si="279"/>
        <v/>
      </c>
      <c r="T2617" s="38" t="str">
        <f t="shared" si="280"/>
        <v/>
      </c>
      <c r="U2617" s="37" t="str">
        <f t="shared" si="281"/>
        <v/>
      </c>
    </row>
    <row r="2618" spans="2:21" ht="17.25">
      <c r="B2618" s="156"/>
      <c r="C2618" s="156"/>
      <c r="D2618" s="157"/>
      <c r="E2618" s="155"/>
      <c r="F2618" s="151"/>
      <c r="G2618" s="152"/>
      <c r="H2618" s="153"/>
      <c r="I2618" s="154"/>
      <c r="J2618" s="154"/>
      <c r="K2618" s="30" t="str">
        <f>IF(H2618="","",IF($C$30="간이법","",FPR(H2618,I2618,J2618)))</f>
        <v/>
      </c>
      <c r="L2618" s="30" t="str">
        <f>IF(H2618="","",IF($C$30="상세법",FPV(H2618,K2618),IF(H2618="EI",4,IF(H2618="EO",5.2,IF(H2618="EQ",3.9,IF(H2618="ILF",7.5,IF(H2618="EIF",5.4)))))))</f>
        <v/>
      </c>
      <c r="M2618" s="30" t="str">
        <f t="shared" si="275"/>
        <v/>
      </c>
      <c r="N2618" s="134"/>
      <c r="O2618" s="29"/>
      <c r="P2618" s="37" t="str">
        <f t="shared" si="276"/>
        <v/>
      </c>
      <c r="Q2618" s="38" t="str">
        <f t="shared" si="277"/>
        <v/>
      </c>
      <c r="R2618" s="37" t="str">
        <f t="shared" si="278"/>
        <v/>
      </c>
      <c r="S2618" s="37" t="str">
        <f t="shared" si="279"/>
        <v/>
      </c>
      <c r="T2618" s="38" t="str">
        <f t="shared" si="280"/>
        <v/>
      </c>
      <c r="U2618" s="37" t="str">
        <f t="shared" si="281"/>
        <v/>
      </c>
    </row>
    <row r="2619" spans="2:21" ht="17.25">
      <c r="B2619" s="156"/>
      <c r="C2619" s="156"/>
      <c r="D2619" s="157"/>
      <c r="E2619" s="155"/>
      <c r="F2619" s="151"/>
      <c r="G2619" s="152"/>
      <c r="H2619" s="153"/>
      <c r="I2619" s="154"/>
      <c r="J2619" s="154"/>
      <c r="K2619" s="30" t="str">
        <f>IF(H2619="","",IF($C$30="간이법","",FPR(H2619,I2619,J2619)))</f>
        <v/>
      </c>
      <c r="L2619" s="30" t="str">
        <f>IF(H2619="","",IF($C$30="상세법",FPV(H2619,K2619),IF(H2619="EI",4,IF(H2619="EO",5.2,IF(H2619="EQ",3.9,IF(H2619="ILF",7.5,IF(H2619="EIF",5.4)))))))</f>
        <v/>
      </c>
      <c r="M2619" s="30" t="str">
        <f t="shared" si="275"/>
        <v/>
      </c>
      <c r="N2619" s="134"/>
      <c r="O2619" s="29"/>
      <c r="P2619" s="37" t="str">
        <f t="shared" si="276"/>
        <v/>
      </c>
      <c r="Q2619" s="38" t="str">
        <f t="shared" si="277"/>
        <v/>
      </c>
      <c r="R2619" s="37" t="str">
        <f t="shared" si="278"/>
        <v/>
      </c>
      <c r="S2619" s="37" t="str">
        <f t="shared" si="279"/>
        <v/>
      </c>
      <c r="T2619" s="38" t="str">
        <f t="shared" si="280"/>
        <v/>
      </c>
      <c r="U2619" s="37" t="str">
        <f t="shared" si="281"/>
        <v/>
      </c>
    </row>
    <row r="2620" spans="2:21" ht="17.25">
      <c r="B2620" s="156"/>
      <c r="C2620" s="156"/>
      <c r="D2620" s="157"/>
      <c r="E2620" s="155"/>
      <c r="F2620" s="151"/>
      <c r="G2620" s="152"/>
      <c r="H2620" s="153"/>
      <c r="I2620" s="154"/>
      <c r="J2620" s="154"/>
      <c r="K2620" s="30" t="str">
        <f>IF(H2620="","",IF($C$30="간이법","",FPR(H2620,I2620,J2620)))</f>
        <v/>
      </c>
      <c r="L2620" s="30" t="str">
        <f>IF(H2620="","",IF($C$30="상세법",FPV(H2620,K2620),IF(H2620="EI",4,IF(H2620="EO",5.2,IF(H2620="EQ",3.9,IF(H2620="ILF",7.5,IF(H2620="EIF",5.4)))))))</f>
        <v/>
      </c>
      <c r="M2620" s="30" t="str">
        <f t="shared" ref="M2620:M2683" si="282">IF(OR(G2620="",$E$36="(선택)",$E$40="(선택)",$E$41="(선택)",F2620="신규 개발",F2620="수정 없이 재사용"),"",(IF(F2620="수정 후 재사용",IF($E$50&lt;=0.5,L2620*($E$36+$E$50*100*(1+0.02*($E$40*$E$41)))/100,L2620*($E$36+$E$50*100+($E$40*$E$41))/100))))</f>
        <v/>
      </c>
      <c r="N2620" s="134"/>
      <c r="O2620" s="29"/>
      <c r="P2620" s="37" t="str">
        <f t="shared" ref="P2620:P2683" si="283">IF(F2620="수정 후 재사용",IF(H2620="ILF",G2620,IF(H2620="EIF",G2620,"")),"")</f>
        <v/>
      </c>
      <c r="Q2620" s="38" t="str">
        <f t="shared" ref="Q2620:Q2683" si="284">IF(P2620&lt;&gt;"",IF(H2620="ILF", L2620/$E$46,IF(H2620="EIF", L2620/$E$46,"")),"")</f>
        <v/>
      </c>
      <c r="R2620" s="37" t="str">
        <f t="shared" ref="R2620:R2683" si="285">IF(P2620&lt;&gt;"",P2620*Q2620,"")</f>
        <v/>
      </c>
      <c r="S2620" s="37" t="str">
        <f t="shared" ref="S2620:S2683" si="286">IF(F2620="수정 후 재사용",IF(H2620="EI",G2620,IF(H2620="EO",G2620,IF(H2620="EQ",G2620,""))),"")</f>
        <v/>
      </c>
      <c r="T2620" s="38" t="str">
        <f t="shared" ref="T2620:T2683" si="287">IF(S2620&lt;&gt;"",IF(H2620="EI",L2620/$E$47,IF(H2620="EO",L2620/$E$47,IF(H2620="EQ",L2620/$E$47,""))),"")</f>
        <v/>
      </c>
      <c r="U2620" s="37" t="str">
        <f t="shared" ref="U2620:U2683" si="288">IF(S2620&lt;&gt;"",S2620*T2620,"")</f>
        <v/>
      </c>
    </row>
    <row r="2621" spans="2:21" ht="17.25">
      <c r="B2621" s="156"/>
      <c r="C2621" s="156"/>
      <c r="D2621" s="157"/>
      <c r="E2621" s="155"/>
      <c r="F2621" s="151"/>
      <c r="G2621" s="152"/>
      <c r="H2621" s="153"/>
      <c r="I2621" s="154"/>
      <c r="J2621" s="154"/>
      <c r="K2621" s="30" t="str">
        <f>IF(H2621="","",IF($C$30="간이법","",FPR(H2621,I2621,J2621)))</f>
        <v/>
      </c>
      <c r="L2621" s="30" t="str">
        <f>IF(H2621="","",IF($C$30="상세법",FPV(H2621,K2621),IF(H2621="EI",4,IF(H2621="EO",5.2,IF(H2621="EQ",3.9,IF(H2621="ILF",7.5,IF(H2621="EIF",5.4)))))))</f>
        <v/>
      </c>
      <c r="M2621" s="30" t="str">
        <f t="shared" si="282"/>
        <v/>
      </c>
      <c r="N2621" s="134"/>
      <c r="O2621" s="29"/>
      <c r="P2621" s="37" t="str">
        <f t="shared" si="283"/>
        <v/>
      </c>
      <c r="Q2621" s="38" t="str">
        <f t="shared" si="284"/>
        <v/>
      </c>
      <c r="R2621" s="37" t="str">
        <f t="shared" si="285"/>
        <v/>
      </c>
      <c r="S2621" s="37" t="str">
        <f t="shared" si="286"/>
        <v/>
      </c>
      <c r="T2621" s="38" t="str">
        <f t="shared" si="287"/>
        <v/>
      </c>
      <c r="U2621" s="37" t="str">
        <f t="shared" si="288"/>
        <v/>
      </c>
    </row>
    <row r="2622" spans="2:21" ht="17.25">
      <c r="B2622" s="156"/>
      <c r="C2622" s="156"/>
      <c r="D2622" s="157"/>
      <c r="E2622" s="155"/>
      <c r="F2622" s="151"/>
      <c r="G2622" s="152"/>
      <c r="H2622" s="153"/>
      <c r="I2622" s="154"/>
      <c r="J2622" s="154"/>
      <c r="K2622" s="30" t="str">
        <f>IF(H2622="","",IF($C$30="간이법","",FPR(H2622,I2622,J2622)))</f>
        <v/>
      </c>
      <c r="L2622" s="30" t="str">
        <f>IF(H2622="","",IF($C$30="상세법",FPV(H2622,K2622),IF(H2622="EI",4,IF(H2622="EO",5.2,IF(H2622="EQ",3.9,IF(H2622="ILF",7.5,IF(H2622="EIF",5.4)))))))</f>
        <v/>
      </c>
      <c r="M2622" s="30" t="str">
        <f t="shared" si="282"/>
        <v/>
      </c>
      <c r="N2622" s="134"/>
      <c r="O2622" s="29"/>
      <c r="P2622" s="37" t="str">
        <f t="shared" si="283"/>
        <v/>
      </c>
      <c r="Q2622" s="38" t="str">
        <f t="shared" si="284"/>
        <v/>
      </c>
      <c r="R2622" s="37" t="str">
        <f t="shared" si="285"/>
        <v/>
      </c>
      <c r="S2622" s="37" t="str">
        <f t="shared" si="286"/>
        <v/>
      </c>
      <c r="T2622" s="38" t="str">
        <f t="shared" si="287"/>
        <v/>
      </c>
      <c r="U2622" s="37" t="str">
        <f t="shared" si="288"/>
        <v/>
      </c>
    </row>
    <row r="2623" spans="2:21" ht="17.25">
      <c r="B2623" s="156"/>
      <c r="C2623" s="156"/>
      <c r="D2623" s="157"/>
      <c r="E2623" s="155"/>
      <c r="F2623" s="151"/>
      <c r="G2623" s="152"/>
      <c r="H2623" s="153"/>
      <c r="I2623" s="154"/>
      <c r="J2623" s="154"/>
      <c r="K2623" s="30" t="str">
        <f>IF(H2623="","",IF($C$30="간이법","",FPR(H2623,I2623,J2623)))</f>
        <v/>
      </c>
      <c r="L2623" s="30" t="str">
        <f>IF(H2623="","",IF($C$30="상세법",FPV(H2623,K2623),IF(H2623="EI",4,IF(H2623="EO",5.2,IF(H2623="EQ",3.9,IF(H2623="ILF",7.5,IF(H2623="EIF",5.4)))))))</f>
        <v/>
      </c>
      <c r="M2623" s="30" t="str">
        <f t="shared" si="282"/>
        <v/>
      </c>
      <c r="N2623" s="134"/>
      <c r="O2623" s="29"/>
      <c r="P2623" s="37" t="str">
        <f t="shared" si="283"/>
        <v/>
      </c>
      <c r="Q2623" s="38" t="str">
        <f t="shared" si="284"/>
        <v/>
      </c>
      <c r="R2623" s="37" t="str">
        <f t="shared" si="285"/>
        <v/>
      </c>
      <c r="S2623" s="37" t="str">
        <f t="shared" si="286"/>
        <v/>
      </c>
      <c r="T2623" s="38" t="str">
        <f t="shared" si="287"/>
        <v/>
      </c>
      <c r="U2623" s="37" t="str">
        <f t="shared" si="288"/>
        <v/>
      </c>
    </row>
    <row r="2624" spans="2:21" ht="17.25">
      <c r="B2624" s="156"/>
      <c r="C2624" s="156"/>
      <c r="D2624" s="157"/>
      <c r="E2624" s="155"/>
      <c r="F2624" s="151"/>
      <c r="G2624" s="152"/>
      <c r="H2624" s="153"/>
      <c r="I2624" s="154"/>
      <c r="J2624" s="154"/>
      <c r="K2624" s="30" t="str">
        <f>IF(H2624="","",IF($C$30="간이법","",FPR(H2624,I2624,J2624)))</f>
        <v/>
      </c>
      <c r="L2624" s="30" t="str">
        <f>IF(H2624="","",IF($C$30="상세법",FPV(H2624,K2624),IF(H2624="EI",4,IF(H2624="EO",5.2,IF(H2624="EQ",3.9,IF(H2624="ILF",7.5,IF(H2624="EIF",5.4)))))))</f>
        <v/>
      </c>
      <c r="M2624" s="30" t="str">
        <f t="shared" si="282"/>
        <v/>
      </c>
      <c r="N2624" s="134"/>
      <c r="O2624" s="29"/>
      <c r="P2624" s="37" t="str">
        <f t="shared" si="283"/>
        <v/>
      </c>
      <c r="Q2624" s="38" t="str">
        <f t="shared" si="284"/>
        <v/>
      </c>
      <c r="R2624" s="37" t="str">
        <f t="shared" si="285"/>
        <v/>
      </c>
      <c r="S2624" s="37" t="str">
        <f t="shared" si="286"/>
        <v/>
      </c>
      <c r="T2624" s="38" t="str">
        <f t="shared" si="287"/>
        <v/>
      </c>
      <c r="U2624" s="37" t="str">
        <f t="shared" si="288"/>
        <v/>
      </c>
    </row>
    <row r="2625" spans="2:21" ht="17.25">
      <c r="B2625" s="156"/>
      <c r="C2625" s="156"/>
      <c r="D2625" s="157"/>
      <c r="E2625" s="155"/>
      <c r="F2625" s="151"/>
      <c r="G2625" s="152"/>
      <c r="H2625" s="153"/>
      <c r="I2625" s="154"/>
      <c r="J2625" s="154"/>
      <c r="K2625" s="30" t="str">
        <f>IF(H2625="","",IF($C$30="간이법","",FPR(H2625,I2625,J2625)))</f>
        <v/>
      </c>
      <c r="L2625" s="30" t="str">
        <f>IF(H2625="","",IF($C$30="상세법",FPV(H2625,K2625),IF(H2625="EI",4,IF(H2625="EO",5.2,IF(H2625="EQ",3.9,IF(H2625="ILF",7.5,IF(H2625="EIF",5.4)))))))</f>
        <v/>
      </c>
      <c r="M2625" s="30" t="str">
        <f t="shared" si="282"/>
        <v/>
      </c>
      <c r="N2625" s="134"/>
      <c r="O2625" s="29"/>
      <c r="P2625" s="37" t="str">
        <f t="shared" si="283"/>
        <v/>
      </c>
      <c r="Q2625" s="38" t="str">
        <f t="shared" si="284"/>
        <v/>
      </c>
      <c r="R2625" s="37" t="str">
        <f t="shared" si="285"/>
        <v/>
      </c>
      <c r="S2625" s="37" t="str">
        <f t="shared" si="286"/>
        <v/>
      </c>
      <c r="T2625" s="38" t="str">
        <f t="shared" si="287"/>
        <v/>
      </c>
      <c r="U2625" s="37" t="str">
        <f t="shared" si="288"/>
        <v/>
      </c>
    </row>
    <row r="2626" spans="2:21" ht="17.25">
      <c r="B2626" s="156"/>
      <c r="C2626" s="156"/>
      <c r="D2626" s="157"/>
      <c r="E2626" s="155"/>
      <c r="F2626" s="151"/>
      <c r="G2626" s="152"/>
      <c r="H2626" s="153"/>
      <c r="I2626" s="154"/>
      <c r="J2626" s="154"/>
      <c r="K2626" s="30" t="str">
        <f>IF(H2626="","",IF($C$30="간이법","",FPR(H2626,I2626,J2626)))</f>
        <v/>
      </c>
      <c r="L2626" s="30" t="str">
        <f>IF(H2626="","",IF($C$30="상세법",FPV(H2626,K2626),IF(H2626="EI",4,IF(H2626="EO",5.2,IF(H2626="EQ",3.9,IF(H2626="ILF",7.5,IF(H2626="EIF",5.4)))))))</f>
        <v/>
      </c>
      <c r="M2626" s="30" t="str">
        <f t="shared" si="282"/>
        <v/>
      </c>
      <c r="N2626" s="134"/>
      <c r="O2626" s="29"/>
      <c r="P2626" s="37" t="str">
        <f t="shared" si="283"/>
        <v/>
      </c>
      <c r="Q2626" s="38" t="str">
        <f t="shared" si="284"/>
        <v/>
      </c>
      <c r="R2626" s="37" t="str">
        <f t="shared" si="285"/>
        <v/>
      </c>
      <c r="S2626" s="37" t="str">
        <f t="shared" si="286"/>
        <v/>
      </c>
      <c r="T2626" s="38" t="str">
        <f t="shared" si="287"/>
        <v/>
      </c>
      <c r="U2626" s="37" t="str">
        <f t="shared" si="288"/>
        <v/>
      </c>
    </row>
    <row r="2627" spans="2:21" ht="17.25">
      <c r="B2627" s="156"/>
      <c r="C2627" s="156"/>
      <c r="D2627" s="157"/>
      <c r="E2627" s="155"/>
      <c r="F2627" s="151"/>
      <c r="G2627" s="152"/>
      <c r="H2627" s="153"/>
      <c r="I2627" s="154"/>
      <c r="J2627" s="154"/>
      <c r="K2627" s="30" t="str">
        <f>IF(H2627="","",IF($C$30="간이법","",FPR(H2627,I2627,J2627)))</f>
        <v/>
      </c>
      <c r="L2627" s="30" t="str">
        <f>IF(H2627="","",IF($C$30="상세법",FPV(H2627,K2627),IF(H2627="EI",4,IF(H2627="EO",5.2,IF(H2627="EQ",3.9,IF(H2627="ILF",7.5,IF(H2627="EIF",5.4)))))))</f>
        <v/>
      </c>
      <c r="M2627" s="30" t="str">
        <f t="shared" si="282"/>
        <v/>
      </c>
      <c r="N2627" s="134"/>
      <c r="O2627" s="29"/>
      <c r="P2627" s="37" t="str">
        <f t="shared" si="283"/>
        <v/>
      </c>
      <c r="Q2627" s="38" t="str">
        <f t="shared" si="284"/>
        <v/>
      </c>
      <c r="R2627" s="37" t="str">
        <f t="shared" si="285"/>
        <v/>
      </c>
      <c r="S2627" s="37" t="str">
        <f t="shared" si="286"/>
        <v/>
      </c>
      <c r="T2627" s="38" t="str">
        <f t="shared" si="287"/>
        <v/>
      </c>
      <c r="U2627" s="37" t="str">
        <f t="shared" si="288"/>
        <v/>
      </c>
    </row>
    <row r="2628" spans="2:21" ht="17.25">
      <c r="B2628" s="156"/>
      <c r="C2628" s="156"/>
      <c r="D2628" s="157"/>
      <c r="E2628" s="155"/>
      <c r="F2628" s="151"/>
      <c r="G2628" s="152"/>
      <c r="H2628" s="153"/>
      <c r="I2628" s="154"/>
      <c r="J2628" s="154"/>
      <c r="K2628" s="30" t="str">
        <f>IF(H2628="","",IF($C$30="간이법","",FPR(H2628,I2628,J2628)))</f>
        <v/>
      </c>
      <c r="L2628" s="30" t="str">
        <f>IF(H2628="","",IF($C$30="상세법",FPV(H2628,K2628),IF(H2628="EI",4,IF(H2628="EO",5.2,IF(H2628="EQ",3.9,IF(H2628="ILF",7.5,IF(H2628="EIF",5.4)))))))</f>
        <v/>
      </c>
      <c r="M2628" s="30" t="str">
        <f t="shared" si="282"/>
        <v/>
      </c>
      <c r="N2628" s="134"/>
      <c r="O2628" s="29"/>
      <c r="P2628" s="37" t="str">
        <f t="shared" si="283"/>
        <v/>
      </c>
      <c r="Q2628" s="38" t="str">
        <f t="shared" si="284"/>
        <v/>
      </c>
      <c r="R2628" s="37" t="str">
        <f t="shared" si="285"/>
        <v/>
      </c>
      <c r="S2628" s="37" t="str">
        <f t="shared" si="286"/>
        <v/>
      </c>
      <c r="T2628" s="38" t="str">
        <f t="shared" si="287"/>
        <v/>
      </c>
      <c r="U2628" s="37" t="str">
        <f t="shared" si="288"/>
        <v/>
      </c>
    </row>
    <row r="2629" spans="2:21" ht="17.25">
      <c r="B2629" s="156"/>
      <c r="C2629" s="156"/>
      <c r="D2629" s="157"/>
      <c r="E2629" s="155"/>
      <c r="F2629" s="151"/>
      <c r="G2629" s="152"/>
      <c r="H2629" s="153"/>
      <c r="I2629" s="154"/>
      <c r="J2629" s="154"/>
      <c r="K2629" s="30" t="str">
        <f>IF(H2629="","",IF($C$30="간이법","",FPR(H2629,I2629,J2629)))</f>
        <v/>
      </c>
      <c r="L2629" s="30" t="str">
        <f>IF(H2629="","",IF($C$30="상세법",FPV(H2629,K2629),IF(H2629="EI",4,IF(H2629="EO",5.2,IF(H2629="EQ",3.9,IF(H2629="ILF",7.5,IF(H2629="EIF",5.4)))))))</f>
        <v/>
      </c>
      <c r="M2629" s="30" t="str">
        <f t="shared" si="282"/>
        <v/>
      </c>
      <c r="N2629" s="134"/>
      <c r="O2629" s="29"/>
      <c r="P2629" s="37" t="str">
        <f t="shared" si="283"/>
        <v/>
      </c>
      <c r="Q2629" s="38" t="str">
        <f t="shared" si="284"/>
        <v/>
      </c>
      <c r="R2629" s="37" t="str">
        <f t="shared" si="285"/>
        <v/>
      </c>
      <c r="S2629" s="37" t="str">
        <f t="shared" si="286"/>
        <v/>
      </c>
      <c r="T2629" s="38" t="str">
        <f t="shared" si="287"/>
        <v/>
      </c>
      <c r="U2629" s="37" t="str">
        <f t="shared" si="288"/>
        <v/>
      </c>
    </row>
    <row r="2630" spans="2:21" ht="17.25">
      <c r="B2630" s="156"/>
      <c r="C2630" s="156"/>
      <c r="D2630" s="157"/>
      <c r="E2630" s="155"/>
      <c r="F2630" s="151"/>
      <c r="G2630" s="152"/>
      <c r="H2630" s="153"/>
      <c r="I2630" s="154"/>
      <c r="J2630" s="154"/>
      <c r="K2630" s="30" t="str">
        <f>IF(H2630="","",IF($C$30="간이법","",FPR(H2630,I2630,J2630)))</f>
        <v/>
      </c>
      <c r="L2630" s="30" t="str">
        <f>IF(H2630="","",IF($C$30="상세법",FPV(H2630,K2630),IF(H2630="EI",4,IF(H2630="EO",5.2,IF(H2630="EQ",3.9,IF(H2630="ILF",7.5,IF(H2630="EIF",5.4)))))))</f>
        <v/>
      </c>
      <c r="M2630" s="30" t="str">
        <f t="shared" si="282"/>
        <v/>
      </c>
      <c r="N2630" s="134"/>
      <c r="O2630" s="29"/>
      <c r="P2630" s="37" t="str">
        <f t="shared" si="283"/>
        <v/>
      </c>
      <c r="Q2630" s="38" t="str">
        <f t="shared" si="284"/>
        <v/>
      </c>
      <c r="R2630" s="37" t="str">
        <f t="shared" si="285"/>
        <v/>
      </c>
      <c r="S2630" s="37" t="str">
        <f t="shared" si="286"/>
        <v/>
      </c>
      <c r="T2630" s="38" t="str">
        <f t="shared" si="287"/>
        <v/>
      </c>
      <c r="U2630" s="37" t="str">
        <f t="shared" si="288"/>
        <v/>
      </c>
    </row>
    <row r="2631" spans="2:21" ht="17.25">
      <c r="B2631" s="156"/>
      <c r="C2631" s="156"/>
      <c r="D2631" s="157"/>
      <c r="E2631" s="155"/>
      <c r="F2631" s="151"/>
      <c r="G2631" s="152"/>
      <c r="H2631" s="153"/>
      <c r="I2631" s="154"/>
      <c r="J2631" s="154"/>
      <c r="K2631" s="30" t="str">
        <f>IF(H2631="","",IF($C$30="간이법","",FPR(H2631,I2631,J2631)))</f>
        <v/>
      </c>
      <c r="L2631" s="30" t="str">
        <f>IF(H2631="","",IF($C$30="상세법",FPV(H2631,K2631),IF(H2631="EI",4,IF(H2631="EO",5.2,IF(H2631="EQ",3.9,IF(H2631="ILF",7.5,IF(H2631="EIF",5.4)))))))</f>
        <v/>
      </c>
      <c r="M2631" s="30" t="str">
        <f t="shared" si="282"/>
        <v/>
      </c>
      <c r="N2631" s="134"/>
      <c r="O2631" s="29"/>
      <c r="P2631" s="37" t="str">
        <f t="shared" si="283"/>
        <v/>
      </c>
      <c r="Q2631" s="38" t="str">
        <f t="shared" si="284"/>
        <v/>
      </c>
      <c r="R2631" s="37" t="str">
        <f t="shared" si="285"/>
        <v/>
      </c>
      <c r="S2631" s="37" t="str">
        <f t="shared" si="286"/>
        <v/>
      </c>
      <c r="T2631" s="38" t="str">
        <f t="shared" si="287"/>
        <v/>
      </c>
      <c r="U2631" s="37" t="str">
        <f t="shared" si="288"/>
        <v/>
      </c>
    </row>
    <row r="2632" spans="2:21" ht="17.25">
      <c r="B2632" s="156"/>
      <c r="C2632" s="156"/>
      <c r="D2632" s="157"/>
      <c r="E2632" s="155"/>
      <c r="F2632" s="151"/>
      <c r="G2632" s="152"/>
      <c r="H2632" s="153"/>
      <c r="I2632" s="154"/>
      <c r="J2632" s="154"/>
      <c r="K2632" s="30" t="str">
        <f>IF(H2632="","",IF($C$30="간이법","",FPR(H2632,I2632,J2632)))</f>
        <v/>
      </c>
      <c r="L2632" s="30" t="str">
        <f>IF(H2632="","",IF($C$30="상세법",FPV(H2632,K2632),IF(H2632="EI",4,IF(H2632="EO",5.2,IF(H2632="EQ",3.9,IF(H2632="ILF",7.5,IF(H2632="EIF",5.4)))))))</f>
        <v/>
      </c>
      <c r="M2632" s="30" t="str">
        <f t="shared" si="282"/>
        <v/>
      </c>
      <c r="N2632" s="134"/>
      <c r="O2632" s="29"/>
      <c r="P2632" s="37" t="str">
        <f t="shared" si="283"/>
        <v/>
      </c>
      <c r="Q2632" s="38" t="str">
        <f t="shared" si="284"/>
        <v/>
      </c>
      <c r="R2632" s="37" t="str">
        <f t="shared" si="285"/>
        <v/>
      </c>
      <c r="S2632" s="37" t="str">
        <f t="shared" si="286"/>
        <v/>
      </c>
      <c r="T2632" s="38" t="str">
        <f t="shared" si="287"/>
        <v/>
      </c>
      <c r="U2632" s="37" t="str">
        <f t="shared" si="288"/>
        <v/>
      </c>
    </row>
    <row r="2633" spans="2:21" ht="17.25">
      <c r="B2633" s="156"/>
      <c r="C2633" s="156"/>
      <c r="D2633" s="157"/>
      <c r="E2633" s="155"/>
      <c r="F2633" s="151"/>
      <c r="G2633" s="152"/>
      <c r="H2633" s="153"/>
      <c r="I2633" s="154"/>
      <c r="J2633" s="154"/>
      <c r="K2633" s="30" t="str">
        <f>IF(H2633="","",IF($C$30="간이법","",FPR(H2633,I2633,J2633)))</f>
        <v/>
      </c>
      <c r="L2633" s="30" t="str">
        <f>IF(H2633="","",IF($C$30="상세법",FPV(H2633,K2633),IF(H2633="EI",4,IF(H2633="EO",5.2,IF(H2633="EQ",3.9,IF(H2633="ILF",7.5,IF(H2633="EIF",5.4)))))))</f>
        <v/>
      </c>
      <c r="M2633" s="30" t="str">
        <f t="shared" si="282"/>
        <v/>
      </c>
      <c r="N2633" s="134"/>
      <c r="O2633" s="29"/>
      <c r="P2633" s="37" t="str">
        <f t="shared" si="283"/>
        <v/>
      </c>
      <c r="Q2633" s="38" t="str">
        <f t="shared" si="284"/>
        <v/>
      </c>
      <c r="R2633" s="37" t="str">
        <f t="shared" si="285"/>
        <v/>
      </c>
      <c r="S2633" s="37" t="str">
        <f t="shared" si="286"/>
        <v/>
      </c>
      <c r="T2633" s="38" t="str">
        <f t="shared" si="287"/>
        <v/>
      </c>
      <c r="U2633" s="37" t="str">
        <f t="shared" si="288"/>
        <v/>
      </c>
    </row>
    <row r="2634" spans="2:21" ht="17.25">
      <c r="B2634" s="156"/>
      <c r="C2634" s="156"/>
      <c r="D2634" s="157"/>
      <c r="E2634" s="155"/>
      <c r="F2634" s="151"/>
      <c r="G2634" s="152"/>
      <c r="H2634" s="153"/>
      <c r="I2634" s="154"/>
      <c r="J2634" s="154"/>
      <c r="K2634" s="30" t="str">
        <f>IF(H2634="","",IF($C$30="간이법","",FPR(H2634,I2634,J2634)))</f>
        <v/>
      </c>
      <c r="L2634" s="30" t="str">
        <f>IF(H2634="","",IF($C$30="상세법",FPV(H2634,K2634),IF(H2634="EI",4,IF(H2634="EO",5.2,IF(H2634="EQ",3.9,IF(H2634="ILF",7.5,IF(H2634="EIF",5.4)))))))</f>
        <v/>
      </c>
      <c r="M2634" s="30" t="str">
        <f t="shared" si="282"/>
        <v/>
      </c>
      <c r="N2634" s="134"/>
      <c r="O2634" s="29"/>
      <c r="P2634" s="37" t="str">
        <f t="shared" si="283"/>
        <v/>
      </c>
      <c r="Q2634" s="38" t="str">
        <f t="shared" si="284"/>
        <v/>
      </c>
      <c r="R2634" s="37" t="str">
        <f t="shared" si="285"/>
        <v/>
      </c>
      <c r="S2634" s="37" t="str">
        <f t="shared" si="286"/>
        <v/>
      </c>
      <c r="T2634" s="38" t="str">
        <f t="shared" si="287"/>
        <v/>
      </c>
      <c r="U2634" s="37" t="str">
        <f t="shared" si="288"/>
        <v/>
      </c>
    </row>
    <row r="2635" spans="2:21" ht="17.25">
      <c r="B2635" s="156"/>
      <c r="C2635" s="156"/>
      <c r="D2635" s="157"/>
      <c r="E2635" s="155"/>
      <c r="F2635" s="151"/>
      <c r="G2635" s="152"/>
      <c r="H2635" s="153"/>
      <c r="I2635" s="154"/>
      <c r="J2635" s="154"/>
      <c r="K2635" s="30" t="str">
        <f>IF(H2635="","",IF($C$30="간이법","",FPR(H2635,I2635,J2635)))</f>
        <v/>
      </c>
      <c r="L2635" s="30" t="str">
        <f>IF(H2635="","",IF($C$30="상세법",FPV(H2635,K2635),IF(H2635="EI",4,IF(H2635="EO",5.2,IF(H2635="EQ",3.9,IF(H2635="ILF",7.5,IF(H2635="EIF",5.4)))))))</f>
        <v/>
      </c>
      <c r="M2635" s="30" t="str">
        <f t="shared" si="282"/>
        <v/>
      </c>
      <c r="N2635" s="134"/>
      <c r="O2635" s="29"/>
      <c r="P2635" s="37" t="str">
        <f t="shared" si="283"/>
        <v/>
      </c>
      <c r="Q2635" s="38" t="str">
        <f t="shared" si="284"/>
        <v/>
      </c>
      <c r="R2635" s="37" t="str">
        <f t="shared" si="285"/>
        <v/>
      </c>
      <c r="S2635" s="37" t="str">
        <f t="shared" si="286"/>
        <v/>
      </c>
      <c r="T2635" s="38" t="str">
        <f t="shared" si="287"/>
        <v/>
      </c>
      <c r="U2635" s="37" t="str">
        <f t="shared" si="288"/>
        <v/>
      </c>
    </row>
    <row r="2636" spans="2:21" ht="17.25">
      <c r="B2636" s="156"/>
      <c r="C2636" s="156"/>
      <c r="D2636" s="157"/>
      <c r="E2636" s="155"/>
      <c r="F2636" s="151"/>
      <c r="G2636" s="152"/>
      <c r="H2636" s="153"/>
      <c r="I2636" s="154"/>
      <c r="J2636" s="154"/>
      <c r="K2636" s="30" t="str">
        <f>IF(H2636="","",IF($C$30="간이법","",FPR(H2636,I2636,J2636)))</f>
        <v/>
      </c>
      <c r="L2636" s="30" t="str">
        <f>IF(H2636="","",IF($C$30="상세법",FPV(H2636,K2636),IF(H2636="EI",4,IF(H2636="EO",5.2,IF(H2636="EQ",3.9,IF(H2636="ILF",7.5,IF(H2636="EIF",5.4)))))))</f>
        <v/>
      </c>
      <c r="M2636" s="30" t="str">
        <f t="shared" si="282"/>
        <v/>
      </c>
      <c r="N2636" s="134"/>
      <c r="O2636" s="29"/>
      <c r="P2636" s="37" t="str">
        <f t="shared" si="283"/>
        <v/>
      </c>
      <c r="Q2636" s="38" t="str">
        <f t="shared" si="284"/>
        <v/>
      </c>
      <c r="R2636" s="37" t="str">
        <f t="shared" si="285"/>
        <v/>
      </c>
      <c r="S2636" s="37" t="str">
        <f t="shared" si="286"/>
        <v/>
      </c>
      <c r="T2636" s="38" t="str">
        <f t="shared" si="287"/>
        <v/>
      </c>
      <c r="U2636" s="37" t="str">
        <f t="shared" si="288"/>
        <v/>
      </c>
    </row>
    <row r="2637" spans="2:21" ht="17.25">
      <c r="B2637" s="156"/>
      <c r="C2637" s="156"/>
      <c r="D2637" s="157"/>
      <c r="E2637" s="155"/>
      <c r="F2637" s="151"/>
      <c r="G2637" s="152"/>
      <c r="H2637" s="153"/>
      <c r="I2637" s="154"/>
      <c r="J2637" s="154"/>
      <c r="K2637" s="30" t="str">
        <f>IF(H2637="","",IF($C$30="간이법","",FPR(H2637,I2637,J2637)))</f>
        <v/>
      </c>
      <c r="L2637" s="30" t="str">
        <f>IF(H2637="","",IF($C$30="상세법",FPV(H2637,K2637),IF(H2637="EI",4,IF(H2637="EO",5.2,IF(H2637="EQ",3.9,IF(H2637="ILF",7.5,IF(H2637="EIF",5.4)))))))</f>
        <v/>
      </c>
      <c r="M2637" s="30" t="str">
        <f t="shared" si="282"/>
        <v/>
      </c>
      <c r="N2637" s="134"/>
      <c r="O2637" s="29"/>
      <c r="P2637" s="37" t="str">
        <f t="shared" si="283"/>
        <v/>
      </c>
      <c r="Q2637" s="38" t="str">
        <f t="shared" si="284"/>
        <v/>
      </c>
      <c r="R2637" s="37" t="str">
        <f t="shared" si="285"/>
        <v/>
      </c>
      <c r="S2637" s="37" t="str">
        <f t="shared" si="286"/>
        <v/>
      </c>
      <c r="T2637" s="38" t="str">
        <f t="shared" si="287"/>
        <v/>
      </c>
      <c r="U2637" s="37" t="str">
        <f t="shared" si="288"/>
        <v/>
      </c>
    </row>
    <row r="2638" spans="2:21" ht="17.25">
      <c r="B2638" s="156"/>
      <c r="C2638" s="156"/>
      <c r="D2638" s="157"/>
      <c r="E2638" s="155"/>
      <c r="F2638" s="151"/>
      <c r="G2638" s="152"/>
      <c r="H2638" s="153"/>
      <c r="I2638" s="154"/>
      <c r="J2638" s="154"/>
      <c r="K2638" s="30" t="str">
        <f>IF(H2638="","",IF($C$30="간이법","",FPR(H2638,I2638,J2638)))</f>
        <v/>
      </c>
      <c r="L2638" s="30" t="str">
        <f>IF(H2638="","",IF($C$30="상세법",FPV(H2638,K2638),IF(H2638="EI",4,IF(H2638="EO",5.2,IF(H2638="EQ",3.9,IF(H2638="ILF",7.5,IF(H2638="EIF",5.4)))))))</f>
        <v/>
      </c>
      <c r="M2638" s="30" t="str">
        <f t="shared" si="282"/>
        <v/>
      </c>
      <c r="N2638" s="134"/>
      <c r="O2638" s="29"/>
      <c r="P2638" s="37" t="str">
        <f t="shared" si="283"/>
        <v/>
      </c>
      <c r="Q2638" s="38" t="str">
        <f t="shared" si="284"/>
        <v/>
      </c>
      <c r="R2638" s="37" t="str">
        <f t="shared" si="285"/>
        <v/>
      </c>
      <c r="S2638" s="37" t="str">
        <f t="shared" si="286"/>
        <v/>
      </c>
      <c r="T2638" s="38" t="str">
        <f t="shared" si="287"/>
        <v/>
      </c>
      <c r="U2638" s="37" t="str">
        <f t="shared" si="288"/>
        <v/>
      </c>
    </row>
    <row r="2639" spans="2:21" ht="17.25">
      <c r="B2639" s="156"/>
      <c r="C2639" s="156"/>
      <c r="D2639" s="157"/>
      <c r="E2639" s="155"/>
      <c r="F2639" s="151"/>
      <c r="G2639" s="152"/>
      <c r="H2639" s="153"/>
      <c r="I2639" s="154"/>
      <c r="J2639" s="154"/>
      <c r="K2639" s="30" t="str">
        <f>IF(H2639="","",IF($C$30="간이법","",FPR(H2639,I2639,J2639)))</f>
        <v/>
      </c>
      <c r="L2639" s="30" t="str">
        <f>IF(H2639="","",IF($C$30="상세법",FPV(H2639,K2639),IF(H2639="EI",4,IF(H2639="EO",5.2,IF(H2639="EQ",3.9,IF(H2639="ILF",7.5,IF(H2639="EIF",5.4)))))))</f>
        <v/>
      </c>
      <c r="M2639" s="30" t="str">
        <f t="shared" si="282"/>
        <v/>
      </c>
      <c r="N2639" s="134"/>
      <c r="O2639" s="29"/>
      <c r="P2639" s="37" t="str">
        <f t="shared" si="283"/>
        <v/>
      </c>
      <c r="Q2639" s="38" t="str">
        <f t="shared" si="284"/>
        <v/>
      </c>
      <c r="R2639" s="37" t="str">
        <f t="shared" si="285"/>
        <v/>
      </c>
      <c r="S2639" s="37" t="str">
        <f t="shared" si="286"/>
        <v/>
      </c>
      <c r="T2639" s="38" t="str">
        <f t="shared" si="287"/>
        <v/>
      </c>
      <c r="U2639" s="37" t="str">
        <f t="shared" si="288"/>
        <v/>
      </c>
    </row>
    <row r="2640" spans="2:21" ht="17.25">
      <c r="B2640" s="156"/>
      <c r="C2640" s="156"/>
      <c r="D2640" s="157"/>
      <c r="E2640" s="155"/>
      <c r="F2640" s="151"/>
      <c r="G2640" s="152"/>
      <c r="H2640" s="153"/>
      <c r="I2640" s="154"/>
      <c r="J2640" s="154"/>
      <c r="K2640" s="30" t="str">
        <f>IF(H2640="","",IF($C$30="간이법","",FPR(H2640,I2640,J2640)))</f>
        <v/>
      </c>
      <c r="L2640" s="30" t="str">
        <f>IF(H2640="","",IF($C$30="상세법",FPV(H2640,K2640),IF(H2640="EI",4,IF(H2640="EO",5.2,IF(H2640="EQ",3.9,IF(H2640="ILF",7.5,IF(H2640="EIF",5.4)))))))</f>
        <v/>
      </c>
      <c r="M2640" s="30" t="str">
        <f t="shared" si="282"/>
        <v/>
      </c>
      <c r="N2640" s="134"/>
      <c r="O2640" s="29"/>
      <c r="P2640" s="37" t="str">
        <f t="shared" si="283"/>
        <v/>
      </c>
      <c r="Q2640" s="38" t="str">
        <f t="shared" si="284"/>
        <v/>
      </c>
      <c r="R2640" s="37" t="str">
        <f t="shared" si="285"/>
        <v/>
      </c>
      <c r="S2640" s="37" t="str">
        <f t="shared" si="286"/>
        <v/>
      </c>
      <c r="T2640" s="38" t="str">
        <f t="shared" si="287"/>
        <v/>
      </c>
      <c r="U2640" s="37" t="str">
        <f t="shared" si="288"/>
        <v/>
      </c>
    </row>
    <row r="2641" spans="2:21" ht="17.25">
      <c r="B2641" s="156"/>
      <c r="C2641" s="156"/>
      <c r="D2641" s="157"/>
      <c r="E2641" s="155"/>
      <c r="F2641" s="151"/>
      <c r="G2641" s="152"/>
      <c r="H2641" s="153"/>
      <c r="I2641" s="154"/>
      <c r="J2641" s="154"/>
      <c r="K2641" s="30" t="str">
        <f>IF(H2641="","",IF($C$30="간이법","",FPR(H2641,I2641,J2641)))</f>
        <v/>
      </c>
      <c r="L2641" s="30" t="str">
        <f>IF(H2641="","",IF($C$30="상세법",FPV(H2641,K2641),IF(H2641="EI",4,IF(H2641="EO",5.2,IF(H2641="EQ",3.9,IF(H2641="ILF",7.5,IF(H2641="EIF",5.4)))))))</f>
        <v/>
      </c>
      <c r="M2641" s="30" t="str">
        <f t="shared" si="282"/>
        <v/>
      </c>
      <c r="N2641" s="134"/>
      <c r="O2641" s="29"/>
      <c r="P2641" s="37" t="str">
        <f t="shared" si="283"/>
        <v/>
      </c>
      <c r="Q2641" s="38" t="str">
        <f t="shared" si="284"/>
        <v/>
      </c>
      <c r="R2641" s="37" t="str">
        <f t="shared" si="285"/>
        <v/>
      </c>
      <c r="S2641" s="37" t="str">
        <f t="shared" si="286"/>
        <v/>
      </c>
      <c r="T2641" s="38" t="str">
        <f t="shared" si="287"/>
        <v/>
      </c>
      <c r="U2641" s="37" t="str">
        <f t="shared" si="288"/>
        <v/>
      </c>
    </row>
    <row r="2642" spans="2:21" ht="17.25">
      <c r="B2642" s="156"/>
      <c r="C2642" s="156"/>
      <c r="D2642" s="157"/>
      <c r="E2642" s="155"/>
      <c r="F2642" s="151"/>
      <c r="G2642" s="152"/>
      <c r="H2642" s="153"/>
      <c r="I2642" s="154"/>
      <c r="J2642" s="154"/>
      <c r="K2642" s="30" t="str">
        <f>IF(H2642="","",IF($C$30="간이법","",FPR(H2642,I2642,J2642)))</f>
        <v/>
      </c>
      <c r="L2642" s="30" t="str">
        <f>IF(H2642="","",IF($C$30="상세법",FPV(H2642,K2642),IF(H2642="EI",4,IF(H2642="EO",5.2,IF(H2642="EQ",3.9,IF(H2642="ILF",7.5,IF(H2642="EIF",5.4)))))))</f>
        <v/>
      </c>
      <c r="M2642" s="30" t="str">
        <f t="shared" si="282"/>
        <v/>
      </c>
      <c r="N2642" s="134"/>
      <c r="O2642" s="29"/>
      <c r="P2642" s="37" t="str">
        <f t="shared" si="283"/>
        <v/>
      </c>
      <c r="Q2642" s="38" t="str">
        <f t="shared" si="284"/>
        <v/>
      </c>
      <c r="R2642" s="37" t="str">
        <f t="shared" si="285"/>
        <v/>
      </c>
      <c r="S2642" s="37" t="str">
        <f t="shared" si="286"/>
        <v/>
      </c>
      <c r="T2642" s="38" t="str">
        <f t="shared" si="287"/>
        <v/>
      </c>
      <c r="U2642" s="37" t="str">
        <f t="shared" si="288"/>
        <v/>
      </c>
    </row>
    <row r="2643" spans="2:21" ht="17.25">
      <c r="B2643" s="156"/>
      <c r="C2643" s="156"/>
      <c r="D2643" s="157"/>
      <c r="E2643" s="155"/>
      <c r="F2643" s="151"/>
      <c r="G2643" s="152"/>
      <c r="H2643" s="153"/>
      <c r="I2643" s="154"/>
      <c r="J2643" s="154"/>
      <c r="K2643" s="30" t="str">
        <f>IF(H2643="","",IF($C$30="간이법","",FPR(H2643,I2643,J2643)))</f>
        <v/>
      </c>
      <c r="L2643" s="30" t="str">
        <f>IF(H2643="","",IF($C$30="상세법",FPV(H2643,K2643),IF(H2643="EI",4,IF(H2643="EO",5.2,IF(H2643="EQ",3.9,IF(H2643="ILF",7.5,IF(H2643="EIF",5.4)))))))</f>
        <v/>
      </c>
      <c r="M2643" s="30" t="str">
        <f t="shared" si="282"/>
        <v/>
      </c>
      <c r="N2643" s="134"/>
      <c r="O2643" s="29"/>
      <c r="P2643" s="37" t="str">
        <f t="shared" si="283"/>
        <v/>
      </c>
      <c r="Q2643" s="38" t="str">
        <f t="shared" si="284"/>
        <v/>
      </c>
      <c r="R2643" s="37" t="str">
        <f t="shared" si="285"/>
        <v/>
      </c>
      <c r="S2643" s="37" t="str">
        <f t="shared" si="286"/>
        <v/>
      </c>
      <c r="T2643" s="38" t="str">
        <f t="shared" si="287"/>
        <v/>
      </c>
      <c r="U2643" s="37" t="str">
        <f t="shared" si="288"/>
        <v/>
      </c>
    </row>
    <row r="2644" spans="2:21" ht="17.25">
      <c r="B2644" s="156"/>
      <c r="C2644" s="156"/>
      <c r="D2644" s="157"/>
      <c r="E2644" s="155"/>
      <c r="F2644" s="151"/>
      <c r="G2644" s="152"/>
      <c r="H2644" s="153"/>
      <c r="I2644" s="154"/>
      <c r="J2644" s="154"/>
      <c r="K2644" s="30" t="str">
        <f>IF(H2644="","",IF($C$30="간이법","",FPR(H2644,I2644,J2644)))</f>
        <v/>
      </c>
      <c r="L2644" s="30" t="str">
        <f>IF(H2644="","",IF($C$30="상세법",FPV(H2644,K2644),IF(H2644="EI",4,IF(H2644="EO",5.2,IF(H2644="EQ",3.9,IF(H2644="ILF",7.5,IF(H2644="EIF",5.4)))))))</f>
        <v/>
      </c>
      <c r="M2644" s="30" t="str">
        <f t="shared" si="282"/>
        <v/>
      </c>
      <c r="N2644" s="134"/>
      <c r="O2644" s="29"/>
      <c r="P2644" s="37" t="str">
        <f t="shared" si="283"/>
        <v/>
      </c>
      <c r="Q2644" s="38" t="str">
        <f t="shared" si="284"/>
        <v/>
      </c>
      <c r="R2644" s="37" t="str">
        <f t="shared" si="285"/>
        <v/>
      </c>
      <c r="S2644" s="37" t="str">
        <f t="shared" si="286"/>
        <v/>
      </c>
      <c r="T2644" s="38" t="str">
        <f t="shared" si="287"/>
        <v/>
      </c>
      <c r="U2644" s="37" t="str">
        <f t="shared" si="288"/>
        <v/>
      </c>
    </row>
    <row r="2645" spans="2:21" ht="17.25">
      <c r="B2645" s="156"/>
      <c r="C2645" s="156"/>
      <c r="D2645" s="157"/>
      <c r="E2645" s="155"/>
      <c r="F2645" s="151"/>
      <c r="G2645" s="152"/>
      <c r="H2645" s="153"/>
      <c r="I2645" s="154"/>
      <c r="J2645" s="154"/>
      <c r="K2645" s="30" t="str">
        <f>IF(H2645="","",IF($C$30="간이법","",FPR(H2645,I2645,J2645)))</f>
        <v/>
      </c>
      <c r="L2645" s="30" t="str">
        <f>IF(H2645="","",IF($C$30="상세법",FPV(H2645,K2645),IF(H2645="EI",4,IF(H2645="EO",5.2,IF(H2645="EQ",3.9,IF(H2645="ILF",7.5,IF(H2645="EIF",5.4)))))))</f>
        <v/>
      </c>
      <c r="M2645" s="30" t="str">
        <f t="shared" si="282"/>
        <v/>
      </c>
      <c r="N2645" s="134"/>
      <c r="O2645" s="29"/>
      <c r="P2645" s="37" t="str">
        <f t="shared" si="283"/>
        <v/>
      </c>
      <c r="Q2645" s="38" t="str">
        <f t="shared" si="284"/>
        <v/>
      </c>
      <c r="R2645" s="37" t="str">
        <f t="shared" si="285"/>
        <v/>
      </c>
      <c r="S2645" s="37" t="str">
        <f t="shared" si="286"/>
        <v/>
      </c>
      <c r="T2645" s="38" t="str">
        <f t="shared" si="287"/>
        <v/>
      </c>
      <c r="U2645" s="37" t="str">
        <f t="shared" si="288"/>
        <v/>
      </c>
    </row>
    <row r="2646" spans="2:21" ht="17.25">
      <c r="B2646" s="156"/>
      <c r="C2646" s="156"/>
      <c r="D2646" s="157"/>
      <c r="E2646" s="155"/>
      <c r="F2646" s="151"/>
      <c r="G2646" s="152"/>
      <c r="H2646" s="153"/>
      <c r="I2646" s="154"/>
      <c r="J2646" s="154"/>
      <c r="K2646" s="30" t="str">
        <f>IF(H2646="","",IF($C$30="간이법","",FPR(H2646,I2646,J2646)))</f>
        <v/>
      </c>
      <c r="L2646" s="30" t="str">
        <f>IF(H2646="","",IF($C$30="상세법",FPV(H2646,K2646),IF(H2646="EI",4,IF(H2646="EO",5.2,IF(H2646="EQ",3.9,IF(H2646="ILF",7.5,IF(H2646="EIF",5.4)))))))</f>
        <v/>
      </c>
      <c r="M2646" s="30" t="str">
        <f t="shared" si="282"/>
        <v/>
      </c>
      <c r="N2646" s="134"/>
      <c r="O2646" s="29"/>
      <c r="P2646" s="37" t="str">
        <f t="shared" si="283"/>
        <v/>
      </c>
      <c r="Q2646" s="38" t="str">
        <f t="shared" si="284"/>
        <v/>
      </c>
      <c r="R2646" s="37" t="str">
        <f t="shared" si="285"/>
        <v/>
      </c>
      <c r="S2646" s="37" t="str">
        <f t="shared" si="286"/>
        <v/>
      </c>
      <c r="T2646" s="38" t="str">
        <f t="shared" si="287"/>
        <v/>
      </c>
      <c r="U2646" s="37" t="str">
        <f t="shared" si="288"/>
        <v/>
      </c>
    </row>
    <row r="2647" spans="2:21" ht="17.25">
      <c r="B2647" s="156"/>
      <c r="C2647" s="156"/>
      <c r="D2647" s="157"/>
      <c r="E2647" s="155"/>
      <c r="F2647" s="151"/>
      <c r="G2647" s="152"/>
      <c r="H2647" s="153"/>
      <c r="I2647" s="154"/>
      <c r="J2647" s="154"/>
      <c r="K2647" s="30" t="str">
        <f>IF(H2647="","",IF($C$30="간이법","",FPR(H2647,I2647,J2647)))</f>
        <v/>
      </c>
      <c r="L2647" s="30" t="str">
        <f>IF(H2647="","",IF($C$30="상세법",FPV(H2647,K2647),IF(H2647="EI",4,IF(H2647="EO",5.2,IF(H2647="EQ",3.9,IF(H2647="ILF",7.5,IF(H2647="EIF",5.4)))))))</f>
        <v/>
      </c>
      <c r="M2647" s="30" t="str">
        <f t="shared" si="282"/>
        <v/>
      </c>
      <c r="N2647" s="134"/>
      <c r="O2647" s="29"/>
      <c r="P2647" s="37" t="str">
        <f t="shared" si="283"/>
        <v/>
      </c>
      <c r="Q2647" s="38" t="str">
        <f t="shared" si="284"/>
        <v/>
      </c>
      <c r="R2647" s="37" t="str">
        <f t="shared" si="285"/>
        <v/>
      </c>
      <c r="S2647" s="37" t="str">
        <f t="shared" si="286"/>
        <v/>
      </c>
      <c r="T2647" s="38" t="str">
        <f t="shared" si="287"/>
        <v/>
      </c>
      <c r="U2647" s="37" t="str">
        <f t="shared" si="288"/>
        <v/>
      </c>
    </row>
    <row r="2648" spans="2:21" ht="17.25">
      <c r="B2648" s="156"/>
      <c r="C2648" s="156"/>
      <c r="D2648" s="157"/>
      <c r="E2648" s="155"/>
      <c r="F2648" s="151"/>
      <c r="G2648" s="152"/>
      <c r="H2648" s="153"/>
      <c r="I2648" s="154"/>
      <c r="J2648" s="154"/>
      <c r="K2648" s="30" t="str">
        <f>IF(H2648="","",IF($C$30="간이법","",FPR(H2648,I2648,J2648)))</f>
        <v/>
      </c>
      <c r="L2648" s="30" t="str">
        <f>IF(H2648="","",IF($C$30="상세법",FPV(H2648,K2648),IF(H2648="EI",4,IF(H2648="EO",5.2,IF(H2648="EQ",3.9,IF(H2648="ILF",7.5,IF(H2648="EIF",5.4)))))))</f>
        <v/>
      </c>
      <c r="M2648" s="30" t="str">
        <f t="shared" si="282"/>
        <v/>
      </c>
      <c r="N2648" s="134"/>
      <c r="O2648" s="29"/>
      <c r="P2648" s="37" t="str">
        <f t="shared" si="283"/>
        <v/>
      </c>
      <c r="Q2648" s="38" t="str">
        <f t="shared" si="284"/>
        <v/>
      </c>
      <c r="R2648" s="37" t="str">
        <f t="shared" si="285"/>
        <v/>
      </c>
      <c r="S2648" s="37" t="str">
        <f t="shared" si="286"/>
        <v/>
      </c>
      <c r="T2648" s="38" t="str">
        <f t="shared" si="287"/>
        <v/>
      </c>
      <c r="U2648" s="37" t="str">
        <f t="shared" si="288"/>
        <v/>
      </c>
    </row>
    <row r="2649" spans="2:21" ht="17.25">
      <c r="B2649" s="156"/>
      <c r="C2649" s="156"/>
      <c r="D2649" s="157"/>
      <c r="E2649" s="155"/>
      <c r="F2649" s="151"/>
      <c r="G2649" s="152"/>
      <c r="H2649" s="153"/>
      <c r="I2649" s="154"/>
      <c r="J2649" s="154"/>
      <c r="K2649" s="30" t="str">
        <f>IF(H2649="","",IF($C$30="간이법","",FPR(H2649,I2649,J2649)))</f>
        <v/>
      </c>
      <c r="L2649" s="30" t="str">
        <f>IF(H2649="","",IF($C$30="상세법",FPV(H2649,K2649),IF(H2649="EI",4,IF(H2649="EO",5.2,IF(H2649="EQ",3.9,IF(H2649="ILF",7.5,IF(H2649="EIF",5.4)))))))</f>
        <v/>
      </c>
      <c r="M2649" s="30" t="str">
        <f t="shared" si="282"/>
        <v/>
      </c>
      <c r="N2649" s="134"/>
      <c r="O2649" s="29"/>
      <c r="P2649" s="37" t="str">
        <f t="shared" si="283"/>
        <v/>
      </c>
      <c r="Q2649" s="38" t="str">
        <f t="shared" si="284"/>
        <v/>
      </c>
      <c r="R2649" s="37" t="str">
        <f t="shared" si="285"/>
        <v/>
      </c>
      <c r="S2649" s="37" t="str">
        <f t="shared" si="286"/>
        <v/>
      </c>
      <c r="T2649" s="38" t="str">
        <f t="shared" si="287"/>
        <v/>
      </c>
      <c r="U2649" s="37" t="str">
        <f t="shared" si="288"/>
        <v/>
      </c>
    </row>
    <row r="2650" spans="2:21" ht="17.25">
      <c r="B2650" s="156"/>
      <c r="C2650" s="156"/>
      <c r="D2650" s="157"/>
      <c r="E2650" s="155"/>
      <c r="F2650" s="151"/>
      <c r="G2650" s="152"/>
      <c r="H2650" s="153"/>
      <c r="I2650" s="154"/>
      <c r="J2650" s="154"/>
      <c r="K2650" s="30" t="str">
        <f>IF(H2650="","",IF($C$30="간이법","",FPR(H2650,I2650,J2650)))</f>
        <v/>
      </c>
      <c r="L2650" s="30" t="str">
        <f>IF(H2650="","",IF($C$30="상세법",FPV(H2650,K2650),IF(H2650="EI",4,IF(H2650="EO",5.2,IF(H2650="EQ",3.9,IF(H2650="ILF",7.5,IF(H2650="EIF",5.4)))))))</f>
        <v/>
      </c>
      <c r="M2650" s="30" t="str">
        <f t="shared" si="282"/>
        <v/>
      </c>
      <c r="N2650" s="134"/>
      <c r="O2650" s="29"/>
      <c r="P2650" s="37" t="str">
        <f t="shared" si="283"/>
        <v/>
      </c>
      <c r="Q2650" s="38" t="str">
        <f t="shared" si="284"/>
        <v/>
      </c>
      <c r="R2650" s="37" t="str">
        <f t="shared" si="285"/>
        <v/>
      </c>
      <c r="S2650" s="37" t="str">
        <f t="shared" si="286"/>
        <v/>
      </c>
      <c r="T2650" s="38" t="str">
        <f t="shared" si="287"/>
        <v/>
      </c>
      <c r="U2650" s="37" t="str">
        <f t="shared" si="288"/>
        <v/>
      </c>
    </row>
    <row r="2651" spans="2:21" ht="17.25">
      <c r="B2651" s="156"/>
      <c r="C2651" s="156"/>
      <c r="D2651" s="157"/>
      <c r="E2651" s="155"/>
      <c r="F2651" s="151"/>
      <c r="G2651" s="152"/>
      <c r="H2651" s="153"/>
      <c r="I2651" s="154"/>
      <c r="J2651" s="154"/>
      <c r="K2651" s="30" t="str">
        <f>IF(H2651="","",IF($C$30="간이법","",FPR(H2651,I2651,J2651)))</f>
        <v/>
      </c>
      <c r="L2651" s="30" t="str">
        <f>IF(H2651="","",IF($C$30="상세법",FPV(H2651,K2651),IF(H2651="EI",4,IF(H2651="EO",5.2,IF(H2651="EQ",3.9,IF(H2651="ILF",7.5,IF(H2651="EIF",5.4)))))))</f>
        <v/>
      </c>
      <c r="M2651" s="30" t="str">
        <f t="shared" si="282"/>
        <v/>
      </c>
      <c r="N2651" s="134"/>
      <c r="O2651" s="29"/>
      <c r="P2651" s="37" t="str">
        <f t="shared" si="283"/>
        <v/>
      </c>
      <c r="Q2651" s="38" t="str">
        <f t="shared" si="284"/>
        <v/>
      </c>
      <c r="R2651" s="37" t="str">
        <f t="shared" si="285"/>
        <v/>
      </c>
      <c r="S2651" s="37" t="str">
        <f t="shared" si="286"/>
        <v/>
      </c>
      <c r="T2651" s="38" t="str">
        <f t="shared" si="287"/>
        <v/>
      </c>
      <c r="U2651" s="37" t="str">
        <f t="shared" si="288"/>
        <v/>
      </c>
    </row>
    <row r="2652" spans="2:21" ht="17.25">
      <c r="B2652" s="156"/>
      <c r="C2652" s="156"/>
      <c r="D2652" s="157"/>
      <c r="E2652" s="155"/>
      <c r="F2652" s="151"/>
      <c r="G2652" s="152"/>
      <c r="H2652" s="153"/>
      <c r="I2652" s="154"/>
      <c r="J2652" s="154"/>
      <c r="K2652" s="30" t="str">
        <f>IF(H2652="","",IF($C$30="간이법","",FPR(H2652,I2652,J2652)))</f>
        <v/>
      </c>
      <c r="L2652" s="30" t="str">
        <f>IF(H2652="","",IF($C$30="상세법",FPV(H2652,K2652),IF(H2652="EI",4,IF(H2652="EO",5.2,IF(H2652="EQ",3.9,IF(H2652="ILF",7.5,IF(H2652="EIF",5.4)))))))</f>
        <v/>
      </c>
      <c r="M2652" s="30" t="str">
        <f t="shared" si="282"/>
        <v/>
      </c>
      <c r="N2652" s="134"/>
      <c r="O2652" s="29"/>
      <c r="P2652" s="37" t="str">
        <f t="shared" si="283"/>
        <v/>
      </c>
      <c r="Q2652" s="38" t="str">
        <f t="shared" si="284"/>
        <v/>
      </c>
      <c r="R2652" s="37" t="str">
        <f t="shared" si="285"/>
        <v/>
      </c>
      <c r="S2652" s="37" t="str">
        <f t="shared" si="286"/>
        <v/>
      </c>
      <c r="T2652" s="38" t="str">
        <f t="shared" si="287"/>
        <v/>
      </c>
      <c r="U2652" s="37" t="str">
        <f t="shared" si="288"/>
        <v/>
      </c>
    </row>
    <row r="2653" spans="2:21" ht="17.25">
      <c r="B2653" s="156"/>
      <c r="C2653" s="156"/>
      <c r="D2653" s="157"/>
      <c r="E2653" s="155"/>
      <c r="F2653" s="151"/>
      <c r="G2653" s="152"/>
      <c r="H2653" s="153"/>
      <c r="I2653" s="154"/>
      <c r="J2653" s="154"/>
      <c r="K2653" s="30" t="str">
        <f>IF(H2653="","",IF($C$30="간이법","",FPR(H2653,I2653,J2653)))</f>
        <v/>
      </c>
      <c r="L2653" s="30" t="str">
        <f>IF(H2653="","",IF($C$30="상세법",FPV(H2653,K2653),IF(H2653="EI",4,IF(H2653="EO",5.2,IF(H2653="EQ",3.9,IF(H2653="ILF",7.5,IF(H2653="EIF",5.4)))))))</f>
        <v/>
      </c>
      <c r="M2653" s="30" t="str">
        <f t="shared" si="282"/>
        <v/>
      </c>
      <c r="N2653" s="134"/>
      <c r="O2653" s="29"/>
      <c r="P2653" s="37" t="str">
        <f t="shared" si="283"/>
        <v/>
      </c>
      <c r="Q2653" s="38" t="str">
        <f t="shared" si="284"/>
        <v/>
      </c>
      <c r="R2653" s="37" t="str">
        <f t="shared" si="285"/>
        <v/>
      </c>
      <c r="S2653" s="37" t="str">
        <f t="shared" si="286"/>
        <v/>
      </c>
      <c r="T2653" s="38" t="str">
        <f t="shared" si="287"/>
        <v/>
      </c>
      <c r="U2653" s="37" t="str">
        <f t="shared" si="288"/>
        <v/>
      </c>
    </row>
    <row r="2654" spans="2:21" ht="17.25">
      <c r="B2654" s="156"/>
      <c r="C2654" s="156"/>
      <c r="D2654" s="157"/>
      <c r="E2654" s="155"/>
      <c r="F2654" s="151"/>
      <c r="G2654" s="152"/>
      <c r="H2654" s="153"/>
      <c r="I2654" s="154"/>
      <c r="J2654" s="154"/>
      <c r="K2654" s="30" t="str">
        <f>IF(H2654="","",IF($C$30="간이법","",FPR(H2654,I2654,J2654)))</f>
        <v/>
      </c>
      <c r="L2654" s="30" t="str">
        <f>IF(H2654="","",IF($C$30="상세법",FPV(H2654,K2654),IF(H2654="EI",4,IF(H2654="EO",5.2,IF(H2654="EQ",3.9,IF(H2654="ILF",7.5,IF(H2654="EIF",5.4)))))))</f>
        <v/>
      </c>
      <c r="M2654" s="30" t="str">
        <f t="shared" si="282"/>
        <v/>
      </c>
      <c r="N2654" s="134"/>
      <c r="O2654" s="29"/>
      <c r="P2654" s="37" t="str">
        <f t="shared" si="283"/>
        <v/>
      </c>
      <c r="Q2654" s="38" t="str">
        <f t="shared" si="284"/>
        <v/>
      </c>
      <c r="R2654" s="37" t="str">
        <f t="shared" si="285"/>
        <v/>
      </c>
      <c r="S2654" s="37" t="str">
        <f t="shared" si="286"/>
        <v/>
      </c>
      <c r="T2654" s="38" t="str">
        <f t="shared" si="287"/>
        <v/>
      </c>
      <c r="U2654" s="37" t="str">
        <f t="shared" si="288"/>
        <v/>
      </c>
    </row>
    <row r="2655" spans="2:21" ht="17.25">
      <c r="B2655" s="156"/>
      <c r="C2655" s="156"/>
      <c r="D2655" s="157"/>
      <c r="E2655" s="155"/>
      <c r="F2655" s="151"/>
      <c r="G2655" s="152"/>
      <c r="H2655" s="153"/>
      <c r="I2655" s="154"/>
      <c r="J2655" s="154"/>
      <c r="K2655" s="30" t="str">
        <f>IF(H2655="","",IF($C$30="간이법","",FPR(H2655,I2655,J2655)))</f>
        <v/>
      </c>
      <c r="L2655" s="30" t="str">
        <f>IF(H2655="","",IF($C$30="상세법",FPV(H2655,K2655),IF(H2655="EI",4,IF(H2655="EO",5.2,IF(H2655="EQ",3.9,IF(H2655="ILF",7.5,IF(H2655="EIF",5.4)))))))</f>
        <v/>
      </c>
      <c r="M2655" s="30" t="str">
        <f t="shared" si="282"/>
        <v/>
      </c>
      <c r="N2655" s="134"/>
      <c r="O2655" s="29"/>
      <c r="P2655" s="37" t="str">
        <f t="shared" si="283"/>
        <v/>
      </c>
      <c r="Q2655" s="38" t="str">
        <f t="shared" si="284"/>
        <v/>
      </c>
      <c r="R2655" s="37" t="str">
        <f t="shared" si="285"/>
        <v/>
      </c>
      <c r="S2655" s="37" t="str">
        <f t="shared" si="286"/>
        <v/>
      </c>
      <c r="T2655" s="38" t="str">
        <f t="shared" si="287"/>
        <v/>
      </c>
      <c r="U2655" s="37" t="str">
        <f t="shared" si="288"/>
        <v/>
      </c>
    </row>
    <row r="2656" spans="2:21" ht="17.25">
      <c r="B2656" s="156"/>
      <c r="C2656" s="156"/>
      <c r="D2656" s="157"/>
      <c r="E2656" s="155"/>
      <c r="F2656" s="151"/>
      <c r="G2656" s="152"/>
      <c r="H2656" s="153"/>
      <c r="I2656" s="154"/>
      <c r="J2656" s="154"/>
      <c r="K2656" s="30" t="str">
        <f>IF(H2656="","",IF($C$30="간이법","",FPR(H2656,I2656,J2656)))</f>
        <v/>
      </c>
      <c r="L2656" s="30" t="str">
        <f>IF(H2656="","",IF($C$30="상세법",FPV(H2656,K2656),IF(H2656="EI",4,IF(H2656="EO",5.2,IF(H2656="EQ",3.9,IF(H2656="ILF",7.5,IF(H2656="EIF",5.4)))))))</f>
        <v/>
      </c>
      <c r="M2656" s="30" t="str">
        <f t="shared" si="282"/>
        <v/>
      </c>
      <c r="N2656" s="134"/>
      <c r="O2656" s="29"/>
      <c r="P2656" s="37" t="str">
        <f t="shared" si="283"/>
        <v/>
      </c>
      <c r="Q2656" s="38" t="str">
        <f t="shared" si="284"/>
        <v/>
      </c>
      <c r="R2656" s="37" t="str">
        <f t="shared" si="285"/>
        <v/>
      </c>
      <c r="S2656" s="37" t="str">
        <f t="shared" si="286"/>
        <v/>
      </c>
      <c r="T2656" s="38" t="str">
        <f t="shared" si="287"/>
        <v/>
      </c>
      <c r="U2656" s="37" t="str">
        <f t="shared" si="288"/>
        <v/>
      </c>
    </row>
    <row r="2657" spans="2:21" ht="17.25">
      <c r="B2657" s="156"/>
      <c r="C2657" s="156"/>
      <c r="D2657" s="157"/>
      <c r="E2657" s="155"/>
      <c r="F2657" s="151"/>
      <c r="G2657" s="152"/>
      <c r="H2657" s="153"/>
      <c r="I2657" s="154"/>
      <c r="J2657" s="154"/>
      <c r="K2657" s="30" t="str">
        <f>IF(H2657="","",IF($C$30="간이법","",FPR(H2657,I2657,J2657)))</f>
        <v/>
      </c>
      <c r="L2657" s="30" t="str">
        <f>IF(H2657="","",IF($C$30="상세법",FPV(H2657,K2657),IF(H2657="EI",4,IF(H2657="EO",5.2,IF(H2657="EQ",3.9,IF(H2657="ILF",7.5,IF(H2657="EIF",5.4)))))))</f>
        <v/>
      </c>
      <c r="M2657" s="30" t="str">
        <f t="shared" si="282"/>
        <v/>
      </c>
      <c r="N2657" s="134"/>
      <c r="O2657" s="29"/>
      <c r="P2657" s="37" t="str">
        <f t="shared" si="283"/>
        <v/>
      </c>
      <c r="Q2657" s="38" t="str">
        <f t="shared" si="284"/>
        <v/>
      </c>
      <c r="R2657" s="37" t="str">
        <f t="shared" si="285"/>
        <v/>
      </c>
      <c r="S2657" s="37" t="str">
        <f t="shared" si="286"/>
        <v/>
      </c>
      <c r="T2657" s="38" t="str">
        <f t="shared" si="287"/>
        <v/>
      </c>
      <c r="U2657" s="37" t="str">
        <f t="shared" si="288"/>
        <v/>
      </c>
    </row>
    <row r="2658" spans="2:21" ht="17.25">
      <c r="B2658" s="156"/>
      <c r="C2658" s="156"/>
      <c r="D2658" s="157"/>
      <c r="E2658" s="155"/>
      <c r="F2658" s="151"/>
      <c r="G2658" s="152"/>
      <c r="H2658" s="153"/>
      <c r="I2658" s="154"/>
      <c r="J2658" s="154"/>
      <c r="K2658" s="30" t="str">
        <f>IF(H2658="","",IF($C$30="간이법","",FPR(H2658,I2658,J2658)))</f>
        <v/>
      </c>
      <c r="L2658" s="30" t="str">
        <f>IF(H2658="","",IF($C$30="상세법",FPV(H2658,K2658),IF(H2658="EI",4,IF(H2658="EO",5.2,IF(H2658="EQ",3.9,IF(H2658="ILF",7.5,IF(H2658="EIF",5.4)))))))</f>
        <v/>
      </c>
      <c r="M2658" s="30" t="str">
        <f t="shared" si="282"/>
        <v/>
      </c>
      <c r="N2658" s="134"/>
      <c r="O2658" s="29"/>
      <c r="P2658" s="37" t="str">
        <f t="shared" si="283"/>
        <v/>
      </c>
      <c r="Q2658" s="38" t="str">
        <f t="shared" si="284"/>
        <v/>
      </c>
      <c r="R2658" s="37" t="str">
        <f t="shared" si="285"/>
        <v/>
      </c>
      <c r="S2658" s="37" t="str">
        <f t="shared" si="286"/>
        <v/>
      </c>
      <c r="T2658" s="38" t="str">
        <f t="shared" si="287"/>
        <v/>
      </c>
      <c r="U2658" s="37" t="str">
        <f t="shared" si="288"/>
        <v/>
      </c>
    </row>
    <row r="2659" spans="2:21" ht="17.25">
      <c r="B2659" s="156"/>
      <c r="C2659" s="156"/>
      <c r="D2659" s="157"/>
      <c r="E2659" s="155"/>
      <c r="F2659" s="151"/>
      <c r="G2659" s="152"/>
      <c r="H2659" s="153"/>
      <c r="I2659" s="154"/>
      <c r="J2659" s="154"/>
      <c r="K2659" s="30" t="str">
        <f>IF(H2659="","",IF($C$30="간이법","",FPR(H2659,I2659,J2659)))</f>
        <v/>
      </c>
      <c r="L2659" s="30" t="str">
        <f>IF(H2659="","",IF($C$30="상세법",FPV(H2659,K2659),IF(H2659="EI",4,IF(H2659="EO",5.2,IF(H2659="EQ",3.9,IF(H2659="ILF",7.5,IF(H2659="EIF",5.4)))))))</f>
        <v/>
      </c>
      <c r="M2659" s="30" t="str">
        <f t="shared" si="282"/>
        <v/>
      </c>
      <c r="N2659" s="134"/>
      <c r="O2659" s="29"/>
      <c r="P2659" s="37" t="str">
        <f t="shared" si="283"/>
        <v/>
      </c>
      <c r="Q2659" s="38" t="str">
        <f t="shared" si="284"/>
        <v/>
      </c>
      <c r="R2659" s="37" t="str">
        <f t="shared" si="285"/>
        <v/>
      </c>
      <c r="S2659" s="37" t="str">
        <f t="shared" si="286"/>
        <v/>
      </c>
      <c r="T2659" s="38" t="str">
        <f t="shared" si="287"/>
        <v/>
      </c>
      <c r="U2659" s="37" t="str">
        <f t="shared" si="288"/>
        <v/>
      </c>
    </row>
    <row r="2660" spans="2:21" ht="17.25">
      <c r="B2660" s="156"/>
      <c r="C2660" s="156"/>
      <c r="D2660" s="157"/>
      <c r="E2660" s="155"/>
      <c r="F2660" s="151"/>
      <c r="G2660" s="152"/>
      <c r="H2660" s="153"/>
      <c r="I2660" s="154"/>
      <c r="J2660" s="154"/>
      <c r="K2660" s="30" t="str">
        <f>IF(H2660="","",IF($C$30="간이법","",FPR(H2660,I2660,J2660)))</f>
        <v/>
      </c>
      <c r="L2660" s="30" t="str">
        <f>IF(H2660="","",IF($C$30="상세법",FPV(H2660,K2660),IF(H2660="EI",4,IF(H2660="EO",5.2,IF(H2660="EQ",3.9,IF(H2660="ILF",7.5,IF(H2660="EIF",5.4)))))))</f>
        <v/>
      </c>
      <c r="M2660" s="30" t="str">
        <f t="shared" si="282"/>
        <v/>
      </c>
      <c r="N2660" s="134"/>
      <c r="O2660" s="29"/>
      <c r="P2660" s="37" t="str">
        <f t="shared" si="283"/>
        <v/>
      </c>
      <c r="Q2660" s="38" t="str">
        <f t="shared" si="284"/>
        <v/>
      </c>
      <c r="R2660" s="37" t="str">
        <f t="shared" si="285"/>
        <v/>
      </c>
      <c r="S2660" s="37" t="str">
        <f t="shared" si="286"/>
        <v/>
      </c>
      <c r="T2660" s="38" t="str">
        <f t="shared" si="287"/>
        <v/>
      </c>
      <c r="U2660" s="37" t="str">
        <f t="shared" si="288"/>
        <v/>
      </c>
    </row>
    <row r="2661" spans="2:21" ht="17.25">
      <c r="B2661" s="156"/>
      <c r="C2661" s="156"/>
      <c r="D2661" s="157"/>
      <c r="E2661" s="155"/>
      <c r="F2661" s="151"/>
      <c r="G2661" s="152"/>
      <c r="H2661" s="153"/>
      <c r="I2661" s="154"/>
      <c r="J2661" s="154"/>
      <c r="K2661" s="30" t="str">
        <f>IF(H2661="","",IF($C$30="간이법","",FPR(H2661,I2661,J2661)))</f>
        <v/>
      </c>
      <c r="L2661" s="30" t="str">
        <f>IF(H2661="","",IF($C$30="상세법",FPV(H2661,K2661),IF(H2661="EI",4,IF(H2661="EO",5.2,IF(H2661="EQ",3.9,IF(H2661="ILF",7.5,IF(H2661="EIF",5.4)))))))</f>
        <v/>
      </c>
      <c r="M2661" s="30" t="str">
        <f t="shared" si="282"/>
        <v/>
      </c>
      <c r="N2661" s="134"/>
      <c r="O2661" s="29"/>
      <c r="P2661" s="37" t="str">
        <f t="shared" si="283"/>
        <v/>
      </c>
      <c r="Q2661" s="38" t="str">
        <f t="shared" si="284"/>
        <v/>
      </c>
      <c r="R2661" s="37" t="str">
        <f t="shared" si="285"/>
        <v/>
      </c>
      <c r="S2661" s="37" t="str">
        <f t="shared" si="286"/>
        <v/>
      </c>
      <c r="T2661" s="38" t="str">
        <f t="shared" si="287"/>
        <v/>
      </c>
      <c r="U2661" s="37" t="str">
        <f t="shared" si="288"/>
        <v/>
      </c>
    </row>
    <row r="2662" spans="2:21" ht="17.25">
      <c r="B2662" s="156"/>
      <c r="C2662" s="156"/>
      <c r="D2662" s="157"/>
      <c r="E2662" s="155"/>
      <c r="F2662" s="151"/>
      <c r="G2662" s="152"/>
      <c r="H2662" s="153"/>
      <c r="I2662" s="154"/>
      <c r="J2662" s="154"/>
      <c r="K2662" s="30" t="str">
        <f>IF(H2662="","",IF($C$30="간이법","",FPR(H2662,I2662,J2662)))</f>
        <v/>
      </c>
      <c r="L2662" s="30" t="str">
        <f>IF(H2662="","",IF($C$30="상세법",FPV(H2662,K2662),IF(H2662="EI",4,IF(H2662="EO",5.2,IF(H2662="EQ",3.9,IF(H2662="ILF",7.5,IF(H2662="EIF",5.4)))))))</f>
        <v/>
      </c>
      <c r="M2662" s="30" t="str">
        <f t="shared" si="282"/>
        <v/>
      </c>
      <c r="N2662" s="134"/>
      <c r="O2662" s="29"/>
      <c r="P2662" s="37" t="str">
        <f t="shared" si="283"/>
        <v/>
      </c>
      <c r="Q2662" s="38" t="str">
        <f t="shared" si="284"/>
        <v/>
      </c>
      <c r="R2662" s="37" t="str">
        <f t="shared" si="285"/>
        <v/>
      </c>
      <c r="S2662" s="37" t="str">
        <f t="shared" si="286"/>
        <v/>
      </c>
      <c r="T2662" s="38" t="str">
        <f t="shared" si="287"/>
        <v/>
      </c>
      <c r="U2662" s="37" t="str">
        <f t="shared" si="288"/>
        <v/>
      </c>
    </row>
    <row r="2663" spans="2:21" ht="17.25">
      <c r="B2663" s="156"/>
      <c r="C2663" s="156"/>
      <c r="D2663" s="157"/>
      <c r="E2663" s="155"/>
      <c r="F2663" s="151"/>
      <c r="G2663" s="152"/>
      <c r="H2663" s="153"/>
      <c r="I2663" s="154"/>
      <c r="J2663" s="154"/>
      <c r="K2663" s="30" t="str">
        <f>IF(H2663="","",IF($C$30="간이법","",FPR(H2663,I2663,J2663)))</f>
        <v/>
      </c>
      <c r="L2663" s="30" t="str">
        <f>IF(H2663="","",IF($C$30="상세법",FPV(H2663,K2663),IF(H2663="EI",4,IF(H2663="EO",5.2,IF(H2663="EQ",3.9,IF(H2663="ILF",7.5,IF(H2663="EIF",5.4)))))))</f>
        <v/>
      </c>
      <c r="M2663" s="30" t="str">
        <f t="shared" si="282"/>
        <v/>
      </c>
      <c r="N2663" s="134"/>
      <c r="O2663" s="29"/>
      <c r="P2663" s="37" t="str">
        <f t="shared" si="283"/>
        <v/>
      </c>
      <c r="Q2663" s="38" t="str">
        <f t="shared" si="284"/>
        <v/>
      </c>
      <c r="R2663" s="37" t="str">
        <f t="shared" si="285"/>
        <v/>
      </c>
      <c r="S2663" s="37" t="str">
        <f t="shared" si="286"/>
        <v/>
      </c>
      <c r="T2663" s="38" t="str">
        <f t="shared" si="287"/>
        <v/>
      </c>
      <c r="U2663" s="37" t="str">
        <f t="shared" si="288"/>
        <v/>
      </c>
    </row>
    <row r="2664" spans="2:21" ht="17.25">
      <c r="B2664" s="156"/>
      <c r="C2664" s="156"/>
      <c r="D2664" s="157"/>
      <c r="E2664" s="155"/>
      <c r="F2664" s="151"/>
      <c r="G2664" s="152"/>
      <c r="H2664" s="153"/>
      <c r="I2664" s="154"/>
      <c r="J2664" s="154"/>
      <c r="K2664" s="30" t="str">
        <f>IF(H2664="","",IF($C$30="간이법","",FPR(H2664,I2664,J2664)))</f>
        <v/>
      </c>
      <c r="L2664" s="30" t="str">
        <f>IF(H2664="","",IF($C$30="상세법",FPV(H2664,K2664),IF(H2664="EI",4,IF(H2664="EO",5.2,IF(H2664="EQ",3.9,IF(H2664="ILF",7.5,IF(H2664="EIF",5.4)))))))</f>
        <v/>
      </c>
      <c r="M2664" s="30" t="str">
        <f t="shared" si="282"/>
        <v/>
      </c>
      <c r="N2664" s="134"/>
      <c r="O2664" s="29"/>
      <c r="P2664" s="37" t="str">
        <f t="shared" si="283"/>
        <v/>
      </c>
      <c r="Q2664" s="38" t="str">
        <f t="shared" si="284"/>
        <v/>
      </c>
      <c r="R2664" s="37" t="str">
        <f t="shared" si="285"/>
        <v/>
      </c>
      <c r="S2664" s="37" t="str">
        <f t="shared" si="286"/>
        <v/>
      </c>
      <c r="T2664" s="38" t="str">
        <f t="shared" si="287"/>
        <v/>
      </c>
      <c r="U2664" s="37" t="str">
        <f t="shared" si="288"/>
        <v/>
      </c>
    </row>
    <row r="2665" spans="2:21" ht="17.25">
      <c r="B2665" s="156"/>
      <c r="C2665" s="156"/>
      <c r="D2665" s="157"/>
      <c r="E2665" s="155"/>
      <c r="F2665" s="151"/>
      <c r="G2665" s="152"/>
      <c r="H2665" s="153"/>
      <c r="I2665" s="154"/>
      <c r="J2665" s="154"/>
      <c r="K2665" s="30" t="str">
        <f>IF(H2665="","",IF($C$30="간이법","",FPR(H2665,I2665,J2665)))</f>
        <v/>
      </c>
      <c r="L2665" s="30" t="str">
        <f>IF(H2665="","",IF($C$30="상세법",FPV(H2665,K2665),IF(H2665="EI",4,IF(H2665="EO",5.2,IF(H2665="EQ",3.9,IF(H2665="ILF",7.5,IF(H2665="EIF",5.4)))))))</f>
        <v/>
      </c>
      <c r="M2665" s="30" t="str">
        <f t="shared" si="282"/>
        <v/>
      </c>
      <c r="N2665" s="134"/>
      <c r="O2665" s="29"/>
      <c r="P2665" s="37" t="str">
        <f t="shared" si="283"/>
        <v/>
      </c>
      <c r="Q2665" s="38" t="str">
        <f t="shared" si="284"/>
        <v/>
      </c>
      <c r="R2665" s="37" t="str">
        <f t="shared" si="285"/>
        <v/>
      </c>
      <c r="S2665" s="37" t="str">
        <f t="shared" si="286"/>
        <v/>
      </c>
      <c r="T2665" s="38" t="str">
        <f t="shared" si="287"/>
        <v/>
      </c>
      <c r="U2665" s="37" t="str">
        <f t="shared" si="288"/>
        <v/>
      </c>
    </row>
    <row r="2666" spans="2:21" ht="17.25">
      <c r="B2666" s="156"/>
      <c r="C2666" s="156"/>
      <c r="D2666" s="157"/>
      <c r="E2666" s="155"/>
      <c r="F2666" s="151"/>
      <c r="G2666" s="152"/>
      <c r="H2666" s="153"/>
      <c r="I2666" s="154"/>
      <c r="J2666" s="154"/>
      <c r="K2666" s="30" t="str">
        <f>IF(H2666="","",IF($C$30="간이법","",FPR(H2666,I2666,J2666)))</f>
        <v/>
      </c>
      <c r="L2666" s="30" t="str">
        <f>IF(H2666="","",IF($C$30="상세법",FPV(H2666,K2666),IF(H2666="EI",4,IF(H2666="EO",5.2,IF(H2666="EQ",3.9,IF(H2666="ILF",7.5,IF(H2666="EIF",5.4)))))))</f>
        <v/>
      </c>
      <c r="M2666" s="30" t="str">
        <f t="shared" si="282"/>
        <v/>
      </c>
      <c r="N2666" s="134"/>
      <c r="O2666" s="29"/>
      <c r="P2666" s="37" t="str">
        <f t="shared" si="283"/>
        <v/>
      </c>
      <c r="Q2666" s="38" t="str">
        <f t="shared" si="284"/>
        <v/>
      </c>
      <c r="R2666" s="37" t="str">
        <f t="shared" si="285"/>
        <v/>
      </c>
      <c r="S2666" s="37" t="str">
        <f t="shared" si="286"/>
        <v/>
      </c>
      <c r="T2666" s="38" t="str">
        <f t="shared" si="287"/>
        <v/>
      </c>
      <c r="U2666" s="37" t="str">
        <f t="shared" si="288"/>
        <v/>
      </c>
    </row>
    <row r="2667" spans="2:21" ht="17.25">
      <c r="B2667" s="156"/>
      <c r="C2667" s="156"/>
      <c r="D2667" s="157"/>
      <c r="E2667" s="155"/>
      <c r="F2667" s="151"/>
      <c r="G2667" s="152"/>
      <c r="H2667" s="153"/>
      <c r="I2667" s="154"/>
      <c r="J2667" s="154"/>
      <c r="K2667" s="30" t="str">
        <f>IF(H2667="","",IF($C$30="간이법","",FPR(H2667,I2667,J2667)))</f>
        <v/>
      </c>
      <c r="L2667" s="30" t="str">
        <f>IF(H2667="","",IF($C$30="상세법",FPV(H2667,K2667),IF(H2667="EI",4,IF(H2667="EO",5.2,IF(H2667="EQ",3.9,IF(H2667="ILF",7.5,IF(H2667="EIF",5.4)))))))</f>
        <v/>
      </c>
      <c r="M2667" s="30" t="str">
        <f t="shared" si="282"/>
        <v/>
      </c>
      <c r="N2667" s="134"/>
      <c r="O2667" s="29"/>
      <c r="P2667" s="37" t="str">
        <f t="shared" si="283"/>
        <v/>
      </c>
      <c r="Q2667" s="38" t="str">
        <f t="shared" si="284"/>
        <v/>
      </c>
      <c r="R2667" s="37" t="str">
        <f t="shared" si="285"/>
        <v/>
      </c>
      <c r="S2667" s="37" t="str">
        <f t="shared" si="286"/>
        <v/>
      </c>
      <c r="T2667" s="38" t="str">
        <f t="shared" si="287"/>
        <v/>
      </c>
      <c r="U2667" s="37" t="str">
        <f t="shared" si="288"/>
        <v/>
      </c>
    </row>
    <row r="2668" spans="2:21" ht="17.25">
      <c r="B2668" s="156"/>
      <c r="C2668" s="156"/>
      <c r="D2668" s="157"/>
      <c r="E2668" s="155"/>
      <c r="F2668" s="151"/>
      <c r="G2668" s="152"/>
      <c r="H2668" s="153"/>
      <c r="I2668" s="154"/>
      <c r="J2668" s="154"/>
      <c r="K2668" s="30" t="str">
        <f>IF(H2668="","",IF($C$30="간이법","",FPR(H2668,I2668,J2668)))</f>
        <v/>
      </c>
      <c r="L2668" s="30" t="str">
        <f>IF(H2668="","",IF($C$30="상세법",FPV(H2668,K2668),IF(H2668="EI",4,IF(H2668="EO",5.2,IF(H2668="EQ",3.9,IF(H2668="ILF",7.5,IF(H2668="EIF",5.4)))))))</f>
        <v/>
      </c>
      <c r="M2668" s="30" t="str">
        <f t="shared" si="282"/>
        <v/>
      </c>
      <c r="N2668" s="134"/>
      <c r="O2668" s="29"/>
      <c r="P2668" s="37" t="str">
        <f t="shared" si="283"/>
        <v/>
      </c>
      <c r="Q2668" s="38" t="str">
        <f t="shared" si="284"/>
        <v/>
      </c>
      <c r="R2668" s="37" t="str">
        <f t="shared" si="285"/>
        <v/>
      </c>
      <c r="S2668" s="37" t="str">
        <f t="shared" si="286"/>
        <v/>
      </c>
      <c r="T2668" s="38" t="str">
        <f t="shared" si="287"/>
        <v/>
      </c>
      <c r="U2668" s="37" t="str">
        <f t="shared" si="288"/>
        <v/>
      </c>
    </row>
    <row r="2669" spans="2:21" ht="17.25">
      <c r="B2669" s="156"/>
      <c r="C2669" s="156"/>
      <c r="D2669" s="157"/>
      <c r="E2669" s="155"/>
      <c r="F2669" s="151"/>
      <c r="G2669" s="152"/>
      <c r="H2669" s="153"/>
      <c r="I2669" s="154"/>
      <c r="J2669" s="154"/>
      <c r="K2669" s="30" t="str">
        <f>IF(H2669="","",IF($C$30="간이법","",FPR(H2669,I2669,J2669)))</f>
        <v/>
      </c>
      <c r="L2669" s="30" t="str">
        <f>IF(H2669="","",IF($C$30="상세법",FPV(H2669,K2669),IF(H2669="EI",4,IF(H2669="EO",5.2,IF(H2669="EQ",3.9,IF(H2669="ILF",7.5,IF(H2669="EIF",5.4)))))))</f>
        <v/>
      </c>
      <c r="M2669" s="30" t="str">
        <f t="shared" si="282"/>
        <v/>
      </c>
      <c r="N2669" s="134"/>
      <c r="O2669" s="29"/>
      <c r="P2669" s="37" t="str">
        <f t="shared" si="283"/>
        <v/>
      </c>
      <c r="Q2669" s="38" t="str">
        <f t="shared" si="284"/>
        <v/>
      </c>
      <c r="R2669" s="37" t="str">
        <f t="shared" si="285"/>
        <v/>
      </c>
      <c r="S2669" s="37" t="str">
        <f t="shared" si="286"/>
        <v/>
      </c>
      <c r="T2669" s="38" t="str">
        <f t="shared" si="287"/>
        <v/>
      </c>
      <c r="U2669" s="37" t="str">
        <f t="shared" si="288"/>
        <v/>
      </c>
    </row>
    <row r="2670" spans="2:21" ht="17.25">
      <c r="B2670" s="156"/>
      <c r="C2670" s="156"/>
      <c r="D2670" s="157"/>
      <c r="E2670" s="155"/>
      <c r="F2670" s="151"/>
      <c r="G2670" s="152"/>
      <c r="H2670" s="153"/>
      <c r="I2670" s="154"/>
      <c r="J2670" s="154"/>
      <c r="K2670" s="30" t="str">
        <f>IF(H2670="","",IF($C$30="간이법","",FPR(H2670,I2670,J2670)))</f>
        <v/>
      </c>
      <c r="L2670" s="30" t="str">
        <f>IF(H2670="","",IF($C$30="상세법",FPV(H2670,K2670),IF(H2670="EI",4,IF(H2670="EO",5.2,IF(H2670="EQ",3.9,IF(H2670="ILF",7.5,IF(H2670="EIF",5.4)))))))</f>
        <v/>
      </c>
      <c r="M2670" s="30" t="str">
        <f t="shared" si="282"/>
        <v/>
      </c>
      <c r="N2670" s="134"/>
      <c r="O2670" s="29"/>
      <c r="P2670" s="37" t="str">
        <f t="shared" si="283"/>
        <v/>
      </c>
      <c r="Q2670" s="38" t="str">
        <f t="shared" si="284"/>
        <v/>
      </c>
      <c r="R2670" s="37" t="str">
        <f t="shared" si="285"/>
        <v/>
      </c>
      <c r="S2670" s="37" t="str">
        <f t="shared" si="286"/>
        <v/>
      </c>
      <c r="T2670" s="38" t="str">
        <f t="shared" si="287"/>
        <v/>
      </c>
      <c r="U2670" s="37" t="str">
        <f t="shared" si="288"/>
        <v/>
      </c>
    </row>
    <row r="2671" spans="2:21" ht="17.25">
      <c r="B2671" s="156"/>
      <c r="C2671" s="156"/>
      <c r="D2671" s="157"/>
      <c r="E2671" s="155"/>
      <c r="F2671" s="151"/>
      <c r="G2671" s="152"/>
      <c r="H2671" s="153"/>
      <c r="I2671" s="154"/>
      <c r="J2671" s="154"/>
      <c r="K2671" s="30" t="str">
        <f>IF(H2671="","",IF($C$30="간이법","",FPR(H2671,I2671,J2671)))</f>
        <v/>
      </c>
      <c r="L2671" s="30" t="str">
        <f>IF(H2671="","",IF($C$30="상세법",FPV(H2671,K2671),IF(H2671="EI",4,IF(H2671="EO",5.2,IF(H2671="EQ",3.9,IF(H2671="ILF",7.5,IF(H2671="EIF",5.4)))))))</f>
        <v/>
      </c>
      <c r="M2671" s="30" t="str">
        <f t="shared" si="282"/>
        <v/>
      </c>
      <c r="N2671" s="134"/>
      <c r="O2671" s="29"/>
      <c r="P2671" s="37" t="str">
        <f t="shared" si="283"/>
        <v/>
      </c>
      <c r="Q2671" s="38" t="str">
        <f t="shared" si="284"/>
        <v/>
      </c>
      <c r="R2671" s="37" t="str">
        <f t="shared" si="285"/>
        <v/>
      </c>
      <c r="S2671" s="37" t="str">
        <f t="shared" si="286"/>
        <v/>
      </c>
      <c r="T2671" s="38" t="str">
        <f t="shared" si="287"/>
        <v/>
      </c>
      <c r="U2671" s="37" t="str">
        <f t="shared" si="288"/>
        <v/>
      </c>
    </row>
    <row r="2672" spans="2:21" ht="17.25">
      <c r="B2672" s="156"/>
      <c r="C2672" s="156"/>
      <c r="D2672" s="157"/>
      <c r="E2672" s="155"/>
      <c r="F2672" s="151"/>
      <c r="G2672" s="152"/>
      <c r="H2672" s="153"/>
      <c r="I2672" s="154"/>
      <c r="J2672" s="154"/>
      <c r="K2672" s="30" t="str">
        <f>IF(H2672="","",IF($C$30="간이법","",FPR(H2672,I2672,J2672)))</f>
        <v/>
      </c>
      <c r="L2672" s="30" t="str">
        <f>IF(H2672="","",IF($C$30="상세법",FPV(H2672,K2672),IF(H2672="EI",4,IF(H2672="EO",5.2,IF(H2672="EQ",3.9,IF(H2672="ILF",7.5,IF(H2672="EIF",5.4)))))))</f>
        <v/>
      </c>
      <c r="M2672" s="30" t="str">
        <f t="shared" si="282"/>
        <v/>
      </c>
      <c r="N2672" s="134"/>
      <c r="O2672" s="29"/>
      <c r="P2672" s="37" t="str">
        <f t="shared" si="283"/>
        <v/>
      </c>
      <c r="Q2672" s="38" t="str">
        <f t="shared" si="284"/>
        <v/>
      </c>
      <c r="R2672" s="37" t="str">
        <f t="shared" si="285"/>
        <v/>
      </c>
      <c r="S2672" s="37" t="str">
        <f t="shared" si="286"/>
        <v/>
      </c>
      <c r="T2672" s="38" t="str">
        <f t="shared" si="287"/>
        <v/>
      </c>
      <c r="U2672" s="37" t="str">
        <f t="shared" si="288"/>
        <v/>
      </c>
    </row>
    <row r="2673" spans="2:21" ht="17.25">
      <c r="B2673" s="156"/>
      <c r="C2673" s="156"/>
      <c r="D2673" s="157"/>
      <c r="E2673" s="155"/>
      <c r="F2673" s="151"/>
      <c r="G2673" s="152"/>
      <c r="H2673" s="153"/>
      <c r="I2673" s="154"/>
      <c r="J2673" s="154"/>
      <c r="K2673" s="30" t="str">
        <f>IF(H2673="","",IF($C$30="간이법","",FPR(H2673,I2673,J2673)))</f>
        <v/>
      </c>
      <c r="L2673" s="30" t="str">
        <f>IF(H2673="","",IF($C$30="상세법",FPV(H2673,K2673),IF(H2673="EI",4,IF(H2673="EO",5.2,IF(H2673="EQ",3.9,IF(H2673="ILF",7.5,IF(H2673="EIF",5.4)))))))</f>
        <v/>
      </c>
      <c r="M2673" s="30" t="str">
        <f t="shared" si="282"/>
        <v/>
      </c>
      <c r="N2673" s="134"/>
      <c r="O2673" s="29"/>
      <c r="P2673" s="37" t="str">
        <f t="shared" si="283"/>
        <v/>
      </c>
      <c r="Q2673" s="38" t="str">
        <f t="shared" si="284"/>
        <v/>
      </c>
      <c r="R2673" s="37" t="str">
        <f t="shared" si="285"/>
        <v/>
      </c>
      <c r="S2673" s="37" t="str">
        <f t="shared" si="286"/>
        <v/>
      </c>
      <c r="T2673" s="38" t="str">
        <f t="shared" si="287"/>
        <v/>
      </c>
      <c r="U2673" s="37" t="str">
        <f t="shared" si="288"/>
        <v/>
      </c>
    </row>
    <row r="2674" spans="2:21" ht="17.25">
      <c r="B2674" s="156"/>
      <c r="C2674" s="156"/>
      <c r="D2674" s="157"/>
      <c r="E2674" s="155"/>
      <c r="F2674" s="151"/>
      <c r="G2674" s="152"/>
      <c r="H2674" s="153"/>
      <c r="I2674" s="154"/>
      <c r="J2674" s="154"/>
      <c r="K2674" s="30" t="str">
        <f>IF(H2674="","",IF($C$30="간이법","",FPR(H2674,I2674,J2674)))</f>
        <v/>
      </c>
      <c r="L2674" s="30" t="str">
        <f>IF(H2674="","",IF($C$30="상세법",FPV(H2674,K2674),IF(H2674="EI",4,IF(H2674="EO",5.2,IF(H2674="EQ",3.9,IF(H2674="ILF",7.5,IF(H2674="EIF",5.4)))))))</f>
        <v/>
      </c>
      <c r="M2674" s="30" t="str">
        <f t="shared" si="282"/>
        <v/>
      </c>
      <c r="N2674" s="134"/>
      <c r="O2674" s="29"/>
      <c r="P2674" s="37" t="str">
        <f t="shared" si="283"/>
        <v/>
      </c>
      <c r="Q2674" s="38" t="str">
        <f t="shared" si="284"/>
        <v/>
      </c>
      <c r="R2674" s="37" t="str">
        <f t="shared" si="285"/>
        <v/>
      </c>
      <c r="S2674" s="37" t="str">
        <f t="shared" si="286"/>
        <v/>
      </c>
      <c r="T2674" s="38" t="str">
        <f t="shared" si="287"/>
        <v/>
      </c>
      <c r="U2674" s="37" t="str">
        <f t="shared" si="288"/>
        <v/>
      </c>
    </row>
    <row r="2675" spans="2:21" ht="17.25">
      <c r="B2675" s="156"/>
      <c r="C2675" s="156"/>
      <c r="D2675" s="157"/>
      <c r="E2675" s="155"/>
      <c r="F2675" s="151"/>
      <c r="G2675" s="152"/>
      <c r="H2675" s="153"/>
      <c r="I2675" s="154"/>
      <c r="J2675" s="154"/>
      <c r="K2675" s="30" t="str">
        <f>IF(H2675="","",IF($C$30="간이법","",FPR(H2675,I2675,J2675)))</f>
        <v/>
      </c>
      <c r="L2675" s="30" t="str">
        <f>IF(H2675="","",IF($C$30="상세법",FPV(H2675,K2675),IF(H2675="EI",4,IF(H2675="EO",5.2,IF(H2675="EQ",3.9,IF(H2675="ILF",7.5,IF(H2675="EIF",5.4)))))))</f>
        <v/>
      </c>
      <c r="M2675" s="30" t="str">
        <f t="shared" si="282"/>
        <v/>
      </c>
      <c r="N2675" s="134"/>
      <c r="O2675" s="29"/>
      <c r="P2675" s="37" t="str">
        <f t="shared" si="283"/>
        <v/>
      </c>
      <c r="Q2675" s="38" t="str">
        <f t="shared" si="284"/>
        <v/>
      </c>
      <c r="R2675" s="37" t="str">
        <f t="shared" si="285"/>
        <v/>
      </c>
      <c r="S2675" s="37" t="str">
        <f t="shared" si="286"/>
        <v/>
      </c>
      <c r="T2675" s="38" t="str">
        <f t="shared" si="287"/>
        <v/>
      </c>
      <c r="U2675" s="37" t="str">
        <f t="shared" si="288"/>
        <v/>
      </c>
    </row>
    <row r="2676" spans="2:21" ht="17.25">
      <c r="B2676" s="156"/>
      <c r="C2676" s="156"/>
      <c r="D2676" s="157"/>
      <c r="E2676" s="155"/>
      <c r="F2676" s="151"/>
      <c r="G2676" s="152"/>
      <c r="H2676" s="153"/>
      <c r="I2676" s="154"/>
      <c r="J2676" s="154"/>
      <c r="K2676" s="30" t="str">
        <f>IF(H2676="","",IF($C$30="간이법","",FPR(H2676,I2676,J2676)))</f>
        <v/>
      </c>
      <c r="L2676" s="30" t="str">
        <f>IF(H2676="","",IF($C$30="상세법",FPV(H2676,K2676),IF(H2676="EI",4,IF(H2676="EO",5.2,IF(H2676="EQ",3.9,IF(H2676="ILF",7.5,IF(H2676="EIF",5.4)))))))</f>
        <v/>
      </c>
      <c r="M2676" s="30" t="str">
        <f t="shared" si="282"/>
        <v/>
      </c>
      <c r="N2676" s="134"/>
      <c r="O2676" s="29"/>
      <c r="P2676" s="37" t="str">
        <f t="shared" si="283"/>
        <v/>
      </c>
      <c r="Q2676" s="38" t="str">
        <f t="shared" si="284"/>
        <v/>
      </c>
      <c r="R2676" s="37" t="str">
        <f t="shared" si="285"/>
        <v/>
      </c>
      <c r="S2676" s="37" t="str">
        <f t="shared" si="286"/>
        <v/>
      </c>
      <c r="T2676" s="38" t="str">
        <f t="shared" si="287"/>
        <v/>
      </c>
      <c r="U2676" s="37" t="str">
        <f t="shared" si="288"/>
        <v/>
      </c>
    </row>
    <row r="2677" spans="2:21" ht="17.25">
      <c r="B2677" s="156"/>
      <c r="C2677" s="156"/>
      <c r="D2677" s="157"/>
      <c r="E2677" s="155"/>
      <c r="F2677" s="151"/>
      <c r="G2677" s="152"/>
      <c r="H2677" s="153"/>
      <c r="I2677" s="154"/>
      <c r="J2677" s="154"/>
      <c r="K2677" s="30" t="str">
        <f>IF(H2677="","",IF($C$30="간이법","",FPR(H2677,I2677,J2677)))</f>
        <v/>
      </c>
      <c r="L2677" s="30" t="str">
        <f>IF(H2677="","",IF($C$30="상세법",FPV(H2677,K2677),IF(H2677="EI",4,IF(H2677="EO",5.2,IF(H2677="EQ",3.9,IF(H2677="ILF",7.5,IF(H2677="EIF",5.4)))))))</f>
        <v/>
      </c>
      <c r="M2677" s="30" t="str">
        <f t="shared" si="282"/>
        <v/>
      </c>
      <c r="N2677" s="134"/>
      <c r="O2677" s="29"/>
      <c r="P2677" s="37" t="str">
        <f t="shared" si="283"/>
        <v/>
      </c>
      <c r="Q2677" s="38" t="str">
        <f t="shared" si="284"/>
        <v/>
      </c>
      <c r="R2677" s="37" t="str">
        <f t="shared" si="285"/>
        <v/>
      </c>
      <c r="S2677" s="37" t="str">
        <f t="shared" si="286"/>
        <v/>
      </c>
      <c r="T2677" s="38" t="str">
        <f t="shared" si="287"/>
        <v/>
      </c>
      <c r="U2677" s="37" t="str">
        <f t="shared" si="288"/>
        <v/>
      </c>
    </row>
    <row r="2678" spans="2:21" ht="17.25">
      <c r="B2678" s="156"/>
      <c r="C2678" s="156"/>
      <c r="D2678" s="157"/>
      <c r="E2678" s="155"/>
      <c r="F2678" s="151"/>
      <c r="G2678" s="152"/>
      <c r="H2678" s="153"/>
      <c r="I2678" s="154"/>
      <c r="J2678" s="154"/>
      <c r="K2678" s="30" t="str">
        <f>IF(H2678="","",IF($C$30="간이법","",FPR(H2678,I2678,J2678)))</f>
        <v/>
      </c>
      <c r="L2678" s="30" t="str">
        <f>IF(H2678="","",IF($C$30="상세법",FPV(H2678,K2678),IF(H2678="EI",4,IF(H2678="EO",5.2,IF(H2678="EQ",3.9,IF(H2678="ILF",7.5,IF(H2678="EIF",5.4)))))))</f>
        <v/>
      </c>
      <c r="M2678" s="30" t="str">
        <f t="shared" si="282"/>
        <v/>
      </c>
      <c r="N2678" s="134"/>
      <c r="O2678" s="29"/>
      <c r="P2678" s="37" t="str">
        <f t="shared" si="283"/>
        <v/>
      </c>
      <c r="Q2678" s="38" t="str">
        <f t="shared" si="284"/>
        <v/>
      </c>
      <c r="R2678" s="37" t="str">
        <f t="shared" si="285"/>
        <v/>
      </c>
      <c r="S2678" s="37" t="str">
        <f t="shared" si="286"/>
        <v/>
      </c>
      <c r="T2678" s="38" t="str">
        <f t="shared" si="287"/>
        <v/>
      </c>
      <c r="U2678" s="37" t="str">
        <f t="shared" si="288"/>
        <v/>
      </c>
    </row>
    <row r="2679" spans="2:21" ht="17.25">
      <c r="B2679" s="156"/>
      <c r="C2679" s="156"/>
      <c r="D2679" s="157"/>
      <c r="E2679" s="155"/>
      <c r="F2679" s="151"/>
      <c r="G2679" s="152"/>
      <c r="H2679" s="153"/>
      <c r="I2679" s="154"/>
      <c r="J2679" s="154"/>
      <c r="K2679" s="30" t="str">
        <f>IF(H2679="","",IF($C$30="간이법","",FPR(H2679,I2679,J2679)))</f>
        <v/>
      </c>
      <c r="L2679" s="30" t="str">
        <f>IF(H2679="","",IF($C$30="상세법",FPV(H2679,K2679),IF(H2679="EI",4,IF(H2679="EO",5.2,IF(H2679="EQ",3.9,IF(H2679="ILF",7.5,IF(H2679="EIF",5.4)))))))</f>
        <v/>
      </c>
      <c r="M2679" s="30" t="str">
        <f t="shared" si="282"/>
        <v/>
      </c>
      <c r="N2679" s="134"/>
      <c r="O2679" s="29"/>
      <c r="P2679" s="37" t="str">
        <f t="shared" si="283"/>
        <v/>
      </c>
      <c r="Q2679" s="38" t="str">
        <f t="shared" si="284"/>
        <v/>
      </c>
      <c r="R2679" s="37" t="str">
        <f t="shared" si="285"/>
        <v/>
      </c>
      <c r="S2679" s="37" t="str">
        <f t="shared" si="286"/>
        <v/>
      </c>
      <c r="T2679" s="38" t="str">
        <f t="shared" si="287"/>
        <v/>
      </c>
      <c r="U2679" s="37" t="str">
        <f t="shared" si="288"/>
        <v/>
      </c>
    </row>
    <row r="2680" spans="2:21" ht="17.25">
      <c r="B2680" s="156"/>
      <c r="C2680" s="156"/>
      <c r="D2680" s="157"/>
      <c r="E2680" s="155"/>
      <c r="F2680" s="151"/>
      <c r="G2680" s="152"/>
      <c r="H2680" s="153"/>
      <c r="I2680" s="154"/>
      <c r="J2680" s="154"/>
      <c r="K2680" s="30" t="str">
        <f>IF(H2680="","",IF($C$30="간이법","",FPR(H2680,I2680,J2680)))</f>
        <v/>
      </c>
      <c r="L2680" s="30" t="str">
        <f>IF(H2680="","",IF($C$30="상세법",FPV(H2680,K2680),IF(H2680="EI",4,IF(H2680="EO",5.2,IF(H2680="EQ",3.9,IF(H2680="ILF",7.5,IF(H2680="EIF",5.4)))))))</f>
        <v/>
      </c>
      <c r="M2680" s="30" t="str">
        <f t="shared" si="282"/>
        <v/>
      </c>
      <c r="N2680" s="134"/>
      <c r="O2680" s="29"/>
      <c r="P2680" s="37" t="str">
        <f t="shared" si="283"/>
        <v/>
      </c>
      <c r="Q2680" s="38" t="str">
        <f t="shared" si="284"/>
        <v/>
      </c>
      <c r="R2680" s="37" t="str">
        <f t="shared" si="285"/>
        <v/>
      </c>
      <c r="S2680" s="37" t="str">
        <f t="shared" si="286"/>
        <v/>
      </c>
      <c r="T2680" s="38" t="str">
        <f t="shared" si="287"/>
        <v/>
      </c>
      <c r="U2680" s="37" t="str">
        <f t="shared" si="288"/>
        <v/>
      </c>
    </row>
    <row r="2681" spans="2:21" ht="17.25">
      <c r="B2681" s="156"/>
      <c r="C2681" s="156"/>
      <c r="D2681" s="157"/>
      <c r="E2681" s="155"/>
      <c r="F2681" s="151"/>
      <c r="G2681" s="152"/>
      <c r="H2681" s="153"/>
      <c r="I2681" s="154"/>
      <c r="J2681" s="154"/>
      <c r="K2681" s="30" t="str">
        <f>IF(H2681="","",IF($C$30="간이법","",FPR(H2681,I2681,J2681)))</f>
        <v/>
      </c>
      <c r="L2681" s="30" t="str">
        <f>IF(H2681="","",IF($C$30="상세법",FPV(H2681,K2681),IF(H2681="EI",4,IF(H2681="EO",5.2,IF(H2681="EQ",3.9,IF(H2681="ILF",7.5,IF(H2681="EIF",5.4)))))))</f>
        <v/>
      </c>
      <c r="M2681" s="30" t="str">
        <f t="shared" si="282"/>
        <v/>
      </c>
      <c r="N2681" s="134"/>
      <c r="O2681" s="29"/>
      <c r="P2681" s="37" t="str">
        <f t="shared" si="283"/>
        <v/>
      </c>
      <c r="Q2681" s="38" t="str">
        <f t="shared" si="284"/>
        <v/>
      </c>
      <c r="R2681" s="37" t="str">
        <f t="shared" si="285"/>
        <v/>
      </c>
      <c r="S2681" s="37" t="str">
        <f t="shared" si="286"/>
        <v/>
      </c>
      <c r="T2681" s="38" t="str">
        <f t="shared" si="287"/>
        <v/>
      </c>
      <c r="U2681" s="37" t="str">
        <f t="shared" si="288"/>
        <v/>
      </c>
    </row>
    <row r="2682" spans="2:21" ht="17.25">
      <c r="B2682" s="156"/>
      <c r="C2682" s="156"/>
      <c r="D2682" s="157"/>
      <c r="E2682" s="155"/>
      <c r="F2682" s="151"/>
      <c r="G2682" s="152"/>
      <c r="H2682" s="153"/>
      <c r="I2682" s="154"/>
      <c r="J2682" s="154"/>
      <c r="K2682" s="30" t="str">
        <f>IF(H2682="","",IF($C$30="간이법","",FPR(H2682,I2682,J2682)))</f>
        <v/>
      </c>
      <c r="L2682" s="30" t="str">
        <f>IF(H2682="","",IF($C$30="상세법",FPV(H2682,K2682),IF(H2682="EI",4,IF(H2682="EO",5.2,IF(H2682="EQ",3.9,IF(H2682="ILF",7.5,IF(H2682="EIF",5.4)))))))</f>
        <v/>
      </c>
      <c r="M2682" s="30" t="str">
        <f t="shared" si="282"/>
        <v/>
      </c>
      <c r="N2682" s="134"/>
      <c r="O2682" s="29"/>
      <c r="P2682" s="37" t="str">
        <f t="shared" si="283"/>
        <v/>
      </c>
      <c r="Q2682" s="38" t="str">
        <f t="shared" si="284"/>
        <v/>
      </c>
      <c r="R2682" s="37" t="str">
        <f t="shared" si="285"/>
        <v/>
      </c>
      <c r="S2682" s="37" t="str">
        <f t="shared" si="286"/>
        <v/>
      </c>
      <c r="T2682" s="38" t="str">
        <f t="shared" si="287"/>
        <v/>
      </c>
      <c r="U2682" s="37" t="str">
        <f t="shared" si="288"/>
        <v/>
      </c>
    </row>
    <row r="2683" spans="2:21" ht="17.25">
      <c r="B2683" s="156"/>
      <c r="C2683" s="156"/>
      <c r="D2683" s="157"/>
      <c r="E2683" s="155"/>
      <c r="F2683" s="151"/>
      <c r="G2683" s="152"/>
      <c r="H2683" s="153"/>
      <c r="I2683" s="154"/>
      <c r="J2683" s="154"/>
      <c r="K2683" s="30" t="str">
        <f>IF(H2683="","",IF($C$30="간이법","",FPR(H2683,I2683,J2683)))</f>
        <v/>
      </c>
      <c r="L2683" s="30" t="str">
        <f>IF(H2683="","",IF($C$30="상세법",FPV(H2683,K2683),IF(H2683="EI",4,IF(H2683="EO",5.2,IF(H2683="EQ",3.9,IF(H2683="ILF",7.5,IF(H2683="EIF",5.4)))))))</f>
        <v/>
      </c>
      <c r="M2683" s="30" t="str">
        <f t="shared" si="282"/>
        <v/>
      </c>
      <c r="N2683" s="134"/>
      <c r="O2683" s="29"/>
      <c r="P2683" s="37" t="str">
        <f t="shared" si="283"/>
        <v/>
      </c>
      <c r="Q2683" s="38" t="str">
        <f t="shared" si="284"/>
        <v/>
      </c>
      <c r="R2683" s="37" t="str">
        <f t="shared" si="285"/>
        <v/>
      </c>
      <c r="S2683" s="37" t="str">
        <f t="shared" si="286"/>
        <v/>
      </c>
      <c r="T2683" s="38" t="str">
        <f t="shared" si="287"/>
        <v/>
      </c>
      <c r="U2683" s="37" t="str">
        <f t="shared" si="288"/>
        <v/>
      </c>
    </row>
    <row r="2684" spans="2:21" ht="17.25">
      <c r="B2684" s="156"/>
      <c r="C2684" s="156"/>
      <c r="D2684" s="157"/>
      <c r="E2684" s="155"/>
      <c r="F2684" s="151"/>
      <c r="G2684" s="152"/>
      <c r="H2684" s="153"/>
      <c r="I2684" s="154"/>
      <c r="J2684" s="154"/>
      <c r="K2684" s="30" t="str">
        <f>IF(H2684="","",IF($C$30="간이법","",FPR(H2684,I2684,J2684)))</f>
        <v/>
      </c>
      <c r="L2684" s="30" t="str">
        <f>IF(H2684="","",IF($C$30="상세법",FPV(H2684,K2684),IF(H2684="EI",4,IF(H2684="EO",5.2,IF(H2684="EQ",3.9,IF(H2684="ILF",7.5,IF(H2684="EIF",5.4)))))))</f>
        <v/>
      </c>
      <c r="M2684" s="30" t="str">
        <f t="shared" ref="M2684:M2747" si="289">IF(OR(G2684="",$E$36="(선택)",$E$40="(선택)",$E$41="(선택)",F2684="신규 개발",F2684="수정 없이 재사용"),"",(IF(F2684="수정 후 재사용",IF($E$50&lt;=0.5,L2684*($E$36+$E$50*100*(1+0.02*($E$40*$E$41)))/100,L2684*($E$36+$E$50*100+($E$40*$E$41))/100))))</f>
        <v/>
      </c>
      <c r="N2684" s="134"/>
      <c r="O2684" s="29"/>
      <c r="P2684" s="37" t="str">
        <f t="shared" ref="P2684:P2747" si="290">IF(F2684="수정 후 재사용",IF(H2684="ILF",G2684,IF(H2684="EIF",G2684,"")),"")</f>
        <v/>
      </c>
      <c r="Q2684" s="38" t="str">
        <f t="shared" ref="Q2684:Q2747" si="291">IF(P2684&lt;&gt;"",IF(H2684="ILF", L2684/$E$46,IF(H2684="EIF", L2684/$E$46,"")),"")</f>
        <v/>
      </c>
      <c r="R2684" s="37" t="str">
        <f t="shared" ref="R2684:R2747" si="292">IF(P2684&lt;&gt;"",P2684*Q2684,"")</f>
        <v/>
      </c>
      <c r="S2684" s="37" t="str">
        <f t="shared" ref="S2684:S2747" si="293">IF(F2684="수정 후 재사용",IF(H2684="EI",G2684,IF(H2684="EO",G2684,IF(H2684="EQ",G2684,""))),"")</f>
        <v/>
      </c>
      <c r="T2684" s="38" t="str">
        <f t="shared" ref="T2684:T2747" si="294">IF(S2684&lt;&gt;"",IF(H2684="EI",L2684/$E$47,IF(H2684="EO",L2684/$E$47,IF(H2684="EQ",L2684/$E$47,""))),"")</f>
        <v/>
      </c>
      <c r="U2684" s="37" t="str">
        <f t="shared" ref="U2684:U2747" si="295">IF(S2684&lt;&gt;"",S2684*T2684,"")</f>
        <v/>
      </c>
    </row>
    <row r="2685" spans="2:21" ht="17.25">
      <c r="B2685" s="156"/>
      <c r="C2685" s="156"/>
      <c r="D2685" s="157"/>
      <c r="E2685" s="155"/>
      <c r="F2685" s="151"/>
      <c r="G2685" s="152"/>
      <c r="H2685" s="153"/>
      <c r="I2685" s="154"/>
      <c r="J2685" s="154"/>
      <c r="K2685" s="30" t="str">
        <f>IF(H2685="","",IF($C$30="간이법","",FPR(H2685,I2685,J2685)))</f>
        <v/>
      </c>
      <c r="L2685" s="30" t="str">
        <f>IF(H2685="","",IF($C$30="상세법",FPV(H2685,K2685),IF(H2685="EI",4,IF(H2685="EO",5.2,IF(H2685="EQ",3.9,IF(H2685="ILF",7.5,IF(H2685="EIF",5.4)))))))</f>
        <v/>
      </c>
      <c r="M2685" s="30" t="str">
        <f t="shared" si="289"/>
        <v/>
      </c>
      <c r="N2685" s="134"/>
      <c r="O2685" s="29"/>
      <c r="P2685" s="37" t="str">
        <f t="shared" si="290"/>
        <v/>
      </c>
      <c r="Q2685" s="38" t="str">
        <f t="shared" si="291"/>
        <v/>
      </c>
      <c r="R2685" s="37" t="str">
        <f t="shared" si="292"/>
        <v/>
      </c>
      <c r="S2685" s="37" t="str">
        <f t="shared" si="293"/>
        <v/>
      </c>
      <c r="T2685" s="38" t="str">
        <f t="shared" si="294"/>
        <v/>
      </c>
      <c r="U2685" s="37" t="str">
        <f t="shared" si="295"/>
        <v/>
      </c>
    </row>
    <row r="2686" spans="2:21" ht="17.25">
      <c r="B2686" s="156"/>
      <c r="C2686" s="156"/>
      <c r="D2686" s="157"/>
      <c r="E2686" s="155"/>
      <c r="F2686" s="151"/>
      <c r="G2686" s="152"/>
      <c r="H2686" s="153"/>
      <c r="I2686" s="154"/>
      <c r="J2686" s="154"/>
      <c r="K2686" s="30" t="str">
        <f>IF(H2686="","",IF($C$30="간이법","",FPR(H2686,I2686,J2686)))</f>
        <v/>
      </c>
      <c r="L2686" s="30" t="str">
        <f>IF(H2686="","",IF($C$30="상세법",FPV(H2686,K2686),IF(H2686="EI",4,IF(H2686="EO",5.2,IF(H2686="EQ",3.9,IF(H2686="ILF",7.5,IF(H2686="EIF",5.4)))))))</f>
        <v/>
      </c>
      <c r="M2686" s="30" t="str">
        <f t="shared" si="289"/>
        <v/>
      </c>
      <c r="N2686" s="134"/>
      <c r="O2686" s="29"/>
      <c r="P2686" s="37" t="str">
        <f t="shared" si="290"/>
        <v/>
      </c>
      <c r="Q2686" s="38" t="str">
        <f t="shared" si="291"/>
        <v/>
      </c>
      <c r="R2686" s="37" t="str">
        <f t="shared" si="292"/>
        <v/>
      </c>
      <c r="S2686" s="37" t="str">
        <f t="shared" si="293"/>
        <v/>
      </c>
      <c r="T2686" s="38" t="str">
        <f t="shared" si="294"/>
        <v/>
      </c>
      <c r="U2686" s="37" t="str">
        <f t="shared" si="295"/>
        <v/>
      </c>
    </row>
    <row r="2687" spans="2:21" ht="17.25">
      <c r="B2687" s="156"/>
      <c r="C2687" s="156"/>
      <c r="D2687" s="157"/>
      <c r="E2687" s="155"/>
      <c r="F2687" s="151"/>
      <c r="G2687" s="152"/>
      <c r="H2687" s="153"/>
      <c r="I2687" s="154"/>
      <c r="J2687" s="154"/>
      <c r="K2687" s="30" t="str">
        <f>IF(H2687="","",IF($C$30="간이법","",FPR(H2687,I2687,J2687)))</f>
        <v/>
      </c>
      <c r="L2687" s="30" t="str">
        <f>IF(H2687="","",IF($C$30="상세법",FPV(H2687,K2687),IF(H2687="EI",4,IF(H2687="EO",5.2,IF(H2687="EQ",3.9,IF(H2687="ILF",7.5,IF(H2687="EIF",5.4)))))))</f>
        <v/>
      </c>
      <c r="M2687" s="30" t="str">
        <f t="shared" si="289"/>
        <v/>
      </c>
      <c r="N2687" s="134"/>
      <c r="O2687" s="29"/>
      <c r="P2687" s="37" t="str">
        <f t="shared" si="290"/>
        <v/>
      </c>
      <c r="Q2687" s="38" t="str">
        <f t="shared" si="291"/>
        <v/>
      </c>
      <c r="R2687" s="37" t="str">
        <f t="shared" si="292"/>
        <v/>
      </c>
      <c r="S2687" s="37" t="str">
        <f t="shared" si="293"/>
        <v/>
      </c>
      <c r="T2687" s="38" t="str">
        <f t="shared" si="294"/>
        <v/>
      </c>
      <c r="U2687" s="37" t="str">
        <f t="shared" si="295"/>
        <v/>
      </c>
    </row>
    <row r="2688" spans="2:21" ht="17.25">
      <c r="B2688" s="156"/>
      <c r="C2688" s="156"/>
      <c r="D2688" s="157"/>
      <c r="E2688" s="155"/>
      <c r="F2688" s="151"/>
      <c r="G2688" s="152"/>
      <c r="H2688" s="153"/>
      <c r="I2688" s="154"/>
      <c r="J2688" s="154"/>
      <c r="K2688" s="30" t="str">
        <f>IF(H2688="","",IF($C$30="간이법","",FPR(H2688,I2688,J2688)))</f>
        <v/>
      </c>
      <c r="L2688" s="30" t="str">
        <f>IF(H2688="","",IF($C$30="상세법",FPV(H2688,K2688),IF(H2688="EI",4,IF(H2688="EO",5.2,IF(H2688="EQ",3.9,IF(H2688="ILF",7.5,IF(H2688="EIF",5.4)))))))</f>
        <v/>
      </c>
      <c r="M2688" s="30" t="str">
        <f t="shared" si="289"/>
        <v/>
      </c>
      <c r="N2688" s="134"/>
      <c r="O2688" s="29"/>
      <c r="P2688" s="37" t="str">
        <f t="shared" si="290"/>
        <v/>
      </c>
      <c r="Q2688" s="38" t="str">
        <f t="shared" si="291"/>
        <v/>
      </c>
      <c r="R2688" s="37" t="str">
        <f t="shared" si="292"/>
        <v/>
      </c>
      <c r="S2688" s="37" t="str">
        <f t="shared" si="293"/>
        <v/>
      </c>
      <c r="T2688" s="38" t="str">
        <f t="shared" si="294"/>
        <v/>
      </c>
      <c r="U2688" s="37" t="str">
        <f t="shared" si="295"/>
        <v/>
      </c>
    </row>
    <row r="2689" spans="2:21" ht="17.25">
      <c r="B2689" s="156"/>
      <c r="C2689" s="156"/>
      <c r="D2689" s="157"/>
      <c r="E2689" s="155"/>
      <c r="F2689" s="151"/>
      <c r="G2689" s="152"/>
      <c r="H2689" s="153"/>
      <c r="I2689" s="154"/>
      <c r="J2689" s="154"/>
      <c r="K2689" s="30" t="str">
        <f>IF(H2689="","",IF($C$30="간이법","",FPR(H2689,I2689,J2689)))</f>
        <v/>
      </c>
      <c r="L2689" s="30" t="str">
        <f>IF(H2689="","",IF($C$30="상세법",FPV(H2689,K2689),IF(H2689="EI",4,IF(H2689="EO",5.2,IF(H2689="EQ",3.9,IF(H2689="ILF",7.5,IF(H2689="EIF",5.4)))))))</f>
        <v/>
      </c>
      <c r="M2689" s="30" t="str">
        <f t="shared" si="289"/>
        <v/>
      </c>
      <c r="N2689" s="134"/>
      <c r="O2689" s="29"/>
      <c r="P2689" s="37" t="str">
        <f t="shared" si="290"/>
        <v/>
      </c>
      <c r="Q2689" s="38" t="str">
        <f t="shared" si="291"/>
        <v/>
      </c>
      <c r="R2689" s="37" t="str">
        <f t="shared" si="292"/>
        <v/>
      </c>
      <c r="S2689" s="37" t="str">
        <f t="shared" si="293"/>
        <v/>
      </c>
      <c r="T2689" s="38" t="str">
        <f t="shared" si="294"/>
        <v/>
      </c>
      <c r="U2689" s="37" t="str">
        <f t="shared" si="295"/>
        <v/>
      </c>
    </row>
    <row r="2690" spans="2:21" ht="17.25">
      <c r="B2690" s="156"/>
      <c r="C2690" s="156"/>
      <c r="D2690" s="157"/>
      <c r="E2690" s="155"/>
      <c r="F2690" s="151"/>
      <c r="G2690" s="152"/>
      <c r="H2690" s="153"/>
      <c r="I2690" s="154"/>
      <c r="J2690" s="154"/>
      <c r="K2690" s="30" t="str">
        <f>IF(H2690="","",IF($C$30="간이법","",FPR(H2690,I2690,J2690)))</f>
        <v/>
      </c>
      <c r="L2690" s="30" t="str">
        <f>IF(H2690="","",IF($C$30="상세법",FPV(H2690,K2690),IF(H2690="EI",4,IF(H2690="EO",5.2,IF(H2690="EQ",3.9,IF(H2690="ILF",7.5,IF(H2690="EIF",5.4)))))))</f>
        <v/>
      </c>
      <c r="M2690" s="30" t="str">
        <f t="shared" si="289"/>
        <v/>
      </c>
      <c r="N2690" s="134"/>
      <c r="O2690" s="29"/>
      <c r="P2690" s="37" t="str">
        <f t="shared" si="290"/>
        <v/>
      </c>
      <c r="Q2690" s="38" t="str">
        <f t="shared" si="291"/>
        <v/>
      </c>
      <c r="R2690" s="37" t="str">
        <f t="shared" si="292"/>
        <v/>
      </c>
      <c r="S2690" s="37" t="str">
        <f t="shared" si="293"/>
        <v/>
      </c>
      <c r="T2690" s="38" t="str">
        <f t="shared" si="294"/>
        <v/>
      </c>
      <c r="U2690" s="37" t="str">
        <f t="shared" si="295"/>
        <v/>
      </c>
    </row>
    <row r="2691" spans="2:21" ht="17.25">
      <c r="B2691" s="156"/>
      <c r="C2691" s="156"/>
      <c r="D2691" s="157"/>
      <c r="E2691" s="155"/>
      <c r="F2691" s="151"/>
      <c r="G2691" s="152"/>
      <c r="H2691" s="153"/>
      <c r="I2691" s="154"/>
      <c r="J2691" s="154"/>
      <c r="K2691" s="30" t="str">
        <f>IF(H2691="","",IF($C$30="간이법","",FPR(H2691,I2691,J2691)))</f>
        <v/>
      </c>
      <c r="L2691" s="30" t="str">
        <f>IF(H2691="","",IF($C$30="상세법",FPV(H2691,K2691),IF(H2691="EI",4,IF(H2691="EO",5.2,IF(H2691="EQ",3.9,IF(H2691="ILF",7.5,IF(H2691="EIF",5.4)))))))</f>
        <v/>
      </c>
      <c r="M2691" s="30" t="str">
        <f t="shared" si="289"/>
        <v/>
      </c>
      <c r="N2691" s="134"/>
      <c r="O2691" s="29"/>
      <c r="P2691" s="37" t="str">
        <f t="shared" si="290"/>
        <v/>
      </c>
      <c r="Q2691" s="38" t="str">
        <f t="shared" si="291"/>
        <v/>
      </c>
      <c r="R2691" s="37" t="str">
        <f t="shared" si="292"/>
        <v/>
      </c>
      <c r="S2691" s="37" t="str">
        <f t="shared" si="293"/>
        <v/>
      </c>
      <c r="T2691" s="38" t="str">
        <f t="shared" si="294"/>
        <v/>
      </c>
      <c r="U2691" s="37" t="str">
        <f t="shared" si="295"/>
        <v/>
      </c>
    </row>
    <row r="2692" spans="2:21" ht="17.25">
      <c r="B2692" s="156"/>
      <c r="C2692" s="156"/>
      <c r="D2692" s="157"/>
      <c r="E2692" s="155"/>
      <c r="F2692" s="151"/>
      <c r="G2692" s="152"/>
      <c r="H2692" s="153"/>
      <c r="I2692" s="154"/>
      <c r="J2692" s="154"/>
      <c r="K2692" s="30" t="str">
        <f>IF(H2692="","",IF($C$30="간이법","",FPR(H2692,I2692,J2692)))</f>
        <v/>
      </c>
      <c r="L2692" s="30" t="str">
        <f>IF(H2692="","",IF($C$30="상세법",FPV(H2692,K2692),IF(H2692="EI",4,IF(H2692="EO",5.2,IF(H2692="EQ",3.9,IF(H2692="ILF",7.5,IF(H2692="EIF",5.4)))))))</f>
        <v/>
      </c>
      <c r="M2692" s="30" t="str">
        <f t="shared" si="289"/>
        <v/>
      </c>
      <c r="N2692" s="134"/>
      <c r="O2692" s="29"/>
      <c r="P2692" s="37" t="str">
        <f t="shared" si="290"/>
        <v/>
      </c>
      <c r="Q2692" s="38" t="str">
        <f t="shared" si="291"/>
        <v/>
      </c>
      <c r="R2692" s="37" t="str">
        <f t="shared" si="292"/>
        <v/>
      </c>
      <c r="S2692" s="37" t="str">
        <f t="shared" si="293"/>
        <v/>
      </c>
      <c r="T2692" s="38" t="str">
        <f t="shared" si="294"/>
        <v/>
      </c>
      <c r="U2692" s="37" t="str">
        <f t="shared" si="295"/>
        <v/>
      </c>
    </row>
    <row r="2693" spans="2:21" ht="17.25">
      <c r="B2693" s="156"/>
      <c r="C2693" s="156"/>
      <c r="D2693" s="157"/>
      <c r="E2693" s="155"/>
      <c r="F2693" s="151"/>
      <c r="G2693" s="152"/>
      <c r="H2693" s="153"/>
      <c r="I2693" s="154"/>
      <c r="J2693" s="154"/>
      <c r="K2693" s="30" t="str">
        <f>IF(H2693="","",IF($C$30="간이법","",FPR(H2693,I2693,J2693)))</f>
        <v/>
      </c>
      <c r="L2693" s="30" t="str">
        <f>IF(H2693="","",IF($C$30="상세법",FPV(H2693,K2693),IF(H2693="EI",4,IF(H2693="EO",5.2,IF(H2693="EQ",3.9,IF(H2693="ILF",7.5,IF(H2693="EIF",5.4)))))))</f>
        <v/>
      </c>
      <c r="M2693" s="30" t="str">
        <f t="shared" si="289"/>
        <v/>
      </c>
      <c r="N2693" s="134"/>
      <c r="O2693" s="29"/>
      <c r="P2693" s="37" t="str">
        <f t="shared" si="290"/>
        <v/>
      </c>
      <c r="Q2693" s="38" t="str">
        <f t="shared" si="291"/>
        <v/>
      </c>
      <c r="R2693" s="37" t="str">
        <f t="shared" si="292"/>
        <v/>
      </c>
      <c r="S2693" s="37" t="str">
        <f t="shared" si="293"/>
        <v/>
      </c>
      <c r="T2693" s="38" t="str">
        <f t="shared" si="294"/>
        <v/>
      </c>
      <c r="U2693" s="37" t="str">
        <f t="shared" si="295"/>
        <v/>
      </c>
    </row>
    <row r="2694" spans="2:21" ht="17.25">
      <c r="B2694" s="156"/>
      <c r="C2694" s="156"/>
      <c r="D2694" s="157"/>
      <c r="E2694" s="155"/>
      <c r="F2694" s="151"/>
      <c r="G2694" s="152"/>
      <c r="H2694" s="153"/>
      <c r="I2694" s="154"/>
      <c r="J2694" s="154"/>
      <c r="K2694" s="30" t="str">
        <f>IF(H2694="","",IF($C$30="간이법","",FPR(H2694,I2694,J2694)))</f>
        <v/>
      </c>
      <c r="L2694" s="30" t="str">
        <f>IF(H2694="","",IF($C$30="상세법",FPV(H2694,K2694),IF(H2694="EI",4,IF(H2694="EO",5.2,IF(H2694="EQ",3.9,IF(H2694="ILF",7.5,IF(H2694="EIF",5.4)))))))</f>
        <v/>
      </c>
      <c r="M2694" s="30" t="str">
        <f t="shared" si="289"/>
        <v/>
      </c>
      <c r="N2694" s="134"/>
      <c r="O2694" s="29"/>
      <c r="P2694" s="37" t="str">
        <f t="shared" si="290"/>
        <v/>
      </c>
      <c r="Q2694" s="38" t="str">
        <f t="shared" si="291"/>
        <v/>
      </c>
      <c r="R2694" s="37" t="str">
        <f t="shared" si="292"/>
        <v/>
      </c>
      <c r="S2694" s="37" t="str">
        <f t="shared" si="293"/>
        <v/>
      </c>
      <c r="T2694" s="38" t="str">
        <f t="shared" si="294"/>
        <v/>
      </c>
      <c r="U2694" s="37" t="str">
        <f t="shared" si="295"/>
        <v/>
      </c>
    </row>
    <row r="2695" spans="2:21" ht="17.25">
      <c r="B2695" s="156"/>
      <c r="C2695" s="156"/>
      <c r="D2695" s="157"/>
      <c r="E2695" s="155"/>
      <c r="F2695" s="151"/>
      <c r="G2695" s="152"/>
      <c r="H2695" s="153"/>
      <c r="I2695" s="154"/>
      <c r="J2695" s="154"/>
      <c r="K2695" s="30" t="str">
        <f>IF(H2695="","",IF($C$30="간이법","",FPR(H2695,I2695,J2695)))</f>
        <v/>
      </c>
      <c r="L2695" s="30" t="str">
        <f>IF(H2695="","",IF($C$30="상세법",FPV(H2695,K2695),IF(H2695="EI",4,IF(H2695="EO",5.2,IF(H2695="EQ",3.9,IF(H2695="ILF",7.5,IF(H2695="EIF",5.4)))))))</f>
        <v/>
      </c>
      <c r="M2695" s="30" t="str">
        <f t="shared" si="289"/>
        <v/>
      </c>
      <c r="N2695" s="134"/>
      <c r="O2695" s="29"/>
      <c r="P2695" s="37" t="str">
        <f t="shared" si="290"/>
        <v/>
      </c>
      <c r="Q2695" s="38" t="str">
        <f t="shared" si="291"/>
        <v/>
      </c>
      <c r="R2695" s="37" t="str">
        <f t="shared" si="292"/>
        <v/>
      </c>
      <c r="S2695" s="37" t="str">
        <f t="shared" si="293"/>
        <v/>
      </c>
      <c r="T2695" s="38" t="str">
        <f t="shared" si="294"/>
        <v/>
      </c>
      <c r="U2695" s="37" t="str">
        <f t="shared" si="295"/>
        <v/>
      </c>
    </row>
    <row r="2696" spans="2:21" ht="17.25">
      <c r="B2696" s="156"/>
      <c r="C2696" s="156"/>
      <c r="D2696" s="157"/>
      <c r="E2696" s="155"/>
      <c r="F2696" s="151"/>
      <c r="G2696" s="152"/>
      <c r="H2696" s="153"/>
      <c r="I2696" s="154"/>
      <c r="J2696" s="154"/>
      <c r="K2696" s="30" t="str">
        <f>IF(H2696="","",IF($C$30="간이법","",FPR(H2696,I2696,J2696)))</f>
        <v/>
      </c>
      <c r="L2696" s="30" t="str">
        <f>IF(H2696="","",IF($C$30="상세법",FPV(H2696,K2696),IF(H2696="EI",4,IF(H2696="EO",5.2,IF(H2696="EQ",3.9,IF(H2696="ILF",7.5,IF(H2696="EIF",5.4)))))))</f>
        <v/>
      </c>
      <c r="M2696" s="30" t="str">
        <f t="shared" si="289"/>
        <v/>
      </c>
      <c r="N2696" s="134"/>
      <c r="O2696" s="29"/>
      <c r="P2696" s="37" t="str">
        <f t="shared" si="290"/>
        <v/>
      </c>
      <c r="Q2696" s="38" t="str">
        <f t="shared" si="291"/>
        <v/>
      </c>
      <c r="R2696" s="37" t="str">
        <f t="shared" si="292"/>
        <v/>
      </c>
      <c r="S2696" s="37" t="str">
        <f t="shared" si="293"/>
        <v/>
      </c>
      <c r="T2696" s="38" t="str">
        <f t="shared" si="294"/>
        <v/>
      </c>
      <c r="U2696" s="37" t="str">
        <f t="shared" si="295"/>
        <v/>
      </c>
    </row>
    <row r="2697" spans="2:21" ht="17.25">
      <c r="B2697" s="156"/>
      <c r="C2697" s="156"/>
      <c r="D2697" s="157"/>
      <c r="E2697" s="155"/>
      <c r="F2697" s="151"/>
      <c r="G2697" s="152"/>
      <c r="H2697" s="153"/>
      <c r="I2697" s="154"/>
      <c r="J2697" s="154"/>
      <c r="K2697" s="30" t="str">
        <f>IF(H2697="","",IF($C$30="간이법","",FPR(H2697,I2697,J2697)))</f>
        <v/>
      </c>
      <c r="L2697" s="30" t="str">
        <f>IF(H2697="","",IF($C$30="상세법",FPV(H2697,K2697),IF(H2697="EI",4,IF(H2697="EO",5.2,IF(H2697="EQ",3.9,IF(H2697="ILF",7.5,IF(H2697="EIF",5.4)))))))</f>
        <v/>
      </c>
      <c r="M2697" s="30" t="str">
        <f t="shared" si="289"/>
        <v/>
      </c>
      <c r="N2697" s="134"/>
      <c r="O2697" s="29"/>
      <c r="P2697" s="37" t="str">
        <f t="shared" si="290"/>
        <v/>
      </c>
      <c r="Q2697" s="38" t="str">
        <f t="shared" si="291"/>
        <v/>
      </c>
      <c r="R2697" s="37" t="str">
        <f t="shared" si="292"/>
        <v/>
      </c>
      <c r="S2697" s="37" t="str">
        <f t="shared" si="293"/>
        <v/>
      </c>
      <c r="T2697" s="38" t="str">
        <f t="shared" si="294"/>
        <v/>
      </c>
      <c r="U2697" s="37" t="str">
        <f t="shared" si="295"/>
        <v/>
      </c>
    </row>
    <row r="2698" spans="2:21" ht="17.25">
      <c r="B2698" s="156"/>
      <c r="C2698" s="156"/>
      <c r="D2698" s="157"/>
      <c r="E2698" s="155"/>
      <c r="F2698" s="151"/>
      <c r="G2698" s="152"/>
      <c r="H2698" s="153"/>
      <c r="I2698" s="154"/>
      <c r="J2698" s="154"/>
      <c r="K2698" s="30" t="str">
        <f>IF(H2698="","",IF($C$30="간이법","",FPR(H2698,I2698,J2698)))</f>
        <v/>
      </c>
      <c r="L2698" s="30" t="str">
        <f>IF(H2698="","",IF($C$30="상세법",FPV(H2698,K2698),IF(H2698="EI",4,IF(H2698="EO",5.2,IF(H2698="EQ",3.9,IF(H2698="ILF",7.5,IF(H2698="EIF",5.4)))))))</f>
        <v/>
      </c>
      <c r="M2698" s="30" t="str">
        <f t="shared" si="289"/>
        <v/>
      </c>
      <c r="N2698" s="134"/>
      <c r="O2698" s="29"/>
      <c r="P2698" s="37" t="str">
        <f t="shared" si="290"/>
        <v/>
      </c>
      <c r="Q2698" s="38" t="str">
        <f t="shared" si="291"/>
        <v/>
      </c>
      <c r="R2698" s="37" t="str">
        <f t="shared" si="292"/>
        <v/>
      </c>
      <c r="S2698" s="37" t="str">
        <f t="shared" si="293"/>
        <v/>
      </c>
      <c r="T2698" s="38" t="str">
        <f t="shared" si="294"/>
        <v/>
      </c>
      <c r="U2698" s="37" t="str">
        <f t="shared" si="295"/>
        <v/>
      </c>
    </row>
    <row r="2699" spans="2:21" ht="17.25">
      <c r="B2699" s="156"/>
      <c r="C2699" s="156"/>
      <c r="D2699" s="157"/>
      <c r="E2699" s="155"/>
      <c r="F2699" s="151"/>
      <c r="G2699" s="152"/>
      <c r="H2699" s="153"/>
      <c r="I2699" s="154"/>
      <c r="J2699" s="154"/>
      <c r="K2699" s="30" t="str">
        <f>IF(H2699="","",IF($C$30="간이법","",FPR(H2699,I2699,J2699)))</f>
        <v/>
      </c>
      <c r="L2699" s="30" t="str">
        <f>IF(H2699="","",IF($C$30="상세법",FPV(H2699,K2699),IF(H2699="EI",4,IF(H2699="EO",5.2,IF(H2699="EQ",3.9,IF(H2699="ILF",7.5,IF(H2699="EIF",5.4)))))))</f>
        <v/>
      </c>
      <c r="M2699" s="30" t="str">
        <f t="shared" si="289"/>
        <v/>
      </c>
      <c r="N2699" s="134"/>
      <c r="O2699" s="29"/>
      <c r="P2699" s="37" t="str">
        <f t="shared" si="290"/>
        <v/>
      </c>
      <c r="Q2699" s="38" t="str">
        <f t="shared" si="291"/>
        <v/>
      </c>
      <c r="R2699" s="37" t="str">
        <f t="shared" si="292"/>
        <v/>
      </c>
      <c r="S2699" s="37" t="str">
        <f t="shared" si="293"/>
        <v/>
      </c>
      <c r="T2699" s="38" t="str">
        <f t="shared" si="294"/>
        <v/>
      </c>
      <c r="U2699" s="37" t="str">
        <f t="shared" si="295"/>
        <v/>
      </c>
    </row>
    <row r="2700" spans="2:21" ht="17.25">
      <c r="B2700" s="156"/>
      <c r="C2700" s="156"/>
      <c r="D2700" s="157"/>
      <c r="E2700" s="155"/>
      <c r="F2700" s="151"/>
      <c r="G2700" s="152"/>
      <c r="H2700" s="153"/>
      <c r="I2700" s="154"/>
      <c r="J2700" s="154"/>
      <c r="K2700" s="30" t="str">
        <f>IF(H2700="","",IF($C$30="간이법","",FPR(H2700,I2700,J2700)))</f>
        <v/>
      </c>
      <c r="L2700" s="30" t="str">
        <f>IF(H2700="","",IF($C$30="상세법",FPV(H2700,K2700),IF(H2700="EI",4,IF(H2700="EO",5.2,IF(H2700="EQ",3.9,IF(H2700="ILF",7.5,IF(H2700="EIF",5.4)))))))</f>
        <v/>
      </c>
      <c r="M2700" s="30" t="str">
        <f t="shared" si="289"/>
        <v/>
      </c>
      <c r="N2700" s="134"/>
      <c r="O2700" s="29"/>
      <c r="P2700" s="37" t="str">
        <f t="shared" si="290"/>
        <v/>
      </c>
      <c r="Q2700" s="38" t="str">
        <f t="shared" si="291"/>
        <v/>
      </c>
      <c r="R2700" s="37" t="str">
        <f t="shared" si="292"/>
        <v/>
      </c>
      <c r="S2700" s="37" t="str">
        <f t="shared" si="293"/>
        <v/>
      </c>
      <c r="T2700" s="38" t="str">
        <f t="shared" si="294"/>
        <v/>
      </c>
      <c r="U2700" s="37" t="str">
        <f t="shared" si="295"/>
        <v/>
      </c>
    </row>
    <row r="2701" spans="2:21" ht="17.25">
      <c r="B2701" s="156"/>
      <c r="C2701" s="156"/>
      <c r="D2701" s="157"/>
      <c r="E2701" s="155"/>
      <c r="F2701" s="151"/>
      <c r="G2701" s="152"/>
      <c r="H2701" s="153"/>
      <c r="I2701" s="154"/>
      <c r="J2701" s="154"/>
      <c r="K2701" s="30" t="str">
        <f>IF(H2701="","",IF($C$30="간이법","",FPR(H2701,I2701,J2701)))</f>
        <v/>
      </c>
      <c r="L2701" s="30" t="str">
        <f>IF(H2701="","",IF($C$30="상세법",FPV(H2701,K2701),IF(H2701="EI",4,IF(H2701="EO",5.2,IF(H2701="EQ",3.9,IF(H2701="ILF",7.5,IF(H2701="EIF",5.4)))))))</f>
        <v/>
      </c>
      <c r="M2701" s="30" t="str">
        <f t="shared" si="289"/>
        <v/>
      </c>
      <c r="N2701" s="134"/>
      <c r="O2701" s="29"/>
      <c r="P2701" s="37" t="str">
        <f t="shared" si="290"/>
        <v/>
      </c>
      <c r="Q2701" s="38" t="str">
        <f t="shared" si="291"/>
        <v/>
      </c>
      <c r="R2701" s="37" t="str">
        <f t="shared" si="292"/>
        <v/>
      </c>
      <c r="S2701" s="37" t="str">
        <f t="shared" si="293"/>
        <v/>
      </c>
      <c r="T2701" s="38" t="str">
        <f t="shared" si="294"/>
        <v/>
      </c>
      <c r="U2701" s="37" t="str">
        <f t="shared" si="295"/>
        <v/>
      </c>
    </row>
    <row r="2702" spans="2:21" ht="17.25">
      <c r="B2702" s="156"/>
      <c r="C2702" s="156"/>
      <c r="D2702" s="157"/>
      <c r="E2702" s="155"/>
      <c r="F2702" s="151"/>
      <c r="G2702" s="152"/>
      <c r="H2702" s="153"/>
      <c r="I2702" s="154"/>
      <c r="J2702" s="154"/>
      <c r="K2702" s="30" t="str">
        <f>IF(H2702="","",IF($C$30="간이법","",FPR(H2702,I2702,J2702)))</f>
        <v/>
      </c>
      <c r="L2702" s="30" t="str">
        <f>IF(H2702="","",IF($C$30="상세법",FPV(H2702,K2702),IF(H2702="EI",4,IF(H2702="EO",5.2,IF(H2702="EQ",3.9,IF(H2702="ILF",7.5,IF(H2702="EIF",5.4)))))))</f>
        <v/>
      </c>
      <c r="M2702" s="30" t="str">
        <f t="shared" si="289"/>
        <v/>
      </c>
      <c r="N2702" s="134"/>
      <c r="O2702" s="29"/>
      <c r="P2702" s="37" t="str">
        <f t="shared" si="290"/>
        <v/>
      </c>
      <c r="Q2702" s="38" t="str">
        <f t="shared" si="291"/>
        <v/>
      </c>
      <c r="R2702" s="37" t="str">
        <f t="shared" si="292"/>
        <v/>
      </c>
      <c r="S2702" s="37" t="str">
        <f t="shared" si="293"/>
        <v/>
      </c>
      <c r="T2702" s="38" t="str">
        <f t="shared" si="294"/>
        <v/>
      </c>
      <c r="U2702" s="37" t="str">
        <f t="shared" si="295"/>
        <v/>
      </c>
    </row>
    <row r="2703" spans="2:21" ht="17.25">
      <c r="B2703" s="156"/>
      <c r="C2703" s="156"/>
      <c r="D2703" s="157"/>
      <c r="E2703" s="155"/>
      <c r="F2703" s="151"/>
      <c r="G2703" s="152"/>
      <c r="H2703" s="153"/>
      <c r="I2703" s="154"/>
      <c r="J2703" s="154"/>
      <c r="K2703" s="30" t="str">
        <f>IF(H2703="","",IF($C$30="간이법","",FPR(H2703,I2703,J2703)))</f>
        <v/>
      </c>
      <c r="L2703" s="30" t="str">
        <f>IF(H2703="","",IF($C$30="상세법",FPV(H2703,K2703),IF(H2703="EI",4,IF(H2703="EO",5.2,IF(H2703="EQ",3.9,IF(H2703="ILF",7.5,IF(H2703="EIF",5.4)))))))</f>
        <v/>
      </c>
      <c r="M2703" s="30" t="str">
        <f t="shared" si="289"/>
        <v/>
      </c>
      <c r="N2703" s="134"/>
      <c r="O2703" s="29"/>
      <c r="P2703" s="37" t="str">
        <f t="shared" si="290"/>
        <v/>
      </c>
      <c r="Q2703" s="38" t="str">
        <f t="shared" si="291"/>
        <v/>
      </c>
      <c r="R2703" s="37" t="str">
        <f t="shared" si="292"/>
        <v/>
      </c>
      <c r="S2703" s="37" t="str">
        <f t="shared" si="293"/>
        <v/>
      </c>
      <c r="T2703" s="38" t="str">
        <f t="shared" si="294"/>
        <v/>
      </c>
      <c r="U2703" s="37" t="str">
        <f t="shared" si="295"/>
        <v/>
      </c>
    </row>
    <row r="2704" spans="2:21" ht="17.25">
      <c r="B2704" s="156"/>
      <c r="C2704" s="156"/>
      <c r="D2704" s="157"/>
      <c r="E2704" s="155"/>
      <c r="F2704" s="151"/>
      <c r="G2704" s="152"/>
      <c r="H2704" s="153"/>
      <c r="I2704" s="154"/>
      <c r="J2704" s="154"/>
      <c r="K2704" s="30" t="str">
        <f>IF(H2704="","",IF($C$30="간이법","",FPR(H2704,I2704,J2704)))</f>
        <v/>
      </c>
      <c r="L2704" s="30" t="str">
        <f>IF(H2704="","",IF($C$30="상세법",FPV(H2704,K2704),IF(H2704="EI",4,IF(H2704="EO",5.2,IF(H2704="EQ",3.9,IF(H2704="ILF",7.5,IF(H2704="EIF",5.4)))))))</f>
        <v/>
      </c>
      <c r="M2704" s="30" t="str">
        <f t="shared" si="289"/>
        <v/>
      </c>
      <c r="N2704" s="134"/>
      <c r="O2704" s="29"/>
      <c r="P2704" s="37" t="str">
        <f t="shared" si="290"/>
        <v/>
      </c>
      <c r="Q2704" s="38" t="str">
        <f t="shared" si="291"/>
        <v/>
      </c>
      <c r="R2704" s="37" t="str">
        <f t="shared" si="292"/>
        <v/>
      </c>
      <c r="S2704" s="37" t="str">
        <f t="shared" si="293"/>
        <v/>
      </c>
      <c r="T2704" s="38" t="str">
        <f t="shared" si="294"/>
        <v/>
      </c>
      <c r="U2704" s="37" t="str">
        <f t="shared" si="295"/>
        <v/>
      </c>
    </row>
    <row r="2705" spans="2:21" ht="17.25">
      <c r="B2705" s="156"/>
      <c r="C2705" s="156"/>
      <c r="D2705" s="157"/>
      <c r="E2705" s="155"/>
      <c r="F2705" s="151"/>
      <c r="G2705" s="152"/>
      <c r="H2705" s="153"/>
      <c r="I2705" s="154"/>
      <c r="J2705" s="154"/>
      <c r="K2705" s="30" t="str">
        <f>IF(H2705="","",IF($C$30="간이법","",FPR(H2705,I2705,J2705)))</f>
        <v/>
      </c>
      <c r="L2705" s="30" t="str">
        <f>IF(H2705="","",IF($C$30="상세법",FPV(H2705,K2705),IF(H2705="EI",4,IF(H2705="EO",5.2,IF(H2705="EQ",3.9,IF(H2705="ILF",7.5,IF(H2705="EIF",5.4)))))))</f>
        <v/>
      </c>
      <c r="M2705" s="30" t="str">
        <f t="shared" si="289"/>
        <v/>
      </c>
      <c r="N2705" s="134"/>
      <c r="O2705" s="29"/>
      <c r="P2705" s="37" t="str">
        <f t="shared" si="290"/>
        <v/>
      </c>
      <c r="Q2705" s="38" t="str">
        <f t="shared" si="291"/>
        <v/>
      </c>
      <c r="R2705" s="37" t="str">
        <f t="shared" si="292"/>
        <v/>
      </c>
      <c r="S2705" s="37" t="str">
        <f t="shared" si="293"/>
        <v/>
      </c>
      <c r="T2705" s="38" t="str">
        <f t="shared" si="294"/>
        <v/>
      </c>
      <c r="U2705" s="37" t="str">
        <f t="shared" si="295"/>
        <v/>
      </c>
    </row>
    <row r="2706" spans="2:21" ht="17.25">
      <c r="B2706" s="156"/>
      <c r="C2706" s="156"/>
      <c r="D2706" s="157"/>
      <c r="E2706" s="155"/>
      <c r="F2706" s="151"/>
      <c r="G2706" s="152"/>
      <c r="H2706" s="153"/>
      <c r="I2706" s="154"/>
      <c r="J2706" s="154"/>
      <c r="K2706" s="30" t="str">
        <f>IF(H2706="","",IF($C$30="간이법","",FPR(H2706,I2706,J2706)))</f>
        <v/>
      </c>
      <c r="L2706" s="30" t="str">
        <f>IF(H2706="","",IF($C$30="상세법",FPV(H2706,K2706),IF(H2706="EI",4,IF(H2706="EO",5.2,IF(H2706="EQ",3.9,IF(H2706="ILF",7.5,IF(H2706="EIF",5.4)))))))</f>
        <v/>
      </c>
      <c r="M2706" s="30" t="str">
        <f t="shared" si="289"/>
        <v/>
      </c>
      <c r="N2706" s="134"/>
      <c r="O2706" s="29"/>
      <c r="P2706" s="37" t="str">
        <f t="shared" si="290"/>
        <v/>
      </c>
      <c r="Q2706" s="38" t="str">
        <f t="shared" si="291"/>
        <v/>
      </c>
      <c r="R2706" s="37" t="str">
        <f t="shared" si="292"/>
        <v/>
      </c>
      <c r="S2706" s="37" t="str">
        <f t="shared" si="293"/>
        <v/>
      </c>
      <c r="T2706" s="38" t="str">
        <f t="shared" si="294"/>
        <v/>
      </c>
      <c r="U2706" s="37" t="str">
        <f t="shared" si="295"/>
        <v/>
      </c>
    </row>
    <row r="2707" spans="2:21" ht="17.25">
      <c r="B2707" s="156"/>
      <c r="C2707" s="156"/>
      <c r="D2707" s="157"/>
      <c r="E2707" s="155"/>
      <c r="F2707" s="151"/>
      <c r="G2707" s="152"/>
      <c r="H2707" s="153"/>
      <c r="I2707" s="154"/>
      <c r="J2707" s="154"/>
      <c r="K2707" s="30" t="str">
        <f>IF(H2707="","",IF($C$30="간이법","",FPR(H2707,I2707,J2707)))</f>
        <v/>
      </c>
      <c r="L2707" s="30" t="str">
        <f>IF(H2707="","",IF($C$30="상세법",FPV(H2707,K2707),IF(H2707="EI",4,IF(H2707="EO",5.2,IF(H2707="EQ",3.9,IF(H2707="ILF",7.5,IF(H2707="EIF",5.4)))))))</f>
        <v/>
      </c>
      <c r="M2707" s="30" t="str">
        <f t="shared" si="289"/>
        <v/>
      </c>
      <c r="N2707" s="134"/>
      <c r="O2707" s="29"/>
      <c r="P2707" s="37" t="str">
        <f t="shared" si="290"/>
        <v/>
      </c>
      <c r="Q2707" s="38" t="str">
        <f t="shared" si="291"/>
        <v/>
      </c>
      <c r="R2707" s="37" t="str">
        <f t="shared" si="292"/>
        <v/>
      </c>
      <c r="S2707" s="37" t="str">
        <f t="shared" si="293"/>
        <v/>
      </c>
      <c r="T2707" s="38" t="str">
        <f t="shared" si="294"/>
        <v/>
      </c>
      <c r="U2707" s="37" t="str">
        <f t="shared" si="295"/>
        <v/>
      </c>
    </row>
    <row r="2708" spans="2:21" ht="17.25">
      <c r="B2708" s="156"/>
      <c r="C2708" s="156"/>
      <c r="D2708" s="157"/>
      <c r="E2708" s="155"/>
      <c r="F2708" s="151"/>
      <c r="G2708" s="152"/>
      <c r="H2708" s="153"/>
      <c r="I2708" s="154"/>
      <c r="J2708" s="154"/>
      <c r="K2708" s="30" t="str">
        <f>IF(H2708="","",IF($C$30="간이법","",FPR(H2708,I2708,J2708)))</f>
        <v/>
      </c>
      <c r="L2708" s="30" t="str">
        <f>IF(H2708="","",IF($C$30="상세법",FPV(H2708,K2708),IF(H2708="EI",4,IF(H2708="EO",5.2,IF(H2708="EQ",3.9,IF(H2708="ILF",7.5,IF(H2708="EIF",5.4)))))))</f>
        <v/>
      </c>
      <c r="M2708" s="30" t="str">
        <f t="shared" si="289"/>
        <v/>
      </c>
      <c r="N2708" s="134"/>
      <c r="O2708" s="29"/>
      <c r="P2708" s="37" t="str">
        <f t="shared" si="290"/>
        <v/>
      </c>
      <c r="Q2708" s="38" t="str">
        <f t="shared" si="291"/>
        <v/>
      </c>
      <c r="R2708" s="37" t="str">
        <f t="shared" si="292"/>
        <v/>
      </c>
      <c r="S2708" s="37" t="str">
        <f t="shared" si="293"/>
        <v/>
      </c>
      <c r="T2708" s="38" t="str">
        <f t="shared" si="294"/>
        <v/>
      </c>
      <c r="U2708" s="37" t="str">
        <f t="shared" si="295"/>
        <v/>
      </c>
    </row>
    <row r="2709" spans="2:21" ht="17.25">
      <c r="B2709" s="156"/>
      <c r="C2709" s="156"/>
      <c r="D2709" s="157"/>
      <c r="E2709" s="155"/>
      <c r="F2709" s="151"/>
      <c r="G2709" s="152"/>
      <c r="H2709" s="153"/>
      <c r="I2709" s="154"/>
      <c r="J2709" s="154"/>
      <c r="K2709" s="30" t="str">
        <f>IF(H2709="","",IF($C$30="간이법","",FPR(H2709,I2709,J2709)))</f>
        <v/>
      </c>
      <c r="L2709" s="30" t="str">
        <f>IF(H2709="","",IF($C$30="상세법",FPV(H2709,K2709),IF(H2709="EI",4,IF(H2709="EO",5.2,IF(H2709="EQ",3.9,IF(H2709="ILF",7.5,IF(H2709="EIF",5.4)))))))</f>
        <v/>
      </c>
      <c r="M2709" s="30" t="str">
        <f t="shared" si="289"/>
        <v/>
      </c>
      <c r="N2709" s="134"/>
      <c r="O2709" s="29"/>
      <c r="P2709" s="37" t="str">
        <f t="shared" si="290"/>
        <v/>
      </c>
      <c r="Q2709" s="38" t="str">
        <f t="shared" si="291"/>
        <v/>
      </c>
      <c r="R2709" s="37" t="str">
        <f t="shared" si="292"/>
        <v/>
      </c>
      <c r="S2709" s="37" t="str">
        <f t="shared" si="293"/>
        <v/>
      </c>
      <c r="T2709" s="38" t="str">
        <f t="shared" si="294"/>
        <v/>
      </c>
      <c r="U2709" s="37" t="str">
        <f t="shared" si="295"/>
        <v/>
      </c>
    </row>
    <row r="2710" spans="2:21" ht="17.25">
      <c r="B2710" s="156"/>
      <c r="C2710" s="156"/>
      <c r="D2710" s="157"/>
      <c r="E2710" s="155"/>
      <c r="F2710" s="151"/>
      <c r="G2710" s="152"/>
      <c r="H2710" s="153"/>
      <c r="I2710" s="154"/>
      <c r="J2710" s="154"/>
      <c r="K2710" s="30" t="str">
        <f>IF(H2710="","",IF($C$30="간이법","",FPR(H2710,I2710,J2710)))</f>
        <v/>
      </c>
      <c r="L2710" s="30" t="str">
        <f>IF(H2710="","",IF($C$30="상세법",FPV(H2710,K2710),IF(H2710="EI",4,IF(H2710="EO",5.2,IF(H2710="EQ",3.9,IF(H2710="ILF",7.5,IF(H2710="EIF",5.4)))))))</f>
        <v/>
      </c>
      <c r="M2710" s="30" t="str">
        <f t="shared" si="289"/>
        <v/>
      </c>
      <c r="N2710" s="134"/>
      <c r="O2710" s="29"/>
      <c r="P2710" s="37" t="str">
        <f t="shared" si="290"/>
        <v/>
      </c>
      <c r="Q2710" s="38" t="str">
        <f t="shared" si="291"/>
        <v/>
      </c>
      <c r="R2710" s="37" t="str">
        <f t="shared" si="292"/>
        <v/>
      </c>
      <c r="S2710" s="37" t="str">
        <f t="shared" si="293"/>
        <v/>
      </c>
      <c r="T2710" s="38" t="str">
        <f t="shared" si="294"/>
        <v/>
      </c>
      <c r="U2710" s="37" t="str">
        <f t="shared" si="295"/>
        <v/>
      </c>
    </row>
    <row r="2711" spans="2:21" ht="17.25">
      <c r="B2711" s="156"/>
      <c r="C2711" s="156"/>
      <c r="D2711" s="157"/>
      <c r="E2711" s="155"/>
      <c r="F2711" s="151"/>
      <c r="G2711" s="152"/>
      <c r="H2711" s="153"/>
      <c r="I2711" s="154"/>
      <c r="J2711" s="154"/>
      <c r="K2711" s="30" t="str">
        <f>IF(H2711="","",IF($C$30="간이법","",FPR(H2711,I2711,J2711)))</f>
        <v/>
      </c>
      <c r="L2711" s="30" t="str">
        <f>IF(H2711="","",IF($C$30="상세법",FPV(H2711,K2711),IF(H2711="EI",4,IF(H2711="EO",5.2,IF(H2711="EQ",3.9,IF(H2711="ILF",7.5,IF(H2711="EIF",5.4)))))))</f>
        <v/>
      </c>
      <c r="M2711" s="30" t="str">
        <f t="shared" si="289"/>
        <v/>
      </c>
      <c r="N2711" s="134"/>
      <c r="O2711" s="29"/>
      <c r="P2711" s="37" t="str">
        <f t="shared" si="290"/>
        <v/>
      </c>
      <c r="Q2711" s="38" t="str">
        <f t="shared" si="291"/>
        <v/>
      </c>
      <c r="R2711" s="37" t="str">
        <f t="shared" si="292"/>
        <v/>
      </c>
      <c r="S2711" s="37" t="str">
        <f t="shared" si="293"/>
        <v/>
      </c>
      <c r="T2711" s="38" t="str">
        <f t="shared" si="294"/>
        <v/>
      </c>
      <c r="U2711" s="37" t="str">
        <f t="shared" si="295"/>
        <v/>
      </c>
    </row>
    <row r="2712" spans="2:21" ht="17.25">
      <c r="B2712" s="156"/>
      <c r="C2712" s="156"/>
      <c r="D2712" s="157"/>
      <c r="E2712" s="155"/>
      <c r="F2712" s="151"/>
      <c r="G2712" s="152"/>
      <c r="H2712" s="153"/>
      <c r="I2712" s="154"/>
      <c r="J2712" s="154"/>
      <c r="K2712" s="30" t="str">
        <f>IF(H2712="","",IF($C$30="간이법","",FPR(H2712,I2712,J2712)))</f>
        <v/>
      </c>
      <c r="L2712" s="30" t="str">
        <f>IF(H2712="","",IF($C$30="상세법",FPV(H2712,K2712),IF(H2712="EI",4,IF(H2712="EO",5.2,IF(H2712="EQ",3.9,IF(H2712="ILF",7.5,IF(H2712="EIF",5.4)))))))</f>
        <v/>
      </c>
      <c r="M2712" s="30" t="str">
        <f t="shared" si="289"/>
        <v/>
      </c>
      <c r="N2712" s="134"/>
      <c r="O2712" s="29"/>
      <c r="P2712" s="37" t="str">
        <f t="shared" si="290"/>
        <v/>
      </c>
      <c r="Q2712" s="38" t="str">
        <f t="shared" si="291"/>
        <v/>
      </c>
      <c r="R2712" s="37" t="str">
        <f t="shared" si="292"/>
        <v/>
      </c>
      <c r="S2712" s="37" t="str">
        <f t="shared" si="293"/>
        <v/>
      </c>
      <c r="T2712" s="38" t="str">
        <f t="shared" si="294"/>
        <v/>
      </c>
      <c r="U2712" s="37" t="str">
        <f t="shared" si="295"/>
        <v/>
      </c>
    </row>
    <row r="2713" spans="2:21" ht="17.25">
      <c r="B2713" s="156"/>
      <c r="C2713" s="156"/>
      <c r="D2713" s="157"/>
      <c r="E2713" s="155"/>
      <c r="F2713" s="151"/>
      <c r="G2713" s="152"/>
      <c r="H2713" s="153"/>
      <c r="I2713" s="154"/>
      <c r="J2713" s="154"/>
      <c r="K2713" s="30" t="str">
        <f>IF(H2713="","",IF($C$30="간이법","",FPR(H2713,I2713,J2713)))</f>
        <v/>
      </c>
      <c r="L2713" s="30" t="str">
        <f>IF(H2713="","",IF($C$30="상세법",FPV(H2713,K2713),IF(H2713="EI",4,IF(H2713="EO",5.2,IF(H2713="EQ",3.9,IF(H2713="ILF",7.5,IF(H2713="EIF",5.4)))))))</f>
        <v/>
      </c>
      <c r="M2713" s="30" t="str">
        <f t="shared" si="289"/>
        <v/>
      </c>
      <c r="N2713" s="134"/>
      <c r="O2713" s="29"/>
      <c r="P2713" s="37" t="str">
        <f t="shared" si="290"/>
        <v/>
      </c>
      <c r="Q2713" s="38" t="str">
        <f t="shared" si="291"/>
        <v/>
      </c>
      <c r="R2713" s="37" t="str">
        <f t="shared" si="292"/>
        <v/>
      </c>
      <c r="S2713" s="37" t="str">
        <f t="shared" si="293"/>
        <v/>
      </c>
      <c r="T2713" s="38" t="str">
        <f t="shared" si="294"/>
        <v/>
      </c>
      <c r="U2713" s="37" t="str">
        <f t="shared" si="295"/>
        <v/>
      </c>
    </row>
    <row r="2714" spans="2:21" ht="17.25">
      <c r="B2714" s="156"/>
      <c r="C2714" s="156"/>
      <c r="D2714" s="157"/>
      <c r="E2714" s="155"/>
      <c r="F2714" s="151"/>
      <c r="G2714" s="152"/>
      <c r="H2714" s="153"/>
      <c r="I2714" s="154"/>
      <c r="J2714" s="154"/>
      <c r="K2714" s="30" t="str">
        <f>IF(H2714="","",IF($C$30="간이법","",FPR(H2714,I2714,J2714)))</f>
        <v/>
      </c>
      <c r="L2714" s="30" t="str">
        <f>IF(H2714="","",IF($C$30="상세법",FPV(H2714,K2714),IF(H2714="EI",4,IF(H2714="EO",5.2,IF(H2714="EQ",3.9,IF(H2714="ILF",7.5,IF(H2714="EIF",5.4)))))))</f>
        <v/>
      </c>
      <c r="M2714" s="30" t="str">
        <f t="shared" si="289"/>
        <v/>
      </c>
      <c r="N2714" s="134"/>
      <c r="O2714" s="29"/>
      <c r="P2714" s="37" t="str">
        <f t="shared" si="290"/>
        <v/>
      </c>
      <c r="Q2714" s="38" t="str">
        <f t="shared" si="291"/>
        <v/>
      </c>
      <c r="R2714" s="37" t="str">
        <f t="shared" si="292"/>
        <v/>
      </c>
      <c r="S2714" s="37" t="str">
        <f t="shared" si="293"/>
        <v/>
      </c>
      <c r="T2714" s="38" t="str">
        <f t="shared" si="294"/>
        <v/>
      </c>
      <c r="U2714" s="37" t="str">
        <f t="shared" si="295"/>
        <v/>
      </c>
    </row>
    <row r="2715" spans="2:21" ht="17.25">
      <c r="B2715" s="156"/>
      <c r="C2715" s="156"/>
      <c r="D2715" s="157"/>
      <c r="E2715" s="155"/>
      <c r="F2715" s="151"/>
      <c r="G2715" s="152"/>
      <c r="H2715" s="153"/>
      <c r="I2715" s="154"/>
      <c r="J2715" s="154"/>
      <c r="K2715" s="30" t="str">
        <f>IF(H2715="","",IF($C$30="간이법","",FPR(H2715,I2715,J2715)))</f>
        <v/>
      </c>
      <c r="L2715" s="30" t="str">
        <f>IF(H2715="","",IF($C$30="상세법",FPV(H2715,K2715),IF(H2715="EI",4,IF(H2715="EO",5.2,IF(H2715="EQ",3.9,IF(H2715="ILF",7.5,IF(H2715="EIF",5.4)))))))</f>
        <v/>
      </c>
      <c r="M2715" s="30" t="str">
        <f t="shared" si="289"/>
        <v/>
      </c>
      <c r="N2715" s="134"/>
      <c r="O2715" s="29"/>
      <c r="P2715" s="37" t="str">
        <f t="shared" si="290"/>
        <v/>
      </c>
      <c r="Q2715" s="38" t="str">
        <f t="shared" si="291"/>
        <v/>
      </c>
      <c r="R2715" s="37" t="str">
        <f t="shared" si="292"/>
        <v/>
      </c>
      <c r="S2715" s="37" t="str">
        <f t="shared" si="293"/>
        <v/>
      </c>
      <c r="T2715" s="38" t="str">
        <f t="shared" si="294"/>
        <v/>
      </c>
      <c r="U2715" s="37" t="str">
        <f t="shared" si="295"/>
        <v/>
      </c>
    </row>
    <row r="2716" spans="2:21" ht="17.25">
      <c r="B2716" s="156"/>
      <c r="C2716" s="156"/>
      <c r="D2716" s="157"/>
      <c r="E2716" s="155"/>
      <c r="F2716" s="151"/>
      <c r="G2716" s="152"/>
      <c r="H2716" s="153"/>
      <c r="I2716" s="154"/>
      <c r="J2716" s="154"/>
      <c r="K2716" s="30" t="str">
        <f>IF(H2716="","",IF($C$30="간이법","",FPR(H2716,I2716,J2716)))</f>
        <v/>
      </c>
      <c r="L2716" s="30" t="str">
        <f>IF(H2716="","",IF($C$30="상세법",FPV(H2716,K2716),IF(H2716="EI",4,IF(H2716="EO",5.2,IF(H2716="EQ",3.9,IF(H2716="ILF",7.5,IF(H2716="EIF",5.4)))))))</f>
        <v/>
      </c>
      <c r="M2716" s="30" t="str">
        <f t="shared" si="289"/>
        <v/>
      </c>
      <c r="N2716" s="134"/>
      <c r="O2716" s="29"/>
      <c r="P2716" s="37" t="str">
        <f t="shared" si="290"/>
        <v/>
      </c>
      <c r="Q2716" s="38" t="str">
        <f t="shared" si="291"/>
        <v/>
      </c>
      <c r="R2716" s="37" t="str">
        <f t="shared" si="292"/>
        <v/>
      </c>
      <c r="S2716" s="37" t="str">
        <f t="shared" si="293"/>
        <v/>
      </c>
      <c r="T2716" s="38" t="str">
        <f t="shared" si="294"/>
        <v/>
      </c>
      <c r="U2716" s="37" t="str">
        <f t="shared" si="295"/>
        <v/>
      </c>
    </row>
    <row r="2717" spans="2:21" ht="17.25">
      <c r="B2717" s="156"/>
      <c r="C2717" s="156"/>
      <c r="D2717" s="157"/>
      <c r="E2717" s="155"/>
      <c r="F2717" s="151"/>
      <c r="G2717" s="152"/>
      <c r="H2717" s="153"/>
      <c r="I2717" s="154"/>
      <c r="J2717" s="154"/>
      <c r="K2717" s="30" t="str">
        <f>IF(H2717="","",IF($C$30="간이법","",FPR(H2717,I2717,J2717)))</f>
        <v/>
      </c>
      <c r="L2717" s="30" t="str">
        <f>IF(H2717="","",IF($C$30="상세법",FPV(H2717,K2717),IF(H2717="EI",4,IF(H2717="EO",5.2,IF(H2717="EQ",3.9,IF(H2717="ILF",7.5,IF(H2717="EIF",5.4)))))))</f>
        <v/>
      </c>
      <c r="M2717" s="30" t="str">
        <f t="shared" si="289"/>
        <v/>
      </c>
      <c r="N2717" s="134"/>
      <c r="O2717" s="29"/>
      <c r="P2717" s="37" t="str">
        <f t="shared" si="290"/>
        <v/>
      </c>
      <c r="Q2717" s="38" t="str">
        <f t="shared" si="291"/>
        <v/>
      </c>
      <c r="R2717" s="37" t="str">
        <f t="shared" si="292"/>
        <v/>
      </c>
      <c r="S2717" s="37" t="str">
        <f t="shared" si="293"/>
        <v/>
      </c>
      <c r="T2717" s="38" t="str">
        <f t="shared" si="294"/>
        <v/>
      </c>
      <c r="U2717" s="37" t="str">
        <f t="shared" si="295"/>
        <v/>
      </c>
    </row>
    <row r="2718" spans="2:21" ht="17.25">
      <c r="B2718" s="156"/>
      <c r="C2718" s="156"/>
      <c r="D2718" s="157"/>
      <c r="E2718" s="155"/>
      <c r="F2718" s="151"/>
      <c r="G2718" s="152"/>
      <c r="H2718" s="153"/>
      <c r="I2718" s="154"/>
      <c r="J2718" s="154"/>
      <c r="K2718" s="30" t="str">
        <f>IF(H2718="","",IF($C$30="간이법","",FPR(H2718,I2718,J2718)))</f>
        <v/>
      </c>
      <c r="L2718" s="30" t="str">
        <f>IF(H2718="","",IF($C$30="상세법",FPV(H2718,K2718),IF(H2718="EI",4,IF(H2718="EO",5.2,IF(H2718="EQ",3.9,IF(H2718="ILF",7.5,IF(H2718="EIF",5.4)))))))</f>
        <v/>
      </c>
      <c r="M2718" s="30" t="str">
        <f t="shared" si="289"/>
        <v/>
      </c>
      <c r="N2718" s="134"/>
      <c r="O2718" s="29"/>
      <c r="P2718" s="37" t="str">
        <f t="shared" si="290"/>
        <v/>
      </c>
      <c r="Q2718" s="38" t="str">
        <f t="shared" si="291"/>
        <v/>
      </c>
      <c r="R2718" s="37" t="str">
        <f t="shared" si="292"/>
        <v/>
      </c>
      <c r="S2718" s="37" t="str">
        <f t="shared" si="293"/>
        <v/>
      </c>
      <c r="T2718" s="38" t="str">
        <f t="shared" si="294"/>
        <v/>
      </c>
      <c r="U2718" s="37" t="str">
        <f t="shared" si="295"/>
        <v/>
      </c>
    </row>
    <row r="2719" spans="2:21" ht="17.25">
      <c r="B2719" s="156"/>
      <c r="C2719" s="156"/>
      <c r="D2719" s="157"/>
      <c r="E2719" s="155"/>
      <c r="F2719" s="151"/>
      <c r="G2719" s="152"/>
      <c r="H2719" s="153"/>
      <c r="I2719" s="154"/>
      <c r="J2719" s="154"/>
      <c r="K2719" s="30" t="str">
        <f>IF(H2719="","",IF($C$30="간이법","",FPR(H2719,I2719,J2719)))</f>
        <v/>
      </c>
      <c r="L2719" s="30" t="str">
        <f>IF(H2719="","",IF($C$30="상세법",FPV(H2719,K2719),IF(H2719="EI",4,IF(H2719="EO",5.2,IF(H2719="EQ",3.9,IF(H2719="ILF",7.5,IF(H2719="EIF",5.4)))))))</f>
        <v/>
      </c>
      <c r="M2719" s="30" t="str">
        <f t="shared" si="289"/>
        <v/>
      </c>
      <c r="N2719" s="134"/>
      <c r="O2719" s="29"/>
      <c r="P2719" s="37" t="str">
        <f t="shared" si="290"/>
        <v/>
      </c>
      <c r="Q2719" s="38" t="str">
        <f t="shared" si="291"/>
        <v/>
      </c>
      <c r="R2719" s="37" t="str">
        <f t="shared" si="292"/>
        <v/>
      </c>
      <c r="S2719" s="37" t="str">
        <f t="shared" si="293"/>
        <v/>
      </c>
      <c r="T2719" s="38" t="str">
        <f t="shared" si="294"/>
        <v/>
      </c>
      <c r="U2719" s="37" t="str">
        <f t="shared" si="295"/>
        <v/>
      </c>
    </row>
    <row r="2720" spans="2:21" ht="17.25">
      <c r="B2720" s="156"/>
      <c r="C2720" s="156"/>
      <c r="D2720" s="157"/>
      <c r="E2720" s="155"/>
      <c r="F2720" s="151"/>
      <c r="G2720" s="152"/>
      <c r="H2720" s="153"/>
      <c r="I2720" s="154"/>
      <c r="J2720" s="154"/>
      <c r="K2720" s="30" t="str">
        <f>IF(H2720="","",IF($C$30="간이법","",FPR(H2720,I2720,J2720)))</f>
        <v/>
      </c>
      <c r="L2720" s="30" t="str">
        <f>IF(H2720="","",IF($C$30="상세법",FPV(H2720,K2720),IF(H2720="EI",4,IF(H2720="EO",5.2,IF(H2720="EQ",3.9,IF(H2720="ILF",7.5,IF(H2720="EIF",5.4)))))))</f>
        <v/>
      </c>
      <c r="M2720" s="30" t="str">
        <f t="shared" si="289"/>
        <v/>
      </c>
      <c r="N2720" s="134"/>
      <c r="O2720" s="29"/>
      <c r="P2720" s="37" t="str">
        <f t="shared" si="290"/>
        <v/>
      </c>
      <c r="Q2720" s="38" t="str">
        <f t="shared" si="291"/>
        <v/>
      </c>
      <c r="R2720" s="37" t="str">
        <f t="shared" si="292"/>
        <v/>
      </c>
      <c r="S2720" s="37" t="str">
        <f t="shared" si="293"/>
        <v/>
      </c>
      <c r="T2720" s="38" t="str">
        <f t="shared" si="294"/>
        <v/>
      </c>
      <c r="U2720" s="37" t="str">
        <f t="shared" si="295"/>
        <v/>
      </c>
    </row>
    <row r="2721" spans="2:21" ht="17.25">
      <c r="B2721" s="156"/>
      <c r="C2721" s="156"/>
      <c r="D2721" s="157"/>
      <c r="E2721" s="155"/>
      <c r="F2721" s="151"/>
      <c r="G2721" s="152"/>
      <c r="H2721" s="153"/>
      <c r="I2721" s="154"/>
      <c r="J2721" s="154"/>
      <c r="K2721" s="30" t="str">
        <f>IF(H2721="","",IF($C$30="간이법","",FPR(H2721,I2721,J2721)))</f>
        <v/>
      </c>
      <c r="L2721" s="30" t="str">
        <f>IF(H2721="","",IF($C$30="상세법",FPV(H2721,K2721),IF(H2721="EI",4,IF(H2721="EO",5.2,IF(H2721="EQ",3.9,IF(H2721="ILF",7.5,IF(H2721="EIF",5.4)))))))</f>
        <v/>
      </c>
      <c r="M2721" s="30" t="str">
        <f t="shared" si="289"/>
        <v/>
      </c>
      <c r="N2721" s="134"/>
      <c r="O2721" s="29"/>
      <c r="P2721" s="37" t="str">
        <f t="shared" si="290"/>
        <v/>
      </c>
      <c r="Q2721" s="38" t="str">
        <f t="shared" si="291"/>
        <v/>
      </c>
      <c r="R2721" s="37" t="str">
        <f t="shared" si="292"/>
        <v/>
      </c>
      <c r="S2721" s="37" t="str">
        <f t="shared" si="293"/>
        <v/>
      </c>
      <c r="T2721" s="38" t="str">
        <f t="shared" si="294"/>
        <v/>
      </c>
      <c r="U2721" s="37" t="str">
        <f t="shared" si="295"/>
        <v/>
      </c>
    </row>
    <row r="2722" spans="2:21" ht="17.25">
      <c r="B2722" s="156"/>
      <c r="C2722" s="156"/>
      <c r="D2722" s="157"/>
      <c r="E2722" s="155"/>
      <c r="F2722" s="151"/>
      <c r="G2722" s="152"/>
      <c r="H2722" s="153"/>
      <c r="I2722" s="154"/>
      <c r="J2722" s="154"/>
      <c r="K2722" s="30" t="str">
        <f>IF(H2722="","",IF($C$30="간이법","",FPR(H2722,I2722,J2722)))</f>
        <v/>
      </c>
      <c r="L2722" s="30" t="str">
        <f>IF(H2722="","",IF($C$30="상세법",FPV(H2722,K2722),IF(H2722="EI",4,IF(H2722="EO",5.2,IF(H2722="EQ",3.9,IF(H2722="ILF",7.5,IF(H2722="EIF",5.4)))))))</f>
        <v/>
      </c>
      <c r="M2722" s="30" t="str">
        <f t="shared" si="289"/>
        <v/>
      </c>
      <c r="N2722" s="134"/>
      <c r="O2722" s="29"/>
      <c r="P2722" s="37" t="str">
        <f t="shared" si="290"/>
        <v/>
      </c>
      <c r="Q2722" s="38" t="str">
        <f t="shared" si="291"/>
        <v/>
      </c>
      <c r="R2722" s="37" t="str">
        <f t="shared" si="292"/>
        <v/>
      </c>
      <c r="S2722" s="37" t="str">
        <f t="shared" si="293"/>
        <v/>
      </c>
      <c r="T2722" s="38" t="str">
        <f t="shared" si="294"/>
        <v/>
      </c>
      <c r="U2722" s="37" t="str">
        <f t="shared" si="295"/>
        <v/>
      </c>
    </row>
    <row r="2723" spans="2:21" ht="17.25">
      <c r="B2723" s="156"/>
      <c r="C2723" s="156"/>
      <c r="D2723" s="157"/>
      <c r="E2723" s="155"/>
      <c r="F2723" s="151"/>
      <c r="G2723" s="152"/>
      <c r="H2723" s="153"/>
      <c r="I2723" s="154"/>
      <c r="J2723" s="154"/>
      <c r="K2723" s="30" t="str">
        <f>IF(H2723="","",IF($C$30="간이법","",FPR(H2723,I2723,J2723)))</f>
        <v/>
      </c>
      <c r="L2723" s="30" t="str">
        <f>IF(H2723="","",IF($C$30="상세법",FPV(H2723,K2723),IF(H2723="EI",4,IF(H2723="EO",5.2,IF(H2723="EQ",3.9,IF(H2723="ILF",7.5,IF(H2723="EIF",5.4)))))))</f>
        <v/>
      </c>
      <c r="M2723" s="30" t="str">
        <f t="shared" si="289"/>
        <v/>
      </c>
      <c r="N2723" s="134"/>
      <c r="O2723" s="29"/>
      <c r="P2723" s="37" t="str">
        <f t="shared" si="290"/>
        <v/>
      </c>
      <c r="Q2723" s="38" t="str">
        <f t="shared" si="291"/>
        <v/>
      </c>
      <c r="R2723" s="37" t="str">
        <f t="shared" si="292"/>
        <v/>
      </c>
      <c r="S2723" s="37" t="str">
        <f t="shared" si="293"/>
        <v/>
      </c>
      <c r="T2723" s="38" t="str">
        <f t="shared" si="294"/>
        <v/>
      </c>
      <c r="U2723" s="37" t="str">
        <f t="shared" si="295"/>
        <v/>
      </c>
    </row>
    <row r="2724" spans="2:21" ht="17.25">
      <c r="B2724" s="156"/>
      <c r="C2724" s="156"/>
      <c r="D2724" s="157"/>
      <c r="E2724" s="155"/>
      <c r="F2724" s="151"/>
      <c r="G2724" s="152"/>
      <c r="H2724" s="153"/>
      <c r="I2724" s="154"/>
      <c r="J2724" s="154"/>
      <c r="K2724" s="30" t="str">
        <f>IF(H2724="","",IF($C$30="간이법","",FPR(H2724,I2724,J2724)))</f>
        <v/>
      </c>
      <c r="L2724" s="30" t="str">
        <f>IF(H2724="","",IF($C$30="상세법",FPV(H2724,K2724),IF(H2724="EI",4,IF(H2724="EO",5.2,IF(H2724="EQ",3.9,IF(H2724="ILF",7.5,IF(H2724="EIF",5.4)))))))</f>
        <v/>
      </c>
      <c r="M2724" s="30" t="str">
        <f t="shared" si="289"/>
        <v/>
      </c>
      <c r="N2724" s="134"/>
      <c r="O2724" s="29"/>
      <c r="P2724" s="37" t="str">
        <f t="shared" si="290"/>
        <v/>
      </c>
      <c r="Q2724" s="38" t="str">
        <f t="shared" si="291"/>
        <v/>
      </c>
      <c r="R2724" s="37" t="str">
        <f t="shared" si="292"/>
        <v/>
      </c>
      <c r="S2724" s="37" t="str">
        <f t="shared" si="293"/>
        <v/>
      </c>
      <c r="T2724" s="38" t="str">
        <f t="shared" si="294"/>
        <v/>
      </c>
      <c r="U2724" s="37" t="str">
        <f t="shared" si="295"/>
        <v/>
      </c>
    </row>
    <row r="2725" spans="2:21" ht="17.25">
      <c r="B2725" s="156"/>
      <c r="C2725" s="156"/>
      <c r="D2725" s="157"/>
      <c r="E2725" s="155"/>
      <c r="F2725" s="151"/>
      <c r="G2725" s="152"/>
      <c r="H2725" s="153"/>
      <c r="I2725" s="154"/>
      <c r="J2725" s="154"/>
      <c r="K2725" s="30" t="str">
        <f>IF(H2725="","",IF($C$30="간이법","",FPR(H2725,I2725,J2725)))</f>
        <v/>
      </c>
      <c r="L2725" s="30" t="str">
        <f>IF(H2725="","",IF($C$30="상세법",FPV(H2725,K2725),IF(H2725="EI",4,IF(H2725="EO",5.2,IF(H2725="EQ",3.9,IF(H2725="ILF",7.5,IF(H2725="EIF",5.4)))))))</f>
        <v/>
      </c>
      <c r="M2725" s="30" t="str">
        <f t="shared" si="289"/>
        <v/>
      </c>
      <c r="N2725" s="134"/>
      <c r="O2725" s="29"/>
      <c r="P2725" s="37" t="str">
        <f t="shared" si="290"/>
        <v/>
      </c>
      <c r="Q2725" s="38" t="str">
        <f t="shared" si="291"/>
        <v/>
      </c>
      <c r="R2725" s="37" t="str">
        <f t="shared" si="292"/>
        <v/>
      </c>
      <c r="S2725" s="37" t="str">
        <f t="shared" si="293"/>
        <v/>
      </c>
      <c r="T2725" s="38" t="str">
        <f t="shared" si="294"/>
        <v/>
      </c>
      <c r="U2725" s="37" t="str">
        <f t="shared" si="295"/>
        <v/>
      </c>
    </row>
    <row r="2726" spans="2:21" ht="17.25">
      <c r="B2726" s="156"/>
      <c r="C2726" s="156"/>
      <c r="D2726" s="157"/>
      <c r="E2726" s="155"/>
      <c r="F2726" s="151"/>
      <c r="G2726" s="152"/>
      <c r="H2726" s="153"/>
      <c r="I2726" s="154"/>
      <c r="J2726" s="154"/>
      <c r="K2726" s="30" t="str">
        <f>IF(H2726="","",IF($C$30="간이법","",FPR(H2726,I2726,J2726)))</f>
        <v/>
      </c>
      <c r="L2726" s="30" t="str">
        <f>IF(H2726="","",IF($C$30="상세법",FPV(H2726,K2726),IF(H2726="EI",4,IF(H2726="EO",5.2,IF(H2726="EQ",3.9,IF(H2726="ILF",7.5,IF(H2726="EIF",5.4)))))))</f>
        <v/>
      </c>
      <c r="M2726" s="30" t="str">
        <f t="shared" si="289"/>
        <v/>
      </c>
      <c r="N2726" s="134"/>
      <c r="O2726" s="29"/>
      <c r="P2726" s="37" t="str">
        <f t="shared" si="290"/>
        <v/>
      </c>
      <c r="Q2726" s="38" t="str">
        <f t="shared" si="291"/>
        <v/>
      </c>
      <c r="R2726" s="37" t="str">
        <f t="shared" si="292"/>
        <v/>
      </c>
      <c r="S2726" s="37" t="str">
        <f t="shared" si="293"/>
        <v/>
      </c>
      <c r="T2726" s="38" t="str">
        <f t="shared" si="294"/>
        <v/>
      </c>
      <c r="U2726" s="37" t="str">
        <f t="shared" si="295"/>
        <v/>
      </c>
    </row>
    <row r="2727" spans="2:21" ht="17.25">
      <c r="B2727" s="156"/>
      <c r="C2727" s="156"/>
      <c r="D2727" s="157"/>
      <c r="E2727" s="155"/>
      <c r="F2727" s="151"/>
      <c r="G2727" s="152"/>
      <c r="H2727" s="153"/>
      <c r="I2727" s="154"/>
      <c r="J2727" s="154"/>
      <c r="K2727" s="30" t="str">
        <f>IF(H2727="","",IF($C$30="간이법","",FPR(H2727,I2727,J2727)))</f>
        <v/>
      </c>
      <c r="L2727" s="30" t="str">
        <f>IF(H2727="","",IF($C$30="상세법",FPV(H2727,K2727),IF(H2727="EI",4,IF(H2727="EO",5.2,IF(H2727="EQ",3.9,IF(H2727="ILF",7.5,IF(H2727="EIF",5.4)))))))</f>
        <v/>
      </c>
      <c r="M2727" s="30" t="str">
        <f t="shared" si="289"/>
        <v/>
      </c>
      <c r="N2727" s="134"/>
      <c r="O2727" s="29"/>
      <c r="P2727" s="37" t="str">
        <f t="shared" si="290"/>
        <v/>
      </c>
      <c r="Q2727" s="38" t="str">
        <f t="shared" si="291"/>
        <v/>
      </c>
      <c r="R2727" s="37" t="str">
        <f t="shared" si="292"/>
        <v/>
      </c>
      <c r="S2727" s="37" t="str">
        <f t="shared" si="293"/>
        <v/>
      </c>
      <c r="T2727" s="38" t="str">
        <f t="shared" si="294"/>
        <v/>
      </c>
      <c r="U2727" s="37" t="str">
        <f t="shared" si="295"/>
        <v/>
      </c>
    </row>
    <row r="2728" spans="2:21" ht="17.25">
      <c r="B2728" s="156"/>
      <c r="C2728" s="156"/>
      <c r="D2728" s="157"/>
      <c r="E2728" s="155"/>
      <c r="F2728" s="151"/>
      <c r="G2728" s="152"/>
      <c r="H2728" s="153"/>
      <c r="I2728" s="154"/>
      <c r="J2728" s="154"/>
      <c r="K2728" s="30" t="str">
        <f>IF(H2728="","",IF($C$30="간이법","",FPR(H2728,I2728,J2728)))</f>
        <v/>
      </c>
      <c r="L2728" s="30" t="str">
        <f>IF(H2728="","",IF($C$30="상세법",FPV(H2728,K2728),IF(H2728="EI",4,IF(H2728="EO",5.2,IF(H2728="EQ",3.9,IF(H2728="ILF",7.5,IF(H2728="EIF",5.4)))))))</f>
        <v/>
      </c>
      <c r="M2728" s="30" t="str">
        <f t="shared" si="289"/>
        <v/>
      </c>
      <c r="N2728" s="134"/>
      <c r="O2728" s="29"/>
      <c r="P2728" s="37" t="str">
        <f t="shared" si="290"/>
        <v/>
      </c>
      <c r="Q2728" s="38" t="str">
        <f t="shared" si="291"/>
        <v/>
      </c>
      <c r="R2728" s="37" t="str">
        <f t="shared" si="292"/>
        <v/>
      </c>
      <c r="S2728" s="37" t="str">
        <f t="shared" si="293"/>
        <v/>
      </c>
      <c r="T2728" s="38" t="str">
        <f t="shared" si="294"/>
        <v/>
      </c>
      <c r="U2728" s="37" t="str">
        <f t="shared" si="295"/>
        <v/>
      </c>
    </row>
    <row r="2729" spans="2:21" ht="17.25">
      <c r="B2729" s="156"/>
      <c r="C2729" s="156"/>
      <c r="D2729" s="157"/>
      <c r="E2729" s="155"/>
      <c r="F2729" s="151"/>
      <c r="G2729" s="152"/>
      <c r="H2729" s="153"/>
      <c r="I2729" s="154"/>
      <c r="J2729" s="154"/>
      <c r="K2729" s="30" t="str">
        <f>IF(H2729="","",IF($C$30="간이법","",FPR(H2729,I2729,J2729)))</f>
        <v/>
      </c>
      <c r="L2729" s="30" t="str">
        <f>IF(H2729="","",IF($C$30="상세법",FPV(H2729,K2729),IF(H2729="EI",4,IF(H2729="EO",5.2,IF(H2729="EQ",3.9,IF(H2729="ILF",7.5,IF(H2729="EIF",5.4)))))))</f>
        <v/>
      </c>
      <c r="M2729" s="30" t="str">
        <f t="shared" si="289"/>
        <v/>
      </c>
      <c r="N2729" s="134"/>
      <c r="O2729" s="29"/>
      <c r="P2729" s="37" t="str">
        <f t="shared" si="290"/>
        <v/>
      </c>
      <c r="Q2729" s="38" t="str">
        <f t="shared" si="291"/>
        <v/>
      </c>
      <c r="R2729" s="37" t="str">
        <f t="shared" si="292"/>
        <v/>
      </c>
      <c r="S2729" s="37" t="str">
        <f t="shared" si="293"/>
        <v/>
      </c>
      <c r="T2729" s="38" t="str">
        <f t="shared" si="294"/>
        <v/>
      </c>
      <c r="U2729" s="37" t="str">
        <f t="shared" si="295"/>
        <v/>
      </c>
    </row>
    <row r="2730" spans="2:21" ht="17.25">
      <c r="B2730" s="156"/>
      <c r="C2730" s="156"/>
      <c r="D2730" s="157"/>
      <c r="E2730" s="155"/>
      <c r="F2730" s="151"/>
      <c r="G2730" s="152"/>
      <c r="H2730" s="153"/>
      <c r="I2730" s="154"/>
      <c r="J2730" s="154"/>
      <c r="K2730" s="30" t="str">
        <f>IF(H2730="","",IF($C$30="간이법","",FPR(H2730,I2730,J2730)))</f>
        <v/>
      </c>
      <c r="L2730" s="30" t="str">
        <f>IF(H2730="","",IF($C$30="상세법",FPV(H2730,K2730),IF(H2730="EI",4,IF(H2730="EO",5.2,IF(H2730="EQ",3.9,IF(H2730="ILF",7.5,IF(H2730="EIF",5.4)))))))</f>
        <v/>
      </c>
      <c r="M2730" s="30" t="str">
        <f t="shared" si="289"/>
        <v/>
      </c>
      <c r="N2730" s="134"/>
      <c r="O2730" s="29"/>
      <c r="P2730" s="37" t="str">
        <f t="shared" si="290"/>
        <v/>
      </c>
      <c r="Q2730" s="38" t="str">
        <f t="shared" si="291"/>
        <v/>
      </c>
      <c r="R2730" s="37" t="str">
        <f t="shared" si="292"/>
        <v/>
      </c>
      <c r="S2730" s="37" t="str">
        <f t="shared" si="293"/>
        <v/>
      </c>
      <c r="T2730" s="38" t="str">
        <f t="shared" si="294"/>
        <v/>
      </c>
      <c r="U2730" s="37" t="str">
        <f t="shared" si="295"/>
        <v/>
      </c>
    </row>
    <row r="2731" spans="2:21" ht="17.25">
      <c r="B2731" s="156"/>
      <c r="C2731" s="156"/>
      <c r="D2731" s="157"/>
      <c r="E2731" s="155"/>
      <c r="F2731" s="151"/>
      <c r="G2731" s="152"/>
      <c r="H2731" s="153"/>
      <c r="I2731" s="154"/>
      <c r="J2731" s="154"/>
      <c r="K2731" s="30" t="str">
        <f>IF(H2731="","",IF($C$30="간이법","",FPR(H2731,I2731,J2731)))</f>
        <v/>
      </c>
      <c r="L2731" s="30" t="str">
        <f>IF(H2731="","",IF($C$30="상세법",FPV(H2731,K2731),IF(H2731="EI",4,IF(H2731="EO",5.2,IF(H2731="EQ",3.9,IF(H2731="ILF",7.5,IF(H2731="EIF",5.4)))))))</f>
        <v/>
      </c>
      <c r="M2731" s="30" t="str">
        <f t="shared" si="289"/>
        <v/>
      </c>
      <c r="N2731" s="134"/>
      <c r="O2731" s="29"/>
      <c r="P2731" s="37" t="str">
        <f t="shared" si="290"/>
        <v/>
      </c>
      <c r="Q2731" s="38" t="str">
        <f t="shared" si="291"/>
        <v/>
      </c>
      <c r="R2731" s="37" t="str">
        <f t="shared" si="292"/>
        <v/>
      </c>
      <c r="S2731" s="37" t="str">
        <f t="shared" si="293"/>
        <v/>
      </c>
      <c r="T2731" s="38" t="str">
        <f t="shared" si="294"/>
        <v/>
      </c>
      <c r="U2731" s="37" t="str">
        <f t="shared" si="295"/>
        <v/>
      </c>
    </row>
    <row r="2732" spans="2:21" ht="17.25">
      <c r="B2732" s="156"/>
      <c r="C2732" s="156"/>
      <c r="D2732" s="157"/>
      <c r="E2732" s="155"/>
      <c r="F2732" s="151"/>
      <c r="G2732" s="152"/>
      <c r="H2732" s="153"/>
      <c r="I2732" s="154"/>
      <c r="J2732" s="154"/>
      <c r="K2732" s="30" t="str">
        <f>IF(H2732="","",IF($C$30="간이법","",FPR(H2732,I2732,J2732)))</f>
        <v/>
      </c>
      <c r="L2732" s="30" t="str">
        <f>IF(H2732="","",IF($C$30="상세법",FPV(H2732,K2732),IF(H2732="EI",4,IF(H2732="EO",5.2,IF(H2732="EQ",3.9,IF(H2732="ILF",7.5,IF(H2732="EIF",5.4)))))))</f>
        <v/>
      </c>
      <c r="M2732" s="30" t="str">
        <f t="shared" si="289"/>
        <v/>
      </c>
      <c r="N2732" s="134"/>
      <c r="O2732" s="29"/>
      <c r="P2732" s="37" t="str">
        <f t="shared" si="290"/>
        <v/>
      </c>
      <c r="Q2732" s="38" t="str">
        <f t="shared" si="291"/>
        <v/>
      </c>
      <c r="R2732" s="37" t="str">
        <f t="shared" si="292"/>
        <v/>
      </c>
      <c r="S2732" s="37" t="str">
        <f t="shared" si="293"/>
        <v/>
      </c>
      <c r="T2732" s="38" t="str">
        <f t="shared" si="294"/>
        <v/>
      </c>
      <c r="U2732" s="37" t="str">
        <f t="shared" si="295"/>
        <v/>
      </c>
    </row>
    <row r="2733" spans="2:21" ht="17.25">
      <c r="B2733" s="156"/>
      <c r="C2733" s="156"/>
      <c r="D2733" s="157"/>
      <c r="E2733" s="155"/>
      <c r="F2733" s="151"/>
      <c r="G2733" s="152"/>
      <c r="H2733" s="153"/>
      <c r="I2733" s="154"/>
      <c r="J2733" s="154"/>
      <c r="K2733" s="30" t="str">
        <f>IF(H2733="","",IF($C$30="간이법","",FPR(H2733,I2733,J2733)))</f>
        <v/>
      </c>
      <c r="L2733" s="30" t="str">
        <f>IF(H2733="","",IF($C$30="상세법",FPV(H2733,K2733),IF(H2733="EI",4,IF(H2733="EO",5.2,IF(H2733="EQ",3.9,IF(H2733="ILF",7.5,IF(H2733="EIF",5.4)))))))</f>
        <v/>
      </c>
      <c r="M2733" s="30" t="str">
        <f t="shared" si="289"/>
        <v/>
      </c>
      <c r="N2733" s="134"/>
      <c r="O2733" s="29"/>
      <c r="P2733" s="37" t="str">
        <f t="shared" si="290"/>
        <v/>
      </c>
      <c r="Q2733" s="38" t="str">
        <f t="shared" si="291"/>
        <v/>
      </c>
      <c r="R2733" s="37" t="str">
        <f t="shared" si="292"/>
        <v/>
      </c>
      <c r="S2733" s="37" t="str">
        <f t="shared" si="293"/>
        <v/>
      </c>
      <c r="T2733" s="38" t="str">
        <f t="shared" si="294"/>
        <v/>
      </c>
      <c r="U2733" s="37" t="str">
        <f t="shared" si="295"/>
        <v/>
      </c>
    </row>
    <row r="2734" spans="2:21" ht="17.25">
      <c r="B2734" s="156"/>
      <c r="C2734" s="156"/>
      <c r="D2734" s="157"/>
      <c r="E2734" s="155"/>
      <c r="F2734" s="151"/>
      <c r="G2734" s="152"/>
      <c r="H2734" s="153"/>
      <c r="I2734" s="154"/>
      <c r="J2734" s="154"/>
      <c r="K2734" s="30" t="str">
        <f>IF(H2734="","",IF($C$30="간이법","",FPR(H2734,I2734,J2734)))</f>
        <v/>
      </c>
      <c r="L2734" s="30" t="str">
        <f>IF(H2734="","",IF($C$30="상세법",FPV(H2734,K2734),IF(H2734="EI",4,IF(H2734="EO",5.2,IF(H2734="EQ",3.9,IF(H2734="ILF",7.5,IF(H2734="EIF",5.4)))))))</f>
        <v/>
      </c>
      <c r="M2734" s="30" t="str">
        <f t="shared" si="289"/>
        <v/>
      </c>
      <c r="N2734" s="134"/>
      <c r="O2734" s="29"/>
      <c r="P2734" s="37" t="str">
        <f t="shared" si="290"/>
        <v/>
      </c>
      <c r="Q2734" s="38" t="str">
        <f t="shared" si="291"/>
        <v/>
      </c>
      <c r="R2734" s="37" t="str">
        <f t="shared" si="292"/>
        <v/>
      </c>
      <c r="S2734" s="37" t="str">
        <f t="shared" si="293"/>
        <v/>
      </c>
      <c r="T2734" s="38" t="str">
        <f t="shared" si="294"/>
        <v/>
      </c>
      <c r="U2734" s="37" t="str">
        <f t="shared" si="295"/>
        <v/>
      </c>
    </row>
    <row r="2735" spans="2:21" ht="17.25">
      <c r="B2735" s="156"/>
      <c r="C2735" s="156"/>
      <c r="D2735" s="157"/>
      <c r="E2735" s="155"/>
      <c r="F2735" s="151"/>
      <c r="G2735" s="152"/>
      <c r="H2735" s="153"/>
      <c r="I2735" s="154"/>
      <c r="J2735" s="154"/>
      <c r="K2735" s="30" t="str">
        <f>IF(H2735="","",IF($C$30="간이법","",FPR(H2735,I2735,J2735)))</f>
        <v/>
      </c>
      <c r="L2735" s="30" t="str">
        <f>IF(H2735="","",IF($C$30="상세법",FPV(H2735,K2735),IF(H2735="EI",4,IF(H2735="EO",5.2,IF(H2735="EQ",3.9,IF(H2735="ILF",7.5,IF(H2735="EIF",5.4)))))))</f>
        <v/>
      </c>
      <c r="M2735" s="30" t="str">
        <f t="shared" si="289"/>
        <v/>
      </c>
      <c r="N2735" s="134"/>
      <c r="O2735" s="29"/>
      <c r="P2735" s="37" t="str">
        <f t="shared" si="290"/>
        <v/>
      </c>
      <c r="Q2735" s="38" t="str">
        <f t="shared" si="291"/>
        <v/>
      </c>
      <c r="R2735" s="37" t="str">
        <f t="shared" si="292"/>
        <v/>
      </c>
      <c r="S2735" s="37" t="str">
        <f t="shared" si="293"/>
        <v/>
      </c>
      <c r="T2735" s="38" t="str">
        <f t="shared" si="294"/>
        <v/>
      </c>
      <c r="U2735" s="37" t="str">
        <f t="shared" si="295"/>
        <v/>
      </c>
    </row>
    <row r="2736" spans="2:21" ht="17.25">
      <c r="B2736" s="156"/>
      <c r="C2736" s="156"/>
      <c r="D2736" s="157"/>
      <c r="E2736" s="155"/>
      <c r="F2736" s="151"/>
      <c r="G2736" s="152"/>
      <c r="H2736" s="153"/>
      <c r="I2736" s="154"/>
      <c r="J2736" s="154"/>
      <c r="K2736" s="30" t="str">
        <f>IF(H2736="","",IF($C$30="간이법","",FPR(H2736,I2736,J2736)))</f>
        <v/>
      </c>
      <c r="L2736" s="30" t="str">
        <f>IF(H2736="","",IF($C$30="상세법",FPV(H2736,K2736),IF(H2736="EI",4,IF(H2736="EO",5.2,IF(H2736="EQ",3.9,IF(H2736="ILF",7.5,IF(H2736="EIF",5.4)))))))</f>
        <v/>
      </c>
      <c r="M2736" s="30" t="str">
        <f t="shared" si="289"/>
        <v/>
      </c>
      <c r="N2736" s="134"/>
      <c r="O2736" s="29"/>
      <c r="P2736" s="37" t="str">
        <f t="shared" si="290"/>
        <v/>
      </c>
      <c r="Q2736" s="38" t="str">
        <f t="shared" si="291"/>
        <v/>
      </c>
      <c r="R2736" s="37" t="str">
        <f t="shared" si="292"/>
        <v/>
      </c>
      <c r="S2736" s="37" t="str">
        <f t="shared" si="293"/>
        <v/>
      </c>
      <c r="T2736" s="38" t="str">
        <f t="shared" si="294"/>
        <v/>
      </c>
      <c r="U2736" s="37" t="str">
        <f t="shared" si="295"/>
        <v/>
      </c>
    </row>
    <row r="2737" spans="2:21" ht="17.25">
      <c r="B2737" s="156"/>
      <c r="C2737" s="156"/>
      <c r="D2737" s="157"/>
      <c r="E2737" s="155"/>
      <c r="F2737" s="151"/>
      <c r="G2737" s="152"/>
      <c r="H2737" s="153"/>
      <c r="I2737" s="154"/>
      <c r="J2737" s="154"/>
      <c r="K2737" s="30" t="str">
        <f>IF(H2737="","",IF($C$30="간이법","",FPR(H2737,I2737,J2737)))</f>
        <v/>
      </c>
      <c r="L2737" s="30" t="str">
        <f>IF(H2737="","",IF($C$30="상세법",FPV(H2737,K2737),IF(H2737="EI",4,IF(H2737="EO",5.2,IF(H2737="EQ",3.9,IF(H2737="ILF",7.5,IF(H2737="EIF",5.4)))))))</f>
        <v/>
      </c>
      <c r="M2737" s="30" t="str">
        <f t="shared" si="289"/>
        <v/>
      </c>
      <c r="N2737" s="134"/>
      <c r="O2737" s="29"/>
      <c r="P2737" s="37" t="str">
        <f t="shared" si="290"/>
        <v/>
      </c>
      <c r="Q2737" s="38" t="str">
        <f t="shared" si="291"/>
        <v/>
      </c>
      <c r="R2737" s="37" t="str">
        <f t="shared" si="292"/>
        <v/>
      </c>
      <c r="S2737" s="37" t="str">
        <f t="shared" si="293"/>
        <v/>
      </c>
      <c r="T2737" s="38" t="str">
        <f t="shared" si="294"/>
        <v/>
      </c>
      <c r="U2737" s="37" t="str">
        <f t="shared" si="295"/>
        <v/>
      </c>
    </row>
    <row r="2738" spans="2:21" ht="17.25">
      <c r="B2738" s="156"/>
      <c r="C2738" s="156"/>
      <c r="D2738" s="157"/>
      <c r="E2738" s="155"/>
      <c r="F2738" s="151"/>
      <c r="G2738" s="152"/>
      <c r="H2738" s="153"/>
      <c r="I2738" s="154"/>
      <c r="J2738" s="154"/>
      <c r="K2738" s="30" t="str">
        <f>IF(H2738="","",IF($C$30="간이법","",FPR(H2738,I2738,J2738)))</f>
        <v/>
      </c>
      <c r="L2738" s="30" t="str">
        <f>IF(H2738="","",IF($C$30="상세법",FPV(H2738,K2738),IF(H2738="EI",4,IF(H2738="EO",5.2,IF(H2738="EQ",3.9,IF(H2738="ILF",7.5,IF(H2738="EIF",5.4)))))))</f>
        <v/>
      </c>
      <c r="M2738" s="30" t="str">
        <f t="shared" si="289"/>
        <v/>
      </c>
      <c r="N2738" s="134"/>
      <c r="O2738" s="29"/>
      <c r="P2738" s="37" t="str">
        <f t="shared" si="290"/>
        <v/>
      </c>
      <c r="Q2738" s="38" t="str">
        <f t="shared" si="291"/>
        <v/>
      </c>
      <c r="R2738" s="37" t="str">
        <f t="shared" si="292"/>
        <v/>
      </c>
      <c r="S2738" s="37" t="str">
        <f t="shared" si="293"/>
        <v/>
      </c>
      <c r="T2738" s="38" t="str">
        <f t="shared" si="294"/>
        <v/>
      </c>
      <c r="U2738" s="37" t="str">
        <f t="shared" si="295"/>
        <v/>
      </c>
    </row>
    <row r="2739" spans="2:21" ht="17.25">
      <c r="B2739" s="156"/>
      <c r="C2739" s="156"/>
      <c r="D2739" s="157"/>
      <c r="E2739" s="155"/>
      <c r="F2739" s="151"/>
      <c r="G2739" s="152"/>
      <c r="H2739" s="153"/>
      <c r="I2739" s="154"/>
      <c r="J2739" s="154"/>
      <c r="K2739" s="30" t="str">
        <f>IF(H2739="","",IF($C$30="간이법","",FPR(H2739,I2739,J2739)))</f>
        <v/>
      </c>
      <c r="L2739" s="30" t="str">
        <f>IF(H2739="","",IF($C$30="상세법",FPV(H2739,K2739),IF(H2739="EI",4,IF(H2739="EO",5.2,IF(H2739="EQ",3.9,IF(H2739="ILF",7.5,IF(H2739="EIF",5.4)))))))</f>
        <v/>
      </c>
      <c r="M2739" s="30" t="str">
        <f t="shared" si="289"/>
        <v/>
      </c>
      <c r="N2739" s="134"/>
      <c r="O2739" s="29"/>
      <c r="P2739" s="37" t="str">
        <f t="shared" si="290"/>
        <v/>
      </c>
      <c r="Q2739" s="38" t="str">
        <f t="shared" si="291"/>
        <v/>
      </c>
      <c r="R2739" s="37" t="str">
        <f t="shared" si="292"/>
        <v/>
      </c>
      <c r="S2739" s="37" t="str">
        <f t="shared" si="293"/>
        <v/>
      </c>
      <c r="T2739" s="38" t="str">
        <f t="shared" si="294"/>
        <v/>
      </c>
      <c r="U2739" s="37" t="str">
        <f t="shared" si="295"/>
        <v/>
      </c>
    </row>
    <row r="2740" spans="2:21" ht="17.25">
      <c r="B2740" s="156"/>
      <c r="C2740" s="156"/>
      <c r="D2740" s="157"/>
      <c r="E2740" s="155"/>
      <c r="F2740" s="151"/>
      <c r="G2740" s="152"/>
      <c r="H2740" s="153"/>
      <c r="I2740" s="154"/>
      <c r="J2740" s="154"/>
      <c r="K2740" s="30" t="str">
        <f>IF(H2740="","",IF($C$30="간이법","",FPR(H2740,I2740,J2740)))</f>
        <v/>
      </c>
      <c r="L2740" s="30" t="str">
        <f>IF(H2740="","",IF($C$30="상세법",FPV(H2740,K2740),IF(H2740="EI",4,IF(H2740="EO",5.2,IF(H2740="EQ",3.9,IF(H2740="ILF",7.5,IF(H2740="EIF",5.4)))))))</f>
        <v/>
      </c>
      <c r="M2740" s="30" t="str">
        <f t="shared" si="289"/>
        <v/>
      </c>
      <c r="N2740" s="134"/>
      <c r="O2740" s="29"/>
      <c r="P2740" s="37" t="str">
        <f t="shared" si="290"/>
        <v/>
      </c>
      <c r="Q2740" s="38" t="str">
        <f t="shared" si="291"/>
        <v/>
      </c>
      <c r="R2740" s="37" t="str">
        <f t="shared" si="292"/>
        <v/>
      </c>
      <c r="S2740" s="37" t="str">
        <f t="shared" si="293"/>
        <v/>
      </c>
      <c r="T2740" s="38" t="str">
        <f t="shared" si="294"/>
        <v/>
      </c>
      <c r="U2740" s="37" t="str">
        <f t="shared" si="295"/>
        <v/>
      </c>
    </row>
    <row r="2741" spans="2:21" ht="17.25">
      <c r="B2741" s="156"/>
      <c r="C2741" s="156"/>
      <c r="D2741" s="157"/>
      <c r="E2741" s="155"/>
      <c r="F2741" s="151"/>
      <c r="G2741" s="152"/>
      <c r="H2741" s="153"/>
      <c r="I2741" s="154"/>
      <c r="J2741" s="154"/>
      <c r="K2741" s="30" t="str">
        <f>IF(H2741="","",IF($C$30="간이법","",FPR(H2741,I2741,J2741)))</f>
        <v/>
      </c>
      <c r="L2741" s="30" t="str">
        <f>IF(H2741="","",IF($C$30="상세법",FPV(H2741,K2741),IF(H2741="EI",4,IF(H2741="EO",5.2,IF(H2741="EQ",3.9,IF(H2741="ILF",7.5,IF(H2741="EIF",5.4)))))))</f>
        <v/>
      </c>
      <c r="M2741" s="30" t="str">
        <f t="shared" si="289"/>
        <v/>
      </c>
      <c r="N2741" s="134"/>
      <c r="O2741" s="29"/>
      <c r="P2741" s="37" t="str">
        <f t="shared" si="290"/>
        <v/>
      </c>
      <c r="Q2741" s="38" t="str">
        <f t="shared" si="291"/>
        <v/>
      </c>
      <c r="R2741" s="37" t="str">
        <f t="shared" si="292"/>
        <v/>
      </c>
      <c r="S2741" s="37" t="str">
        <f t="shared" si="293"/>
        <v/>
      </c>
      <c r="T2741" s="38" t="str">
        <f t="shared" si="294"/>
        <v/>
      </c>
      <c r="U2741" s="37" t="str">
        <f t="shared" si="295"/>
        <v/>
      </c>
    </row>
    <row r="2742" spans="2:21" ht="17.25">
      <c r="B2742" s="156"/>
      <c r="C2742" s="156"/>
      <c r="D2742" s="157"/>
      <c r="E2742" s="155"/>
      <c r="F2742" s="151"/>
      <c r="G2742" s="152"/>
      <c r="H2742" s="153"/>
      <c r="I2742" s="154"/>
      <c r="J2742" s="154"/>
      <c r="K2742" s="30" t="str">
        <f>IF(H2742="","",IF($C$30="간이법","",FPR(H2742,I2742,J2742)))</f>
        <v/>
      </c>
      <c r="L2742" s="30" t="str">
        <f>IF(H2742="","",IF($C$30="상세법",FPV(H2742,K2742),IF(H2742="EI",4,IF(H2742="EO",5.2,IF(H2742="EQ",3.9,IF(H2742="ILF",7.5,IF(H2742="EIF",5.4)))))))</f>
        <v/>
      </c>
      <c r="M2742" s="30" t="str">
        <f t="shared" si="289"/>
        <v/>
      </c>
      <c r="N2742" s="134"/>
      <c r="O2742" s="29"/>
      <c r="P2742" s="37" t="str">
        <f t="shared" si="290"/>
        <v/>
      </c>
      <c r="Q2742" s="38" t="str">
        <f t="shared" si="291"/>
        <v/>
      </c>
      <c r="R2742" s="37" t="str">
        <f t="shared" si="292"/>
        <v/>
      </c>
      <c r="S2742" s="37" t="str">
        <f t="shared" si="293"/>
        <v/>
      </c>
      <c r="T2742" s="38" t="str">
        <f t="shared" si="294"/>
        <v/>
      </c>
      <c r="U2742" s="37" t="str">
        <f t="shared" si="295"/>
        <v/>
      </c>
    </row>
    <row r="2743" spans="2:21" ht="17.25">
      <c r="B2743" s="156"/>
      <c r="C2743" s="156"/>
      <c r="D2743" s="157"/>
      <c r="E2743" s="155"/>
      <c r="F2743" s="151"/>
      <c r="G2743" s="152"/>
      <c r="H2743" s="153"/>
      <c r="I2743" s="154"/>
      <c r="J2743" s="154"/>
      <c r="K2743" s="30" t="str">
        <f>IF(H2743="","",IF($C$30="간이법","",FPR(H2743,I2743,J2743)))</f>
        <v/>
      </c>
      <c r="L2743" s="30" t="str">
        <f>IF(H2743="","",IF($C$30="상세법",FPV(H2743,K2743),IF(H2743="EI",4,IF(H2743="EO",5.2,IF(H2743="EQ",3.9,IF(H2743="ILF",7.5,IF(H2743="EIF",5.4)))))))</f>
        <v/>
      </c>
      <c r="M2743" s="30" t="str">
        <f t="shared" si="289"/>
        <v/>
      </c>
      <c r="N2743" s="134"/>
      <c r="O2743" s="29"/>
      <c r="P2743" s="37" t="str">
        <f t="shared" si="290"/>
        <v/>
      </c>
      <c r="Q2743" s="38" t="str">
        <f t="shared" si="291"/>
        <v/>
      </c>
      <c r="R2743" s="37" t="str">
        <f t="shared" si="292"/>
        <v/>
      </c>
      <c r="S2743" s="37" t="str">
        <f t="shared" si="293"/>
        <v/>
      </c>
      <c r="T2743" s="38" t="str">
        <f t="shared" si="294"/>
        <v/>
      </c>
      <c r="U2743" s="37" t="str">
        <f t="shared" si="295"/>
        <v/>
      </c>
    </row>
    <row r="2744" spans="2:21" ht="17.25">
      <c r="B2744" s="156"/>
      <c r="C2744" s="156"/>
      <c r="D2744" s="157"/>
      <c r="E2744" s="155"/>
      <c r="F2744" s="151"/>
      <c r="G2744" s="152"/>
      <c r="H2744" s="153"/>
      <c r="I2744" s="154"/>
      <c r="J2744" s="154"/>
      <c r="K2744" s="30" t="str">
        <f>IF(H2744="","",IF($C$30="간이법","",FPR(H2744,I2744,J2744)))</f>
        <v/>
      </c>
      <c r="L2744" s="30" t="str">
        <f>IF(H2744="","",IF($C$30="상세법",FPV(H2744,K2744),IF(H2744="EI",4,IF(H2744="EO",5.2,IF(H2744="EQ",3.9,IF(H2744="ILF",7.5,IF(H2744="EIF",5.4)))))))</f>
        <v/>
      </c>
      <c r="M2744" s="30" t="str">
        <f t="shared" si="289"/>
        <v/>
      </c>
      <c r="N2744" s="134"/>
      <c r="O2744" s="29"/>
      <c r="P2744" s="37" t="str">
        <f t="shared" si="290"/>
        <v/>
      </c>
      <c r="Q2744" s="38" t="str">
        <f t="shared" si="291"/>
        <v/>
      </c>
      <c r="R2744" s="37" t="str">
        <f t="shared" si="292"/>
        <v/>
      </c>
      <c r="S2744" s="37" t="str">
        <f t="shared" si="293"/>
        <v/>
      </c>
      <c r="T2744" s="38" t="str">
        <f t="shared" si="294"/>
        <v/>
      </c>
      <c r="U2744" s="37" t="str">
        <f t="shared" si="295"/>
        <v/>
      </c>
    </row>
    <row r="2745" spans="2:21" ht="17.25">
      <c r="B2745" s="156"/>
      <c r="C2745" s="156"/>
      <c r="D2745" s="157"/>
      <c r="E2745" s="155"/>
      <c r="F2745" s="151"/>
      <c r="G2745" s="152"/>
      <c r="H2745" s="153"/>
      <c r="I2745" s="154"/>
      <c r="J2745" s="154"/>
      <c r="K2745" s="30" t="str">
        <f>IF(H2745="","",IF($C$30="간이법","",FPR(H2745,I2745,J2745)))</f>
        <v/>
      </c>
      <c r="L2745" s="30" t="str">
        <f>IF(H2745="","",IF($C$30="상세법",FPV(H2745,K2745),IF(H2745="EI",4,IF(H2745="EO",5.2,IF(H2745="EQ",3.9,IF(H2745="ILF",7.5,IF(H2745="EIF",5.4)))))))</f>
        <v/>
      </c>
      <c r="M2745" s="30" t="str">
        <f t="shared" si="289"/>
        <v/>
      </c>
      <c r="N2745" s="134"/>
      <c r="O2745" s="29"/>
      <c r="P2745" s="37" t="str">
        <f t="shared" si="290"/>
        <v/>
      </c>
      <c r="Q2745" s="38" t="str">
        <f t="shared" si="291"/>
        <v/>
      </c>
      <c r="R2745" s="37" t="str">
        <f t="shared" si="292"/>
        <v/>
      </c>
      <c r="S2745" s="37" t="str">
        <f t="shared" si="293"/>
        <v/>
      </c>
      <c r="T2745" s="38" t="str">
        <f t="shared" si="294"/>
        <v/>
      </c>
      <c r="U2745" s="37" t="str">
        <f t="shared" si="295"/>
        <v/>
      </c>
    </row>
    <row r="2746" spans="2:21" ht="17.25">
      <c r="B2746" s="156"/>
      <c r="C2746" s="156"/>
      <c r="D2746" s="157"/>
      <c r="E2746" s="155"/>
      <c r="F2746" s="151"/>
      <c r="G2746" s="152"/>
      <c r="H2746" s="153"/>
      <c r="I2746" s="154"/>
      <c r="J2746" s="154"/>
      <c r="K2746" s="30" t="str">
        <f>IF(H2746="","",IF($C$30="간이법","",FPR(H2746,I2746,J2746)))</f>
        <v/>
      </c>
      <c r="L2746" s="30" t="str">
        <f>IF(H2746="","",IF($C$30="상세법",FPV(H2746,K2746),IF(H2746="EI",4,IF(H2746="EO",5.2,IF(H2746="EQ",3.9,IF(H2746="ILF",7.5,IF(H2746="EIF",5.4)))))))</f>
        <v/>
      </c>
      <c r="M2746" s="30" t="str">
        <f t="shared" si="289"/>
        <v/>
      </c>
      <c r="N2746" s="134"/>
      <c r="O2746" s="29"/>
      <c r="P2746" s="37" t="str">
        <f t="shared" si="290"/>
        <v/>
      </c>
      <c r="Q2746" s="38" t="str">
        <f t="shared" si="291"/>
        <v/>
      </c>
      <c r="R2746" s="37" t="str">
        <f t="shared" si="292"/>
        <v/>
      </c>
      <c r="S2746" s="37" t="str">
        <f t="shared" si="293"/>
        <v/>
      </c>
      <c r="T2746" s="38" t="str">
        <f t="shared" si="294"/>
        <v/>
      </c>
      <c r="U2746" s="37" t="str">
        <f t="shared" si="295"/>
        <v/>
      </c>
    </row>
    <row r="2747" spans="2:21" ht="17.25">
      <c r="B2747" s="156"/>
      <c r="C2747" s="156"/>
      <c r="D2747" s="157"/>
      <c r="E2747" s="155"/>
      <c r="F2747" s="151"/>
      <c r="G2747" s="152"/>
      <c r="H2747" s="153"/>
      <c r="I2747" s="154"/>
      <c r="J2747" s="154"/>
      <c r="K2747" s="30" t="str">
        <f>IF(H2747="","",IF($C$30="간이법","",FPR(H2747,I2747,J2747)))</f>
        <v/>
      </c>
      <c r="L2747" s="30" t="str">
        <f>IF(H2747="","",IF($C$30="상세법",FPV(H2747,K2747),IF(H2747="EI",4,IF(H2747="EO",5.2,IF(H2747="EQ",3.9,IF(H2747="ILF",7.5,IF(H2747="EIF",5.4)))))))</f>
        <v/>
      </c>
      <c r="M2747" s="30" t="str">
        <f t="shared" si="289"/>
        <v/>
      </c>
      <c r="N2747" s="134"/>
      <c r="O2747" s="29"/>
      <c r="P2747" s="37" t="str">
        <f t="shared" si="290"/>
        <v/>
      </c>
      <c r="Q2747" s="38" t="str">
        <f t="shared" si="291"/>
        <v/>
      </c>
      <c r="R2747" s="37" t="str">
        <f t="shared" si="292"/>
        <v/>
      </c>
      <c r="S2747" s="37" t="str">
        <f t="shared" si="293"/>
        <v/>
      </c>
      <c r="T2747" s="38" t="str">
        <f t="shared" si="294"/>
        <v/>
      </c>
      <c r="U2747" s="37" t="str">
        <f t="shared" si="295"/>
        <v/>
      </c>
    </row>
    <row r="2748" spans="2:21" ht="17.25">
      <c r="B2748" s="156"/>
      <c r="C2748" s="156"/>
      <c r="D2748" s="157"/>
      <c r="E2748" s="155"/>
      <c r="F2748" s="151"/>
      <c r="G2748" s="152"/>
      <c r="H2748" s="153"/>
      <c r="I2748" s="154"/>
      <c r="J2748" s="154"/>
      <c r="K2748" s="30" t="str">
        <f>IF(H2748="","",IF($C$30="간이법","",FPR(H2748,I2748,J2748)))</f>
        <v/>
      </c>
      <c r="L2748" s="30" t="str">
        <f>IF(H2748="","",IF($C$30="상세법",FPV(H2748,K2748),IF(H2748="EI",4,IF(H2748="EO",5.2,IF(H2748="EQ",3.9,IF(H2748="ILF",7.5,IF(H2748="EIF",5.4)))))))</f>
        <v/>
      </c>
      <c r="M2748" s="30" t="str">
        <f t="shared" ref="M2748:M2811" si="296">IF(OR(G2748="",$E$36="(선택)",$E$40="(선택)",$E$41="(선택)",F2748="신규 개발",F2748="수정 없이 재사용"),"",(IF(F2748="수정 후 재사용",IF($E$50&lt;=0.5,L2748*($E$36+$E$50*100*(1+0.02*($E$40*$E$41)))/100,L2748*($E$36+$E$50*100+($E$40*$E$41))/100))))</f>
        <v/>
      </c>
      <c r="N2748" s="134"/>
      <c r="O2748" s="29"/>
      <c r="P2748" s="37" t="str">
        <f t="shared" ref="P2748:P2811" si="297">IF(F2748="수정 후 재사용",IF(H2748="ILF",G2748,IF(H2748="EIF",G2748,"")),"")</f>
        <v/>
      </c>
      <c r="Q2748" s="38" t="str">
        <f t="shared" ref="Q2748:Q2811" si="298">IF(P2748&lt;&gt;"",IF(H2748="ILF", L2748/$E$46,IF(H2748="EIF", L2748/$E$46,"")),"")</f>
        <v/>
      </c>
      <c r="R2748" s="37" t="str">
        <f t="shared" ref="R2748:R2811" si="299">IF(P2748&lt;&gt;"",P2748*Q2748,"")</f>
        <v/>
      </c>
      <c r="S2748" s="37" t="str">
        <f t="shared" ref="S2748:S2811" si="300">IF(F2748="수정 후 재사용",IF(H2748="EI",G2748,IF(H2748="EO",G2748,IF(H2748="EQ",G2748,""))),"")</f>
        <v/>
      </c>
      <c r="T2748" s="38" t="str">
        <f t="shared" ref="T2748:T2811" si="301">IF(S2748&lt;&gt;"",IF(H2748="EI",L2748/$E$47,IF(H2748="EO",L2748/$E$47,IF(H2748="EQ",L2748/$E$47,""))),"")</f>
        <v/>
      </c>
      <c r="U2748" s="37" t="str">
        <f t="shared" ref="U2748:U2811" si="302">IF(S2748&lt;&gt;"",S2748*T2748,"")</f>
        <v/>
      </c>
    </row>
    <row r="2749" spans="2:21" ht="17.25">
      <c r="B2749" s="156"/>
      <c r="C2749" s="156"/>
      <c r="D2749" s="157"/>
      <c r="E2749" s="155"/>
      <c r="F2749" s="151"/>
      <c r="G2749" s="152"/>
      <c r="H2749" s="153"/>
      <c r="I2749" s="154"/>
      <c r="J2749" s="154"/>
      <c r="K2749" s="30" t="str">
        <f>IF(H2749="","",IF($C$30="간이법","",FPR(H2749,I2749,J2749)))</f>
        <v/>
      </c>
      <c r="L2749" s="30" t="str">
        <f>IF(H2749="","",IF($C$30="상세법",FPV(H2749,K2749),IF(H2749="EI",4,IF(H2749="EO",5.2,IF(H2749="EQ",3.9,IF(H2749="ILF",7.5,IF(H2749="EIF",5.4)))))))</f>
        <v/>
      </c>
      <c r="M2749" s="30" t="str">
        <f t="shared" si="296"/>
        <v/>
      </c>
      <c r="N2749" s="134"/>
      <c r="O2749" s="29"/>
      <c r="P2749" s="37" t="str">
        <f t="shared" si="297"/>
        <v/>
      </c>
      <c r="Q2749" s="38" t="str">
        <f t="shared" si="298"/>
        <v/>
      </c>
      <c r="R2749" s="37" t="str">
        <f t="shared" si="299"/>
        <v/>
      </c>
      <c r="S2749" s="37" t="str">
        <f t="shared" si="300"/>
        <v/>
      </c>
      <c r="T2749" s="38" t="str">
        <f t="shared" si="301"/>
        <v/>
      </c>
      <c r="U2749" s="37" t="str">
        <f t="shared" si="302"/>
        <v/>
      </c>
    </row>
    <row r="2750" spans="2:21" ht="17.25">
      <c r="B2750" s="156"/>
      <c r="C2750" s="156"/>
      <c r="D2750" s="157"/>
      <c r="E2750" s="155"/>
      <c r="F2750" s="151"/>
      <c r="G2750" s="152"/>
      <c r="H2750" s="153"/>
      <c r="I2750" s="154"/>
      <c r="J2750" s="154"/>
      <c r="K2750" s="30" t="str">
        <f>IF(H2750="","",IF($C$30="간이법","",FPR(H2750,I2750,J2750)))</f>
        <v/>
      </c>
      <c r="L2750" s="30" t="str">
        <f>IF(H2750="","",IF($C$30="상세법",FPV(H2750,K2750),IF(H2750="EI",4,IF(H2750="EO",5.2,IF(H2750="EQ",3.9,IF(H2750="ILF",7.5,IF(H2750="EIF",5.4)))))))</f>
        <v/>
      </c>
      <c r="M2750" s="30" t="str">
        <f t="shared" si="296"/>
        <v/>
      </c>
      <c r="N2750" s="134"/>
      <c r="O2750" s="29"/>
      <c r="P2750" s="37" t="str">
        <f t="shared" si="297"/>
        <v/>
      </c>
      <c r="Q2750" s="38" t="str">
        <f t="shared" si="298"/>
        <v/>
      </c>
      <c r="R2750" s="37" t="str">
        <f t="shared" si="299"/>
        <v/>
      </c>
      <c r="S2750" s="37" t="str">
        <f t="shared" si="300"/>
        <v/>
      </c>
      <c r="T2750" s="38" t="str">
        <f t="shared" si="301"/>
        <v/>
      </c>
      <c r="U2750" s="37" t="str">
        <f t="shared" si="302"/>
        <v/>
      </c>
    </row>
    <row r="2751" spans="2:21" ht="17.25">
      <c r="B2751" s="156"/>
      <c r="C2751" s="156"/>
      <c r="D2751" s="157"/>
      <c r="E2751" s="155"/>
      <c r="F2751" s="151"/>
      <c r="G2751" s="152"/>
      <c r="H2751" s="153"/>
      <c r="I2751" s="154"/>
      <c r="J2751" s="154"/>
      <c r="K2751" s="30" t="str">
        <f>IF(H2751="","",IF($C$30="간이법","",FPR(H2751,I2751,J2751)))</f>
        <v/>
      </c>
      <c r="L2751" s="30" t="str">
        <f>IF(H2751="","",IF($C$30="상세법",FPV(H2751,K2751),IF(H2751="EI",4,IF(H2751="EO",5.2,IF(H2751="EQ",3.9,IF(H2751="ILF",7.5,IF(H2751="EIF",5.4)))))))</f>
        <v/>
      </c>
      <c r="M2751" s="30" t="str">
        <f t="shared" si="296"/>
        <v/>
      </c>
      <c r="N2751" s="134"/>
      <c r="O2751" s="29"/>
      <c r="P2751" s="37" t="str">
        <f t="shared" si="297"/>
        <v/>
      </c>
      <c r="Q2751" s="38" t="str">
        <f t="shared" si="298"/>
        <v/>
      </c>
      <c r="R2751" s="37" t="str">
        <f t="shared" si="299"/>
        <v/>
      </c>
      <c r="S2751" s="37" t="str">
        <f t="shared" si="300"/>
        <v/>
      </c>
      <c r="T2751" s="38" t="str">
        <f t="shared" si="301"/>
        <v/>
      </c>
      <c r="U2751" s="37" t="str">
        <f t="shared" si="302"/>
        <v/>
      </c>
    </row>
    <row r="2752" spans="2:21" ht="17.25">
      <c r="B2752" s="156"/>
      <c r="C2752" s="156"/>
      <c r="D2752" s="157"/>
      <c r="E2752" s="155"/>
      <c r="F2752" s="151"/>
      <c r="G2752" s="152"/>
      <c r="H2752" s="153"/>
      <c r="I2752" s="154"/>
      <c r="J2752" s="154"/>
      <c r="K2752" s="30" t="str">
        <f>IF(H2752="","",IF($C$30="간이법","",FPR(H2752,I2752,J2752)))</f>
        <v/>
      </c>
      <c r="L2752" s="30" t="str">
        <f>IF(H2752="","",IF($C$30="상세법",FPV(H2752,K2752),IF(H2752="EI",4,IF(H2752="EO",5.2,IF(H2752="EQ",3.9,IF(H2752="ILF",7.5,IF(H2752="EIF",5.4)))))))</f>
        <v/>
      </c>
      <c r="M2752" s="30" t="str">
        <f t="shared" si="296"/>
        <v/>
      </c>
      <c r="N2752" s="134"/>
      <c r="O2752" s="29"/>
      <c r="P2752" s="37" t="str">
        <f t="shared" si="297"/>
        <v/>
      </c>
      <c r="Q2752" s="38" t="str">
        <f t="shared" si="298"/>
        <v/>
      </c>
      <c r="R2752" s="37" t="str">
        <f t="shared" si="299"/>
        <v/>
      </c>
      <c r="S2752" s="37" t="str">
        <f t="shared" si="300"/>
        <v/>
      </c>
      <c r="T2752" s="38" t="str">
        <f t="shared" si="301"/>
        <v/>
      </c>
      <c r="U2752" s="37" t="str">
        <f t="shared" si="302"/>
        <v/>
      </c>
    </row>
    <row r="2753" spans="2:21" ht="17.25">
      <c r="B2753" s="156"/>
      <c r="C2753" s="156"/>
      <c r="D2753" s="157"/>
      <c r="E2753" s="155"/>
      <c r="F2753" s="151"/>
      <c r="G2753" s="152"/>
      <c r="H2753" s="153"/>
      <c r="I2753" s="154"/>
      <c r="J2753" s="154"/>
      <c r="K2753" s="30" t="str">
        <f>IF(H2753="","",IF($C$30="간이법","",FPR(H2753,I2753,J2753)))</f>
        <v/>
      </c>
      <c r="L2753" s="30" t="str">
        <f>IF(H2753="","",IF($C$30="상세법",FPV(H2753,K2753),IF(H2753="EI",4,IF(H2753="EO",5.2,IF(H2753="EQ",3.9,IF(H2753="ILF",7.5,IF(H2753="EIF",5.4)))))))</f>
        <v/>
      </c>
      <c r="M2753" s="30" t="str">
        <f t="shared" si="296"/>
        <v/>
      </c>
      <c r="N2753" s="134"/>
      <c r="O2753" s="29"/>
      <c r="P2753" s="37" t="str">
        <f t="shared" si="297"/>
        <v/>
      </c>
      <c r="Q2753" s="38" t="str">
        <f t="shared" si="298"/>
        <v/>
      </c>
      <c r="R2753" s="37" t="str">
        <f t="shared" si="299"/>
        <v/>
      </c>
      <c r="S2753" s="37" t="str">
        <f t="shared" si="300"/>
        <v/>
      </c>
      <c r="T2753" s="38" t="str">
        <f t="shared" si="301"/>
        <v/>
      </c>
      <c r="U2753" s="37" t="str">
        <f t="shared" si="302"/>
        <v/>
      </c>
    </row>
    <row r="2754" spans="2:21" ht="17.25">
      <c r="B2754" s="156"/>
      <c r="C2754" s="156"/>
      <c r="D2754" s="157"/>
      <c r="E2754" s="155"/>
      <c r="F2754" s="151"/>
      <c r="G2754" s="152"/>
      <c r="H2754" s="153"/>
      <c r="I2754" s="154"/>
      <c r="J2754" s="154"/>
      <c r="K2754" s="30" t="str">
        <f>IF(H2754="","",IF($C$30="간이법","",FPR(H2754,I2754,J2754)))</f>
        <v/>
      </c>
      <c r="L2754" s="30" t="str">
        <f>IF(H2754="","",IF($C$30="상세법",FPV(H2754,K2754),IF(H2754="EI",4,IF(H2754="EO",5.2,IF(H2754="EQ",3.9,IF(H2754="ILF",7.5,IF(H2754="EIF",5.4)))))))</f>
        <v/>
      </c>
      <c r="M2754" s="30" t="str">
        <f t="shared" si="296"/>
        <v/>
      </c>
      <c r="N2754" s="134"/>
      <c r="O2754" s="29"/>
      <c r="P2754" s="37" t="str">
        <f t="shared" si="297"/>
        <v/>
      </c>
      <c r="Q2754" s="38" t="str">
        <f t="shared" si="298"/>
        <v/>
      </c>
      <c r="R2754" s="37" t="str">
        <f t="shared" si="299"/>
        <v/>
      </c>
      <c r="S2754" s="37" t="str">
        <f t="shared" si="300"/>
        <v/>
      </c>
      <c r="T2754" s="38" t="str">
        <f t="shared" si="301"/>
        <v/>
      </c>
      <c r="U2754" s="37" t="str">
        <f t="shared" si="302"/>
        <v/>
      </c>
    </row>
    <row r="2755" spans="2:21" ht="17.25">
      <c r="B2755" s="156"/>
      <c r="C2755" s="156"/>
      <c r="D2755" s="157"/>
      <c r="E2755" s="155"/>
      <c r="F2755" s="151"/>
      <c r="G2755" s="152"/>
      <c r="H2755" s="153"/>
      <c r="I2755" s="154"/>
      <c r="J2755" s="154"/>
      <c r="K2755" s="30" t="str">
        <f>IF(H2755="","",IF($C$30="간이법","",FPR(H2755,I2755,J2755)))</f>
        <v/>
      </c>
      <c r="L2755" s="30" t="str">
        <f>IF(H2755="","",IF($C$30="상세법",FPV(H2755,K2755),IF(H2755="EI",4,IF(H2755="EO",5.2,IF(H2755="EQ",3.9,IF(H2755="ILF",7.5,IF(H2755="EIF",5.4)))))))</f>
        <v/>
      </c>
      <c r="M2755" s="30" t="str">
        <f t="shared" si="296"/>
        <v/>
      </c>
      <c r="N2755" s="134"/>
      <c r="O2755" s="29"/>
      <c r="P2755" s="37" t="str">
        <f t="shared" si="297"/>
        <v/>
      </c>
      <c r="Q2755" s="38" t="str">
        <f t="shared" si="298"/>
        <v/>
      </c>
      <c r="R2755" s="37" t="str">
        <f t="shared" si="299"/>
        <v/>
      </c>
      <c r="S2755" s="37" t="str">
        <f t="shared" si="300"/>
        <v/>
      </c>
      <c r="T2755" s="38" t="str">
        <f t="shared" si="301"/>
        <v/>
      </c>
      <c r="U2755" s="37" t="str">
        <f t="shared" si="302"/>
        <v/>
      </c>
    </row>
    <row r="2756" spans="2:21" ht="17.25">
      <c r="B2756" s="156"/>
      <c r="C2756" s="156"/>
      <c r="D2756" s="157"/>
      <c r="E2756" s="155"/>
      <c r="F2756" s="151"/>
      <c r="G2756" s="152"/>
      <c r="H2756" s="153"/>
      <c r="I2756" s="154"/>
      <c r="J2756" s="154"/>
      <c r="K2756" s="30" t="str">
        <f>IF(H2756="","",IF($C$30="간이법","",FPR(H2756,I2756,J2756)))</f>
        <v/>
      </c>
      <c r="L2756" s="30" t="str">
        <f>IF(H2756="","",IF($C$30="상세법",FPV(H2756,K2756),IF(H2756="EI",4,IF(H2756="EO",5.2,IF(H2756="EQ",3.9,IF(H2756="ILF",7.5,IF(H2756="EIF",5.4)))))))</f>
        <v/>
      </c>
      <c r="M2756" s="30" t="str">
        <f t="shared" si="296"/>
        <v/>
      </c>
      <c r="N2756" s="134"/>
      <c r="O2756" s="29"/>
      <c r="P2756" s="37" t="str">
        <f t="shared" si="297"/>
        <v/>
      </c>
      <c r="Q2756" s="38" t="str">
        <f t="shared" si="298"/>
        <v/>
      </c>
      <c r="R2756" s="37" t="str">
        <f t="shared" si="299"/>
        <v/>
      </c>
      <c r="S2756" s="37" t="str">
        <f t="shared" si="300"/>
        <v/>
      </c>
      <c r="T2756" s="38" t="str">
        <f t="shared" si="301"/>
        <v/>
      </c>
      <c r="U2756" s="37" t="str">
        <f t="shared" si="302"/>
        <v/>
      </c>
    </row>
    <row r="2757" spans="2:21" ht="17.25">
      <c r="B2757" s="156"/>
      <c r="C2757" s="156"/>
      <c r="D2757" s="157"/>
      <c r="E2757" s="155"/>
      <c r="F2757" s="151"/>
      <c r="G2757" s="152"/>
      <c r="H2757" s="153"/>
      <c r="I2757" s="154"/>
      <c r="J2757" s="154"/>
      <c r="K2757" s="30" t="str">
        <f>IF(H2757="","",IF($C$30="간이법","",FPR(H2757,I2757,J2757)))</f>
        <v/>
      </c>
      <c r="L2757" s="30" t="str">
        <f>IF(H2757="","",IF($C$30="상세법",FPV(H2757,K2757),IF(H2757="EI",4,IF(H2757="EO",5.2,IF(H2757="EQ",3.9,IF(H2757="ILF",7.5,IF(H2757="EIF",5.4)))))))</f>
        <v/>
      </c>
      <c r="M2757" s="30" t="str">
        <f t="shared" si="296"/>
        <v/>
      </c>
      <c r="N2757" s="134"/>
      <c r="O2757" s="29"/>
      <c r="P2757" s="37" t="str">
        <f t="shared" si="297"/>
        <v/>
      </c>
      <c r="Q2757" s="38" t="str">
        <f t="shared" si="298"/>
        <v/>
      </c>
      <c r="R2757" s="37" t="str">
        <f t="shared" si="299"/>
        <v/>
      </c>
      <c r="S2757" s="37" t="str">
        <f t="shared" si="300"/>
        <v/>
      </c>
      <c r="T2757" s="38" t="str">
        <f t="shared" si="301"/>
        <v/>
      </c>
      <c r="U2757" s="37" t="str">
        <f t="shared" si="302"/>
        <v/>
      </c>
    </row>
    <row r="2758" spans="2:21" ht="17.25">
      <c r="B2758" s="156"/>
      <c r="C2758" s="156"/>
      <c r="D2758" s="157"/>
      <c r="E2758" s="155"/>
      <c r="F2758" s="151"/>
      <c r="G2758" s="152"/>
      <c r="H2758" s="153"/>
      <c r="I2758" s="154"/>
      <c r="J2758" s="154"/>
      <c r="K2758" s="30" t="str">
        <f>IF(H2758="","",IF($C$30="간이법","",FPR(H2758,I2758,J2758)))</f>
        <v/>
      </c>
      <c r="L2758" s="30" t="str">
        <f>IF(H2758="","",IF($C$30="상세법",FPV(H2758,K2758),IF(H2758="EI",4,IF(H2758="EO",5.2,IF(H2758="EQ",3.9,IF(H2758="ILF",7.5,IF(H2758="EIF",5.4)))))))</f>
        <v/>
      </c>
      <c r="M2758" s="30" t="str">
        <f t="shared" si="296"/>
        <v/>
      </c>
      <c r="N2758" s="134"/>
      <c r="O2758" s="29"/>
      <c r="P2758" s="37" t="str">
        <f t="shared" si="297"/>
        <v/>
      </c>
      <c r="Q2758" s="38" t="str">
        <f t="shared" si="298"/>
        <v/>
      </c>
      <c r="R2758" s="37" t="str">
        <f t="shared" si="299"/>
        <v/>
      </c>
      <c r="S2758" s="37" t="str">
        <f t="shared" si="300"/>
        <v/>
      </c>
      <c r="T2758" s="38" t="str">
        <f t="shared" si="301"/>
        <v/>
      </c>
      <c r="U2758" s="37" t="str">
        <f t="shared" si="302"/>
        <v/>
      </c>
    </row>
    <row r="2759" spans="2:21" ht="17.25">
      <c r="B2759" s="156"/>
      <c r="C2759" s="156"/>
      <c r="D2759" s="157"/>
      <c r="E2759" s="155"/>
      <c r="F2759" s="151"/>
      <c r="G2759" s="152"/>
      <c r="H2759" s="153"/>
      <c r="I2759" s="154"/>
      <c r="J2759" s="154"/>
      <c r="K2759" s="30" t="str">
        <f>IF(H2759="","",IF($C$30="간이법","",FPR(H2759,I2759,J2759)))</f>
        <v/>
      </c>
      <c r="L2759" s="30" t="str">
        <f>IF(H2759="","",IF($C$30="상세법",FPV(H2759,K2759),IF(H2759="EI",4,IF(H2759="EO",5.2,IF(H2759="EQ",3.9,IF(H2759="ILF",7.5,IF(H2759="EIF",5.4)))))))</f>
        <v/>
      </c>
      <c r="M2759" s="30" t="str">
        <f t="shared" si="296"/>
        <v/>
      </c>
      <c r="N2759" s="134"/>
      <c r="O2759" s="29"/>
      <c r="P2759" s="37" t="str">
        <f t="shared" si="297"/>
        <v/>
      </c>
      <c r="Q2759" s="38" t="str">
        <f t="shared" si="298"/>
        <v/>
      </c>
      <c r="R2759" s="37" t="str">
        <f t="shared" si="299"/>
        <v/>
      </c>
      <c r="S2759" s="37" t="str">
        <f t="shared" si="300"/>
        <v/>
      </c>
      <c r="T2759" s="38" t="str">
        <f t="shared" si="301"/>
        <v/>
      </c>
      <c r="U2759" s="37" t="str">
        <f t="shared" si="302"/>
        <v/>
      </c>
    </row>
    <row r="2760" spans="2:21" ht="17.25">
      <c r="B2760" s="156"/>
      <c r="C2760" s="156"/>
      <c r="D2760" s="157"/>
      <c r="E2760" s="155"/>
      <c r="F2760" s="151"/>
      <c r="G2760" s="152"/>
      <c r="H2760" s="153"/>
      <c r="I2760" s="154"/>
      <c r="J2760" s="154"/>
      <c r="K2760" s="30" t="str">
        <f>IF(H2760="","",IF($C$30="간이법","",FPR(H2760,I2760,J2760)))</f>
        <v/>
      </c>
      <c r="L2760" s="30" t="str">
        <f>IF(H2760="","",IF($C$30="상세법",FPV(H2760,K2760),IF(H2760="EI",4,IF(H2760="EO",5.2,IF(H2760="EQ",3.9,IF(H2760="ILF",7.5,IF(H2760="EIF",5.4)))))))</f>
        <v/>
      </c>
      <c r="M2760" s="30" t="str">
        <f t="shared" si="296"/>
        <v/>
      </c>
      <c r="N2760" s="134"/>
      <c r="O2760" s="29"/>
      <c r="P2760" s="37" t="str">
        <f t="shared" si="297"/>
        <v/>
      </c>
      <c r="Q2760" s="38" t="str">
        <f t="shared" si="298"/>
        <v/>
      </c>
      <c r="R2760" s="37" t="str">
        <f t="shared" si="299"/>
        <v/>
      </c>
      <c r="S2760" s="37" t="str">
        <f t="shared" si="300"/>
        <v/>
      </c>
      <c r="T2760" s="38" t="str">
        <f t="shared" si="301"/>
        <v/>
      </c>
      <c r="U2760" s="37" t="str">
        <f t="shared" si="302"/>
        <v/>
      </c>
    </row>
    <row r="2761" spans="2:21" ht="17.25">
      <c r="B2761" s="156"/>
      <c r="C2761" s="156"/>
      <c r="D2761" s="157"/>
      <c r="E2761" s="155"/>
      <c r="F2761" s="151"/>
      <c r="G2761" s="152"/>
      <c r="H2761" s="153"/>
      <c r="I2761" s="154"/>
      <c r="J2761" s="154"/>
      <c r="K2761" s="30" t="str">
        <f>IF(H2761="","",IF($C$30="간이법","",FPR(H2761,I2761,J2761)))</f>
        <v/>
      </c>
      <c r="L2761" s="30" t="str">
        <f>IF(H2761="","",IF($C$30="상세법",FPV(H2761,K2761),IF(H2761="EI",4,IF(H2761="EO",5.2,IF(H2761="EQ",3.9,IF(H2761="ILF",7.5,IF(H2761="EIF",5.4)))))))</f>
        <v/>
      </c>
      <c r="M2761" s="30" t="str">
        <f t="shared" si="296"/>
        <v/>
      </c>
      <c r="N2761" s="134"/>
      <c r="O2761" s="29"/>
      <c r="P2761" s="37" t="str">
        <f t="shared" si="297"/>
        <v/>
      </c>
      <c r="Q2761" s="38" t="str">
        <f t="shared" si="298"/>
        <v/>
      </c>
      <c r="R2761" s="37" t="str">
        <f t="shared" si="299"/>
        <v/>
      </c>
      <c r="S2761" s="37" t="str">
        <f t="shared" si="300"/>
        <v/>
      </c>
      <c r="T2761" s="38" t="str">
        <f t="shared" si="301"/>
        <v/>
      </c>
      <c r="U2761" s="37" t="str">
        <f t="shared" si="302"/>
        <v/>
      </c>
    </row>
    <row r="2762" spans="2:21" ht="17.25">
      <c r="B2762" s="156"/>
      <c r="C2762" s="156"/>
      <c r="D2762" s="157"/>
      <c r="E2762" s="155"/>
      <c r="F2762" s="151"/>
      <c r="G2762" s="152"/>
      <c r="H2762" s="153"/>
      <c r="I2762" s="154"/>
      <c r="J2762" s="154"/>
      <c r="K2762" s="30" t="str">
        <f>IF(H2762="","",IF($C$30="간이법","",FPR(H2762,I2762,J2762)))</f>
        <v/>
      </c>
      <c r="L2762" s="30" t="str">
        <f>IF(H2762="","",IF($C$30="상세법",FPV(H2762,K2762),IF(H2762="EI",4,IF(H2762="EO",5.2,IF(H2762="EQ",3.9,IF(H2762="ILF",7.5,IF(H2762="EIF",5.4)))))))</f>
        <v/>
      </c>
      <c r="M2762" s="30" t="str">
        <f t="shared" si="296"/>
        <v/>
      </c>
      <c r="N2762" s="134"/>
      <c r="O2762" s="29"/>
      <c r="P2762" s="37" t="str">
        <f t="shared" si="297"/>
        <v/>
      </c>
      <c r="Q2762" s="38" t="str">
        <f t="shared" si="298"/>
        <v/>
      </c>
      <c r="R2762" s="37" t="str">
        <f t="shared" si="299"/>
        <v/>
      </c>
      <c r="S2762" s="37" t="str">
        <f t="shared" si="300"/>
        <v/>
      </c>
      <c r="T2762" s="38" t="str">
        <f t="shared" si="301"/>
        <v/>
      </c>
      <c r="U2762" s="37" t="str">
        <f t="shared" si="302"/>
        <v/>
      </c>
    </row>
    <row r="2763" spans="2:21" ht="17.25">
      <c r="B2763" s="156"/>
      <c r="C2763" s="156"/>
      <c r="D2763" s="157"/>
      <c r="E2763" s="155"/>
      <c r="F2763" s="151"/>
      <c r="G2763" s="152"/>
      <c r="H2763" s="153"/>
      <c r="I2763" s="154"/>
      <c r="J2763" s="154"/>
      <c r="K2763" s="30" t="str">
        <f>IF(H2763="","",IF($C$30="간이법","",FPR(H2763,I2763,J2763)))</f>
        <v/>
      </c>
      <c r="L2763" s="30" t="str">
        <f>IF(H2763="","",IF($C$30="상세법",FPV(H2763,K2763),IF(H2763="EI",4,IF(H2763="EO",5.2,IF(H2763="EQ",3.9,IF(H2763="ILF",7.5,IF(H2763="EIF",5.4)))))))</f>
        <v/>
      </c>
      <c r="M2763" s="30" t="str">
        <f t="shared" si="296"/>
        <v/>
      </c>
      <c r="N2763" s="134"/>
      <c r="O2763" s="29"/>
      <c r="P2763" s="37" t="str">
        <f t="shared" si="297"/>
        <v/>
      </c>
      <c r="Q2763" s="38" t="str">
        <f t="shared" si="298"/>
        <v/>
      </c>
      <c r="R2763" s="37" t="str">
        <f t="shared" si="299"/>
        <v/>
      </c>
      <c r="S2763" s="37" t="str">
        <f t="shared" si="300"/>
        <v/>
      </c>
      <c r="T2763" s="38" t="str">
        <f t="shared" si="301"/>
        <v/>
      </c>
      <c r="U2763" s="37" t="str">
        <f t="shared" si="302"/>
        <v/>
      </c>
    </row>
    <row r="2764" spans="2:21" ht="17.25">
      <c r="B2764" s="156"/>
      <c r="C2764" s="156"/>
      <c r="D2764" s="157"/>
      <c r="E2764" s="155"/>
      <c r="F2764" s="151"/>
      <c r="G2764" s="152"/>
      <c r="H2764" s="153"/>
      <c r="I2764" s="154"/>
      <c r="J2764" s="154"/>
      <c r="K2764" s="30" t="str">
        <f>IF(H2764="","",IF($C$30="간이법","",FPR(H2764,I2764,J2764)))</f>
        <v/>
      </c>
      <c r="L2764" s="30" t="str">
        <f>IF(H2764="","",IF($C$30="상세법",FPV(H2764,K2764),IF(H2764="EI",4,IF(H2764="EO",5.2,IF(H2764="EQ",3.9,IF(H2764="ILF",7.5,IF(H2764="EIF",5.4)))))))</f>
        <v/>
      </c>
      <c r="M2764" s="30" t="str">
        <f t="shared" si="296"/>
        <v/>
      </c>
      <c r="N2764" s="134"/>
      <c r="O2764" s="29"/>
      <c r="P2764" s="37" t="str">
        <f t="shared" si="297"/>
        <v/>
      </c>
      <c r="Q2764" s="38" t="str">
        <f t="shared" si="298"/>
        <v/>
      </c>
      <c r="R2764" s="37" t="str">
        <f t="shared" si="299"/>
        <v/>
      </c>
      <c r="S2764" s="37" t="str">
        <f t="shared" si="300"/>
        <v/>
      </c>
      <c r="T2764" s="38" t="str">
        <f t="shared" si="301"/>
        <v/>
      </c>
      <c r="U2764" s="37" t="str">
        <f t="shared" si="302"/>
        <v/>
      </c>
    </row>
    <row r="2765" spans="2:21" ht="17.25">
      <c r="B2765" s="156"/>
      <c r="C2765" s="156"/>
      <c r="D2765" s="157"/>
      <c r="E2765" s="155"/>
      <c r="F2765" s="151"/>
      <c r="G2765" s="152"/>
      <c r="H2765" s="153"/>
      <c r="I2765" s="154"/>
      <c r="J2765" s="154"/>
      <c r="K2765" s="30" t="str">
        <f>IF(H2765="","",IF($C$30="간이법","",FPR(H2765,I2765,J2765)))</f>
        <v/>
      </c>
      <c r="L2765" s="30" t="str">
        <f>IF(H2765="","",IF($C$30="상세법",FPV(H2765,K2765),IF(H2765="EI",4,IF(H2765="EO",5.2,IF(H2765="EQ",3.9,IF(H2765="ILF",7.5,IF(H2765="EIF",5.4)))))))</f>
        <v/>
      </c>
      <c r="M2765" s="30" t="str">
        <f t="shared" si="296"/>
        <v/>
      </c>
      <c r="N2765" s="134"/>
      <c r="O2765" s="29"/>
      <c r="P2765" s="37" t="str">
        <f t="shared" si="297"/>
        <v/>
      </c>
      <c r="Q2765" s="38" t="str">
        <f t="shared" si="298"/>
        <v/>
      </c>
      <c r="R2765" s="37" t="str">
        <f t="shared" si="299"/>
        <v/>
      </c>
      <c r="S2765" s="37" t="str">
        <f t="shared" si="300"/>
        <v/>
      </c>
      <c r="T2765" s="38" t="str">
        <f t="shared" si="301"/>
        <v/>
      </c>
      <c r="U2765" s="37" t="str">
        <f t="shared" si="302"/>
        <v/>
      </c>
    </row>
    <row r="2766" spans="2:21" ht="17.25">
      <c r="B2766" s="156"/>
      <c r="C2766" s="156"/>
      <c r="D2766" s="157"/>
      <c r="E2766" s="155"/>
      <c r="F2766" s="151"/>
      <c r="G2766" s="152"/>
      <c r="H2766" s="153"/>
      <c r="I2766" s="154"/>
      <c r="J2766" s="154"/>
      <c r="K2766" s="30" t="str">
        <f>IF(H2766="","",IF($C$30="간이법","",FPR(H2766,I2766,J2766)))</f>
        <v/>
      </c>
      <c r="L2766" s="30" t="str">
        <f>IF(H2766="","",IF($C$30="상세법",FPV(H2766,K2766),IF(H2766="EI",4,IF(H2766="EO",5.2,IF(H2766="EQ",3.9,IF(H2766="ILF",7.5,IF(H2766="EIF",5.4)))))))</f>
        <v/>
      </c>
      <c r="M2766" s="30" t="str">
        <f t="shared" si="296"/>
        <v/>
      </c>
      <c r="N2766" s="134"/>
      <c r="O2766" s="29"/>
      <c r="P2766" s="37" t="str">
        <f t="shared" si="297"/>
        <v/>
      </c>
      <c r="Q2766" s="38" t="str">
        <f t="shared" si="298"/>
        <v/>
      </c>
      <c r="R2766" s="37" t="str">
        <f t="shared" si="299"/>
        <v/>
      </c>
      <c r="S2766" s="37" t="str">
        <f t="shared" si="300"/>
        <v/>
      </c>
      <c r="T2766" s="38" t="str">
        <f t="shared" si="301"/>
        <v/>
      </c>
      <c r="U2766" s="37" t="str">
        <f t="shared" si="302"/>
        <v/>
      </c>
    </row>
    <row r="2767" spans="2:21" ht="17.25">
      <c r="B2767" s="156"/>
      <c r="C2767" s="156"/>
      <c r="D2767" s="157"/>
      <c r="E2767" s="155"/>
      <c r="F2767" s="151"/>
      <c r="G2767" s="152"/>
      <c r="H2767" s="153"/>
      <c r="I2767" s="154"/>
      <c r="J2767" s="154"/>
      <c r="K2767" s="30" t="str">
        <f>IF(H2767="","",IF($C$30="간이법","",FPR(H2767,I2767,J2767)))</f>
        <v/>
      </c>
      <c r="L2767" s="30" t="str">
        <f>IF(H2767="","",IF($C$30="상세법",FPV(H2767,K2767),IF(H2767="EI",4,IF(H2767="EO",5.2,IF(H2767="EQ",3.9,IF(H2767="ILF",7.5,IF(H2767="EIF",5.4)))))))</f>
        <v/>
      </c>
      <c r="M2767" s="30" t="str">
        <f t="shared" si="296"/>
        <v/>
      </c>
      <c r="N2767" s="134"/>
      <c r="O2767" s="29"/>
      <c r="P2767" s="37" t="str">
        <f t="shared" si="297"/>
        <v/>
      </c>
      <c r="Q2767" s="38" t="str">
        <f t="shared" si="298"/>
        <v/>
      </c>
      <c r="R2767" s="37" t="str">
        <f t="shared" si="299"/>
        <v/>
      </c>
      <c r="S2767" s="37" t="str">
        <f t="shared" si="300"/>
        <v/>
      </c>
      <c r="T2767" s="38" t="str">
        <f t="shared" si="301"/>
        <v/>
      </c>
      <c r="U2767" s="37" t="str">
        <f t="shared" si="302"/>
        <v/>
      </c>
    </row>
    <row r="2768" spans="2:21" ht="17.25">
      <c r="B2768" s="156"/>
      <c r="C2768" s="156"/>
      <c r="D2768" s="157"/>
      <c r="E2768" s="155"/>
      <c r="F2768" s="151"/>
      <c r="G2768" s="152"/>
      <c r="H2768" s="153"/>
      <c r="I2768" s="154"/>
      <c r="J2768" s="154"/>
      <c r="K2768" s="30" t="str">
        <f>IF(H2768="","",IF($C$30="간이법","",FPR(H2768,I2768,J2768)))</f>
        <v/>
      </c>
      <c r="L2768" s="30" t="str">
        <f>IF(H2768="","",IF($C$30="상세법",FPV(H2768,K2768),IF(H2768="EI",4,IF(H2768="EO",5.2,IF(H2768="EQ",3.9,IF(H2768="ILF",7.5,IF(H2768="EIF",5.4)))))))</f>
        <v/>
      </c>
      <c r="M2768" s="30" t="str">
        <f t="shared" si="296"/>
        <v/>
      </c>
      <c r="N2768" s="134"/>
      <c r="O2768" s="29"/>
      <c r="P2768" s="37" t="str">
        <f t="shared" si="297"/>
        <v/>
      </c>
      <c r="Q2768" s="38" t="str">
        <f t="shared" si="298"/>
        <v/>
      </c>
      <c r="R2768" s="37" t="str">
        <f t="shared" si="299"/>
        <v/>
      </c>
      <c r="S2768" s="37" t="str">
        <f t="shared" si="300"/>
        <v/>
      </c>
      <c r="T2768" s="38" t="str">
        <f t="shared" si="301"/>
        <v/>
      </c>
      <c r="U2768" s="37" t="str">
        <f t="shared" si="302"/>
        <v/>
      </c>
    </row>
    <row r="2769" spans="2:21" ht="17.25">
      <c r="B2769" s="156"/>
      <c r="C2769" s="156"/>
      <c r="D2769" s="157"/>
      <c r="E2769" s="155"/>
      <c r="F2769" s="151"/>
      <c r="G2769" s="152"/>
      <c r="H2769" s="153"/>
      <c r="I2769" s="154"/>
      <c r="J2769" s="154"/>
      <c r="K2769" s="30" t="str">
        <f>IF(H2769="","",IF($C$30="간이법","",FPR(H2769,I2769,J2769)))</f>
        <v/>
      </c>
      <c r="L2769" s="30" t="str">
        <f>IF(H2769="","",IF($C$30="상세법",FPV(H2769,K2769),IF(H2769="EI",4,IF(H2769="EO",5.2,IF(H2769="EQ",3.9,IF(H2769="ILF",7.5,IF(H2769="EIF",5.4)))))))</f>
        <v/>
      </c>
      <c r="M2769" s="30" t="str">
        <f t="shared" si="296"/>
        <v/>
      </c>
      <c r="N2769" s="134"/>
      <c r="O2769" s="29"/>
      <c r="P2769" s="37" t="str">
        <f t="shared" si="297"/>
        <v/>
      </c>
      <c r="Q2769" s="38" t="str">
        <f t="shared" si="298"/>
        <v/>
      </c>
      <c r="R2769" s="37" t="str">
        <f t="shared" si="299"/>
        <v/>
      </c>
      <c r="S2769" s="37" t="str">
        <f t="shared" si="300"/>
        <v/>
      </c>
      <c r="T2769" s="38" t="str">
        <f t="shared" si="301"/>
        <v/>
      </c>
      <c r="U2769" s="37" t="str">
        <f t="shared" si="302"/>
        <v/>
      </c>
    </row>
    <row r="2770" spans="2:21" ht="17.25">
      <c r="B2770" s="156"/>
      <c r="C2770" s="156"/>
      <c r="D2770" s="157"/>
      <c r="E2770" s="155"/>
      <c r="F2770" s="151"/>
      <c r="G2770" s="152"/>
      <c r="H2770" s="153"/>
      <c r="I2770" s="154"/>
      <c r="J2770" s="154"/>
      <c r="K2770" s="30" t="str">
        <f>IF(H2770="","",IF($C$30="간이법","",FPR(H2770,I2770,J2770)))</f>
        <v/>
      </c>
      <c r="L2770" s="30" t="str">
        <f>IF(H2770="","",IF($C$30="상세법",FPV(H2770,K2770),IF(H2770="EI",4,IF(H2770="EO",5.2,IF(H2770="EQ",3.9,IF(H2770="ILF",7.5,IF(H2770="EIF",5.4)))))))</f>
        <v/>
      </c>
      <c r="M2770" s="30" t="str">
        <f t="shared" si="296"/>
        <v/>
      </c>
      <c r="N2770" s="134"/>
      <c r="O2770" s="29"/>
      <c r="P2770" s="37" t="str">
        <f t="shared" si="297"/>
        <v/>
      </c>
      <c r="Q2770" s="38" t="str">
        <f t="shared" si="298"/>
        <v/>
      </c>
      <c r="R2770" s="37" t="str">
        <f t="shared" si="299"/>
        <v/>
      </c>
      <c r="S2770" s="37" t="str">
        <f t="shared" si="300"/>
        <v/>
      </c>
      <c r="T2770" s="38" t="str">
        <f t="shared" si="301"/>
        <v/>
      </c>
      <c r="U2770" s="37" t="str">
        <f t="shared" si="302"/>
        <v/>
      </c>
    </row>
    <row r="2771" spans="2:21" ht="17.25">
      <c r="B2771" s="156"/>
      <c r="C2771" s="156"/>
      <c r="D2771" s="157"/>
      <c r="E2771" s="155"/>
      <c r="F2771" s="151"/>
      <c r="G2771" s="152"/>
      <c r="H2771" s="153"/>
      <c r="I2771" s="154"/>
      <c r="J2771" s="154"/>
      <c r="K2771" s="30" t="str">
        <f>IF(H2771="","",IF($C$30="간이법","",FPR(H2771,I2771,J2771)))</f>
        <v/>
      </c>
      <c r="L2771" s="30" t="str">
        <f>IF(H2771="","",IF($C$30="상세법",FPV(H2771,K2771),IF(H2771="EI",4,IF(H2771="EO",5.2,IF(H2771="EQ",3.9,IF(H2771="ILF",7.5,IF(H2771="EIF",5.4)))))))</f>
        <v/>
      </c>
      <c r="M2771" s="30" t="str">
        <f t="shared" si="296"/>
        <v/>
      </c>
      <c r="N2771" s="134"/>
      <c r="O2771" s="29"/>
      <c r="P2771" s="37" t="str">
        <f t="shared" si="297"/>
        <v/>
      </c>
      <c r="Q2771" s="38" t="str">
        <f t="shared" si="298"/>
        <v/>
      </c>
      <c r="R2771" s="37" t="str">
        <f t="shared" si="299"/>
        <v/>
      </c>
      <c r="S2771" s="37" t="str">
        <f t="shared" si="300"/>
        <v/>
      </c>
      <c r="T2771" s="38" t="str">
        <f t="shared" si="301"/>
        <v/>
      </c>
      <c r="U2771" s="37" t="str">
        <f t="shared" si="302"/>
        <v/>
      </c>
    </row>
    <row r="2772" spans="2:21" ht="17.25">
      <c r="B2772" s="156"/>
      <c r="C2772" s="156"/>
      <c r="D2772" s="157"/>
      <c r="E2772" s="155"/>
      <c r="F2772" s="151"/>
      <c r="G2772" s="152"/>
      <c r="H2772" s="153"/>
      <c r="I2772" s="154"/>
      <c r="J2772" s="154"/>
      <c r="K2772" s="30" t="str">
        <f>IF(H2772="","",IF($C$30="간이법","",FPR(H2772,I2772,J2772)))</f>
        <v/>
      </c>
      <c r="L2772" s="30" t="str">
        <f>IF(H2772="","",IF($C$30="상세법",FPV(H2772,K2772),IF(H2772="EI",4,IF(H2772="EO",5.2,IF(H2772="EQ",3.9,IF(H2772="ILF",7.5,IF(H2772="EIF",5.4)))))))</f>
        <v/>
      </c>
      <c r="M2772" s="30" t="str">
        <f t="shared" si="296"/>
        <v/>
      </c>
      <c r="N2772" s="134"/>
      <c r="O2772" s="29"/>
      <c r="P2772" s="37" t="str">
        <f t="shared" si="297"/>
        <v/>
      </c>
      <c r="Q2772" s="38" t="str">
        <f t="shared" si="298"/>
        <v/>
      </c>
      <c r="R2772" s="37" t="str">
        <f t="shared" si="299"/>
        <v/>
      </c>
      <c r="S2772" s="37" t="str">
        <f t="shared" si="300"/>
        <v/>
      </c>
      <c r="T2772" s="38" t="str">
        <f t="shared" si="301"/>
        <v/>
      </c>
      <c r="U2772" s="37" t="str">
        <f t="shared" si="302"/>
        <v/>
      </c>
    </row>
    <row r="2773" spans="2:21" ht="17.25">
      <c r="B2773" s="156"/>
      <c r="C2773" s="156"/>
      <c r="D2773" s="157"/>
      <c r="E2773" s="155"/>
      <c r="F2773" s="151"/>
      <c r="G2773" s="152"/>
      <c r="H2773" s="153"/>
      <c r="I2773" s="154"/>
      <c r="J2773" s="154"/>
      <c r="K2773" s="30" t="str">
        <f>IF(H2773="","",IF($C$30="간이법","",FPR(H2773,I2773,J2773)))</f>
        <v/>
      </c>
      <c r="L2773" s="30" t="str">
        <f>IF(H2773="","",IF($C$30="상세법",FPV(H2773,K2773),IF(H2773="EI",4,IF(H2773="EO",5.2,IF(H2773="EQ",3.9,IF(H2773="ILF",7.5,IF(H2773="EIF",5.4)))))))</f>
        <v/>
      </c>
      <c r="M2773" s="30" t="str">
        <f t="shared" si="296"/>
        <v/>
      </c>
      <c r="N2773" s="134"/>
      <c r="O2773" s="29"/>
      <c r="P2773" s="37" t="str">
        <f t="shared" si="297"/>
        <v/>
      </c>
      <c r="Q2773" s="38" t="str">
        <f t="shared" si="298"/>
        <v/>
      </c>
      <c r="R2773" s="37" t="str">
        <f t="shared" si="299"/>
        <v/>
      </c>
      <c r="S2773" s="37" t="str">
        <f t="shared" si="300"/>
        <v/>
      </c>
      <c r="T2773" s="38" t="str">
        <f t="shared" si="301"/>
        <v/>
      </c>
      <c r="U2773" s="37" t="str">
        <f t="shared" si="302"/>
        <v/>
      </c>
    </row>
    <row r="2774" spans="2:21" ht="17.25">
      <c r="B2774" s="156"/>
      <c r="C2774" s="156"/>
      <c r="D2774" s="157"/>
      <c r="E2774" s="155"/>
      <c r="F2774" s="151"/>
      <c r="G2774" s="152"/>
      <c r="H2774" s="153"/>
      <c r="I2774" s="154"/>
      <c r="J2774" s="154"/>
      <c r="K2774" s="30" t="str">
        <f>IF(H2774="","",IF($C$30="간이법","",FPR(H2774,I2774,J2774)))</f>
        <v/>
      </c>
      <c r="L2774" s="30" t="str">
        <f>IF(H2774="","",IF($C$30="상세법",FPV(H2774,K2774),IF(H2774="EI",4,IF(H2774="EO",5.2,IF(H2774="EQ",3.9,IF(H2774="ILF",7.5,IF(H2774="EIF",5.4)))))))</f>
        <v/>
      </c>
      <c r="M2774" s="30" t="str">
        <f t="shared" si="296"/>
        <v/>
      </c>
      <c r="N2774" s="134"/>
      <c r="O2774" s="29"/>
      <c r="P2774" s="37" t="str">
        <f t="shared" si="297"/>
        <v/>
      </c>
      <c r="Q2774" s="38" t="str">
        <f t="shared" si="298"/>
        <v/>
      </c>
      <c r="R2774" s="37" t="str">
        <f t="shared" si="299"/>
        <v/>
      </c>
      <c r="S2774" s="37" t="str">
        <f t="shared" si="300"/>
        <v/>
      </c>
      <c r="T2774" s="38" t="str">
        <f t="shared" si="301"/>
        <v/>
      </c>
      <c r="U2774" s="37" t="str">
        <f t="shared" si="302"/>
        <v/>
      </c>
    </row>
    <row r="2775" spans="2:21" ht="17.25">
      <c r="B2775" s="156"/>
      <c r="C2775" s="156"/>
      <c r="D2775" s="157"/>
      <c r="E2775" s="155"/>
      <c r="F2775" s="151"/>
      <c r="G2775" s="152"/>
      <c r="H2775" s="153"/>
      <c r="I2775" s="154"/>
      <c r="J2775" s="154"/>
      <c r="K2775" s="30" t="str">
        <f>IF(H2775="","",IF($C$30="간이법","",FPR(H2775,I2775,J2775)))</f>
        <v/>
      </c>
      <c r="L2775" s="30" t="str">
        <f>IF(H2775="","",IF($C$30="상세법",FPV(H2775,K2775),IF(H2775="EI",4,IF(H2775="EO",5.2,IF(H2775="EQ",3.9,IF(H2775="ILF",7.5,IF(H2775="EIF",5.4)))))))</f>
        <v/>
      </c>
      <c r="M2775" s="30" t="str">
        <f t="shared" si="296"/>
        <v/>
      </c>
      <c r="N2775" s="134"/>
      <c r="O2775" s="29"/>
      <c r="P2775" s="37" t="str">
        <f t="shared" si="297"/>
        <v/>
      </c>
      <c r="Q2775" s="38" t="str">
        <f t="shared" si="298"/>
        <v/>
      </c>
      <c r="R2775" s="37" t="str">
        <f t="shared" si="299"/>
        <v/>
      </c>
      <c r="S2775" s="37" t="str">
        <f t="shared" si="300"/>
        <v/>
      </c>
      <c r="T2775" s="38" t="str">
        <f t="shared" si="301"/>
        <v/>
      </c>
      <c r="U2775" s="37" t="str">
        <f t="shared" si="302"/>
        <v/>
      </c>
    </row>
    <row r="2776" spans="2:21" ht="17.25">
      <c r="B2776" s="156"/>
      <c r="C2776" s="156"/>
      <c r="D2776" s="157"/>
      <c r="E2776" s="155"/>
      <c r="F2776" s="151"/>
      <c r="G2776" s="152"/>
      <c r="H2776" s="153"/>
      <c r="I2776" s="154"/>
      <c r="J2776" s="154"/>
      <c r="K2776" s="30" t="str">
        <f>IF(H2776="","",IF($C$30="간이법","",FPR(H2776,I2776,J2776)))</f>
        <v/>
      </c>
      <c r="L2776" s="30" t="str">
        <f>IF(H2776="","",IF($C$30="상세법",FPV(H2776,K2776),IF(H2776="EI",4,IF(H2776="EO",5.2,IF(H2776="EQ",3.9,IF(H2776="ILF",7.5,IF(H2776="EIF",5.4)))))))</f>
        <v/>
      </c>
      <c r="M2776" s="30" t="str">
        <f t="shared" si="296"/>
        <v/>
      </c>
      <c r="N2776" s="134"/>
      <c r="O2776" s="29"/>
      <c r="P2776" s="37" t="str">
        <f t="shared" si="297"/>
        <v/>
      </c>
      <c r="Q2776" s="38" t="str">
        <f t="shared" si="298"/>
        <v/>
      </c>
      <c r="R2776" s="37" t="str">
        <f t="shared" si="299"/>
        <v/>
      </c>
      <c r="S2776" s="37" t="str">
        <f t="shared" si="300"/>
        <v/>
      </c>
      <c r="T2776" s="38" t="str">
        <f t="shared" si="301"/>
        <v/>
      </c>
      <c r="U2776" s="37" t="str">
        <f t="shared" si="302"/>
        <v/>
      </c>
    </row>
    <row r="2777" spans="2:21" ht="17.25">
      <c r="B2777" s="156"/>
      <c r="C2777" s="156"/>
      <c r="D2777" s="157"/>
      <c r="E2777" s="155"/>
      <c r="F2777" s="151"/>
      <c r="G2777" s="152"/>
      <c r="H2777" s="153"/>
      <c r="I2777" s="154"/>
      <c r="J2777" s="154"/>
      <c r="K2777" s="30" t="str">
        <f>IF(H2777="","",IF($C$30="간이법","",FPR(H2777,I2777,J2777)))</f>
        <v/>
      </c>
      <c r="L2777" s="30" t="str">
        <f>IF(H2777="","",IF($C$30="상세법",FPV(H2777,K2777),IF(H2777="EI",4,IF(H2777="EO",5.2,IF(H2777="EQ",3.9,IF(H2777="ILF",7.5,IF(H2777="EIF",5.4)))))))</f>
        <v/>
      </c>
      <c r="M2777" s="30" t="str">
        <f t="shared" si="296"/>
        <v/>
      </c>
      <c r="N2777" s="134"/>
      <c r="O2777" s="29"/>
      <c r="P2777" s="37" t="str">
        <f t="shared" si="297"/>
        <v/>
      </c>
      <c r="Q2777" s="38" t="str">
        <f t="shared" si="298"/>
        <v/>
      </c>
      <c r="R2777" s="37" t="str">
        <f t="shared" si="299"/>
        <v/>
      </c>
      <c r="S2777" s="37" t="str">
        <f t="shared" si="300"/>
        <v/>
      </c>
      <c r="T2777" s="38" t="str">
        <f t="shared" si="301"/>
        <v/>
      </c>
      <c r="U2777" s="37" t="str">
        <f t="shared" si="302"/>
        <v/>
      </c>
    </row>
    <row r="2778" spans="2:21" ht="17.25">
      <c r="B2778" s="156"/>
      <c r="C2778" s="156"/>
      <c r="D2778" s="157"/>
      <c r="E2778" s="155"/>
      <c r="F2778" s="151"/>
      <c r="G2778" s="152"/>
      <c r="H2778" s="153"/>
      <c r="I2778" s="154"/>
      <c r="J2778" s="154"/>
      <c r="K2778" s="30" t="str">
        <f>IF(H2778="","",IF($C$30="간이법","",FPR(H2778,I2778,J2778)))</f>
        <v/>
      </c>
      <c r="L2778" s="30" t="str">
        <f>IF(H2778="","",IF($C$30="상세법",FPV(H2778,K2778),IF(H2778="EI",4,IF(H2778="EO",5.2,IF(H2778="EQ",3.9,IF(H2778="ILF",7.5,IF(H2778="EIF",5.4)))))))</f>
        <v/>
      </c>
      <c r="M2778" s="30" t="str">
        <f t="shared" si="296"/>
        <v/>
      </c>
      <c r="N2778" s="134"/>
      <c r="O2778" s="29"/>
      <c r="P2778" s="37" t="str">
        <f t="shared" si="297"/>
        <v/>
      </c>
      <c r="Q2778" s="38" t="str">
        <f t="shared" si="298"/>
        <v/>
      </c>
      <c r="R2778" s="37" t="str">
        <f t="shared" si="299"/>
        <v/>
      </c>
      <c r="S2778" s="37" t="str">
        <f t="shared" si="300"/>
        <v/>
      </c>
      <c r="T2778" s="38" t="str">
        <f t="shared" si="301"/>
        <v/>
      </c>
      <c r="U2778" s="37" t="str">
        <f t="shared" si="302"/>
        <v/>
      </c>
    </row>
    <row r="2779" spans="2:21" ht="17.25">
      <c r="B2779" s="156"/>
      <c r="C2779" s="156"/>
      <c r="D2779" s="157"/>
      <c r="E2779" s="155"/>
      <c r="F2779" s="151"/>
      <c r="G2779" s="152"/>
      <c r="H2779" s="153"/>
      <c r="I2779" s="154"/>
      <c r="J2779" s="154"/>
      <c r="K2779" s="30" t="str">
        <f>IF(H2779="","",IF($C$30="간이법","",FPR(H2779,I2779,J2779)))</f>
        <v/>
      </c>
      <c r="L2779" s="30" t="str">
        <f>IF(H2779="","",IF($C$30="상세법",FPV(H2779,K2779),IF(H2779="EI",4,IF(H2779="EO",5.2,IF(H2779="EQ",3.9,IF(H2779="ILF",7.5,IF(H2779="EIF",5.4)))))))</f>
        <v/>
      </c>
      <c r="M2779" s="30" t="str">
        <f t="shared" si="296"/>
        <v/>
      </c>
      <c r="N2779" s="134"/>
      <c r="O2779" s="29"/>
      <c r="P2779" s="37" t="str">
        <f t="shared" si="297"/>
        <v/>
      </c>
      <c r="Q2779" s="38" t="str">
        <f t="shared" si="298"/>
        <v/>
      </c>
      <c r="R2779" s="37" t="str">
        <f t="shared" si="299"/>
        <v/>
      </c>
      <c r="S2779" s="37" t="str">
        <f t="shared" si="300"/>
        <v/>
      </c>
      <c r="T2779" s="38" t="str">
        <f t="shared" si="301"/>
        <v/>
      </c>
      <c r="U2779" s="37" t="str">
        <f t="shared" si="302"/>
        <v/>
      </c>
    </row>
    <row r="2780" spans="2:21" ht="17.25">
      <c r="B2780" s="156"/>
      <c r="C2780" s="156"/>
      <c r="D2780" s="157"/>
      <c r="E2780" s="155"/>
      <c r="F2780" s="151"/>
      <c r="G2780" s="152"/>
      <c r="H2780" s="153"/>
      <c r="I2780" s="154"/>
      <c r="J2780" s="154"/>
      <c r="K2780" s="30" t="str">
        <f>IF(H2780="","",IF($C$30="간이법","",FPR(H2780,I2780,J2780)))</f>
        <v/>
      </c>
      <c r="L2780" s="30" t="str">
        <f>IF(H2780="","",IF($C$30="상세법",FPV(H2780,K2780),IF(H2780="EI",4,IF(H2780="EO",5.2,IF(H2780="EQ",3.9,IF(H2780="ILF",7.5,IF(H2780="EIF",5.4)))))))</f>
        <v/>
      </c>
      <c r="M2780" s="30" t="str">
        <f t="shared" si="296"/>
        <v/>
      </c>
      <c r="N2780" s="134"/>
      <c r="O2780" s="29"/>
      <c r="P2780" s="37" t="str">
        <f t="shared" si="297"/>
        <v/>
      </c>
      <c r="Q2780" s="38" t="str">
        <f t="shared" si="298"/>
        <v/>
      </c>
      <c r="R2780" s="37" t="str">
        <f t="shared" si="299"/>
        <v/>
      </c>
      <c r="S2780" s="37" t="str">
        <f t="shared" si="300"/>
        <v/>
      </c>
      <c r="T2780" s="38" t="str">
        <f t="shared" si="301"/>
        <v/>
      </c>
      <c r="U2780" s="37" t="str">
        <f t="shared" si="302"/>
        <v/>
      </c>
    </row>
    <row r="2781" spans="2:21" ht="17.25">
      <c r="B2781" s="156"/>
      <c r="C2781" s="156"/>
      <c r="D2781" s="157"/>
      <c r="E2781" s="155"/>
      <c r="F2781" s="151"/>
      <c r="G2781" s="152"/>
      <c r="H2781" s="153"/>
      <c r="I2781" s="154"/>
      <c r="J2781" s="154"/>
      <c r="K2781" s="30" t="str">
        <f>IF(H2781="","",IF($C$30="간이법","",FPR(H2781,I2781,J2781)))</f>
        <v/>
      </c>
      <c r="L2781" s="30" t="str">
        <f>IF(H2781="","",IF($C$30="상세법",FPV(H2781,K2781),IF(H2781="EI",4,IF(H2781="EO",5.2,IF(H2781="EQ",3.9,IF(H2781="ILF",7.5,IF(H2781="EIF",5.4)))))))</f>
        <v/>
      </c>
      <c r="M2781" s="30" t="str">
        <f t="shared" si="296"/>
        <v/>
      </c>
      <c r="N2781" s="134"/>
      <c r="O2781" s="29"/>
      <c r="P2781" s="37" t="str">
        <f t="shared" si="297"/>
        <v/>
      </c>
      <c r="Q2781" s="38" t="str">
        <f t="shared" si="298"/>
        <v/>
      </c>
      <c r="R2781" s="37" t="str">
        <f t="shared" si="299"/>
        <v/>
      </c>
      <c r="S2781" s="37" t="str">
        <f t="shared" si="300"/>
        <v/>
      </c>
      <c r="T2781" s="38" t="str">
        <f t="shared" si="301"/>
        <v/>
      </c>
      <c r="U2781" s="37" t="str">
        <f t="shared" si="302"/>
        <v/>
      </c>
    </row>
    <row r="2782" spans="2:21" ht="17.25">
      <c r="B2782" s="156"/>
      <c r="C2782" s="156"/>
      <c r="D2782" s="157"/>
      <c r="E2782" s="155"/>
      <c r="F2782" s="151"/>
      <c r="G2782" s="152"/>
      <c r="H2782" s="153"/>
      <c r="I2782" s="154"/>
      <c r="J2782" s="154"/>
      <c r="K2782" s="30" t="str">
        <f>IF(H2782="","",IF($C$30="간이법","",FPR(H2782,I2782,J2782)))</f>
        <v/>
      </c>
      <c r="L2782" s="30" t="str">
        <f>IF(H2782="","",IF($C$30="상세법",FPV(H2782,K2782),IF(H2782="EI",4,IF(H2782="EO",5.2,IF(H2782="EQ",3.9,IF(H2782="ILF",7.5,IF(H2782="EIF",5.4)))))))</f>
        <v/>
      </c>
      <c r="M2782" s="30" t="str">
        <f t="shared" si="296"/>
        <v/>
      </c>
      <c r="N2782" s="134"/>
      <c r="O2782" s="29"/>
      <c r="P2782" s="37" t="str">
        <f t="shared" si="297"/>
        <v/>
      </c>
      <c r="Q2782" s="38" t="str">
        <f t="shared" si="298"/>
        <v/>
      </c>
      <c r="R2782" s="37" t="str">
        <f t="shared" si="299"/>
        <v/>
      </c>
      <c r="S2782" s="37" t="str">
        <f t="shared" si="300"/>
        <v/>
      </c>
      <c r="T2782" s="38" t="str">
        <f t="shared" si="301"/>
        <v/>
      </c>
      <c r="U2782" s="37" t="str">
        <f t="shared" si="302"/>
        <v/>
      </c>
    </row>
    <row r="2783" spans="2:21" ht="17.25">
      <c r="B2783" s="156"/>
      <c r="C2783" s="156"/>
      <c r="D2783" s="157"/>
      <c r="E2783" s="155"/>
      <c r="F2783" s="151"/>
      <c r="G2783" s="152"/>
      <c r="H2783" s="153"/>
      <c r="I2783" s="154"/>
      <c r="J2783" s="154"/>
      <c r="K2783" s="30" t="str">
        <f>IF(H2783="","",IF($C$30="간이법","",FPR(H2783,I2783,J2783)))</f>
        <v/>
      </c>
      <c r="L2783" s="30" t="str">
        <f>IF(H2783="","",IF($C$30="상세법",FPV(H2783,K2783),IF(H2783="EI",4,IF(H2783="EO",5.2,IF(H2783="EQ",3.9,IF(H2783="ILF",7.5,IF(H2783="EIF",5.4)))))))</f>
        <v/>
      </c>
      <c r="M2783" s="30" t="str">
        <f t="shared" si="296"/>
        <v/>
      </c>
      <c r="N2783" s="134"/>
      <c r="O2783" s="29"/>
      <c r="P2783" s="37" t="str">
        <f t="shared" si="297"/>
        <v/>
      </c>
      <c r="Q2783" s="38" t="str">
        <f t="shared" si="298"/>
        <v/>
      </c>
      <c r="R2783" s="37" t="str">
        <f t="shared" si="299"/>
        <v/>
      </c>
      <c r="S2783" s="37" t="str">
        <f t="shared" si="300"/>
        <v/>
      </c>
      <c r="T2783" s="38" t="str">
        <f t="shared" si="301"/>
        <v/>
      </c>
      <c r="U2783" s="37" t="str">
        <f t="shared" si="302"/>
        <v/>
      </c>
    </row>
    <row r="2784" spans="2:21" ht="17.25">
      <c r="B2784" s="156"/>
      <c r="C2784" s="156"/>
      <c r="D2784" s="157"/>
      <c r="E2784" s="155"/>
      <c r="F2784" s="151"/>
      <c r="G2784" s="152"/>
      <c r="H2784" s="153"/>
      <c r="I2784" s="154"/>
      <c r="J2784" s="154"/>
      <c r="K2784" s="30" t="str">
        <f>IF(H2784="","",IF($C$30="간이법","",FPR(H2784,I2784,J2784)))</f>
        <v/>
      </c>
      <c r="L2784" s="30" t="str">
        <f>IF(H2784="","",IF($C$30="상세법",FPV(H2784,K2784),IF(H2784="EI",4,IF(H2784="EO",5.2,IF(H2784="EQ",3.9,IF(H2784="ILF",7.5,IF(H2784="EIF",5.4)))))))</f>
        <v/>
      </c>
      <c r="M2784" s="30" t="str">
        <f t="shared" si="296"/>
        <v/>
      </c>
      <c r="N2784" s="134"/>
      <c r="O2784" s="29"/>
      <c r="P2784" s="37" t="str">
        <f t="shared" si="297"/>
        <v/>
      </c>
      <c r="Q2784" s="38" t="str">
        <f t="shared" si="298"/>
        <v/>
      </c>
      <c r="R2784" s="37" t="str">
        <f t="shared" si="299"/>
        <v/>
      </c>
      <c r="S2784" s="37" t="str">
        <f t="shared" si="300"/>
        <v/>
      </c>
      <c r="T2784" s="38" t="str">
        <f t="shared" si="301"/>
        <v/>
      </c>
      <c r="U2784" s="37" t="str">
        <f t="shared" si="302"/>
        <v/>
      </c>
    </row>
    <row r="2785" spans="2:21" ht="17.25">
      <c r="B2785" s="156"/>
      <c r="C2785" s="156"/>
      <c r="D2785" s="157"/>
      <c r="E2785" s="155"/>
      <c r="F2785" s="151"/>
      <c r="G2785" s="152"/>
      <c r="H2785" s="153"/>
      <c r="I2785" s="154"/>
      <c r="J2785" s="154"/>
      <c r="K2785" s="30" t="str">
        <f>IF(H2785="","",IF($C$30="간이법","",FPR(H2785,I2785,J2785)))</f>
        <v/>
      </c>
      <c r="L2785" s="30" t="str">
        <f>IF(H2785="","",IF($C$30="상세법",FPV(H2785,K2785),IF(H2785="EI",4,IF(H2785="EO",5.2,IF(H2785="EQ",3.9,IF(H2785="ILF",7.5,IF(H2785="EIF",5.4)))))))</f>
        <v/>
      </c>
      <c r="M2785" s="30" t="str">
        <f t="shared" si="296"/>
        <v/>
      </c>
      <c r="N2785" s="134"/>
      <c r="O2785" s="29"/>
      <c r="P2785" s="37" t="str">
        <f t="shared" si="297"/>
        <v/>
      </c>
      <c r="Q2785" s="38" t="str">
        <f t="shared" si="298"/>
        <v/>
      </c>
      <c r="R2785" s="37" t="str">
        <f t="shared" si="299"/>
        <v/>
      </c>
      <c r="S2785" s="37" t="str">
        <f t="shared" si="300"/>
        <v/>
      </c>
      <c r="T2785" s="38" t="str">
        <f t="shared" si="301"/>
        <v/>
      </c>
      <c r="U2785" s="37" t="str">
        <f t="shared" si="302"/>
        <v/>
      </c>
    </row>
    <row r="2786" spans="2:21" ht="17.25">
      <c r="B2786" s="156"/>
      <c r="C2786" s="156"/>
      <c r="D2786" s="157"/>
      <c r="E2786" s="155"/>
      <c r="F2786" s="151"/>
      <c r="G2786" s="152"/>
      <c r="H2786" s="153"/>
      <c r="I2786" s="154"/>
      <c r="J2786" s="154"/>
      <c r="K2786" s="30" t="str">
        <f>IF(H2786="","",IF($C$30="간이법","",FPR(H2786,I2786,J2786)))</f>
        <v/>
      </c>
      <c r="L2786" s="30" t="str">
        <f>IF(H2786="","",IF($C$30="상세법",FPV(H2786,K2786),IF(H2786="EI",4,IF(H2786="EO",5.2,IF(H2786="EQ",3.9,IF(H2786="ILF",7.5,IF(H2786="EIF",5.4)))))))</f>
        <v/>
      </c>
      <c r="M2786" s="30" t="str">
        <f t="shared" si="296"/>
        <v/>
      </c>
      <c r="N2786" s="134"/>
      <c r="O2786" s="29"/>
      <c r="P2786" s="37" t="str">
        <f t="shared" si="297"/>
        <v/>
      </c>
      <c r="Q2786" s="38" t="str">
        <f t="shared" si="298"/>
        <v/>
      </c>
      <c r="R2786" s="37" t="str">
        <f t="shared" si="299"/>
        <v/>
      </c>
      <c r="S2786" s="37" t="str">
        <f t="shared" si="300"/>
        <v/>
      </c>
      <c r="T2786" s="38" t="str">
        <f t="shared" si="301"/>
        <v/>
      </c>
      <c r="U2786" s="37" t="str">
        <f t="shared" si="302"/>
        <v/>
      </c>
    </row>
    <row r="2787" spans="2:21" ht="17.25">
      <c r="B2787" s="156"/>
      <c r="C2787" s="156"/>
      <c r="D2787" s="157"/>
      <c r="E2787" s="155"/>
      <c r="F2787" s="151"/>
      <c r="G2787" s="152"/>
      <c r="H2787" s="153"/>
      <c r="I2787" s="154"/>
      <c r="J2787" s="154"/>
      <c r="K2787" s="30" t="str">
        <f>IF(H2787="","",IF($C$30="간이법","",FPR(H2787,I2787,J2787)))</f>
        <v/>
      </c>
      <c r="L2787" s="30" t="str">
        <f>IF(H2787="","",IF($C$30="상세법",FPV(H2787,K2787),IF(H2787="EI",4,IF(H2787="EO",5.2,IF(H2787="EQ",3.9,IF(H2787="ILF",7.5,IF(H2787="EIF",5.4)))))))</f>
        <v/>
      </c>
      <c r="M2787" s="30" t="str">
        <f t="shared" si="296"/>
        <v/>
      </c>
      <c r="N2787" s="134"/>
      <c r="O2787" s="29"/>
      <c r="P2787" s="37" t="str">
        <f t="shared" si="297"/>
        <v/>
      </c>
      <c r="Q2787" s="38" t="str">
        <f t="shared" si="298"/>
        <v/>
      </c>
      <c r="R2787" s="37" t="str">
        <f t="shared" si="299"/>
        <v/>
      </c>
      <c r="S2787" s="37" t="str">
        <f t="shared" si="300"/>
        <v/>
      </c>
      <c r="T2787" s="38" t="str">
        <f t="shared" si="301"/>
        <v/>
      </c>
      <c r="U2787" s="37" t="str">
        <f t="shared" si="302"/>
        <v/>
      </c>
    </row>
    <row r="2788" spans="2:21" ht="17.25">
      <c r="B2788" s="156"/>
      <c r="C2788" s="156"/>
      <c r="D2788" s="157"/>
      <c r="E2788" s="155"/>
      <c r="F2788" s="151"/>
      <c r="G2788" s="152"/>
      <c r="H2788" s="153"/>
      <c r="I2788" s="154"/>
      <c r="J2788" s="154"/>
      <c r="K2788" s="30" t="str">
        <f>IF(H2788="","",IF($C$30="간이법","",FPR(H2788,I2788,J2788)))</f>
        <v/>
      </c>
      <c r="L2788" s="30" t="str">
        <f>IF(H2788="","",IF($C$30="상세법",FPV(H2788,K2788),IF(H2788="EI",4,IF(H2788="EO",5.2,IF(H2788="EQ",3.9,IF(H2788="ILF",7.5,IF(H2788="EIF",5.4)))))))</f>
        <v/>
      </c>
      <c r="M2788" s="30" t="str">
        <f t="shared" si="296"/>
        <v/>
      </c>
      <c r="N2788" s="134"/>
      <c r="O2788" s="29"/>
      <c r="P2788" s="37" t="str">
        <f t="shared" si="297"/>
        <v/>
      </c>
      <c r="Q2788" s="38" t="str">
        <f t="shared" si="298"/>
        <v/>
      </c>
      <c r="R2788" s="37" t="str">
        <f t="shared" si="299"/>
        <v/>
      </c>
      <c r="S2788" s="37" t="str">
        <f t="shared" si="300"/>
        <v/>
      </c>
      <c r="T2788" s="38" t="str">
        <f t="shared" si="301"/>
        <v/>
      </c>
      <c r="U2788" s="37" t="str">
        <f t="shared" si="302"/>
        <v/>
      </c>
    </row>
    <row r="2789" spans="2:21" ht="17.25">
      <c r="B2789" s="156"/>
      <c r="C2789" s="156"/>
      <c r="D2789" s="157"/>
      <c r="E2789" s="155"/>
      <c r="F2789" s="151"/>
      <c r="G2789" s="152"/>
      <c r="H2789" s="153"/>
      <c r="I2789" s="154"/>
      <c r="J2789" s="154"/>
      <c r="K2789" s="30" t="str">
        <f>IF(H2789="","",IF($C$30="간이법","",FPR(H2789,I2789,J2789)))</f>
        <v/>
      </c>
      <c r="L2789" s="30" t="str">
        <f>IF(H2789="","",IF($C$30="상세법",FPV(H2789,K2789),IF(H2789="EI",4,IF(H2789="EO",5.2,IF(H2789="EQ",3.9,IF(H2789="ILF",7.5,IF(H2789="EIF",5.4)))))))</f>
        <v/>
      </c>
      <c r="M2789" s="30" t="str">
        <f t="shared" si="296"/>
        <v/>
      </c>
      <c r="N2789" s="134"/>
      <c r="O2789" s="29"/>
      <c r="P2789" s="37" t="str">
        <f t="shared" si="297"/>
        <v/>
      </c>
      <c r="Q2789" s="38" t="str">
        <f t="shared" si="298"/>
        <v/>
      </c>
      <c r="R2789" s="37" t="str">
        <f t="shared" si="299"/>
        <v/>
      </c>
      <c r="S2789" s="37" t="str">
        <f t="shared" si="300"/>
        <v/>
      </c>
      <c r="T2789" s="38" t="str">
        <f t="shared" si="301"/>
        <v/>
      </c>
      <c r="U2789" s="37" t="str">
        <f t="shared" si="302"/>
        <v/>
      </c>
    </row>
    <row r="2790" spans="2:21" ht="17.25">
      <c r="B2790" s="156"/>
      <c r="C2790" s="156"/>
      <c r="D2790" s="157"/>
      <c r="E2790" s="155"/>
      <c r="F2790" s="151"/>
      <c r="G2790" s="152"/>
      <c r="H2790" s="153"/>
      <c r="I2790" s="154"/>
      <c r="J2790" s="154"/>
      <c r="K2790" s="30" t="str">
        <f>IF(H2790="","",IF($C$30="간이법","",FPR(H2790,I2790,J2790)))</f>
        <v/>
      </c>
      <c r="L2790" s="30" t="str">
        <f>IF(H2790="","",IF($C$30="상세법",FPV(H2790,K2790),IF(H2790="EI",4,IF(H2790="EO",5.2,IF(H2790="EQ",3.9,IF(H2790="ILF",7.5,IF(H2790="EIF",5.4)))))))</f>
        <v/>
      </c>
      <c r="M2790" s="30" t="str">
        <f t="shared" si="296"/>
        <v/>
      </c>
      <c r="N2790" s="134"/>
      <c r="O2790" s="29"/>
      <c r="P2790" s="37" t="str">
        <f t="shared" si="297"/>
        <v/>
      </c>
      <c r="Q2790" s="38" t="str">
        <f t="shared" si="298"/>
        <v/>
      </c>
      <c r="R2790" s="37" t="str">
        <f t="shared" si="299"/>
        <v/>
      </c>
      <c r="S2790" s="37" t="str">
        <f t="shared" si="300"/>
        <v/>
      </c>
      <c r="T2790" s="38" t="str">
        <f t="shared" si="301"/>
        <v/>
      </c>
      <c r="U2790" s="37" t="str">
        <f t="shared" si="302"/>
        <v/>
      </c>
    </row>
    <row r="2791" spans="2:21" ht="17.25">
      <c r="B2791" s="156"/>
      <c r="C2791" s="156"/>
      <c r="D2791" s="157"/>
      <c r="E2791" s="155"/>
      <c r="F2791" s="151"/>
      <c r="G2791" s="152"/>
      <c r="H2791" s="153"/>
      <c r="I2791" s="154"/>
      <c r="J2791" s="154"/>
      <c r="K2791" s="30" t="str">
        <f>IF(H2791="","",IF($C$30="간이법","",FPR(H2791,I2791,J2791)))</f>
        <v/>
      </c>
      <c r="L2791" s="30" t="str">
        <f>IF(H2791="","",IF($C$30="상세법",FPV(H2791,K2791),IF(H2791="EI",4,IF(H2791="EO",5.2,IF(H2791="EQ",3.9,IF(H2791="ILF",7.5,IF(H2791="EIF",5.4)))))))</f>
        <v/>
      </c>
      <c r="M2791" s="30" t="str">
        <f t="shared" si="296"/>
        <v/>
      </c>
      <c r="N2791" s="134"/>
      <c r="O2791" s="29"/>
      <c r="P2791" s="37" t="str">
        <f t="shared" si="297"/>
        <v/>
      </c>
      <c r="Q2791" s="38" t="str">
        <f t="shared" si="298"/>
        <v/>
      </c>
      <c r="R2791" s="37" t="str">
        <f t="shared" si="299"/>
        <v/>
      </c>
      <c r="S2791" s="37" t="str">
        <f t="shared" si="300"/>
        <v/>
      </c>
      <c r="T2791" s="38" t="str">
        <f t="shared" si="301"/>
        <v/>
      </c>
      <c r="U2791" s="37" t="str">
        <f t="shared" si="302"/>
        <v/>
      </c>
    </row>
    <row r="2792" spans="2:21" ht="17.25">
      <c r="B2792" s="156"/>
      <c r="C2792" s="156"/>
      <c r="D2792" s="157"/>
      <c r="E2792" s="155"/>
      <c r="F2792" s="151"/>
      <c r="G2792" s="152"/>
      <c r="H2792" s="153"/>
      <c r="I2792" s="154"/>
      <c r="J2792" s="154"/>
      <c r="K2792" s="30" t="str">
        <f>IF(H2792="","",IF($C$30="간이법","",FPR(H2792,I2792,J2792)))</f>
        <v/>
      </c>
      <c r="L2792" s="30" t="str">
        <f>IF(H2792="","",IF($C$30="상세법",FPV(H2792,K2792),IF(H2792="EI",4,IF(H2792="EO",5.2,IF(H2792="EQ",3.9,IF(H2792="ILF",7.5,IF(H2792="EIF",5.4)))))))</f>
        <v/>
      </c>
      <c r="M2792" s="30" t="str">
        <f t="shared" si="296"/>
        <v/>
      </c>
      <c r="N2792" s="134"/>
      <c r="O2792" s="29"/>
      <c r="P2792" s="37" t="str">
        <f t="shared" si="297"/>
        <v/>
      </c>
      <c r="Q2792" s="38" t="str">
        <f t="shared" si="298"/>
        <v/>
      </c>
      <c r="R2792" s="37" t="str">
        <f t="shared" si="299"/>
        <v/>
      </c>
      <c r="S2792" s="37" t="str">
        <f t="shared" si="300"/>
        <v/>
      </c>
      <c r="T2792" s="38" t="str">
        <f t="shared" si="301"/>
        <v/>
      </c>
      <c r="U2792" s="37" t="str">
        <f t="shared" si="302"/>
        <v/>
      </c>
    </row>
    <row r="2793" spans="2:21" ht="17.25">
      <c r="B2793" s="156"/>
      <c r="C2793" s="156"/>
      <c r="D2793" s="157"/>
      <c r="E2793" s="155"/>
      <c r="F2793" s="151"/>
      <c r="G2793" s="152"/>
      <c r="H2793" s="153"/>
      <c r="I2793" s="154"/>
      <c r="J2793" s="154"/>
      <c r="K2793" s="30" t="str">
        <f>IF(H2793="","",IF($C$30="간이법","",FPR(H2793,I2793,J2793)))</f>
        <v/>
      </c>
      <c r="L2793" s="30" t="str">
        <f>IF(H2793="","",IF($C$30="상세법",FPV(H2793,K2793),IF(H2793="EI",4,IF(H2793="EO",5.2,IF(H2793="EQ",3.9,IF(H2793="ILF",7.5,IF(H2793="EIF",5.4)))))))</f>
        <v/>
      </c>
      <c r="M2793" s="30" t="str">
        <f t="shared" si="296"/>
        <v/>
      </c>
      <c r="N2793" s="134"/>
      <c r="O2793" s="29"/>
      <c r="P2793" s="37" t="str">
        <f t="shared" si="297"/>
        <v/>
      </c>
      <c r="Q2793" s="38" t="str">
        <f t="shared" si="298"/>
        <v/>
      </c>
      <c r="R2793" s="37" t="str">
        <f t="shared" si="299"/>
        <v/>
      </c>
      <c r="S2793" s="37" t="str">
        <f t="shared" si="300"/>
        <v/>
      </c>
      <c r="T2793" s="38" t="str">
        <f t="shared" si="301"/>
        <v/>
      </c>
      <c r="U2793" s="37" t="str">
        <f t="shared" si="302"/>
        <v/>
      </c>
    </row>
    <row r="2794" spans="2:21" ht="17.25">
      <c r="B2794" s="156"/>
      <c r="C2794" s="156"/>
      <c r="D2794" s="157"/>
      <c r="E2794" s="155"/>
      <c r="F2794" s="151"/>
      <c r="G2794" s="152"/>
      <c r="H2794" s="153"/>
      <c r="I2794" s="154"/>
      <c r="J2794" s="154"/>
      <c r="K2794" s="30" t="str">
        <f>IF(H2794="","",IF($C$30="간이법","",FPR(H2794,I2794,J2794)))</f>
        <v/>
      </c>
      <c r="L2794" s="30" t="str">
        <f>IF(H2794="","",IF($C$30="상세법",FPV(H2794,K2794),IF(H2794="EI",4,IF(H2794="EO",5.2,IF(H2794="EQ",3.9,IF(H2794="ILF",7.5,IF(H2794="EIF",5.4)))))))</f>
        <v/>
      </c>
      <c r="M2794" s="30" t="str">
        <f t="shared" si="296"/>
        <v/>
      </c>
      <c r="N2794" s="134"/>
      <c r="O2794" s="29"/>
      <c r="P2794" s="37" t="str">
        <f t="shared" si="297"/>
        <v/>
      </c>
      <c r="Q2794" s="38" t="str">
        <f t="shared" si="298"/>
        <v/>
      </c>
      <c r="R2794" s="37" t="str">
        <f t="shared" si="299"/>
        <v/>
      </c>
      <c r="S2794" s="37" t="str">
        <f t="shared" si="300"/>
        <v/>
      </c>
      <c r="T2794" s="38" t="str">
        <f t="shared" si="301"/>
        <v/>
      </c>
      <c r="U2794" s="37" t="str">
        <f t="shared" si="302"/>
        <v/>
      </c>
    </row>
    <row r="2795" spans="2:21" ht="17.25">
      <c r="B2795" s="156"/>
      <c r="C2795" s="156"/>
      <c r="D2795" s="157"/>
      <c r="E2795" s="155"/>
      <c r="F2795" s="151"/>
      <c r="G2795" s="152"/>
      <c r="H2795" s="153"/>
      <c r="I2795" s="154"/>
      <c r="J2795" s="154"/>
      <c r="K2795" s="30" t="str">
        <f>IF(H2795="","",IF($C$30="간이법","",FPR(H2795,I2795,J2795)))</f>
        <v/>
      </c>
      <c r="L2795" s="30" t="str">
        <f>IF(H2795="","",IF($C$30="상세법",FPV(H2795,K2795),IF(H2795="EI",4,IF(H2795="EO",5.2,IF(H2795="EQ",3.9,IF(H2795="ILF",7.5,IF(H2795="EIF",5.4)))))))</f>
        <v/>
      </c>
      <c r="M2795" s="30" t="str">
        <f t="shared" si="296"/>
        <v/>
      </c>
      <c r="N2795" s="134"/>
      <c r="O2795" s="29"/>
      <c r="P2795" s="37" t="str">
        <f t="shared" si="297"/>
        <v/>
      </c>
      <c r="Q2795" s="38" t="str">
        <f t="shared" si="298"/>
        <v/>
      </c>
      <c r="R2795" s="37" t="str">
        <f t="shared" si="299"/>
        <v/>
      </c>
      <c r="S2795" s="37" t="str">
        <f t="shared" si="300"/>
        <v/>
      </c>
      <c r="T2795" s="38" t="str">
        <f t="shared" si="301"/>
        <v/>
      </c>
      <c r="U2795" s="37" t="str">
        <f t="shared" si="302"/>
        <v/>
      </c>
    </row>
    <row r="2796" spans="2:21" ht="17.25">
      <c r="B2796" s="156"/>
      <c r="C2796" s="156"/>
      <c r="D2796" s="157"/>
      <c r="E2796" s="155"/>
      <c r="F2796" s="151"/>
      <c r="G2796" s="152"/>
      <c r="H2796" s="153"/>
      <c r="I2796" s="154"/>
      <c r="J2796" s="154"/>
      <c r="K2796" s="30" t="str">
        <f>IF(H2796="","",IF($C$30="간이법","",FPR(H2796,I2796,J2796)))</f>
        <v/>
      </c>
      <c r="L2796" s="30" t="str">
        <f>IF(H2796="","",IF($C$30="상세법",FPV(H2796,K2796),IF(H2796="EI",4,IF(H2796="EO",5.2,IF(H2796="EQ",3.9,IF(H2796="ILF",7.5,IF(H2796="EIF",5.4)))))))</f>
        <v/>
      </c>
      <c r="M2796" s="30" t="str">
        <f t="shared" si="296"/>
        <v/>
      </c>
      <c r="N2796" s="134"/>
      <c r="O2796" s="29"/>
      <c r="P2796" s="37" t="str">
        <f t="shared" si="297"/>
        <v/>
      </c>
      <c r="Q2796" s="38" t="str">
        <f t="shared" si="298"/>
        <v/>
      </c>
      <c r="R2796" s="37" t="str">
        <f t="shared" si="299"/>
        <v/>
      </c>
      <c r="S2796" s="37" t="str">
        <f t="shared" si="300"/>
        <v/>
      </c>
      <c r="T2796" s="38" t="str">
        <f t="shared" si="301"/>
        <v/>
      </c>
      <c r="U2796" s="37" t="str">
        <f t="shared" si="302"/>
        <v/>
      </c>
    </row>
    <row r="2797" spans="2:21" ht="17.25">
      <c r="B2797" s="156"/>
      <c r="C2797" s="156"/>
      <c r="D2797" s="157"/>
      <c r="E2797" s="155"/>
      <c r="F2797" s="151"/>
      <c r="G2797" s="152"/>
      <c r="H2797" s="153"/>
      <c r="I2797" s="154"/>
      <c r="J2797" s="154"/>
      <c r="K2797" s="30" t="str">
        <f>IF(H2797="","",IF($C$30="간이법","",FPR(H2797,I2797,J2797)))</f>
        <v/>
      </c>
      <c r="L2797" s="30" t="str">
        <f>IF(H2797="","",IF($C$30="상세법",FPV(H2797,K2797),IF(H2797="EI",4,IF(H2797="EO",5.2,IF(H2797="EQ",3.9,IF(H2797="ILF",7.5,IF(H2797="EIF",5.4)))))))</f>
        <v/>
      </c>
      <c r="M2797" s="30" t="str">
        <f t="shared" si="296"/>
        <v/>
      </c>
      <c r="N2797" s="134"/>
      <c r="O2797" s="29"/>
      <c r="P2797" s="37" t="str">
        <f t="shared" si="297"/>
        <v/>
      </c>
      <c r="Q2797" s="38" t="str">
        <f t="shared" si="298"/>
        <v/>
      </c>
      <c r="R2797" s="37" t="str">
        <f t="shared" si="299"/>
        <v/>
      </c>
      <c r="S2797" s="37" t="str">
        <f t="shared" si="300"/>
        <v/>
      </c>
      <c r="T2797" s="38" t="str">
        <f t="shared" si="301"/>
        <v/>
      </c>
      <c r="U2797" s="37" t="str">
        <f t="shared" si="302"/>
        <v/>
      </c>
    </row>
    <row r="2798" spans="2:21" ht="17.25">
      <c r="B2798" s="156"/>
      <c r="C2798" s="156"/>
      <c r="D2798" s="157"/>
      <c r="E2798" s="155"/>
      <c r="F2798" s="151"/>
      <c r="G2798" s="152"/>
      <c r="H2798" s="153"/>
      <c r="I2798" s="154"/>
      <c r="J2798" s="154"/>
      <c r="K2798" s="30" t="str">
        <f>IF(H2798="","",IF($C$30="간이법","",FPR(H2798,I2798,J2798)))</f>
        <v/>
      </c>
      <c r="L2798" s="30" t="str">
        <f>IF(H2798="","",IF($C$30="상세법",FPV(H2798,K2798),IF(H2798="EI",4,IF(H2798="EO",5.2,IF(H2798="EQ",3.9,IF(H2798="ILF",7.5,IF(H2798="EIF",5.4)))))))</f>
        <v/>
      </c>
      <c r="M2798" s="30" t="str">
        <f t="shared" si="296"/>
        <v/>
      </c>
      <c r="N2798" s="134"/>
      <c r="O2798" s="29"/>
      <c r="P2798" s="37" t="str">
        <f t="shared" si="297"/>
        <v/>
      </c>
      <c r="Q2798" s="38" t="str">
        <f t="shared" si="298"/>
        <v/>
      </c>
      <c r="R2798" s="37" t="str">
        <f t="shared" si="299"/>
        <v/>
      </c>
      <c r="S2798" s="37" t="str">
        <f t="shared" si="300"/>
        <v/>
      </c>
      <c r="T2798" s="38" t="str">
        <f t="shared" si="301"/>
        <v/>
      </c>
      <c r="U2798" s="37" t="str">
        <f t="shared" si="302"/>
        <v/>
      </c>
    </row>
    <row r="2799" spans="2:21" ht="17.25">
      <c r="B2799" s="156"/>
      <c r="C2799" s="156"/>
      <c r="D2799" s="157"/>
      <c r="E2799" s="155"/>
      <c r="F2799" s="151"/>
      <c r="G2799" s="152"/>
      <c r="H2799" s="153"/>
      <c r="I2799" s="154"/>
      <c r="J2799" s="154"/>
      <c r="K2799" s="30" t="str">
        <f>IF(H2799="","",IF($C$30="간이법","",FPR(H2799,I2799,J2799)))</f>
        <v/>
      </c>
      <c r="L2799" s="30" t="str">
        <f>IF(H2799="","",IF($C$30="상세법",FPV(H2799,K2799),IF(H2799="EI",4,IF(H2799="EO",5.2,IF(H2799="EQ",3.9,IF(H2799="ILF",7.5,IF(H2799="EIF",5.4)))))))</f>
        <v/>
      </c>
      <c r="M2799" s="30" t="str">
        <f t="shared" si="296"/>
        <v/>
      </c>
      <c r="N2799" s="134"/>
      <c r="O2799" s="29"/>
      <c r="P2799" s="37" t="str">
        <f t="shared" si="297"/>
        <v/>
      </c>
      <c r="Q2799" s="38" t="str">
        <f t="shared" si="298"/>
        <v/>
      </c>
      <c r="R2799" s="37" t="str">
        <f t="shared" si="299"/>
        <v/>
      </c>
      <c r="S2799" s="37" t="str">
        <f t="shared" si="300"/>
        <v/>
      </c>
      <c r="T2799" s="38" t="str">
        <f t="shared" si="301"/>
        <v/>
      </c>
      <c r="U2799" s="37" t="str">
        <f t="shared" si="302"/>
        <v/>
      </c>
    </row>
    <row r="2800" spans="2:21" ht="17.25">
      <c r="B2800" s="156"/>
      <c r="C2800" s="156"/>
      <c r="D2800" s="157"/>
      <c r="E2800" s="155"/>
      <c r="F2800" s="151"/>
      <c r="G2800" s="152"/>
      <c r="H2800" s="153"/>
      <c r="I2800" s="154"/>
      <c r="J2800" s="154"/>
      <c r="K2800" s="30" t="str">
        <f>IF(H2800="","",IF($C$30="간이법","",FPR(H2800,I2800,J2800)))</f>
        <v/>
      </c>
      <c r="L2800" s="30" t="str">
        <f>IF(H2800="","",IF($C$30="상세법",FPV(H2800,K2800),IF(H2800="EI",4,IF(H2800="EO",5.2,IF(H2800="EQ",3.9,IF(H2800="ILF",7.5,IF(H2800="EIF",5.4)))))))</f>
        <v/>
      </c>
      <c r="M2800" s="30" t="str">
        <f t="shared" si="296"/>
        <v/>
      </c>
      <c r="N2800" s="134"/>
      <c r="O2800" s="29"/>
      <c r="P2800" s="37" t="str">
        <f t="shared" si="297"/>
        <v/>
      </c>
      <c r="Q2800" s="38" t="str">
        <f t="shared" si="298"/>
        <v/>
      </c>
      <c r="R2800" s="37" t="str">
        <f t="shared" si="299"/>
        <v/>
      </c>
      <c r="S2800" s="37" t="str">
        <f t="shared" si="300"/>
        <v/>
      </c>
      <c r="T2800" s="38" t="str">
        <f t="shared" si="301"/>
        <v/>
      </c>
      <c r="U2800" s="37" t="str">
        <f t="shared" si="302"/>
        <v/>
      </c>
    </row>
    <row r="2801" spans="2:21" ht="17.25">
      <c r="B2801" s="156"/>
      <c r="C2801" s="156"/>
      <c r="D2801" s="157"/>
      <c r="E2801" s="155"/>
      <c r="F2801" s="151"/>
      <c r="G2801" s="152"/>
      <c r="H2801" s="153"/>
      <c r="I2801" s="154"/>
      <c r="J2801" s="154"/>
      <c r="K2801" s="30" t="str">
        <f>IF(H2801="","",IF($C$30="간이법","",FPR(H2801,I2801,J2801)))</f>
        <v/>
      </c>
      <c r="L2801" s="30" t="str">
        <f>IF(H2801="","",IF($C$30="상세법",FPV(H2801,K2801),IF(H2801="EI",4,IF(H2801="EO",5.2,IF(H2801="EQ",3.9,IF(H2801="ILF",7.5,IF(H2801="EIF",5.4)))))))</f>
        <v/>
      </c>
      <c r="M2801" s="30" t="str">
        <f t="shared" si="296"/>
        <v/>
      </c>
      <c r="N2801" s="134"/>
      <c r="O2801" s="29"/>
      <c r="P2801" s="37" t="str">
        <f t="shared" si="297"/>
        <v/>
      </c>
      <c r="Q2801" s="38" t="str">
        <f t="shared" si="298"/>
        <v/>
      </c>
      <c r="R2801" s="37" t="str">
        <f t="shared" si="299"/>
        <v/>
      </c>
      <c r="S2801" s="37" t="str">
        <f t="shared" si="300"/>
        <v/>
      </c>
      <c r="T2801" s="38" t="str">
        <f t="shared" si="301"/>
        <v/>
      </c>
      <c r="U2801" s="37" t="str">
        <f t="shared" si="302"/>
        <v/>
      </c>
    </row>
    <row r="2802" spans="2:21" ht="17.25">
      <c r="B2802" s="156"/>
      <c r="C2802" s="156"/>
      <c r="D2802" s="157"/>
      <c r="E2802" s="155"/>
      <c r="F2802" s="151"/>
      <c r="G2802" s="152"/>
      <c r="H2802" s="153"/>
      <c r="I2802" s="154"/>
      <c r="J2802" s="154"/>
      <c r="K2802" s="30" t="str">
        <f>IF(H2802="","",IF($C$30="간이법","",FPR(H2802,I2802,J2802)))</f>
        <v/>
      </c>
      <c r="L2802" s="30" t="str">
        <f>IF(H2802="","",IF($C$30="상세법",FPV(H2802,K2802),IF(H2802="EI",4,IF(H2802="EO",5.2,IF(H2802="EQ",3.9,IF(H2802="ILF",7.5,IF(H2802="EIF",5.4)))))))</f>
        <v/>
      </c>
      <c r="M2802" s="30" t="str">
        <f t="shared" si="296"/>
        <v/>
      </c>
      <c r="N2802" s="134"/>
      <c r="O2802" s="29"/>
      <c r="P2802" s="37" t="str">
        <f t="shared" si="297"/>
        <v/>
      </c>
      <c r="Q2802" s="38" t="str">
        <f t="shared" si="298"/>
        <v/>
      </c>
      <c r="R2802" s="37" t="str">
        <f t="shared" si="299"/>
        <v/>
      </c>
      <c r="S2802" s="37" t="str">
        <f t="shared" si="300"/>
        <v/>
      </c>
      <c r="T2802" s="38" t="str">
        <f t="shared" si="301"/>
        <v/>
      </c>
      <c r="U2802" s="37" t="str">
        <f t="shared" si="302"/>
        <v/>
      </c>
    </row>
    <row r="2803" spans="2:21" ht="17.25">
      <c r="B2803" s="156"/>
      <c r="C2803" s="156"/>
      <c r="D2803" s="157"/>
      <c r="E2803" s="155"/>
      <c r="F2803" s="151"/>
      <c r="G2803" s="152"/>
      <c r="H2803" s="153"/>
      <c r="I2803" s="154"/>
      <c r="J2803" s="154"/>
      <c r="K2803" s="30" t="str">
        <f>IF(H2803="","",IF($C$30="간이법","",FPR(H2803,I2803,J2803)))</f>
        <v/>
      </c>
      <c r="L2803" s="30" t="str">
        <f>IF(H2803="","",IF($C$30="상세법",FPV(H2803,K2803),IF(H2803="EI",4,IF(H2803="EO",5.2,IF(H2803="EQ",3.9,IF(H2803="ILF",7.5,IF(H2803="EIF",5.4)))))))</f>
        <v/>
      </c>
      <c r="M2803" s="30" t="str">
        <f t="shared" si="296"/>
        <v/>
      </c>
      <c r="N2803" s="134"/>
      <c r="O2803" s="29"/>
      <c r="P2803" s="37" t="str">
        <f t="shared" si="297"/>
        <v/>
      </c>
      <c r="Q2803" s="38" t="str">
        <f t="shared" si="298"/>
        <v/>
      </c>
      <c r="R2803" s="37" t="str">
        <f t="shared" si="299"/>
        <v/>
      </c>
      <c r="S2803" s="37" t="str">
        <f t="shared" si="300"/>
        <v/>
      </c>
      <c r="T2803" s="38" t="str">
        <f t="shared" si="301"/>
        <v/>
      </c>
      <c r="U2803" s="37" t="str">
        <f t="shared" si="302"/>
        <v/>
      </c>
    </row>
    <row r="2804" spans="2:21" ht="17.25">
      <c r="B2804" s="156"/>
      <c r="C2804" s="156"/>
      <c r="D2804" s="157"/>
      <c r="E2804" s="155"/>
      <c r="F2804" s="151"/>
      <c r="G2804" s="152"/>
      <c r="H2804" s="153"/>
      <c r="I2804" s="154"/>
      <c r="J2804" s="154"/>
      <c r="K2804" s="30" t="str">
        <f>IF(H2804="","",IF($C$30="간이법","",FPR(H2804,I2804,J2804)))</f>
        <v/>
      </c>
      <c r="L2804" s="30" t="str">
        <f>IF(H2804="","",IF($C$30="상세법",FPV(H2804,K2804),IF(H2804="EI",4,IF(H2804="EO",5.2,IF(H2804="EQ",3.9,IF(H2804="ILF",7.5,IF(H2804="EIF",5.4)))))))</f>
        <v/>
      </c>
      <c r="M2804" s="30" t="str">
        <f t="shared" si="296"/>
        <v/>
      </c>
      <c r="N2804" s="134"/>
      <c r="O2804" s="29"/>
      <c r="P2804" s="37" t="str">
        <f t="shared" si="297"/>
        <v/>
      </c>
      <c r="Q2804" s="38" t="str">
        <f t="shared" si="298"/>
        <v/>
      </c>
      <c r="R2804" s="37" t="str">
        <f t="shared" si="299"/>
        <v/>
      </c>
      <c r="S2804" s="37" t="str">
        <f t="shared" si="300"/>
        <v/>
      </c>
      <c r="T2804" s="38" t="str">
        <f t="shared" si="301"/>
        <v/>
      </c>
      <c r="U2804" s="37" t="str">
        <f t="shared" si="302"/>
        <v/>
      </c>
    </row>
    <row r="2805" spans="2:21" ht="17.25">
      <c r="B2805" s="156"/>
      <c r="C2805" s="156"/>
      <c r="D2805" s="157"/>
      <c r="E2805" s="155"/>
      <c r="F2805" s="151"/>
      <c r="G2805" s="152"/>
      <c r="H2805" s="153"/>
      <c r="I2805" s="154"/>
      <c r="J2805" s="154"/>
      <c r="K2805" s="30" t="str">
        <f>IF(H2805="","",IF($C$30="간이법","",FPR(H2805,I2805,J2805)))</f>
        <v/>
      </c>
      <c r="L2805" s="30" t="str">
        <f>IF(H2805="","",IF($C$30="상세법",FPV(H2805,K2805),IF(H2805="EI",4,IF(H2805="EO",5.2,IF(H2805="EQ",3.9,IF(H2805="ILF",7.5,IF(H2805="EIF",5.4)))))))</f>
        <v/>
      </c>
      <c r="M2805" s="30" t="str">
        <f t="shared" si="296"/>
        <v/>
      </c>
      <c r="N2805" s="134"/>
      <c r="O2805" s="29"/>
      <c r="P2805" s="37" t="str">
        <f t="shared" si="297"/>
        <v/>
      </c>
      <c r="Q2805" s="38" t="str">
        <f t="shared" si="298"/>
        <v/>
      </c>
      <c r="R2805" s="37" t="str">
        <f t="shared" si="299"/>
        <v/>
      </c>
      <c r="S2805" s="37" t="str">
        <f t="shared" si="300"/>
        <v/>
      </c>
      <c r="T2805" s="38" t="str">
        <f t="shared" si="301"/>
        <v/>
      </c>
      <c r="U2805" s="37" t="str">
        <f t="shared" si="302"/>
        <v/>
      </c>
    </row>
    <row r="2806" spans="2:21" ht="17.25">
      <c r="B2806" s="156"/>
      <c r="C2806" s="156"/>
      <c r="D2806" s="157"/>
      <c r="E2806" s="155"/>
      <c r="F2806" s="151"/>
      <c r="G2806" s="152"/>
      <c r="H2806" s="153"/>
      <c r="I2806" s="154"/>
      <c r="J2806" s="154"/>
      <c r="K2806" s="30" t="str">
        <f>IF(H2806="","",IF($C$30="간이법","",FPR(H2806,I2806,J2806)))</f>
        <v/>
      </c>
      <c r="L2806" s="30" t="str">
        <f>IF(H2806="","",IF($C$30="상세법",FPV(H2806,K2806),IF(H2806="EI",4,IF(H2806="EO",5.2,IF(H2806="EQ",3.9,IF(H2806="ILF",7.5,IF(H2806="EIF",5.4)))))))</f>
        <v/>
      </c>
      <c r="M2806" s="30" t="str">
        <f t="shared" si="296"/>
        <v/>
      </c>
      <c r="N2806" s="134"/>
      <c r="O2806" s="29"/>
      <c r="P2806" s="37" t="str">
        <f t="shared" si="297"/>
        <v/>
      </c>
      <c r="Q2806" s="38" t="str">
        <f t="shared" si="298"/>
        <v/>
      </c>
      <c r="R2806" s="37" t="str">
        <f t="shared" si="299"/>
        <v/>
      </c>
      <c r="S2806" s="37" t="str">
        <f t="shared" si="300"/>
        <v/>
      </c>
      <c r="T2806" s="38" t="str">
        <f t="shared" si="301"/>
        <v/>
      </c>
      <c r="U2806" s="37" t="str">
        <f t="shared" si="302"/>
        <v/>
      </c>
    </row>
    <row r="2807" spans="2:21" ht="17.25">
      <c r="B2807" s="156"/>
      <c r="C2807" s="156"/>
      <c r="D2807" s="157"/>
      <c r="E2807" s="155"/>
      <c r="F2807" s="151"/>
      <c r="G2807" s="152"/>
      <c r="H2807" s="153"/>
      <c r="I2807" s="154"/>
      <c r="J2807" s="154"/>
      <c r="K2807" s="30" t="str">
        <f>IF(H2807="","",IF($C$30="간이법","",FPR(H2807,I2807,J2807)))</f>
        <v/>
      </c>
      <c r="L2807" s="30" t="str">
        <f>IF(H2807="","",IF($C$30="상세법",FPV(H2807,K2807),IF(H2807="EI",4,IF(H2807="EO",5.2,IF(H2807="EQ",3.9,IF(H2807="ILF",7.5,IF(H2807="EIF",5.4)))))))</f>
        <v/>
      </c>
      <c r="M2807" s="30" t="str">
        <f t="shared" si="296"/>
        <v/>
      </c>
      <c r="N2807" s="134"/>
      <c r="O2807" s="29"/>
      <c r="P2807" s="37" t="str">
        <f t="shared" si="297"/>
        <v/>
      </c>
      <c r="Q2807" s="38" t="str">
        <f t="shared" si="298"/>
        <v/>
      </c>
      <c r="R2807" s="37" t="str">
        <f t="shared" si="299"/>
        <v/>
      </c>
      <c r="S2807" s="37" t="str">
        <f t="shared" si="300"/>
        <v/>
      </c>
      <c r="T2807" s="38" t="str">
        <f t="shared" si="301"/>
        <v/>
      </c>
      <c r="U2807" s="37" t="str">
        <f t="shared" si="302"/>
        <v/>
      </c>
    </row>
    <row r="2808" spans="2:21" ht="17.25">
      <c r="B2808" s="156"/>
      <c r="C2808" s="156"/>
      <c r="D2808" s="157"/>
      <c r="E2808" s="155"/>
      <c r="F2808" s="151"/>
      <c r="G2808" s="152"/>
      <c r="H2808" s="153"/>
      <c r="I2808" s="154"/>
      <c r="J2808" s="154"/>
      <c r="K2808" s="30" t="str">
        <f>IF(H2808="","",IF($C$30="간이법","",FPR(H2808,I2808,J2808)))</f>
        <v/>
      </c>
      <c r="L2808" s="30" t="str">
        <f>IF(H2808="","",IF($C$30="상세법",FPV(H2808,K2808),IF(H2808="EI",4,IF(H2808="EO",5.2,IF(H2808="EQ",3.9,IF(H2808="ILF",7.5,IF(H2808="EIF",5.4)))))))</f>
        <v/>
      </c>
      <c r="M2808" s="30" t="str">
        <f t="shared" si="296"/>
        <v/>
      </c>
      <c r="N2808" s="134"/>
      <c r="O2808" s="29"/>
      <c r="P2808" s="37" t="str">
        <f t="shared" si="297"/>
        <v/>
      </c>
      <c r="Q2808" s="38" t="str">
        <f t="shared" si="298"/>
        <v/>
      </c>
      <c r="R2808" s="37" t="str">
        <f t="shared" si="299"/>
        <v/>
      </c>
      <c r="S2808" s="37" t="str">
        <f t="shared" si="300"/>
        <v/>
      </c>
      <c r="T2808" s="38" t="str">
        <f t="shared" si="301"/>
        <v/>
      </c>
      <c r="U2808" s="37" t="str">
        <f t="shared" si="302"/>
        <v/>
      </c>
    </row>
    <row r="2809" spans="2:21" ht="17.25">
      <c r="B2809" s="156"/>
      <c r="C2809" s="156"/>
      <c r="D2809" s="157"/>
      <c r="E2809" s="155"/>
      <c r="F2809" s="151"/>
      <c r="G2809" s="152"/>
      <c r="H2809" s="153"/>
      <c r="I2809" s="154"/>
      <c r="J2809" s="154"/>
      <c r="K2809" s="30" t="str">
        <f>IF(H2809="","",IF($C$30="간이법","",FPR(H2809,I2809,J2809)))</f>
        <v/>
      </c>
      <c r="L2809" s="30" t="str">
        <f>IF(H2809="","",IF($C$30="상세법",FPV(H2809,K2809),IF(H2809="EI",4,IF(H2809="EO",5.2,IF(H2809="EQ",3.9,IF(H2809="ILF",7.5,IF(H2809="EIF",5.4)))))))</f>
        <v/>
      </c>
      <c r="M2809" s="30" t="str">
        <f t="shared" si="296"/>
        <v/>
      </c>
      <c r="N2809" s="134"/>
      <c r="O2809" s="29"/>
      <c r="P2809" s="37" t="str">
        <f t="shared" si="297"/>
        <v/>
      </c>
      <c r="Q2809" s="38" t="str">
        <f t="shared" si="298"/>
        <v/>
      </c>
      <c r="R2809" s="37" t="str">
        <f t="shared" si="299"/>
        <v/>
      </c>
      <c r="S2809" s="37" t="str">
        <f t="shared" si="300"/>
        <v/>
      </c>
      <c r="T2809" s="38" t="str">
        <f t="shared" si="301"/>
        <v/>
      </c>
      <c r="U2809" s="37" t="str">
        <f t="shared" si="302"/>
        <v/>
      </c>
    </row>
    <row r="2810" spans="2:21" ht="17.25">
      <c r="B2810" s="156"/>
      <c r="C2810" s="156"/>
      <c r="D2810" s="157"/>
      <c r="E2810" s="155"/>
      <c r="F2810" s="151"/>
      <c r="G2810" s="152"/>
      <c r="H2810" s="153"/>
      <c r="I2810" s="154"/>
      <c r="J2810" s="154"/>
      <c r="K2810" s="30" t="str">
        <f>IF(H2810="","",IF($C$30="간이법","",FPR(H2810,I2810,J2810)))</f>
        <v/>
      </c>
      <c r="L2810" s="30" t="str">
        <f>IF(H2810="","",IF($C$30="상세법",FPV(H2810,K2810),IF(H2810="EI",4,IF(H2810="EO",5.2,IF(H2810="EQ",3.9,IF(H2810="ILF",7.5,IF(H2810="EIF",5.4)))))))</f>
        <v/>
      </c>
      <c r="M2810" s="30" t="str">
        <f t="shared" si="296"/>
        <v/>
      </c>
      <c r="N2810" s="134"/>
      <c r="O2810" s="29"/>
      <c r="P2810" s="37" t="str">
        <f t="shared" si="297"/>
        <v/>
      </c>
      <c r="Q2810" s="38" t="str">
        <f t="shared" si="298"/>
        <v/>
      </c>
      <c r="R2810" s="37" t="str">
        <f t="shared" si="299"/>
        <v/>
      </c>
      <c r="S2810" s="37" t="str">
        <f t="shared" si="300"/>
        <v/>
      </c>
      <c r="T2810" s="38" t="str">
        <f t="shared" si="301"/>
        <v/>
      </c>
      <c r="U2810" s="37" t="str">
        <f t="shared" si="302"/>
        <v/>
      </c>
    </row>
    <row r="2811" spans="2:21" ht="17.25">
      <c r="B2811" s="156"/>
      <c r="C2811" s="156"/>
      <c r="D2811" s="157"/>
      <c r="E2811" s="155"/>
      <c r="F2811" s="151"/>
      <c r="G2811" s="152"/>
      <c r="H2811" s="153"/>
      <c r="I2811" s="154"/>
      <c r="J2811" s="154"/>
      <c r="K2811" s="30" t="str">
        <f>IF(H2811="","",IF($C$30="간이법","",FPR(H2811,I2811,J2811)))</f>
        <v/>
      </c>
      <c r="L2811" s="30" t="str">
        <f>IF(H2811="","",IF($C$30="상세법",FPV(H2811,K2811),IF(H2811="EI",4,IF(H2811="EO",5.2,IF(H2811="EQ",3.9,IF(H2811="ILF",7.5,IF(H2811="EIF",5.4)))))))</f>
        <v/>
      </c>
      <c r="M2811" s="30" t="str">
        <f t="shared" si="296"/>
        <v/>
      </c>
      <c r="N2811" s="134"/>
      <c r="O2811" s="29"/>
      <c r="P2811" s="37" t="str">
        <f t="shared" si="297"/>
        <v/>
      </c>
      <c r="Q2811" s="38" t="str">
        <f t="shared" si="298"/>
        <v/>
      </c>
      <c r="R2811" s="37" t="str">
        <f t="shared" si="299"/>
        <v/>
      </c>
      <c r="S2811" s="37" t="str">
        <f t="shared" si="300"/>
        <v/>
      </c>
      <c r="T2811" s="38" t="str">
        <f t="shared" si="301"/>
        <v/>
      </c>
      <c r="U2811" s="37" t="str">
        <f t="shared" si="302"/>
        <v/>
      </c>
    </row>
    <row r="2812" spans="2:21" ht="17.25">
      <c r="B2812" s="156"/>
      <c r="C2812" s="156"/>
      <c r="D2812" s="157"/>
      <c r="E2812" s="155"/>
      <c r="F2812" s="151"/>
      <c r="G2812" s="152"/>
      <c r="H2812" s="153"/>
      <c r="I2812" s="154"/>
      <c r="J2812" s="154"/>
      <c r="K2812" s="30" t="str">
        <f>IF(H2812="","",IF($C$30="간이법","",FPR(H2812,I2812,J2812)))</f>
        <v/>
      </c>
      <c r="L2812" s="30" t="str">
        <f>IF(H2812="","",IF($C$30="상세법",FPV(H2812,K2812),IF(H2812="EI",4,IF(H2812="EO",5.2,IF(H2812="EQ",3.9,IF(H2812="ILF",7.5,IF(H2812="EIF",5.4)))))))</f>
        <v/>
      </c>
      <c r="M2812" s="30" t="str">
        <f t="shared" ref="M2812:M2875" si="303">IF(OR(G2812="",$E$36="(선택)",$E$40="(선택)",$E$41="(선택)",F2812="신규 개발",F2812="수정 없이 재사용"),"",(IF(F2812="수정 후 재사용",IF($E$50&lt;=0.5,L2812*($E$36+$E$50*100*(1+0.02*($E$40*$E$41)))/100,L2812*($E$36+$E$50*100+($E$40*$E$41))/100))))</f>
        <v/>
      </c>
      <c r="N2812" s="134"/>
      <c r="O2812" s="29"/>
      <c r="P2812" s="37" t="str">
        <f t="shared" ref="P2812:P2875" si="304">IF(F2812="수정 후 재사용",IF(H2812="ILF",G2812,IF(H2812="EIF",G2812,"")),"")</f>
        <v/>
      </c>
      <c r="Q2812" s="38" t="str">
        <f t="shared" ref="Q2812:Q2875" si="305">IF(P2812&lt;&gt;"",IF(H2812="ILF", L2812/$E$46,IF(H2812="EIF", L2812/$E$46,"")),"")</f>
        <v/>
      </c>
      <c r="R2812" s="37" t="str">
        <f t="shared" ref="R2812:R2875" si="306">IF(P2812&lt;&gt;"",P2812*Q2812,"")</f>
        <v/>
      </c>
      <c r="S2812" s="37" t="str">
        <f t="shared" ref="S2812:S2875" si="307">IF(F2812="수정 후 재사용",IF(H2812="EI",G2812,IF(H2812="EO",G2812,IF(H2812="EQ",G2812,""))),"")</f>
        <v/>
      </c>
      <c r="T2812" s="38" t="str">
        <f t="shared" ref="T2812:T2875" si="308">IF(S2812&lt;&gt;"",IF(H2812="EI",L2812/$E$47,IF(H2812="EO",L2812/$E$47,IF(H2812="EQ",L2812/$E$47,""))),"")</f>
        <v/>
      </c>
      <c r="U2812" s="37" t="str">
        <f t="shared" ref="U2812:U2875" si="309">IF(S2812&lt;&gt;"",S2812*T2812,"")</f>
        <v/>
      </c>
    </row>
    <row r="2813" spans="2:21" ht="17.25">
      <c r="B2813" s="156"/>
      <c r="C2813" s="156"/>
      <c r="D2813" s="157"/>
      <c r="E2813" s="155"/>
      <c r="F2813" s="151"/>
      <c r="G2813" s="152"/>
      <c r="H2813" s="153"/>
      <c r="I2813" s="154"/>
      <c r="J2813" s="154"/>
      <c r="K2813" s="30" t="str">
        <f>IF(H2813="","",IF($C$30="간이법","",FPR(H2813,I2813,J2813)))</f>
        <v/>
      </c>
      <c r="L2813" s="30" t="str">
        <f>IF(H2813="","",IF($C$30="상세법",FPV(H2813,K2813),IF(H2813="EI",4,IF(H2813="EO",5.2,IF(H2813="EQ",3.9,IF(H2813="ILF",7.5,IF(H2813="EIF",5.4)))))))</f>
        <v/>
      </c>
      <c r="M2813" s="30" t="str">
        <f t="shared" si="303"/>
        <v/>
      </c>
      <c r="N2813" s="134"/>
      <c r="O2813" s="29"/>
      <c r="P2813" s="37" t="str">
        <f t="shared" si="304"/>
        <v/>
      </c>
      <c r="Q2813" s="38" t="str">
        <f t="shared" si="305"/>
        <v/>
      </c>
      <c r="R2813" s="37" t="str">
        <f t="shared" si="306"/>
        <v/>
      </c>
      <c r="S2813" s="37" t="str">
        <f t="shared" si="307"/>
        <v/>
      </c>
      <c r="T2813" s="38" t="str">
        <f t="shared" si="308"/>
        <v/>
      </c>
      <c r="U2813" s="37" t="str">
        <f t="shared" si="309"/>
        <v/>
      </c>
    </row>
    <row r="2814" spans="2:21" ht="17.25">
      <c r="B2814" s="156"/>
      <c r="C2814" s="156"/>
      <c r="D2814" s="157"/>
      <c r="E2814" s="155"/>
      <c r="F2814" s="151"/>
      <c r="G2814" s="152"/>
      <c r="H2814" s="153"/>
      <c r="I2814" s="154"/>
      <c r="J2814" s="154"/>
      <c r="K2814" s="30" t="str">
        <f>IF(H2814="","",IF($C$30="간이법","",FPR(H2814,I2814,J2814)))</f>
        <v/>
      </c>
      <c r="L2814" s="30" t="str">
        <f>IF(H2814="","",IF($C$30="상세법",FPV(H2814,K2814),IF(H2814="EI",4,IF(H2814="EO",5.2,IF(H2814="EQ",3.9,IF(H2814="ILF",7.5,IF(H2814="EIF",5.4)))))))</f>
        <v/>
      </c>
      <c r="M2814" s="30" t="str">
        <f t="shared" si="303"/>
        <v/>
      </c>
      <c r="N2814" s="134"/>
      <c r="O2814" s="29"/>
      <c r="P2814" s="37" t="str">
        <f t="shared" si="304"/>
        <v/>
      </c>
      <c r="Q2814" s="38" t="str">
        <f t="shared" si="305"/>
        <v/>
      </c>
      <c r="R2814" s="37" t="str">
        <f t="shared" si="306"/>
        <v/>
      </c>
      <c r="S2814" s="37" t="str">
        <f t="shared" si="307"/>
        <v/>
      </c>
      <c r="T2814" s="38" t="str">
        <f t="shared" si="308"/>
        <v/>
      </c>
      <c r="U2814" s="37" t="str">
        <f t="shared" si="309"/>
        <v/>
      </c>
    </row>
    <row r="2815" spans="2:21" ht="17.25">
      <c r="B2815" s="156"/>
      <c r="C2815" s="156"/>
      <c r="D2815" s="157"/>
      <c r="E2815" s="155"/>
      <c r="F2815" s="151"/>
      <c r="G2815" s="152"/>
      <c r="H2815" s="153"/>
      <c r="I2815" s="154"/>
      <c r="J2815" s="154"/>
      <c r="K2815" s="30" t="str">
        <f>IF(H2815="","",IF($C$30="간이법","",FPR(H2815,I2815,J2815)))</f>
        <v/>
      </c>
      <c r="L2815" s="30" t="str">
        <f>IF(H2815="","",IF($C$30="상세법",FPV(H2815,K2815),IF(H2815="EI",4,IF(H2815="EO",5.2,IF(H2815="EQ",3.9,IF(H2815="ILF",7.5,IF(H2815="EIF",5.4)))))))</f>
        <v/>
      </c>
      <c r="M2815" s="30" t="str">
        <f t="shared" si="303"/>
        <v/>
      </c>
      <c r="N2815" s="134"/>
      <c r="O2815" s="29"/>
      <c r="P2815" s="37" t="str">
        <f t="shared" si="304"/>
        <v/>
      </c>
      <c r="Q2815" s="38" t="str">
        <f t="shared" si="305"/>
        <v/>
      </c>
      <c r="R2815" s="37" t="str">
        <f t="shared" si="306"/>
        <v/>
      </c>
      <c r="S2815" s="37" t="str">
        <f t="shared" si="307"/>
        <v/>
      </c>
      <c r="T2815" s="38" t="str">
        <f t="shared" si="308"/>
        <v/>
      </c>
      <c r="U2815" s="37" t="str">
        <f t="shared" si="309"/>
        <v/>
      </c>
    </row>
    <row r="2816" spans="2:21" ht="17.25">
      <c r="B2816" s="156"/>
      <c r="C2816" s="156"/>
      <c r="D2816" s="157"/>
      <c r="E2816" s="155"/>
      <c r="F2816" s="151"/>
      <c r="G2816" s="152"/>
      <c r="H2816" s="153"/>
      <c r="I2816" s="154"/>
      <c r="J2816" s="154"/>
      <c r="K2816" s="30" t="str">
        <f>IF(H2816="","",IF($C$30="간이법","",FPR(H2816,I2816,J2816)))</f>
        <v/>
      </c>
      <c r="L2816" s="30" t="str">
        <f>IF(H2816="","",IF($C$30="상세법",FPV(H2816,K2816),IF(H2816="EI",4,IF(H2816="EO",5.2,IF(H2816="EQ",3.9,IF(H2816="ILF",7.5,IF(H2816="EIF",5.4)))))))</f>
        <v/>
      </c>
      <c r="M2816" s="30" t="str">
        <f t="shared" si="303"/>
        <v/>
      </c>
      <c r="N2816" s="134"/>
      <c r="O2816" s="29"/>
      <c r="P2816" s="37" t="str">
        <f t="shared" si="304"/>
        <v/>
      </c>
      <c r="Q2816" s="38" t="str">
        <f t="shared" si="305"/>
        <v/>
      </c>
      <c r="R2816" s="37" t="str">
        <f t="shared" si="306"/>
        <v/>
      </c>
      <c r="S2816" s="37" t="str">
        <f t="shared" si="307"/>
        <v/>
      </c>
      <c r="T2816" s="38" t="str">
        <f t="shared" si="308"/>
        <v/>
      </c>
      <c r="U2816" s="37" t="str">
        <f t="shared" si="309"/>
        <v/>
      </c>
    </row>
    <row r="2817" spans="2:21" ht="17.25">
      <c r="B2817" s="156"/>
      <c r="C2817" s="156"/>
      <c r="D2817" s="157"/>
      <c r="E2817" s="155"/>
      <c r="F2817" s="151"/>
      <c r="G2817" s="152"/>
      <c r="H2817" s="153"/>
      <c r="I2817" s="154"/>
      <c r="J2817" s="154"/>
      <c r="K2817" s="30" t="str">
        <f>IF(H2817="","",IF($C$30="간이법","",FPR(H2817,I2817,J2817)))</f>
        <v/>
      </c>
      <c r="L2817" s="30" t="str">
        <f>IF(H2817="","",IF($C$30="상세법",FPV(H2817,K2817),IF(H2817="EI",4,IF(H2817="EO",5.2,IF(H2817="EQ",3.9,IF(H2817="ILF",7.5,IF(H2817="EIF",5.4)))))))</f>
        <v/>
      </c>
      <c r="M2817" s="30" t="str">
        <f t="shared" si="303"/>
        <v/>
      </c>
      <c r="N2817" s="134"/>
      <c r="O2817" s="29"/>
      <c r="P2817" s="37" t="str">
        <f t="shared" si="304"/>
        <v/>
      </c>
      <c r="Q2817" s="38" t="str">
        <f t="shared" si="305"/>
        <v/>
      </c>
      <c r="R2817" s="37" t="str">
        <f t="shared" si="306"/>
        <v/>
      </c>
      <c r="S2817" s="37" t="str">
        <f t="shared" si="307"/>
        <v/>
      </c>
      <c r="T2817" s="38" t="str">
        <f t="shared" si="308"/>
        <v/>
      </c>
      <c r="U2817" s="37" t="str">
        <f t="shared" si="309"/>
        <v/>
      </c>
    </row>
    <row r="2818" spans="2:21" ht="17.25">
      <c r="B2818" s="156"/>
      <c r="C2818" s="156"/>
      <c r="D2818" s="157"/>
      <c r="E2818" s="155"/>
      <c r="F2818" s="151"/>
      <c r="G2818" s="152"/>
      <c r="H2818" s="153"/>
      <c r="I2818" s="154"/>
      <c r="J2818" s="154"/>
      <c r="K2818" s="30" t="str">
        <f>IF(H2818="","",IF($C$30="간이법","",FPR(H2818,I2818,J2818)))</f>
        <v/>
      </c>
      <c r="L2818" s="30" t="str">
        <f>IF(H2818="","",IF($C$30="상세법",FPV(H2818,K2818),IF(H2818="EI",4,IF(H2818="EO",5.2,IF(H2818="EQ",3.9,IF(H2818="ILF",7.5,IF(H2818="EIF",5.4)))))))</f>
        <v/>
      </c>
      <c r="M2818" s="30" t="str">
        <f t="shared" si="303"/>
        <v/>
      </c>
      <c r="N2818" s="134"/>
      <c r="O2818" s="29"/>
      <c r="P2818" s="37" t="str">
        <f t="shared" si="304"/>
        <v/>
      </c>
      <c r="Q2818" s="38" t="str">
        <f t="shared" si="305"/>
        <v/>
      </c>
      <c r="R2818" s="37" t="str">
        <f t="shared" si="306"/>
        <v/>
      </c>
      <c r="S2818" s="37" t="str">
        <f t="shared" si="307"/>
        <v/>
      </c>
      <c r="T2818" s="38" t="str">
        <f t="shared" si="308"/>
        <v/>
      </c>
      <c r="U2818" s="37" t="str">
        <f t="shared" si="309"/>
        <v/>
      </c>
    </row>
    <row r="2819" spans="2:21" ht="17.25">
      <c r="B2819" s="156"/>
      <c r="C2819" s="156"/>
      <c r="D2819" s="157"/>
      <c r="E2819" s="155"/>
      <c r="F2819" s="151"/>
      <c r="G2819" s="152"/>
      <c r="H2819" s="153"/>
      <c r="I2819" s="154"/>
      <c r="J2819" s="154"/>
      <c r="K2819" s="30" t="str">
        <f>IF(H2819="","",IF($C$30="간이법","",FPR(H2819,I2819,J2819)))</f>
        <v/>
      </c>
      <c r="L2819" s="30" t="str">
        <f>IF(H2819="","",IF($C$30="상세법",FPV(H2819,K2819),IF(H2819="EI",4,IF(H2819="EO",5.2,IF(H2819="EQ",3.9,IF(H2819="ILF",7.5,IF(H2819="EIF",5.4)))))))</f>
        <v/>
      </c>
      <c r="M2819" s="30" t="str">
        <f t="shared" si="303"/>
        <v/>
      </c>
      <c r="N2819" s="134"/>
      <c r="O2819" s="29"/>
      <c r="P2819" s="37" t="str">
        <f t="shared" si="304"/>
        <v/>
      </c>
      <c r="Q2819" s="38" t="str">
        <f t="shared" si="305"/>
        <v/>
      </c>
      <c r="R2819" s="37" t="str">
        <f t="shared" si="306"/>
        <v/>
      </c>
      <c r="S2819" s="37" t="str">
        <f t="shared" si="307"/>
        <v/>
      </c>
      <c r="T2819" s="38" t="str">
        <f t="shared" si="308"/>
        <v/>
      </c>
      <c r="U2819" s="37" t="str">
        <f t="shared" si="309"/>
        <v/>
      </c>
    </row>
    <row r="2820" spans="2:21" ht="17.25">
      <c r="B2820" s="156"/>
      <c r="C2820" s="156"/>
      <c r="D2820" s="157"/>
      <c r="E2820" s="155"/>
      <c r="F2820" s="151"/>
      <c r="G2820" s="152"/>
      <c r="H2820" s="153"/>
      <c r="I2820" s="154"/>
      <c r="J2820" s="154"/>
      <c r="K2820" s="30" t="str">
        <f>IF(H2820="","",IF($C$30="간이법","",FPR(H2820,I2820,J2820)))</f>
        <v/>
      </c>
      <c r="L2820" s="30" t="str">
        <f>IF(H2820="","",IF($C$30="상세법",FPV(H2820,K2820),IF(H2820="EI",4,IF(H2820="EO",5.2,IF(H2820="EQ",3.9,IF(H2820="ILF",7.5,IF(H2820="EIF",5.4)))))))</f>
        <v/>
      </c>
      <c r="M2820" s="30" t="str">
        <f t="shared" si="303"/>
        <v/>
      </c>
      <c r="N2820" s="134"/>
      <c r="O2820" s="29"/>
      <c r="P2820" s="37" t="str">
        <f t="shared" si="304"/>
        <v/>
      </c>
      <c r="Q2820" s="38" t="str">
        <f t="shared" si="305"/>
        <v/>
      </c>
      <c r="R2820" s="37" t="str">
        <f t="shared" si="306"/>
        <v/>
      </c>
      <c r="S2820" s="37" t="str">
        <f t="shared" si="307"/>
        <v/>
      </c>
      <c r="T2820" s="38" t="str">
        <f t="shared" si="308"/>
        <v/>
      </c>
      <c r="U2820" s="37" t="str">
        <f t="shared" si="309"/>
        <v/>
      </c>
    </row>
    <row r="2821" spans="2:21" ht="17.25">
      <c r="B2821" s="156"/>
      <c r="C2821" s="156"/>
      <c r="D2821" s="157"/>
      <c r="E2821" s="155"/>
      <c r="F2821" s="151"/>
      <c r="G2821" s="152"/>
      <c r="H2821" s="153"/>
      <c r="I2821" s="154"/>
      <c r="J2821" s="154"/>
      <c r="K2821" s="30" t="str">
        <f>IF(H2821="","",IF($C$30="간이법","",FPR(H2821,I2821,J2821)))</f>
        <v/>
      </c>
      <c r="L2821" s="30" t="str">
        <f>IF(H2821="","",IF($C$30="상세법",FPV(H2821,K2821),IF(H2821="EI",4,IF(H2821="EO",5.2,IF(H2821="EQ",3.9,IF(H2821="ILF",7.5,IF(H2821="EIF",5.4)))))))</f>
        <v/>
      </c>
      <c r="M2821" s="30" t="str">
        <f t="shared" si="303"/>
        <v/>
      </c>
      <c r="N2821" s="134"/>
      <c r="O2821" s="29"/>
      <c r="P2821" s="37" t="str">
        <f t="shared" si="304"/>
        <v/>
      </c>
      <c r="Q2821" s="38" t="str">
        <f t="shared" si="305"/>
        <v/>
      </c>
      <c r="R2821" s="37" t="str">
        <f t="shared" si="306"/>
        <v/>
      </c>
      <c r="S2821" s="37" t="str">
        <f t="shared" si="307"/>
        <v/>
      </c>
      <c r="T2821" s="38" t="str">
        <f t="shared" si="308"/>
        <v/>
      </c>
      <c r="U2821" s="37" t="str">
        <f t="shared" si="309"/>
        <v/>
      </c>
    </row>
    <row r="2822" spans="2:21" ht="17.25">
      <c r="B2822" s="156"/>
      <c r="C2822" s="156"/>
      <c r="D2822" s="157"/>
      <c r="E2822" s="155"/>
      <c r="F2822" s="151"/>
      <c r="G2822" s="152"/>
      <c r="H2822" s="153"/>
      <c r="I2822" s="154"/>
      <c r="J2822" s="154"/>
      <c r="K2822" s="30" t="str">
        <f>IF(H2822="","",IF($C$30="간이법","",FPR(H2822,I2822,J2822)))</f>
        <v/>
      </c>
      <c r="L2822" s="30" t="str">
        <f>IF(H2822="","",IF($C$30="상세법",FPV(H2822,K2822),IF(H2822="EI",4,IF(H2822="EO",5.2,IF(H2822="EQ",3.9,IF(H2822="ILF",7.5,IF(H2822="EIF",5.4)))))))</f>
        <v/>
      </c>
      <c r="M2822" s="30" t="str">
        <f t="shared" si="303"/>
        <v/>
      </c>
      <c r="N2822" s="134"/>
      <c r="O2822" s="29"/>
      <c r="P2822" s="37" t="str">
        <f t="shared" si="304"/>
        <v/>
      </c>
      <c r="Q2822" s="38" t="str">
        <f t="shared" si="305"/>
        <v/>
      </c>
      <c r="R2822" s="37" t="str">
        <f t="shared" si="306"/>
        <v/>
      </c>
      <c r="S2822" s="37" t="str">
        <f t="shared" si="307"/>
        <v/>
      </c>
      <c r="T2822" s="38" t="str">
        <f t="shared" si="308"/>
        <v/>
      </c>
      <c r="U2822" s="37" t="str">
        <f t="shared" si="309"/>
        <v/>
      </c>
    </row>
    <row r="2823" spans="2:21" ht="17.25">
      <c r="B2823" s="156"/>
      <c r="C2823" s="156"/>
      <c r="D2823" s="157"/>
      <c r="E2823" s="155"/>
      <c r="F2823" s="151"/>
      <c r="G2823" s="152"/>
      <c r="H2823" s="153"/>
      <c r="I2823" s="154"/>
      <c r="J2823" s="154"/>
      <c r="K2823" s="30" t="str">
        <f>IF(H2823="","",IF($C$30="간이법","",FPR(H2823,I2823,J2823)))</f>
        <v/>
      </c>
      <c r="L2823" s="30" t="str">
        <f>IF(H2823="","",IF($C$30="상세법",FPV(H2823,K2823),IF(H2823="EI",4,IF(H2823="EO",5.2,IF(H2823="EQ",3.9,IF(H2823="ILF",7.5,IF(H2823="EIF",5.4)))))))</f>
        <v/>
      </c>
      <c r="M2823" s="30" t="str">
        <f t="shared" si="303"/>
        <v/>
      </c>
      <c r="N2823" s="134"/>
      <c r="O2823" s="29"/>
      <c r="P2823" s="37" t="str">
        <f t="shared" si="304"/>
        <v/>
      </c>
      <c r="Q2823" s="38" t="str">
        <f t="shared" si="305"/>
        <v/>
      </c>
      <c r="R2823" s="37" t="str">
        <f t="shared" si="306"/>
        <v/>
      </c>
      <c r="S2823" s="37" t="str">
        <f t="shared" si="307"/>
        <v/>
      </c>
      <c r="T2823" s="38" t="str">
        <f t="shared" si="308"/>
        <v/>
      </c>
      <c r="U2823" s="37" t="str">
        <f t="shared" si="309"/>
        <v/>
      </c>
    </row>
    <row r="2824" spans="2:21" ht="17.25">
      <c r="B2824" s="156"/>
      <c r="C2824" s="156"/>
      <c r="D2824" s="157"/>
      <c r="E2824" s="155"/>
      <c r="F2824" s="151"/>
      <c r="G2824" s="152"/>
      <c r="H2824" s="153"/>
      <c r="I2824" s="154"/>
      <c r="J2824" s="154"/>
      <c r="K2824" s="30" t="str">
        <f>IF(H2824="","",IF($C$30="간이법","",FPR(H2824,I2824,J2824)))</f>
        <v/>
      </c>
      <c r="L2824" s="30" t="str">
        <f>IF(H2824="","",IF($C$30="상세법",FPV(H2824,K2824),IF(H2824="EI",4,IF(H2824="EO",5.2,IF(H2824="EQ",3.9,IF(H2824="ILF",7.5,IF(H2824="EIF",5.4)))))))</f>
        <v/>
      </c>
      <c r="M2824" s="30" t="str">
        <f t="shared" si="303"/>
        <v/>
      </c>
      <c r="N2824" s="134"/>
      <c r="O2824" s="29"/>
      <c r="P2824" s="37" t="str">
        <f t="shared" si="304"/>
        <v/>
      </c>
      <c r="Q2824" s="38" t="str">
        <f t="shared" si="305"/>
        <v/>
      </c>
      <c r="R2824" s="37" t="str">
        <f t="shared" si="306"/>
        <v/>
      </c>
      <c r="S2824" s="37" t="str">
        <f t="shared" si="307"/>
        <v/>
      </c>
      <c r="T2824" s="38" t="str">
        <f t="shared" si="308"/>
        <v/>
      </c>
      <c r="U2824" s="37" t="str">
        <f t="shared" si="309"/>
        <v/>
      </c>
    </row>
    <row r="2825" spans="2:21" ht="17.25">
      <c r="B2825" s="156"/>
      <c r="C2825" s="156"/>
      <c r="D2825" s="157"/>
      <c r="E2825" s="155"/>
      <c r="F2825" s="151"/>
      <c r="G2825" s="152"/>
      <c r="H2825" s="153"/>
      <c r="I2825" s="154"/>
      <c r="J2825" s="154"/>
      <c r="K2825" s="30" t="str">
        <f>IF(H2825="","",IF($C$30="간이법","",FPR(H2825,I2825,J2825)))</f>
        <v/>
      </c>
      <c r="L2825" s="30" t="str">
        <f>IF(H2825="","",IF($C$30="상세법",FPV(H2825,K2825),IF(H2825="EI",4,IF(H2825="EO",5.2,IF(H2825="EQ",3.9,IF(H2825="ILF",7.5,IF(H2825="EIF",5.4)))))))</f>
        <v/>
      </c>
      <c r="M2825" s="30" t="str">
        <f t="shared" si="303"/>
        <v/>
      </c>
      <c r="N2825" s="134"/>
      <c r="O2825" s="29"/>
      <c r="P2825" s="37" t="str">
        <f t="shared" si="304"/>
        <v/>
      </c>
      <c r="Q2825" s="38" t="str">
        <f t="shared" si="305"/>
        <v/>
      </c>
      <c r="R2825" s="37" t="str">
        <f t="shared" si="306"/>
        <v/>
      </c>
      <c r="S2825" s="37" t="str">
        <f t="shared" si="307"/>
        <v/>
      </c>
      <c r="T2825" s="38" t="str">
        <f t="shared" si="308"/>
        <v/>
      </c>
      <c r="U2825" s="37" t="str">
        <f t="shared" si="309"/>
        <v/>
      </c>
    </row>
    <row r="2826" spans="2:21" ht="17.25">
      <c r="B2826" s="156"/>
      <c r="C2826" s="156"/>
      <c r="D2826" s="157"/>
      <c r="E2826" s="155"/>
      <c r="F2826" s="151"/>
      <c r="G2826" s="152"/>
      <c r="H2826" s="153"/>
      <c r="I2826" s="154"/>
      <c r="J2826" s="154"/>
      <c r="K2826" s="30" t="str">
        <f>IF(H2826="","",IF($C$30="간이법","",FPR(H2826,I2826,J2826)))</f>
        <v/>
      </c>
      <c r="L2826" s="30" t="str">
        <f>IF(H2826="","",IF($C$30="상세법",FPV(H2826,K2826),IF(H2826="EI",4,IF(H2826="EO",5.2,IF(H2826="EQ",3.9,IF(H2826="ILF",7.5,IF(H2826="EIF",5.4)))))))</f>
        <v/>
      </c>
      <c r="M2826" s="30" t="str">
        <f t="shared" si="303"/>
        <v/>
      </c>
      <c r="N2826" s="134"/>
      <c r="O2826" s="29"/>
      <c r="P2826" s="37" t="str">
        <f t="shared" si="304"/>
        <v/>
      </c>
      <c r="Q2826" s="38" t="str">
        <f t="shared" si="305"/>
        <v/>
      </c>
      <c r="R2826" s="37" t="str">
        <f t="shared" si="306"/>
        <v/>
      </c>
      <c r="S2826" s="37" t="str">
        <f t="shared" si="307"/>
        <v/>
      </c>
      <c r="T2826" s="38" t="str">
        <f t="shared" si="308"/>
        <v/>
      </c>
      <c r="U2826" s="37" t="str">
        <f t="shared" si="309"/>
        <v/>
      </c>
    </row>
    <row r="2827" spans="2:21" ht="17.25">
      <c r="B2827" s="156"/>
      <c r="C2827" s="156"/>
      <c r="D2827" s="157"/>
      <c r="E2827" s="155"/>
      <c r="F2827" s="151"/>
      <c r="G2827" s="152"/>
      <c r="H2827" s="153"/>
      <c r="I2827" s="154"/>
      <c r="J2827" s="154"/>
      <c r="K2827" s="30" t="str">
        <f>IF(H2827="","",IF($C$30="간이법","",FPR(H2827,I2827,J2827)))</f>
        <v/>
      </c>
      <c r="L2827" s="30" t="str">
        <f>IF(H2827="","",IF($C$30="상세법",FPV(H2827,K2827),IF(H2827="EI",4,IF(H2827="EO",5.2,IF(H2827="EQ",3.9,IF(H2827="ILF",7.5,IF(H2827="EIF",5.4)))))))</f>
        <v/>
      </c>
      <c r="M2827" s="30" t="str">
        <f t="shared" si="303"/>
        <v/>
      </c>
      <c r="N2827" s="134"/>
      <c r="O2827" s="29"/>
      <c r="P2827" s="37" t="str">
        <f t="shared" si="304"/>
        <v/>
      </c>
      <c r="Q2827" s="38" t="str">
        <f t="shared" si="305"/>
        <v/>
      </c>
      <c r="R2827" s="37" t="str">
        <f t="shared" si="306"/>
        <v/>
      </c>
      <c r="S2827" s="37" t="str">
        <f t="shared" si="307"/>
        <v/>
      </c>
      <c r="T2827" s="38" t="str">
        <f t="shared" si="308"/>
        <v/>
      </c>
      <c r="U2827" s="37" t="str">
        <f t="shared" si="309"/>
        <v/>
      </c>
    </row>
    <row r="2828" spans="2:21" ht="17.25">
      <c r="B2828" s="156"/>
      <c r="C2828" s="156"/>
      <c r="D2828" s="157"/>
      <c r="E2828" s="155"/>
      <c r="F2828" s="151"/>
      <c r="G2828" s="152"/>
      <c r="H2828" s="153"/>
      <c r="I2828" s="154"/>
      <c r="J2828" s="154"/>
      <c r="K2828" s="30" t="str">
        <f>IF(H2828="","",IF($C$30="간이법","",FPR(H2828,I2828,J2828)))</f>
        <v/>
      </c>
      <c r="L2828" s="30" t="str">
        <f>IF(H2828="","",IF($C$30="상세법",FPV(H2828,K2828),IF(H2828="EI",4,IF(H2828="EO",5.2,IF(H2828="EQ",3.9,IF(H2828="ILF",7.5,IF(H2828="EIF",5.4)))))))</f>
        <v/>
      </c>
      <c r="M2828" s="30" t="str">
        <f t="shared" si="303"/>
        <v/>
      </c>
      <c r="N2828" s="134"/>
      <c r="O2828" s="29"/>
      <c r="P2828" s="37" t="str">
        <f t="shared" si="304"/>
        <v/>
      </c>
      <c r="Q2828" s="38" t="str">
        <f t="shared" si="305"/>
        <v/>
      </c>
      <c r="R2828" s="37" t="str">
        <f t="shared" si="306"/>
        <v/>
      </c>
      <c r="S2828" s="37" t="str">
        <f t="shared" si="307"/>
        <v/>
      </c>
      <c r="T2828" s="38" t="str">
        <f t="shared" si="308"/>
        <v/>
      </c>
      <c r="U2828" s="37" t="str">
        <f t="shared" si="309"/>
        <v/>
      </c>
    </row>
    <row r="2829" spans="2:21" ht="17.25">
      <c r="B2829" s="156"/>
      <c r="C2829" s="156"/>
      <c r="D2829" s="157"/>
      <c r="E2829" s="155"/>
      <c r="F2829" s="151"/>
      <c r="G2829" s="152"/>
      <c r="H2829" s="153"/>
      <c r="I2829" s="154"/>
      <c r="J2829" s="154"/>
      <c r="K2829" s="30" t="str">
        <f>IF(H2829="","",IF($C$30="간이법","",FPR(H2829,I2829,J2829)))</f>
        <v/>
      </c>
      <c r="L2829" s="30" t="str">
        <f>IF(H2829="","",IF($C$30="상세법",FPV(H2829,K2829),IF(H2829="EI",4,IF(H2829="EO",5.2,IF(H2829="EQ",3.9,IF(H2829="ILF",7.5,IF(H2829="EIF",5.4)))))))</f>
        <v/>
      </c>
      <c r="M2829" s="30" t="str">
        <f t="shared" si="303"/>
        <v/>
      </c>
      <c r="N2829" s="134"/>
      <c r="O2829" s="29"/>
      <c r="P2829" s="37" t="str">
        <f t="shared" si="304"/>
        <v/>
      </c>
      <c r="Q2829" s="38" t="str">
        <f t="shared" si="305"/>
        <v/>
      </c>
      <c r="R2829" s="37" t="str">
        <f t="shared" si="306"/>
        <v/>
      </c>
      <c r="S2829" s="37" t="str">
        <f t="shared" si="307"/>
        <v/>
      </c>
      <c r="T2829" s="38" t="str">
        <f t="shared" si="308"/>
        <v/>
      </c>
      <c r="U2829" s="37" t="str">
        <f t="shared" si="309"/>
        <v/>
      </c>
    </row>
    <row r="2830" spans="2:21" ht="17.25">
      <c r="B2830" s="156"/>
      <c r="C2830" s="156"/>
      <c r="D2830" s="157"/>
      <c r="E2830" s="155"/>
      <c r="F2830" s="151"/>
      <c r="G2830" s="152"/>
      <c r="H2830" s="153"/>
      <c r="I2830" s="154"/>
      <c r="J2830" s="154"/>
      <c r="K2830" s="30" t="str">
        <f>IF(H2830="","",IF($C$30="간이법","",FPR(H2830,I2830,J2830)))</f>
        <v/>
      </c>
      <c r="L2830" s="30" t="str">
        <f>IF(H2830="","",IF($C$30="상세법",FPV(H2830,K2830),IF(H2830="EI",4,IF(H2830="EO",5.2,IF(H2830="EQ",3.9,IF(H2830="ILF",7.5,IF(H2830="EIF",5.4)))))))</f>
        <v/>
      </c>
      <c r="M2830" s="30" t="str">
        <f t="shared" si="303"/>
        <v/>
      </c>
      <c r="N2830" s="134"/>
      <c r="O2830" s="29"/>
      <c r="P2830" s="37" t="str">
        <f t="shared" si="304"/>
        <v/>
      </c>
      <c r="Q2830" s="38" t="str">
        <f t="shared" si="305"/>
        <v/>
      </c>
      <c r="R2830" s="37" t="str">
        <f t="shared" si="306"/>
        <v/>
      </c>
      <c r="S2830" s="37" t="str">
        <f t="shared" si="307"/>
        <v/>
      </c>
      <c r="T2830" s="38" t="str">
        <f t="shared" si="308"/>
        <v/>
      </c>
      <c r="U2830" s="37" t="str">
        <f t="shared" si="309"/>
        <v/>
      </c>
    </row>
    <row r="2831" spans="2:21" ht="17.25">
      <c r="B2831" s="156"/>
      <c r="C2831" s="156"/>
      <c r="D2831" s="157"/>
      <c r="E2831" s="155"/>
      <c r="F2831" s="151"/>
      <c r="G2831" s="152"/>
      <c r="H2831" s="153"/>
      <c r="I2831" s="154"/>
      <c r="J2831" s="154"/>
      <c r="K2831" s="30" t="str">
        <f>IF(H2831="","",IF($C$30="간이법","",FPR(H2831,I2831,J2831)))</f>
        <v/>
      </c>
      <c r="L2831" s="30" t="str">
        <f>IF(H2831="","",IF($C$30="상세법",FPV(H2831,K2831),IF(H2831="EI",4,IF(H2831="EO",5.2,IF(H2831="EQ",3.9,IF(H2831="ILF",7.5,IF(H2831="EIF",5.4)))))))</f>
        <v/>
      </c>
      <c r="M2831" s="30" t="str">
        <f t="shared" si="303"/>
        <v/>
      </c>
      <c r="N2831" s="134"/>
      <c r="O2831" s="29"/>
      <c r="P2831" s="37" t="str">
        <f t="shared" si="304"/>
        <v/>
      </c>
      <c r="Q2831" s="38" t="str">
        <f t="shared" si="305"/>
        <v/>
      </c>
      <c r="R2831" s="37" t="str">
        <f t="shared" si="306"/>
        <v/>
      </c>
      <c r="S2831" s="37" t="str">
        <f t="shared" si="307"/>
        <v/>
      </c>
      <c r="T2831" s="38" t="str">
        <f t="shared" si="308"/>
        <v/>
      </c>
      <c r="U2831" s="37" t="str">
        <f t="shared" si="309"/>
        <v/>
      </c>
    </row>
    <row r="2832" spans="2:21" ht="17.25">
      <c r="B2832" s="156"/>
      <c r="C2832" s="156"/>
      <c r="D2832" s="157"/>
      <c r="E2832" s="155"/>
      <c r="F2832" s="151"/>
      <c r="G2832" s="152"/>
      <c r="H2832" s="153"/>
      <c r="I2832" s="154"/>
      <c r="J2832" s="154"/>
      <c r="K2832" s="30" t="str">
        <f>IF(H2832="","",IF($C$30="간이법","",FPR(H2832,I2832,J2832)))</f>
        <v/>
      </c>
      <c r="L2832" s="30" t="str">
        <f>IF(H2832="","",IF($C$30="상세법",FPV(H2832,K2832),IF(H2832="EI",4,IF(H2832="EO",5.2,IF(H2832="EQ",3.9,IF(H2832="ILF",7.5,IF(H2832="EIF",5.4)))))))</f>
        <v/>
      </c>
      <c r="M2832" s="30" t="str">
        <f t="shared" si="303"/>
        <v/>
      </c>
      <c r="N2832" s="134"/>
      <c r="O2832" s="29"/>
      <c r="P2832" s="37" t="str">
        <f t="shared" si="304"/>
        <v/>
      </c>
      <c r="Q2832" s="38" t="str">
        <f t="shared" si="305"/>
        <v/>
      </c>
      <c r="R2832" s="37" t="str">
        <f t="shared" si="306"/>
        <v/>
      </c>
      <c r="S2832" s="37" t="str">
        <f t="shared" si="307"/>
        <v/>
      </c>
      <c r="T2832" s="38" t="str">
        <f t="shared" si="308"/>
        <v/>
      </c>
      <c r="U2832" s="37" t="str">
        <f t="shared" si="309"/>
        <v/>
      </c>
    </row>
    <row r="2833" spans="2:21" ht="17.25">
      <c r="B2833" s="156"/>
      <c r="C2833" s="156"/>
      <c r="D2833" s="157"/>
      <c r="E2833" s="155"/>
      <c r="F2833" s="151"/>
      <c r="G2833" s="152"/>
      <c r="H2833" s="153"/>
      <c r="I2833" s="154"/>
      <c r="J2833" s="154"/>
      <c r="K2833" s="30" t="str">
        <f>IF(H2833="","",IF($C$30="간이법","",FPR(H2833,I2833,J2833)))</f>
        <v/>
      </c>
      <c r="L2833" s="30" t="str">
        <f>IF(H2833="","",IF($C$30="상세법",FPV(H2833,K2833),IF(H2833="EI",4,IF(H2833="EO",5.2,IF(H2833="EQ",3.9,IF(H2833="ILF",7.5,IF(H2833="EIF",5.4)))))))</f>
        <v/>
      </c>
      <c r="M2833" s="30" t="str">
        <f t="shared" si="303"/>
        <v/>
      </c>
      <c r="N2833" s="134"/>
      <c r="O2833" s="29"/>
      <c r="P2833" s="37" t="str">
        <f t="shared" si="304"/>
        <v/>
      </c>
      <c r="Q2833" s="38" t="str">
        <f t="shared" si="305"/>
        <v/>
      </c>
      <c r="R2833" s="37" t="str">
        <f t="shared" si="306"/>
        <v/>
      </c>
      <c r="S2833" s="37" t="str">
        <f t="shared" si="307"/>
        <v/>
      </c>
      <c r="T2833" s="38" t="str">
        <f t="shared" si="308"/>
        <v/>
      </c>
      <c r="U2833" s="37" t="str">
        <f t="shared" si="309"/>
        <v/>
      </c>
    </row>
    <row r="2834" spans="2:21" ht="17.25">
      <c r="B2834" s="156"/>
      <c r="C2834" s="156"/>
      <c r="D2834" s="157"/>
      <c r="E2834" s="155"/>
      <c r="F2834" s="151"/>
      <c r="G2834" s="152"/>
      <c r="H2834" s="153"/>
      <c r="I2834" s="154"/>
      <c r="J2834" s="154"/>
      <c r="K2834" s="30" t="str">
        <f>IF(H2834="","",IF($C$30="간이법","",FPR(H2834,I2834,J2834)))</f>
        <v/>
      </c>
      <c r="L2834" s="30" t="str">
        <f>IF(H2834="","",IF($C$30="상세법",FPV(H2834,K2834),IF(H2834="EI",4,IF(H2834="EO",5.2,IF(H2834="EQ",3.9,IF(H2834="ILF",7.5,IF(H2834="EIF",5.4)))))))</f>
        <v/>
      </c>
      <c r="M2834" s="30" t="str">
        <f t="shared" si="303"/>
        <v/>
      </c>
      <c r="N2834" s="134"/>
      <c r="O2834" s="29"/>
      <c r="P2834" s="37" t="str">
        <f t="shared" si="304"/>
        <v/>
      </c>
      <c r="Q2834" s="38" t="str">
        <f t="shared" si="305"/>
        <v/>
      </c>
      <c r="R2834" s="37" t="str">
        <f t="shared" si="306"/>
        <v/>
      </c>
      <c r="S2834" s="37" t="str">
        <f t="shared" si="307"/>
        <v/>
      </c>
      <c r="T2834" s="38" t="str">
        <f t="shared" si="308"/>
        <v/>
      </c>
      <c r="U2834" s="37" t="str">
        <f t="shared" si="309"/>
        <v/>
      </c>
    </row>
    <row r="2835" spans="2:21" ht="17.25">
      <c r="B2835" s="156"/>
      <c r="C2835" s="156"/>
      <c r="D2835" s="157"/>
      <c r="E2835" s="155"/>
      <c r="F2835" s="151"/>
      <c r="G2835" s="152"/>
      <c r="H2835" s="153"/>
      <c r="I2835" s="154"/>
      <c r="J2835" s="154"/>
      <c r="K2835" s="30" t="str">
        <f>IF(H2835="","",IF($C$30="간이법","",FPR(H2835,I2835,J2835)))</f>
        <v/>
      </c>
      <c r="L2835" s="30" t="str">
        <f>IF(H2835="","",IF($C$30="상세법",FPV(H2835,K2835),IF(H2835="EI",4,IF(H2835="EO",5.2,IF(H2835="EQ",3.9,IF(H2835="ILF",7.5,IF(H2835="EIF",5.4)))))))</f>
        <v/>
      </c>
      <c r="M2835" s="30" t="str">
        <f t="shared" si="303"/>
        <v/>
      </c>
      <c r="N2835" s="134"/>
      <c r="O2835" s="29"/>
      <c r="P2835" s="37" t="str">
        <f t="shared" si="304"/>
        <v/>
      </c>
      <c r="Q2835" s="38" t="str">
        <f t="shared" si="305"/>
        <v/>
      </c>
      <c r="R2835" s="37" t="str">
        <f t="shared" si="306"/>
        <v/>
      </c>
      <c r="S2835" s="37" t="str">
        <f t="shared" si="307"/>
        <v/>
      </c>
      <c r="T2835" s="38" t="str">
        <f t="shared" si="308"/>
        <v/>
      </c>
      <c r="U2835" s="37" t="str">
        <f t="shared" si="309"/>
        <v/>
      </c>
    </row>
    <row r="2836" spans="2:21" ht="17.25">
      <c r="B2836" s="156"/>
      <c r="C2836" s="156"/>
      <c r="D2836" s="157"/>
      <c r="E2836" s="155"/>
      <c r="F2836" s="151"/>
      <c r="G2836" s="152"/>
      <c r="H2836" s="153"/>
      <c r="I2836" s="154"/>
      <c r="J2836" s="154"/>
      <c r="K2836" s="30" t="str">
        <f>IF(H2836="","",IF($C$30="간이법","",FPR(H2836,I2836,J2836)))</f>
        <v/>
      </c>
      <c r="L2836" s="30" t="str">
        <f>IF(H2836="","",IF($C$30="상세법",FPV(H2836,K2836),IF(H2836="EI",4,IF(H2836="EO",5.2,IF(H2836="EQ",3.9,IF(H2836="ILF",7.5,IF(H2836="EIF",5.4)))))))</f>
        <v/>
      </c>
      <c r="M2836" s="30" t="str">
        <f t="shared" si="303"/>
        <v/>
      </c>
      <c r="N2836" s="134"/>
      <c r="O2836" s="29"/>
      <c r="P2836" s="37" t="str">
        <f t="shared" si="304"/>
        <v/>
      </c>
      <c r="Q2836" s="38" t="str">
        <f t="shared" si="305"/>
        <v/>
      </c>
      <c r="R2836" s="37" t="str">
        <f t="shared" si="306"/>
        <v/>
      </c>
      <c r="S2836" s="37" t="str">
        <f t="shared" si="307"/>
        <v/>
      </c>
      <c r="T2836" s="38" t="str">
        <f t="shared" si="308"/>
        <v/>
      </c>
      <c r="U2836" s="37" t="str">
        <f t="shared" si="309"/>
        <v/>
      </c>
    </row>
    <row r="2837" spans="2:21" ht="17.25">
      <c r="B2837" s="156"/>
      <c r="C2837" s="156"/>
      <c r="D2837" s="157"/>
      <c r="E2837" s="155"/>
      <c r="F2837" s="151"/>
      <c r="G2837" s="152"/>
      <c r="H2837" s="153"/>
      <c r="I2837" s="154"/>
      <c r="J2837" s="154"/>
      <c r="K2837" s="30" t="str">
        <f>IF(H2837="","",IF($C$30="간이법","",FPR(H2837,I2837,J2837)))</f>
        <v/>
      </c>
      <c r="L2837" s="30" t="str">
        <f>IF(H2837="","",IF($C$30="상세법",FPV(H2837,K2837),IF(H2837="EI",4,IF(H2837="EO",5.2,IF(H2837="EQ",3.9,IF(H2837="ILF",7.5,IF(H2837="EIF",5.4)))))))</f>
        <v/>
      </c>
      <c r="M2837" s="30" t="str">
        <f t="shared" si="303"/>
        <v/>
      </c>
      <c r="N2837" s="134"/>
      <c r="O2837" s="29"/>
      <c r="P2837" s="37" t="str">
        <f t="shared" si="304"/>
        <v/>
      </c>
      <c r="Q2837" s="38" t="str">
        <f t="shared" si="305"/>
        <v/>
      </c>
      <c r="R2837" s="37" t="str">
        <f t="shared" si="306"/>
        <v/>
      </c>
      <c r="S2837" s="37" t="str">
        <f t="shared" si="307"/>
        <v/>
      </c>
      <c r="T2837" s="38" t="str">
        <f t="shared" si="308"/>
        <v/>
      </c>
      <c r="U2837" s="37" t="str">
        <f t="shared" si="309"/>
        <v/>
      </c>
    </row>
    <row r="2838" spans="2:21" ht="17.25">
      <c r="B2838" s="156"/>
      <c r="C2838" s="156"/>
      <c r="D2838" s="157"/>
      <c r="E2838" s="155"/>
      <c r="F2838" s="151"/>
      <c r="G2838" s="152"/>
      <c r="H2838" s="153"/>
      <c r="I2838" s="154"/>
      <c r="J2838" s="154"/>
      <c r="K2838" s="30" t="str">
        <f>IF(H2838="","",IF($C$30="간이법","",FPR(H2838,I2838,J2838)))</f>
        <v/>
      </c>
      <c r="L2838" s="30" t="str">
        <f>IF(H2838="","",IF($C$30="상세법",FPV(H2838,K2838),IF(H2838="EI",4,IF(H2838="EO",5.2,IF(H2838="EQ",3.9,IF(H2838="ILF",7.5,IF(H2838="EIF",5.4)))))))</f>
        <v/>
      </c>
      <c r="M2838" s="30" t="str">
        <f t="shared" si="303"/>
        <v/>
      </c>
      <c r="N2838" s="134"/>
      <c r="O2838" s="29"/>
      <c r="P2838" s="37" t="str">
        <f t="shared" si="304"/>
        <v/>
      </c>
      <c r="Q2838" s="38" t="str">
        <f t="shared" si="305"/>
        <v/>
      </c>
      <c r="R2838" s="37" t="str">
        <f t="shared" si="306"/>
        <v/>
      </c>
      <c r="S2838" s="37" t="str">
        <f t="shared" si="307"/>
        <v/>
      </c>
      <c r="T2838" s="38" t="str">
        <f t="shared" si="308"/>
        <v/>
      </c>
      <c r="U2838" s="37" t="str">
        <f t="shared" si="309"/>
        <v/>
      </c>
    </row>
    <row r="2839" spans="2:21" ht="17.25">
      <c r="B2839" s="156"/>
      <c r="C2839" s="156"/>
      <c r="D2839" s="157"/>
      <c r="E2839" s="155"/>
      <c r="F2839" s="151"/>
      <c r="G2839" s="152"/>
      <c r="H2839" s="153"/>
      <c r="I2839" s="154"/>
      <c r="J2839" s="154"/>
      <c r="K2839" s="30" t="str">
        <f>IF(H2839="","",IF($C$30="간이법","",FPR(H2839,I2839,J2839)))</f>
        <v/>
      </c>
      <c r="L2839" s="30" t="str">
        <f>IF(H2839="","",IF($C$30="상세법",FPV(H2839,K2839),IF(H2839="EI",4,IF(H2839="EO",5.2,IF(H2839="EQ",3.9,IF(H2839="ILF",7.5,IF(H2839="EIF",5.4)))))))</f>
        <v/>
      </c>
      <c r="M2839" s="30" t="str">
        <f t="shared" si="303"/>
        <v/>
      </c>
      <c r="N2839" s="134"/>
      <c r="O2839" s="29"/>
      <c r="P2839" s="37" t="str">
        <f t="shared" si="304"/>
        <v/>
      </c>
      <c r="Q2839" s="38" t="str">
        <f t="shared" si="305"/>
        <v/>
      </c>
      <c r="R2839" s="37" t="str">
        <f t="shared" si="306"/>
        <v/>
      </c>
      <c r="S2839" s="37" t="str">
        <f t="shared" si="307"/>
        <v/>
      </c>
      <c r="T2839" s="38" t="str">
        <f t="shared" si="308"/>
        <v/>
      </c>
      <c r="U2839" s="37" t="str">
        <f t="shared" si="309"/>
        <v/>
      </c>
    </row>
    <row r="2840" spans="2:21" ht="17.25">
      <c r="B2840" s="156"/>
      <c r="C2840" s="156"/>
      <c r="D2840" s="157"/>
      <c r="E2840" s="155"/>
      <c r="F2840" s="151"/>
      <c r="G2840" s="152"/>
      <c r="H2840" s="153"/>
      <c r="I2840" s="154"/>
      <c r="J2840" s="154"/>
      <c r="K2840" s="30" t="str">
        <f>IF(H2840="","",IF($C$30="간이법","",FPR(H2840,I2840,J2840)))</f>
        <v/>
      </c>
      <c r="L2840" s="30" t="str">
        <f>IF(H2840="","",IF($C$30="상세법",FPV(H2840,K2840),IF(H2840="EI",4,IF(H2840="EO",5.2,IF(H2840="EQ",3.9,IF(H2840="ILF",7.5,IF(H2840="EIF",5.4)))))))</f>
        <v/>
      </c>
      <c r="M2840" s="30" t="str">
        <f t="shared" si="303"/>
        <v/>
      </c>
      <c r="N2840" s="134"/>
      <c r="O2840" s="29"/>
      <c r="P2840" s="37" t="str">
        <f t="shared" si="304"/>
        <v/>
      </c>
      <c r="Q2840" s="38" t="str">
        <f t="shared" si="305"/>
        <v/>
      </c>
      <c r="R2840" s="37" t="str">
        <f t="shared" si="306"/>
        <v/>
      </c>
      <c r="S2840" s="37" t="str">
        <f t="shared" si="307"/>
        <v/>
      </c>
      <c r="T2840" s="38" t="str">
        <f t="shared" si="308"/>
        <v/>
      </c>
      <c r="U2840" s="37" t="str">
        <f t="shared" si="309"/>
        <v/>
      </c>
    </row>
    <row r="2841" spans="2:21" ht="17.25">
      <c r="B2841" s="156"/>
      <c r="C2841" s="156"/>
      <c r="D2841" s="157"/>
      <c r="E2841" s="155"/>
      <c r="F2841" s="151"/>
      <c r="G2841" s="152"/>
      <c r="H2841" s="153"/>
      <c r="I2841" s="154"/>
      <c r="J2841" s="154"/>
      <c r="K2841" s="30" t="str">
        <f>IF(H2841="","",IF($C$30="간이법","",FPR(H2841,I2841,J2841)))</f>
        <v/>
      </c>
      <c r="L2841" s="30" t="str">
        <f>IF(H2841="","",IF($C$30="상세법",FPV(H2841,K2841),IF(H2841="EI",4,IF(H2841="EO",5.2,IF(H2841="EQ",3.9,IF(H2841="ILF",7.5,IF(H2841="EIF",5.4)))))))</f>
        <v/>
      </c>
      <c r="M2841" s="30" t="str">
        <f t="shared" si="303"/>
        <v/>
      </c>
      <c r="N2841" s="134"/>
      <c r="O2841" s="29"/>
      <c r="P2841" s="37" t="str">
        <f t="shared" si="304"/>
        <v/>
      </c>
      <c r="Q2841" s="38" t="str">
        <f t="shared" si="305"/>
        <v/>
      </c>
      <c r="R2841" s="37" t="str">
        <f t="shared" si="306"/>
        <v/>
      </c>
      <c r="S2841" s="37" t="str">
        <f t="shared" si="307"/>
        <v/>
      </c>
      <c r="T2841" s="38" t="str">
        <f t="shared" si="308"/>
        <v/>
      </c>
      <c r="U2841" s="37" t="str">
        <f t="shared" si="309"/>
        <v/>
      </c>
    </row>
    <row r="2842" spans="2:21" ht="17.25">
      <c r="B2842" s="156"/>
      <c r="C2842" s="156"/>
      <c r="D2842" s="157"/>
      <c r="E2842" s="155"/>
      <c r="F2842" s="151"/>
      <c r="G2842" s="152"/>
      <c r="H2842" s="153"/>
      <c r="I2842" s="154"/>
      <c r="J2842" s="154"/>
      <c r="K2842" s="30" t="str">
        <f>IF(H2842="","",IF($C$30="간이법","",FPR(H2842,I2842,J2842)))</f>
        <v/>
      </c>
      <c r="L2842" s="30" t="str">
        <f>IF(H2842="","",IF($C$30="상세법",FPV(H2842,K2842),IF(H2842="EI",4,IF(H2842="EO",5.2,IF(H2842="EQ",3.9,IF(H2842="ILF",7.5,IF(H2842="EIF",5.4)))))))</f>
        <v/>
      </c>
      <c r="M2842" s="30" t="str">
        <f t="shared" si="303"/>
        <v/>
      </c>
      <c r="N2842" s="134"/>
      <c r="O2842" s="29"/>
      <c r="P2842" s="37" t="str">
        <f t="shared" si="304"/>
        <v/>
      </c>
      <c r="Q2842" s="38" t="str">
        <f t="shared" si="305"/>
        <v/>
      </c>
      <c r="R2842" s="37" t="str">
        <f t="shared" si="306"/>
        <v/>
      </c>
      <c r="S2842" s="37" t="str">
        <f t="shared" si="307"/>
        <v/>
      </c>
      <c r="T2842" s="38" t="str">
        <f t="shared" si="308"/>
        <v/>
      </c>
      <c r="U2842" s="37" t="str">
        <f t="shared" si="309"/>
        <v/>
      </c>
    </row>
    <row r="2843" spans="2:21" ht="17.25">
      <c r="B2843" s="156"/>
      <c r="C2843" s="156"/>
      <c r="D2843" s="157"/>
      <c r="E2843" s="155"/>
      <c r="F2843" s="151"/>
      <c r="G2843" s="152"/>
      <c r="H2843" s="153"/>
      <c r="I2843" s="154"/>
      <c r="J2843" s="154"/>
      <c r="K2843" s="30" t="str">
        <f>IF(H2843="","",IF($C$30="간이법","",FPR(H2843,I2843,J2843)))</f>
        <v/>
      </c>
      <c r="L2843" s="30" t="str">
        <f>IF(H2843="","",IF($C$30="상세법",FPV(H2843,K2843),IF(H2843="EI",4,IF(H2843="EO",5.2,IF(H2843="EQ",3.9,IF(H2843="ILF",7.5,IF(H2843="EIF",5.4)))))))</f>
        <v/>
      </c>
      <c r="M2843" s="30" t="str">
        <f t="shared" si="303"/>
        <v/>
      </c>
      <c r="N2843" s="134"/>
      <c r="O2843" s="29"/>
      <c r="P2843" s="37" t="str">
        <f t="shared" si="304"/>
        <v/>
      </c>
      <c r="Q2843" s="38" t="str">
        <f t="shared" si="305"/>
        <v/>
      </c>
      <c r="R2843" s="37" t="str">
        <f t="shared" si="306"/>
        <v/>
      </c>
      <c r="S2843" s="37" t="str">
        <f t="shared" si="307"/>
        <v/>
      </c>
      <c r="T2843" s="38" t="str">
        <f t="shared" si="308"/>
        <v/>
      </c>
      <c r="U2843" s="37" t="str">
        <f t="shared" si="309"/>
        <v/>
      </c>
    </row>
    <row r="2844" spans="2:21" ht="17.25">
      <c r="B2844" s="156"/>
      <c r="C2844" s="156"/>
      <c r="D2844" s="157"/>
      <c r="E2844" s="155"/>
      <c r="F2844" s="151"/>
      <c r="G2844" s="152"/>
      <c r="H2844" s="153"/>
      <c r="I2844" s="154"/>
      <c r="J2844" s="154"/>
      <c r="K2844" s="30" t="str">
        <f>IF(H2844="","",IF($C$30="간이법","",FPR(H2844,I2844,J2844)))</f>
        <v/>
      </c>
      <c r="L2844" s="30" t="str">
        <f>IF(H2844="","",IF($C$30="상세법",FPV(H2844,K2844),IF(H2844="EI",4,IF(H2844="EO",5.2,IF(H2844="EQ",3.9,IF(H2844="ILF",7.5,IF(H2844="EIF",5.4)))))))</f>
        <v/>
      </c>
      <c r="M2844" s="30" t="str">
        <f t="shared" si="303"/>
        <v/>
      </c>
      <c r="N2844" s="134"/>
      <c r="O2844" s="29"/>
      <c r="P2844" s="37" t="str">
        <f t="shared" si="304"/>
        <v/>
      </c>
      <c r="Q2844" s="38" t="str">
        <f t="shared" si="305"/>
        <v/>
      </c>
      <c r="R2844" s="37" t="str">
        <f t="shared" si="306"/>
        <v/>
      </c>
      <c r="S2844" s="37" t="str">
        <f t="shared" si="307"/>
        <v/>
      </c>
      <c r="T2844" s="38" t="str">
        <f t="shared" si="308"/>
        <v/>
      </c>
      <c r="U2844" s="37" t="str">
        <f t="shared" si="309"/>
        <v/>
      </c>
    </row>
    <row r="2845" spans="2:21" ht="17.25">
      <c r="B2845" s="156"/>
      <c r="C2845" s="156"/>
      <c r="D2845" s="157"/>
      <c r="E2845" s="155"/>
      <c r="F2845" s="151"/>
      <c r="G2845" s="152"/>
      <c r="H2845" s="153"/>
      <c r="I2845" s="154"/>
      <c r="J2845" s="154"/>
      <c r="K2845" s="30" t="str">
        <f>IF(H2845="","",IF($C$30="간이법","",FPR(H2845,I2845,J2845)))</f>
        <v/>
      </c>
      <c r="L2845" s="30" t="str">
        <f>IF(H2845="","",IF($C$30="상세법",FPV(H2845,K2845),IF(H2845="EI",4,IF(H2845="EO",5.2,IF(H2845="EQ",3.9,IF(H2845="ILF",7.5,IF(H2845="EIF",5.4)))))))</f>
        <v/>
      </c>
      <c r="M2845" s="30" t="str">
        <f t="shared" si="303"/>
        <v/>
      </c>
      <c r="N2845" s="134"/>
      <c r="O2845" s="29"/>
      <c r="P2845" s="37" t="str">
        <f t="shared" si="304"/>
        <v/>
      </c>
      <c r="Q2845" s="38" t="str">
        <f t="shared" si="305"/>
        <v/>
      </c>
      <c r="R2845" s="37" t="str">
        <f t="shared" si="306"/>
        <v/>
      </c>
      <c r="S2845" s="37" t="str">
        <f t="shared" si="307"/>
        <v/>
      </c>
      <c r="T2845" s="38" t="str">
        <f t="shared" si="308"/>
        <v/>
      </c>
      <c r="U2845" s="37" t="str">
        <f t="shared" si="309"/>
        <v/>
      </c>
    </row>
    <row r="2846" spans="2:21" ht="17.25">
      <c r="B2846" s="156"/>
      <c r="C2846" s="156"/>
      <c r="D2846" s="157"/>
      <c r="E2846" s="155"/>
      <c r="F2846" s="151"/>
      <c r="G2846" s="152"/>
      <c r="H2846" s="153"/>
      <c r="I2846" s="154"/>
      <c r="J2846" s="154"/>
      <c r="K2846" s="30" t="str">
        <f>IF(H2846="","",IF($C$30="간이법","",FPR(H2846,I2846,J2846)))</f>
        <v/>
      </c>
      <c r="L2846" s="30" t="str">
        <f>IF(H2846="","",IF($C$30="상세법",FPV(H2846,K2846),IF(H2846="EI",4,IF(H2846="EO",5.2,IF(H2846="EQ",3.9,IF(H2846="ILF",7.5,IF(H2846="EIF",5.4)))))))</f>
        <v/>
      </c>
      <c r="M2846" s="30" t="str">
        <f t="shared" si="303"/>
        <v/>
      </c>
      <c r="N2846" s="134"/>
      <c r="O2846" s="29"/>
      <c r="P2846" s="37" t="str">
        <f t="shared" si="304"/>
        <v/>
      </c>
      <c r="Q2846" s="38" t="str">
        <f t="shared" si="305"/>
        <v/>
      </c>
      <c r="R2846" s="37" t="str">
        <f t="shared" si="306"/>
        <v/>
      </c>
      <c r="S2846" s="37" t="str">
        <f t="shared" si="307"/>
        <v/>
      </c>
      <c r="T2846" s="38" t="str">
        <f t="shared" si="308"/>
        <v/>
      </c>
      <c r="U2846" s="37" t="str">
        <f t="shared" si="309"/>
        <v/>
      </c>
    </row>
    <row r="2847" spans="2:21" ht="17.25">
      <c r="B2847" s="156"/>
      <c r="C2847" s="156"/>
      <c r="D2847" s="157"/>
      <c r="E2847" s="155"/>
      <c r="F2847" s="151"/>
      <c r="G2847" s="152"/>
      <c r="H2847" s="153"/>
      <c r="I2847" s="154"/>
      <c r="J2847" s="154"/>
      <c r="K2847" s="30" t="str">
        <f>IF(H2847="","",IF($C$30="간이법","",FPR(H2847,I2847,J2847)))</f>
        <v/>
      </c>
      <c r="L2847" s="30" t="str">
        <f>IF(H2847="","",IF($C$30="상세법",FPV(H2847,K2847),IF(H2847="EI",4,IF(H2847="EO",5.2,IF(H2847="EQ",3.9,IF(H2847="ILF",7.5,IF(H2847="EIF",5.4)))))))</f>
        <v/>
      </c>
      <c r="M2847" s="30" t="str">
        <f t="shared" si="303"/>
        <v/>
      </c>
      <c r="N2847" s="134"/>
      <c r="O2847" s="29"/>
      <c r="P2847" s="37" t="str">
        <f t="shared" si="304"/>
        <v/>
      </c>
      <c r="Q2847" s="38" t="str">
        <f t="shared" si="305"/>
        <v/>
      </c>
      <c r="R2847" s="37" t="str">
        <f t="shared" si="306"/>
        <v/>
      </c>
      <c r="S2847" s="37" t="str">
        <f t="shared" si="307"/>
        <v/>
      </c>
      <c r="T2847" s="38" t="str">
        <f t="shared" si="308"/>
        <v/>
      </c>
      <c r="U2847" s="37" t="str">
        <f t="shared" si="309"/>
        <v/>
      </c>
    </row>
    <row r="2848" spans="2:21" ht="17.25">
      <c r="B2848" s="156"/>
      <c r="C2848" s="156"/>
      <c r="D2848" s="157"/>
      <c r="E2848" s="155"/>
      <c r="F2848" s="151"/>
      <c r="G2848" s="152"/>
      <c r="H2848" s="153"/>
      <c r="I2848" s="154"/>
      <c r="J2848" s="154"/>
      <c r="K2848" s="30" t="str">
        <f>IF(H2848="","",IF($C$30="간이법","",FPR(H2848,I2848,J2848)))</f>
        <v/>
      </c>
      <c r="L2848" s="30" t="str">
        <f>IF(H2848="","",IF($C$30="상세법",FPV(H2848,K2848),IF(H2848="EI",4,IF(H2848="EO",5.2,IF(H2848="EQ",3.9,IF(H2848="ILF",7.5,IF(H2848="EIF",5.4)))))))</f>
        <v/>
      </c>
      <c r="M2848" s="30" t="str">
        <f t="shared" si="303"/>
        <v/>
      </c>
      <c r="N2848" s="134"/>
      <c r="O2848" s="29"/>
      <c r="P2848" s="37" t="str">
        <f t="shared" si="304"/>
        <v/>
      </c>
      <c r="Q2848" s="38" t="str">
        <f t="shared" si="305"/>
        <v/>
      </c>
      <c r="R2848" s="37" t="str">
        <f t="shared" si="306"/>
        <v/>
      </c>
      <c r="S2848" s="37" t="str">
        <f t="shared" si="307"/>
        <v/>
      </c>
      <c r="T2848" s="38" t="str">
        <f t="shared" si="308"/>
        <v/>
      </c>
      <c r="U2848" s="37" t="str">
        <f t="shared" si="309"/>
        <v/>
      </c>
    </row>
    <row r="2849" spans="2:21" ht="17.25">
      <c r="B2849" s="156"/>
      <c r="C2849" s="156"/>
      <c r="D2849" s="157"/>
      <c r="E2849" s="155"/>
      <c r="F2849" s="151"/>
      <c r="G2849" s="152"/>
      <c r="H2849" s="153"/>
      <c r="I2849" s="154"/>
      <c r="J2849" s="154"/>
      <c r="K2849" s="30" t="str">
        <f>IF(H2849="","",IF($C$30="간이법","",FPR(H2849,I2849,J2849)))</f>
        <v/>
      </c>
      <c r="L2849" s="30" t="str">
        <f>IF(H2849="","",IF($C$30="상세법",FPV(H2849,K2849),IF(H2849="EI",4,IF(H2849="EO",5.2,IF(H2849="EQ",3.9,IF(H2849="ILF",7.5,IF(H2849="EIF",5.4)))))))</f>
        <v/>
      </c>
      <c r="M2849" s="30" t="str">
        <f t="shared" si="303"/>
        <v/>
      </c>
      <c r="N2849" s="134"/>
      <c r="O2849" s="29"/>
      <c r="P2849" s="37" t="str">
        <f t="shared" si="304"/>
        <v/>
      </c>
      <c r="Q2849" s="38" t="str">
        <f t="shared" si="305"/>
        <v/>
      </c>
      <c r="R2849" s="37" t="str">
        <f t="shared" si="306"/>
        <v/>
      </c>
      <c r="S2849" s="37" t="str">
        <f t="shared" si="307"/>
        <v/>
      </c>
      <c r="T2849" s="38" t="str">
        <f t="shared" si="308"/>
        <v/>
      </c>
      <c r="U2849" s="37" t="str">
        <f t="shared" si="309"/>
        <v/>
      </c>
    </row>
    <row r="2850" spans="2:21" ht="17.25">
      <c r="B2850" s="156"/>
      <c r="C2850" s="156"/>
      <c r="D2850" s="157"/>
      <c r="E2850" s="155"/>
      <c r="F2850" s="151"/>
      <c r="G2850" s="152"/>
      <c r="H2850" s="153"/>
      <c r="I2850" s="154"/>
      <c r="J2850" s="154"/>
      <c r="K2850" s="30" t="str">
        <f>IF(H2850="","",IF($C$30="간이법","",FPR(H2850,I2850,J2850)))</f>
        <v/>
      </c>
      <c r="L2850" s="30" t="str">
        <f>IF(H2850="","",IF($C$30="상세법",FPV(H2850,K2850),IF(H2850="EI",4,IF(H2850="EO",5.2,IF(H2850="EQ",3.9,IF(H2850="ILF",7.5,IF(H2850="EIF",5.4)))))))</f>
        <v/>
      </c>
      <c r="M2850" s="30" t="str">
        <f t="shared" si="303"/>
        <v/>
      </c>
      <c r="N2850" s="134"/>
      <c r="O2850" s="29"/>
      <c r="P2850" s="37" t="str">
        <f t="shared" si="304"/>
        <v/>
      </c>
      <c r="Q2850" s="38" t="str">
        <f t="shared" si="305"/>
        <v/>
      </c>
      <c r="R2850" s="37" t="str">
        <f t="shared" si="306"/>
        <v/>
      </c>
      <c r="S2850" s="37" t="str">
        <f t="shared" si="307"/>
        <v/>
      </c>
      <c r="T2850" s="38" t="str">
        <f t="shared" si="308"/>
        <v/>
      </c>
      <c r="U2850" s="37" t="str">
        <f t="shared" si="309"/>
        <v/>
      </c>
    </row>
    <row r="2851" spans="2:21" ht="17.25">
      <c r="B2851" s="156"/>
      <c r="C2851" s="156"/>
      <c r="D2851" s="157"/>
      <c r="E2851" s="155"/>
      <c r="F2851" s="151"/>
      <c r="G2851" s="152"/>
      <c r="H2851" s="153"/>
      <c r="I2851" s="154"/>
      <c r="J2851" s="154"/>
      <c r="K2851" s="30" t="str">
        <f>IF(H2851="","",IF($C$30="간이법","",FPR(H2851,I2851,J2851)))</f>
        <v/>
      </c>
      <c r="L2851" s="30" t="str">
        <f>IF(H2851="","",IF($C$30="상세법",FPV(H2851,K2851),IF(H2851="EI",4,IF(H2851="EO",5.2,IF(H2851="EQ",3.9,IF(H2851="ILF",7.5,IF(H2851="EIF",5.4)))))))</f>
        <v/>
      </c>
      <c r="M2851" s="30" t="str">
        <f t="shared" si="303"/>
        <v/>
      </c>
      <c r="N2851" s="134"/>
      <c r="O2851" s="29"/>
      <c r="P2851" s="37" t="str">
        <f t="shared" si="304"/>
        <v/>
      </c>
      <c r="Q2851" s="38" t="str">
        <f t="shared" si="305"/>
        <v/>
      </c>
      <c r="R2851" s="37" t="str">
        <f t="shared" si="306"/>
        <v/>
      </c>
      <c r="S2851" s="37" t="str">
        <f t="shared" si="307"/>
        <v/>
      </c>
      <c r="T2851" s="38" t="str">
        <f t="shared" si="308"/>
        <v/>
      </c>
      <c r="U2851" s="37" t="str">
        <f t="shared" si="309"/>
        <v/>
      </c>
    </row>
    <row r="2852" spans="2:21" ht="17.25">
      <c r="B2852" s="156"/>
      <c r="C2852" s="156"/>
      <c r="D2852" s="157"/>
      <c r="E2852" s="155"/>
      <c r="F2852" s="151"/>
      <c r="G2852" s="152"/>
      <c r="H2852" s="153"/>
      <c r="I2852" s="154"/>
      <c r="J2852" s="154"/>
      <c r="K2852" s="30" t="str">
        <f>IF(H2852="","",IF($C$30="간이법","",FPR(H2852,I2852,J2852)))</f>
        <v/>
      </c>
      <c r="L2852" s="30" t="str">
        <f>IF(H2852="","",IF($C$30="상세법",FPV(H2852,K2852),IF(H2852="EI",4,IF(H2852="EO",5.2,IF(H2852="EQ",3.9,IF(H2852="ILF",7.5,IF(H2852="EIF",5.4)))))))</f>
        <v/>
      </c>
      <c r="M2852" s="30" t="str">
        <f t="shared" si="303"/>
        <v/>
      </c>
      <c r="N2852" s="134"/>
      <c r="O2852" s="29"/>
      <c r="P2852" s="37" t="str">
        <f t="shared" si="304"/>
        <v/>
      </c>
      <c r="Q2852" s="38" t="str">
        <f t="shared" si="305"/>
        <v/>
      </c>
      <c r="R2852" s="37" t="str">
        <f t="shared" si="306"/>
        <v/>
      </c>
      <c r="S2852" s="37" t="str">
        <f t="shared" si="307"/>
        <v/>
      </c>
      <c r="T2852" s="38" t="str">
        <f t="shared" si="308"/>
        <v/>
      </c>
      <c r="U2852" s="37" t="str">
        <f t="shared" si="309"/>
        <v/>
      </c>
    </row>
    <row r="2853" spans="2:21" ht="17.25">
      <c r="B2853" s="156"/>
      <c r="C2853" s="156"/>
      <c r="D2853" s="157"/>
      <c r="E2853" s="155"/>
      <c r="F2853" s="151"/>
      <c r="G2853" s="152"/>
      <c r="H2853" s="153"/>
      <c r="I2853" s="154"/>
      <c r="J2853" s="154"/>
      <c r="K2853" s="30" t="str">
        <f>IF(H2853="","",IF($C$30="간이법","",FPR(H2853,I2853,J2853)))</f>
        <v/>
      </c>
      <c r="L2853" s="30" t="str">
        <f>IF(H2853="","",IF($C$30="상세법",FPV(H2853,K2853),IF(H2853="EI",4,IF(H2853="EO",5.2,IF(H2853="EQ",3.9,IF(H2853="ILF",7.5,IF(H2853="EIF",5.4)))))))</f>
        <v/>
      </c>
      <c r="M2853" s="30" t="str">
        <f t="shared" si="303"/>
        <v/>
      </c>
      <c r="N2853" s="134"/>
      <c r="O2853" s="29"/>
      <c r="P2853" s="37" t="str">
        <f t="shared" si="304"/>
        <v/>
      </c>
      <c r="Q2853" s="38" t="str">
        <f t="shared" si="305"/>
        <v/>
      </c>
      <c r="R2853" s="37" t="str">
        <f t="shared" si="306"/>
        <v/>
      </c>
      <c r="S2853" s="37" t="str">
        <f t="shared" si="307"/>
        <v/>
      </c>
      <c r="T2853" s="38" t="str">
        <f t="shared" si="308"/>
        <v/>
      </c>
      <c r="U2853" s="37" t="str">
        <f t="shared" si="309"/>
        <v/>
      </c>
    </row>
    <row r="2854" spans="2:21" ht="17.25">
      <c r="B2854" s="156"/>
      <c r="C2854" s="156"/>
      <c r="D2854" s="157"/>
      <c r="E2854" s="155"/>
      <c r="F2854" s="151"/>
      <c r="G2854" s="152"/>
      <c r="H2854" s="153"/>
      <c r="I2854" s="154"/>
      <c r="J2854" s="154"/>
      <c r="K2854" s="30" t="str">
        <f>IF(H2854="","",IF($C$30="간이법","",FPR(H2854,I2854,J2854)))</f>
        <v/>
      </c>
      <c r="L2854" s="30" t="str">
        <f>IF(H2854="","",IF($C$30="상세법",FPV(H2854,K2854),IF(H2854="EI",4,IF(H2854="EO",5.2,IF(H2854="EQ",3.9,IF(H2854="ILF",7.5,IF(H2854="EIF",5.4)))))))</f>
        <v/>
      </c>
      <c r="M2854" s="30" t="str">
        <f t="shared" si="303"/>
        <v/>
      </c>
      <c r="N2854" s="134"/>
      <c r="O2854" s="29"/>
      <c r="P2854" s="37" t="str">
        <f t="shared" si="304"/>
        <v/>
      </c>
      <c r="Q2854" s="38" t="str">
        <f t="shared" si="305"/>
        <v/>
      </c>
      <c r="R2854" s="37" t="str">
        <f t="shared" si="306"/>
        <v/>
      </c>
      <c r="S2854" s="37" t="str">
        <f t="shared" si="307"/>
        <v/>
      </c>
      <c r="T2854" s="38" t="str">
        <f t="shared" si="308"/>
        <v/>
      </c>
      <c r="U2854" s="37" t="str">
        <f t="shared" si="309"/>
        <v/>
      </c>
    </row>
    <row r="2855" spans="2:21" ht="17.25">
      <c r="B2855" s="156"/>
      <c r="C2855" s="156"/>
      <c r="D2855" s="157"/>
      <c r="E2855" s="155"/>
      <c r="F2855" s="151"/>
      <c r="G2855" s="152"/>
      <c r="H2855" s="153"/>
      <c r="I2855" s="154"/>
      <c r="J2855" s="154"/>
      <c r="K2855" s="30" t="str">
        <f>IF(H2855="","",IF($C$30="간이법","",FPR(H2855,I2855,J2855)))</f>
        <v/>
      </c>
      <c r="L2855" s="30" t="str">
        <f>IF(H2855="","",IF($C$30="상세법",FPV(H2855,K2855),IF(H2855="EI",4,IF(H2855="EO",5.2,IF(H2855="EQ",3.9,IF(H2855="ILF",7.5,IF(H2855="EIF",5.4)))))))</f>
        <v/>
      </c>
      <c r="M2855" s="30" t="str">
        <f t="shared" si="303"/>
        <v/>
      </c>
      <c r="N2855" s="134"/>
      <c r="O2855" s="29"/>
      <c r="P2855" s="37" t="str">
        <f t="shared" si="304"/>
        <v/>
      </c>
      <c r="Q2855" s="38" t="str">
        <f t="shared" si="305"/>
        <v/>
      </c>
      <c r="R2855" s="37" t="str">
        <f t="shared" si="306"/>
        <v/>
      </c>
      <c r="S2855" s="37" t="str">
        <f t="shared" si="307"/>
        <v/>
      </c>
      <c r="T2855" s="38" t="str">
        <f t="shared" si="308"/>
        <v/>
      </c>
      <c r="U2855" s="37" t="str">
        <f t="shared" si="309"/>
        <v/>
      </c>
    </row>
    <row r="2856" spans="2:21" ht="17.25">
      <c r="B2856" s="156"/>
      <c r="C2856" s="156"/>
      <c r="D2856" s="157"/>
      <c r="E2856" s="155"/>
      <c r="F2856" s="151"/>
      <c r="G2856" s="152"/>
      <c r="H2856" s="153"/>
      <c r="I2856" s="154"/>
      <c r="J2856" s="154"/>
      <c r="K2856" s="30" t="str">
        <f>IF(H2856="","",IF($C$30="간이법","",FPR(H2856,I2856,J2856)))</f>
        <v/>
      </c>
      <c r="L2856" s="30" t="str">
        <f>IF(H2856="","",IF($C$30="상세법",FPV(H2856,K2856),IF(H2856="EI",4,IF(H2856="EO",5.2,IF(H2856="EQ",3.9,IF(H2856="ILF",7.5,IF(H2856="EIF",5.4)))))))</f>
        <v/>
      </c>
      <c r="M2856" s="30" t="str">
        <f t="shared" si="303"/>
        <v/>
      </c>
      <c r="N2856" s="134"/>
      <c r="O2856" s="29"/>
      <c r="P2856" s="37" t="str">
        <f t="shared" si="304"/>
        <v/>
      </c>
      <c r="Q2856" s="38" t="str">
        <f t="shared" si="305"/>
        <v/>
      </c>
      <c r="R2856" s="37" t="str">
        <f t="shared" si="306"/>
        <v/>
      </c>
      <c r="S2856" s="37" t="str">
        <f t="shared" si="307"/>
        <v/>
      </c>
      <c r="T2856" s="38" t="str">
        <f t="shared" si="308"/>
        <v/>
      </c>
      <c r="U2856" s="37" t="str">
        <f t="shared" si="309"/>
        <v/>
      </c>
    </row>
    <row r="2857" spans="2:21" ht="17.25">
      <c r="B2857" s="156"/>
      <c r="C2857" s="156"/>
      <c r="D2857" s="157"/>
      <c r="E2857" s="155"/>
      <c r="F2857" s="151"/>
      <c r="G2857" s="152"/>
      <c r="H2857" s="153"/>
      <c r="I2857" s="154"/>
      <c r="J2857" s="154"/>
      <c r="K2857" s="30" t="str">
        <f>IF(H2857="","",IF($C$30="간이법","",FPR(H2857,I2857,J2857)))</f>
        <v/>
      </c>
      <c r="L2857" s="30" t="str">
        <f>IF(H2857="","",IF($C$30="상세법",FPV(H2857,K2857),IF(H2857="EI",4,IF(H2857="EO",5.2,IF(H2857="EQ",3.9,IF(H2857="ILF",7.5,IF(H2857="EIF",5.4)))))))</f>
        <v/>
      </c>
      <c r="M2857" s="30" t="str">
        <f t="shared" si="303"/>
        <v/>
      </c>
      <c r="N2857" s="134"/>
      <c r="O2857" s="29"/>
      <c r="P2857" s="37" t="str">
        <f t="shared" si="304"/>
        <v/>
      </c>
      <c r="Q2857" s="38" t="str">
        <f t="shared" si="305"/>
        <v/>
      </c>
      <c r="R2857" s="37" t="str">
        <f t="shared" si="306"/>
        <v/>
      </c>
      <c r="S2857" s="37" t="str">
        <f t="shared" si="307"/>
        <v/>
      </c>
      <c r="T2857" s="38" t="str">
        <f t="shared" si="308"/>
        <v/>
      </c>
      <c r="U2857" s="37" t="str">
        <f t="shared" si="309"/>
        <v/>
      </c>
    </row>
    <row r="2858" spans="2:21" ht="17.25">
      <c r="B2858" s="156"/>
      <c r="C2858" s="156"/>
      <c r="D2858" s="157"/>
      <c r="E2858" s="155"/>
      <c r="F2858" s="151"/>
      <c r="G2858" s="152"/>
      <c r="H2858" s="153"/>
      <c r="I2858" s="154"/>
      <c r="J2858" s="154"/>
      <c r="K2858" s="30" t="str">
        <f>IF(H2858="","",IF($C$30="간이법","",FPR(H2858,I2858,J2858)))</f>
        <v/>
      </c>
      <c r="L2858" s="30" t="str">
        <f>IF(H2858="","",IF($C$30="상세법",FPV(H2858,K2858),IF(H2858="EI",4,IF(H2858="EO",5.2,IF(H2858="EQ",3.9,IF(H2858="ILF",7.5,IF(H2858="EIF",5.4)))))))</f>
        <v/>
      </c>
      <c r="M2858" s="30" t="str">
        <f t="shared" si="303"/>
        <v/>
      </c>
      <c r="N2858" s="134"/>
      <c r="O2858" s="29"/>
      <c r="P2858" s="37" t="str">
        <f t="shared" si="304"/>
        <v/>
      </c>
      <c r="Q2858" s="38" t="str">
        <f t="shared" si="305"/>
        <v/>
      </c>
      <c r="R2858" s="37" t="str">
        <f t="shared" si="306"/>
        <v/>
      </c>
      <c r="S2858" s="37" t="str">
        <f t="shared" si="307"/>
        <v/>
      </c>
      <c r="T2858" s="38" t="str">
        <f t="shared" si="308"/>
        <v/>
      </c>
      <c r="U2858" s="37" t="str">
        <f t="shared" si="309"/>
        <v/>
      </c>
    </row>
    <row r="2859" spans="2:21" ht="17.25">
      <c r="B2859" s="156"/>
      <c r="C2859" s="156"/>
      <c r="D2859" s="157"/>
      <c r="E2859" s="155"/>
      <c r="F2859" s="151"/>
      <c r="G2859" s="152"/>
      <c r="H2859" s="153"/>
      <c r="I2859" s="154"/>
      <c r="J2859" s="154"/>
      <c r="K2859" s="30" t="str">
        <f>IF(H2859="","",IF($C$30="간이법","",FPR(H2859,I2859,J2859)))</f>
        <v/>
      </c>
      <c r="L2859" s="30" t="str">
        <f>IF(H2859="","",IF($C$30="상세법",FPV(H2859,K2859),IF(H2859="EI",4,IF(H2859="EO",5.2,IF(H2859="EQ",3.9,IF(H2859="ILF",7.5,IF(H2859="EIF",5.4)))))))</f>
        <v/>
      </c>
      <c r="M2859" s="30" t="str">
        <f t="shared" si="303"/>
        <v/>
      </c>
      <c r="N2859" s="134"/>
      <c r="O2859" s="29"/>
      <c r="P2859" s="37" t="str">
        <f t="shared" si="304"/>
        <v/>
      </c>
      <c r="Q2859" s="38" t="str">
        <f t="shared" si="305"/>
        <v/>
      </c>
      <c r="R2859" s="37" t="str">
        <f t="shared" si="306"/>
        <v/>
      </c>
      <c r="S2859" s="37" t="str">
        <f t="shared" si="307"/>
        <v/>
      </c>
      <c r="T2859" s="38" t="str">
        <f t="shared" si="308"/>
        <v/>
      </c>
      <c r="U2859" s="37" t="str">
        <f t="shared" si="309"/>
        <v/>
      </c>
    </row>
    <row r="2860" spans="2:21" ht="17.25">
      <c r="B2860" s="156"/>
      <c r="C2860" s="156"/>
      <c r="D2860" s="157"/>
      <c r="E2860" s="155"/>
      <c r="F2860" s="151"/>
      <c r="G2860" s="152"/>
      <c r="H2860" s="153"/>
      <c r="I2860" s="154"/>
      <c r="J2860" s="154"/>
      <c r="K2860" s="30" t="str">
        <f>IF(H2860="","",IF($C$30="간이법","",FPR(H2860,I2860,J2860)))</f>
        <v/>
      </c>
      <c r="L2860" s="30" t="str">
        <f>IF(H2860="","",IF($C$30="상세법",FPV(H2860,K2860),IF(H2860="EI",4,IF(H2860="EO",5.2,IF(H2860="EQ",3.9,IF(H2860="ILF",7.5,IF(H2860="EIF",5.4)))))))</f>
        <v/>
      </c>
      <c r="M2860" s="30" t="str">
        <f t="shared" si="303"/>
        <v/>
      </c>
      <c r="N2860" s="134"/>
      <c r="O2860" s="29"/>
      <c r="P2860" s="37" t="str">
        <f t="shared" si="304"/>
        <v/>
      </c>
      <c r="Q2860" s="38" t="str">
        <f t="shared" si="305"/>
        <v/>
      </c>
      <c r="R2860" s="37" t="str">
        <f t="shared" si="306"/>
        <v/>
      </c>
      <c r="S2860" s="37" t="str">
        <f t="shared" si="307"/>
        <v/>
      </c>
      <c r="T2860" s="38" t="str">
        <f t="shared" si="308"/>
        <v/>
      </c>
      <c r="U2860" s="37" t="str">
        <f t="shared" si="309"/>
        <v/>
      </c>
    </row>
    <row r="2861" spans="2:21" ht="17.25">
      <c r="B2861" s="156"/>
      <c r="C2861" s="156"/>
      <c r="D2861" s="157"/>
      <c r="E2861" s="155"/>
      <c r="F2861" s="151"/>
      <c r="G2861" s="152"/>
      <c r="H2861" s="153"/>
      <c r="I2861" s="154"/>
      <c r="J2861" s="154"/>
      <c r="K2861" s="30" t="str">
        <f>IF(H2861="","",IF($C$30="간이법","",FPR(H2861,I2861,J2861)))</f>
        <v/>
      </c>
      <c r="L2861" s="30" t="str">
        <f>IF(H2861="","",IF($C$30="상세법",FPV(H2861,K2861),IF(H2861="EI",4,IF(H2861="EO",5.2,IF(H2861="EQ",3.9,IF(H2861="ILF",7.5,IF(H2861="EIF",5.4)))))))</f>
        <v/>
      </c>
      <c r="M2861" s="30" t="str">
        <f t="shared" si="303"/>
        <v/>
      </c>
      <c r="N2861" s="134"/>
      <c r="O2861" s="29"/>
      <c r="P2861" s="37" t="str">
        <f t="shared" si="304"/>
        <v/>
      </c>
      <c r="Q2861" s="38" t="str">
        <f t="shared" si="305"/>
        <v/>
      </c>
      <c r="R2861" s="37" t="str">
        <f t="shared" si="306"/>
        <v/>
      </c>
      <c r="S2861" s="37" t="str">
        <f t="shared" si="307"/>
        <v/>
      </c>
      <c r="T2861" s="38" t="str">
        <f t="shared" si="308"/>
        <v/>
      </c>
      <c r="U2861" s="37" t="str">
        <f t="shared" si="309"/>
        <v/>
      </c>
    </row>
    <row r="2862" spans="2:21" ht="17.25">
      <c r="B2862" s="156"/>
      <c r="C2862" s="156"/>
      <c r="D2862" s="157"/>
      <c r="E2862" s="155"/>
      <c r="F2862" s="151"/>
      <c r="G2862" s="152"/>
      <c r="H2862" s="153"/>
      <c r="I2862" s="154"/>
      <c r="J2862" s="154"/>
      <c r="K2862" s="30" t="str">
        <f>IF(H2862="","",IF($C$30="간이법","",FPR(H2862,I2862,J2862)))</f>
        <v/>
      </c>
      <c r="L2862" s="30" t="str">
        <f>IF(H2862="","",IF($C$30="상세법",FPV(H2862,K2862),IF(H2862="EI",4,IF(H2862="EO",5.2,IF(H2862="EQ",3.9,IF(H2862="ILF",7.5,IF(H2862="EIF",5.4)))))))</f>
        <v/>
      </c>
      <c r="M2862" s="30" t="str">
        <f t="shared" si="303"/>
        <v/>
      </c>
      <c r="N2862" s="134"/>
      <c r="O2862" s="29"/>
      <c r="P2862" s="37" t="str">
        <f t="shared" si="304"/>
        <v/>
      </c>
      <c r="Q2862" s="38" t="str">
        <f t="shared" si="305"/>
        <v/>
      </c>
      <c r="R2862" s="37" t="str">
        <f t="shared" si="306"/>
        <v/>
      </c>
      <c r="S2862" s="37" t="str">
        <f t="shared" si="307"/>
        <v/>
      </c>
      <c r="T2862" s="38" t="str">
        <f t="shared" si="308"/>
        <v/>
      </c>
      <c r="U2862" s="37" t="str">
        <f t="shared" si="309"/>
        <v/>
      </c>
    </row>
    <row r="2863" spans="2:21" ht="17.25">
      <c r="B2863" s="156"/>
      <c r="C2863" s="156"/>
      <c r="D2863" s="157"/>
      <c r="E2863" s="155"/>
      <c r="F2863" s="151"/>
      <c r="G2863" s="152"/>
      <c r="H2863" s="153"/>
      <c r="I2863" s="154"/>
      <c r="J2863" s="154"/>
      <c r="K2863" s="30" t="str">
        <f>IF(H2863="","",IF($C$30="간이법","",FPR(H2863,I2863,J2863)))</f>
        <v/>
      </c>
      <c r="L2863" s="30" t="str">
        <f>IF(H2863="","",IF($C$30="상세법",FPV(H2863,K2863),IF(H2863="EI",4,IF(H2863="EO",5.2,IF(H2863="EQ",3.9,IF(H2863="ILF",7.5,IF(H2863="EIF",5.4)))))))</f>
        <v/>
      </c>
      <c r="M2863" s="30" t="str">
        <f t="shared" si="303"/>
        <v/>
      </c>
      <c r="N2863" s="134"/>
      <c r="O2863" s="29"/>
      <c r="P2863" s="37" t="str">
        <f t="shared" si="304"/>
        <v/>
      </c>
      <c r="Q2863" s="38" t="str">
        <f t="shared" si="305"/>
        <v/>
      </c>
      <c r="R2863" s="37" t="str">
        <f t="shared" si="306"/>
        <v/>
      </c>
      <c r="S2863" s="37" t="str">
        <f t="shared" si="307"/>
        <v/>
      </c>
      <c r="T2863" s="38" t="str">
        <f t="shared" si="308"/>
        <v/>
      </c>
      <c r="U2863" s="37" t="str">
        <f t="shared" si="309"/>
        <v/>
      </c>
    </row>
    <row r="2864" spans="2:21" ht="17.25">
      <c r="B2864" s="156"/>
      <c r="C2864" s="156"/>
      <c r="D2864" s="157"/>
      <c r="E2864" s="155"/>
      <c r="F2864" s="151"/>
      <c r="G2864" s="152"/>
      <c r="H2864" s="153"/>
      <c r="I2864" s="154"/>
      <c r="J2864" s="154"/>
      <c r="K2864" s="30" t="str">
        <f>IF(H2864="","",IF($C$30="간이법","",FPR(H2864,I2864,J2864)))</f>
        <v/>
      </c>
      <c r="L2864" s="30" t="str">
        <f>IF(H2864="","",IF($C$30="상세법",FPV(H2864,K2864),IF(H2864="EI",4,IF(H2864="EO",5.2,IF(H2864="EQ",3.9,IF(H2864="ILF",7.5,IF(H2864="EIF",5.4)))))))</f>
        <v/>
      </c>
      <c r="M2864" s="30" t="str">
        <f t="shared" si="303"/>
        <v/>
      </c>
      <c r="N2864" s="134"/>
      <c r="O2864" s="29"/>
      <c r="P2864" s="37" t="str">
        <f t="shared" si="304"/>
        <v/>
      </c>
      <c r="Q2864" s="38" t="str">
        <f t="shared" si="305"/>
        <v/>
      </c>
      <c r="R2864" s="37" t="str">
        <f t="shared" si="306"/>
        <v/>
      </c>
      <c r="S2864" s="37" t="str">
        <f t="shared" si="307"/>
        <v/>
      </c>
      <c r="T2864" s="38" t="str">
        <f t="shared" si="308"/>
        <v/>
      </c>
      <c r="U2864" s="37" t="str">
        <f t="shared" si="309"/>
        <v/>
      </c>
    </row>
    <row r="2865" spans="2:21" ht="17.25">
      <c r="B2865" s="156"/>
      <c r="C2865" s="156"/>
      <c r="D2865" s="157"/>
      <c r="E2865" s="155"/>
      <c r="F2865" s="151"/>
      <c r="G2865" s="152"/>
      <c r="H2865" s="153"/>
      <c r="I2865" s="154"/>
      <c r="J2865" s="154"/>
      <c r="K2865" s="30" t="str">
        <f>IF(H2865="","",IF($C$30="간이법","",FPR(H2865,I2865,J2865)))</f>
        <v/>
      </c>
      <c r="L2865" s="30" t="str">
        <f>IF(H2865="","",IF($C$30="상세법",FPV(H2865,K2865),IF(H2865="EI",4,IF(H2865="EO",5.2,IF(H2865="EQ",3.9,IF(H2865="ILF",7.5,IF(H2865="EIF",5.4)))))))</f>
        <v/>
      </c>
      <c r="M2865" s="30" t="str">
        <f t="shared" si="303"/>
        <v/>
      </c>
      <c r="N2865" s="134"/>
      <c r="O2865" s="29"/>
      <c r="P2865" s="37" t="str">
        <f t="shared" si="304"/>
        <v/>
      </c>
      <c r="Q2865" s="38" t="str">
        <f t="shared" si="305"/>
        <v/>
      </c>
      <c r="R2865" s="37" t="str">
        <f t="shared" si="306"/>
        <v/>
      </c>
      <c r="S2865" s="37" t="str">
        <f t="shared" si="307"/>
        <v/>
      </c>
      <c r="T2865" s="38" t="str">
        <f t="shared" si="308"/>
        <v/>
      </c>
      <c r="U2865" s="37" t="str">
        <f t="shared" si="309"/>
        <v/>
      </c>
    </row>
    <row r="2866" spans="2:21" ht="17.25">
      <c r="B2866" s="156"/>
      <c r="C2866" s="156"/>
      <c r="D2866" s="157"/>
      <c r="E2866" s="155"/>
      <c r="F2866" s="151"/>
      <c r="G2866" s="152"/>
      <c r="H2866" s="153"/>
      <c r="I2866" s="154"/>
      <c r="J2866" s="154"/>
      <c r="K2866" s="30" t="str">
        <f>IF(H2866="","",IF($C$30="간이법","",FPR(H2866,I2866,J2866)))</f>
        <v/>
      </c>
      <c r="L2866" s="30" t="str">
        <f>IF(H2866="","",IF($C$30="상세법",FPV(H2866,K2866),IF(H2866="EI",4,IF(H2866="EO",5.2,IF(H2866="EQ",3.9,IF(H2866="ILF",7.5,IF(H2866="EIF",5.4)))))))</f>
        <v/>
      </c>
      <c r="M2866" s="30" t="str">
        <f t="shared" si="303"/>
        <v/>
      </c>
      <c r="N2866" s="134"/>
      <c r="O2866" s="29"/>
      <c r="P2866" s="37" t="str">
        <f t="shared" si="304"/>
        <v/>
      </c>
      <c r="Q2866" s="38" t="str">
        <f t="shared" si="305"/>
        <v/>
      </c>
      <c r="R2866" s="37" t="str">
        <f t="shared" si="306"/>
        <v/>
      </c>
      <c r="S2866" s="37" t="str">
        <f t="shared" si="307"/>
        <v/>
      </c>
      <c r="T2866" s="38" t="str">
        <f t="shared" si="308"/>
        <v/>
      </c>
      <c r="U2866" s="37" t="str">
        <f t="shared" si="309"/>
        <v/>
      </c>
    </row>
    <row r="2867" spans="2:21" ht="17.25">
      <c r="B2867" s="156"/>
      <c r="C2867" s="156"/>
      <c r="D2867" s="157"/>
      <c r="E2867" s="155"/>
      <c r="F2867" s="151"/>
      <c r="G2867" s="152"/>
      <c r="H2867" s="153"/>
      <c r="I2867" s="154"/>
      <c r="J2867" s="154"/>
      <c r="K2867" s="30" t="str">
        <f>IF(H2867="","",IF($C$30="간이법","",FPR(H2867,I2867,J2867)))</f>
        <v/>
      </c>
      <c r="L2867" s="30" t="str">
        <f>IF(H2867="","",IF($C$30="상세법",FPV(H2867,K2867),IF(H2867="EI",4,IF(H2867="EO",5.2,IF(H2867="EQ",3.9,IF(H2867="ILF",7.5,IF(H2867="EIF",5.4)))))))</f>
        <v/>
      </c>
      <c r="M2867" s="30" t="str">
        <f t="shared" si="303"/>
        <v/>
      </c>
      <c r="N2867" s="134"/>
      <c r="O2867" s="29"/>
      <c r="P2867" s="37" t="str">
        <f t="shared" si="304"/>
        <v/>
      </c>
      <c r="Q2867" s="38" t="str">
        <f t="shared" si="305"/>
        <v/>
      </c>
      <c r="R2867" s="37" t="str">
        <f t="shared" si="306"/>
        <v/>
      </c>
      <c r="S2867" s="37" t="str">
        <f t="shared" si="307"/>
        <v/>
      </c>
      <c r="T2867" s="38" t="str">
        <f t="shared" si="308"/>
        <v/>
      </c>
      <c r="U2867" s="37" t="str">
        <f t="shared" si="309"/>
        <v/>
      </c>
    </row>
    <row r="2868" spans="2:21" ht="17.25">
      <c r="B2868" s="156"/>
      <c r="C2868" s="156"/>
      <c r="D2868" s="157"/>
      <c r="E2868" s="155"/>
      <c r="F2868" s="151"/>
      <c r="G2868" s="152"/>
      <c r="H2868" s="153"/>
      <c r="I2868" s="154"/>
      <c r="J2868" s="154"/>
      <c r="K2868" s="30" t="str">
        <f>IF(H2868="","",IF($C$30="간이법","",FPR(H2868,I2868,J2868)))</f>
        <v/>
      </c>
      <c r="L2868" s="30" t="str">
        <f>IF(H2868="","",IF($C$30="상세법",FPV(H2868,K2868),IF(H2868="EI",4,IF(H2868="EO",5.2,IF(H2868="EQ",3.9,IF(H2868="ILF",7.5,IF(H2868="EIF",5.4)))))))</f>
        <v/>
      </c>
      <c r="M2868" s="30" t="str">
        <f t="shared" si="303"/>
        <v/>
      </c>
      <c r="N2868" s="134"/>
      <c r="O2868" s="29"/>
      <c r="P2868" s="37" t="str">
        <f t="shared" si="304"/>
        <v/>
      </c>
      <c r="Q2868" s="38" t="str">
        <f t="shared" si="305"/>
        <v/>
      </c>
      <c r="R2868" s="37" t="str">
        <f t="shared" si="306"/>
        <v/>
      </c>
      <c r="S2868" s="37" t="str">
        <f t="shared" si="307"/>
        <v/>
      </c>
      <c r="T2868" s="38" t="str">
        <f t="shared" si="308"/>
        <v/>
      </c>
      <c r="U2868" s="37" t="str">
        <f t="shared" si="309"/>
        <v/>
      </c>
    </row>
    <row r="2869" spans="2:21" ht="17.25">
      <c r="B2869" s="156"/>
      <c r="C2869" s="156"/>
      <c r="D2869" s="157"/>
      <c r="E2869" s="155"/>
      <c r="F2869" s="151"/>
      <c r="G2869" s="152"/>
      <c r="H2869" s="153"/>
      <c r="I2869" s="154"/>
      <c r="J2869" s="154"/>
      <c r="K2869" s="30" t="str">
        <f>IF(H2869="","",IF($C$30="간이법","",FPR(H2869,I2869,J2869)))</f>
        <v/>
      </c>
      <c r="L2869" s="30" t="str">
        <f>IF(H2869="","",IF($C$30="상세법",FPV(H2869,K2869),IF(H2869="EI",4,IF(H2869="EO",5.2,IF(H2869="EQ",3.9,IF(H2869="ILF",7.5,IF(H2869="EIF",5.4)))))))</f>
        <v/>
      </c>
      <c r="M2869" s="30" t="str">
        <f t="shared" si="303"/>
        <v/>
      </c>
      <c r="N2869" s="134"/>
      <c r="O2869" s="29"/>
      <c r="P2869" s="37" t="str">
        <f t="shared" si="304"/>
        <v/>
      </c>
      <c r="Q2869" s="38" t="str">
        <f t="shared" si="305"/>
        <v/>
      </c>
      <c r="R2869" s="37" t="str">
        <f t="shared" si="306"/>
        <v/>
      </c>
      <c r="S2869" s="37" t="str">
        <f t="shared" si="307"/>
        <v/>
      </c>
      <c r="T2869" s="38" t="str">
        <f t="shared" si="308"/>
        <v/>
      </c>
      <c r="U2869" s="37" t="str">
        <f t="shared" si="309"/>
        <v/>
      </c>
    </row>
    <row r="2870" spans="2:21" ht="17.25">
      <c r="B2870" s="156"/>
      <c r="C2870" s="156"/>
      <c r="D2870" s="157"/>
      <c r="E2870" s="155"/>
      <c r="F2870" s="151"/>
      <c r="G2870" s="152"/>
      <c r="H2870" s="153"/>
      <c r="I2870" s="154"/>
      <c r="J2870" s="154"/>
      <c r="K2870" s="30" t="str">
        <f>IF(H2870="","",IF($C$30="간이법","",FPR(H2870,I2870,J2870)))</f>
        <v/>
      </c>
      <c r="L2870" s="30" t="str">
        <f>IF(H2870="","",IF($C$30="상세법",FPV(H2870,K2870),IF(H2870="EI",4,IF(H2870="EO",5.2,IF(H2870="EQ",3.9,IF(H2870="ILF",7.5,IF(H2870="EIF",5.4)))))))</f>
        <v/>
      </c>
      <c r="M2870" s="30" t="str">
        <f t="shared" si="303"/>
        <v/>
      </c>
      <c r="N2870" s="134"/>
      <c r="O2870" s="29"/>
      <c r="P2870" s="37" t="str">
        <f t="shared" si="304"/>
        <v/>
      </c>
      <c r="Q2870" s="38" t="str">
        <f t="shared" si="305"/>
        <v/>
      </c>
      <c r="R2870" s="37" t="str">
        <f t="shared" si="306"/>
        <v/>
      </c>
      <c r="S2870" s="37" t="str">
        <f t="shared" si="307"/>
        <v/>
      </c>
      <c r="T2870" s="38" t="str">
        <f t="shared" si="308"/>
        <v/>
      </c>
      <c r="U2870" s="37" t="str">
        <f t="shared" si="309"/>
        <v/>
      </c>
    </row>
    <row r="2871" spans="2:21" ht="17.25">
      <c r="B2871" s="156"/>
      <c r="C2871" s="156"/>
      <c r="D2871" s="157"/>
      <c r="E2871" s="155"/>
      <c r="F2871" s="151"/>
      <c r="G2871" s="152"/>
      <c r="H2871" s="153"/>
      <c r="I2871" s="154"/>
      <c r="J2871" s="154"/>
      <c r="K2871" s="30" t="str">
        <f>IF(H2871="","",IF($C$30="간이법","",FPR(H2871,I2871,J2871)))</f>
        <v/>
      </c>
      <c r="L2871" s="30" t="str">
        <f>IF(H2871="","",IF($C$30="상세법",FPV(H2871,K2871),IF(H2871="EI",4,IF(H2871="EO",5.2,IF(H2871="EQ",3.9,IF(H2871="ILF",7.5,IF(H2871="EIF",5.4)))))))</f>
        <v/>
      </c>
      <c r="M2871" s="30" t="str">
        <f t="shared" si="303"/>
        <v/>
      </c>
      <c r="N2871" s="134"/>
      <c r="O2871" s="29"/>
      <c r="P2871" s="37" t="str">
        <f t="shared" si="304"/>
        <v/>
      </c>
      <c r="Q2871" s="38" t="str">
        <f t="shared" si="305"/>
        <v/>
      </c>
      <c r="R2871" s="37" t="str">
        <f t="shared" si="306"/>
        <v/>
      </c>
      <c r="S2871" s="37" t="str">
        <f t="shared" si="307"/>
        <v/>
      </c>
      <c r="T2871" s="38" t="str">
        <f t="shared" si="308"/>
        <v/>
      </c>
      <c r="U2871" s="37" t="str">
        <f t="shared" si="309"/>
        <v/>
      </c>
    </row>
    <row r="2872" spans="2:21" ht="17.25">
      <c r="B2872" s="156"/>
      <c r="C2872" s="156"/>
      <c r="D2872" s="157"/>
      <c r="E2872" s="155"/>
      <c r="F2872" s="151"/>
      <c r="G2872" s="152"/>
      <c r="H2872" s="153"/>
      <c r="I2872" s="154"/>
      <c r="J2872" s="154"/>
      <c r="K2872" s="30" t="str">
        <f>IF(H2872="","",IF($C$30="간이법","",FPR(H2872,I2872,J2872)))</f>
        <v/>
      </c>
      <c r="L2872" s="30" t="str">
        <f>IF(H2872="","",IF($C$30="상세법",FPV(H2872,K2872),IF(H2872="EI",4,IF(H2872="EO",5.2,IF(H2872="EQ",3.9,IF(H2872="ILF",7.5,IF(H2872="EIF",5.4)))))))</f>
        <v/>
      </c>
      <c r="M2872" s="30" t="str">
        <f t="shared" si="303"/>
        <v/>
      </c>
      <c r="N2872" s="134"/>
      <c r="O2872" s="29"/>
      <c r="P2872" s="37" t="str">
        <f t="shared" si="304"/>
        <v/>
      </c>
      <c r="Q2872" s="38" t="str">
        <f t="shared" si="305"/>
        <v/>
      </c>
      <c r="R2872" s="37" t="str">
        <f t="shared" si="306"/>
        <v/>
      </c>
      <c r="S2872" s="37" t="str">
        <f t="shared" si="307"/>
        <v/>
      </c>
      <c r="T2872" s="38" t="str">
        <f t="shared" si="308"/>
        <v/>
      </c>
      <c r="U2872" s="37" t="str">
        <f t="shared" si="309"/>
        <v/>
      </c>
    </row>
    <row r="2873" spans="2:21" ht="17.25">
      <c r="B2873" s="156"/>
      <c r="C2873" s="156"/>
      <c r="D2873" s="157"/>
      <c r="E2873" s="155"/>
      <c r="F2873" s="151"/>
      <c r="G2873" s="152"/>
      <c r="H2873" s="153"/>
      <c r="I2873" s="154"/>
      <c r="J2873" s="154"/>
      <c r="K2873" s="30" t="str">
        <f>IF(H2873="","",IF($C$30="간이법","",FPR(H2873,I2873,J2873)))</f>
        <v/>
      </c>
      <c r="L2873" s="30" t="str">
        <f>IF(H2873="","",IF($C$30="상세법",FPV(H2873,K2873),IF(H2873="EI",4,IF(H2873="EO",5.2,IF(H2873="EQ",3.9,IF(H2873="ILF",7.5,IF(H2873="EIF",5.4)))))))</f>
        <v/>
      </c>
      <c r="M2873" s="30" t="str">
        <f t="shared" si="303"/>
        <v/>
      </c>
      <c r="N2873" s="134"/>
      <c r="O2873" s="29"/>
      <c r="P2873" s="37" t="str">
        <f t="shared" si="304"/>
        <v/>
      </c>
      <c r="Q2873" s="38" t="str">
        <f t="shared" si="305"/>
        <v/>
      </c>
      <c r="R2873" s="37" t="str">
        <f t="shared" si="306"/>
        <v/>
      </c>
      <c r="S2873" s="37" t="str">
        <f t="shared" si="307"/>
        <v/>
      </c>
      <c r="T2873" s="38" t="str">
        <f t="shared" si="308"/>
        <v/>
      </c>
      <c r="U2873" s="37" t="str">
        <f t="shared" si="309"/>
        <v/>
      </c>
    </row>
    <row r="2874" spans="2:21" ht="17.25">
      <c r="B2874" s="156"/>
      <c r="C2874" s="156"/>
      <c r="D2874" s="157"/>
      <c r="E2874" s="155"/>
      <c r="F2874" s="151"/>
      <c r="G2874" s="152"/>
      <c r="H2874" s="153"/>
      <c r="I2874" s="154"/>
      <c r="J2874" s="154"/>
      <c r="K2874" s="30" t="str">
        <f>IF(H2874="","",IF($C$30="간이법","",FPR(H2874,I2874,J2874)))</f>
        <v/>
      </c>
      <c r="L2874" s="30" t="str">
        <f>IF(H2874="","",IF($C$30="상세법",FPV(H2874,K2874),IF(H2874="EI",4,IF(H2874="EO",5.2,IF(H2874="EQ",3.9,IF(H2874="ILF",7.5,IF(H2874="EIF",5.4)))))))</f>
        <v/>
      </c>
      <c r="M2874" s="30" t="str">
        <f t="shared" si="303"/>
        <v/>
      </c>
      <c r="N2874" s="134"/>
      <c r="O2874" s="29"/>
      <c r="P2874" s="37" t="str">
        <f t="shared" si="304"/>
        <v/>
      </c>
      <c r="Q2874" s="38" t="str">
        <f t="shared" si="305"/>
        <v/>
      </c>
      <c r="R2874" s="37" t="str">
        <f t="shared" si="306"/>
        <v/>
      </c>
      <c r="S2874" s="37" t="str">
        <f t="shared" si="307"/>
        <v/>
      </c>
      <c r="T2874" s="38" t="str">
        <f t="shared" si="308"/>
        <v/>
      </c>
      <c r="U2874" s="37" t="str">
        <f t="shared" si="309"/>
        <v/>
      </c>
    </row>
    <row r="2875" spans="2:21" ht="17.25">
      <c r="B2875" s="156"/>
      <c r="C2875" s="156"/>
      <c r="D2875" s="157"/>
      <c r="E2875" s="155"/>
      <c r="F2875" s="151"/>
      <c r="G2875" s="152"/>
      <c r="H2875" s="153"/>
      <c r="I2875" s="154"/>
      <c r="J2875" s="154"/>
      <c r="K2875" s="30" t="str">
        <f>IF(H2875="","",IF($C$30="간이법","",FPR(H2875,I2875,J2875)))</f>
        <v/>
      </c>
      <c r="L2875" s="30" t="str">
        <f>IF(H2875="","",IF($C$30="상세법",FPV(H2875,K2875),IF(H2875="EI",4,IF(H2875="EO",5.2,IF(H2875="EQ",3.9,IF(H2875="ILF",7.5,IF(H2875="EIF",5.4)))))))</f>
        <v/>
      </c>
      <c r="M2875" s="30" t="str">
        <f t="shared" si="303"/>
        <v/>
      </c>
      <c r="N2875" s="134"/>
      <c r="O2875" s="29"/>
      <c r="P2875" s="37" t="str">
        <f t="shared" si="304"/>
        <v/>
      </c>
      <c r="Q2875" s="38" t="str">
        <f t="shared" si="305"/>
        <v/>
      </c>
      <c r="R2875" s="37" t="str">
        <f t="shared" si="306"/>
        <v/>
      </c>
      <c r="S2875" s="37" t="str">
        <f t="shared" si="307"/>
        <v/>
      </c>
      <c r="T2875" s="38" t="str">
        <f t="shared" si="308"/>
        <v/>
      </c>
      <c r="U2875" s="37" t="str">
        <f t="shared" si="309"/>
        <v/>
      </c>
    </row>
    <row r="2876" spans="2:21" ht="17.25">
      <c r="B2876" s="156"/>
      <c r="C2876" s="156"/>
      <c r="D2876" s="157"/>
      <c r="E2876" s="155"/>
      <c r="F2876" s="151"/>
      <c r="G2876" s="152"/>
      <c r="H2876" s="153"/>
      <c r="I2876" s="154"/>
      <c r="J2876" s="154"/>
      <c r="K2876" s="30" t="str">
        <f>IF(H2876="","",IF($C$30="간이법","",FPR(H2876,I2876,J2876)))</f>
        <v/>
      </c>
      <c r="L2876" s="30" t="str">
        <f>IF(H2876="","",IF($C$30="상세법",FPV(H2876,K2876),IF(H2876="EI",4,IF(H2876="EO",5.2,IF(H2876="EQ",3.9,IF(H2876="ILF",7.5,IF(H2876="EIF",5.4)))))))</f>
        <v/>
      </c>
      <c r="M2876" s="30" t="str">
        <f t="shared" ref="M2876:M2939" si="310">IF(OR(G2876="",$E$36="(선택)",$E$40="(선택)",$E$41="(선택)",F2876="신규 개발",F2876="수정 없이 재사용"),"",(IF(F2876="수정 후 재사용",IF($E$50&lt;=0.5,L2876*($E$36+$E$50*100*(1+0.02*($E$40*$E$41)))/100,L2876*($E$36+$E$50*100+($E$40*$E$41))/100))))</f>
        <v/>
      </c>
      <c r="N2876" s="134"/>
      <c r="O2876" s="29"/>
      <c r="P2876" s="37" t="str">
        <f t="shared" ref="P2876:P2939" si="311">IF(F2876="수정 후 재사용",IF(H2876="ILF",G2876,IF(H2876="EIF",G2876,"")),"")</f>
        <v/>
      </c>
      <c r="Q2876" s="38" t="str">
        <f t="shared" ref="Q2876:Q2939" si="312">IF(P2876&lt;&gt;"",IF(H2876="ILF", L2876/$E$46,IF(H2876="EIF", L2876/$E$46,"")),"")</f>
        <v/>
      </c>
      <c r="R2876" s="37" t="str">
        <f t="shared" ref="R2876:R2939" si="313">IF(P2876&lt;&gt;"",P2876*Q2876,"")</f>
        <v/>
      </c>
      <c r="S2876" s="37" t="str">
        <f t="shared" ref="S2876:S2939" si="314">IF(F2876="수정 후 재사용",IF(H2876="EI",G2876,IF(H2876="EO",G2876,IF(H2876="EQ",G2876,""))),"")</f>
        <v/>
      </c>
      <c r="T2876" s="38" t="str">
        <f t="shared" ref="T2876:T2939" si="315">IF(S2876&lt;&gt;"",IF(H2876="EI",L2876/$E$47,IF(H2876="EO",L2876/$E$47,IF(H2876="EQ",L2876/$E$47,""))),"")</f>
        <v/>
      </c>
      <c r="U2876" s="37" t="str">
        <f t="shared" ref="U2876:U2939" si="316">IF(S2876&lt;&gt;"",S2876*T2876,"")</f>
        <v/>
      </c>
    </row>
    <row r="2877" spans="2:21" ht="17.25">
      <c r="B2877" s="156"/>
      <c r="C2877" s="156"/>
      <c r="D2877" s="157"/>
      <c r="E2877" s="155"/>
      <c r="F2877" s="151"/>
      <c r="G2877" s="152"/>
      <c r="H2877" s="153"/>
      <c r="I2877" s="154"/>
      <c r="J2877" s="154"/>
      <c r="K2877" s="30" t="str">
        <f>IF(H2877="","",IF($C$30="간이법","",FPR(H2877,I2877,J2877)))</f>
        <v/>
      </c>
      <c r="L2877" s="30" t="str">
        <f>IF(H2877="","",IF($C$30="상세법",FPV(H2877,K2877),IF(H2877="EI",4,IF(H2877="EO",5.2,IF(H2877="EQ",3.9,IF(H2877="ILF",7.5,IF(H2877="EIF",5.4)))))))</f>
        <v/>
      </c>
      <c r="M2877" s="30" t="str">
        <f t="shared" si="310"/>
        <v/>
      </c>
      <c r="N2877" s="134"/>
      <c r="O2877" s="29"/>
      <c r="P2877" s="37" t="str">
        <f t="shared" si="311"/>
        <v/>
      </c>
      <c r="Q2877" s="38" t="str">
        <f t="shared" si="312"/>
        <v/>
      </c>
      <c r="R2877" s="37" t="str">
        <f t="shared" si="313"/>
        <v/>
      </c>
      <c r="S2877" s="37" t="str">
        <f t="shared" si="314"/>
        <v/>
      </c>
      <c r="T2877" s="38" t="str">
        <f t="shared" si="315"/>
        <v/>
      </c>
      <c r="U2877" s="37" t="str">
        <f t="shared" si="316"/>
        <v/>
      </c>
    </row>
    <row r="2878" spans="2:21" ht="17.25">
      <c r="B2878" s="156"/>
      <c r="C2878" s="156"/>
      <c r="D2878" s="157"/>
      <c r="E2878" s="155"/>
      <c r="F2878" s="151"/>
      <c r="G2878" s="152"/>
      <c r="H2878" s="153"/>
      <c r="I2878" s="154"/>
      <c r="J2878" s="154"/>
      <c r="K2878" s="30" t="str">
        <f>IF(H2878="","",IF($C$30="간이법","",FPR(H2878,I2878,J2878)))</f>
        <v/>
      </c>
      <c r="L2878" s="30" t="str">
        <f>IF(H2878="","",IF($C$30="상세법",FPV(H2878,K2878),IF(H2878="EI",4,IF(H2878="EO",5.2,IF(H2878="EQ",3.9,IF(H2878="ILF",7.5,IF(H2878="EIF",5.4)))))))</f>
        <v/>
      </c>
      <c r="M2878" s="30" t="str">
        <f t="shared" si="310"/>
        <v/>
      </c>
      <c r="N2878" s="134"/>
      <c r="O2878" s="29"/>
      <c r="P2878" s="37" t="str">
        <f t="shared" si="311"/>
        <v/>
      </c>
      <c r="Q2878" s="38" t="str">
        <f t="shared" si="312"/>
        <v/>
      </c>
      <c r="R2878" s="37" t="str">
        <f t="shared" si="313"/>
        <v/>
      </c>
      <c r="S2878" s="37" t="str">
        <f t="shared" si="314"/>
        <v/>
      </c>
      <c r="T2878" s="38" t="str">
        <f t="shared" si="315"/>
        <v/>
      </c>
      <c r="U2878" s="37" t="str">
        <f t="shared" si="316"/>
        <v/>
      </c>
    </row>
    <row r="2879" spans="2:21" ht="17.25">
      <c r="B2879" s="156"/>
      <c r="C2879" s="156"/>
      <c r="D2879" s="157"/>
      <c r="E2879" s="155"/>
      <c r="F2879" s="151"/>
      <c r="G2879" s="152"/>
      <c r="H2879" s="153"/>
      <c r="I2879" s="154"/>
      <c r="J2879" s="154"/>
      <c r="K2879" s="30" t="str">
        <f>IF(H2879="","",IF($C$30="간이법","",FPR(H2879,I2879,J2879)))</f>
        <v/>
      </c>
      <c r="L2879" s="30" t="str">
        <f>IF(H2879="","",IF($C$30="상세법",FPV(H2879,K2879),IF(H2879="EI",4,IF(H2879="EO",5.2,IF(H2879="EQ",3.9,IF(H2879="ILF",7.5,IF(H2879="EIF",5.4)))))))</f>
        <v/>
      </c>
      <c r="M2879" s="30" t="str">
        <f t="shared" si="310"/>
        <v/>
      </c>
      <c r="N2879" s="134"/>
      <c r="O2879" s="29"/>
      <c r="P2879" s="37" t="str">
        <f t="shared" si="311"/>
        <v/>
      </c>
      <c r="Q2879" s="38" t="str">
        <f t="shared" si="312"/>
        <v/>
      </c>
      <c r="R2879" s="37" t="str">
        <f t="shared" si="313"/>
        <v/>
      </c>
      <c r="S2879" s="37" t="str">
        <f t="shared" si="314"/>
        <v/>
      </c>
      <c r="T2879" s="38" t="str">
        <f t="shared" si="315"/>
        <v/>
      </c>
      <c r="U2879" s="37" t="str">
        <f t="shared" si="316"/>
        <v/>
      </c>
    </row>
    <row r="2880" spans="2:21" ht="17.25">
      <c r="B2880" s="156"/>
      <c r="C2880" s="156"/>
      <c r="D2880" s="157"/>
      <c r="E2880" s="155"/>
      <c r="F2880" s="151"/>
      <c r="G2880" s="152"/>
      <c r="H2880" s="153"/>
      <c r="I2880" s="154"/>
      <c r="J2880" s="154"/>
      <c r="K2880" s="30" t="str">
        <f>IF(H2880="","",IF($C$30="간이법","",FPR(H2880,I2880,J2880)))</f>
        <v/>
      </c>
      <c r="L2880" s="30" t="str">
        <f>IF(H2880="","",IF($C$30="상세법",FPV(H2880,K2880),IF(H2880="EI",4,IF(H2880="EO",5.2,IF(H2880="EQ",3.9,IF(H2880="ILF",7.5,IF(H2880="EIF",5.4)))))))</f>
        <v/>
      </c>
      <c r="M2880" s="30" t="str">
        <f t="shared" si="310"/>
        <v/>
      </c>
      <c r="N2880" s="134"/>
      <c r="O2880" s="29"/>
      <c r="P2880" s="37" t="str">
        <f t="shared" si="311"/>
        <v/>
      </c>
      <c r="Q2880" s="38" t="str">
        <f t="shared" si="312"/>
        <v/>
      </c>
      <c r="R2880" s="37" t="str">
        <f t="shared" si="313"/>
        <v/>
      </c>
      <c r="S2880" s="37" t="str">
        <f t="shared" si="314"/>
        <v/>
      </c>
      <c r="T2880" s="38" t="str">
        <f t="shared" si="315"/>
        <v/>
      </c>
      <c r="U2880" s="37" t="str">
        <f t="shared" si="316"/>
        <v/>
      </c>
    </row>
    <row r="2881" spans="2:21" ht="17.25">
      <c r="B2881" s="156"/>
      <c r="C2881" s="156"/>
      <c r="D2881" s="157"/>
      <c r="E2881" s="155"/>
      <c r="F2881" s="151"/>
      <c r="G2881" s="152"/>
      <c r="H2881" s="153"/>
      <c r="I2881" s="154"/>
      <c r="J2881" s="154"/>
      <c r="K2881" s="30" t="str">
        <f>IF(H2881="","",IF($C$30="간이법","",FPR(H2881,I2881,J2881)))</f>
        <v/>
      </c>
      <c r="L2881" s="30" t="str">
        <f>IF(H2881="","",IF($C$30="상세법",FPV(H2881,K2881),IF(H2881="EI",4,IF(H2881="EO",5.2,IF(H2881="EQ",3.9,IF(H2881="ILF",7.5,IF(H2881="EIF",5.4)))))))</f>
        <v/>
      </c>
      <c r="M2881" s="30" t="str">
        <f t="shared" si="310"/>
        <v/>
      </c>
      <c r="N2881" s="134"/>
      <c r="O2881" s="29"/>
      <c r="P2881" s="37" t="str">
        <f t="shared" si="311"/>
        <v/>
      </c>
      <c r="Q2881" s="38" t="str">
        <f t="shared" si="312"/>
        <v/>
      </c>
      <c r="R2881" s="37" t="str">
        <f t="shared" si="313"/>
        <v/>
      </c>
      <c r="S2881" s="37" t="str">
        <f t="shared" si="314"/>
        <v/>
      </c>
      <c r="T2881" s="38" t="str">
        <f t="shared" si="315"/>
        <v/>
      </c>
      <c r="U2881" s="37" t="str">
        <f t="shared" si="316"/>
        <v/>
      </c>
    </row>
    <row r="2882" spans="2:21" ht="17.25">
      <c r="B2882" s="156"/>
      <c r="C2882" s="156"/>
      <c r="D2882" s="157"/>
      <c r="E2882" s="155"/>
      <c r="F2882" s="151"/>
      <c r="G2882" s="152"/>
      <c r="H2882" s="153"/>
      <c r="I2882" s="154"/>
      <c r="J2882" s="154"/>
      <c r="K2882" s="30" t="str">
        <f>IF(H2882="","",IF($C$30="간이법","",FPR(H2882,I2882,J2882)))</f>
        <v/>
      </c>
      <c r="L2882" s="30" t="str">
        <f>IF(H2882="","",IF($C$30="상세법",FPV(H2882,K2882),IF(H2882="EI",4,IF(H2882="EO",5.2,IF(H2882="EQ",3.9,IF(H2882="ILF",7.5,IF(H2882="EIF",5.4)))))))</f>
        <v/>
      </c>
      <c r="M2882" s="30" t="str">
        <f t="shared" si="310"/>
        <v/>
      </c>
      <c r="N2882" s="134"/>
      <c r="O2882" s="29"/>
      <c r="P2882" s="37" t="str">
        <f t="shared" si="311"/>
        <v/>
      </c>
      <c r="Q2882" s="38" t="str">
        <f t="shared" si="312"/>
        <v/>
      </c>
      <c r="R2882" s="37" t="str">
        <f t="shared" si="313"/>
        <v/>
      </c>
      <c r="S2882" s="37" t="str">
        <f t="shared" si="314"/>
        <v/>
      </c>
      <c r="T2882" s="38" t="str">
        <f t="shared" si="315"/>
        <v/>
      </c>
      <c r="U2882" s="37" t="str">
        <f t="shared" si="316"/>
        <v/>
      </c>
    </row>
    <row r="2883" spans="2:21" ht="17.25">
      <c r="B2883" s="156"/>
      <c r="C2883" s="156"/>
      <c r="D2883" s="157"/>
      <c r="E2883" s="155"/>
      <c r="F2883" s="151"/>
      <c r="G2883" s="152"/>
      <c r="H2883" s="153"/>
      <c r="I2883" s="154"/>
      <c r="J2883" s="154"/>
      <c r="K2883" s="30" t="str">
        <f>IF(H2883="","",IF($C$30="간이법","",FPR(H2883,I2883,J2883)))</f>
        <v/>
      </c>
      <c r="L2883" s="30" t="str">
        <f>IF(H2883="","",IF($C$30="상세법",FPV(H2883,K2883),IF(H2883="EI",4,IF(H2883="EO",5.2,IF(H2883="EQ",3.9,IF(H2883="ILF",7.5,IF(H2883="EIF",5.4)))))))</f>
        <v/>
      </c>
      <c r="M2883" s="30" t="str">
        <f t="shared" si="310"/>
        <v/>
      </c>
      <c r="N2883" s="134"/>
      <c r="O2883" s="29"/>
      <c r="P2883" s="37" t="str">
        <f t="shared" si="311"/>
        <v/>
      </c>
      <c r="Q2883" s="38" t="str">
        <f t="shared" si="312"/>
        <v/>
      </c>
      <c r="R2883" s="37" t="str">
        <f t="shared" si="313"/>
        <v/>
      </c>
      <c r="S2883" s="37" t="str">
        <f t="shared" si="314"/>
        <v/>
      </c>
      <c r="T2883" s="38" t="str">
        <f t="shared" si="315"/>
        <v/>
      </c>
      <c r="U2883" s="37" t="str">
        <f t="shared" si="316"/>
        <v/>
      </c>
    </row>
    <row r="2884" spans="2:21" ht="17.25">
      <c r="B2884" s="156"/>
      <c r="C2884" s="156"/>
      <c r="D2884" s="157"/>
      <c r="E2884" s="155"/>
      <c r="F2884" s="151"/>
      <c r="G2884" s="152"/>
      <c r="H2884" s="153"/>
      <c r="I2884" s="154"/>
      <c r="J2884" s="154"/>
      <c r="K2884" s="30" t="str">
        <f>IF(H2884="","",IF($C$30="간이법","",FPR(H2884,I2884,J2884)))</f>
        <v/>
      </c>
      <c r="L2884" s="30" t="str">
        <f>IF(H2884="","",IF($C$30="상세법",FPV(H2884,K2884),IF(H2884="EI",4,IF(H2884="EO",5.2,IF(H2884="EQ",3.9,IF(H2884="ILF",7.5,IF(H2884="EIF",5.4)))))))</f>
        <v/>
      </c>
      <c r="M2884" s="30" t="str">
        <f t="shared" si="310"/>
        <v/>
      </c>
      <c r="N2884" s="134"/>
      <c r="O2884" s="29"/>
      <c r="P2884" s="37" t="str">
        <f t="shared" si="311"/>
        <v/>
      </c>
      <c r="Q2884" s="38" t="str">
        <f t="shared" si="312"/>
        <v/>
      </c>
      <c r="R2884" s="37" t="str">
        <f t="shared" si="313"/>
        <v/>
      </c>
      <c r="S2884" s="37" t="str">
        <f t="shared" si="314"/>
        <v/>
      </c>
      <c r="T2884" s="38" t="str">
        <f t="shared" si="315"/>
        <v/>
      </c>
      <c r="U2884" s="37" t="str">
        <f t="shared" si="316"/>
        <v/>
      </c>
    </row>
    <row r="2885" spans="2:21" ht="17.25">
      <c r="B2885" s="156"/>
      <c r="C2885" s="156"/>
      <c r="D2885" s="157"/>
      <c r="E2885" s="155"/>
      <c r="F2885" s="151"/>
      <c r="G2885" s="152"/>
      <c r="H2885" s="153"/>
      <c r="I2885" s="154"/>
      <c r="J2885" s="154"/>
      <c r="K2885" s="30" t="str">
        <f>IF(H2885="","",IF($C$30="간이법","",FPR(H2885,I2885,J2885)))</f>
        <v/>
      </c>
      <c r="L2885" s="30" t="str">
        <f>IF(H2885="","",IF($C$30="상세법",FPV(H2885,K2885),IF(H2885="EI",4,IF(H2885="EO",5.2,IF(H2885="EQ",3.9,IF(H2885="ILF",7.5,IF(H2885="EIF",5.4)))))))</f>
        <v/>
      </c>
      <c r="M2885" s="30" t="str">
        <f t="shared" si="310"/>
        <v/>
      </c>
      <c r="N2885" s="134"/>
      <c r="O2885" s="29"/>
      <c r="P2885" s="37" t="str">
        <f t="shared" si="311"/>
        <v/>
      </c>
      <c r="Q2885" s="38" t="str">
        <f t="shared" si="312"/>
        <v/>
      </c>
      <c r="R2885" s="37" t="str">
        <f t="shared" si="313"/>
        <v/>
      </c>
      <c r="S2885" s="37" t="str">
        <f t="shared" si="314"/>
        <v/>
      </c>
      <c r="T2885" s="38" t="str">
        <f t="shared" si="315"/>
        <v/>
      </c>
      <c r="U2885" s="37" t="str">
        <f t="shared" si="316"/>
        <v/>
      </c>
    </row>
    <row r="2886" spans="2:21" ht="17.25">
      <c r="B2886" s="156"/>
      <c r="C2886" s="156"/>
      <c r="D2886" s="157"/>
      <c r="E2886" s="155"/>
      <c r="F2886" s="151"/>
      <c r="G2886" s="152"/>
      <c r="H2886" s="153"/>
      <c r="I2886" s="154"/>
      <c r="J2886" s="154"/>
      <c r="K2886" s="30" t="str">
        <f>IF(H2886="","",IF($C$30="간이법","",FPR(H2886,I2886,J2886)))</f>
        <v/>
      </c>
      <c r="L2886" s="30" t="str">
        <f>IF(H2886="","",IF($C$30="상세법",FPV(H2886,K2886),IF(H2886="EI",4,IF(H2886="EO",5.2,IF(H2886="EQ",3.9,IF(H2886="ILF",7.5,IF(H2886="EIF",5.4)))))))</f>
        <v/>
      </c>
      <c r="M2886" s="30" t="str">
        <f t="shared" si="310"/>
        <v/>
      </c>
      <c r="N2886" s="134"/>
      <c r="O2886" s="29"/>
      <c r="P2886" s="37" t="str">
        <f t="shared" si="311"/>
        <v/>
      </c>
      <c r="Q2886" s="38" t="str">
        <f t="shared" si="312"/>
        <v/>
      </c>
      <c r="R2886" s="37" t="str">
        <f t="shared" si="313"/>
        <v/>
      </c>
      <c r="S2886" s="37" t="str">
        <f t="shared" si="314"/>
        <v/>
      </c>
      <c r="T2886" s="38" t="str">
        <f t="shared" si="315"/>
        <v/>
      </c>
      <c r="U2886" s="37" t="str">
        <f t="shared" si="316"/>
        <v/>
      </c>
    </row>
    <row r="2887" spans="2:21" ht="17.25">
      <c r="B2887" s="156"/>
      <c r="C2887" s="156"/>
      <c r="D2887" s="157"/>
      <c r="E2887" s="155"/>
      <c r="F2887" s="151"/>
      <c r="G2887" s="152"/>
      <c r="H2887" s="153"/>
      <c r="I2887" s="154"/>
      <c r="J2887" s="154"/>
      <c r="K2887" s="30" t="str">
        <f>IF(H2887="","",IF($C$30="간이법","",FPR(H2887,I2887,J2887)))</f>
        <v/>
      </c>
      <c r="L2887" s="30" t="str">
        <f>IF(H2887="","",IF($C$30="상세법",FPV(H2887,K2887),IF(H2887="EI",4,IF(H2887="EO",5.2,IF(H2887="EQ",3.9,IF(H2887="ILF",7.5,IF(H2887="EIF",5.4)))))))</f>
        <v/>
      </c>
      <c r="M2887" s="30" t="str">
        <f t="shared" si="310"/>
        <v/>
      </c>
      <c r="N2887" s="134"/>
      <c r="O2887" s="29"/>
      <c r="P2887" s="37" t="str">
        <f t="shared" si="311"/>
        <v/>
      </c>
      <c r="Q2887" s="38" t="str">
        <f t="shared" si="312"/>
        <v/>
      </c>
      <c r="R2887" s="37" t="str">
        <f t="shared" si="313"/>
        <v/>
      </c>
      <c r="S2887" s="37" t="str">
        <f t="shared" si="314"/>
        <v/>
      </c>
      <c r="T2887" s="38" t="str">
        <f t="shared" si="315"/>
        <v/>
      </c>
      <c r="U2887" s="37" t="str">
        <f t="shared" si="316"/>
        <v/>
      </c>
    </row>
    <row r="2888" spans="2:21" ht="17.25">
      <c r="B2888" s="156"/>
      <c r="C2888" s="156"/>
      <c r="D2888" s="157"/>
      <c r="E2888" s="155"/>
      <c r="F2888" s="151"/>
      <c r="G2888" s="152"/>
      <c r="H2888" s="153"/>
      <c r="I2888" s="154"/>
      <c r="J2888" s="154"/>
      <c r="K2888" s="30" t="str">
        <f>IF(H2888="","",IF($C$30="간이법","",FPR(H2888,I2888,J2888)))</f>
        <v/>
      </c>
      <c r="L2888" s="30" t="str">
        <f>IF(H2888="","",IF($C$30="상세법",FPV(H2888,K2888),IF(H2888="EI",4,IF(H2888="EO",5.2,IF(H2888="EQ",3.9,IF(H2888="ILF",7.5,IF(H2888="EIF",5.4)))))))</f>
        <v/>
      </c>
      <c r="M2888" s="30" t="str">
        <f t="shared" si="310"/>
        <v/>
      </c>
      <c r="N2888" s="134"/>
      <c r="O2888" s="29"/>
      <c r="P2888" s="37" t="str">
        <f t="shared" si="311"/>
        <v/>
      </c>
      <c r="Q2888" s="38" t="str">
        <f t="shared" si="312"/>
        <v/>
      </c>
      <c r="R2888" s="37" t="str">
        <f t="shared" si="313"/>
        <v/>
      </c>
      <c r="S2888" s="37" t="str">
        <f t="shared" si="314"/>
        <v/>
      </c>
      <c r="T2888" s="38" t="str">
        <f t="shared" si="315"/>
        <v/>
      </c>
      <c r="U2888" s="37" t="str">
        <f t="shared" si="316"/>
        <v/>
      </c>
    </row>
    <row r="2889" spans="2:21" ht="17.25">
      <c r="B2889" s="156"/>
      <c r="C2889" s="156"/>
      <c r="D2889" s="157"/>
      <c r="E2889" s="155"/>
      <c r="F2889" s="151"/>
      <c r="G2889" s="152"/>
      <c r="H2889" s="153"/>
      <c r="I2889" s="154"/>
      <c r="J2889" s="154"/>
      <c r="K2889" s="30" t="str">
        <f>IF(H2889="","",IF($C$30="간이법","",FPR(H2889,I2889,J2889)))</f>
        <v/>
      </c>
      <c r="L2889" s="30" t="str">
        <f>IF(H2889="","",IF($C$30="상세법",FPV(H2889,K2889),IF(H2889="EI",4,IF(H2889="EO",5.2,IF(H2889="EQ",3.9,IF(H2889="ILF",7.5,IF(H2889="EIF",5.4)))))))</f>
        <v/>
      </c>
      <c r="M2889" s="30" t="str">
        <f t="shared" si="310"/>
        <v/>
      </c>
      <c r="N2889" s="134"/>
      <c r="O2889" s="29"/>
      <c r="P2889" s="37" t="str">
        <f t="shared" si="311"/>
        <v/>
      </c>
      <c r="Q2889" s="38" t="str">
        <f t="shared" si="312"/>
        <v/>
      </c>
      <c r="R2889" s="37" t="str">
        <f t="shared" si="313"/>
        <v/>
      </c>
      <c r="S2889" s="37" t="str">
        <f t="shared" si="314"/>
        <v/>
      </c>
      <c r="T2889" s="38" t="str">
        <f t="shared" si="315"/>
        <v/>
      </c>
      <c r="U2889" s="37" t="str">
        <f t="shared" si="316"/>
        <v/>
      </c>
    </row>
    <row r="2890" spans="2:21" ht="17.25">
      <c r="B2890" s="156"/>
      <c r="C2890" s="156"/>
      <c r="D2890" s="157"/>
      <c r="E2890" s="155"/>
      <c r="F2890" s="151"/>
      <c r="G2890" s="152"/>
      <c r="H2890" s="153"/>
      <c r="I2890" s="154"/>
      <c r="J2890" s="154"/>
      <c r="K2890" s="30" t="str">
        <f>IF(H2890="","",IF($C$30="간이법","",FPR(H2890,I2890,J2890)))</f>
        <v/>
      </c>
      <c r="L2890" s="30" t="str">
        <f>IF(H2890="","",IF($C$30="상세법",FPV(H2890,K2890),IF(H2890="EI",4,IF(H2890="EO",5.2,IF(H2890="EQ",3.9,IF(H2890="ILF",7.5,IF(H2890="EIF",5.4)))))))</f>
        <v/>
      </c>
      <c r="M2890" s="30" t="str">
        <f t="shared" si="310"/>
        <v/>
      </c>
      <c r="N2890" s="134"/>
      <c r="O2890" s="29"/>
      <c r="P2890" s="37" t="str">
        <f t="shared" si="311"/>
        <v/>
      </c>
      <c r="Q2890" s="38" t="str">
        <f t="shared" si="312"/>
        <v/>
      </c>
      <c r="R2890" s="37" t="str">
        <f t="shared" si="313"/>
        <v/>
      </c>
      <c r="S2890" s="37" t="str">
        <f t="shared" si="314"/>
        <v/>
      </c>
      <c r="T2890" s="38" t="str">
        <f t="shared" si="315"/>
        <v/>
      </c>
      <c r="U2890" s="37" t="str">
        <f t="shared" si="316"/>
        <v/>
      </c>
    </row>
    <row r="2891" spans="2:21" ht="17.25">
      <c r="B2891" s="156"/>
      <c r="C2891" s="156"/>
      <c r="D2891" s="157"/>
      <c r="E2891" s="155"/>
      <c r="F2891" s="151"/>
      <c r="G2891" s="152"/>
      <c r="H2891" s="153"/>
      <c r="I2891" s="154"/>
      <c r="J2891" s="154"/>
      <c r="K2891" s="30" t="str">
        <f>IF(H2891="","",IF($C$30="간이법","",FPR(H2891,I2891,J2891)))</f>
        <v/>
      </c>
      <c r="L2891" s="30" t="str">
        <f>IF(H2891="","",IF($C$30="상세법",FPV(H2891,K2891),IF(H2891="EI",4,IF(H2891="EO",5.2,IF(H2891="EQ",3.9,IF(H2891="ILF",7.5,IF(H2891="EIF",5.4)))))))</f>
        <v/>
      </c>
      <c r="M2891" s="30" t="str">
        <f t="shared" si="310"/>
        <v/>
      </c>
      <c r="N2891" s="134"/>
      <c r="O2891" s="29"/>
      <c r="P2891" s="37" t="str">
        <f t="shared" si="311"/>
        <v/>
      </c>
      <c r="Q2891" s="38" t="str">
        <f t="shared" si="312"/>
        <v/>
      </c>
      <c r="R2891" s="37" t="str">
        <f t="shared" si="313"/>
        <v/>
      </c>
      <c r="S2891" s="37" t="str">
        <f t="shared" si="314"/>
        <v/>
      </c>
      <c r="T2891" s="38" t="str">
        <f t="shared" si="315"/>
        <v/>
      </c>
      <c r="U2891" s="37" t="str">
        <f t="shared" si="316"/>
        <v/>
      </c>
    </row>
    <row r="2892" spans="2:21" ht="17.25">
      <c r="B2892" s="156"/>
      <c r="C2892" s="156"/>
      <c r="D2892" s="157"/>
      <c r="E2892" s="155"/>
      <c r="F2892" s="151"/>
      <c r="G2892" s="152"/>
      <c r="H2892" s="153"/>
      <c r="I2892" s="154"/>
      <c r="J2892" s="154"/>
      <c r="K2892" s="30" t="str">
        <f>IF(H2892="","",IF($C$30="간이법","",FPR(H2892,I2892,J2892)))</f>
        <v/>
      </c>
      <c r="L2892" s="30" t="str">
        <f>IF(H2892="","",IF($C$30="상세법",FPV(H2892,K2892),IF(H2892="EI",4,IF(H2892="EO",5.2,IF(H2892="EQ",3.9,IF(H2892="ILF",7.5,IF(H2892="EIF",5.4)))))))</f>
        <v/>
      </c>
      <c r="M2892" s="30" t="str">
        <f t="shared" si="310"/>
        <v/>
      </c>
      <c r="N2892" s="134"/>
      <c r="O2892" s="29"/>
      <c r="P2892" s="37" t="str">
        <f t="shared" si="311"/>
        <v/>
      </c>
      <c r="Q2892" s="38" t="str">
        <f t="shared" si="312"/>
        <v/>
      </c>
      <c r="R2892" s="37" t="str">
        <f t="shared" si="313"/>
        <v/>
      </c>
      <c r="S2892" s="37" t="str">
        <f t="shared" si="314"/>
        <v/>
      </c>
      <c r="T2892" s="38" t="str">
        <f t="shared" si="315"/>
        <v/>
      </c>
      <c r="U2892" s="37" t="str">
        <f t="shared" si="316"/>
        <v/>
      </c>
    </row>
    <row r="2893" spans="2:21" ht="17.25">
      <c r="B2893" s="156"/>
      <c r="C2893" s="156"/>
      <c r="D2893" s="157"/>
      <c r="E2893" s="155"/>
      <c r="F2893" s="151"/>
      <c r="G2893" s="152"/>
      <c r="H2893" s="153"/>
      <c r="I2893" s="154"/>
      <c r="J2893" s="154"/>
      <c r="K2893" s="30" t="str">
        <f>IF(H2893="","",IF($C$30="간이법","",FPR(H2893,I2893,J2893)))</f>
        <v/>
      </c>
      <c r="L2893" s="30" t="str">
        <f>IF(H2893="","",IF($C$30="상세법",FPV(H2893,K2893),IF(H2893="EI",4,IF(H2893="EO",5.2,IF(H2893="EQ",3.9,IF(H2893="ILF",7.5,IF(H2893="EIF",5.4)))))))</f>
        <v/>
      </c>
      <c r="M2893" s="30" t="str">
        <f t="shared" si="310"/>
        <v/>
      </c>
      <c r="N2893" s="134"/>
      <c r="O2893" s="29"/>
      <c r="P2893" s="37" t="str">
        <f t="shared" si="311"/>
        <v/>
      </c>
      <c r="Q2893" s="38" t="str">
        <f t="shared" si="312"/>
        <v/>
      </c>
      <c r="R2893" s="37" t="str">
        <f t="shared" si="313"/>
        <v/>
      </c>
      <c r="S2893" s="37" t="str">
        <f t="shared" si="314"/>
        <v/>
      </c>
      <c r="T2893" s="38" t="str">
        <f t="shared" si="315"/>
        <v/>
      </c>
      <c r="U2893" s="37" t="str">
        <f t="shared" si="316"/>
        <v/>
      </c>
    </row>
    <row r="2894" spans="2:21" ht="17.25">
      <c r="B2894" s="156"/>
      <c r="C2894" s="156"/>
      <c r="D2894" s="157"/>
      <c r="E2894" s="155"/>
      <c r="F2894" s="151"/>
      <c r="G2894" s="152"/>
      <c r="H2894" s="153"/>
      <c r="I2894" s="154"/>
      <c r="J2894" s="154"/>
      <c r="K2894" s="30" t="str">
        <f>IF(H2894="","",IF($C$30="간이법","",FPR(H2894,I2894,J2894)))</f>
        <v/>
      </c>
      <c r="L2894" s="30" t="str">
        <f>IF(H2894="","",IF($C$30="상세법",FPV(H2894,K2894),IF(H2894="EI",4,IF(H2894="EO",5.2,IF(H2894="EQ",3.9,IF(H2894="ILF",7.5,IF(H2894="EIF",5.4)))))))</f>
        <v/>
      </c>
      <c r="M2894" s="30" t="str">
        <f t="shared" si="310"/>
        <v/>
      </c>
      <c r="N2894" s="134"/>
      <c r="O2894" s="29"/>
      <c r="P2894" s="37" t="str">
        <f t="shared" si="311"/>
        <v/>
      </c>
      <c r="Q2894" s="38" t="str">
        <f t="shared" si="312"/>
        <v/>
      </c>
      <c r="R2894" s="37" t="str">
        <f t="shared" si="313"/>
        <v/>
      </c>
      <c r="S2894" s="37" t="str">
        <f t="shared" si="314"/>
        <v/>
      </c>
      <c r="T2894" s="38" t="str">
        <f t="shared" si="315"/>
        <v/>
      </c>
      <c r="U2894" s="37" t="str">
        <f t="shared" si="316"/>
        <v/>
      </c>
    </row>
    <row r="2895" spans="2:21" ht="17.25">
      <c r="B2895" s="156"/>
      <c r="C2895" s="156"/>
      <c r="D2895" s="157"/>
      <c r="E2895" s="155"/>
      <c r="F2895" s="151"/>
      <c r="G2895" s="152"/>
      <c r="H2895" s="153"/>
      <c r="I2895" s="154"/>
      <c r="J2895" s="154"/>
      <c r="K2895" s="30" t="str">
        <f>IF(H2895="","",IF($C$30="간이법","",FPR(H2895,I2895,J2895)))</f>
        <v/>
      </c>
      <c r="L2895" s="30" t="str">
        <f>IF(H2895="","",IF($C$30="상세법",FPV(H2895,K2895),IF(H2895="EI",4,IF(H2895="EO",5.2,IF(H2895="EQ",3.9,IF(H2895="ILF",7.5,IF(H2895="EIF",5.4)))))))</f>
        <v/>
      </c>
      <c r="M2895" s="30" t="str">
        <f t="shared" si="310"/>
        <v/>
      </c>
      <c r="N2895" s="134"/>
      <c r="O2895" s="29"/>
      <c r="P2895" s="37" t="str">
        <f t="shared" si="311"/>
        <v/>
      </c>
      <c r="Q2895" s="38" t="str">
        <f t="shared" si="312"/>
        <v/>
      </c>
      <c r="R2895" s="37" t="str">
        <f t="shared" si="313"/>
        <v/>
      </c>
      <c r="S2895" s="37" t="str">
        <f t="shared" si="314"/>
        <v/>
      </c>
      <c r="T2895" s="38" t="str">
        <f t="shared" si="315"/>
        <v/>
      </c>
      <c r="U2895" s="37" t="str">
        <f t="shared" si="316"/>
        <v/>
      </c>
    </row>
    <row r="2896" spans="2:21" ht="17.25">
      <c r="B2896" s="156"/>
      <c r="C2896" s="156"/>
      <c r="D2896" s="157"/>
      <c r="E2896" s="155"/>
      <c r="F2896" s="151"/>
      <c r="G2896" s="152"/>
      <c r="H2896" s="153"/>
      <c r="I2896" s="154"/>
      <c r="J2896" s="154"/>
      <c r="K2896" s="30" t="str">
        <f>IF(H2896="","",IF($C$30="간이법","",FPR(H2896,I2896,J2896)))</f>
        <v/>
      </c>
      <c r="L2896" s="30" t="str">
        <f>IF(H2896="","",IF($C$30="상세법",FPV(H2896,K2896),IF(H2896="EI",4,IF(H2896="EO",5.2,IF(H2896="EQ",3.9,IF(H2896="ILF",7.5,IF(H2896="EIF",5.4)))))))</f>
        <v/>
      </c>
      <c r="M2896" s="30" t="str">
        <f t="shared" si="310"/>
        <v/>
      </c>
      <c r="N2896" s="134"/>
      <c r="O2896" s="29"/>
      <c r="P2896" s="37" t="str">
        <f t="shared" si="311"/>
        <v/>
      </c>
      <c r="Q2896" s="38" t="str">
        <f t="shared" si="312"/>
        <v/>
      </c>
      <c r="R2896" s="37" t="str">
        <f t="shared" si="313"/>
        <v/>
      </c>
      <c r="S2896" s="37" t="str">
        <f t="shared" si="314"/>
        <v/>
      </c>
      <c r="T2896" s="38" t="str">
        <f t="shared" si="315"/>
        <v/>
      </c>
      <c r="U2896" s="37" t="str">
        <f t="shared" si="316"/>
        <v/>
      </c>
    </row>
    <row r="2897" spans="2:21" ht="17.25">
      <c r="B2897" s="156"/>
      <c r="C2897" s="156"/>
      <c r="D2897" s="157"/>
      <c r="E2897" s="155"/>
      <c r="F2897" s="151"/>
      <c r="G2897" s="152"/>
      <c r="H2897" s="153"/>
      <c r="I2897" s="154"/>
      <c r="J2897" s="154"/>
      <c r="K2897" s="30" t="str">
        <f>IF(H2897="","",IF($C$30="간이법","",FPR(H2897,I2897,J2897)))</f>
        <v/>
      </c>
      <c r="L2897" s="30" t="str">
        <f>IF(H2897="","",IF($C$30="상세법",FPV(H2897,K2897),IF(H2897="EI",4,IF(H2897="EO",5.2,IF(H2897="EQ",3.9,IF(H2897="ILF",7.5,IF(H2897="EIF",5.4)))))))</f>
        <v/>
      </c>
      <c r="M2897" s="30" t="str">
        <f t="shared" si="310"/>
        <v/>
      </c>
      <c r="N2897" s="134"/>
      <c r="O2897" s="29"/>
      <c r="P2897" s="37" t="str">
        <f t="shared" si="311"/>
        <v/>
      </c>
      <c r="Q2897" s="38" t="str">
        <f t="shared" si="312"/>
        <v/>
      </c>
      <c r="R2897" s="37" t="str">
        <f t="shared" si="313"/>
        <v/>
      </c>
      <c r="S2897" s="37" t="str">
        <f t="shared" si="314"/>
        <v/>
      </c>
      <c r="T2897" s="38" t="str">
        <f t="shared" si="315"/>
        <v/>
      </c>
      <c r="U2897" s="37" t="str">
        <f t="shared" si="316"/>
        <v/>
      </c>
    </row>
    <row r="2898" spans="2:21" ht="17.25">
      <c r="B2898" s="156"/>
      <c r="C2898" s="156"/>
      <c r="D2898" s="157"/>
      <c r="E2898" s="155"/>
      <c r="F2898" s="151"/>
      <c r="G2898" s="152"/>
      <c r="H2898" s="153"/>
      <c r="I2898" s="154"/>
      <c r="J2898" s="154"/>
      <c r="K2898" s="30" t="str">
        <f>IF(H2898="","",IF($C$30="간이법","",FPR(H2898,I2898,J2898)))</f>
        <v/>
      </c>
      <c r="L2898" s="30" t="str">
        <f>IF(H2898="","",IF($C$30="상세법",FPV(H2898,K2898),IF(H2898="EI",4,IF(H2898="EO",5.2,IF(H2898="EQ",3.9,IF(H2898="ILF",7.5,IF(H2898="EIF",5.4)))))))</f>
        <v/>
      </c>
      <c r="M2898" s="30" t="str">
        <f t="shared" si="310"/>
        <v/>
      </c>
      <c r="N2898" s="134"/>
      <c r="O2898" s="29"/>
      <c r="P2898" s="37" t="str">
        <f t="shared" si="311"/>
        <v/>
      </c>
      <c r="Q2898" s="38" t="str">
        <f t="shared" si="312"/>
        <v/>
      </c>
      <c r="R2898" s="37" t="str">
        <f t="shared" si="313"/>
        <v/>
      </c>
      <c r="S2898" s="37" t="str">
        <f t="shared" si="314"/>
        <v/>
      </c>
      <c r="T2898" s="38" t="str">
        <f t="shared" si="315"/>
        <v/>
      </c>
      <c r="U2898" s="37" t="str">
        <f t="shared" si="316"/>
        <v/>
      </c>
    </row>
    <row r="2899" spans="2:21" ht="17.25">
      <c r="B2899" s="156"/>
      <c r="C2899" s="156"/>
      <c r="D2899" s="157"/>
      <c r="E2899" s="155"/>
      <c r="F2899" s="151"/>
      <c r="G2899" s="152"/>
      <c r="H2899" s="153"/>
      <c r="I2899" s="154"/>
      <c r="J2899" s="154"/>
      <c r="K2899" s="30" t="str">
        <f>IF(H2899="","",IF($C$30="간이법","",FPR(H2899,I2899,J2899)))</f>
        <v/>
      </c>
      <c r="L2899" s="30" t="str">
        <f>IF(H2899="","",IF($C$30="상세법",FPV(H2899,K2899),IF(H2899="EI",4,IF(H2899="EO",5.2,IF(H2899="EQ",3.9,IF(H2899="ILF",7.5,IF(H2899="EIF",5.4)))))))</f>
        <v/>
      </c>
      <c r="M2899" s="30" t="str">
        <f t="shared" si="310"/>
        <v/>
      </c>
      <c r="N2899" s="134"/>
      <c r="O2899" s="29"/>
      <c r="P2899" s="37" t="str">
        <f t="shared" si="311"/>
        <v/>
      </c>
      <c r="Q2899" s="38" t="str">
        <f t="shared" si="312"/>
        <v/>
      </c>
      <c r="R2899" s="37" t="str">
        <f t="shared" si="313"/>
        <v/>
      </c>
      <c r="S2899" s="37" t="str">
        <f t="shared" si="314"/>
        <v/>
      </c>
      <c r="T2899" s="38" t="str">
        <f t="shared" si="315"/>
        <v/>
      </c>
      <c r="U2899" s="37" t="str">
        <f t="shared" si="316"/>
        <v/>
      </c>
    </row>
    <row r="2900" spans="2:21" ht="17.25">
      <c r="B2900" s="156"/>
      <c r="C2900" s="156"/>
      <c r="D2900" s="157"/>
      <c r="E2900" s="155"/>
      <c r="F2900" s="151"/>
      <c r="G2900" s="152"/>
      <c r="H2900" s="153"/>
      <c r="I2900" s="154"/>
      <c r="J2900" s="154"/>
      <c r="K2900" s="30" t="str">
        <f>IF(H2900="","",IF($C$30="간이법","",FPR(H2900,I2900,J2900)))</f>
        <v/>
      </c>
      <c r="L2900" s="30" t="str">
        <f>IF(H2900="","",IF($C$30="상세법",FPV(H2900,K2900),IF(H2900="EI",4,IF(H2900="EO",5.2,IF(H2900="EQ",3.9,IF(H2900="ILF",7.5,IF(H2900="EIF",5.4)))))))</f>
        <v/>
      </c>
      <c r="M2900" s="30" t="str">
        <f t="shared" si="310"/>
        <v/>
      </c>
      <c r="N2900" s="134"/>
      <c r="O2900" s="29"/>
      <c r="P2900" s="37" t="str">
        <f t="shared" si="311"/>
        <v/>
      </c>
      <c r="Q2900" s="38" t="str">
        <f t="shared" si="312"/>
        <v/>
      </c>
      <c r="R2900" s="37" t="str">
        <f t="shared" si="313"/>
        <v/>
      </c>
      <c r="S2900" s="37" t="str">
        <f t="shared" si="314"/>
        <v/>
      </c>
      <c r="T2900" s="38" t="str">
        <f t="shared" si="315"/>
        <v/>
      </c>
      <c r="U2900" s="37" t="str">
        <f t="shared" si="316"/>
        <v/>
      </c>
    </row>
    <row r="2901" spans="2:21" ht="17.25">
      <c r="B2901" s="156"/>
      <c r="C2901" s="156"/>
      <c r="D2901" s="157"/>
      <c r="E2901" s="155"/>
      <c r="F2901" s="151"/>
      <c r="G2901" s="152"/>
      <c r="H2901" s="153"/>
      <c r="I2901" s="154"/>
      <c r="J2901" s="154"/>
      <c r="K2901" s="30" t="str">
        <f>IF(H2901="","",IF($C$30="간이법","",FPR(H2901,I2901,J2901)))</f>
        <v/>
      </c>
      <c r="L2901" s="30" t="str">
        <f>IF(H2901="","",IF($C$30="상세법",FPV(H2901,K2901),IF(H2901="EI",4,IF(H2901="EO",5.2,IF(H2901="EQ",3.9,IF(H2901="ILF",7.5,IF(H2901="EIF",5.4)))))))</f>
        <v/>
      </c>
      <c r="M2901" s="30" t="str">
        <f t="shared" si="310"/>
        <v/>
      </c>
      <c r="N2901" s="134"/>
      <c r="O2901" s="29"/>
      <c r="P2901" s="37" t="str">
        <f t="shared" si="311"/>
        <v/>
      </c>
      <c r="Q2901" s="38" t="str">
        <f t="shared" si="312"/>
        <v/>
      </c>
      <c r="R2901" s="37" t="str">
        <f t="shared" si="313"/>
        <v/>
      </c>
      <c r="S2901" s="37" t="str">
        <f t="shared" si="314"/>
        <v/>
      </c>
      <c r="T2901" s="38" t="str">
        <f t="shared" si="315"/>
        <v/>
      </c>
      <c r="U2901" s="37" t="str">
        <f t="shared" si="316"/>
        <v/>
      </c>
    </row>
    <row r="2902" spans="2:21" ht="17.25">
      <c r="B2902" s="156"/>
      <c r="C2902" s="156"/>
      <c r="D2902" s="157"/>
      <c r="E2902" s="155"/>
      <c r="F2902" s="151"/>
      <c r="G2902" s="152"/>
      <c r="H2902" s="153"/>
      <c r="I2902" s="154"/>
      <c r="J2902" s="154"/>
      <c r="K2902" s="30" t="str">
        <f>IF(H2902="","",IF($C$30="간이법","",FPR(H2902,I2902,J2902)))</f>
        <v/>
      </c>
      <c r="L2902" s="30" t="str">
        <f>IF(H2902="","",IF($C$30="상세법",FPV(H2902,K2902),IF(H2902="EI",4,IF(H2902="EO",5.2,IF(H2902="EQ",3.9,IF(H2902="ILF",7.5,IF(H2902="EIF",5.4)))))))</f>
        <v/>
      </c>
      <c r="M2902" s="30" t="str">
        <f t="shared" si="310"/>
        <v/>
      </c>
      <c r="N2902" s="134"/>
      <c r="O2902" s="29"/>
      <c r="P2902" s="37" t="str">
        <f t="shared" si="311"/>
        <v/>
      </c>
      <c r="Q2902" s="38" t="str">
        <f t="shared" si="312"/>
        <v/>
      </c>
      <c r="R2902" s="37" t="str">
        <f t="shared" si="313"/>
        <v/>
      </c>
      <c r="S2902" s="37" t="str">
        <f t="shared" si="314"/>
        <v/>
      </c>
      <c r="T2902" s="38" t="str">
        <f t="shared" si="315"/>
        <v/>
      </c>
      <c r="U2902" s="37" t="str">
        <f t="shared" si="316"/>
        <v/>
      </c>
    </row>
    <row r="2903" spans="2:21" ht="17.25">
      <c r="B2903" s="156"/>
      <c r="C2903" s="156"/>
      <c r="D2903" s="157"/>
      <c r="E2903" s="155"/>
      <c r="F2903" s="151"/>
      <c r="G2903" s="152"/>
      <c r="H2903" s="153"/>
      <c r="I2903" s="154"/>
      <c r="J2903" s="154"/>
      <c r="K2903" s="30" t="str">
        <f>IF(H2903="","",IF($C$30="간이법","",FPR(H2903,I2903,J2903)))</f>
        <v/>
      </c>
      <c r="L2903" s="30" t="str">
        <f>IF(H2903="","",IF($C$30="상세법",FPV(H2903,K2903),IF(H2903="EI",4,IF(H2903="EO",5.2,IF(H2903="EQ",3.9,IF(H2903="ILF",7.5,IF(H2903="EIF",5.4)))))))</f>
        <v/>
      </c>
      <c r="M2903" s="30" t="str">
        <f t="shared" si="310"/>
        <v/>
      </c>
      <c r="N2903" s="134"/>
      <c r="O2903" s="29"/>
      <c r="P2903" s="37" t="str">
        <f t="shared" si="311"/>
        <v/>
      </c>
      <c r="Q2903" s="38" t="str">
        <f t="shared" si="312"/>
        <v/>
      </c>
      <c r="R2903" s="37" t="str">
        <f t="shared" si="313"/>
        <v/>
      </c>
      <c r="S2903" s="37" t="str">
        <f t="shared" si="314"/>
        <v/>
      </c>
      <c r="T2903" s="38" t="str">
        <f t="shared" si="315"/>
        <v/>
      </c>
      <c r="U2903" s="37" t="str">
        <f t="shared" si="316"/>
        <v/>
      </c>
    </row>
    <row r="2904" spans="2:21" ht="17.25">
      <c r="B2904" s="156"/>
      <c r="C2904" s="156"/>
      <c r="D2904" s="157"/>
      <c r="E2904" s="155"/>
      <c r="F2904" s="151"/>
      <c r="G2904" s="152"/>
      <c r="H2904" s="153"/>
      <c r="I2904" s="154"/>
      <c r="J2904" s="154"/>
      <c r="K2904" s="30" t="str">
        <f>IF(H2904="","",IF($C$30="간이법","",FPR(H2904,I2904,J2904)))</f>
        <v/>
      </c>
      <c r="L2904" s="30" t="str">
        <f>IF(H2904="","",IF($C$30="상세법",FPV(H2904,K2904),IF(H2904="EI",4,IF(H2904="EO",5.2,IF(H2904="EQ",3.9,IF(H2904="ILF",7.5,IF(H2904="EIF",5.4)))))))</f>
        <v/>
      </c>
      <c r="M2904" s="30" t="str">
        <f t="shared" si="310"/>
        <v/>
      </c>
      <c r="N2904" s="134"/>
      <c r="O2904" s="29"/>
      <c r="P2904" s="37" t="str">
        <f t="shared" si="311"/>
        <v/>
      </c>
      <c r="Q2904" s="38" t="str">
        <f t="shared" si="312"/>
        <v/>
      </c>
      <c r="R2904" s="37" t="str">
        <f t="shared" si="313"/>
        <v/>
      </c>
      <c r="S2904" s="37" t="str">
        <f t="shared" si="314"/>
        <v/>
      </c>
      <c r="T2904" s="38" t="str">
        <f t="shared" si="315"/>
        <v/>
      </c>
      <c r="U2904" s="37" t="str">
        <f t="shared" si="316"/>
        <v/>
      </c>
    </row>
    <row r="2905" spans="2:21" ht="17.25">
      <c r="B2905" s="156"/>
      <c r="C2905" s="156"/>
      <c r="D2905" s="157"/>
      <c r="E2905" s="155"/>
      <c r="F2905" s="151"/>
      <c r="G2905" s="152"/>
      <c r="H2905" s="153"/>
      <c r="I2905" s="154"/>
      <c r="J2905" s="154"/>
      <c r="K2905" s="30" t="str">
        <f>IF(H2905="","",IF($C$30="간이법","",FPR(H2905,I2905,J2905)))</f>
        <v/>
      </c>
      <c r="L2905" s="30" t="str">
        <f>IF(H2905="","",IF($C$30="상세법",FPV(H2905,K2905),IF(H2905="EI",4,IF(H2905="EO",5.2,IF(H2905="EQ",3.9,IF(H2905="ILF",7.5,IF(H2905="EIF",5.4)))))))</f>
        <v/>
      </c>
      <c r="M2905" s="30" t="str">
        <f t="shared" si="310"/>
        <v/>
      </c>
      <c r="N2905" s="134"/>
      <c r="O2905" s="29"/>
      <c r="P2905" s="37" t="str">
        <f t="shared" si="311"/>
        <v/>
      </c>
      <c r="Q2905" s="38" t="str">
        <f t="shared" si="312"/>
        <v/>
      </c>
      <c r="R2905" s="37" t="str">
        <f t="shared" si="313"/>
        <v/>
      </c>
      <c r="S2905" s="37" t="str">
        <f t="shared" si="314"/>
        <v/>
      </c>
      <c r="T2905" s="38" t="str">
        <f t="shared" si="315"/>
        <v/>
      </c>
      <c r="U2905" s="37" t="str">
        <f t="shared" si="316"/>
        <v/>
      </c>
    </row>
    <row r="2906" spans="2:21" ht="17.25">
      <c r="B2906" s="156"/>
      <c r="C2906" s="156"/>
      <c r="D2906" s="157"/>
      <c r="E2906" s="155"/>
      <c r="F2906" s="151"/>
      <c r="G2906" s="152"/>
      <c r="H2906" s="153"/>
      <c r="I2906" s="154"/>
      <c r="J2906" s="154"/>
      <c r="K2906" s="30" t="str">
        <f>IF(H2906="","",IF($C$30="간이법","",FPR(H2906,I2906,J2906)))</f>
        <v/>
      </c>
      <c r="L2906" s="30" t="str">
        <f>IF(H2906="","",IF($C$30="상세법",FPV(H2906,K2906),IF(H2906="EI",4,IF(H2906="EO",5.2,IF(H2906="EQ",3.9,IF(H2906="ILF",7.5,IF(H2906="EIF",5.4)))))))</f>
        <v/>
      </c>
      <c r="M2906" s="30" t="str">
        <f t="shared" si="310"/>
        <v/>
      </c>
      <c r="N2906" s="134"/>
      <c r="O2906" s="29"/>
      <c r="P2906" s="37" t="str">
        <f t="shared" si="311"/>
        <v/>
      </c>
      <c r="Q2906" s="38" t="str">
        <f t="shared" si="312"/>
        <v/>
      </c>
      <c r="R2906" s="37" t="str">
        <f t="shared" si="313"/>
        <v/>
      </c>
      <c r="S2906" s="37" t="str">
        <f t="shared" si="314"/>
        <v/>
      </c>
      <c r="T2906" s="38" t="str">
        <f t="shared" si="315"/>
        <v/>
      </c>
      <c r="U2906" s="37" t="str">
        <f t="shared" si="316"/>
        <v/>
      </c>
    </row>
    <row r="2907" spans="2:21" ht="17.25">
      <c r="B2907" s="156"/>
      <c r="C2907" s="156"/>
      <c r="D2907" s="157"/>
      <c r="E2907" s="155"/>
      <c r="F2907" s="151"/>
      <c r="G2907" s="152"/>
      <c r="H2907" s="153"/>
      <c r="I2907" s="154"/>
      <c r="J2907" s="154"/>
      <c r="K2907" s="30" t="str">
        <f>IF(H2907="","",IF($C$30="간이법","",FPR(H2907,I2907,J2907)))</f>
        <v/>
      </c>
      <c r="L2907" s="30" t="str">
        <f>IF(H2907="","",IF($C$30="상세법",FPV(H2907,K2907),IF(H2907="EI",4,IF(H2907="EO",5.2,IF(H2907="EQ",3.9,IF(H2907="ILF",7.5,IF(H2907="EIF",5.4)))))))</f>
        <v/>
      </c>
      <c r="M2907" s="30" t="str">
        <f t="shared" si="310"/>
        <v/>
      </c>
      <c r="N2907" s="134"/>
      <c r="O2907" s="29"/>
      <c r="P2907" s="37" t="str">
        <f t="shared" si="311"/>
        <v/>
      </c>
      <c r="Q2907" s="38" t="str">
        <f t="shared" si="312"/>
        <v/>
      </c>
      <c r="R2907" s="37" t="str">
        <f t="shared" si="313"/>
        <v/>
      </c>
      <c r="S2907" s="37" t="str">
        <f t="shared" si="314"/>
        <v/>
      </c>
      <c r="T2907" s="38" t="str">
        <f t="shared" si="315"/>
        <v/>
      </c>
      <c r="U2907" s="37" t="str">
        <f t="shared" si="316"/>
        <v/>
      </c>
    </row>
    <row r="2908" spans="2:21" ht="17.25">
      <c r="B2908" s="156"/>
      <c r="C2908" s="156"/>
      <c r="D2908" s="157"/>
      <c r="E2908" s="155"/>
      <c r="F2908" s="151"/>
      <c r="G2908" s="152"/>
      <c r="H2908" s="153"/>
      <c r="I2908" s="154"/>
      <c r="J2908" s="154"/>
      <c r="K2908" s="30" t="str">
        <f>IF(H2908="","",IF($C$30="간이법","",FPR(H2908,I2908,J2908)))</f>
        <v/>
      </c>
      <c r="L2908" s="30" t="str">
        <f>IF(H2908="","",IF($C$30="상세법",FPV(H2908,K2908),IF(H2908="EI",4,IF(H2908="EO",5.2,IF(H2908="EQ",3.9,IF(H2908="ILF",7.5,IF(H2908="EIF",5.4)))))))</f>
        <v/>
      </c>
      <c r="M2908" s="30" t="str">
        <f t="shared" si="310"/>
        <v/>
      </c>
      <c r="N2908" s="134"/>
      <c r="O2908" s="29"/>
      <c r="P2908" s="37" t="str">
        <f t="shared" si="311"/>
        <v/>
      </c>
      <c r="Q2908" s="38" t="str">
        <f t="shared" si="312"/>
        <v/>
      </c>
      <c r="R2908" s="37" t="str">
        <f t="shared" si="313"/>
        <v/>
      </c>
      <c r="S2908" s="37" t="str">
        <f t="shared" si="314"/>
        <v/>
      </c>
      <c r="T2908" s="38" t="str">
        <f t="shared" si="315"/>
        <v/>
      </c>
      <c r="U2908" s="37" t="str">
        <f t="shared" si="316"/>
        <v/>
      </c>
    </row>
    <row r="2909" spans="2:21" ht="17.25">
      <c r="B2909" s="156"/>
      <c r="C2909" s="156"/>
      <c r="D2909" s="157"/>
      <c r="E2909" s="155"/>
      <c r="F2909" s="151"/>
      <c r="G2909" s="152"/>
      <c r="H2909" s="153"/>
      <c r="I2909" s="154"/>
      <c r="J2909" s="154"/>
      <c r="K2909" s="30" t="str">
        <f>IF(H2909="","",IF($C$30="간이법","",FPR(H2909,I2909,J2909)))</f>
        <v/>
      </c>
      <c r="L2909" s="30" t="str">
        <f>IF(H2909="","",IF($C$30="상세법",FPV(H2909,K2909),IF(H2909="EI",4,IF(H2909="EO",5.2,IF(H2909="EQ",3.9,IF(H2909="ILF",7.5,IF(H2909="EIF",5.4)))))))</f>
        <v/>
      </c>
      <c r="M2909" s="30" t="str">
        <f t="shared" si="310"/>
        <v/>
      </c>
      <c r="N2909" s="134"/>
      <c r="O2909" s="29"/>
      <c r="P2909" s="37" t="str">
        <f t="shared" si="311"/>
        <v/>
      </c>
      <c r="Q2909" s="38" t="str">
        <f t="shared" si="312"/>
        <v/>
      </c>
      <c r="R2909" s="37" t="str">
        <f t="shared" si="313"/>
        <v/>
      </c>
      <c r="S2909" s="37" t="str">
        <f t="shared" si="314"/>
        <v/>
      </c>
      <c r="T2909" s="38" t="str">
        <f t="shared" si="315"/>
        <v/>
      </c>
      <c r="U2909" s="37" t="str">
        <f t="shared" si="316"/>
        <v/>
      </c>
    </row>
    <row r="2910" spans="2:21" ht="17.25">
      <c r="B2910" s="156"/>
      <c r="C2910" s="156"/>
      <c r="D2910" s="157"/>
      <c r="E2910" s="155"/>
      <c r="F2910" s="151"/>
      <c r="G2910" s="152"/>
      <c r="H2910" s="153"/>
      <c r="I2910" s="154"/>
      <c r="J2910" s="154"/>
      <c r="K2910" s="30" t="str">
        <f>IF(H2910="","",IF($C$30="간이법","",FPR(H2910,I2910,J2910)))</f>
        <v/>
      </c>
      <c r="L2910" s="30" t="str">
        <f>IF(H2910="","",IF($C$30="상세법",FPV(H2910,K2910),IF(H2910="EI",4,IF(H2910="EO",5.2,IF(H2910="EQ",3.9,IF(H2910="ILF",7.5,IF(H2910="EIF",5.4)))))))</f>
        <v/>
      </c>
      <c r="M2910" s="30" t="str">
        <f t="shared" si="310"/>
        <v/>
      </c>
      <c r="N2910" s="134"/>
      <c r="O2910" s="29"/>
      <c r="P2910" s="37" t="str">
        <f t="shared" si="311"/>
        <v/>
      </c>
      <c r="Q2910" s="38" t="str">
        <f t="shared" si="312"/>
        <v/>
      </c>
      <c r="R2910" s="37" t="str">
        <f t="shared" si="313"/>
        <v/>
      </c>
      <c r="S2910" s="37" t="str">
        <f t="shared" si="314"/>
        <v/>
      </c>
      <c r="T2910" s="38" t="str">
        <f t="shared" si="315"/>
        <v/>
      </c>
      <c r="U2910" s="37" t="str">
        <f t="shared" si="316"/>
        <v/>
      </c>
    </row>
    <row r="2911" spans="2:21" ht="17.25">
      <c r="B2911" s="156"/>
      <c r="C2911" s="156"/>
      <c r="D2911" s="157"/>
      <c r="E2911" s="155"/>
      <c r="F2911" s="151"/>
      <c r="G2911" s="152"/>
      <c r="H2911" s="153"/>
      <c r="I2911" s="154"/>
      <c r="J2911" s="154"/>
      <c r="K2911" s="30" t="str">
        <f>IF(H2911="","",IF($C$30="간이법","",FPR(H2911,I2911,J2911)))</f>
        <v/>
      </c>
      <c r="L2911" s="30" t="str">
        <f>IF(H2911="","",IF($C$30="상세법",FPV(H2911,K2911),IF(H2911="EI",4,IF(H2911="EO",5.2,IF(H2911="EQ",3.9,IF(H2911="ILF",7.5,IF(H2911="EIF",5.4)))))))</f>
        <v/>
      </c>
      <c r="M2911" s="30" t="str">
        <f t="shared" si="310"/>
        <v/>
      </c>
      <c r="N2911" s="134"/>
      <c r="O2911" s="29"/>
      <c r="P2911" s="37" t="str">
        <f t="shared" si="311"/>
        <v/>
      </c>
      <c r="Q2911" s="38" t="str">
        <f t="shared" si="312"/>
        <v/>
      </c>
      <c r="R2911" s="37" t="str">
        <f t="shared" si="313"/>
        <v/>
      </c>
      <c r="S2911" s="37" t="str">
        <f t="shared" si="314"/>
        <v/>
      </c>
      <c r="T2911" s="38" t="str">
        <f t="shared" si="315"/>
        <v/>
      </c>
      <c r="U2911" s="37" t="str">
        <f t="shared" si="316"/>
        <v/>
      </c>
    </row>
    <row r="2912" spans="2:21" ht="17.25">
      <c r="B2912" s="156"/>
      <c r="C2912" s="156"/>
      <c r="D2912" s="157"/>
      <c r="E2912" s="155"/>
      <c r="F2912" s="151"/>
      <c r="G2912" s="152"/>
      <c r="H2912" s="153"/>
      <c r="I2912" s="154"/>
      <c r="J2912" s="154"/>
      <c r="K2912" s="30" t="str">
        <f>IF(H2912="","",IF($C$30="간이법","",FPR(H2912,I2912,J2912)))</f>
        <v/>
      </c>
      <c r="L2912" s="30" t="str">
        <f>IF(H2912="","",IF($C$30="상세법",FPV(H2912,K2912),IF(H2912="EI",4,IF(H2912="EO",5.2,IF(H2912="EQ",3.9,IF(H2912="ILF",7.5,IF(H2912="EIF",5.4)))))))</f>
        <v/>
      </c>
      <c r="M2912" s="30" t="str">
        <f t="shared" si="310"/>
        <v/>
      </c>
      <c r="N2912" s="134"/>
      <c r="O2912" s="29"/>
      <c r="P2912" s="37" t="str">
        <f t="shared" si="311"/>
        <v/>
      </c>
      <c r="Q2912" s="38" t="str">
        <f t="shared" si="312"/>
        <v/>
      </c>
      <c r="R2912" s="37" t="str">
        <f t="shared" si="313"/>
        <v/>
      </c>
      <c r="S2912" s="37" t="str">
        <f t="shared" si="314"/>
        <v/>
      </c>
      <c r="T2912" s="38" t="str">
        <f t="shared" si="315"/>
        <v/>
      </c>
      <c r="U2912" s="37" t="str">
        <f t="shared" si="316"/>
        <v/>
      </c>
    </row>
    <row r="2913" spans="2:21" ht="17.25">
      <c r="B2913" s="156"/>
      <c r="C2913" s="156"/>
      <c r="D2913" s="157"/>
      <c r="E2913" s="155"/>
      <c r="F2913" s="151"/>
      <c r="G2913" s="152"/>
      <c r="H2913" s="153"/>
      <c r="I2913" s="154"/>
      <c r="J2913" s="154"/>
      <c r="K2913" s="30" t="str">
        <f>IF(H2913="","",IF($C$30="간이법","",FPR(H2913,I2913,J2913)))</f>
        <v/>
      </c>
      <c r="L2913" s="30" t="str">
        <f>IF(H2913="","",IF($C$30="상세법",FPV(H2913,K2913),IF(H2913="EI",4,IF(H2913="EO",5.2,IF(H2913="EQ",3.9,IF(H2913="ILF",7.5,IF(H2913="EIF",5.4)))))))</f>
        <v/>
      </c>
      <c r="M2913" s="30" t="str">
        <f t="shared" si="310"/>
        <v/>
      </c>
      <c r="N2913" s="134"/>
      <c r="O2913" s="29"/>
      <c r="P2913" s="37" t="str">
        <f t="shared" si="311"/>
        <v/>
      </c>
      <c r="Q2913" s="38" t="str">
        <f t="shared" si="312"/>
        <v/>
      </c>
      <c r="R2913" s="37" t="str">
        <f t="shared" si="313"/>
        <v/>
      </c>
      <c r="S2913" s="37" t="str">
        <f t="shared" si="314"/>
        <v/>
      </c>
      <c r="T2913" s="38" t="str">
        <f t="shared" si="315"/>
        <v/>
      </c>
      <c r="U2913" s="37" t="str">
        <f t="shared" si="316"/>
        <v/>
      </c>
    </row>
    <row r="2914" spans="2:21" ht="17.25">
      <c r="B2914" s="156"/>
      <c r="C2914" s="156"/>
      <c r="D2914" s="157"/>
      <c r="E2914" s="155"/>
      <c r="F2914" s="151"/>
      <c r="G2914" s="152"/>
      <c r="H2914" s="153"/>
      <c r="I2914" s="154"/>
      <c r="J2914" s="154"/>
      <c r="K2914" s="30" t="str">
        <f>IF(H2914="","",IF($C$30="간이법","",FPR(H2914,I2914,J2914)))</f>
        <v/>
      </c>
      <c r="L2914" s="30" t="str">
        <f>IF(H2914="","",IF($C$30="상세법",FPV(H2914,K2914),IF(H2914="EI",4,IF(H2914="EO",5.2,IF(H2914="EQ",3.9,IF(H2914="ILF",7.5,IF(H2914="EIF",5.4)))))))</f>
        <v/>
      </c>
      <c r="M2914" s="30" t="str">
        <f t="shared" si="310"/>
        <v/>
      </c>
      <c r="N2914" s="134"/>
      <c r="O2914" s="29"/>
      <c r="P2914" s="37" t="str">
        <f t="shared" si="311"/>
        <v/>
      </c>
      <c r="Q2914" s="38" t="str">
        <f t="shared" si="312"/>
        <v/>
      </c>
      <c r="R2914" s="37" t="str">
        <f t="shared" si="313"/>
        <v/>
      </c>
      <c r="S2914" s="37" t="str">
        <f t="shared" si="314"/>
        <v/>
      </c>
      <c r="T2914" s="38" t="str">
        <f t="shared" si="315"/>
        <v/>
      </c>
      <c r="U2914" s="37" t="str">
        <f t="shared" si="316"/>
        <v/>
      </c>
    </row>
    <row r="2915" spans="2:21" ht="17.25">
      <c r="B2915" s="156"/>
      <c r="C2915" s="156"/>
      <c r="D2915" s="157"/>
      <c r="E2915" s="155"/>
      <c r="F2915" s="151"/>
      <c r="G2915" s="152"/>
      <c r="H2915" s="153"/>
      <c r="I2915" s="154"/>
      <c r="J2915" s="154"/>
      <c r="K2915" s="30" t="str">
        <f>IF(H2915="","",IF($C$30="간이법","",FPR(H2915,I2915,J2915)))</f>
        <v/>
      </c>
      <c r="L2915" s="30" t="str">
        <f>IF(H2915="","",IF($C$30="상세법",FPV(H2915,K2915),IF(H2915="EI",4,IF(H2915="EO",5.2,IF(H2915="EQ",3.9,IF(H2915="ILF",7.5,IF(H2915="EIF",5.4)))))))</f>
        <v/>
      </c>
      <c r="M2915" s="30" t="str">
        <f t="shared" si="310"/>
        <v/>
      </c>
      <c r="N2915" s="134"/>
      <c r="O2915" s="29"/>
      <c r="P2915" s="37" t="str">
        <f t="shared" si="311"/>
        <v/>
      </c>
      <c r="Q2915" s="38" t="str">
        <f t="shared" si="312"/>
        <v/>
      </c>
      <c r="R2915" s="37" t="str">
        <f t="shared" si="313"/>
        <v/>
      </c>
      <c r="S2915" s="37" t="str">
        <f t="shared" si="314"/>
        <v/>
      </c>
      <c r="T2915" s="38" t="str">
        <f t="shared" si="315"/>
        <v/>
      </c>
      <c r="U2915" s="37" t="str">
        <f t="shared" si="316"/>
        <v/>
      </c>
    </row>
    <row r="2916" spans="2:21" ht="17.25">
      <c r="B2916" s="156"/>
      <c r="C2916" s="156"/>
      <c r="D2916" s="157"/>
      <c r="E2916" s="155"/>
      <c r="F2916" s="151"/>
      <c r="G2916" s="152"/>
      <c r="H2916" s="153"/>
      <c r="I2916" s="154"/>
      <c r="J2916" s="154"/>
      <c r="K2916" s="30" t="str">
        <f>IF(H2916="","",IF($C$30="간이법","",FPR(H2916,I2916,J2916)))</f>
        <v/>
      </c>
      <c r="L2916" s="30" t="str">
        <f>IF(H2916="","",IF($C$30="상세법",FPV(H2916,K2916),IF(H2916="EI",4,IF(H2916="EO",5.2,IF(H2916="EQ",3.9,IF(H2916="ILF",7.5,IF(H2916="EIF",5.4)))))))</f>
        <v/>
      </c>
      <c r="M2916" s="30" t="str">
        <f t="shared" si="310"/>
        <v/>
      </c>
      <c r="N2916" s="134"/>
      <c r="O2916" s="29"/>
      <c r="P2916" s="37" t="str">
        <f t="shared" si="311"/>
        <v/>
      </c>
      <c r="Q2916" s="38" t="str">
        <f t="shared" si="312"/>
        <v/>
      </c>
      <c r="R2916" s="37" t="str">
        <f t="shared" si="313"/>
        <v/>
      </c>
      <c r="S2916" s="37" t="str">
        <f t="shared" si="314"/>
        <v/>
      </c>
      <c r="T2916" s="38" t="str">
        <f t="shared" si="315"/>
        <v/>
      </c>
      <c r="U2916" s="37" t="str">
        <f t="shared" si="316"/>
        <v/>
      </c>
    </row>
    <row r="2917" spans="2:21" ht="17.25">
      <c r="B2917" s="156"/>
      <c r="C2917" s="156"/>
      <c r="D2917" s="157"/>
      <c r="E2917" s="155"/>
      <c r="F2917" s="151"/>
      <c r="G2917" s="152"/>
      <c r="H2917" s="153"/>
      <c r="I2917" s="154"/>
      <c r="J2917" s="154"/>
      <c r="K2917" s="30" t="str">
        <f>IF(H2917="","",IF($C$30="간이법","",FPR(H2917,I2917,J2917)))</f>
        <v/>
      </c>
      <c r="L2917" s="30" t="str">
        <f>IF(H2917="","",IF($C$30="상세법",FPV(H2917,K2917),IF(H2917="EI",4,IF(H2917="EO",5.2,IF(H2917="EQ",3.9,IF(H2917="ILF",7.5,IF(H2917="EIF",5.4)))))))</f>
        <v/>
      </c>
      <c r="M2917" s="30" t="str">
        <f t="shared" si="310"/>
        <v/>
      </c>
      <c r="N2917" s="134"/>
      <c r="O2917" s="29"/>
      <c r="P2917" s="37" t="str">
        <f t="shared" si="311"/>
        <v/>
      </c>
      <c r="Q2917" s="38" t="str">
        <f t="shared" si="312"/>
        <v/>
      </c>
      <c r="R2917" s="37" t="str">
        <f t="shared" si="313"/>
        <v/>
      </c>
      <c r="S2917" s="37" t="str">
        <f t="shared" si="314"/>
        <v/>
      </c>
      <c r="T2917" s="38" t="str">
        <f t="shared" si="315"/>
        <v/>
      </c>
      <c r="U2917" s="37" t="str">
        <f t="shared" si="316"/>
        <v/>
      </c>
    </row>
    <row r="2918" spans="2:21" ht="17.25">
      <c r="B2918" s="156"/>
      <c r="C2918" s="156"/>
      <c r="D2918" s="157"/>
      <c r="E2918" s="155"/>
      <c r="F2918" s="151"/>
      <c r="G2918" s="152"/>
      <c r="H2918" s="153"/>
      <c r="I2918" s="154"/>
      <c r="J2918" s="154"/>
      <c r="K2918" s="30" t="str">
        <f>IF(H2918="","",IF($C$30="간이법","",FPR(H2918,I2918,J2918)))</f>
        <v/>
      </c>
      <c r="L2918" s="30" t="str">
        <f>IF(H2918="","",IF($C$30="상세법",FPV(H2918,K2918),IF(H2918="EI",4,IF(H2918="EO",5.2,IF(H2918="EQ",3.9,IF(H2918="ILF",7.5,IF(H2918="EIF",5.4)))))))</f>
        <v/>
      </c>
      <c r="M2918" s="30" t="str">
        <f t="shared" si="310"/>
        <v/>
      </c>
      <c r="N2918" s="134"/>
      <c r="O2918" s="29"/>
      <c r="P2918" s="37" t="str">
        <f t="shared" si="311"/>
        <v/>
      </c>
      <c r="Q2918" s="38" t="str">
        <f t="shared" si="312"/>
        <v/>
      </c>
      <c r="R2918" s="37" t="str">
        <f t="shared" si="313"/>
        <v/>
      </c>
      <c r="S2918" s="37" t="str">
        <f t="shared" si="314"/>
        <v/>
      </c>
      <c r="T2918" s="38" t="str">
        <f t="shared" si="315"/>
        <v/>
      </c>
      <c r="U2918" s="37" t="str">
        <f t="shared" si="316"/>
        <v/>
      </c>
    </row>
    <row r="2919" spans="2:21" ht="17.25">
      <c r="B2919" s="156"/>
      <c r="C2919" s="156"/>
      <c r="D2919" s="157"/>
      <c r="E2919" s="155"/>
      <c r="F2919" s="151"/>
      <c r="G2919" s="152"/>
      <c r="H2919" s="153"/>
      <c r="I2919" s="154"/>
      <c r="J2919" s="154"/>
      <c r="K2919" s="30" t="str">
        <f>IF(H2919="","",IF($C$30="간이법","",FPR(H2919,I2919,J2919)))</f>
        <v/>
      </c>
      <c r="L2919" s="30" t="str">
        <f>IF(H2919="","",IF($C$30="상세법",FPV(H2919,K2919),IF(H2919="EI",4,IF(H2919="EO",5.2,IF(H2919="EQ",3.9,IF(H2919="ILF",7.5,IF(H2919="EIF",5.4)))))))</f>
        <v/>
      </c>
      <c r="M2919" s="30" t="str">
        <f t="shared" si="310"/>
        <v/>
      </c>
      <c r="N2919" s="134"/>
      <c r="O2919" s="29"/>
      <c r="P2919" s="37" t="str">
        <f t="shared" si="311"/>
        <v/>
      </c>
      <c r="Q2919" s="38" t="str">
        <f t="shared" si="312"/>
        <v/>
      </c>
      <c r="R2919" s="37" t="str">
        <f t="shared" si="313"/>
        <v/>
      </c>
      <c r="S2919" s="37" t="str">
        <f t="shared" si="314"/>
        <v/>
      </c>
      <c r="T2919" s="38" t="str">
        <f t="shared" si="315"/>
        <v/>
      </c>
      <c r="U2919" s="37" t="str">
        <f t="shared" si="316"/>
        <v/>
      </c>
    </row>
    <row r="2920" spans="2:21" ht="17.25">
      <c r="B2920" s="156"/>
      <c r="C2920" s="156"/>
      <c r="D2920" s="157"/>
      <c r="E2920" s="155"/>
      <c r="F2920" s="151"/>
      <c r="G2920" s="152"/>
      <c r="H2920" s="153"/>
      <c r="I2920" s="154"/>
      <c r="J2920" s="154"/>
      <c r="K2920" s="30" t="str">
        <f>IF(H2920="","",IF($C$30="간이법","",FPR(H2920,I2920,J2920)))</f>
        <v/>
      </c>
      <c r="L2920" s="30" t="str">
        <f>IF(H2920="","",IF($C$30="상세법",FPV(H2920,K2920),IF(H2920="EI",4,IF(H2920="EO",5.2,IF(H2920="EQ",3.9,IF(H2920="ILF",7.5,IF(H2920="EIF",5.4)))))))</f>
        <v/>
      </c>
      <c r="M2920" s="30" t="str">
        <f t="shared" si="310"/>
        <v/>
      </c>
      <c r="N2920" s="134"/>
      <c r="O2920" s="29"/>
      <c r="P2920" s="37" t="str">
        <f t="shared" si="311"/>
        <v/>
      </c>
      <c r="Q2920" s="38" t="str">
        <f t="shared" si="312"/>
        <v/>
      </c>
      <c r="R2920" s="37" t="str">
        <f t="shared" si="313"/>
        <v/>
      </c>
      <c r="S2920" s="37" t="str">
        <f t="shared" si="314"/>
        <v/>
      </c>
      <c r="T2920" s="38" t="str">
        <f t="shared" si="315"/>
        <v/>
      </c>
      <c r="U2920" s="37" t="str">
        <f t="shared" si="316"/>
        <v/>
      </c>
    </row>
    <row r="2921" spans="2:21" ht="17.25">
      <c r="B2921" s="156"/>
      <c r="C2921" s="156"/>
      <c r="D2921" s="157"/>
      <c r="E2921" s="155"/>
      <c r="F2921" s="151"/>
      <c r="G2921" s="152"/>
      <c r="H2921" s="153"/>
      <c r="I2921" s="154"/>
      <c r="J2921" s="154"/>
      <c r="K2921" s="30" t="str">
        <f>IF(H2921="","",IF($C$30="간이법","",FPR(H2921,I2921,J2921)))</f>
        <v/>
      </c>
      <c r="L2921" s="30" t="str">
        <f>IF(H2921="","",IF($C$30="상세법",FPV(H2921,K2921),IF(H2921="EI",4,IF(H2921="EO",5.2,IF(H2921="EQ",3.9,IF(H2921="ILF",7.5,IF(H2921="EIF",5.4)))))))</f>
        <v/>
      </c>
      <c r="M2921" s="30" t="str">
        <f t="shared" si="310"/>
        <v/>
      </c>
      <c r="N2921" s="134"/>
      <c r="O2921" s="29"/>
      <c r="P2921" s="37" t="str">
        <f t="shared" si="311"/>
        <v/>
      </c>
      <c r="Q2921" s="38" t="str">
        <f t="shared" si="312"/>
        <v/>
      </c>
      <c r="R2921" s="37" t="str">
        <f t="shared" si="313"/>
        <v/>
      </c>
      <c r="S2921" s="37" t="str">
        <f t="shared" si="314"/>
        <v/>
      </c>
      <c r="T2921" s="38" t="str">
        <f t="shared" si="315"/>
        <v/>
      </c>
      <c r="U2921" s="37" t="str">
        <f t="shared" si="316"/>
        <v/>
      </c>
    </row>
    <row r="2922" spans="2:21" ht="17.25">
      <c r="B2922" s="156"/>
      <c r="C2922" s="156"/>
      <c r="D2922" s="157"/>
      <c r="E2922" s="155"/>
      <c r="F2922" s="151"/>
      <c r="G2922" s="152"/>
      <c r="H2922" s="153"/>
      <c r="I2922" s="154"/>
      <c r="J2922" s="154"/>
      <c r="K2922" s="30" t="str">
        <f>IF(H2922="","",IF($C$30="간이법","",FPR(H2922,I2922,J2922)))</f>
        <v/>
      </c>
      <c r="L2922" s="30" t="str">
        <f>IF(H2922="","",IF($C$30="상세법",FPV(H2922,K2922),IF(H2922="EI",4,IF(H2922="EO",5.2,IF(H2922="EQ",3.9,IF(H2922="ILF",7.5,IF(H2922="EIF",5.4)))))))</f>
        <v/>
      </c>
      <c r="M2922" s="30" t="str">
        <f t="shared" si="310"/>
        <v/>
      </c>
      <c r="N2922" s="134"/>
      <c r="O2922" s="29"/>
      <c r="P2922" s="37" t="str">
        <f t="shared" si="311"/>
        <v/>
      </c>
      <c r="Q2922" s="38" t="str">
        <f t="shared" si="312"/>
        <v/>
      </c>
      <c r="R2922" s="37" t="str">
        <f t="shared" si="313"/>
        <v/>
      </c>
      <c r="S2922" s="37" t="str">
        <f t="shared" si="314"/>
        <v/>
      </c>
      <c r="T2922" s="38" t="str">
        <f t="shared" si="315"/>
        <v/>
      </c>
      <c r="U2922" s="37" t="str">
        <f t="shared" si="316"/>
        <v/>
      </c>
    </row>
    <row r="2923" spans="2:21" ht="17.25">
      <c r="B2923" s="156"/>
      <c r="C2923" s="156"/>
      <c r="D2923" s="157"/>
      <c r="E2923" s="155"/>
      <c r="F2923" s="151"/>
      <c r="G2923" s="152"/>
      <c r="H2923" s="153"/>
      <c r="I2923" s="154"/>
      <c r="J2923" s="154"/>
      <c r="K2923" s="30" t="str">
        <f>IF(H2923="","",IF($C$30="간이법","",FPR(H2923,I2923,J2923)))</f>
        <v/>
      </c>
      <c r="L2923" s="30" t="str">
        <f>IF(H2923="","",IF($C$30="상세법",FPV(H2923,K2923),IF(H2923="EI",4,IF(H2923="EO",5.2,IF(H2923="EQ",3.9,IF(H2923="ILF",7.5,IF(H2923="EIF",5.4)))))))</f>
        <v/>
      </c>
      <c r="M2923" s="30" t="str">
        <f t="shared" si="310"/>
        <v/>
      </c>
      <c r="N2923" s="134"/>
      <c r="O2923" s="29"/>
      <c r="P2923" s="37" t="str">
        <f t="shared" si="311"/>
        <v/>
      </c>
      <c r="Q2923" s="38" t="str">
        <f t="shared" si="312"/>
        <v/>
      </c>
      <c r="R2923" s="37" t="str">
        <f t="shared" si="313"/>
        <v/>
      </c>
      <c r="S2923" s="37" t="str">
        <f t="shared" si="314"/>
        <v/>
      </c>
      <c r="T2923" s="38" t="str">
        <f t="shared" si="315"/>
        <v/>
      </c>
      <c r="U2923" s="37" t="str">
        <f t="shared" si="316"/>
        <v/>
      </c>
    </row>
    <row r="2924" spans="2:21" ht="17.25">
      <c r="B2924" s="156"/>
      <c r="C2924" s="156"/>
      <c r="D2924" s="157"/>
      <c r="E2924" s="155"/>
      <c r="F2924" s="151"/>
      <c r="G2924" s="152"/>
      <c r="H2924" s="153"/>
      <c r="I2924" s="154"/>
      <c r="J2924" s="154"/>
      <c r="K2924" s="30" t="str">
        <f>IF(H2924="","",IF($C$30="간이법","",FPR(H2924,I2924,J2924)))</f>
        <v/>
      </c>
      <c r="L2924" s="30" t="str">
        <f>IF(H2924="","",IF($C$30="상세법",FPV(H2924,K2924),IF(H2924="EI",4,IF(H2924="EO",5.2,IF(H2924="EQ",3.9,IF(H2924="ILF",7.5,IF(H2924="EIF",5.4)))))))</f>
        <v/>
      </c>
      <c r="M2924" s="30" t="str">
        <f t="shared" si="310"/>
        <v/>
      </c>
      <c r="N2924" s="134"/>
      <c r="O2924" s="29"/>
      <c r="P2924" s="37" t="str">
        <f t="shared" si="311"/>
        <v/>
      </c>
      <c r="Q2924" s="38" t="str">
        <f t="shared" si="312"/>
        <v/>
      </c>
      <c r="R2924" s="37" t="str">
        <f t="shared" si="313"/>
        <v/>
      </c>
      <c r="S2924" s="37" t="str">
        <f t="shared" si="314"/>
        <v/>
      </c>
      <c r="T2924" s="38" t="str">
        <f t="shared" si="315"/>
        <v/>
      </c>
      <c r="U2924" s="37" t="str">
        <f t="shared" si="316"/>
        <v/>
      </c>
    </row>
    <row r="2925" spans="2:21" ht="17.25">
      <c r="B2925" s="156"/>
      <c r="C2925" s="156"/>
      <c r="D2925" s="157"/>
      <c r="E2925" s="155"/>
      <c r="F2925" s="151"/>
      <c r="G2925" s="152"/>
      <c r="H2925" s="153"/>
      <c r="I2925" s="154"/>
      <c r="J2925" s="154"/>
      <c r="K2925" s="30" t="str">
        <f>IF(H2925="","",IF($C$30="간이법","",FPR(H2925,I2925,J2925)))</f>
        <v/>
      </c>
      <c r="L2925" s="30" t="str">
        <f>IF(H2925="","",IF($C$30="상세법",FPV(H2925,K2925),IF(H2925="EI",4,IF(H2925="EO",5.2,IF(H2925="EQ",3.9,IF(H2925="ILF",7.5,IF(H2925="EIF",5.4)))))))</f>
        <v/>
      </c>
      <c r="M2925" s="30" t="str">
        <f t="shared" si="310"/>
        <v/>
      </c>
      <c r="N2925" s="134"/>
      <c r="O2925" s="29"/>
      <c r="P2925" s="37" t="str">
        <f t="shared" si="311"/>
        <v/>
      </c>
      <c r="Q2925" s="38" t="str">
        <f t="shared" si="312"/>
        <v/>
      </c>
      <c r="R2925" s="37" t="str">
        <f t="shared" si="313"/>
        <v/>
      </c>
      <c r="S2925" s="37" t="str">
        <f t="shared" si="314"/>
        <v/>
      </c>
      <c r="T2925" s="38" t="str">
        <f t="shared" si="315"/>
        <v/>
      </c>
      <c r="U2925" s="37" t="str">
        <f t="shared" si="316"/>
        <v/>
      </c>
    </row>
    <row r="2926" spans="2:21" ht="17.25">
      <c r="B2926" s="156"/>
      <c r="C2926" s="156"/>
      <c r="D2926" s="157"/>
      <c r="E2926" s="155"/>
      <c r="F2926" s="151"/>
      <c r="G2926" s="152"/>
      <c r="H2926" s="153"/>
      <c r="I2926" s="154"/>
      <c r="J2926" s="154"/>
      <c r="K2926" s="30" t="str">
        <f>IF(H2926="","",IF($C$30="간이법","",FPR(H2926,I2926,J2926)))</f>
        <v/>
      </c>
      <c r="L2926" s="30" t="str">
        <f>IF(H2926="","",IF($C$30="상세법",FPV(H2926,K2926),IF(H2926="EI",4,IF(H2926="EO",5.2,IF(H2926="EQ",3.9,IF(H2926="ILF",7.5,IF(H2926="EIF",5.4)))))))</f>
        <v/>
      </c>
      <c r="M2926" s="30" t="str">
        <f t="shared" si="310"/>
        <v/>
      </c>
      <c r="N2926" s="134"/>
      <c r="O2926" s="29"/>
      <c r="P2926" s="37" t="str">
        <f t="shared" si="311"/>
        <v/>
      </c>
      <c r="Q2926" s="38" t="str">
        <f t="shared" si="312"/>
        <v/>
      </c>
      <c r="R2926" s="37" t="str">
        <f t="shared" si="313"/>
        <v/>
      </c>
      <c r="S2926" s="37" t="str">
        <f t="shared" si="314"/>
        <v/>
      </c>
      <c r="T2926" s="38" t="str">
        <f t="shared" si="315"/>
        <v/>
      </c>
      <c r="U2926" s="37" t="str">
        <f t="shared" si="316"/>
        <v/>
      </c>
    </row>
    <row r="2927" spans="2:21" ht="17.25">
      <c r="B2927" s="156"/>
      <c r="C2927" s="156"/>
      <c r="D2927" s="157"/>
      <c r="E2927" s="155"/>
      <c r="F2927" s="151"/>
      <c r="G2927" s="152"/>
      <c r="H2927" s="153"/>
      <c r="I2927" s="154"/>
      <c r="J2927" s="154"/>
      <c r="K2927" s="30" t="str">
        <f>IF(H2927="","",IF($C$30="간이법","",FPR(H2927,I2927,J2927)))</f>
        <v/>
      </c>
      <c r="L2927" s="30" t="str">
        <f>IF(H2927="","",IF($C$30="상세법",FPV(H2927,K2927),IF(H2927="EI",4,IF(H2927="EO",5.2,IF(H2927="EQ",3.9,IF(H2927="ILF",7.5,IF(H2927="EIF",5.4)))))))</f>
        <v/>
      </c>
      <c r="M2927" s="30" t="str">
        <f t="shared" si="310"/>
        <v/>
      </c>
      <c r="N2927" s="134"/>
      <c r="O2927" s="29"/>
      <c r="P2927" s="37" t="str">
        <f t="shared" si="311"/>
        <v/>
      </c>
      <c r="Q2927" s="38" t="str">
        <f t="shared" si="312"/>
        <v/>
      </c>
      <c r="R2927" s="37" t="str">
        <f t="shared" si="313"/>
        <v/>
      </c>
      <c r="S2927" s="37" t="str">
        <f t="shared" si="314"/>
        <v/>
      </c>
      <c r="T2927" s="38" t="str">
        <f t="shared" si="315"/>
        <v/>
      </c>
      <c r="U2927" s="37" t="str">
        <f t="shared" si="316"/>
        <v/>
      </c>
    </row>
    <row r="2928" spans="2:21" ht="17.25">
      <c r="B2928" s="156"/>
      <c r="C2928" s="156"/>
      <c r="D2928" s="157"/>
      <c r="E2928" s="155"/>
      <c r="F2928" s="151"/>
      <c r="G2928" s="152"/>
      <c r="H2928" s="153"/>
      <c r="I2928" s="154"/>
      <c r="J2928" s="154"/>
      <c r="K2928" s="30" t="str">
        <f>IF(H2928="","",IF($C$30="간이법","",FPR(H2928,I2928,J2928)))</f>
        <v/>
      </c>
      <c r="L2928" s="30" t="str">
        <f>IF(H2928="","",IF($C$30="상세법",FPV(H2928,K2928),IF(H2928="EI",4,IF(H2928="EO",5.2,IF(H2928="EQ",3.9,IF(H2928="ILF",7.5,IF(H2928="EIF",5.4)))))))</f>
        <v/>
      </c>
      <c r="M2928" s="30" t="str">
        <f t="shared" si="310"/>
        <v/>
      </c>
      <c r="N2928" s="134"/>
      <c r="O2928" s="29"/>
      <c r="P2928" s="37" t="str">
        <f t="shared" si="311"/>
        <v/>
      </c>
      <c r="Q2928" s="38" t="str">
        <f t="shared" si="312"/>
        <v/>
      </c>
      <c r="R2928" s="37" t="str">
        <f t="shared" si="313"/>
        <v/>
      </c>
      <c r="S2928" s="37" t="str">
        <f t="shared" si="314"/>
        <v/>
      </c>
      <c r="T2928" s="38" t="str">
        <f t="shared" si="315"/>
        <v/>
      </c>
      <c r="U2928" s="37" t="str">
        <f t="shared" si="316"/>
        <v/>
      </c>
    </row>
    <row r="2929" spans="2:21" ht="17.25">
      <c r="B2929" s="156"/>
      <c r="C2929" s="156"/>
      <c r="D2929" s="157"/>
      <c r="E2929" s="155"/>
      <c r="F2929" s="151"/>
      <c r="G2929" s="152"/>
      <c r="H2929" s="153"/>
      <c r="I2929" s="154"/>
      <c r="J2929" s="154"/>
      <c r="K2929" s="30" t="str">
        <f>IF(H2929="","",IF($C$30="간이법","",FPR(H2929,I2929,J2929)))</f>
        <v/>
      </c>
      <c r="L2929" s="30" t="str">
        <f>IF(H2929="","",IF($C$30="상세법",FPV(H2929,K2929),IF(H2929="EI",4,IF(H2929="EO",5.2,IF(H2929="EQ",3.9,IF(H2929="ILF",7.5,IF(H2929="EIF",5.4)))))))</f>
        <v/>
      </c>
      <c r="M2929" s="30" t="str">
        <f t="shared" si="310"/>
        <v/>
      </c>
      <c r="N2929" s="134"/>
      <c r="O2929" s="29"/>
      <c r="P2929" s="37" t="str">
        <f t="shared" si="311"/>
        <v/>
      </c>
      <c r="Q2929" s="38" t="str">
        <f t="shared" si="312"/>
        <v/>
      </c>
      <c r="R2929" s="37" t="str">
        <f t="shared" si="313"/>
        <v/>
      </c>
      <c r="S2929" s="37" t="str">
        <f t="shared" si="314"/>
        <v/>
      </c>
      <c r="T2929" s="38" t="str">
        <f t="shared" si="315"/>
        <v/>
      </c>
      <c r="U2929" s="37" t="str">
        <f t="shared" si="316"/>
        <v/>
      </c>
    </row>
    <row r="2930" spans="2:21" ht="17.25">
      <c r="B2930" s="156"/>
      <c r="C2930" s="156"/>
      <c r="D2930" s="157"/>
      <c r="E2930" s="155"/>
      <c r="F2930" s="151"/>
      <c r="G2930" s="152"/>
      <c r="H2930" s="153"/>
      <c r="I2930" s="154"/>
      <c r="J2930" s="154"/>
      <c r="K2930" s="30" t="str">
        <f>IF(H2930="","",IF($C$30="간이법","",FPR(H2930,I2930,J2930)))</f>
        <v/>
      </c>
      <c r="L2930" s="30" t="str">
        <f>IF(H2930="","",IF($C$30="상세법",FPV(H2930,K2930),IF(H2930="EI",4,IF(H2930="EO",5.2,IF(H2930="EQ",3.9,IF(H2930="ILF",7.5,IF(H2930="EIF",5.4)))))))</f>
        <v/>
      </c>
      <c r="M2930" s="30" t="str">
        <f t="shared" si="310"/>
        <v/>
      </c>
      <c r="N2930" s="134"/>
      <c r="O2930" s="29"/>
      <c r="P2930" s="37" t="str">
        <f t="shared" si="311"/>
        <v/>
      </c>
      <c r="Q2930" s="38" t="str">
        <f t="shared" si="312"/>
        <v/>
      </c>
      <c r="R2930" s="37" t="str">
        <f t="shared" si="313"/>
        <v/>
      </c>
      <c r="S2930" s="37" t="str">
        <f t="shared" si="314"/>
        <v/>
      </c>
      <c r="T2930" s="38" t="str">
        <f t="shared" si="315"/>
        <v/>
      </c>
      <c r="U2930" s="37" t="str">
        <f t="shared" si="316"/>
        <v/>
      </c>
    </row>
    <row r="2931" spans="2:21" ht="17.25">
      <c r="B2931" s="156"/>
      <c r="C2931" s="156"/>
      <c r="D2931" s="157"/>
      <c r="E2931" s="155"/>
      <c r="F2931" s="151"/>
      <c r="G2931" s="152"/>
      <c r="H2931" s="153"/>
      <c r="I2931" s="154"/>
      <c r="J2931" s="154"/>
      <c r="K2931" s="30" t="str">
        <f>IF(H2931="","",IF($C$30="간이법","",FPR(H2931,I2931,J2931)))</f>
        <v/>
      </c>
      <c r="L2931" s="30" t="str">
        <f>IF(H2931="","",IF($C$30="상세법",FPV(H2931,K2931),IF(H2931="EI",4,IF(H2931="EO",5.2,IF(H2931="EQ",3.9,IF(H2931="ILF",7.5,IF(H2931="EIF",5.4)))))))</f>
        <v/>
      </c>
      <c r="M2931" s="30" t="str">
        <f t="shared" si="310"/>
        <v/>
      </c>
      <c r="N2931" s="134"/>
      <c r="O2931" s="29"/>
      <c r="P2931" s="37" t="str">
        <f t="shared" si="311"/>
        <v/>
      </c>
      <c r="Q2931" s="38" t="str">
        <f t="shared" si="312"/>
        <v/>
      </c>
      <c r="R2931" s="37" t="str">
        <f t="shared" si="313"/>
        <v/>
      </c>
      <c r="S2931" s="37" t="str">
        <f t="shared" si="314"/>
        <v/>
      </c>
      <c r="T2931" s="38" t="str">
        <f t="shared" si="315"/>
        <v/>
      </c>
      <c r="U2931" s="37" t="str">
        <f t="shared" si="316"/>
        <v/>
      </c>
    </row>
    <row r="2932" spans="2:21" ht="17.25">
      <c r="B2932" s="156"/>
      <c r="C2932" s="156"/>
      <c r="D2932" s="157"/>
      <c r="E2932" s="155"/>
      <c r="F2932" s="151"/>
      <c r="G2932" s="152"/>
      <c r="H2932" s="153"/>
      <c r="I2932" s="154"/>
      <c r="J2932" s="154"/>
      <c r="K2932" s="30" t="str">
        <f>IF(H2932="","",IF($C$30="간이법","",FPR(H2932,I2932,J2932)))</f>
        <v/>
      </c>
      <c r="L2932" s="30" t="str">
        <f>IF(H2932="","",IF($C$30="상세법",FPV(H2932,K2932),IF(H2932="EI",4,IF(H2932="EO",5.2,IF(H2932="EQ",3.9,IF(H2932="ILF",7.5,IF(H2932="EIF",5.4)))))))</f>
        <v/>
      </c>
      <c r="M2932" s="30" t="str">
        <f t="shared" si="310"/>
        <v/>
      </c>
      <c r="N2932" s="134"/>
      <c r="O2932" s="29"/>
      <c r="P2932" s="37" t="str">
        <f t="shared" si="311"/>
        <v/>
      </c>
      <c r="Q2932" s="38" t="str">
        <f t="shared" si="312"/>
        <v/>
      </c>
      <c r="R2932" s="37" t="str">
        <f t="shared" si="313"/>
        <v/>
      </c>
      <c r="S2932" s="37" t="str">
        <f t="shared" si="314"/>
        <v/>
      </c>
      <c r="T2932" s="38" t="str">
        <f t="shared" si="315"/>
        <v/>
      </c>
      <c r="U2932" s="37" t="str">
        <f t="shared" si="316"/>
        <v/>
      </c>
    </row>
    <row r="2933" spans="2:21" ht="17.25">
      <c r="B2933" s="156"/>
      <c r="C2933" s="156"/>
      <c r="D2933" s="157"/>
      <c r="E2933" s="155"/>
      <c r="F2933" s="151"/>
      <c r="G2933" s="152"/>
      <c r="H2933" s="153"/>
      <c r="I2933" s="154"/>
      <c r="J2933" s="154"/>
      <c r="K2933" s="30" t="str">
        <f>IF(H2933="","",IF($C$30="간이법","",FPR(H2933,I2933,J2933)))</f>
        <v/>
      </c>
      <c r="L2933" s="30" t="str">
        <f>IF(H2933="","",IF($C$30="상세법",FPV(H2933,K2933),IF(H2933="EI",4,IF(H2933="EO",5.2,IF(H2933="EQ",3.9,IF(H2933="ILF",7.5,IF(H2933="EIF",5.4)))))))</f>
        <v/>
      </c>
      <c r="M2933" s="30" t="str">
        <f t="shared" si="310"/>
        <v/>
      </c>
      <c r="N2933" s="134"/>
      <c r="O2933" s="29"/>
      <c r="P2933" s="37" t="str">
        <f t="shared" si="311"/>
        <v/>
      </c>
      <c r="Q2933" s="38" t="str">
        <f t="shared" si="312"/>
        <v/>
      </c>
      <c r="R2933" s="37" t="str">
        <f t="shared" si="313"/>
        <v/>
      </c>
      <c r="S2933" s="37" t="str">
        <f t="shared" si="314"/>
        <v/>
      </c>
      <c r="T2933" s="38" t="str">
        <f t="shared" si="315"/>
        <v/>
      </c>
      <c r="U2933" s="37" t="str">
        <f t="shared" si="316"/>
        <v/>
      </c>
    </row>
    <row r="2934" spans="2:21" ht="17.25">
      <c r="B2934" s="156"/>
      <c r="C2934" s="156"/>
      <c r="D2934" s="157"/>
      <c r="E2934" s="155"/>
      <c r="F2934" s="151"/>
      <c r="G2934" s="152"/>
      <c r="H2934" s="153"/>
      <c r="I2934" s="154"/>
      <c r="J2934" s="154"/>
      <c r="K2934" s="30" t="str">
        <f>IF(H2934="","",IF($C$30="간이법","",FPR(H2934,I2934,J2934)))</f>
        <v/>
      </c>
      <c r="L2934" s="30" t="str">
        <f>IF(H2934="","",IF($C$30="상세법",FPV(H2934,K2934),IF(H2934="EI",4,IF(H2934="EO",5.2,IF(H2934="EQ",3.9,IF(H2934="ILF",7.5,IF(H2934="EIF",5.4)))))))</f>
        <v/>
      </c>
      <c r="M2934" s="30" t="str">
        <f t="shared" si="310"/>
        <v/>
      </c>
      <c r="N2934" s="134"/>
      <c r="O2934" s="29"/>
      <c r="P2934" s="37" t="str">
        <f t="shared" si="311"/>
        <v/>
      </c>
      <c r="Q2934" s="38" t="str">
        <f t="shared" si="312"/>
        <v/>
      </c>
      <c r="R2934" s="37" t="str">
        <f t="shared" si="313"/>
        <v/>
      </c>
      <c r="S2934" s="37" t="str">
        <f t="shared" si="314"/>
        <v/>
      </c>
      <c r="T2934" s="38" t="str">
        <f t="shared" si="315"/>
        <v/>
      </c>
      <c r="U2934" s="37" t="str">
        <f t="shared" si="316"/>
        <v/>
      </c>
    </row>
    <row r="2935" spans="2:21" ht="17.25">
      <c r="B2935" s="156"/>
      <c r="C2935" s="156"/>
      <c r="D2935" s="157"/>
      <c r="E2935" s="155"/>
      <c r="F2935" s="151"/>
      <c r="G2935" s="152"/>
      <c r="H2935" s="153"/>
      <c r="I2935" s="154"/>
      <c r="J2935" s="154"/>
      <c r="K2935" s="30" t="str">
        <f>IF(H2935="","",IF($C$30="간이법","",FPR(H2935,I2935,J2935)))</f>
        <v/>
      </c>
      <c r="L2935" s="30" t="str">
        <f>IF(H2935="","",IF($C$30="상세법",FPV(H2935,K2935),IF(H2935="EI",4,IF(H2935="EO",5.2,IF(H2935="EQ",3.9,IF(H2935="ILF",7.5,IF(H2935="EIF",5.4)))))))</f>
        <v/>
      </c>
      <c r="M2935" s="30" t="str">
        <f t="shared" si="310"/>
        <v/>
      </c>
      <c r="N2935" s="134"/>
      <c r="O2935" s="29"/>
      <c r="P2935" s="37" t="str">
        <f t="shared" si="311"/>
        <v/>
      </c>
      <c r="Q2935" s="38" t="str">
        <f t="shared" si="312"/>
        <v/>
      </c>
      <c r="R2935" s="37" t="str">
        <f t="shared" si="313"/>
        <v/>
      </c>
      <c r="S2935" s="37" t="str">
        <f t="shared" si="314"/>
        <v/>
      </c>
      <c r="T2935" s="38" t="str">
        <f t="shared" si="315"/>
        <v/>
      </c>
      <c r="U2935" s="37" t="str">
        <f t="shared" si="316"/>
        <v/>
      </c>
    </row>
    <row r="2936" spans="2:21" ht="17.25">
      <c r="B2936" s="156"/>
      <c r="C2936" s="156"/>
      <c r="D2936" s="157"/>
      <c r="E2936" s="155"/>
      <c r="F2936" s="151"/>
      <c r="G2936" s="152"/>
      <c r="H2936" s="153"/>
      <c r="I2936" s="154"/>
      <c r="J2936" s="154"/>
      <c r="K2936" s="30" t="str">
        <f>IF(H2936="","",IF($C$30="간이법","",FPR(H2936,I2936,J2936)))</f>
        <v/>
      </c>
      <c r="L2936" s="30" t="str">
        <f>IF(H2936="","",IF($C$30="상세법",FPV(H2936,K2936),IF(H2936="EI",4,IF(H2936="EO",5.2,IF(H2936="EQ",3.9,IF(H2936="ILF",7.5,IF(H2936="EIF",5.4)))))))</f>
        <v/>
      </c>
      <c r="M2936" s="30" t="str">
        <f t="shared" si="310"/>
        <v/>
      </c>
      <c r="N2936" s="134"/>
      <c r="O2936" s="29"/>
      <c r="P2936" s="37" t="str">
        <f t="shared" si="311"/>
        <v/>
      </c>
      <c r="Q2936" s="38" t="str">
        <f t="shared" si="312"/>
        <v/>
      </c>
      <c r="R2936" s="37" t="str">
        <f t="shared" si="313"/>
        <v/>
      </c>
      <c r="S2936" s="37" t="str">
        <f t="shared" si="314"/>
        <v/>
      </c>
      <c r="T2936" s="38" t="str">
        <f t="shared" si="315"/>
        <v/>
      </c>
      <c r="U2936" s="37" t="str">
        <f t="shared" si="316"/>
        <v/>
      </c>
    </row>
    <row r="2937" spans="2:21" ht="17.25">
      <c r="B2937" s="156"/>
      <c r="C2937" s="156"/>
      <c r="D2937" s="157"/>
      <c r="E2937" s="155"/>
      <c r="F2937" s="151"/>
      <c r="G2937" s="152"/>
      <c r="H2937" s="153"/>
      <c r="I2937" s="154"/>
      <c r="J2937" s="154"/>
      <c r="K2937" s="30" t="str">
        <f>IF(H2937="","",IF($C$30="간이법","",FPR(H2937,I2937,J2937)))</f>
        <v/>
      </c>
      <c r="L2937" s="30" t="str">
        <f>IF(H2937="","",IF($C$30="상세법",FPV(H2937,K2937),IF(H2937="EI",4,IF(H2937="EO",5.2,IF(H2937="EQ",3.9,IF(H2937="ILF",7.5,IF(H2937="EIF",5.4)))))))</f>
        <v/>
      </c>
      <c r="M2937" s="30" t="str">
        <f t="shared" si="310"/>
        <v/>
      </c>
      <c r="N2937" s="134"/>
      <c r="O2937" s="29"/>
      <c r="P2937" s="37" t="str">
        <f t="shared" si="311"/>
        <v/>
      </c>
      <c r="Q2937" s="38" t="str">
        <f t="shared" si="312"/>
        <v/>
      </c>
      <c r="R2937" s="37" t="str">
        <f t="shared" si="313"/>
        <v/>
      </c>
      <c r="S2937" s="37" t="str">
        <f t="shared" si="314"/>
        <v/>
      </c>
      <c r="T2937" s="38" t="str">
        <f t="shared" si="315"/>
        <v/>
      </c>
      <c r="U2937" s="37" t="str">
        <f t="shared" si="316"/>
        <v/>
      </c>
    </row>
    <row r="2938" spans="2:21" ht="17.25">
      <c r="B2938" s="156"/>
      <c r="C2938" s="156"/>
      <c r="D2938" s="157"/>
      <c r="E2938" s="155"/>
      <c r="F2938" s="151"/>
      <c r="G2938" s="152"/>
      <c r="H2938" s="153"/>
      <c r="I2938" s="154"/>
      <c r="J2938" s="154"/>
      <c r="K2938" s="30" t="str">
        <f>IF(H2938="","",IF($C$30="간이법","",FPR(H2938,I2938,J2938)))</f>
        <v/>
      </c>
      <c r="L2938" s="30" t="str">
        <f>IF(H2938="","",IF($C$30="상세법",FPV(H2938,K2938),IF(H2938="EI",4,IF(H2938="EO",5.2,IF(H2938="EQ",3.9,IF(H2938="ILF",7.5,IF(H2938="EIF",5.4)))))))</f>
        <v/>
      </c>
      <c r="M2938" s="30" t="str">
        <f t="shared" si="310"/>
        <v/>
      </c>
      <c r="N2938" s="134"/>
      <c r="O2938" s="29"/>
      <c r="P2938" s="37" t="str">
        <f t="shared" si="311"/>
        <v/>
      </c>
      <c r="Q2938" s="38" t="str">
        <f t="shared" si="312"/>
        <v/>
      </c>
      <c r="R2938" s="37" t="str">
        <f t="shared" si="313"/>
        <v/>
      </c>
      <c r="S2938" s="37" t="str">
        <f t="shared" si="314"/>
        <v/>
      </c>
      <c r="T2938" s="38" t="str">
        <f t="shared" si="315"/>
        <v/>
      </c>
      <c r="U2938" s="37" t="str">
        <f t="shared" si="316"/>
        <v/>
      </c>
    </row>
    <row r="2939" spans="2:21" ht="17.25">
      <c r="B2939" s="156"/>
      <c r="C2939" s="156"/>
      <c r="D2939" s="157"/>
      <c r="E2939" s="155"/>
      <c r="F2939" s="151"/>
      <c r="G2939" s="152"/>
      <c r="H2939" s="153"/>
      <c r="I2939" s="154"/>
      <c r="J2939" s="154"/>
      <c r="K2939" s="30" t="str">
        <f>IF(H2939="","",IF($C$30="간이법","",FPR(H2939,I2939,J2939)))</f>
        <v/>
      </c>
      <c r="L2939" s="30" t="str">
        <f>IF(H2939="","",IF($C$30="상세법",FPV(H2939,K2939),IF(H2939="EI",4,IF(H2939="EO",5.2,IF(H2939="EQ",3.9,IF(H2939="ILF",7.5,IF(H2939="EIF",5.4)))))))</f>
        <v/>
      </c>
      <c r="M2939" s="30" t="str">
        <f t="shared" si="310"/>
        <v/>
      </c>
      <c r="N2939" s="134"/>
      <c r="O2939" s="29"/>
      <c r="P2939" s="37" t="str">
        <f t="shared" si="311"/>
        <v/>
      </c>
      <c r="Q2939" s="38" t="str">
        <f t="shared" si="312"/>
        <v/>
      </c>
      <c r="R2939" s="37" t="str">
        <f t="shared" si="313"/>
        <v/>
      </c>
      <c r="S2939" s="37" t="str">
        <f t="shared" si="314"/>
        <v/>
      </c>
      <c r="T2939" s="38" t="str">
        <f t="shared" si="315"/>
        <v/>
      </c>
      <c r="U2939" s="37" t="str">
        <f t="shared" si="316"/>
        <v/>
      </c>
    </row>
    <row r="2940" spans="2:21" ht="17.25">
      <c r="B2940" s="156"/>
      <c r="C2940" s="156"/>
      <c r="D2940" s="157"/>
      <c r="E2940" s="155"/>
      <c r="F2940" s="151"/>
      <c r="G2940" s="152"/>
      <c r="H2940" s="153"/>
      <c r="I2940" s="154"/>
      <c r="J2940" s="154"/>
      <c r="K2940" s="30" t="str">
        <f>IF(H2940="","",IF($C$30="간이법","",FPR(H2940,I2940,J2940)))</f>
        <v/>
      </c>
      <c r="L2940" s="30" t="str">
        <f>IF(H2940="","",IF($C$30="상세법",FPV(H2940,K2940),IF(H2940="EI",4,IF(H2940="EO",5.2,IF(H2940="EQ",3.9,IF(H2940="ILF",7.5,IF(H2940="EIF",5.4)))))))</f>
        <v/>
      </c>
      <c r="M2940" s="30" t="str">
        <f t="shared" ref="M2940:M3003" si="317">IF(OR(G2940="",$E$36="(선택)",$E$40="(선택)",$E$41="(선택)",F2940="신규 개발",F2940="수정 없이 재사용"),"",(IF(F2940="수정 후 재사용",IF($E$50&lt;=0.5,L2940*($E$36+$E$50*100*(1+0.02*($E$40*$E$41)))/100,L2940*($E$36+$E$50*100+($E$40*$E$41))/100))))</f>
        <v/>
      </c>
      <c r="N2940" s="134"/>
      <c r="O2940" s="29"/>
      <c r="P2940" s="37" t="str">
        <f t="shared" ref="P2940:P3003" si="318">IF(F2940="수정 후 재사용",IF(H2940="ILF",G2940,IF(H2940="EIF",G2940,"")),"")</f>
        <v/>
      </c>
      <c r="Q2940" s="38" t="str">
        <f t="shared" ref="Q2940:Q3003" si="319">IF(P2940&lt;&gt;"",IF(H2940="ILF", L2940/$E$46,IF(H2940="EIF", L2940/$E$46,"")),"")</f>
        <v/>
      </c>
      <c r="R2940" s="37" t="str">
        <f t="shared" ref="R2940:R3003" si="320">IF(P2940&lt;&gt;"",P2940*Q2940,"")</f>
        <v/>
      </c>
      <c r="S2940" s="37" t="str">
        <f t="shared" ref="S2940:S3003" si="321">IF(F2940="수정 후 재사용",IF(H2940="EI",G2940,IF(H2940="EO",G2940,IF(H2940="EQ",G2940,""))),"")</f>
        <v/>
      </c>
      <c r="T2940" s="38" t="str">
        <f t="shared" ref="T2940:T3003" si="322">IF(S2940&lt;&gt;"",IF(H2940="EI",L2940/$E$47,IF(H2940="EO",L2940/$E$47,IF(H2940="EQ",L2940/$E$47,""))),"")</f>
        <v/>
      </c>
      <c r="U2940" s="37" t="str">
        <f t="shared" ref="U2940:U3003" si="323">IF(S2940&lt;&gt;"",S2940*T2940,"")</f>
        <v/>
      </c>
    </row>
    <row r="2941" spans="2:21" ht="17.25">
      <c r="B2941" s="156"/>
      <c r="C2941" s="156"/>
      <c r="D2941" s="157"/>
      <c r="E2941" s="155"/>
      <c r="F2941" s="151"/>
      <c r="G2941" s="152"/>
      <c r="H2941" s="153"/>
      <c r="I2941" s="154"/>
      <c r="J2941" s="154"/>
      <c r="K2941" s="30" t="str">
        <f>IF(H2941="","",IF($C$30="간이법","",FPR(H2941,I2941,J2941)))</f>
        <v/>
      </c>
      <c r="L2941" s="30" t="str">
        <f>IF(H2941="","",IF($C$30="상세법",FPV(H2941,K2941),IF(H2941="EI",4,IF(H2941="EO",5.2,IF(H2941="EQ",3.9,IF(H2941="ILF",7.5,IF(H2941="EIF",5.4)))))))</f>
        <v/>
      </c>
      <c r="M2941" s="30" t="str">
        <f t="shared" si="317"/>
        <v/>
      </c>
      <c r="N2941" s="134"/>
      <c r="O2941" s="29"/>
      <c r="P2941" s="37" t="str">
        <f t="shared" si="318"/>
        <v/>
      </c>
      <c r="Q2941" s="38" t="str">
        <f t="shared" si="319"/>
        <v/>
      </c>
      <c r="R2941" s="37" t="str">
        <f t="shared" si="320"/>
        <v/>
      </c>
      <c r="S2941" s="37" t="str">
        <f t="shared" si="321"/>
        <v/>
      </c>
      <c r="T2941" s="38" t="str">
        <f t="shared" si="322"/>
        <v/>
      </c>
      <c r="U2941" s="37" t="str">
        <f t="shared" si="323"/>
        <v/>
      </c>
    </row>
    <row r="2942" spans="2:21" ht="17.25">
      <c r="B2942" s="156"/>
      <c r="C2942" s="156"/>
      <c r="D2942" s="157"/>
      <c r="E2942" s="155"/>
      <c r="F2942" s="151"/>
      <c r="G2942" s="152"/>
      <c r="H2942" s="153"/>
      <c r="I2942" s="154"/>
      <c r="J2942" s="154"/>
      <c r="K2942" s="30" t="str">
        <f>IF(H2942="","",IF($C$30="간이법","",FPR(H2942,I2942,J2942)))</f>
        <v/>
      </c>
      <c r="L2942" s="30" t="str">
        <f>IF(H2942="","",IF($C$30="상세법",FPV(H2942,K2942),IF(H2942="EI",4,IF(H2942="EO",5.2,IF(H2942="EQ",3.9,IF(H2942="ILF",7.5,IF(H2942="EIF",5.4)))))))</f>
        <v/>
      </c>
      <c r="M2942" s="30" t="str">
        <f t="shared" si="317"/>
        <v/>
      </c>
      <c r="N2942" s="134"/>
      <c r="O2942" s="29"/>
      <c r="P2942" s="37" t="str">
        <f t="shared" si="318"/>
        <v/>
      </c>
      <c r="Q2942" s="38" t="str">
        <f t="shared" si="319"/>
        <v/>
      </c>
      <c r="R2942" s="37" t="str">
        <f t="shared" si="320"/>
        <v/>
      </c>
      <c r="S2942" s="37" t="str">
        <f t="shared" si="321"/>
        <v/>
      </c>
      <c r="T2942" s="38" t="str">
        <f t="shared" si="322"/>
        <v/>
      </c>
      <c r="U2942" s="37" t="str">
        <f t="shared" si="323"/>
        <v/>
      </c>
    </row>
    <row r="2943" spans="2:21" ht="17.25">
      <c r="B2943" s="156"/>
      <c r="C2943" s="156"/>
      <c r="D2943" s="157"/>
      <c r="E2943" s="155"/>
      <c r="F2943" s="151"/>
      <c r="G2943" s="152"/>
      <c r="H2943" s="153"/>
      <c r="I2943" s="154"/>
      <c r="J2943" s="154"/>
      <c r="K2943" s="30" t="str">
        <f>IF(H2943="","",IF($C$30="간이법","",FPR(H2943,I2943,J2943)))</f>
        <v/>
      </c>
      <c r="L2943" s="30" t="str">
        <f>IF(H2943="","",IF($C$30="상세법",FPV(H2943,K2943),IF(H2943="EI",4,IF(H2943="EO",5.2,IF(H2943="EQ",3.9,IF(H2943="ILF",7.5,IF(H2943="EIF",5.4)))))))</f>
        <v/>
      </c>
      <c r="M2943" s="30" t="str">
        <f t="shared" si="317"/>
        <v/>
      </c>
      <c r="N2943" s="134"/>
      <c r="O2943" s="29"/>
      <c r="P2943" s="37" t="str">
        <f t="shared" si="318"/>
        <v/>
      </c>
      <c r="Q2943" s="38" t="str">
        <f t="shared" si="319"/>
        <v/>
      </c>
      <c r="R2943" s="37" t="str">
        <f t="shared" si="320"/>
        <v/>
      </c>
      <c r="S2943" s="37" t="str">
        <f t="shared" si="321"/>
        <v/>
      </c>
      <c r="T2943" s="38" t="str">
        <f t="shared" si="322"/>
        <v/>
      </c>
      <c r="U2943" s="37" t="str">
        <f t="shared" si="323"/>
        <v/>
      </c>
    </row>
    <row r="2944" spans="2:21" ht="17.25">
      <c r="B2944" s="156"/>
      <c r="C2944" s="156"/>
      <c r="D2944" s="157"/>
      <c r="E2944" s="155"/>
      <c r="F2944" s="151"/>
      <c r="G2944" s="152"/>
      <c r="H2944" s="153"/>
      <c r="I2944" s="154"/>
      <c r="J2944" s="154"/>
      <c r="K2944" s="30" t="str">
        <f>IF(H2944="","",IF($C$30="간이법","",FPR(H2944,I2944,J2944)))</f>
        <v/>
      </c>
      <c r="L2944" s="30" t="str">
        <f>IF(H2944="","",IF($C$30="상세법",FPV(H2944,K2944),IF(H2944="EI",4,IF(H2944="EO",5.2,IF(H2944="EQ",3.9,IF(H2944="ILF",7.5,IF(H2944="EIF",5.4)))))))</f>
        <v/>
      </c>
      <c r="M2944" s="30" t="str">
        <f t="shared" si="317"/>
        <v/>
      </c>
      <c r="N2944" s="134"/>
      <c r="O2944" s="29"/>
      <c r="P2944" s="37" t="str">
        <f t="shared" si="318"/>
        <v/>
      </c>
      <c r="Q2944" s="38" t="str">
        <f t="shared" si="319"/>
        <v/>
      </c>
      <c r="R2944" s="37" t="str">
        <f t="shared" si="320"/>
        <v/>
      </c>
      <c r="S2944" s="37" t="str">
        <f t="shared" si="321"/>
        <v/>
      </c>
      <c r="T2944" s="38" t="str">
        <f t="shared" si="322"/>
        <v/>
      </c>
      <c r="U2944" s="37" t="str">
        <f t="shared" si="323"/>
        <v/>
      </c>
    </row>
    <row r="2945" spans="2:21" ht="17.25">
      <c r="B2945" s="156"/>
      <c r="C2945" s="156"/>
      <c r="D2945" s="157"/>
      <c r="E2945" s="155"/>
      <c r="F2945" s="151"/>
      <c r="G2945" s="152"/>
      <c r="H2945" s="153"/>
      <c r="I2945" s="154"/>
      <c r="J2945" s="154"/>
      <c r="K2945" s="30" t="str">
        <f>IF(H2945="","",IF($C$30="간이법","",FPR(H2945,I2945,J2945)))</f>
        <v/>
      </c>
      <c r="L2945" s="30" t="str">
        <f>IF(H2945="","",IF($C$30="상세법",FPV(H2945,K2945),IF(H2945="EI",4,IF(H2945="EO",5.2,IF(H2945="EQ",3.9,IF(H2945="ILF",7.5,IF(H2945="EIF",5.4)))))))</f>
        <v/>
      </c>
      <c r="M2945" s="30" t="str">
        <f t="shared" si="317"/>
        <v/>
      </c>
      <c r="N2945" s="134"/>
      <c r="O2945" s="29"/>
      <c r="P2945" s="37" t="str">
        <f t="shared" si="318"/>
        <v/>
      </c>
      <c r="Q2945" s="38" t="str">
        <f t="shared" si="319"/>
        <v/>
      </c>
      <c r="R2945" s="37" t="str">
        <f t="shared" si="320"/>
        <v/>
      </c>
      <c r="S2945" s="37" t="str">
        <f t="shared" si="321"/>
        <v/>
      </c>
      <c r="T2945" s="38" t="str">
        <f t="shared" si="322"/>
        <v/>
      </c>
      <c r="U2945" s="37" t="str">
        <f t="shared" si="323"/>
        <v/>
      </c>
    </row>
    <row r="2946" spans="2:21" ht="17.25">
      <c r="B2946" s="156"/>
      <c r="C2946" s="156"/>
      <c r="D2946" s="157"/>
      <c r="E2946" s="155"/>
      <c r="F2946" s="151"/>
      <c r="G2946" s="152"/>
      <c r="H2946" s="153"/>
      <c r="I2946" s="154"/>
      <c r="J2946" s="154"/>
      <c r="K2946" s="30" t="str">
        <f>IF(H2946="","",IF($C$30="간이법","",FPR(H2946,I2946,J2946)))</f>
        <v/>
      </c>
      <c r="L2946" s="30" t="str">
        <f>IF(H2946="","",IF($C$30="상세법",FPV(H2946,K2946),IF(H2946="EI",4,IF(H2946="EO",5.2,IF(H2946="EQ",3.9,IF(H2946="ILF",7.5,IF(H2946="EIF",5.4)))))))</f>
        <v/>
      </c>
      <c r="M2946" s="30" t="str">
        <f t="shared" si="317"/>
        <v/>
      </c>
      <c r="N2946" s="134"/>
      <c r="O2946" s="29"/>
      <c r="P2946" s="37" t="str">
        <f t="shared" si="318"/>
        <v/>
      </c>
      <c r="Q2946" s="38" t="str">
        <f t="shared" si="319"/>
        <v/>
      </c>
      <c r="R2946" s="37" t="str">
        <f t="shared" si="320"/>
        <v/>
      </c>
      <c r="S2946" s="37" t="str">
        <f t="shared" si="321"/>
        <v/>
      </c>
      <c r="T2946" s="38" t="str">
        <f t="shared" si="322"/>
        <v/>
      </c>
      <c r="U2946" s="37" t="str">
        <f t="shared" si="323"/>
        <v/>
      </c>
    </row>
    <row r="2947" spans="2:21" ht="17.25">
      <c r="B2947" s="156"/>
      <c r="C2947" s="156"/>
      <c r="D2947" s="157"/>
      <c r="E2947" s="155"/>
      <c r="F2947" s="151"/>
      <c r="G2947" s="152"/>
      <c r="H2947" s="153"/>
      <c r="I2947" s="154"/>
      <c r="J2947" s="154"/>
      <c r="K2947" s="30" t="str">
        <f>IF(H2947="","",IF($C$30="간이법","",FPR(H2947,I2947,J2947)))</f>
        <v/>
      </c>
      <c r="L2947" s="30" t="str">
        <f>IF(H2947="","",IF($C$30="상세법",FPV(H2947,K2947),IF(H2947="EI",4,IF(H2947="EO",5.2,IF(H2947="EQ",3.9,IF(H2947="ILF",7.5,IF(H2947="EIF",5.4)))))))</f>
        <v/>
      </c>
      <c r="M2947" s="30" t="str">
        <f t="shared" si="317"/>
        <v/>
      </c>
      <c r="N2947" s="134"/>
      <c r="O2947" s="29"/>
      <c r="P2947" s="37" t="str">
        <f t="shared" si="318"/>
        <v/>
      </c>
      <c r="Q2947" s="38" t="str">
        <f t="shared" si="319"/>
        <v/>
      </c>
      <c r="R2947" s="37" t="str">
        <f t="shared" si="320"/>
        <v/>
      </c>
      <c r="S2947" s="37" t="str">
        <f t="shared" si="321"/>
        <v/>
      </c>
      <c r="T2947" s="38" t="str">
        <f t="shared" si="322"/>
        <v/>
      </c>
      <c r="U2947" s="37" t="str">
        <f t="shared" si="323"/>
        <v/>
      </c>
    </row>
    <row r="2948" spans="2:21" ht="17.25">
      <c r="B2948" s="156"/>
      <c r="C2948" s="156"/>
      <c r="D2948" s="157"/>
      <c r="E2948" s="155"/>
      <c r="F2948" s="151"/>
      <c r="G2948" s="152"/>
      <c r="H2948" s="153"/>
      <c r="I2948" s="154"/>
      <c r="J2948" s="154"/>
      <c r="K2948" s="30" t="str">
        <f>IF(H2948="","",IF($C$30="간이법","",FPR(H2948,I2948,J2948)))</f>
        <v/>
      </c>
      <c r="L2948" s="30" t="str">
        <f>IF(H2948="","",IF($C$30="상세법",FPV(H2948,K2948),IF(H2948="EI",4,IF(H2948="EO",5.2,IF(H2948="EQ",3.9,IF(H2948="ILF",7.5,IF(H2948="EIF",5.4)))))))</f>
        <v/>
      </c>
      <c r="M2948" s="30" t="str">
        <f t="shared" si="317"/>
        <v/>
      </c>
      <c r="N2948" s="134"/>
      <c r="O2948" s="29"/>
      <c r="P2948" s="37" t="str">
        <f t="shared" si="318"/>
        <v/>
      </c>
      <c r="Q2948" s="38" t="str">
        <f t="shared" si="319"/>
        <v/>
      </c>
      <c r="R2948" s="37" t="str">
        <f t="shared" si="320"/>
        <v/>
      </c>
      <c r="S2948" s="37" t="str">
        <f t="shared" si="321"/>
        <v/>
      </c>
      <c r="T2948" s="38" t="str">
        <f t="shared" si="322"/>
        <v/>
      </c>
      <c r="U2948" s="37" t="str">
        <f t="shared" si="323"/>
        <v/>
      </c>
    </row>
    <row r="2949" spans="2:21" ht="17.25">
      <c r="B2949" s="156"/>
      <c r="C2949" s="156"/>
      <c r="D2949" s="157"/>
      <c r="E2949" s="155"/>
      <c r="F2949" s="151"/>
      <c r="G2949" s="152"/>
      <c r="H2949" s="153"/>
      <c r="I2949" s="154"/>
      <c r="J2949" s="154"/>
      <c r="K2949" s="30" t="str">
        <f>IF(H2949="","",IF($C$30="간이법","",FPR(H2949,I2949,J2949)))</f>
        <v/>
      </c>
      <c r="L2949" s="30" t="str">
        <f>IF(H2949="","",IF($C$30="상세법",FPV(H2949,K2949),IF(H2949="EI",4,IF(H2949="EO",5.2,IF(H2949="EQ",3.9,IF(H2949="ILF",7.5,IF(H2949="EIF",5.4)))))))</f>
        <v/>
      </c>
      <c r="M2949" s="30" t="str">
        <f t="shared" si="317"/>
        <v/>
      </c>
      <c r="N2949" s="134"/>
      <c r="O2949" s="29"/>
      <c r="P2949" s="37" t="str">
        <f t="shared" si="318"/>
        <v/>
      </c>
      <c r="Q2949" s="38" t="str">
        <f t="shared" si="319"/>
        <v/>
      </c>
      <c r="R2949" s="37" t="str">
        <f t="shared" si="320"/>
        <v/>
      </c>
      <c r="S2949" s="37" t="str">
        <f t="shared" si="321"/>
        <v/>
      </c>
      <c r="T2949" s="38" t="str">
        <f t="shared" si="322"/>
        <v/>
      </c>
      <c r="U2949" s="37" t="str">
        <f t="shared" si="323"/>
        <v/>
      </c>
    </row>
    <row r="2950" spans="2:21" ht="17.25">
      <c r="B2950" s="156"/>
      <c r="C2950" s="156"/>
      <c r="D2950" s="157"/>
      <c r="E2950" s="155"/>
      <c r="F2950" s="151"/>
      <c r="G2950" s="152"/>
      <c r="H2950" s="153"/>
      <c r="I2950" s="154"/>
      <c r="J2950" s="154"/>
      <c r="K2950" s="30" t="str">
        <f>IF(H2950="","",IF($C$30="간이법","",FPR(H2950,I2950,J2950)))</f>
        <v/>
      </c>
      <c r="L2950" s="30" t="str">
        <f>IF(H2950="","",IF($C$30="상세법",FPV(H2950,K2950),IF(H2950="EI",4,IF(H2950="EO",5.2,IF(H2950="EQ",3.9,IF(H2950="ILF",7.5,IF(H2950="EIF",5.4)))))))</f>
        <v/>
      </c>
      <c r="M2950" s="30" t="str">
        <f t="shared" si="317"/>
        <v/>
      </c>
      <c r="N2950" s="134"/>
      <c r="O2950" s="29"/>
      <c r="P2950" s="37" t="str">
        <f t="shared" si="318"/>
        <v/>
      </c>
      <c r="Q2950" s="38" t="str">
        <f t="shared" si="319"/>
        <v/>
      </c>
      <c r="R2950" s="37" t="str">
        <f t="shared" si="320"/>
        <v/>
      </c>
      <c r="S2950" s="37" t="str">
        <f t="shared" si="321"/>
        <v/>
      </c>
      <c r="T2950" s="38" t="str">
        <f t="shared" si="322"/>
        <v/>
      </c>
      <c r="U2950" s="37" t="str">
        <f t="shared" si="323"/>
        <v/>
      </c>
    </row>
    <row r="2951" spans="2:21" ht="17.25">
      <c r="B2951" s="156"/>
      <c r="C2951" s="156"/>
      <c r="D2951" s="157"/>
      <c r="E2951" s="155"/>
      <c r="F2951" s="151"/>
      <c r="G2951" s="152"/>
      <c r="H2951" s="153"/>
      <c r="I2951" s="154"/>
      <c r="J2951" s="154"/>
      <c r="K2951" s="30" t="str">
        <f>IF(H2951="","",IF($C$30="간이법","",FPR(H2951,I2951,J2951)))</f>
        <v/>
      </c>
      <c r="L2951" s="30" t="str">
        <f>IF(H2951="","",IF($C$30="상세법",FPV(H2951,K2951),IF(H2951="EI",4,IF(H2951="EO",5.2,IF(H2951="EQ",3.9,IF(H2951="ILF",7.5,IF(H2951="EIF",5.4)))))))</f>
        <v/>
      </c>
      <c r="M2951" s="30" t="str">
        <f t="shared" si="317"/>
        <v/>
      </c>
      <c r="N2951" s="134"/>
      <c r="O2951" s="29"/>
      <c r="P2951" s="37" t="str">
        <f t="shared" si="318"/>
        <v/>
      </c>
      <c r="Q2951" s="38" t="str">
        <f t="shared" si="319"/>
        <v/>
      </c>
      <c r="R2951" s="37" t="str">
        <f t="shared" si="320"/>
        <v/>
      </c>
      <c r="S2951" s="37" t="str">
        <f t="shared" si="321"/>
        <v/>
      </c>
      <c r="T2951" s="38" t="str">
        <f t="shared" si="322"/>
        <v/>
      </c>
      <c r="U2951" s="37" t="str">
        <f t="shared" si="323"/>
        <v/>
      </c>
    </row>
    <row r="2952" spans="2:21" ht="17.25">
      <c r="B2952" s="156"/>
      <c r="C2952" s="156"/>
      <c r="D2952" s="157"/>
      <c r="E2952" s="155"/>
      <c r="F2952" s="151"/>
      <c r="G2952" s="152"/>
      <c r="H2952" s="153"/>
      <c r="I2952" s="154"/>
      <c r="J2952" s="154"/>
      <c r="K2952" s="30" t="str">
        <f>IF(H2952="","",IF($C$30="간이법","",FPR(H2952,I2952,J2952)))</f>
        <v/>
      </c>
      <c r="L2952" s="30" t="str">
        <f>IF(H2952="","",IF($C$30="상세법",FPV(H2952,K2952),IF(H2952="EI",4,IF(H2952="EO",5.2,IF(H2952="EQ",3.9,IF(H2952="ILF",7.5,IF(H2952="EIF",5.4)))))))</f>
        <v/>
      </c>
      <c r="M2952" s="30" t="str">
        <f t="shared" si="317"/>
        <v/>
      </c>
      <c r="N2952" s="134"/>
      <c r="O2952" s="29"/>
      <c r="P2952" s="37" t="str">
        <f t="shared" si="318"/>
        <v/>
      </c>
      <c r="Q2952" s="38" t="str">
        <f t="shared" si="319"/>
        <v/>
      </c>
      <c r="R2952" s="37" t="str">
        <f t="shared" si="320"/>
        <v/>
      </c>
      <c r="S2952" s="37" t="str">
        <f t="shared" si="321"/>
        <v/>
      </c>
      <c r="T2952" s="38" t="str">
        <f t="shared" si="322"/>
        <v/>
      </c>
      <c r="U2952" s="37" t="str">
        <f t="shared" si="323"/>
        <v/>
      </c>
    </row>
    <row r="2953" spans="2:21" ht="17.25">
      <c r="B2953" s="156"/>
      <c r="C2953" s="156"/>
      <c r="D2953" s="157"/>
      <c r="E2953" s="155"/>
      <c r="F2953" s="151"/>
      <c r="G2953" s="152"/>
      <c r="H2953" s="153"/>
      <c r="I2953" s="154"/>
      <c r="J2953" s="154"/>
      <c r="K2953" s="30" t="str">
        <f>IF(H2953="","",IF($C$30="간이법","",FPR(H2953,I2953,J2953)))</f>
        <v/>
      </c>
      <c r="L2953" s="30" t="str">
        <f>IF(H2953="","",IF($C$30="상세법",FPV(H2953,K2953),IF(H2953="EI",4,IF(H2953="EO",5.2,IF(H2953="EQ",3.9,IF(H2953="ILF",7.5,IF(H2953="EIF",5.4)))))))</f>
        <v/>
      </c>
      <c r="M2953" s="30" t="str">
        <f t="shared" si="317"/>
        <v/>
      </c>
      <c r="N2953" s="134"/>
      <c r="O2953" s="29"/>
      <c r="P2953" s="37" t="str">
        <f t="shared" si="318"/>
        <v/>
      </c>
      <c r="Q2953" s="38" t="str">
        <f t="shared" si="319"/>
        <v/>
      </c>
      <c r="R2953" s="37" t="str">
        <f t="shared" si="320"/>
        <v/>
      </c>
      <c r="S2953" s="37" t="str">
        <f t="shared" si="321"/>
        <v/>
      </c>
      <c r="T2953" s="38" t="str">
        <f t="shared" si="322"/>
        <v/>
      </c>
      <c r="U2953" s="37" t="str">
        <f t="shared" si="323"/>
        <v/>
      </c>
    </row>
    <row r="2954" spans="2:21" ht="17.25">
      <c r="B2954" s="156"/>
      <c r="C2954" s="156"/>
      <c r="D2954" s="157"/>
      <c r="E2954" s="155"/>
      <c r="F2954" s="151"/>
      <c r="G2954" s="152"/>
      <c r="H2954" s="153"/>
      <c r="I2954" s="154"/>
      <c r="J2954" s="154"/>
      <c r="K2954" s="30" t="str">
        <f>IF(H2954="","",IF($C$30="간이법","",FPR(H2954,I2954,J2954)))</f>
        <v/>
      </c>
      <c r="L2954" s="30" t="str">
        <f>IF(H2954="","",IF($C$30="상세법",FPV(H2954,K2954),IF(H2954="EI",4,IF(H2954="EO",5.2,IF(H2954="EQ",3.9,IF(H2954="ILF",7.5,IF(H2954="EIF",5.4)))))))</f>
        <v/>
      </c>
      <c r="M2954" s="30" t="str">
        <f t="shared" si="317"/>
        <v/>
      </c>
      <c r="N2954" s="134"/>
      <c r="O2954" s="29"/>
      <c r="P2954" s="37" t="str">
        <f t="shared" si="318"/>
        <v/>
      </c>
      <c r="Q2954" s="38" t="str">
        <f t="shared" si="319"/>
        <v/>
      </c>
      <c r="R2954" s="37" t="str">
        <f t="shared" si="320"/>
        <v/>
      </c>
      <c r="S2954" s="37" t="str">
        <f t="shared" si="321"/>
        <v/>
      </c>
      <c r="T2954" s="38" t="str">
        <f t="shared" si="322"/>
        <v/>
      </c>
      <c r="U2954" s="37" t="str">
        <f t="shared" si="323"/>
        <v/>
      </c>
    </row>
    <row r="2955" spans="2:21" ht="17.25">
      <c r="B2955" s="156"/>
      <c r="C2955" s="156"/>
      <c r="D2955" s="157"/>
      <c r="E2955" s="155"/>
      <c r="F2955" s="151"/>
      <c r="G2955" s="152"/>
      <c r="H2955" s="153"/>
      <c r="I2955" s="154"/>
      <c r="J2955" s="154"/>
      <c r="K2955" s="30" t="str">
        <f>IF(H2955="","",IF($C$30="간이법","",FPR(H2955,I2955,J2955)))</f>
        <v/>
      </c>
      <c r="L2955" s="30" t="str">
        <f>IF(H2955="","",IF($C$30="상세법",FPV(H2955,K2955),IF(H2955="EI",4,IF(H2955="EO",5.2,IF(H2955="EQ",3.9,IF(H2955="ILF",7.5,IF(H2955="EIF",5.4)))))))</f>
        <v/>
      </c>
      <c r="M2955" s="30" t="str">
        <f t="shared" si="317"/>
        <v/>
      </c>
      <c r="N2955" s="134"/>
      <c r="O2955" s="29"/>
      <c r="P2955" s="37" t="str">
        <f t="shared" si="318"/>
        <v/>
      </c>
      <c r="Q2955" s="38" t="str">
        <f t="shared" si="319"/>
        <v/>
      </c>
      <c r="R2955" s="37" t="str">
        <f t="shared" si="320"/>
        <v/>
      </c>
      <c r="S2955" s="37" t="str">
        <f t="shared" si="321"/>
        <v/>
      </c>
      <c r="T2955" s="38" t="str">
        <f t="shared" si="322"/>
        <v/>
      </c>
      <c r="U2955" s="37" t="str">
        <f t="shared" si="323"/>
        <v/>
      </c>
    </row>
    <row r="2956" spans="2:21" ht="17.25">
      <c r="B2956" s="156"/>
      <c r="C2956" s="156"/>
      <c r="D2956" s="157"/>
      <c r="E2956" s="155"/>
      <c r="F2956" s="151"/>
      <c r="G2956" s="152"/>
      <c r="H2956" s="153"/>
      <c r="I2956" s="154"/>
      <c r="J2956" s="154"/>
      <c r="K2956" s="30" t="str">
        <f>IF(H2956="","",IF($C$30="간이법","",FPR(H2956,I2956,J2956)))</f>
        <v/>
      </c>
      <c r="L2956" s="30" t="str">
        <f>IF(H2956="","",IF($C$30="상세법",FPV(H2956,K2956),IF(H2956="EI",4,IF(H2956="EO",5.2,IF(H2956="EQ",3.9,IF(H2956="ILF",7.5,IF(H2956="EIF",5.4)))))))</f>
        <v/>
      </c>
      <c r="M2956" s="30" t="str">
        <f t="shared" si="317"/>
        <v/>
      </c>
      <c r="N2956" s="134"/>
      <c r="O2956" s="29"/>
      <c r="P2956" s="37" t="str">
        <f t="shared" si="318"/>
        <v/>
      </c>
      <c r="Q2956" s="38" t="str">
        <f t="shared" si="319"/>
        <v/>
      </c>
      <c r="R2956" s="37" t="str">
        <f t="shared" si="320"/>
        <v/>
      </c>
      <c r="S2956" s="37" t="str">
        <f t="shared" si="321"/>
        <v/>
      </c>
      <c r="T2956" s="38" t="str">
        <f t="shared" si="322"/>
        <v/>
      </c>
      <c r="U2956" s="37" t="str">
        <f t="shared" si="323"/>
        <v/>
      </c>
    </row>
    <row r="2957" spans="2:21" ht="17.25">
      <c r="B2957" s="156"/>
      <c r="C2957" s="156"/>
      <c r="D2957" s="157"/>
      <c r="E2957" s="155"/>
      <c r="F2957" s="151"/>
      <c r="G2957" s="152"/>
      <c r="H2957" s="153"/>
      <c r="I2957" s="154"/>
      <c r="J2957" s="154"/>
      <c r="K2957" s="30" t="str">
        <f>IF(H2957="","",IF($C$30="간이법","",FPR(H2957,I2957,J2957)))</f>
        <v/>
      </c>
      <c r="L2957" s="30" t="str">
        <f>IF(H2957="","",IF($C$30="상세법",FPV(H2957,K2957),IF(H2957="EI",4,IF(H2957="EO",5.2,IF(H2957="EQ",3.9,IF(H2957="ILF",7.5,IF(H2957="EIF",5.4)))))))</f>
        <v/>
      </c>
      <c r="M2957" s="30" t="str">
        <f t="shared" si="317"/>
        <v/>
      </c>
      <c r="N2957" s="134"/>
      <c r="O2957" s="29"/>
      <c r="P2957" s="37" t="str">
        <f t="shared" si="318"/>
        <v/>
      </c>
      <c r="Q2957" s="38" t="str">
        <f t="shared" si="319"/>
        <v/>
      </c>
      <c r="R2957" s="37" t="str">
        <f t="shared" si="320"/>
        <v/>
      </c>
      <c r="S2957" s="37" t="str">
        <f t="shared" si="321"/>
        <v/>
      </c>
      <c r="T2957" s="38" t="str">
        <f t="shared" si="322"/>
        <v/>
      </c>
      <c r="U2957" s="37" t="str">
        <f t="shared" si="323"/>
        <v/>
      </c>
    </row>
    <row r="2958" spans="2:21" ht="17.25">
      <c r="B2958" s="156"/>
      <c r="C2958" s="156"/>
      <c r="D2958" s="157"/>
      <c r="E2958" s="155"/>
      <c r="F2958" s="151"/>
      <c r="G2958" s="152"/>
      <c r="H2958" s="153"/>
      <c r="I2958" s="154"/>
      <c r="J2958" s="154"/>
      <c r="K2958" s="30" t="str">
        <f>IF(H2958="","",IF($C$30="간이법","",FPR(H2958,I2958,J2958)))</f>
        <v/>
      </c>
      <c r="L2958" s="30" t="str">
        <f>IF(H2958="","",IF($C$30="상세법",FPV(H2958,K2958),IF(H2958="EI",4,IF(H2958="EO",5.2,IF(H2958="EQ",3.9,IF(H2958="ILF",7.5,IF(H2958="EIF",5.4)))))))</f>
        <v/>
      </c>
      <c r="M2958" s="30" t="str">
        <f t="shared" si="317"/>
        <v/>
      </c>
      <c r="N2958" s="134"/>
      <c r="O2958" s="29"/>
      <c r="P2958" s="37" t="str">
        <f t="shared" si="318"/>
        <v/>
      </c>
      <c r="Q2958" s="38" t="str">
        <f t="shared" si="319"/>
        <v/>
      </c>
      <c r="R2958" s="37" t="str">
        <f t="shared" si="320"/>
        <v/>
      </c>
      <c r="S2958" s="37" t="str">
        <f t="shared" si="321"/>
        <v/>
      </c>
      <c r="T2958" s="38" t="str">
        <f t="shared" si="322"/>
        <v/>
      </c>
      <c r="U2958" s="37" t="str">
        <f t="shared" si="323"/>
        <v/>
      </c>
    </row>
    <row r="2959" spans="2:21" ht="17.25">
      <c r="B2959" s="156"/>
      <c r="C2959" s="156"/>
      <c r="D2959" s="157"/>
      <c r="E2959" s="155"/>
      <c r="F2959" s="151"/>
      <c r="G2959" s="152"/>
      <c r="H2959" s="153"/>
      <c r="I2959" s="154"/>
      <c r="J2959" s="154"/>
      <c r="K2959" s="30" t="str">
        <f>IF(H2959="","",IF($C$30="간이법","",FPR(H2959,I2959,J2959)))</f>
        <v/>
      </c>
      <c r="L2959" s="30" t="str">
        <f>IF(H2959="","",IF($C$30="상세법",FPV(H2959,K2959),IF(H2959="EI",4,IF(H2959="EO",5.2,IF(H2959="EQ",3.9,IF(H2959="ILF",7.5,IF(H2959="EIF",5.4)))))))</f>
        <v/>
      </c>
      <c r="M2959" s="30" t="str">
        <f t="shared" si="317"/>
        <v/>
      </c>
      <c r="N2959" s="134"/>
      <c r="O2959" s="29"/>
      <c r="P2959" s="37" t="str">
        <f t="shared" si="318"/>
        <v/>
      </c>
      <c r="Q2959" s="38" t="str">
        <f t="shared" si="319"/>
        <v/>
      </c>
      <c r="R2959" s="37" t="str">
        <f t="shared" si="320"/>
        <v/>
      </c>
      <c r="S2959" s="37" t="str">
        <f t="shared" si="321"/>
        <v/>
      </c>
      <c r="T2959" s="38" t="str">
        <f t="shared" si="322"/>
        <v/>
      </c>
      <c r="U2959" s="37" t="str">
        <f t="shared" si="323"/>
        <v/>
      </c>
    </row>
    <row r="2960" spans="2:21" ht="17.25">
      <c r="B2960" s="156"/>
      <c r="C2960" s="156"/>
      <c r="D2960" s="157"/>
      <c r="E2960" s="155"/>
      <c r="F2960" s="151"/>
      <c r="G2960" s="152"/>
      <c r="H2960" s="153"/>
      <c r="I2960" s="154"/>
      <c r="J2960" s="154"/>
      <c r="K2960" s="30" t="str">
        <f>IF(H2960="","",IF($C$30="간이법","",FPR(H2960,I2960,J2960)))</f>
        <v/>
      </c>
      <c r="L2960" s="30" t="str">
        <f>IF(H2960="","",IF($C$30="상세법",FPV(H2960,K2960),IF(H2960="EI",4,IF(H2960="EO",5.2,IF(H2960="EQ",3.9,IF(H2960="ILF",7.5,IF(H2960="EIF",5.4)))))))</f>
        <v/>
      </c>
      <c r="M2960" s="30" t="str">
        <f t="shared" si="317"/>
        <v/>
      </c>
      <c r="N2960" s="134"/>
      <c r="O2960" s="29"/>
      <c r="P2960" s="37" t="str">
        <f t="shared" si="318"/>
        <v/>
      </c>
      <c r="Q2960" s="38" t="str">
        <f t="shared" si="319"/>
        <v/>
      </c>
      <c r="R2960" s="37" t="str">
        <f t="shared" si="320"/>
        <v/>
      </c>
      <c r="S2960" s="37" t="str">
        <f t="shared" si="321"/>
        <v/>
      </c>
      <c r="T2960" s="38" t="str">
        <f t="shared" si="322"/>
        <v/>
      </c>
      <c r="U2960" s="37" t="str">
        <f t="shared" si="323"/>
        <v/>
      </c>
    </row>
    <row r="2961" spans="2:21" ht="17.25">
      <c r="B2961" s="156"/>
      <c r="C2961" s="156"/>
      <c r="D2961" s="157"/>
      <c r="E2961" s="155"/>
      <c r="F2961" s="151"/>
      <c r="G2961" s="152"/>
      <c r="H2961" s="153"/>
      <c r="I2961" s="154"/>
      <c r="J2961" s="154"/>
      <c r="K2961" s="30" t="str">
        <f>IF(H2961="","",IF($C$30="간이법","",FPR(H2961,I2961,J2961)))</f>
        <v/>
      </c>
      <c r="L2961" s="30" t="str">
        <f>IF(H2961="","",IF($C$30="상세법",FPV(H2961,K2961),IF(H2961="EI",4,IF(H2961="EO",5.2,IF(H2961="EQ",3.9,IF(H2961="ILF",7.5,IF(H2961="EIF",5.4)))))))</f>
        <v/>
      </c>
      <c r="M2961" s="30" t="str">
        <f t="shared" si="317"/>
        <v/>
      </c>
      <c r="N2961" s="134"/>
      <c r="O2961" s="29"/>
      <c r="P2961" s="37" t="str">
        <f t="shared" si="318"/>
        <v/>
      </c>
      <c r="Q2961" s="38" t="str">
        <f t="shared" si="319"/>
        <v/>
      </c>
      <c r="R2961" s="37" t="str">
        <f t="shared" si="320"/>
        <v/>
      </c>
      <c r="S2961" s="37" t="str">
        <f t="shared" si="321"/>
        <v/>
      </c>
      <c r="T2961" s="38" t="str">
        <f t="shared" si="322"/>
        <v/>
      </c>
      <c r="U2961" s="37" t="str">
        <f t="shared" si="323"/>
        <v/>
      </c>
    </row>
    <row r="2962" spans="2:21" ht="17.25">
      <c r="B2962" s="156"/>
      <c r="C2962" s="156"/>
      <c r="D2962" s="157"/>
      <c r="E2962" s="155"/>
      <c r="F2962" s="151"/>
      <c r="G2962" s="152"/>
      <c r="H2962" s="153"/>
      <c r="I2962" s="154"/>
      <c r="J2962" s="154"/>
      <c r="K2962" s="30" t="str">
        <f>IF(H2962="","",IF($C$30="간이법","",FPR(H2962,I2962,J2962)))</f>
        <v/>
      </c>
      <c r="L2962" s="30" t="str">
        <f>IF(H2962="","",IF($C$30="상세법",FPV(H2962,K2962),IF(H2962="EI",4,IF(H2962="EO",5.2,IF(H2962="EQ",3.9,IF(H2962="ILF",7.5,IF(H2962="EIF",5.4)))))))</f>
        <v/>
      </c>
      <c r="M2962" s="30" t="str">
        <f t="shared" si="317"/>
        <v/>
      </c>
      <c r="N2962" s="134"/>
      <c r="O2962" s="29"/>
      <c r="P2962" s="37" t="str">
        <f t="shared" si="318"/>
        <v/>
      </c>
      <c r="Q2962" s="38" t="str">
        <f t="shared" si="319"/>
        <v/>
      </c>
      <c r="R2962" s="37" t="str">
        <f t="shared" si="320"/>
        <v/>
      </c>
      <c r="S2962" s="37" t="str">
        <f t="shared" si="321"/>
        <v/>
      </c>
      <c r="T2962" s="38" t="str">
        <f t="shared" si="322"/>
        <v/>
      </c>
      <c r="U2962" s="37" t="str">
        <f t="shared" si="323"/>
        <v/>
      </c>
    </row>
    <row r="2963" spans="2:21" ht="17.25">
      <c r="B2963" s="156"/>
      <c r="C2963" s="156"/>
      <c r="D2963" s="157"/>
      <c r="E2963" s="155"/>
      <c r="F2963" s="151"/>
      <c r="G2963" s="152"/>
      <c r="H2963" s="153"/>
      <c r="I2963" s="154"/>
      <c r="J2963" s="154"/>
      <c r="K2963" s="30" t="str">
        <f>IF(H2963="","",IF($C$30="간이법","",FPR(H2963,I2963,J2963)))</f>
        <v/>
      </c>
      <c r="L2963" s="30" t="str">
        <f>IF(H2963="","",IF($C$30="상세법",FPV(H2963,K2963),IF(H2963="EI",4,IF(H2963="EO",5.2,IF(H2963="EQ",3.9,IF(H2963="ILF",7.5,IF(H2963="EIF",5.4)))))))</f>
        <v/>
      </c>
      <c r="M2963" s="30" t="str">
        <f t="shared" si="317"/>
        <v/>
      </c>
      <c r="N2963" s="134"/>
      <c r="O2963" s="29"/>
      <c r="P2963" s="37" t="str">
        <f t="shared" si="318"/>
        <v/>
      </c>
      <c r="Q2963" s="38" t="str">
        <f t="shared" si="319"/>
        <v/>
      </c>
      <c r="R2963" s="37" t="str">
        <f t="shared" si="320"/>
        <v/>
      </c>
      <c r="S2963" s="37" t="str">
        <f t="shared" si="321"/>
        <v/>
      </c>
      <c r="T2963" s="38" t="str">
        <f t="shared" si="322"/>
        <v/>
      </c>
      <c r="U2963" s="37" t="str">
        <f t="shared" si="323"/>
        <v/>
      </c>
    </row>
    <row r="2964" spans="2:21" ht="17.25">
      <c r="B2964" s="156"/>
      <c r="C2964" s="156"/>
      <c r="D2964" s="157"/>
      <c r="E2964" s="155"/>
      <c r="F2964" s="151"/>
      <c r="G2964" s="152"/>
      <c r="H2964" s="153"/>
      <c r="I2964" s="154"/>
      <c r="J2964" s="154"/>
      <c r="K2964" s="30" t="str">
        <f>IF(H2964="","",IF($C$30="간이법","",FPR(H2964,I2964,J2964)))</f>
        <v/>
      </c>
      <c r="L2964" s="30" t="str">
        <f>IF(H2964="","",IF($C$30="상세법",FPV(H2964,K2964),IF(H2964="EI",4,IF(H2964="EO",5.2,IF(H2964="EQ",3.9,IF(H2964="ILF",7.5,IF(H2964="EIF",5.4)))))))</f>
        <v/>
      </c>
      <c r="M2964" s="30" t="str">
        <f t="shared" si="317"/>
        <v/>
      </c>
      <c r="N2964" s="134"/>
      <c r="O2964" s="29"/>
      <c r="P2964" s="37" t="str">
        <f t="shared" si="318"/>
        <v/>
      </c>
      <c r="Q2964" s="38" t="str">
        <f t="shared" si="319"/>
        <v/>
      </c>
      <c r="R2964" s="37" t="str">
        <f t="shared" si="320"/>
        <v/>
      </c>
      <c r="S2964" s="37" t="str">
        <f t="shared" si="321"/>
        <v/>
      </c>
      <c r="T2964" s="38" t="str">
        <f t="shared" si="322"/>
        <v/>
      </c>
      <c r="U2964" s="37" t="str">
        <f t="shared" si="323"/>
        <v/>
      </c>
    </row>
    <row r="2965" spans="2:21" ht="17.25">
      <c r="B2965" s="156"/>
      <c r="C2965" s="156"/>
      <c r="D2965" s="157"/>
      <c r="E2965" s="155"/>
      <c r="F2965" s="151"/>
      <c r="G2965" s="152"/>
      <c r="H2965" s="153"/>
      <c r="I2965" s="154"/>
      <c r="J2965" s="154"/>
      <c r="K2965" s="30" t="str">
        <f>IF(H2965="","",IF($C$30="간이법","",FPR(H2965,I2965,J2965)))</f>
        <v/>
      </c>
      <c r="L2965" s="30" t="str">
        <f>IF(H2965="","",IF($C$30="상세법",FPV(H2965,K2965),IF(H2965="EI",4,IF(H2965="EO",5.2,IF(H2965="EQ",3.9,IF(H2965="ILF",7.5,IF(H2965="EIF",5.4)))))))</f>
        <v/>
      </c>
      <c r="M2965" s="30" t="str">
        <f t="shared" si="317"/>
        <v/>
      </c>
      <c r="N2965" s="134"/>
      <c r="O2965" s="29"/>
      <c r="P2965" s="37" t="str">
        <f t="shared" si="318"/>
        <v/>
      </c>
      <c r="Q2965" s="38" t="str">
        <f t="shared" si="319"/>
        <v/>
      </c>
      <c r="R2965" s="37" t="str">
        <f t="shared" si="320"/>
        <v/>
      </c>
      <c r="S2965" s="37" t="str">
        <f t="shared" si="321"/>
        <v/>
      </c>
      <c r="T2965" s="38" t="str">
        <f t="shared" si="322"/>
        <v/>
      </c>
      <c r="U2965" s="37" t="str">
        <f t="shared" si="323"/>
        <v/>
      </c>
    </row>
    <row r="2966" spans="2:21" ht="17.25">
      <c r="B2966" s="156"/>
      <c r="C2966" s="156"/>
      <c r="D2966" s="157"/>
      <c r="E2966" s="155"/>
      <c r="F2966" s="151"/>
      <c r="G2966" s="152"/>
      <c r="H2966" s="153"/>
      <c r="I2966" s="154"/>
      <c r="J2966" s="154"/>
      <c r="K2966" s="30" t="str">
        <f>IF(H2966="","",IF($C$30="간이법","",FPR(H2966,I2966,J2966)))</f>
        <v/>
      </c>
      <c r="L2966" s="30" t="str">
        <f>IF(H2966="","",IF($C$30="상세법",FPV(H2966,K2966),IF(H2966="EI",4,IF(H2966="EO",5.2,IF(H2966="EQ",3.9,IF(H2966="ILF",7.5,IF(H2966="EIF",5.4)))))))</f>
        <v/>
      </c>
      <c r="M2966" s="30" t="str">
        <f t="shared" si="317"/>
        <v/>
      </c>
      <c r="N2966" s="134"/>
      <c r="O2966" s="29"/>
      <c r="P2966" s="37" t="str">
        <f t="shared" si="318"/>
        <v/>
      </c>
      <c r="Q2966" s="38" t="str">
        <f t="shared" si="319"/>
        <v/>
      </c>
      <c r="R2966" s="37" t="str">
        <f t="shared" si="320"/>
        <v/>
      </c>
      <c r="S2966" s="37" t="str">
        <f t="shared" si="321"/>
        <v/>
      </c>
      <c r="T2966" s="38" t="str">
        <f t="shared" si="322"/>
        <v/>
      </c>
      <c r="U2966" s="37" t="str">
        <f t="shared" si="323"/>
        <v/>
      </c>
    </row>
    <row r="2967" spans="2:21" ht="17.25">
      <c r="B2967" s="156"/>
      <c r="C2967" s="156"/>
      <c r="D2967" s="157"/>
      <c r="E2967" s="155"/>
      <c r="F2967" s="151"/>
      <c r="G2967" s="152"/>
      <c r="H2967" s="153"/>
      <c r="I2967" s="154"/>
      <c r="J2967" s="154"/>
      <c r="K2967" s="30" t="str">
        <f>IF(H2967="","",IF($C$30="간이법","",FPR(H2967,I2967,J2967)))</f>
        <v/>
      </c>
      <c r="L2967" s="30" t="str">
        <f>IF(H2967="","",IF($C$30="상세법",FPV(H2967,K2967),IF(H2967="EI",4,IF(H2967="EO",5.2,IF(H2967="EQ",3.9,IF(H2967="ILF",7.5,IF(H2967="EIF",5.4)))))))</f>
        <v/>
      </c>
      <c r="M2967" s="30" t="str">
        <f t="shared" si="317"/>
        <v/>
      </c>
      <c r="N2967" s="134"/>
      <c r="O2967" s="29"/>
      <c r="P2967" s="37" t="str">
        <f t="shared" si="318"/>
        <v/>
      </c>
      <c r="Q2967" s="38" t="str">
        <f t="shared" si="319"/>
        <v/>
      </c>
      <c r="R2967" s="37" t="str">
        <f t="shared" si="320"/>
        <v/>
      </c>
      <c r="S2967" s="37" t="str">
        <f t="shared" si="321"/>
        <v/>
      </c>
      <c r="T2967" s="38" t="str">
        <f t="shared" si="322"/>
        <v/>
      </c>
      <c r="U2967" s="37" t="str">
        <f t="shared" si="323"/>
        <v/>
      </c>
    </row>
    <row r="2968" spans="2:21" ht="17.25">
      <c r="B2968" s="156"/>
      <c r="C2968" s="156"/>
      <c r="D2968" s="157"/>
      <c r="E2968" s="155"/>
      <c r="F2968" s="151"/>
      <c r="G2968" s="152"/>
      <c r="H2968" s="153"/>
      <c r="I2968" s="154"/>
      <c r="J2968" s="154"/>
      <c r="K2968" s="30" t="str">
        <f>IF(H2968="","",IF($C$30="간이법","",FPR(H2968,I2968,J2968)))</f>
        <v/>
      </c>
      <c r="L2968" s="30" t="str">
        <f>IF(H2968="","",IF($C$30="상세법",FPV(H2968,K2968),IF(H2968="EI",4,IF(H2968="EO",5.2,IF(H2968="EQ",3.9,IF(H2968="ILF",7.5,IF(H2968="EIF",5.4)))))))</f>
        <v/>
      </c>
      <c r="M2968" s="30" t="str">
        <f t="shared" si="317"/>
        <v/>
      </c>
      <c r="N2968" s="134"/>
      <c r="O2968" s="29"/>
      <c r="P2968" s="37" t="str">
        <f t="shared" si="318"/>
        <v/>
      </c>
      <c r="Q2968" s="38" t="str">
        <f t="shared" si="319"/>
        <v/>
      </c>
      <c r="R2968" s="37" t="str">
        <f t="shared" si="320"/>
        <v/>
      </c>
      <c r="S2968" s="37" t="str">
        <f t="shared" si="321"/>
        <v/>
      </c>
      <c r="T2968" s="38" t="str">
        <f t="shared" si="322"/>
        <v/>
      </c>
      <c r="U2968" s="37" t="str">
        <f t="shared" si="323"/>
        <v/>
      </c>
    </row>
    <row r="2969" spans="2:21" ht="17.25">
      <c r="B2969" s="156"/>
      <c r="C2969" s="156"/>
      <c r="D2969" s="157"/>
      <c r="E2969" s="155"/>
      <c r="F2969" s="151"/>
      <c r="G2969" s="152"/>
      <c r="H2969" s="153"/>
      <c r="I2969" s="154"/>
      <c r="J2969" s="154"/>
      <c r="K2969" s="30" t="str">
        <f>IF(H2969="","",IF($C$30="간이법","",FPR(H2969,I2969,J2969)))</f>
        <v/>
      </c>
      <c r="L2969" s="30" t="str">
        <f>IF(H2969="","",IF($C$30="상세법",FPV(H2969,K2969),IF(H2969="EI",4,IF(H2969="EO",5.2,IF(H2969="EQ",3.9,IF(H2969="ILF",7.5,IF(H2969="EIF",5.4)))))))</f>
        <v/>
      </c>
      <c r="M2969" s="30" t="str">
        <f t="shared" si="317"/>
        <v/>
      </c>
      <c r="N2969" s="134"/>
      <c r="O2969" s="29"/>
      <c r="P2969" s="37" t="str">
        <f t="shared" si="318"/>
        <v/>
      </c>
      <c r="Q2969" s="38" t="str">
        <f t="shared" si="319"/>
        <v/>
      </c>
      <c r="R2969" s="37" t="str">
        <f t="shared" si="320"/>
        <v/>
      </c>
      <c r="S2969" s="37" t="str">
        <f t="shared" si="321"/>
        <v/>
      </c>
      <c r="T2969" s="38" t="str">
        <f t="shared" si="322"/>
        <v/>
      </c>
      <c r="U2969" s="37" t="str">
        <f t="shared" si="323"/>
        <v/>
      </c>
    </row>
    <row r="2970" spans="2:21" ht="17.25">
      <c r="B2970" s="156"/>
      <c r="C2970" s="156"/>
      <c r="D2970" s="157"/>
      <c r="E2970" s="155"/>
      <c r="F2970" s="151"/>
      <c r="G2970" s="152"/>
      <c r="H2970" s="153"/>
      <c r="I2970" s="154"/>
      <c r="J2970" s="154"/>
      <c r="K2970" s="30" t="str">
        <f>IF(H2970="","",IF($C$30="간이법","",FPR(H2970,I2970,J2970)))</f>
        <v/>
      </c>
      <c r="L2970" s="30" t="str">
        <f>IF(H2970="","",IF($C$30="상세법",FPV(H2970,K2970),IF(H2970="EI",4,IF(H2970="EO",5.2,IF(H2970="EQ",3.9,IF(H2970="ILF",7.5,IF(H2970="EIF",5.4)))))))</f>
        <v/>
      </c>
      <c r="M2970" s="30" t="str">
        <f t="shared" si="317"/>
        <v/>
      </c>
      <c r="N2970" s="134"/>
      <c r="O2970" s="29"/>
      <c r="P2970" s="37" t="str">
        <f t="shared" si="318"/>
        <v/>
      </c>
      <c r="Q2970" s="38" t="str">
        <f t="shared" si="319"/>
        <v/>
      </c>
      <c r="R2970" s="37" t="str">
        <f t="shared" si="320"/>
        <v/>
      </c>
      <c r="S2970" s="37" t="str">
        <f t="shared" si="321"/>
        <v/>
      </c>
      <c r="T2970" s="38" t="str">
        <f t="shared" si="322"/>
        <v/>
      </c>
      <c r="U2970" s="37" t="str">
        <f t="shared" si="323"/>
        <v/>
      </c>
    </row>
    <row r="2971" spans="2:21" ht="17.25">
      <c r="B2971" s="156"/>
      <c r="C2971" s="156"/>
      <c r="D2971" s="157"/>
      <c r="E2971" s="155"/>
      <c r="F2971" s="151"/>
      <c r="G2971" s="152"/>
      <c r="H2971" s="153"/>
      <c r="I2971" s="154"/>
      <c r="J2971" s="154"/>
      <c r="K2971" s="30" t="str">
        <f>IF(H2971="","",IF($C$30="간이법","",FPR(H2971,I2971,J2971)))</f>
        <v/>
      </c>
      <c r="L2971" s="30" t="str">
        <f>IF(H2971="","",IF($C$30="상세법",FPV(H2971,K2971),IF(H2971="EI",4,IF(H2971="EO",5.2,IF(H2971="EQ",3.9,IF(H2971="ILF",7.5,IF(H2971="EIF",5.4)))))))</f>
        <v/>
      </c>
      <c r="M2971" s="30" t="str">
        <f t="shared" si="317"/>
        <v/>
      </c>
      <c r="N2971" s="134"/>
      <c r="O2971" s="29"/>
      <c r="P2971" s="37" t="str">
        <f t="shared" si="318"/>
        <v/>
      </c>
      <c r="Q2971" s="38" t="str">
        <f t="shared" si="319"/>
        <v/>
      </c>
      <c r="R2971" s="37" t="str">
        <f t="shared" si="320"/>
        <v/>
      </c>
      <c r="S2971" s="37" t="str">
        <f t="shared" si="321"/>
        <v/>
      </c>
      <c r="T2971" s="38" t="str">
        <f t="shared" si="322"/>
        <v/>
      </c>
      <c r="U2971" s="37" t="str">
        <f t="shared" si="323"/>
        <v/>
      </c>
    </row>
    <row r="2972" spans="2:21" ht="17.25">
      <c r="B2972" s="156"/>
      <c r="C2972" s="156"/>
      <c r="D2972" s="157"/>
      <c r="E2972" s="155"/>
      <c r="F2972" s="151"/>
      <c r="G2972" s="152"/>
      <c r="H2972" s="153"/>
      <c r="I2972" s="154"/>
      <c r="J2972" s="154"/>
      <c r="K2972" s="30" t="str">
        <f>IF(H2972="","",IF($C$30="간이법","",FPR(H2972,I2972,J2972)))</f>
        <v/>
      </c>
      <c r="L2972" s="30" t="str">
        <f>IF(H2972="","",IF($C$30="상세법",FPV(H2972,K2972),IF(H2972="EI",4,IF(H2972="EO",5.2,IF(H2972="EQ",3.9,IF(H2972="ILF",7.5,IF(H2972="EIF",5.4)))))))</f>
        <v/>
      </c>
      <c r="M2972" s="30" t="str">
        <f t="shared" si="317"/>
        <v/>
      </c>
      <c r="N2972" s="134"/>
      <c r="O2972" s="29"/>
      <c r="P2972" s="37" t="str">
        <f t="shared" si="318"/>
        <v/>
      </c>
      <c r="Q2972" s="38" t="str">
        <f t="shared" si="319"/>
        <v/>
      </c>
      <c r="R2972" s="37" t="str">
        <f t="shared" si="320"/>
        <v/>
      </c>
      <c r="S2972" s="37" t="str">
        <f t="shared" si="321"/>
        <v/>
      </c>
      <c r="T2972" s="38" t="str">
        <f t="shared" si="322"/>
        <v/>
      </c>
      <c r="U2972" s="37" t="str">
        <f t="shared" si="323"/>
        <v/>
      </c>
    </row>
    <row r="2973" spans="2:21" ht="17.25">
      <c r="B2973" s="156"/>
      <c r="C2973" s="156"/>
      <c r="D2973" s="157"/>
      <c r="E2973" s="155"/>
      <c r="F2973" s="151"/>
      <c r="G2973" s="152"/>
      <c r="H2973" s="153"/>
      <c r="I2973" s="154"/>
      <c r="J2973" s="154"/>
      <c r="K2973" s="30" t="str">
        <f>IF(H2973="","",IF($C$30="간이법","",FPR(H2973,I2973,J2973)))</f>
        <v/>
      </c>
      <c r="L2973" s="30" t="str">
        <f>IF(H2973="","",IF($C$30="상세법",FPV(H2973,K2973),IF(H2973="EI",4,IF(H2973="EO",5.2,IF(H2973="EQ",3.9,IF(H2973="ILF",7.5,IF(H2973="EIF",5.4)))))))</f>
        <v/>
      </c>
      <c r="M2973" s="30" t="str">
        <f t="shared" si="317"/>
        <v/>
      </c>
      <c r="N2973" s="134"/>
      <c r="O2973" s="29"/>
      <c r="P2973" s="37" t="str">
        <f t="shared" si="318"/>
        <v/>
      </c>
      <c r="Q2973" s="38" t="str">
        <f t="shared" si="319"/>
        <v/>
      </c>
      <c r="R2973" s="37" t="str">
        <f t="shared" si="320"/>
        <v/>
      </c>
      <c r="S2973" s="37" t="str">
        <f t="shared" si="321"/>
        <v/>
      </c>
      <c r="T2973" s="38" t="str">
        <f t="shared" si="322"/>
        <v/>
      </c>
      <c r="U2973" s="37" t="str">
        <f t="shared" si="323"/>
        <v/>
      </c>
    </row>
    <row r="2974" spans="2:21" ht="17.25">
      <c r="B2974" s="156"/>
      <c r="C2974" s="156"/>
      <c r="D2974" s="157"/>
      <c r="E2974" s="155"/>
      <c r="F2974" s="151"/>
      <c r="G2974" s="152"/>
      <c r="H2974" s="153"/>
      <c r="I2974" s="154"/>
      <c r="J2974" s="154"/>
      <c r="K2974" s="30" t="str">
        <f>IF(H2974="","",IF($C$30="간이법","",FPR(H2974,I2974,J2974)))</f>
        <v/>
      </c>
      <c r="L2974" s="30" t="str">
        <f>IF(H2974="","",IF($C$30="상세법",FPV(H2974,K2974),IF(H2974="EI",4,IF(H2974="EO",5.2,IF(H2974="EQ",3.9,IF(H2974="ILF",7.5,IF(H2974="EIF",5.4)))))))</f>
        <v/>
      </c>
      <c r="M2974" s="30" t="str">
        <f t="shared" si="317"/>
        <v/>
      </c>
      <c r="N2974" s="134"/>
      <c r="O2974" s="29"/>
      <c r="P2974" s="37" t="str">
        <f t="shared" si="318"/>
        <v/>
      </c>
      <c r="Q2974" s="38" t="str">
        <f t="shared" si="319"/>
        <v/>
      </c>
      <c r="R2974" s="37" t="str">
        <f t="shared" si="320"/>
        <v/>
      </c>
      <c r="S2974" s="37" t="str">
        <f t="shared" si="321"/>
        <v/>
      </c>
      <c r="T2974" s="38" t="str">
        <f t="shared" si="322"/>
        <v/>
      </c>
      <c r="U2974" s="37" t="str">
        <f t="shared" si="323"/>
        <v/>
      </c>
    </row>
    <row r="2975" spans="2:21" ht="17.25">
      <c r="B2975" s="156"/>
      <c r="C2975" s="156"/>
      <c r="D2975" s="157"/>
      <c r="E2975" s="155"/>
      <c r="F2975" s="151"/>
      <c r="G2975" s="152"/>
      <c r="H2975" s="153"/>
      <c r="I2975" s="154"/>
      <c r="J2975" s="154"/>
      <c r="K2975" s="30" t="str">
        <f>IF(H2975="","",IF($C$30="간이법","",FPR(H2975,I2975,J2975)))</f>
        <v/>
      </c>
      <c r="L2975" s="30" t="str">
        <f>IF(H2975="","",IF($C$30="상세법",FPV(H2975,K2975),IF(H2975="EI",4,IF(H2975="EO",5.2,IF(H2975="EQ",3.9,IF(H2975="ILF",7.5,IF(H2975="EIF",5.4)))))))</f>
        <v/>
      </c>
      <c r="M2975" s="30" t="str">
        <f t="shared" si="317"/>
        <v/>
      </c>
      <c r="N2975" s="134"/>
      <c r="O2975" s="29"/>
      <c r="P2975" s="37" t="str">
        <f t="shared" si="318"/>
        <v/>
      </c>
      <c r="Q2975" s="38" t="str">
        <f t="shared" si="319"/>
        <v/>
      </c>
      <c r="R2975" s="37" t="str">
        <f t="shared" si="320"/>
        <v/>
      </c>
      <c r="S2975" s="37" t="str">
        <f t="shared" si="321"/>
        <v/>
      </c>
      <c r="T2975" s="38" t="str">
        <f t="shared" si="322"/>
        <v/>
      </c>
      <c r="U2975" s="37" t="str">
        <f t="shared" si="323"/>
        <v/>
      </c>
    </row>
    <row r="2976" spans="2:21" ht="17.25">
      <c r="B2976" s="156"/>
      <c r="C2976" s="156"/>
      <c r="D2976" s="157"/>
      <c r="E2976" s="155"/>
      <c r="F2976" s="151"/>
      <c r="G2976" s="152"/>
      <c r="H2976" s="153"/>
      <c r="I2976" s="154"/>
      <c r="J2976" s="154"/>
      <c r="K2976" s="30" t="str">
        <f>IF(H2976="","",IF($C$30="간이법","",FPR(H2976,I2976,J2976)))</f>
        <v/>
      </c>
      <c r="L2976" s="30" t="str">
        <f>IF(H2976="","",IF($C$30="상세법",FPV(H2976,K2976),IF(H2976="EI",4,IF(H2976="EO",5.2,IF(H2976="EQ",3.9,IF(H2976="ILF",7.5,IF(H2976="EIF",5.4)))))))</f>
        <v/>
      </c>
      <c r="M2976" s="30" t="str">
        <f t="shared" si="317"/>
        <v/>
      </c>
      <c r="N2976" s="134"/>
      <c r="O2976" s="29"/>
      <c r="P2976" s="37" t="str">
        <f t="shared" si="318"/>
        <v/>
      </c>
      <c r="Q2976" s="38" t="str">
        <f t="shared" si="319"/>
        <v/>
      </c>
      <c r="R2976" s="37" t="str">
        <f t="shared" si="320"/>
        <v/>
      </c>
      <c r="S2976" s="37" t="str">
        <f t="shared" si="321"/>
        <v/>
      </c>
      <c r="T2976" s="38" t="str">
        <f t="shared" si="322"/>
        <v/>
      </c>
      <c r="U2976" s="37" t="str">
        <f t="shared" si="323"/>
        <v/>
      </c>
    </row>
    <row r="2977" spans="2:21" ht="17.25">
      <c r="B2977" s="156"/>
      <c r="C2977" s="156"/>
      <c r="D2977" s="157"/>
      <c r="E2977" s="155"/>
      <c r="F2977" s="151"/>
      <c r="G2977" s="152"/>
      <c r="H2977" s="153"/>
      <c r="I2977" s="154"/>
      <c r="J2977" s="154"/>
      <c r="K2977" s="30" t="str">
        <f>IF(H2977="","",IF($C$30="간이법","",FPR(H2977,I2977,J2977)))</f>
        <v/>
      </c>
      <c r="L2977" s="30" t="str">
        <f>IF(H2977="","",IF($C$30="상세법",FPV(H2977,K2977),IF(H2977="EI",4,IF(H2977="EO",5.2,IF(H2977="EQ",3.9,IF(H2977="ILF",7.5,IF(H2977="EIF",5.4)))))))</f>
        <v/>
      </c>
      <c r="M2977" s="30" t="str">
        <f t="shared" si="317"/>
        <v/>
      </c>
      <c r="N2977" s="134"/>
      <c r="O2977" s="29"/>
      <c r="P2977" s="37" t="str">
        <f t="shared" si="318"/>
        <v/>
      </c>
      <c r="Q2977" s="38" t="str">
        <f t="shared" si="319"/>
        <v/>
      </c>
      <c r="R2977" s="37" t="str">
        <f t="shared" si="320"/>
        <v/>
      </c>
      <c r="S2977" s="37" t="str">
        <f t="shared" si="321"/>
        <v/>
      </c>
      <c r="T2977" s="38" t="str">
        <f t="shared" si="322"/>
        <v/>
      </c>
      <c r="U2977" s="37" t="str">
        <f t="shared" si="323"/>
        <v/>
      </c>
    </row>
    <row r="2978" spans="2:21" ht="17.25">
      <c r="B2978" s="156"/>
      <c r="C2978" s="156"/>
      <c r="D2978" s="157"/>
      <c r="E2978" s="155"/>
      <c r="F2978" s="151"/>
      <c r="G2978" s="152"/>
      <c r="H2978" s="153"/>
      <c r="I2978" s="154"/>
      <c r="J2978" s="154"/>
      <c r="K2978" s="30" t="str">
        <f>IF(H2978="","",IF($C$30="간이법","",FPR(H2978,I2978,J2978)))</f>
        <v/>
      </c>
      <c r="L2978" s="30" t="str">
        <f>IF(H2978="","",IF($C$30="상세법",FPV(H2978,K2978),IF(H2978="EI",4,IF(H2978="EO",5.2,IF(H2978="EQ",3.9,IF(H2978="ILF",7.5,IF(H2978="EIF",5.4)))))))</f>
        <v/>
      </c>
      <c r="M2978" s="30" t="str">
        <f t="shared" si="317"/>
        <v/>
      </c>
      <c r="N2978" s="134"/>
      <c r="O2978" s="29"/>
      <c r="P2978" s="37" t="str">
        <f t="shared" si="318"/>
        <v/>
      </c>
      <c r="Q2978" s="38" t="str">
        <f t="shared" si="319"/>
        <v/>
      </c>
      <c r="R2978" s="37" t="str">
        <f t="shared" si="320"/>
        <v/>
      </c>
      <c r="S2978" s="37" t="str">
        <f t="shared" si="321"/>
        <v/>
      </c>
      <c r="T2978" s="38" t="str">
        <f t="shared" si="322"/>
        <v/>
      </c>
      <c r="U2978" s="37" t="str">
        <f t="shared" si="323"/>
        <v/>
      </c>
    </row>
    <row r="2979" spans="2:21" ht="17.25">
      <c r="B2979" s="156"/>
      <c r="C2979" s="156"/>
      <c r="D2979" s="157"/>
      <c r="E2979" s="155"/>
      <c r="F2979" s="151"/>
      <c r="G2979" s="152"/>
      <c r="H2979" s="153"/>
      <c r="I2979" s="154"/>
      <c r="J2979" s="154"/>
      <c r="K2979" s="30" t="str">
        <f>IF(H2979="","",IF($C$30="간이법","",FPR(H2979,I2979,J2979)))</f>
        <v/>
      </c>
      <c r="L2979" s="30" t="str">
        <f>IF(H2979="","",IF($C$30="상세법",FPV(H2979,K2979),IF(H2979="EI",4,IF(H2979="EO",5.2,IF(H2979="EQ",3.9,IF(H2979="ILF",7.5,IF(H2979="EIF",5.4)))))))</f>
        <v/>
      </c>
      <c r="M2979" s="30" t="str">
        <f t="shared" si="317"/>
        <v/>
      </c>
      <c r="N2979" s="134"/>
      <c r="O2979" s="29"/>
      <c r="P2979" s="37" t="str">
        <f t="shared" si="318"/>
        <v/>
      </c>
      <c r="Q2979" s="38" t="str">
        <f t="shared" si="319"/>
        <v/>
      </c>
      <c r="R2979" s="37" t="str">
        <f t="shared" si="320"/>
        <v/>
      </c>
      <c r="S2979" s="37" t="str">
        <f t="shared" si="321"/>
        <v/>
      </c>
      <c r="T2979" s="38" t="str">
        <f t="shared" si="322"/>
        <v/>
      </c>
      <c r="U2979" s="37" t="str">
        <f t="shared" si="323"/>
        <v/>
      </c>
    </row>
    <row r="2980" spans="2:21" ht="17.25">
      <c r="B2980" s="156"/>
      <c r="C2980" s="156"/>
      <c r="D2980" s="157"/>
      <c r="E2980" s="155"/>
      <c r="F2980" s="151"/>
      <c r="G2980" s="152"/>
      <c r="H2980" s="153"/>
      <c r="I2980" s="154"/>
      <c r="J2980" s="154"/>
      <c r="K2980" s="30" t="str">
        <f>IF(H2980="","",IF($C$30="간이법","",FPR(H2980,I2980,J2980)))</f>
        <v/>
      </c>
      <c r="L2980" s="30" t="str">
        <f>IF(H2980="","",IF($C$30="상세법",FPV(H2980,K2980),IF(H2980="EI",4,IF(H2980="EO",5.2,IF(H2980="EQ",3.9,IF(H2980="ILF",7.5,IF(H2980="EIF",5.4)))))))</f>
        <v/>
      </c>
      <c r="M2980" s="30" t="str">
        <f t="shared" si="317"/>
        <v/>
      </c>
      <c r="N2980" s="134"/>
      <c r="O2980" s="29"/>
      <c r="P2980" s="37" t="str">
        <f t="shared" si="318"/>
        <v/>
      </c>
      <c r="Q2980" s="38" t="str">
        <f t="shared" si="319"/>
        <v/>
      </c>
      <c r="R2980" s="37" t="str">
        <f t="shared" si="320"/>
        <v/>
      </c>
      <c r="S2980" s="37" t="str">
        <f t="shared" si="321"/>
        <v/>
      </c>
      <c r="T2980" s="38" t="str">
        <f t="shared" si="322"/>
        <v/>
      </c>
      <c r="U2980" s="37" t="str">
        <f t="shared" si="323"/>
        <v/>
      </c>
    </row>
    <row r="2981" spans="2:21" ht="17.25">
      <c r="B2981" s="156"/>
      <c r="C2981" s="156"/>
      <c r="D2981" s="157"/>
      <c r="E2981" s="155"/>
      <c r="F2981" s="151"/>
      <c r="G2981" s="152"/>
      <c r="H2981" s="153"/>
      <c r="I2981" s="154"/>
      <c r="J2981" s="154"/>
      <c r="K2981" s="30" t="str">
        <f>IF(H2981="","",IF($C$30="간이법","",FPR(H2981,I2981,J2981)))</f>
        <v/>
      </c>
      <c r="L2981" s="30" t="str">
        <f>IF(H2981="","",IF($C$30="상세법",FPV(H2981,K2981),IF(H2981="EI",4,IF(H2981="EO",5.2,IF(H2981="EQ",3.9,IF(H2981="ILF",7.5,IF(H2981="EIF",5.4)))))))</f>
        <v/>
      </c>
      <c r="M2981" s="30" t="str">
        <f t="shared" si="317"/>
        <v/>
      </c>
      <c r="N2981" s="134"/>
      <c r="O2981" s="29"/>
      <c r="P2981" s="37" t="str">
        <f t="shared" si="318"/>
        <v/>
      </c>
      <c r="Q2981" s="38" t="str">
        <f t="shared" si="319"/>
        <v/>
      </c>
      <c r="R2981" s="37" t="str">
        <f t="shared" si="320"/>
        <v/>
      </c>
      <c r="S2981" s="37" t="str">
        <f t="shared" si="321"/>
        <v/>
      </c>
      <c r="T2981" s="38" t="str">
        <f t="shared" si="322"/>
        <v/>
      </c>
      <c r="U2981" s="37" t="str">
        <f t="shared" si="323"/>
        <v/>
      </c>
    </row>
    <row r="2982" spans="2:21" ht="17.25">
      <c r="B2982" s="156"/>
      <c r="C2982" s="156"/>
      <c r="D2982" s="157"/>
      <c r="E2982" s="155"/>
      <c r="F2982" s="151"/>
      <c r="G2982" s="152"/>
      <c r="H2982" s="153"/>
      <c r="I2982" s="154"/>
      <c r="J2982" s="154"/>
      <c r="K2982" s="30" t="str">
        <f>IF(H2982="","",IF($C$30="간이법","",FPR(H2982,I2982,J2982)))</f>
        <v/>
      </c>
      <c r="L2982" s="30" t="str">
        <f>IF(H2982="","",IF($C$30="상세법",FPV(H2982,K2982),IF(H2982="EI",4,IF(H2982="EO",5.2,IF(H2982="EQ",3.9,IF(H2982="ILF",7.5,IF(H2982="EIF",5.4)))))))</f>
        <v/>
      </c>
      <c r="M2982" s="30" t="str">
        <f t="shared" si="317"/>
        <v/>
      </c>
      <c r="N2982" s="134"/>
      <c r="O2982" s="29"/>
      <c r="P2982" s="37" t="str">
        <f t="shared" si="318"/>
        <v/>
      </c>
      <c r="Q2982" s="38" t="str">
        <f t="shared" si="319"/>
        <v/>
      </c>
      <c r="R2982" s="37" t="str">
        <f t="shared" si="320"/>
        <v/>
      </c>
      <c r="S2982" s="37" t="str">
        <f t="shared" si="321"/>
        <v/>
      </c>
      <c r="T2982" s="38" t="str">
        <f t="shared" si="322"/>
        <v/>
      </c>
      <c r="U2982" s="37" t="str">
        <f t="shared" si="323"/>
        <v/>
      </c>
    </row>
    <row r="2983" spans="2:21" ht="17.25">
      <c r="B2983" s="156"/>
      <c r="C2983" s="156"/>
      <c r="D2983" s="157"/>
      <c r="E2983" s="155"/>
      <c r="F2983" s="151"/>
      <c r="G2983" s="152"/>
      <c r="H2983" s="153"/>
      <c r="I2983" s="154"/>
      <c r="J2983" s="154"/>
      <c r="K2983" s="30" t="str">
        <f>IF(H2983="","",IF($C$30="간이법","",FPR(H2983,I2983,J2983)))</f>
        <v/>
      </c>
      <c r="L2983" s="30" t="str">
        <f>IF(H2983="","",IF($C$30="상세법",FPV(H2983,K2983),IF(H2983="EI",4,IF(H2983="EO",5.2,IF(H2983="EQ",3.9,IF(H2983="ILF",7.5,IF(H2983="EIF",5.4)))))))</f>
        <v/>
      </c>
      <c r="M2983" s="30" t="str">
        <f t="shared" si="317"/>
        <v/>
      </c>
      <c r="N2983" s="134"/>
      <c r="O2983" s="29"/>
      <c r="P2983" s="37" t="str">
        <f t="shared" si="318"/>
        <v/>
      </c>
      <c r="Q2983" s="38" t="str">
        <f t="shared" si="319"/>
        <v/>
      </c>
      <c r="R2983" s="37" t="str">
        <f t="shared" si="320"/>
        <v/>
      </c>
      <c r="S2983" s="37" t="str">
        <f t="shared" si="321"/>
        <v/>
      </c>
      <c r="T2983" s="38" t="str">
        <f t="shared" si="322"/>
        <v/>
      </c>
      <c r="U2983" s="37" t="str">
        <f t="shared" si="323"/>
        <v/>
      </c>
    </row>
    <row r="2984" spans="2:21" ht="17.25">
      <c r="B2984" s="156"/>
      <c r="C2984" s="156"/>
      <c r="D2984" s="157"/>
      <c r="E2984" s="155"/>
      <c r="F2984" s="151"/>
      <c r="G2984" s="152"/>
      <c r="H2984" s="153"/>
      <c r="I2984" s="154"/>
      <c r="J2984" s="154"/>
      <c r="K2984" s="30" t="str">
        <f>IF(H2984="","",IF($C$30="간이법","",FPR(H2984,I2984,J2984)))</f>
        <v/>
      </c>
      <c r="L2984" s="30" t="str">
        <f>IF(H2984="","",IF($C$30="상세법",FPV(H2984,K2984),IF(H2984="EI",4,IF(H2984="EO",5.2,IF(H2984="EQ",3.9,IF(H2984="ILF",7.5,IF(H2984="EIF",5.4)))))))</f>
        <v/>
      </c>
      <c r="M2984" s="30" t="str">
        <f t="shared" si="317"/>
        <v/>
      </c>
      <c r="N2984" s="134"/>
      <c r="O2984" s="29"/>
      <c r="P2984" s="37" t="str">
        <f t="shared" si="318"/>
        <v/>
      </c>
      <c r="Q2984" s="38" t="str">
        <f t="shared" si="319"/>
        <v/>
      </c>
      <c r="R2984" s="37" t="str">
        <f t="shared" si="320"/>
        <v/>
      </c>
      <c r="S2984" s="37" t="str">
        <f t="shared" si="321"/>
        <v/>
      </c>
      <c r="T2984" s="38" t="str">
        <f t="shared" si="322"/>
        <v/>
      </c>
      <c r="U2984" s="37" t="str">
        <f t="shared" si="323"/>
        <v/>
      </c>
    </row>
    <row r="2985" spans="2:21" ht="17.25">
      <c r="B2985" s="156"/>
      <c r="C2985" s="156"/>
      <c r="D2985" s="157"/>
      <c r="E2985" s="155"/>
      <c r="F2985" s="151"/>
      <c r="G2985" s="152"/>
      <c r="H2985" s="153"/>
      <c r="I2985" s="154"/>
      <c r="J2985" s="154"/>
      <c r="K2985" s="30" t="str">
        <f>IF(H2985="","",IF($C$30="간이법","",FPR(H2985,I2985,J2985)))</f>
        <v/>
      </c>
      <c r="L2985" s="30" t="str">
        <f>IF(H2985="","",IF($C$30="상세법",FPV(H2985,K2985),IF(H2985="EI",4,IF(H2985="EO",5.2,IF(H2985="EQ",3.9,IF(H2985="ILF",7.5,IF(H2985="EIF",5.4)))))))</f>
        <v/>
      </c>
      <c r="M2985" s="30" t="str">
        <f t="shared" si="317"/>
        <v/>
      </c>
      <c r="N2985" s="134"/>
      <c r="O2985" s="29"/>
      <c r="P2985" s="37" t="str">
        <f t="shared" si="318"/>
        <v/>
      </c>
      <c r="Q2985" s="38" t="str">
        <f t="shared" si="319"/>
        <v/>
      </c>
      <c r="R2985" s="37" t="str">
        <f t="shared" si="320"/>
        <v/>
      </c>
      <c r="S2985" s="37" t="str">
        <f t="shared" si="321"/>
        <v/>
      </c>
      <c r="T2985" s="38" t="str">
        <f t="shared" si="322"/>
        <v/>
      </c>
      <c r="U2985" s="37" t="str">
        <f t="shared" si="323"/>
        <v/>
      </c>
    </row>
    <row r="2986" spans="2:21" ht="17.25">
      <c r="B2986" s="156"/>
      <c r="C2986" s="156"/>
      <c r="D2986" s="157"/>
      <c r="E2986" s="155"/>
      <c r="F2986" s="151"/>
      <c r="G2986" s="152"/>
      <c r="H2986" s="153"/>
      <c r="I2986" s="154"/>
      <c r="J2986" s="154"/>
      <c r="K2986" s="30" t="str">
        <f>IF(H2986="","",IF($C$30="간이법","",FPR(H2986,I2986,J2986)))</f>
        <v/>
      </c>
      <c r="L2986" s="30" t="str">
        <f>IF(H2986="","",IF($C$30="상세법",FPV(H2986,K2986),IF(H2986="EI",4,IF(H2986="EO",5.2,IF(H2986="EQ",3.9,IF(H2986="ILF",7.5,IF(H2986="EIF",5.4)))))))</f>
        <v/>
      </c>
      <c r="M2986" s="30" t="str">
        <f t="shared" si="317"/>
        <v/>
      </c>
      <c r="N2986" s="134"/>
      <c r="O2986" s="29"/>
      <c r="P2986" s="37" t="str">
        <f t="shared" si="318"/>
        <v/>
      </c>
      <c r="Q2986" s="38" t="str">
        <f t="shared" si="319"/>
        <v/>
      </c>
      <c r="R2986" s="37" t="str">
        <f t="shared" si="320"/>
        <v/>
      </c>
      <c r="S2986" s="37" t="str">
        <f t="shared" si="321"/>
        <v/>
      </c>
      <c r="T2986" s="38" t="str">
        <f t="shared" si="322"/>
        <v/>
      </c>
      <c r="U2986" s="37" t="str">
        <f t="shared" si="323"/>
        <v/>
      </c>
    </row>
    <row r="2987" spans="2:21" ht="17.25">
      <c r="B2987" s="156"/>
      <c r="C2987" s="156"/>
      <c r="D2987" s="157"/>
      <c r="E2987" s="155"/>
      <c r="F2987" s="151"/>
      <c r="G2987" s="152"/>
      <c r="H2987" s="153"/>
      <c r="I2987" s="154"/>
      <c r="J2987" s="154"/>
      <c r="K2987" s="30" t="str">
        <f>IF(H2987="","",IF($C$30="간이법","",FPR(H2987,I2987,J2987)))</f>
        <v/>
      </c>
      <c r="L2987" s="30" t="str">
        <f>IF(H2987="","",IF($C$30="상세법",FPV(H2987,K2987),IF(H2987="EI",4,IF(H2987="EO",5.2,IF(H2987="EQ",3.9,IF(H2987="ILF",7.5,IF(H2987="EIF",5.4)))))))</f>
        <v/>
      </c>
      <c r="M2987" s="30" t="str">
        <f t="shared" si="317"/>
        <v/>
      </c>
      <c r="N2987" s="134"/>
      <c r="O2987" s="29"/>
      <c r="P2987" s="37" t="str">
        <f t="shared" si="318"/>
        <v/>
      </c>
      <c r="Q2987" s="38" t="str">
        <f t="shared" si="319"/>
        <v/>
      </c>
      <c r="R2987" s="37" t="str">
        <f t="shared" si="320"/>
        <v/>
      </c>
      <c r="S2987" s="37" t="str">
        <f t="shared" si="321"/>
        <v/>
      </c>
      <c r="T2987" s="38" t="str">
        <f t="shared" si="322"/>
        <v/>
      </c>
      <c r="U2987" s="37" t="str">
        <f t="shared" si="323"/>
        <v/>
      </c>
    </row>
    <row r="2988" spans="2:21" ht="17.25">
      <c r="B2988" s="156"/>
      <c r="C2988" s="156"/>
      <c r="D2988" s="157"/>
      <c r="E2988" s="155"/>
      <c r="F2988" s="151"/>
      <c r="G2988" s="152"/>
      <c r="H2988" s="153"/>
      <c r="I2988" s="154"/>
      <c r="J2988" s="154"/>
      <c r="K2988" s="30" t="str">
        <f>IF(H2988="","",IF($C$30="간이법","",FPR(H2988,I2988,J2988)))</f>
        <v/>
      </c>
      <c r="L2988" s="30" t="str">
        <f>IF(H2988="","",IF($C$30="상세법",FPV(H2988,K2988),IF(H2988="EI",4,IF(H2988="EO",5.2,IF(H2988="EQ",3.9,IF(H2988="ILF",7.5,IF(H2988="EIF",5.4)))))))</f>
        <v/>
      </c>
      <c r="M2988" s="30" t="str">
        <f t="shared" si="317"/>
        <v/>
      </c>
      <c r="N2988" s="134"/>
      <c r="O2988" s="29"/>
      <c r="P2988" s="37" t="str">
        <f t="shared" si="318"/>
        <v/>
      </c>
      <c r="Q2988" s="38" t="str">
        <f t="shared" si="319"/>
        <v/>
      </c>
      <c r="R2988" s="37" t="str">
        <f t="shared" si="320"/>
        <v/>
      </c>
      <c r="S2988" s="37" t="str">
        <f t="shared" si="321"/>
        <v/>
      </c>
      <c r="T2988" s="38" t="str">
        <f t="shared" si="322"/>
        <v/>
      </c>
      <c r="U2988" s="37" t="str">
        <f t="shared" si="323"/>
        <v/>
      </c>
    </row>
    <row r="2989" spans="2:21" ht="17.25">
      <c r="B2989" s="156"/>
      <c r="C2989" s="156"/>
      <c r="D2989" s="157"/>
      <c r="E2989" s="155"/>
      <c r="F2989" s="151"/>
      <c r="G2989" s="152"/>
      <c r="H2989" s="153"/>
      <c r="I2989" s="154"/>
      <c r="J2989" s="154"/>
      <c r="K2989" s="30" t="str">
        <f>IF(H2989="","",IF($C$30="간이법","",FPR(H2989,I2989,J2989)))</f>
        <v/>
      </c>
      <c r="L2989" s="30" t="str">
        <f>IF(H2989="","",IF($C$30="상세법",FPV(H2989,K2989),IF(H2989="EI",4,IF(H2989="EO",5.2,IF(H2989="EQ",3.9,IF(H2989="ILF",7.5,IF(H2989="EIF",5.4)))))))</f>
        <v/>
      </c>
      <c r="M2989" s="30" t="str">
        <f t="shared" si="317"/>
        <v/>
      </c>
      <c r="N2989" s="134"/>
      <c r="O2989" s="29"/>
      <c r="P2989" s="37" t="str">
        <f t="shared" si="318"/>
        <v/>
      </c>
      <c r="Q2989" s="38" t="str">
        <f t="shared" si="319"/>
        <v/>
      </c>
      <c r="R2989" s="37" t="str">
        <f t="shared" si="320"/>
        <v/>
      </c>
      <c r="S2989" s="37" t="str">
        <f t="shared" si="321"/>
        <v/>
      </c>
      <c r="T2989" s="38" t="str">
        <f t="shared" si="322"/>
        <v/>
      </c>
      <c r="U2989" s="37" t="str">
        <f t="shared" si="323"/>
        <v/>
      </c>
    </row>
    <row r="2990" spans="2:21" ht="17.25">
      <c r="B2990" s="156"/>
      <c r="C2990" s="156"/>
      <c r="D2990" s="157"/>
      <c r="E2990" s="155"/>
      <c r="F2990" s="151"/>
      <c r="G2990" s="152"/>
      <c r="H2990" s="153"/>
      <c r="I2990" s="154"/>
      <c r="J2990" s="154"/>
      <c r="K2990" s="30" t="str">
        <f>IF(H2990="","",IF($C$30="간이법","",FPR(H2990,I2990,J2990)))</f>
        <v/>
      </c>
      <c r="L2990" s="30" t="str">
        <f>IF(H2990="","",IF($C$30="상세법",FPV(H2990,K2990),IF(H2990="EI",4,IF(H2990="EO",5.2,IF(H2990="EQ",3.9,IF(H2990="ILF",7.5,IF(H2990="EIF",5.4)))))))</f>
        <v/>
      </c>
      <c r="M2990" s="30" t="str">
        <f t="shared" si="317"/>
        <v/>
      </c>
      <c r="N2990" s="134"/>
      <c r="O2990" s="29"/>
      <c r="P2990" s="37" t="str">
        <f t="shared" si="318"/>
        <v/>
      </c>
      <c r="Q2990" s="38" t="str">
        <f t="shared" si="319"/>
        <v/>
      </c>
      <c r="R2990" s="37" t="str">
        <f t="shared" si="320"/>
        <v/>
      </c>
      <c r="S2990" s="37" t="str">
        <f t="shared" si="321"/>
        <v/>
      </c>
      <c r="T2990" s="38" t="str">
        <f t="shared" si="322"/>
        <v/>
      </c>
      <c r="U2990" s="37" t="str">
        <f t="shared" si="323"/>
        <v/>
      </c>
    </row>
    <row r="2991" spans="2:21" ht="17.25">
      <c r="B2991" s="156"/>
      <c r="C2991" s="156"/>
      <c r="D2991" s="157"/>
      <c r="E2991" s="155"/>
      <c r="F2991" s="151"/>
      <c r="G2991" s="152"/>
      <c r="H2991" s="153"/>
      <c r="I2991" s="154"/>
      <c r="J2991" s="154"/>
      <c r="K2991" s="30" t="str">
        <f>IF(H2991="","",IF($C$30="간이법","",FPR(H2991,I2991,J2991)))</f>
        <v/>
      </c>
      <c r="L2991" s="30" t="str">
        <f>IF(H2991="","",IF($C$30="상세법",FPV(H2991,K2991),IF(H2991="EI",4,IF(H2991="EO",5.2,IF(H2991="EQ",3.9,IF(H2991="ILF",7.5,IF(H2991="EIF",5.4)))))))</f>
        <v/>
      </c>
      <c r="M2991" s="30" t="str">
        <f t="shared" si="317"/>
        <v/>
      </c>
      <c r="N2991" s="134"/>
      <c r="O2991" s="29"/>
      <c r="P2991" s="37" t="str">
        <f t="shared" si="318"/>
        <v/>
      </c>
      <c r="Q2991" s="38" t="str">
        <f t="shared" si="319"/>
        <v/>
      </c>
      <c r="R2991" s="37" t="str">
        <f t="shared" si="320"/>
        <v/>
      </c>
      <c r="S2991" s="37" t="str">
        <f t="shared" si="321"/>
        <v/>
      </c>
      <c r="T2991" s="38" t="str">
        <f t="shared" si="322"/>
        <v/>
      </c>
      <c r="U2991" s="37" t="str">
        <f t="shared" si="323"/>
        <v/>
      </c>
    </row>
    <row r="2992" spans="2:21" ht="17.25">
      <c r="B2992" s="156"/>
      <c r="C2992" s="156"/>
      <c r="D2992" s="157"/>
      <c r="E2992" s="155"/>
      <c r="F2992" s="151"/>
      <c r="G2992" s="152"/>
      <c r="H2992" s="153"/>
      <c r="I2992" s="154"/>
      <c r="J2992" s="154"/>
      <c r="K2992" s="30" t="str">
        <f>IF(H2992="","",IF($C$30="간이법","",FPR(H2992,I2992,J2992)))</f>
        <v/>
      </c>
      <c r="L2992" s="30" t="str">
        <f>IF(H2992="","",IF($C$30="상세법",FPV(H2992,K2992),IF(H2992="EI",4,IF(H2992="EO",5.2,IF(H2992="EQ",3.9,IF(H2992="ILF",7.5,IF(H2992="EIF",5.4)))))))</f>
        <v/>
      </c>
      <c r="M2992" s="30" t="str">
        <f t="shared" si="317"/>
        <v/>
      </c>
      <c r="N2992" s="134"/>
      <c r="O2992" s="29"/>
      <c r="P2992" s="37" t="str">
        <f t="shared" si="318"/>
        <v/>
      </c>
      <c r="Q2992" s="38" t="str">
        <f t="shared" si="319"/>
        <v/>
      </c>
      <c r="R2992" s="37" t="str">
        <f t="shared" si="320"/>
        <v/>
      </c>
      <c r="S2992" s="37" t="str">
        <f t="shared" si="321"/>
        <v/>
      </c>
      <c r="T2992" s="38" t="str">
        <f t="shared" si="322"/>
        <v/>
      </c>
      <c r="U2992" s="37" t="str">
        <f t="shared" si="323"/>
        <v/>
      </c>
    </row>
    <row r="2993" spans="2:21" ht="17.25">
      <c r="B2993" s="156"/>
      <c r="C2993" s="156"/>
      <c r="D2993" s="157"/>
      <c r="E2993" s="155"/>
      <c r="F2993" s="151"/>
      <c r="G2993" s="152"/>
      <c r="H2993" s="153"/>
      <c r="I2993" s="154"/>
      <c r="J2993" s="154"/>
      <c r="K2993" s="30" t="str">
        <f>IF(H2993="","",IF($C$30="간이법","",FPR(H2993,I2993,J2993)))</f>
        <v/>
      </c>
      <c r="L2993" s="30" t="str">
        <f>IF(H2993="","",IF($C$30="상세법",FPV(H2993,K2993),IF(H2993="EI",4,IF(H2993="EO",5.2,IF(H2993="EQ",3.9,IF(H2993="ILF",7.5,IF(H2993="EIF",5.4)))))))</f>
        <v/>
      </c>
      <c r="M2993" s="30" t="str">
        <f t="shared" si="317"/>
        <v/>
      </c>
      <c r="N2993" s="134"/>
      <c r="O2993" s="29"/>
      <c r="P2993" s="37" t="str">
        <f t="shared" si="318"/>
        <v/>
      </c>
      <c r="Q2993" s="38" t="str">
        <f t="shared" si="319"/>
        <v/>
      </c>
      <c r="R2993" s="37" t="str">
        <f t="shared" si="320"/>
        <v/>
      </c>
      <c r="S2993" s="37" t="str">
        <f t="shared" si="321"/>
        <v/>
      </c>
      <c r="T2993" s="38" t="str">
        <f t="shared" si="322"/>
        <v/>
      </c>
      <c r="U2993" s="37" t="str">
        <f t="shared" si="323"/>
        <v/>
      </c>
    </row>
    <row r="2994" spans="2:21" ht="17.25">
      <c r="B2994" s="156"/>
      <c r="C2994" s="156"/>
      <c r="D2994" s="157"/>
      <c r="E2994" s="155"/>
      <c r="F2994" s="151"/>
      <c r="G2994" s="152"/>
      <c r="H2994" s="153"/>
      <c r="I2994" s="154"/>
      <c r="J2994" s="154"/>
      <c r="K2994" s="30" t="str">
        <f>IF(H2994="","",IF($C$30="간이법","",FPR(H2994,I2994,J2994)))</f>
        <v/>
      </c>
      <c r="L2994" s="30" t="str">
        <f>IF(H2994="","",IF($C$30="상세법",FPV(H2994,K2994),IF(H2994="EI",4,IF(H2994="EO",5.2,IF(H2994="EQ",3.9,IF(H2994="ILF",7.5,IF(H2994="EIF",5.4)))))))</f>
        <v/>
      </c>
      <c r="M2994" s="30" t="str">
        <f t="shared" si="317"/>
        <v/>
      </c>
      <c r="N2994" s="134"/>
      <c r="O2994" s="29"/>
      <c r="P2994" s="37" t="str">
        <f t="shared" si="318"/>
        <v/>
      </c>
      <c r="Q2994" s="38" t="str">
        <f t="shared" si="319"/>
        <v/>
      </c>
      <c r="R2994" s="37" t="str">
        <f t="shared" si="320"/>
        <v/>
      </c>
      <c r="S2994" s="37" t="str">
        <f t="shared" si="321"/>
        <v/>
      </c>
      <c r="T2994" s="38" t="str">
        <f t="shared" si="322"/>
        <v/>
      </c>
      <c r="U2994" s="37" t="str">
        <f t="shared" si="323"/>
        <v/>
      </c>
    </row>
    <row r="2995" spans="2:21" ht="17.25">
      <c r="B2995" s="156"/>
      <c r="C2995" s="156"/>
      <c r="D2995" s="157"/>
      <c r="E2995" s="155"/>
      <c r="F2995" s="151"/>
      <c r="G2995" s="152"/>
      <c r="H2995" s="153"/>
      <c r="I2995" s="154"/>
      <c r="J2995" s="154"/>
      <c r="K2995" s="30" t="str">
        <f>IF(H2995="","",IF($C$30="간이법","",FPR(H2995,I2995,J2995)))</f>
        <v/>
      </c>
      <c r="L2995" s="30" t="str">
        <f>IF(H2995="","",IF($C$30="상세법",FPV(H2995,K2995),IF(H2995="EI",4,IF(H2995="EO",5.2,IF(H2995="EQ",3.9,IF(H2995="ILF",7.5,IF(H2995="EIF",5.4)))))))</f>
        <v/>
      </c>
      <c r="M2995" s="30" t="str">
        <f t="shared" si="317"/>
        <v/>
      </c>
      <c r="N2995" s="134"/>
      <c r="O2995" s="29"/>
      <c r="P2995" s="37" t="str">
        <f t="shared" si="318"/>
        <v/>
      </c>
      <c r="Q2995" s="38" t="str">
        <f t="shared" si="319"/>
        <v/>
      </c>
      <c r="R2995" s="37" t="str">
        <f t="shared" si="320"/>
        <v/>
      </c>
      <c r="S2995" s="37" t="str">
        <f t="shared" si="321"/>
        <v/>
      </c>
      <c r="T2995" s="38" t="str">
        <f t="shared" si="322"/>
        <v/>
      </c>
      <c r="U2995" s="37" t="str">
        <f t="shared" si="323"/>
        <v/>
      </c>
    </row>
    <row r="2996" spans="2:21" ht="17.25">
      <c r="B2996" s="156"/>
      <c r="C2996" s="156"/>
      <c r="D2996" s="157"/>
      <c r="E2996" s="155"/>
      <c r="F2996" s="151"/>
      <c r="G2996" s="152"/>
      <c r="H2996" s="153"/>
      <c r="I2996" s="154"/>
      <c r="J2996" s="154"/>
      <c r="K2996" s="30" t="str">
        <f>IF(H2996="","",IF($C$30="간이법","",FPR(H2996,I2996,J2996)))</f>
        <v/>
      </c>
      <c r="L2996" s="30" t="str">
        <f>IF(H2996="","",IF($C$30="상세법",FPV(H2996,K2996),IF(H2996="EI",4,IF(H2996="EO",5.2,IF(H2996="EQ",3.9,IF(H2996="ILF",7.5,IF(H2996="EIF",5.4)))))))</f>
        <v/>
      </c>
      <c r="M2996" s="30" t="str">
        <f t="shared" si="317"/>
        <v/>
      </c>
      <c r="N2996" s="134"/>
      <c r="O2996" s="29"/>
      <c r="P2996" s="37" t="str">
        <f t="shared" si="318"/>
        <v/>
      </c>
      <c r="Q2996" s="38" t="str">
        <f t="shared" si="319"/>
        <v/>
      </c>
      <c r="R2996" s="37" t="str">
        <f t="shared" si="320"/>
        <v/>
      </c>
      <c r="S2996" s="37" t="str">
        <f t="shared" si="321"/>
        <v/>
      </c>
      <c r="T2996" s="38" t="str">
        <f t="shared" si="322"/>
        <v/>
      </c>
      <c r="U2996" s="37" t="str">
        <f t="shared" si="323"/>
        <v/>
      </c>
    </row>
    <row r="2997" spans="2:21" ht="17.25">
      <c r="B2997" s="156"/>
      <c r="C2997" s="156"/>
      <c r="D2997" s="157"/>
      <c r="E2997" s="155"/>
      <c r="F2997" s="151"/>
      <c r="G2997" s="152"/>
      <c r="H2997" s="153"/>
      <c r="I2997" s="154"/>
      <c r="J2997" s="154"/>
      <c r="K2997" s="30" t="str">
        <f>IF(H2997="","",IF($C$30="간이법","",FPR(H2997,I2997,J2997)))</f>
        <v/>
      </c>
      <c r="L2997" s="30" t="str">
        <f>IF(H2997="","",IF($C$30="상세법",FPV(H2997,K2997),IF(H2997="EI",4,IF(H2997="EO",5.2,IF(H2997="EQ",3.9,IF(H2997="ILF",7.5,IF(H2997="EIF",5.4)))))))</f>
        <v/>
      </c>
      <c r="M2997" s="30" t="str">
        <f t="shared" si="317"/>
        <v/>
      </c>
      <c r="N2997" s="134"/>
      <c r="O2997" s="29"/>
      <c r="P2997" s="37" t="str">
        <f t="shared" si="318"/>
        <v/>
      </c>
      <c r="Q2997" s="38" t="str">
        <f t="shared" si="319"/>
        <v/>
      </c>
      <c r="R2997" s="37" t="str">
        <f t="shared" si="320"/>
        <v/>
      </c>
      <c r="S2997" s="37" t="str">
        <f t="shared" si="321"/>
        <v/>
      </c>
      <c r="T2997" s="38" t="str">
        <f t="shared" si="322"/>
        <v/>
      </c>
      <c r="U2997" s="37" t="str">
        <f t="shared" si="323"/>
        <v/>
      </c>
    </row>
    <row r="2998" spans="2:21" ht="17.25">
      <c r="B2998" s="156"/>
      <c r="C2998" s="156"/>
      <c r="D2998" s="157"/>
      <c r="E2998" s="155"/>
      <c r="F2998" s="151"/>
      <c r="G2998" s="152"/>
      <c r="H2998" s="153"/>
      <c r="I2998" s="154"/>
      <c r="J2998" s="154"/>
      <c r="K2998" s="30" t="str">
        <f>IF(H2998="","",IF($C$30="간이법","",FPR(H2998,I2998,J2998)))</f>
        <v/>
      </c>
      <c r="L2998" s="30" t="str">
        <f>IF(H2998="","",IF($C$30="상세법",FPV(H2998,K2998),IF(H2998="EI",4,IF(H2998="EO",5.2,IF(H2998="EQ",3.9,IF(H2998="ILF",7.5,IF(H2998="EIF",5.4)))))))</f>
        <v/>
      </c>
      <c r="M2998" s="30" t="str">
        <f t="shared" si="317"/>
        <v/>
      </c>
      <c r="N2998" s="134"/>
      <c r="O2998" s="29"/>
      <c r="P2998" s="37" t="str">
        <f t="shared" si="318"/>
        <v/>
      </c>
      <c r="Q2998" s="38" t="str">
        <f t="shared" si="319"/>
        <v/>
      </c>
      <c r="R2998" s="37" t="str">
        <f t="shared" si="320"/>
        <v/>
      </c>
      <c r="S2998" s="37" t="str">
        <f t="shared" si="321"/>
        <v/>
      </c>
      <c r="T2998" s="38" t="str">
        <f t="shared" si="322"/>
        <v/>
      </c>
      <c r="U2998" s="37" t="str">
        <f t="shared" si="323"/>
        <v/>
      </c>
    </row>
    <row r="2999" spans="2:21" ht="17.25">
      <c r="B2999" s="156"/>
      <c r="C2999" s="156"/>
      <c r="D2999" s="157"/>
      <c r="E2999" s="155"/>
      <c r="F2999" s="151"/>
      <c r="G2999" s="152"/>
      <c r="H2999" s="153"/>
      <c r="I2999" s="154"/>
      <c r="J2999" s="154"/>
      <c r="K2999" s="30" t="str">
        <f>IF(H2999="","",IF($C$30="간이법","",FPR(H2999,I2999,J2999)))</f>
        <v/>
      </c>
      <c r="L2999" s="30" t="str">
        <f>IF(H2999="","",IF($C$30="상세법",FPV(H2999,K2999),IF(H2999="EI",4,IF(H2999="EO",5.2,IF(H2999="EQ",3.9,IF(H2999="ILF",7.5,IF(H2999="EIF",5.4)))))))</f>
        <v/>
      </c>
      <c r="M2999" s="30" t="str">
        <f t="shared" si="317"/>
        <v/>
      </c>
      <c r="N2999" s="134"/>
      <c r="O2999" s="29"/>
      <c r="P2999" s="37" t="str">
        <f t="shared" si="318"/>
        <v/>
      </c>
      <c r="Q2999" s="38" t="str">
        <f t="shared" si="319"/>
        <v/>
      </c>
      <c r="R2999" s="37" t="str">
        <f t="shared" si="320"/>
        <v/>
      </c>
      <c r="S2999" s="37" t="str">
        <f t="shared" si="321"/>
        <v/>
      </c>
      <c r="T2999" s="38" t="str">
        <f t="shared" si="322"/>
        <v/>
      </c>
      <c r="U2999" s="37" t="str">
        <f t="shared" si="323"/>
        <v/>
      </c>
    </row>
    <row r="3000" spans="2:21" ht="17.25">
      <c r="B3000" s="156"/>
      <c r="C3000" s="156"/>
      <c r="D3000" s="157"/>
      <c r="E3000" s="155"/>
      <c r="F3000" s="151"/>
      <c r="G3000" s="152"/>
      <c r="H3000" s="153"/>
      <c r="I3000" s="154"/>
      <c r="J3000" s="154"/>
      <c r="K3000" s="30" t="str">
        <f>IF(H3000="","",IF($C$30="간이법","",FPR(H3000,I3000,J3000)))</f>
        <v/>
      </c>
      <c r="L3000" s="30" t="str">
        <f>IF(H3000="","",IF($C$30="상세법",FPV(H3000,K3000),IF(H3000="EI",4,IF(H3000="EO",5.2,IF(H3000="EQ",3.9,IF(H3000="ILF",7.5,IF(H3000="EIF",5.4)))))))</f>
        <v/>
      </c>
      <c r="M3000" s="30" t="str">
        <f t="shared" si="317"/>
        <v/>
      </c>
      <c r="N3000" s="134"/>
      <c r="O3000" s="29"/>
      <c r="P3000" s="37" t="str">
        <f t="shared" si="318"/>
        <v/>
      </c>
      <c r="Q3000" s="38" t="str">
        <f t="shared" si="319"/>
        <v/>
      </c>
      <c r="R3000" s="37" t="str">
        <f t="shared" si="320"/>
        <v/>
      </c>
      <c r="S3000" s="37" t="str">
        <f t="shared" si="321"/>
        <v/>
      </c>
      <c r="T3000" s="38" t="str">
        <f t="shared" si="322"/>
        <v/>
      </c>
      <c r="U3000" s="37" t="str">
        <f t="shared" si="323"/>
        <v/>
      </c>
    </row>
    <row r="3001" spans="2:21" ht="17.25">
      <c r="B3001" s="156"/>
      <c r="C3001" s="156"/>
      <c r="D3001" s="157"/>
      <c r="E3001" s="155"/>
      <c r="F3001" s="151"/>
      <c r="G3001" s="152"/>
      <c r="H3001" s="153"/>
      <c r="I3001" s="154"/>
      <c r="J3001" s="154"/>
      <c r="K3001" s="30" t="str">
        <f>IF(H3001="","",IF($C$30="간이법","",FPR(H3001,I3001,J3001)))</f>
        <v/>
      </c>
      <c r="L3001" s="30" t="str">
        <f>IF(H3001="","",IF($C$30="상세법",FPV(H3001,K3001),IF(H3001="EI",4,IF(H3001="EO",5.2,IF(H3001="EQ",3.9,IF(H3001="ILF",7.5,IF(H3001="EIF",5.4)))))))</f>
        <v/>
      </c>
      <c r="M3001" s="30" t="str">
        <f t="shared" si="317"/>
        <v/>
      </c>
      <c r="N3001" s="134"/>
      <c r="O3001" s="29"/>
      <c r="P3001" s="37" t="str">
        <f t="shared" si="318"/>
        <v/>
      </c>
      <c r="Q3001" s="38" t="str">
        <f t="shared" si="319"/>
        <v/>
      </c>
      <c r="R3001" s="37" t="str">
        <f t="shared" si="320"/>
        <v/>
      </c>
      <c r="S3001" s="37" t="str">
        <f t="shared" si="321"/>
        <v/>
      </c>
      <c r="T3001" s="38" t="str">
        <f t="shared" si="322"/>
        <v/>
      </c>
      <c r="U3001" s="37" t="str">
        <f t="shared" si="323"/>
        <v/>
      </c>
    </row>
    <row r="3002" spans="2:21" ht="17.25">
      <c r="B3002" s="156"/>
      <c r="C3002" s="156"/>
      <c r="D3002" s="157"/>
      <c r="E3002" s="155"/>
      <c r="F3002" s="151"/>
      <c r="G3002" s="152"/>
      <c r="H3002" s="153"/>
      <c r="I3002" s="154"/>
      <c r="J3002" s="154"/>
      <c r="K3002" s="30" t="str">
        <f>IF(H3002="","",IF($C$30="간이법","",FPR(H3002,I3002,J3002)))</f>
        <v/>
      </c>
      <c r="L3002" s="30" t="str">
        <f>IF(H3002="","",IF($C$30="상세법",FPV(H3002,K3002),IF(H3002="EI",4,IF(H3002="EO",5.2,IF(H3002="EQ",3.9,IF(H3002="ILF",7.5,IF(H3002="EIF",5.4)))))))</f>
        <v/>
      </c>
      <c r="M3002" s="30" t="str">
        <f t="shared" si="317"/>
        <v/>
      </c>
      <c r="N3002" s="134"/>
      <c r="O3002" s="29"/>
      <c r="P3002" s="37" t="str">
        <f t="shared" si="318"/>
        <v/>
      </c>
      <c r="Q3002" s="38" t="str">
        <f t="shared" si="319"/>
        <v/>
      </c>
      <c r="R3002" s="37" t="str">
        <f t="shared" si="320"/>
        <v/>
      </c>
      <c r="S3002" s="37" t="str">
        <f t="shared" si="321"/>
        <v/>
      </c>
      <c r="T3002" s="38" t="str">
        <f t="shared" si="322"/>
        <v/>
      </c>
      <c r="U3002" s="37" t="str">
        <f t="shared" si="323"/>
        <v/>
      </c>
    </row>
    <row r="3003" spans="2:21" ht="17.25">
      <c r="B3003" s="156"/>
      <c r="C3003" s="156"/>
      <c r="D3003" s="157"/>
      <c r="E3003" s="155"/>
      <c r="F3003" s="151"/>
      <c r="G3003" s="152"/>
      <c r="H3003" s="153"/>
      <c r="I3003" s="154"/>
      <c r="J3003" s="154"/>
      <c r="K3003" s="30" t="str">
        <f>IF(H3003="","",IF($C$30="간이법","",FPR(H3003,I3003,J3003)))</f>
        <v/>
      </c>
      <c r="L3003" s="30" t="str">
        <f>IF(H3003="","",IF($C$30="상세법",FPV(H3003,K3003),IF(H3003="EI",4,IF(H3003="EO",5.2,IF(H3003="EQ",3.9,IF(H3003="ILF",7.5,IF(H3003="EIF",5.4)))))))</f>
        <v/>
      </c>
      <c r="M3003" s="30" t="str">
        <f t="shared" si="317"/>
        <v/>
      </c>
      <c r="N3003" s="134"/>
      <c r="O3003" s="29"/>
      <c r="P3003" s="37" t="str">
        <f t="shared" si="318"/>
        <v/>
      </c>
      <c r="Q3003" s="38" t="str">
        <f t="shared" si="319"/>
        <v/>
      </c>
      <c r="R3003" s="37" t="str">
        <f t="shared" si="320"/>
        <v/>
      </c>
      <c r="S3003" s="37" t="str">
        <f t="shared" si="321"/>
        <v/>
      </c>
      <c r="T3003" s="38" t="str">
        <f t="shared" si="322"/>
        <v/>
      </c>
      <c r="U3003" s="37" t="str">
        <f t="shared" si="323"/>
        <v/>
      </c>
    </row>
    <row r="3004" spans="2:21" ht="17.25">
      <c r="B3004" s="156"/>
      <c r="C3004" s="156"/>
      <c r="D3004" s="157"/>
      <c r="E3004" s="155"/>
      <c r="F3004" s="151"/>
      <c r="G3004" s="152"/>
      <c r="H3004" s="153"/>
      <c r="I3004" s="154"/>
      <c r="J3004" s="154"/>
      <c r="K3004" s="30" t="str">
        <f>IF(H3004="","",IF($C$30="간이법","",FPR(H3004,I3004,J3004)))</f>
        <v/>
      </c>
      <c r="L3004" s="30" t="str">
        <f>IF(H3004="","",IF($C$30="상세법",FPV(H3004,K3004),IF(H3004="EI",4,IF(H3004="EO",5.2,IF(H3004="EQ",3.9,IF(H3004="ILF",7.5,IF(H3004="EIF",5.4)))))))</f>
        <v/>
      </c>
      <c r="M3004" s="30" t="str">
        <f t="shared" ref="M3004:M3067" si="324">IF(OR(G3004="",$E$36="(선택)",$E$40="(선택)",$E$41="(선택)",F3004="신규 개발",F3004="수정 없이 재사용"),"",(IF(F3004="수정 후 재사용",IF($E$50&lt;=0.5,L3004*($E$36+$E$50*100*(1+0.02*($E$40*$E$41)))/100,L3004*($E$36+$E$50*100+($E$40*$E$41))/100))))</f>
        <v/>
      </c>
      <c r="N3004" s="134"/>
      <c r="O3004" s="29"/>
      <c r="P3004" s="37" t="str">
        <f t="shared" ref="P3004:P3067" si="325">IF(F3004="수정 후 재사용",IF(H3004="ILF",G3004,IF(H3004="EIF",G3004,"")),"")</f>
        <v/>
      </c>
      <c r="Q3004" s="38" t="str">
        <f t="shared" ref="Q3004:Q3067" si="326">IF(P3004&lt;&gt;"",IF(H3004="ILF", L3004/$E$46,IF(H3004="EIF", L3004/$E$46,"")),"")</f>
        <v/>
      </c>
      <c r="R3004" s="37" t="str">
        <f t="shared" ref="R3004:R3067" si="327">IF(P3004&lt;&gt;"",P3004*Q3004,"")</f>
        <v/>
      </c>
      <c r="S3004" s="37" t="str">
        <f t="shared" ref="S3004:S3067" si="328">IF(F3004="수정 후 재사용",IF(H3004="EI",G3004,IF(H3004="EO",G3004,IF(H3004="EQ",G3004,""))),"")</f>
        <v/>
      </c>
      <c r="T3004" s="38" t="str">
        <f t="shared" ref="T3004:T3067" si="329">IF(S3004&lt;&gt;"",IF(H3004="EI",L3004/$E$47,IF(H3004="EO",L3004/$E$47,IF(H3004="EQ",L3004/$E$47,""))),"")</f>
        <v/>
      </c>
      <c r="U3004" s="37" t="str">
        <f t="shared" ref="U3004:U3067" si="330">IF(S3004&lt;&gt;"",S3004*T3004,"")</f>
        <v/>
      </c>
    </row>
    <row r="3005" spans="2:21" ht="17.25">
      <c r="B3005" s="156"/>
      <c r="C3005" s="156"/>
      <c r="D3005" s="157"/>
      <c r="E3005" s="155"/>
      <c r="F3005" s="151"/>
      <c r="G3005" s="152"/>
      <c r="H3005" s="153"/>
      <c r="I3005" s="154"/>
      <c r="J3005" s="154"/>
      <c r="K3005" s="30" t="str">
        <f>IF(H3005="","",IF($C$30="간이법","",FPR(H3005,I3005,J3005)))</f>
        <v/>
      </c>
      <c r="L3005" s="30" t="str">
        <f>IF(H3005="","",IF($C$30="상세법",FPV(H3005,K3005),IF(H3005="EI",4,IF(H3005="EO",5.2,IF(H3005="EQ",3.9,IF(H3005="ILF",7.5,IF(H3005="EIF",5.4)))))))</f>
        <v/>
      </c>
      <c r="M3005" s="30" t="str">
        <f t="shared" si="324"/>
        <v/>
      </c>
      <c r="N3005" s="134"/>
      <c r="O3005" s="29"/>
      <c r="P3005" s="37" t="str">
        <f t="shared" si="325"/>
        <v/>
      </c>
      <c r="Q3005" s="38" t="str">
        <f t="shared" si="326"/>
        <v/>
      </c>
      <c r="R3005" s="37" t="str">
        <f t="shared" si="327"/>
        <v/>
      </c>
      <c r="S3005" s="37" t="str">
        <f t="shared" si="328"/>
        <v/>
      </c>
      <c r="T3005" s="38" t="str">
        <f t="shared" si="329"/>
        <v/>
      </c>
      <c r="U3005" s="37" t="str">
        <f t="shared" si="330"/>
        <v/>
      </c>
    </row>
    <row r="3006" spans="2:21" ht="17.25">
      <c r="B3006" s="156"/>
      <c r="C3006" s="156"/>
      <c r="D3006" s="157"/>
      <c r="E3006" s="155"/>
      <c r="F3006" s="151"/>
      <c r="G3006" s="152"/>
      <c r="H3006" s="153"/>
      <c r="I3006" s="154"/>
      <c r="J3006" s="154"/>
      <c r="K3006" s="30" t="str">
        <f>IF(H3006="","",IF($C$30="간이법","",FPR(H3006,I3006,J3006)))</f>
        <v/>
      </c>
      <c r="L3006" s="30" t="str">
        <f>IF(H3006="","",IF($C$30="상세법",FPV(H3006,K3006),IF(H3006="EI",4,IF(H3006="EO",5.2,IF(H3006="EQ",3.9,IF(H3006="ILF",7.5,IF(H3006="EIF",5.4)))))))</f>
        <v/>
      </c>
      <c r="M3006" s="30" t="str">
        <f t="shared" si="324"/>
        <v/>
      </c>
      <c r="N3006" s="134"/>
      <c r="O3006" s="29"/>
      <c r="P3006" s="37" t="str">
        <f t="shared" si="325"/>
        <v/>
      </c>
      <c r="Q3006" s="38" t="str">
        <f t="shared" si="326"/>
        <v/>
      </c>
      <c r="R3006" s="37" t="str">
        <f t="shared" si="327"/>
        <v/>
      </c>
      <c r="S3006" s="37" t="str">
        <f t="shared" si="328"/>
        <v/>
      </c>
      <c r="T3006" s="38" t="str">
        <f t="shared" si="329"/>
        <v/>
      </c>
      <c r="U3006" s="37" t="str">
        <f t="shared" si="330"/>
        <v/>
      </c>
    </row>
    <row r="3007" spans="2:21" ht="17.25">
      <c r="B3007" s="156"/>
      <c r="C3007" s="156"/>
      <c r="D3007" s="157"/>
      <c r="E3007" s="155"/>
      <c r="F3007" s="151"/>
      <c r="G3007" s="152"/>
      <c r="H3007" s="153"/>
      <c r="I3007" s="154"/>
      <c r="J3007" s="154"/>
      <c r="K3007" s="30" t="str">
        <f>IF(H3007="","",IF($C$30="간이법","",FPR(H3007,I3007,J3007)))</f>
        <v/>
      </c>
      <c r="L3007" s="30" t="str">
        <f>IF(H3007="","",IF($C$30="상세법",FPV(H3007,K3007),IF(H3007="EI",4,IF(H3007="EO",5.2,IF(H3007="EQ",3.9,IF(H3007="ILF",7.5,IF(H3007="EIF",5.4)))))))</f>
        <v/>
      </c>
      <c r="M3007" s="30" t="str">
        <f t="shared" si="324"/>
        <v/>
      </c>
      <c r="N3007" s="134"/>
      <c r="O3007" s="29"/>
      <c r="P3007" s="37" t="str">
        <f t="shared" si="325"/>
        <v/>
      </c>
      <c r="Q3007" s="38" t="str">
        <f t="shared" si="326"/>
        <v/>
      </c>
      <c r="R3007" s="37" t="str">
        <f t="shared" si="327"/>
        <v/>
      </c>
      <c r="S3007" s="37" t="str">
        <f t="shared" si="328"/>
        <v/>
      </c>
      <c r="T3007" s="38" t="str">
        <f t="shared" si="329"/>
        <v/>
      </c>
      <c r="U3007" s="37" t="str">
        <f t="shared" si="330"/>
        <v/>
      </c>
    </row>
    <row r="3008" spans="2:21" ht="17.25">
      <c r="B3008" s="156"/>
      <c r="C3008" s="156"/>
      <c r="D3008" s="157"/>
      <c r="E3008" s="155"/>
      <c r="F3008" s="151"/>
      <c r="G3008" s="152"/>
      <c r="H3008" s="153"/>
      <c r="I3008" s="154"/>
      <c r="J3008" s="154"/>
      <c r="K3008" s="30" t="str">
        <f>IF(H3008="","",IF($C$30="간이법","",FPR(H3008,I3008,J3008)))</f>
        <v/>
      </c>
      <c r="L3008" s="30" t="str">
        <f>IF(H3008="","",IF($C$30="상세법",FPV(H3008,K3008),IF(H3008="EI",4,IF(H3008="EO",5.2,IF(H3008="EQ",3.9,IF(H3008="ILF",7.5,IF(H3008="EIF",5.4)))))))</f>
        <v/>
      </c>
      <c r="M3008" s="30" t="str">
        <f t="shared" si="324"/>
        <v/>
      </c>
      <c r="N3008" s="134"/>
      <c r="O3008" s="29"/>
      <c r="P3008" s="37" t="str">
        <f t="shared" si="325"/>
        <v/>
      </c>
      <c r="Q3008" s="38" t="str">
        <f t="shared" si="326"/>
        <v/>
      </c>
      <c r="R3008" s="37" t="str">
        <f t="shared" si="327"/>
        <v/>
      </c>
      <c r="S3008" s="37" t="str">
        <f t="shared" si="328"/>
        <v/>
      </c>
      <c r="T3008" s="38" t="str">
        <f t="shared" si="329"/>
        <v/>
      </c>
      <c r="U3008" s="37" t="str">
        <f t="shared" si="330"/>
        <v/>
      </c>
    </row>
    <row r="3009" spans="2:21" ht="17.25">
      <c r="B3009" s="156"/>
      <c r="C3009" s="156"/>
      <c r="D3009" s="157"/>
      <c r="E3009" s="155"/>
      <c r="F3009" s="151"/>
      <c r="G3009" s="152"/>
      <c r="H3009" s="153"/>
      <c r="I3009" s="154"/>
      <c r="J3009" s="154"/>
      <c r="K3009" s="30" t="str">
        <f>IF(H3009="","",IF($C$30="간이법","",FPR(H3009,I3009,J3009)))</f>
        <v/>
      </c>
      <c r="L3009" s="30" t="str">
        <f>IF(H3009="","",IF($C$30="상세법",FPV(H3009,K3009),IF(H3009="EI",4,IF(H3009="EO",5.2,IF(H3009="EQ",3.9,IF(H3009="ILF",7.5,IF(H3009="EIF",5.4)))))))</f>
        <v/>
      </c>
      <c r="M3009" s="30" t="str">
        <f t="shared" si="324"/>
        <v/>
      </c>
      <c r="N3009" s="134"/>
      <c r="O3009" s="29"/>
      <c r="P3009" s="37" t="str">
        <f t="shared" si="325"/>
        <v/>
      </c>
      <c r="Q3009" s="38" t="str">
        <f t="shared" si="326"/>
        <v/>
      </c>
      <c r="R3009" s="37" t="str">
        <f t="shared" si="327"/>
        <v/>
      </c>
      <c r="S3009" s="37" t="str">
        <f t="shared" si="328"/>
        <v/>
      </c>
      <c r="T3009" s="38" t="str">
        <f t="shared" si="329"/>
        <v/>
      </c>
      <c r="U3009" s="37" t="str">
        <f t="shared" si="330"/>
        <v/>
      </c>
    </row>
    <row r="3010" spans="2:21" ht="17.25">
      <c r="B3010" s="156"/>
      <c r="C3010" s="156"/>
      <c r="D3010" s="157"/>
      <c r="E3010" s="155"/>
      <c r="F3010" s="151"/>
      <c r="G3010" s="152"/>
      <c r="H3010" s="153"/>
      <c r="I3010" s="154"/>
      <c r="J3010" s="154"/>
      <c r="K3010" s="30" t="str">
        <f>IF(H3010="","",IF($C$30="간이법","",FPR(H3010,I3010,J3010)))</f>
        <v/>
      </c>
      <c r="L3010" s="30" t="str">
        <f>IF(H3010="","",IF($C$30="상세법",FPV(H3010,K3010),IF(H3010="EI",4,IF(H3010="EO",5.2,IF(H3010="EQ",3.9,IF(H3010="ILF",7.5,IF(H3010="EIF",5.4)))))))</f>
        <v/>
      </c>
      <c r="M3010" s="30" t="str">
        <f t="shared" si="324"/>
        <v/>
      </c>
      <c r="N3010" s="134"/>
      <c r="O3010" s="29"/>
      <c r="P3010" s="37" t="str">
        <f t="shared" si="325"/>
        <v/>
      </c>
      <c r="Q3010" s="38" t="str">
        <f t="shared" si="326"/>
        <v/>
      </c>
      <c r="R3010" s="37" t="str">
        <f t="shared" si="327"/>
        <v/>
      </c>
      <c r="S3010" s="37" t="str">
        <f t="shared" si="328"/>
        <v/>
      </c>
      <c r="T3010" s="38" t="str">
        <f t="shared" si="329"/>
        <v/>
      </c>
      <c r="U3010" s="37" t="str">
        <f t="shared" si="330"/>
        <v/>
      </c>
    </row>
    <row r="3011" spans="2:21" ht="17.25">
      <c r="B3011" s="156"/>
      <c r="C3011" s="156"/>
      <c r="D3011" s="157"/>
      <c r="E3011" s="155"/>
      <c r="F3011" s="151"/>
      <c r="G3011" s="152"/>
      <c r="H3011" s="153"/>
      <c r="I3011" s="154"/>
      <c r="J3011" s="154"/>
      <c r="K3011" s="30" t="str">
        <f>IF(H3011="","",IF($C$30="간이법","",FPR(H3011,I3011,J3011)))</f>
        <v/>
      </c>
      <c r="L3011" s="30" t="str">
        <f>IF(H3011="","",IF($C$30="상세법",FPV(H3011,K3011),IF(H3011="EI",4,IF(H3011="EO",5.2,IF(H3011="EQ",3.9,IF(H3011="ILF",7.5,IF(H3011="EIF",5.4)))))))</f>
        <v/>
      </c>
      <c r="M3011" s="30" t="str">
        <f t="shared" si="324"/>
        <v/>
      </c>
      <c r="N3011" s="134"/>
      <c r="O3011" s="29"/>
      <c r="P3011" s="37" t="str">
        <f t="shared" si="325"/>
        <v/>
      </c>
      <c r="Q3011" s="38" t="str">
        <f t="shared" si="326"/>
        <v/>
      </c>
      <c r="R3011" s="37" t="str">
        <f t="shared" si="327"/>
        <v/>
      </c>
      <c r="S3011" s="37" t="str">
        <f t="shared" si="328"/>
        <v/>
      </c>
      <c r="T3011" s="38" t="str">
        <f t="shared" si="329"/>
        <v/>
      </c>
      <c r="U3011" s="37" t="str">
        <f t="shared" si="330"/>
        <v/>
      </c>
    </row>
    <row r="3012" spans="2:21" ht="17.25">
      <c r="B3012" s="156"/>
      <c r="C3012" s="156"/>
      <c r="D3012" s="157"/>
      <c r="E3012" s="155"/>
      <c r="F3012" s="151"/>
      <c r="G3012" s="152"/>
      <c r="H3012" s="153"/>
      <c r="I3012" s="154"/>
      <c r="J3012" s="154"/>
      <c r="K3012" s="30" t="str">
        <f>IF(H3012="","",IF($C$30="간이법","",FPR(H3012,I3012,J3012)))</f>
        <v/>
      </c>
      <c r="L3012" s="30" t="str">
        <f>IF(H3012="","",IF($C$30="상세법",FPV(H3012,K3012),IF(H3012="EI",4,IF(H3012="EO",5.2,IF(H3012="EQ",3.9,IF(H3012="ILF",7.5,IF(H3012="EIF",5.4)))))))</f>
        <v/>
      </c>
      <c r="M3012" s="30" t="str">
        <f t="shared" si="324"/>
        <v/>
      </c>
      <c r="N3012" s="134"/>
      <c r="O3012" s="29"/>
      <c r="P3012" s="37" t="str">
        <f t="shared" si="325"/>
        <v/>
      </c>
      <c r="Q3012" s="38" t="str">
        <f t="shared" si="326"/>
        <v/>
      </c>
      <c r="R3012" s="37" t="str">
        <f t="shared" si="327"/>
        <v/>
      </c>
      <c r="S3012" s="37" t="str">
        <f t="shared" si="328"/>
        <v/>
      </c>
      <c r="T3012" s="38" t="str">
        <f t="shared" si="329"/>
        <v/>
      </c>
      <c r="U3012" s="37" t="str">
        <f t="shared" si="330"/>
        <v/>
      </c>
    </row>
    <row r="3013" spans="2:21" ht="17.25">
      <c r="B3013" s="156"/>
      <c r="C3013" s="156"/>
      <c r="D3013" s="157"/>
      <c r="E3013" s="155"/>
      <c r="F3013" s="151"/>
      <c r="G3013" s="152"/>
      <c r="H3013" s="153"/>
      <c r="I3013" s="154"/>
      <c r="J3013" s="154"/>
      <c r="K3013" s="30" t="str">
        <f>IF(H3013="","",IF($C$30="간이법","",FPR(H3013,I3013,J3013)))</f>
        <v/>
      </c>
      <c r="L3013" s="30" t="str">
        <f>IF(H3013="","",IF($C$30="상세법",FPV(H3013,K3013),IF(H3013="EI",4,IF(H3013="EO",5.2,IF(H3013="EQ",3.9,IF(H3013="ILF",7.5,IF(H3013="EIF",5.4)))))))</f>
        <v/>
      </c>
      <c r="M3013" s="30" t="str">
        <f t="shared" si="324"/>
        <v/>
      </c>
      <c r="N3013" s="134"/>
      <c r="O3013" s="29"/>
      <c r="P3013" s="37" t="str">
        <f t="shared" si="325"/>
        <v/>
      </c>
      <c r="Q3013" s="38" t="str">
        <f t="shared" si="326"/>
        <v/>
      </c>
      <c r="R3013" s="37" t="str">
        <f t="shared" si="327"/>
        <v/>
      </c>
      <c r="S3013" s="37" t="str">
        <f t="shared" si="328"/>
        <v/>
      </c>
      <c r="T3013" s="38" t="str">
        <f t="shared" si="329"/>
        <v/>
      </c>
      <c r="U3013" s="37" t="str">
        <f t="shared" si="330"/>
        <v/>
      </c>
    </row>
    <row r="3014" spans="2:21" ht="17.25">
      <c r="B3014" s="156"/>
      <c r="C3014" s="156"/>
      <c r="D3014" s="157"/>
      <c r="E3014" s="155"/>
      <c r="F3014" s="151"/>
      <c r="G3014" s="152"/>
      <c r="H3014" s="153"/>
      <c r="I3014" s="154"/>
      <c r="J3014" s="154"/>
      <c r="K3014" s="30" t="str">
        <f>IF(H3014="","",IF($C$30="간이법","",FPR(H3014,I3014,J3014)))</f>
        <v/>
      </c>
      <c r="L3014" s="30" t="str">
        <f>IF(H3014="","",IF($C$30="상세법",FPV(H3014,K3014),IF(H3014="EI",4,IF(H3014="EO",5.2,IF(H3014="EQ",3.9,IF(H3014="ILF",7.5,IF(H3014="EIF",5.4)))))))</f>
        <v/>
      </c>
      <c r="M3014" s="30" t="str">
        <f t="shared" si="324"/>
        <v/>
      </c>
      <c r="N3014" s="134"/>
      <c r="O3014" s="29"/>
      <c r="P3014" s="37" t="str">
        <f t="shared" si="325"/>
        <v/>
      </c>
      <c r="Q3014" s="38" t="str">
        <f t="shared" si="326"/>
        <v/>
      </c>
      <c r="R3014" s="37" t="str">
        <f t="shared" si="327"/>
        <v/>
      </c>
      <c r="S3014" s="37" t="str">
        <f t="shared" si="328"/>
        <v/>
      </c>
      <c r="T3014" s="38" t="str">
        <f t="shared" si="329"/>
        <v/>
      </c>
      <c r="U3014" s="37" t="str">
        <f t="shared" si="330"/>
        <v/>
      </c>
    </row>
    <row r="3015" spans="2:21" ht="17.25">
      <c r="B3015" s="156"/>
      <c r="C3015" s="156"/>
      <c r="D3015" s="157"/>
      <c r="E3015" s="155"/>
      <c r="F3015" s="151"/>
      <c r="G3015" s="152"/>
      <c r="H3015" s="153"/>
      <c r="I3015" s="154"/>
      <c r="J3015" s="154"/>
      <c r="K3015" s="30" t="str">
        <f>IF(H3015="","",IF($C$30="간이법","",FPR(H3015,I3015,J3015)))</f>
        <v/>
      </c>
      <c r="L3015" s="30" t="str">
        <f>IF(H3015="","",IF($C$30="상세법",FPV(H3015,K3015),IF(H3015="EI",4,IF(H3015="EO",5.2,IF(H3015="EQ",3.9,IF(H3015="ILF",7.5,IF(H3015="EIF",5.4)))))))</f>
        <v/>
      </c>
      <c r="M3015" s="30" t="str">
        <f t="shared" si="324"/>
        <v/>
      </c>
      <c r="N3015" s="134"/>
      <c r="O3015" s="29"/>
      <c r="P3015" s="37" t="str">
        <f t="shared" si="325"/>
        <v/>
      </c>
      <c r="Q3015" s="38" t="str">
        <f t="shared" si="326"/>
        <v/>
      </c>
      <c r="R3015" s="37" t="str">
        <f t="shared" si="327"/>
        <v/>
      </c>
      <c r="S3015" s="37" t="str">
        <f t="shared" si="328"/>
        <v/>
      </c>
      <c r="T3015" s="38" t="str">
        <f t="shared" si="329"/>
        <v/>
      </c>
      <c r="U3015" s="37" t="str">
        <f t="shared" si="330"/>
        <v/>
      </c>
    </row>
    <row r="3016" spans="2:21" ht="17.25">
      <c r="B3016" s="156"/>
      <c r="C3016" s="156"/>
      <c r="D3016" s="157"/>
      <c r="E3016" s="155"/>
      <c r="F3016" s="151"/>
      <c r="G3016" s="152"/>
      <c r="H3016" s="153"/>
      <c r="I3016" s="154"/>
      <c r="J3016" s="154"/>
      <c r="K3016" s="30" t="str">
        <f>IF(H3016="","",IF($C$30="간이법","",FPR(H3016,I3016,J3016)))</f>
        <v/>
      </c>
      <c r="L3016" s="30" t="str">
        <f>IF(H3016="","",IF($C$30="상세법",FPV(H3016,K3016),IF(H3016="EI",4,IF(H3016="EO",5.2,IF(H3016="EQ",3.9,IF(H3016="ILF",7.5,IF(H3016="EIF",5.4)))))))</f>
        <v/>
      </c>
      <c r="M3016" s="30" t="str">
        <f t="shared" si="324"/>
        <v/>
      </c>
      <c r="N3016" s="134"/>
      <c r="O3016" s="29"/>
      <c r="P3016" s="37" t="str">
        <f t="shared" si="325"/>
        <v/>
      </c>
      <c r="Q3016" s="38" t="str">
        <f t="shared" si="326"/>
        <v/>
      </c>
      <c r="R3016" s="37" t="str">
        <f t="shared" si="327"/>
        <v/>
      </c>
      <c r="S3016" s="37" t="str">
        <f t="shared" si="328"/>
        <v/>
      </c>
      <c r="T3016" s="38" t="str">
        <f t="shared" si="329"/>
        <v/>
      </c>
      <c r="U3016" s="37" t="str">
        <f t="shared" si="330"/>
        <v/>
      </c>
    </row>
    <row r="3017" spans="2:21" ht="17.25">
      <c r="B3017" s="156"/>
      <c r="C3017" s="156"/>
      <c r="D3017" s="157"/>
      <c r="E3017" s="155"/>
      <c r="F3017" s="151"/>
      <c r="G3017" s="152"/>
      <c r="H3017" s="153"/>
      <c r="I3017" s="154"/>
      <c r="J3017" s="154"/>
      <c r="K3017" s="30" t="str">
        <f>IF(H3017="","",IF($C$30="간이법","",FPR(H3017,I3017,J3017)))</f>
        <v/>
      </c>
      <c r="L3017" s="30" t="str">
        <f>IF(H3017="","",IF($C$30="상세법",FPV(H3017,K3017),IF(H3017="EI",4,IF(H3017="EO",5.2,IF(H3017="EQ",3.9,IF(H3017="ILF",7.5,IF(H3017="EIF",5.4)))))))</f>
        <v/>
      </c>
      <c r="M3017" s="30" t="str">
        <f t="shared" si="324"/>
        <v/>
      </c>
      <c r="N3017" s="134"/>
      <c r="O3017" s="29"/>
      <c r="P3017" s="37" t="str">
        <f t="shared" si="325"/>
        <v/>
      </c>
      <c r="Q3017" s="38" t="str">
        <f t="shared" si="326"/>
        <v/>
      </c>
      <c r="R3017" s="37" t="str">
        <f t="shared" si="327"/>
        <v/>
      </c>
      <c r="S3017" s="37" t="str">
        <f t="shared" si="328"/>
        <v/>
      </c>
      <c r="T3017" s="38" t="str">
        <f t="shared" si="329"/>
        <v/>
      </c>
      <c r="U3017" s="37" t="str">
        <f t="shared" si="330"/>
        <v/>
      </c>
    </row>
    <row r="3018" spans="2:21" ht="17.25">
      <c r="B3018" s="156"/>
      <c r="C3018" s="156"/>
      <c r="D3018" s="157"/>
      <c r="E3018" s="155"/>
      <c r="F3018" s="151"/>
      <c r="G3018" s="152"/>
      <c r="H3018" s="153"/>
      <c r="I3018" s="154"/>
      <c r="J3018" s="154"/>
      <c r="K3018" s="30" t="str">
        <f>IF(H3018="","",IF($C$30="간이법","",FPR(H3018,I3018,J3018)))</f>
        <v/>
      </c>
      <c r="L3018" s="30" t="str">
        <f>IF(H3018="","",IF($C$30="상세법",FPV(H3018,K3018),IF(H3018="EI",4,IF(H3018="EO",5.2,IF(H3018="EQ",3.9,IF(H3018="ILF",7.5,IF(H3018="EIF",5.4)))))))</f>
        <v/>
      </c>
      <c r="M3018" s="30" t="str">
        <f t="shared" si="324"/>
        <v/>
      </c>
      <c r="N3018" s="134"/>
      <c r="O3018" s="29"/>
      <c r="P3018" s="37" t="str">
        <f t="shared" si="325"/>
        <v/>
      </c>
      <c r="Q3018" s="38" t="str">
        <f t="shared" si="326"/>
        <v/>
      </c>
      <c r="R3018" s="37" t="str">
        <f t="shared" si="327"/>
        <v/>
      </c>
      <c r="S3018" s="37" t="str">
        <f t="shared" si="328"/>
        <v/>
      </c>
      <c r="T3018" s="38" t="str">
        <f t="shared" si="329"/>
        <v/>
      </c>
      <c r="U3018" s="37" t="str">
        <f t="shared" si="330"/>
        <v/>
      </c>
    </row>
    <row r="3019" spans="2:21" ht="17.25">
      <c r="B3019" s="156"/>
      <c r="C3019" s="156"/>
      <c r="D3019" s="157"/>
      <c r="E3019" s="155"/>
      <c r="F3019" s="151"/>
      <c r="G3019" s="152"/>
      <c r="H3019" s="153"/>
      <c r="I3019" s="154"/>
      <c r="J3019" s="154"/>
      <c r="K3019" s="30" t="str">
        <f>IF(H3019="","",IF($C$30="간이법","",FPR(H3019,I3019,J3019)))</f>
        <v/>
      </c>
      <c r="L3019" s="30" t="str">
        <f>IF(H3019="","",IF($C$30="상세법",FPV(H3019,K3019),IF(H3019="EI",4,IF(H3019="EO",5.2,IF(H3019="EQ",3.9,IF(H3019="ILF",7.5,IF(H3019="EIF",5.4)))))))</f>
        <v/>
      </c>
      <c r="M3019" s="30" t="str">
        <f t="shared" si="324"/>
        <v/>
      </c>
      <c r="N3019" s="134"/>
      <c r="O3019" s="29"/>
      <c r="P3019" s="37" t="str">
        <f t="shared" si="325"/>
        <v/>
      </c>
      <c r="Q3019" s="38" t="str">
        <f t="shared" si="326"/>
        <v/>
      </c>
      <c r="R3019" s="37" t="str">
        <f t="shared" si="327"/>
        <v/>
      </c>
      <c r="S3019" s="37" t="str">
        <f t="shared" si="328"/>
        <v/>
      </c>
      <c r="T3019" s="38" t="str">
        <f t="shared" si="329"/>
        <v/>
      </c>
      <c r="U3019" s="37" t="str">
        <f t="shared" si="330"/>
        <v/>
      </c>
    </row>
    <row r="3020" spans="2:21" ht="17.25">
      <c r="B3020" s="156"/>
      <c r="C3020" s="156"/>
      <c r="D3020" s="157"/>
      <c r="E3020" s="155"/>
      <c r="F3020" s="151"/>
      <c r="G3020" s="152"/>
      <c r="H3020" s="153"/>
      <c r="I3020" s="154"/>
      <c r="J3020" s="154"/>
      <c r="K3020" s="30" t="str">
        <f>IF(H3020="","",IF($C$30="간이법","",FPR(H3020,I3020,J3020)))</f>
        <v/>
      </c>
      <c r="L3020" s="30" t="str">
        <f>IF(H3020="","",IF($C$30="상세법",FPV(H3020,K3020),IF(H3020="EI",4,IF(H3020="EO",5.2,IF(H3020="EQ",3.9,IF(H3020="ILF",7.5,IF(H3020="EIF",5.4)))))))</f>
        <v/>
      </c>
      <c r="M3020" s="30" t="str">
        <f t="shared" si="324"/>
        <v/>
      </c>
      <c r="N3020" s="134"/>
      <c r="O3020" s="29"/>
      <c r="P3020" s="37" t="str">
        <f t="shared" si="325"/>
        <v/>
      </c>
      <c r="Q3020" s="38" t="str">
        <f t="shared" si="326"/>
        <v/>
      </c>
      <c r="R3020" s="37" t="str">
        <f t="shared" si="327"/>
        <v/>
      </c>
      <c r="S3020" s="37" t="str">
        <f t="shared" si="328"/>
        <v/>
      </c>
      <c r="T3020" s="38" t="str">
        <f t="shared" si="329"/>
        <v/>
      </c>
      <c r="U3020" s="37" t="str">
        <f t="shared" si="330"/>
        <v/>
      </c>
    </row>
    <row r="3021" spans="2:21" ht="17.25">
      <c r="B3021" s="156"/>
      <c r="C3021" s="156"/>
      <c r="D3021" s="157"/>
      <c r="E3021" s="155"/>
      <c r="F3021" s="151"/>
      <c r="G3021" s="152"/>
      <c r="H3021" s="153"/>
      <c r="I3021" s="154"/>
      <c r="J3021" s="154"/>
      <c r="K3021" s="30" t="str">
        <f>IF(H3021="","",IF($C$30="간이법","",FPR(H3021,I3021,J3021)))</f>
        <v/>
      </c>
      <c r="L3021" s="30" t="str">
        <f>IF(H3021="","",IF($C$30="상세법",FPV(H3021,K3021),IF(H3021="EI",4,IF(H3021="EO",5.2,IF(H3021="EQ",3.9,IF(H3021="ILF",7.5,IF(H3021="EIF",5.4)))))))</f>
        <v/>
      </c>
      <c r="M3021" s="30" t="str">
        <f t="shared" si="324"/>
        <v/>
      </c>
      <c r="N3021" s="134"/>
      <c r="O3021" s="29"/>
      <c r="P3021" s="37" t="str">
        <f t="shared" si="325"/>
        <v/>
      </c>
      <c r="Q3021" s="38" t="str">
        <f t="shared" si="326"/>
        <v/>
      </c>
      <c r="R3021" s="37" t="str">
        <f t="shared" si="327"/>
        <v/>
      </c>
      <c r="S3021" s="37" t="str">
        <f t="shared" si="328"/>
        <v/>
      </c>
      <c r="T3021" s="38" t="str">
        <f t="shared" si="329"/>
        <v/>
      </c>
      <c r="U3021" s="37" t="str">
        <f t="shared" si="330"/>
        <v/>
      </c>
    </row>
    <row r="3022" spans="2:21" ht="17.25">
      <c r="B3022" s="156"/>
      <c r="C3022" s="156"/>
      <c r="D3022" s="157"/>
      <c r="E3022" s="155"/>
      <c r="F3022" s="151"/>
      <c r="G3022" s="152"/>
      <c r="H3022" s="153"/>
      <c r="I3022" s="154"/>
      <c r="J3022" s="154"/>
      <c r="K3022" s="30" t="str">
        <f>IF(H3022="","",IF($C$30="간이법","",FPR(H3022,I3022,J3022)))</f>
        <v/>
      </c>
      <c r="L3022" s="30" t="str">
        <f>IF(H3022="","",IF($C$30="상세법",FPV(H3022,K3022),IF(H3022="EI",4,IF(H3022="EO",5.2,IF(H3022="EQ",3.9,IF(H3022="ILF",7.5,IF(H3022="EIF",5.4)))))))</f>
        <v/>
      </c>
      <c r="M3022" s="30" t="str">
        <f t="shared" si="324"/>
        <v/>
      </c>
      <c r="N3022" s="134"/>
      <c r="O3022" s="29"/>
      <c r="P3022" s="37" t="str">
        <f t="shared" si="325"/>
        <v/>
      </c>
      <c r="Q3022" s="38" t="str">
        <f t="shared" si="326"/>
        <v/>
      </c>
      <c r="R3022" s="37" t="str">
        <f t="shared" si="327"/>
        <v/>
      </c>
      <c r="S3022" s="37" t="str">
        <f t="shared" si="328"/>
        <v/>
      </c>
      <c r="T3022" s="38" t="str">
        <f t="shared" si="329"/>
        <v/>
      </c>
      <c r="U3022" s="37" t="str">
        <f t="shared" si="330"/>
        <v/>
      </c>
    </row>
    <row r="3023" spans="2:21" ht="17.25">
      <c r="B3023" s="156"/>
      <c r="C3023" s="156"/>
      <c r="D3023" s="157"/>
      <c r="E3023" s="155"/>
      <c r="F3023" s="151"/>
      <c r="G3023" s="152"/>
      <c r="H3023" s="153"/>
      <c r="I3023" s="154"/>
      <c r="J3023" s="154"/>
      <c r="K3023" s="30" t="str">
        <f>IF(H3023="","",IF($C$30="간이법","",FPR(H3023,I3023,J3023)))</f>
        <v/>
      </c>
      <c r="L3023" s="30" t="str">
        <f>IF(H3023="","",IF($C$30="상세법",FPV(H3023,K3023),IF(H3023="EI",4,IF(H3023="EO",5.2,IF(H3023="EQ",3.9,IF(H3023="ILF",7.5,IF(H3023="EIF",5.4)))))))</f>
        <v/>
      </c>
      <c r="M3023" s="30" t="str">
        <f t="shared" si="324"/>
        <v/>
      </c>
      <c r="N3023" s="134"/>
      <c r="O3023" s="29"/>
      <c r="P3023" s="37" t="str">
        <f t="shared" si="325"/>
        <v/>
      </c>
      <c r="Q3023" s="38" t="str">
        <f t="shared" si="326"/>
        <v/>
      </c>
      <c r="R3023" s="37" t="str">
        <f t="shared" si="327"/>
        <v/>
      </c>
      <c r="S3023" s="37" t="str">
        <f t="shared" si="328"/>
        <v/>
      </c>
      <c r="T3023" s="38" t="str">
        <f t="shared" si="329"/>
        <v/>
      </c>
      <c r="U3023" s="37" t="str">
        <f t="shared" si="330"/>
        <v/>
      </c>
    </row>
    <row r="3024" spans="2:21" ht="17.25">
      <c r="B3024" s="156"/>
      <c r="C3024" s="156"/>
      <c r="D3024" s="157"/>
      <c r="E3024" s="155"/>
      <c r="F3024" s="151"/>
      <c r="G3024" s="152"/>
      <c r="H3024" s="153"/>
      <c r="I3024" s="154"/>
      <c r="J3024" s="154"/>
      <c r="K3024" s="30" t="str">
        <f>IF(H3024="","",IF($C$30="간이법","",FPR(H3024,I3024,J3024)))</f>
        <v/>
      </c>
      <c r="L3024" s="30" t="str">
        <f>IF(H3024="","",IF($C$30="상세법",FPV(H3024,K3024),IF(H3024="EI",4,IF(H3024="EO",5.2,IF(H3024="EQ",3.9,IF(H3024="ILF",7.5,IF(H3024="EIF",5.4)))))))</f>
        <v/>
      </c>
      <c r="M3024" s="30" t="str">
        <f t="shared" si="324"/>
        <v/>
      </c>
      <c r="N3024" s="134"/>
      <c r="O3024" s="29"/>
      <c r="P3024" s="37" t="str">
        <f t="shared" si="325"/>
        <v/>
      </c>
      <c r="Q3024" s="38" t="str">
        <f t="shared" si="326"/>
        <v/>
      </c>
      <c r="R3024" s="37" t="str">
        <f t="shared" si="327"/>
        <v/>
      </c>
      <c r="S3024" s="37" t="str">
        <f t="shared" si="328"/>
        <v/>
      </c>
      <c r="T3024" s="38" t="str">
        <f t="shared" si="329"/>
        <v/>
      </c>
      <c r="U3024" s="37" t="str">
        <f t="shared" si="330"/>
        <v/>
      </c>
    </row>
    <row r="3025" spans="2:21" ht="17.25">
      <c r="B3025" s="156"/>
      <c r="C3025" s="156"/>
      <c r="D3025" s="157"/>
      <c r="E3025" s="155"/>
      <c r="F3025" s="151"/>
      <c r="G3025" s="152"/>
      <c r="H3025" s="153"/>
      <c r="I3025" s="154"/>
      <c r="J3025" s="154"/>
      <c r="K3025" s="30" t="str">
        <f>IF(H3025="","",IF($C$30="간이법","",FPR(H3025,I3025,J3025)))</f>
        <v/>
      </c>
      <c r="L3025" s="30" t="str">
        <f>IF(H3025="","",IF($C$30="상세법",FPV(H3025,K3025),IF(H3025="EI",4,IF(H3025="EO",5.2,IF(H3025="EQ",3.9,IF(H3025="ILF",7.5,IF(H3025="EIF",5.4)))))))</f>
        <v/>
      </c>
      <c r="M3025" s="30" t="str">
        <f t="shared" si="324"/>
        <v/>
      </c>
      <c r="N3025" s="134"/>
      <c r="O3025" s="29"/>
      <c r="P3025" s="37" t="str">
        <f t="shared" si="325"/>
        <v/>
      </c>
      <c r="Q3025" s="38" t="str">
        <f t="shared" si="326"/>
        <v/>
      </c>
      <c r="R3025" s="37" t="str">
        <f t="shared" si="327"/>
        <v/>
      </c>
      <c r="S3025" s="37" t="str">
        <f t="shared" si="328"/>
        <v/>
      </c>
      <c r="T3025" s="38" t="str">
        <f t="shared" si="329"/>
        <v/>
      </c>
      <c r="U3025" s="37" t="str">
        <f t="shared" si="330"/>
        <v/>
      </c>
    </row>
    <row r="3026" spans="2:21" ht="17.25">
      <c r="B3026" s="156"/>
      <c r="C3026" s="156"/>
      <c r="D3026" s="157"/>
      <c r="E3026" s="155"/>
      <c r="F3026" s="151"/>
      <c r="G3026" s="152"/>
      <c r="H3026" s="153"/>
      <c r="I3026" s="154"/>
      <c r="J3026" s="154"/>
      <c r="K3026" s="30" t="str">
        <f>IF(H3026="","",IF($C$30="간이법","",FPR(H3026,I3026,J3026)))</f>
        <v/>
      </c>
      <c r="L3026" s="30" t="str">
        <f>IF(H3026="","",IF($C$30="상세법",FPV(H3026,K3026),IF(H3026="EI",4,IF(H3026="EO",5.2,IF(H3026="EQ",3.9,IF(H3026="ILF",7.5,IF(H3026="EIF",5.4)))))))</f>
        <v/>
      </c>
      <c r="M3026" s="30" t="str">
        <f t="shared" si="324"/>
        <v/>
      </c>
      <c r="N3026" s="134"/>
      <c r="O3026" s="29"/>
      <c r="P3026" s="37" t="str">
        <f t="shared" si="325"/>
        <v/>
      </c>
      <c r="Q3026" s="38" t="str">
        <f t="shared" si="326"/>
        <v/>
      </c>
      <c r="R3026" s="37" t="str">
        <f t="shared" si="327"/>
        <v/>
      </c>
      <c r="S3026" s="37" t="str">
        <f t="shared" si="328"/>
        <v/>
      </c>
      <c r="T3026" s="38" t="str">
        <f t="shared" si="329"/>
        <v/>
      </c>
      <c r="U3026" s="37" t="str">
        <f t="shared" si="330"/>
        <v/>
      </c>
    </row>
    <row r="3027" spans="2:21" ht="17.25">
      <c r="B3027" s="156"/>
      <c r="C3027" s="156"/>
      <c r="D3027" s="157"/>
      <c r="E3027" s="155"/>
      <c r="F3027" s="151"/>
      <c r="G3027" s="152"/>
      <c r="H3027" s="153"/>
      <c r="I3027" s="154"/>
      <c r="J3027" s="154"/>
      <c r="K3027" s="30" t="str">
        <f>IF(H3027="","",IF($C$30="간이법","",FPR(H3027,I3027,J3027)))</f>
        <v/>
      </c>
      <c r="L3027" s="30" t="str">
        <f>IF(H3027="","",IF($C$30="상세법",FPV(H3027,K3027),IF(H3027="EI",4,IF(H3027="EO",5.2,IF(H3027="EQ",3.9,IF(H3027="ILF",7.5,IF(H3027="EIF",5.4)))))))</f>
        <v/>
      </c>
      <c r="M3027" s="30" t="str">
        <f t="shared" si="324"/>
        <v/>
      </c>
      <c r="N3027" s="134"/>
      <c r="O3027" s="29"/>
      <c r="P3027" s="37" t="str">
        <f t="shared" si="325"/>
        <v/>
      </c>
      <c r="Q3027" s="38" t="str">
        <f t="shared" si="326"/>
        <v/>
      </c>
      <c r="R3027" s="37" t="str">
        <f t="shared" si="327"/>
        <v/>
      </c>
      <c r="S3027" s="37" t="str">
        <f t="shared" si="328"/>
        <v/>
      </c>
      <c r="T3027" s="38" t="str">
        <f t="shared" si="329"/>
        <v/>
      </c>
      <c r="U3027" s="37" t="str">
        <f t="shared" si="330"/>
        <v/>
      </c>
    </row>
    <row r="3028" spans="2:21" ht="17.25">
      <c r="B3028" s="156"/>
      <c r="C3028" s="156"/>
      <c r="D3028" s="157"/>
      <c r="E3028" s="155"/>
      <c r="F3028" s="151"/>
      <c r="G3028" s="152"/>
      <c r="H3028" s="153"/>
      <c r="I3028" s="154"/>
      <c r="J3028" s="154"/>
      <c r="K3028" s="30" t="str">
        <f>IF(H3028="","",IF($C$30="간이법","",FPR(H3028,I3028,J3028)))</f>
        <v/>
      </c>
      <c r="L3028" s="30" t="str">
        <f>IF(H3028="","",IF($C$30="상세법",FPV(H3028,K3028),IF(H3028="EI",4,IF(H3028="EO",5.2,IF(H3028="EQ",3.9,IF(H3028="ILF",7.5,IF(H3028="EIF",5.4)))))))</f>
        <v/>
      </c>
      <c r="M3028" s="30" t="str">
        <f t="shared" si="324"/>
        <v/>
      </c>
      <c r="N3028" s="134"/>
      <c r="O3028" s="29"/>
      <c r="P3028" s="37" t="str">
        <f t="shared" si="325"/>
        <v/>
      </c>
      <c r="Q3028" s="38" t="str">
        <f t="shared" si="326"/>
        <v/>
      </c>
      <c r="R3028" s="37" t="str">
        <f t="shared" si="327"/>
        <v/>
      </c>
      <c r="S3028" s="37" t="str">
        <f t="shared" si="328"/>
        <v/>
      </c>
      <c r="T3028" s="38" t="str">
        <f t="shared" si="329"/>
        <v/>
      </c>
      <c r="U3028" s="37" t="str">
        <f t="shared" si="330"/>
        <v/>
      </c>
    </row>
    <row r="3029" spans="2:21" ht="17.25">
      <c r="B3029" s="156"/>
      <c r="C3029" s="156"/>
      <c r="D3029" s="157"/>
      <c r="E3029" s="155"/>
      <c r="F3029" s="151"/>
      <c r="G3029" s="152"/>
      <c r="H3029" s="153"/>
      <c r="I3029" s="154"/>
      <c r="J3029" s="154"/>
      <c r="K3029" s="30" t="str">
        <f>IF(H3029="","",IF($C$30="간이법","",FPR(H3029,I3029,J3029)))</f>
        <v/>
      </c>
      <c r="L3029" s="30" t="str">
        <f>IF(H3029="","",IF($C$30="상세법",FPV(H3029,K3029),IF(H3029="EI",4,IF(H3029="EO",5.2,IF(H3029="EQ",3.9,IF(H3029="ILF",7.5,IF(H3029="EIF",5.4)))))))</f>
        <v/>
      </c>
      <c r="M3029" s="30" t="str">
        <f t="shared" si="324"/>
        <v/>
      </c>
      <c r="N3029" s="134"/>
      <c r="O3029" s="29"/>
      <c r="P3029" s="37" t="str">
        <f t="shared" si="325"/>
        <v/>
      </c>
      <c r="Q3029" s="38" t="str">
        <f t="shared" si="326"/>
        <v/>
      </c>
      <c r="R3029" s="37" t="str">
        <f t="shared" si="327"/>
        <v/>
      </c>
      <c r="S3029" s="37" t="str">
        <f t="shared" si="328"/>
        <v/>
      </c>
      <c r="T3029" s="38" t="str">
        <f t="shared" si="329"/>
        <v/>
      </c>
      <c r="U3029" s="37" t="str">
        <f t="shared" si="330"/>
        <v/>
      </c>
    </row>
    <row r="3030" spans="2:21" ht="17.25">
      <c r="B3030" s="156"/>
      <c r="C3030" s="156"/>
      <c r="D3030" s="157"/>
      <c r="E3030" s="155"/>
      <c r="F3030" s="151"/>
      <c r="G3030" s="152"/>
      <c r="H3030" s="153"/>
      <c r="I3030" s="154"/>
      <c r="J3030" s="154"/>
      <c r="K3030" s="30" t="str">
        <f>IF(H3030="","",IF($C$30="간이법","",FPR(H3030,I3030,J3030)))</f>
        <v/>
      </c>
      <c r="L3030" s="30" t="str">
        <f>IF(H3030="","",IF($C$30="상세법",FPV(H3030,K3030),IF(H3030="EI",4,IF(H3030="EO",5.2,IF(H3030="EQ",3.9,IF(H3030="ILF",7.5,IF(H3030="EIF",5.4)))))))</f>
        <v/>
      </c>
      <c r="M3030" s="30" t="str">
        <f t="shared" si="324"/>
        <v/>
      </c>
      <c r="N3030" s="134"/>
      <c r="O3030" s="29"/>
      <c r="P3030" s="37" t="str">
        <f t="shared" si="325"/>
        <v/>
      </c>
      <c r="Q3030" s="38" t="str">
        <f t="shared" si="326"/>
        <v/>
      </c>
      <c r="R3030" s="37" t="str">
        <f t="shared" si="327"/>
        <v/>
      </c>
      <c r="S3030" s="37" t="str">
        <f t="shared" si="328"/>
        <v/>
      </c>
      <c r="T3030" s="38" t="str">
        <f t="shared" si="329"/>
        <v/>
      </c>
      <c r="U3030" s="37" t="str">
        <f t="shared" si="330"/>
        <v/>
      </c>
    </row>
    <row r="3031" spans="2:21" ht="17.25">
      <c r="B3031" s="156"/>
      <c r="C3031" s="156"/>
      <c r="D3031" s="157"/>
      <c r="E3031" s="155"/>
      <c r="F3031" s="151"/>
      <c r="G3031" s="152"/>
      <c r="H3031" s="153"/>
      <c r="I3031" s="154"/>
      <c r="J3031" s="154"/>
      <c r="K3031" s="30" t="str">
        <f>IF(H3031="","",IF($C$30="간이법","",FPR(H3031,I3031,J3031)))</f>
        <v/>
      </c>
      <c r="L3031" s="30" t="str">
        <f>IF(H3031="","",IF($C$30="상세법",FPV(H3031,K3031),IF(H3031="EI",4,IF(H3031="EO",5.2,IF(H3031="EQ",3.9,IF(H3031="ILF",7.5,IF(H3031="EIF",5.4)))))))</f>
        <v/>
      </c>
      <c r="M3031" s="30" t="str">
        <f t="shared" si="324"/>
        <v/>
      </c>
      <c r="N3031" s="134"/>
      <c r="O3031" s="29"/>
      <c r="P3031" s="37" t="str">
        <f t="shared" si="325"/>
        <v/>
      </c>
      <c r="Q3031" s="38" t="str">
        <f t="shared" si="326"/>
        <v/>
      </c>
      <c r="R3031" s="37" t="str">
        <f t="shared" si="327"/>
        <v/>
      </c>
      <c r="S3031" s="37" t="str">
        <f t="shared" si="328"/>
        <v/>
      </c>
      <c r="T3031" s="38" t="str">
        <f t="shared" si="329"/>
        <v/>
      </c>
      <c r="U3031" s="37" t="str">
        <f t="shared" si="330"/>
        <v/>
      </c>
    </row>
    <row r="3032" spans="2:21" ht="17.25">
      <c r="B3032" s="156"/>
      <c r="C3032" s="156"/>
      <c r="D3032" s="157"/>
      <c r="E3032" s="155"/>
      <c r="F3032" s="151"/>
      <c r="G3032" s="152"/>
      <c r="H3032" s="153"/>
      <c r="I3032" s="154"/>
      <c r="J3032" s="154"/>
      <c r="K3032" s="30" t="str">
        <f>IF(H3032="","",IF($C$30="간이법","",FPR(H3032,I3032,J3032)))</f>
        <v/>
      </c>
      <c r="L3032" s="30" t="str">
        <f>IF(H3032="","",IF($C$30="상세법",FPV(H3032,K3032),IF(H3032="EI",4,IF(H3032="EO",5.2,IF(H3032="EQ",3.9,IF(H3032="ILF",7.5,IF(H3032="EIF",5.4)))))))</f>
        <v/>
      </c>
      <c r="M3032" s="30" t="str">
        <f t="shared" si="324"/>
        <v/>
      </c>
      <c r="N3032" s="134"/>
      <c r="O3032" s="29"/>
      <c r="P3032" s="37" t="str">
        <f t="shared" si="325"/>
        <v/>
      </c>
      <c r="Q3032" s="38" t="str">
        <f t="shared" si="326"/>
        <v/>
      </c>
      <c r="R3032" s="37" t="str">
        <f t="shared" si="327"/>
        <v/>
      </c>
      <c r="S3032" s="37" t="str">
        <f t="shared" si="328"/>
        <v/>
      </c>
      <c r="T3032" s="38" t="str">
        <f t="shared" si="329"/>
        <v/>
      </c>
      <c r="U3032" s="37" t="str">
        <f t="shared" si="330"/>
        <v/>
      </c>
    </row>
    <row r="3033" spans="2:21" ht="17.25">
      <c r="B3033" s="156"/>
      <c r="C3033" s="156"/>
      <c r="D3033" s="157"/>
      <c r="E3033" s="155"/>
      <c r="F3033" s="151"/>
      <c r="G3033" s="152"/>
      <c r="H3033" s="153"/>
      <c r="I3033" s="154"/>
      <c r="J3033" s="154"/>
      <c r="K3033" s="30" t="str">
        <f>IF(H3033="","",IF($C$30="간이법","",FPR(H3033,I3033,J3033)))</f>
        <v/>
      </c>
      <c r="L3033" s="30" t="str">
        <f>IF(H3033="","",IF($C$30="상세법",FPV(H3033,K3033),IF(H3033="EI",4,IF(H3033="EO",5.2,IF(H3033="EQ",3.9,IF(H3033="ILF",7.5,IF(H3033="EIF",5.4)))))))</f>
        <v/>
      </c>
      <c r="M3033" s="30" t="str">
        <f t="shared" si="324"/>
        <v/>
      </c>
      <c r="N3033" s="134"/>
      <c r="O3033" s="29"/>
      <c r="P3033" s="37" t="str">
        <f t="shared" si="325"/>
        <v/>
      </c>
      <c r="Q3033" s="38" t="str">
        <f t="shared" si="326"/>
        <v/>
      </c>
      <c r="R3033" s="37" t="str">
        <f t="shared" si="327"/>
        <v/>
      </c>
      <c r="S3033" s="37" t="str">
        <f t="shared" si="328"/>
        <v/>
      </c>
      <c r="T3033" s="38" t="str">
        <f t="shared" si="329"/>
        <v/>
      </c>
      <c r="U3033" s="37" t="str">
        <f t="shared" si="330"/>
        <v/>
      </c>
    </row>
    <row r="3034" spans="2:21" ht="17.25">
      <c r="B3034" s="156"/>
      <c r="C3034" s="156"/>
      <c r="D3034" s="157"/>
      <c r="E3034" s="155"/>
      <c r="F3034" s="151"/>
      <c r="G3034" s="152"/>
      <c r="H3034" s="153"/>
      <c r="I3034" s="154"/>
      <c r="J3034" s="154"/>
      <c r="K3034" s="30" t="str">
        <f>IF(H3034="","",IF($C$30="간이법","",FPR(H3034,I3034,J3034)))</f>
        <v/>
      </c>
      <c r="L3034" s="30" t="str">
        <f>IF(H3034="","",IF($C$30="상세법",FPV(H3034,K3034),IF(H3034="EI",4,IF(H3034="EO",5.2,IF(H3034="EQ",3.9,IF(H3034="ILF",7.5,IF(H3034="EIF",5.4)))))))</f>
        <v/>
      </c>
      <c r="M3034" s="30" t="str">
        <f t="shared" si="324"/>
        <v/>
      </c>
      <c r="N3034" s="134"/>
      <c r="O3034" s="29"/>
      <c r="P3034" s="37" t="str">
        <f t="shared" si="325"/>
        <v/>
      </c>
      <c r="Q3034" s="38" t="str">
        <f t="shared" si="326"/>
        <v/>
      </c>
      <c r="R3034" s="37" t="str">
        <f t="shared" si="327"/>
        <v/>
      </c>
      <c r="S3034" s="37" t="str">
        <f t="shared" si="328"/>
        <v/>
      </c>
      <c r="T3034" s="38" t="str">
        <f t="shared" si="329"/>
        <v/>
      </c>
      <c r="U3034" s="37" t="str">
        <f t="shared" si="330"/>
        <v/>
      </c>
    </row>
    <row r="3035" spans="2:21" ht="17.25">
      <c r="B3035" s="156"/>
      <c r="C3035" s="156"/>
      <c r="D3035" s="157"/>
      <c r="E3035" s="155"/>
      <c r="F3035" s="151"/>
      <c r="G3035" s="152"/>
      <c r="H3035" s="153"/>
      <c r="I3035" s="154"/>
      <c r="J3035" s="154"/>
      <c r="K3035" s="30" t="str">
        <f>IF(H3035="","",IF($C$30="간이법","",FPR(H3035,I3035,J3035)))</f>
        <v/>
      </c>
      <c r="L3035" s="30" t="str">
        <f>IF(H3035="","",IF($C$30="상세법",FPV(H3035,K3035),IF(H3035="EI",4,IF(H3035="EO",5.2,IF(H3035="EQ",3.9,IF(H3035="ILF",7.5,IF(H3035="EIF",5.4)))))))</f>
        <v/>
      </c>
      <c r="M3035" s="30" t="str">
        <f t="shared" si="324"/>
        <v/>
      </c>
      <c r="N3035" s="134"/>
      <c r="O3035" s="29"/>
      <c r="P3035" s="37" t="str">
        <f t="shared" si="325"/>
        <v/>
      </c>
      <c r="Q3035" s="38" t="str">
        <f t="shared" si="326"/>
        <v/>
      </c>
      <c r="R3035" s="37" t="str">
        <f t="shared" si="327"/>
        <v/>
      </c>
      <c r="S3035" s="37" t="str">
        <f t="shared" si="328"/>
        <v/>
      </c>
      <c r="T3035" s="38" t="str">
        <f t="shared" si="329"/>
        <v/>
      </c>
      <c r="U3035" s="37" t="str">
        <f t="shared" si="330"/>
        <v/>
      </c>
    </row>
    <row r="3036" spans="2:21" ht="17.25">
      <c r="B3036" s="156"/>
      <c r="C3036" s="156"/>
      <c r="D3036" s="157"/>
      <c r="E3036" s="155"/>
      <c r="F3036" s="151"/>
      <c r="G3036" s="152"/>
      <c r="H3036" s="153"/>
      <c r="I3036" s="154"/>
      <c r="J3036" s="154"/>
      <c r="K3036" s="30" t="str">
        <f>IF(H3036="","",IF($C$30="간이법","",FPR(H3036,I3036,J3036)))</f>
        <v/>
      </c>
      <c r="L3036" s="30" t="str">
        <f>IF(H3036="","",IF($C$30="상세법",FPV(H3036,K3036),IF(H3036="EI",4,IF(H3036="EO",5.2,IF(H3036="EQ",3.9,IF(H3036="ILF",7.5,IF(H3036="EIF",5.4)))))))</f>
        <v/>
      </c>
      <c r="M3036" s="30" t="str">
        <f t="shared" si="324"/>
        <v/>
      </c>
      <c r="N3036" s="134"/>
      <c r="O3036" s="29"/>
      <c r="P3036" s="37" t="str">
        <f t="shared" si="325"/>
        <v/>
      </c>
      <c r="Q3036" s="38" t="str">
        <f t="shared" si="326"/>
        <v/>
      </c>
      <c r="R3036" s="37" t="str">
        <f t="shared" si="327"/>
        <v/>
      </c>
      <c r="S3036" s="37" t="str">
        <f t="shared" si="328"/>
        <v/>
      </c>
      <c r="T3036" s="38" t="str">
        <f t="shared" si="329"/>
        <v/>
      </c>
      <c r="U3036" s="37" t="str">
        <f t="shared" si="330"/>
        <v/>
      </c>
    </row>
    <row r="3037" spans="2:21" ht="17.25">
      <c r="B3037" s="156"/>
      <c r="C3037" s="156"/>
      <c r="D3037" s="157"/>
      <c r="E3037" s="155"/>
      <c r="F3037" s="151"/>
      <c r="G3037" s="152"/>
      <c r="H3037" s="153"/>
      <c r="I3037" s="154"/>
      <c r="J3037" s="154"/>
      <c r="K3037" s="30" t="str">
        <f>IF(H3037="","",IF($C$30="간이법","",FPR(H3037,I3037,J3037)))</f>
        <v/>
      </c>
      <c r="L3037" s="30" t="str">
        <f>IF(H3037="","",IF($C$30="상세법",FPV(H3037,K3037),IF(H3037="EI",4,IF(H3037="EO",5.2,IF(H3037="EQ",3.9,IF(H3037="ILF",7.5,IF(H3037="EIF",5.4)))))))</f>
        <v/>
      </c>
      <c r="M3037" s="30" t="str">
        <f t="shared" si="324"/>
        <v/>
      </c>
      <c r="N3037" s="134"/>
      <c r="O3037" s="29"/>
      <c r="P3037" s="37" t="str">
        <f t="shared" si="325"/>
        <v/>
      </c>
      <c r="Q3037" s="38" t="str">
        <f t="shared" si="326"/>
        <v/>
      </c>
      <c r="R3037" s="37" t="str">
        <f t="shared" si="327"/>
        <v/>
      </c>
      <c r="S3037" s="37" t="str">
        <f t="shared" si="328"/>
        <v/>
      </c>
      <c r="T3037" s="38" t="str">
        <f t="shared" si="329"/>
        <v/>
      </c>
      <c r="U3037" s="37" t="str">
        <f t="shared" si="330"/>
        <v/>
      </c>
    </row>
    <row r="3038" spans="2:21" ht="17.25">
      <c r="B3038" s="156"/>
      <c r="C3038" s="156"/>
      <c r="D3038" s="157"/>
      <c r="E3038" s="155"/>
      <c r="F3038" s="151"/>
      <c r="G3038" s="152"/>
      <c r="H3038" s="153"/>
      <c r="I3038" s="154"/>
      <c r="J3038" s="154"/>
      <c r="K3038" s="30" t="str">
        <f>IF(H3038="","",IF($C$30="간이법","",FPR(H3038,I3038,J3038)))</f>
        <v/>
      </c>
      <c r="L3038" s="30" t="str">
        <f>IF(H3038="","",IF($C$30="상세법",FPV(H3038,K3038),IF(H3038="EI",4,IF(H3038="EO",5.2,IF(H3038="EQ",3.9,IF(H3038="ILF",7.5,IF(H3038="EIF",5.4)))))))</f>
        <v/>
      </c>
      <c r="M3038" s="30" t="str">
        <f t="shared" si="324"/>
        <v/>
      </c>
      <c r="N3038" s="134"/>
      <c r="O3038" s="29"/>
      <c r="P3038" s="37" t="str">
        <f t="shared" si="325"/>
        <v/>
      </c>
      <c r="Q3038" s="38" t="str">
        <f t="shared" si="326"/>
        <v/>
      </c>
      <c r="R3038" s="37" t="str">
        <f t="shared" si="327"/>
        <v/>
      </c>
      <c r="S3038" s="37" t="str">
        <f t="shared" si="328"/>
        <v/>
      </c>
      <c r="T3038" s="38" t="str">
        <f t="shared" si="329"/>
        <v/>
      </c>
      <c r="U3038" s="37" t="str">
        <f t="shared" si="330"/>
        <v/>
      </c>
    </row>
    <row r="3039" spans="2:21" ht="17.25">
      <c r="B3039" s="156"/>
      <c r="C3039" s="156"/>
      <c r="D3039" s="157"/>
      <c r="E3039" s="155"/>
      <c r="F3039" s="151"/>
      <c r="G3039" s="152"/>
      <c r="H3039" s="153"/>
      <c r="I3039" s="154"/>
      <c r="J3039" s="154"/>
      <c r="K3039" s="30" t="str">
        <f>IF(H3039="","",IF($C$30="간이법","",FPR(H3039,I3039,J3039)))</f>
        <v/>
      </c>
      <c r="L3039" s="30" t="str">
        <f>IF(H3039="","",IF($C$30="상세법",FPV(H3039,K3039),IF(H3039="EI",4,IF(H3039="EO",5.2,IF(H3039="EQ",3.9,IF(H3039="ILF",7.5,IF(H3039="EIF",5.4)))))))</f>
        <v/>
      </c>
      <c r="M3039" s="30" t="str">
        <f t="shared" si="324"/>
        <v/>
      </c>
      <c r="N3039" s="134"/>
      <c r="O3039" s="29"/>
      <c r="P3039" s="37" t="str">
        <f t="shared" si="325"/>
        <v/>
      </c>
      <c r="Q3039" s="38" t="str">
        <f t="shared" si="326"/>
        <v/>
      </c>
      <c r="R3039" s="37" t="str">
        <f t="shared" si="327"/>
        <v/>
      </c>
      <c r="S3039" s="37" t="str">
        <f t="shared" si="328"/>
        <v/>
      </c>
      <c r="T3039" s="38" t="str">
        <f t="shared" si="329"/>
        <v/>
      </c>
      <c r="U3039" s="37" t="str">
        <f t="shared" si="330"/>
        <v/>
      </c>
    </row>
    <row r="3040" spans="2:21" ht="17.25">
      <c r="B3040" s="156"/>
      <c r="C3040" s="156"/>
      <c r="D3040" s="157"/>
      <c r="E3040" s="155"/>
      <c r="F3040" s="151"/>
      <c r="G3040" s="152"/>
      <c r="H3040" s="153"/>
      <c r="I3040" s="154"/>
      <c r="J3040" s="154"/>
      <c r="K3040" s="30" t="str">
        <f>IF(H3040="","",IF($C$30="간이법","",FPR(H3040,I3040,J3040)))</f>
        <v/>
      </c>
      <c r="L3040" s="30" t="str">
        <f>IF(H3040="","",IF($C$30="상세법",FPV(H3040,K3040),IF(H3040="EI",4,IF(H3040="EO",5.2,IF(H3040="EQ",3.9,IF(H3040="ILF",7.5,IF(H3040="EIF",5.4)))))))</f>
        <v/>
      </c>
      <c r="M3040" s="30" t="str">
        <f t="shared" si="324"/>
        <v/>
      </c>
      <c r="N3040" s="134"/>
      <c r="O3040" s="29"/>
      <c r="P3040" s="37" t="str">
        <f t="shared" si="325"/>
        <v/>
      </c>
      <c r="Q3040" s="38" t="str">
        <f t="shared" si="326"/>
        <v/>
      </c>
      <c r="R3040" s="37" t="str">
        <f t="shared" si="327"/>
        <v/>
      </c>
      <c r="S3040" s="37" t="str">
        <f t="shared" si="328"/>
        <v/>
      </c>
      <c r="T3040" s="38" t="str">
        <f t="shared" si="329"/>
        <v/>
      </c>
      <c r="U3040" s="37" t="str">
        <f t="shared" si="330"/>
        <v/>
      </c>
    </row>
    <row r="3041" spans="2:21" ht="17.25">
      <c r="B3041" s="156"/>
      <c r="C3041" s="156"/>
      <c r="D3041" s="157"/>
      <c r="E3041" s="155"/>
      <c r="F3041" s="151"/>
      <c r="G3041" s="152"/>
      <c r="H3041" s="153"/>
      <c r="I3041" s="154"/>
      <c r="J3041" s="154"/>
      <c r="K3041" s="30" t="str">
        <f>IF(H3041="","",IF($C$30="간이법","",FPR(H3041,I3041,J3041)))</f>
        <v/>
      </c>
      <c r="L3041" s="30" t="str">
        <f>IF(H3041="","",IF($C$30="상세법",FPV(H3041,K3041),IF(H3041="EI",4,IF(H3041="EO",5.2,IF(H3041="EQ",3.9,IF(H3041="ILF",7.5,IF(H3041="EIF",5.4)))))))</f>
        <v/>
      </c>
      <c r="M3041" s="30" t="str">
        <f t="shared" si="324"/>
        <v/>
      </c>
      <c r="N3041" s="134"/>
      <c r="O3041" s="29"/>
      <c r="P3041" s="37" t="str">
        <f t="shared" si="325"/>
        <v/>
      </c>
      <c r="Q3041" s="38" t="str">
        <f t="shared" si="326"/>
        <v/>
      </c>
      <c r="R3041" s="37" t="str">
        <f t="shared" si="327"/>
        <v/>
      </c>
      <c r="S3041" s="37" t="str">
        <f t="shared" si="328"/>
        <v/>
      </c>
      <c r="T3041" s="38" t="str">
        <f t="shared" si="329"/>
        <v/>
      </c>
      <c r="U3041" s="37" t="str">
        <f t="shared" si="330"/>
        <v/>
      </c>
    </row>
    <row r="3042" spans="2:21" ht="17.25">
      <c r="B3042" s="156"/>
      <c r="C3042" s="156"/>
      <c r="D3042" s="157"/>
      <c r="E3042" s="155"/>
      <c r="F3042" s="151"/>
      <c r="G3042" s="152"/>
      <c r="H3042" s="153"/>
      <c r="I3042" s="154"/>
      <c r="J3042" s="154"/>
      <c r="K3042" s="30" t="str">
        <f>IF(H3042="","",IF($C$30="간이법","",FPR(H3042,I3042,J3042)))</f>
        <v/>
      </c>
      <c r="L3042" s="30" t="str">
        <f>IF(H3042="","",IF($C$30="상세법",FPV(H3042,K3042),IF(H3042="EI",4,IF(H3042="EO",5.2,IF(H3042="EQ",3.9,IF(H3042="ILF",7.5,IF(H3042="EIF",5.4)))))))</f>
        <v/>
      </c>
      <c r="M3042" s="30" t="str">
        <f t="shared" si="324"/>
        <v/>
      </c>
      <c r="N3042" s="134"/>
      <c r="O3042" s="29"/>
      <c r="P3042" s="37" t="str">
        <f t="shared" si="325"/>
        <v/>
      </c>
      <c r="Q3042" s="38" t="str">
        <f t="shared" si="326"/>
        <v/>
      </c>
      <c r="R3042" s="37" t="str">
        <f t="shared" si="327"/>
        <v/>
      </c>
      <c r="S3042" s="37" t="str">
        <f t="shared" si="328"/>
        <v/>
      </c>
      <c r="T3042" s="38" t="str">
        <f t="shared" si="329"/>
        <v/>
      </c>
      <c r="U3042" s="37" t="str">
        <f t="shared" si="330"/>
        <v/>
      </c>
    </row>
    <row r="3043" spans="2:21" ht="17.25">
      <c r="B3043" s="156"/>
      <c r="C3043" s="156"/>
      <c r="D3043" s="157"/>
      <c r="E3043" s="155"/>
      <c r="F3043" s="151"/>
      <c r="G3043" s="152"/>
      <c r="H3043" s="153"/>
      <c r="I3043" s="154"/>
      <c r="J3043" s="154"/>
      <c r="K3043" s="30" t="str">
        <f>IF(H3043="","",IF($C$30="간이법","",FPR(H3043,I3043,J3043)))</f>
        <v/>
      </c>
      <c r="L3043" s="30" t="str">
        <f>IF(H3043="","",IF($C$30="상세법",FPV(H3043,K3043),IF(H3043="EI",4,IF(H3043="EO",5.2,IF(H3043="EQ",3.9,IF(H3043="ILF",7.5,IF(H3043="EIF",5.4)))))))</f>
        <v/>
      </c>
      <c r="M3043" s="30" t="str">
        <f t="shared" si="324"/>
        <v/>
      </c>
      <c r="N3043" s="134"/>
      <c r="O3043" s="29"/>
      <c r="P3043" s="37" t="str">
        <f t="shared" si="325"/>
        <v/>
      </c>
      <c r="Q3043" s="38" t="str">
        <f t="shared" si="326"/>
        <v/>
      </c>
      <c r="R3043" s="37" t="str">
        <f t="shared" si="327"/>
        <v/>
      </c>
      <c r="S3043" s="37" t="str">
        <f t="shared" si="328"/>
        <v/>
      </c>
      <c r="T3043" s="38" t="str">
        <f t="shared" si="329"/>
        <v/>
      </c>
      <c r="U3043" s="37" t="str">
        <f t="shared" si="330"/>
        <v/>
      </c>
    </row>
    <row r="3044" spans="2:21" ht="17.25">
      <c r="B3044" s="156"/>
      <c r="C3044" s="156"/>
      <c r="D3044" s="157"/>
      <c r="E3044" s="155"/>
      <c r="F3044" s="151"/>
      <c r="G3044" s="152"/>
      <c r="H3044" s="153"/>
      <c r="I3044" s="154"/>
      <c r="J3044" s="154"/>
      <c r="K3044" s="30" t="str">
        <f>IF(H3044="","",IF($C$30="간이법","",FPR(H3044,I3044,J3044)))</f>
        <v/>
      </c>
      <c r="L3044" s="30" t="str">
        <f>IF(H3044="","",IF($C$30="상세법",FPV(H3044,K3044),IF(H3044="EI",4,IF(H3044="EO",5.2,IF(H3044="EQ",3.9,IF(H3044="ILF",7.5,IF(H3044="EIF",5.4)))))))</f>
        <v/>
      </c>
      <c r="M3044" s="30" t="str">
        <f t="shared" si="324"/>
        <v/>
      </c>
      <c r="N3044" s="134"/>
      <c r="O3044" s="29"/>
      <c r="P3044" s="37" t="str">
        <f t="shared" si="325"/>
        <v/>
      </c>
      <c r="Q3044" s="38" t="str">
        <f t="shared" si="326"/>
        <v/>
      </c>
      <c r="R3044" s="37" t="str">
        <f t="shared" si="327"/>
        <v/>
      </c>
      <c r="S3044" s="37" t="str">
        <f t="shared" si="328"/>
        <v/>
      </c>
      <c r="T3044" s="38" t="str">
        <f t="shared" si="329"/>
        <v/>
      </c>
      <c r="U3044" s="37" t="str">
        <f t="shared" si="330"/>
        <v/>
      </c>
    </row>
    <row r="3045" spans="2:21" ht="17.25">
      <c r="B3045" s="156"/>
      <c r="C3045" s="156"/>
      <c r="D3045" s="157"/>
      <c r="E3045" s="155"/>
      <c r="F3045" s="151"/>
      <c r="G3045" s="152"/>
      <c r="H3045" s="153"/>
      <c r="I3045" s="154"/>
      <c r="J3045" s="154"/>
      <c r="K3045" s="30" t="str">
        <f>IF(H3045="","",IF($C$30="간이법","",FPR(H3045,I3045,J3045)))</f>
        <v/>
      </c>
      <c r="L3045" s="30" t="str">
        <f>IF(H3045="","",IF($C$30="상세법",FPV(H3045,K3045),IF(H3045="EI",4,IF(H3045="EO",5.2,IF(H3045="EQ",3.9,IF(H3045="ILF",7.5,IF(H3045="EIF",5.4)))))))</f>
        <v/>
      </c>
      <c r="M3045" s="30" t="str">
        <f t="shared" si="324"/>
        <v/>
      </c>
      <c r="N3045" s="134"/>
      <c r="O3045" s="29"/>
      <c r="P3045" s="37" t="str">
        <f t="shared" si="325"/>
        <v/>
      </c>
      <c r="Q3045" s="38" t="str">
        <f t="shared" si="326"/>
        <v/>
      </c>
      <c r="R3045" s="37" t="str">
        <f t="shared" si="327"/>
        <v/>
      </c>
      <c r="S3045" s="37" t="str">
        <f t="shared" si="328"/>
        <v/>
      </c>
      <c r="T3045" s="38" t="str">
        <f t="shared" si="329"/>
        <v/>
      </c>
      <c r="U3045" s="37" t="str">
        <f t="shared" si="330"/>
        <v/>
      </c>
    </row>
    <row r="3046" spans="2:21" ht="17.25">
      <c r="B3046" s="156"/>
      <c r="C3046" s="156"/>
      <c r="D3046" s="157"/>
      <c r="E3046" s="155"/>
      <c r="F3046" s="151"/>
      <c r="G3046" s="152"/>
      <c r="H3046" s="153"/>
      <c r="I3046" s="154"/>
      <c r="J3046" s="154"/>
      <c r="K3046" s="30" t="str">
        <f>IF(H3046="","",IF($C$30="간이법","",FPR(H3046,I3046,J3046)))</f>
        <v/>
      </c>
      <c r="L3046" s="30" t="str">
        <f>IF(H3046="","",IF($C$30="상세법",FPV(H3046,K3046),IF(H3046="EI",4,IF(H3046="EO",5.2,IF(H3046="EQ",3.9,IF(H3046="ILF",7.5,IF(H3046="EIF",5.4)))))))</f>
        <v/>
      </c>
      <c r="M3046" s="30" t="str">
        <f t="shared" si="324"/>
        <v/>
      </c>
      <c r="N3046" s="134"/>
      <c r="O3046" s="29"/>
      <c r="P3046" s="37" t="str">
        <f t="shared" si="325"/>
        <v/>
      </c>
      <c r="Q3046" s="38" t="str">
        <f t="shared" si="326"/>
        <v/>
      </c>
      <c r="R3046" s="37" t="str">
        <f t="shared" si="327"/>
        <v/>
      </c>
      <c r="S3046" s="37" t="str">
        <f t="shared" si="328"/>
        <v/>
      </c>
      <c r="T3046" s="38" t="str">
        <f t="shared" si="329"/>
        <v/>
      </c>
      <c r="U3046" s="37" t="str">
        <f t="shared" si="330"/>
        <v/>
      </c>
    </row>
    <row r="3047" spans="2:21" ht="17.25">
      <c r="B3047" s="156"/>
      <c r="C3047" s="156"/>
      <c r="D3047" s="157"/>
      <c r="E3047" s="155"/>
      <c r="F3047" s="151"/>
      <c r="G3047" s="152"/>
      <c r="H3047" s="153"/>
      <c r="I3047" s="154"/>
      <c r="J3047" s="154"/>
      <c r="K3047" s="30" t="str">
        <f>IF(H3047="","",IF($C$30="간이법","",FPR(H3047,I3047,J3047)))</f>
        <v/>
      </c>
      <c r="L3047" s="30" t="str">
        <f>IF(H3047="","",IF($C$30="상세법",FPV(H3047,K3047),IF(H3047="EI",4,IF(H3047="EO",5.2,IF(H3047="EQ",3.9,IF(H3047="ILF",7.5,IF(H3047="EIF",5.4)))))))</f>
        <v/>
      </c>
      <c r="M3047" s="30" t="str">
        <f t="shared" si="324"/>
        <v/>
      </c>
      <c r="N3047" s="134"/>
      <c r="O3047" s="29"/>
      <c r="P3047" s="37" t="str">
        <f t="shared" si="325"/>
        <v/>
      </c>
      <c r="Q3047" s="38" t="str">
        <f t="shared" si="326"/>
        <v/>
      </c>
      <c r="R3047" s="37" t="str">
        <f t="shared" si="327"/>
        <v/>
      </c>
      <c r="S3047" s="37" t="str">
        <f t="shared" si="328"/>
        <v/>
      </c>
      <c r="T3047" s="38" t="str">
        <f t="shared" si="329"/>
        <v/>
      </c>
      <c r="U3047" s="37" t="str">
        <f t="shared" si="330"/>
        <v/>
      </c>
    </row>
    <row r="3048" spans="2:21" ht="17.25">
      <c r="B3048" s="156"/>
      <c r="C3048" s="156"/>
      <c r="D3048" s="157"/>
      <c r="E3048" s="155"/>
      <c r="F3048" s="151"/>
      <c r="G3048" s="152"/>
      <c r="H3048" s="153"/>
      <c r="I3048" s="154"/>
      <c r="J3048" s="154"/>
      <c r="K3048" s="30" t="str">
        <f>IF(H3048="","",IF($C$30="간이법","",FPR(H3048,I3048,J3048)))</f>
        <v/>
      </c>
      <c r="L3048" s="30" t="str">
        <f>IF(H3048="","",IF($C$30="상세법",FPV(H3048,K3048),IF(H3048="EI",4,IF(H3048="EO",5.2,IF(H3048="EQ",3.9,IF(H3048="ILF",7.5,IF(H3048="EIF",5.4)))))))</f>
        <v/>
      </c>
      <c r="M3048" s="30" t="str">
        <f t="shared" si="324"/>
        <v/>
      </c>
      <c r="N3048" s="134"/>
      <c r="O3048" s="29"/>
      <c r="P3048" s="37" t="str">
        <f t="shared" si="325"/>
        <v/>
      </c>
      <c r="Q3048" s="38" t="str">
        <f t="shared" si="326"/>
        <v/>
      </c>
      <c r="R3048" s="37" t="str">
        <f t="shared" si="327"/>
        <v/>
      </c>
      <c r="S3048" s="37" t="str">
        <f t="shared" si="328"/>
        <v/>
      </c>
      <c r="T3048" s="38" t="str">
        <f t="shared" si="329"/>
        <v/>
      </c>
      <c r="U3048" s="37" t="str">
        <f t="shared" si="330"/>
        <v/>
      </c>
    </row>
    <row r="3049" spans="2:21" ht="17.25">
      <c r="B3049" s="156"/>
      <c r="C3049" s="156"/>
      <c r="D3049" s="157"/>
      <c r="E3049" s="155"/>
      <c r="F3049" s="151"/>
      <c r="G3049" s="152"/>
      <c r="H3049" s="153"/>
      <c r="I3049" s="154"/>
      <c r="J3049" s="154"/>
      <c r="K3049" s="30" t="str">
        <f>IF(H3049="","",IF($C$30="간이법","",FPR(H3049,I3049,J3049)))</f>
        <v/>
      </c>
      <c r="L3049" s="30" t="str">
        <f>IF(H3049="","",IF($C$30="상세법",FPV(H3049,K3049),IF(H3049="EI",4,IF(H3049="EO",5.2,IF(H3049="EQ",3.9,IF(H3049="ILF",7.5,IF(H3049="EIF",5.4)))))))</f>
        <v/>
      </c>
      <c r="M3049" s="30" t="str">
        <f t="shared" si="324"/>
        <v/>
      </c>
      <c r="N3049" s="134"/>
      <c r="O3049" s="29"/>
      <c r="P3049" s="37" t="str">
        <f t="shared" si="325"/>
        <v/>
      </c>
      <c r="Q3049" s="38" t="str">
        <f t="shared" si="326"/>
        <v/>
      </c>
      <c r="R3049" s="37" t="str">
        <f t="shared" si="327"/>
        <v/>
      </c>
      <c r="S3049" s="37" t="str">
        <f t="shared" si="328"/>
        <v/>
      </c>
      <c r="T3049" s="38" t="str">
        <f t="shared" si="329"/>
        <v/>
      </c>
      <c r="U3049" s="37" t="str">
        <f t="shared" si="330"/>
        <v/>
      </c>
    </row>
    <row r="3050" spans="2:21" ht="17.25">
      <c r="B3050" s="156"/>
      <c r="C3050" s="156"/>
      <c r="D3050" s="157"/>
      <c r="E3050" s="155"/>
      <c r="F3050" s="151"/>
      <c r="G3050" s="152"/>
      <c r="H3050" s="153"/>
      <c r="I3050" s="154"/>
      <c r="J3050" s="154"/>
      <c r="K3050" s="30" t="str">
        <f>IF(H3050="","",IF($C$30="간이법","",FPR(H3050,I3050,J3050)))</f>
        <v/>
      </c>
      <c r="L3050" s="30" t="str">
        <f>IF(H3050="","",IF($C$30="상세법",FPV(H3050,K3050),IF(H3050="EI",4,IF(H3050="EO",5.2,IF(H3050="EQ",3.9,IF(H3050="ILF",7.5,IF(H3050="EIF",5.4)))))))</f>
        <v/>
      </c>
      <c r="M3050" s="30" t="str">
        <f t="shared" si="324"/>
        <v/>
      </c>
      <c r="N3050" s="134"/>
      <c r="O3050" s="29"/>
      <c r="P3050" s="37" t="str">
        <f t="shared" si="325"/>
        <v/>
      </c>
      <c r="Q3050" s="38" t="str">
        <f t="shared" si="326"/>
        <v/>
      </c>
      <c r="R3050" s="37" t="str">
        <f t="shared" si="327"/>
        <v/>
      </c>
      <c r="S3050" s="37" t="str">
        <f t="shared" si="328"/>
        <v/>
      </c>
      <c r="T3050" s="38" t="str">
        <f t="shared" si="329"/>
        <v/>
      </c>
      <c r="U3050" s="37" t="str">
        <f t="shared" si="330"/>
        <v/>
      </c>
    </row>
    <row r="3051" spans="2:21" ht="17.25">
      <c r="B3051" s="156"/>
      <c r="C3051" s="156"/>
      <c r="D3051" s="157"/>
      <c r="E3051" s="155"/>
      <c r="F3051" s="151"/>
      <c r="G3051" s="152"/>
      <c r="H3051" s="153"/>
      <c r="I3051" s="154"/>
      <c r="J3051" s="154"/>
      <c r="K3051" s="30" t="str">
        <f>IF(H3051="","",IF($C$30="간이법","",FPR(H3051,I3051,J3051)))</f>
        <v/>
      </c>
      <c r="L3051" s="30" t="str">
        <f>IF(H3051="","",IF($C$30="상세법",FPV(H3051,K3051),IF(H3051="EI",4,IF(H3051="EO",5.2,IF(H3051="EQ",3.9,IF(H3051="ILF",7.5,IF(H3051="EIF",5.4)))))))</f>
        <v/>
      </c>
      <c r="M3051" s="30" t="str">
        <f t="shared" si="324"/>
        <v/>
      </c>
      <c r="N3051" s="134"/>
      <c r="O3051" s="29"/>
      <c r="P3051" s="37" t="str">
        <f t="shared" si="325"/>
        <v/>
      </c>
      <c r="Q3051" s="38" t="str">
        <f t="shared" si="326"/>
        <v/>
      </c>
      <c r="R3051" s="37" t="str">
        <f t="shared" si="327"/>
        <v/>
      </c>
      <c r="S3051" s="37" t="str">
        <f t="shared" si="328"/>
        <v/>
      </c>
      <c r="T3051" s="38" t="str">
        <f t="shared" si="329"/>
        <v/>
      </c>
      <c r="U3051" s="37" t="str">
        <f t="shared" si="330"/>
        <v/>
      </c>
    </row>
    <row r="3052" spans="2:21" ht="17.25">
      <c r="B3052" s="156"/>
      <c r="C3052" s="156"/>
      <c r="D3052" s="157"/>
      <c r="E3052" s="155"/>
      <c r="F3052" s="151"/>
      <c r="G3052" s="152"/>
      <c r="H3052" s="153"/>
      <c r="I3052" s="154"/>
      <c r="J3052" s="154"/>
      <c r="K3052" s="30" t="str">
        <f>IF(H3052="","",IF($C$30="간이법","",FPR(H3052,I3052,J3052)))</f>
        <v/>
      </c>
      <c r="L3052" s="30" t="str">
        <f>IF(H3052="","",IF($C$30="상세법",FPV(H3052,K3052),IF(H3052="EI",4,IF(H3052="EO",5.2,IF(H3052="EQ",3.9,IF(H3052="ILF",7.5,IF(H3052="EIF",5.4)))))))</f>
        <v/>
      </c>
      <c r="M3052" s="30" t="str">
        <f t="shared" si="324"/>
        <v/>
      </c>
      <c r="N3052" s="134"/>
      <c r="O3052" s="29"/>
      <c r="P3052" s="37" t="str">
        <f t="shared" si="325"/>
        <v/>
      </c>
      <c r="Q3052" s="38" t="str">
        <f t="shared" si="326"/>
        <v/>
      </c>
      <c r="R3052" s="37" t="str">
        <f t="shared" si="327"/>
        <v/>
      </c>
      <c r="S3052" s="37" t="str">
        <f t="shared" si="328"/>
        <v/>
      </c>
      <c r="T3052" s="38" t="str">
        <f t="shared" si="329"/>
        <v/>
      </c>
      <c r="U3052" s="37" t="str">
        <f t="shared" si="330"/>
        <v/>
      </c>
    </row>
    <row r="3053" spans="2:21" ht="17.25">
      <c r="B3053" s="156"/>
      <c r="C3053" s="156"/>
      <c r="D3053" s="157"/>
      <c r="E3053" s="155"/>
      <c r="F3053" s="151"/>
      <c r="G3053" s="152"/>
      <c r="H3053" s="153"/>
      <c r="I3053" s="154"/>
      <c r="J3053" s="154"/>
      <c r="K3053" s="30" t="str">
        <f>IF(H3053="","",IF($C$30="간이법","",FPR(H3053,I3053,J3053)))</f>
        <v/>
      </c>
      <c r="L3053" s="30" t="str">
        <f>IF(H3053="","",IF($C$30="상세법",FPV(H3053,K3053),IF(H3053="EI",4,IF(H3053="EO",5.2,IF(H3053="EQ",3.9,IF(H3053="ILF",7.5,IF(H3053="EIF",5.4)))))))</f>
        <v/>
      </c>
      <c r="M3053" s="30" t="str">
        <f t="shared" si="324"/>
        <v/>
      </c>
      <c r="N3053" s="134"/>
      <c r="O3053" s="29"/>
      <c r="P3053" s="37" t="str">
        <f t="shared" si="325"/>
        <v/>
      </c>
      <c r="Q3053" s="38" t="str">
        <f t="shared" si="326"/>
        <v/>
      </c>
      <c r="R3053" s="37" t="str">
        <f t="shared" si="327"/>
        <v/>
      </c>
      <c r="S3053" s="37" t="str">
        <f t="shared" si="328"/>
        <v/>
      </c>
      <c r="T3053" s="38" t="str">
        <f t="shared" si="329"/>
        <v/>
      </c>
      <c r="U3053" s="37" t="str">
        <f t="shared" si="330"/>
        <v/>
      </c>
    </row>
    <row r="3054" spans="2:21" ht="17.25">
      <c r="B3054" s="156"/>
      <c r="C3054" s="156"/>
      <c r="D3054" s="157"/>
      <c r="E3054" s="155"/>
      <c r="F3054" s="151"/>
      <c r="G3054" s="152"/>
      <c r="H3054" s="153"/>
      <c r="I3054" s="154"/>
      <c r="J3054" s="154"/>
      <c r="K3054" s="30" t="str">
        <f>IF(H3054="","",IF($C$30="간이법","",FPR(H3054,I3054,J3054)))</f>
        <v/>
      </c>
      <c r="L3054" s="30" t="str">
        <f>IF(H3054="","",IF($C$30="상세법",FPV(H3054,K3054),IF(H3054="EI",4,IF(H3054="EO",5.2,IF(H3054="EQ",3.9,IF(H3054="ILF",7.5,IF(H3054="EIF",5.4)))))))</f>
        <v/>
      </c>
      <c r="M3054" s="30" t="str">
        <f t="shared" si="324"/>
        <v/>
      </c>
      <c r="N3054" s="134"/>
      <c r="O3054" s="29"/>
      <c r="P3054" s="37" t="str">
        <f t="shared" si="325"/>
        <v/>
      </c>
      <c r="Q3054" s="38" t="str">
        <f t="shared" si="326"/>
        <v/>
      </c>
      <c r="R3054" s="37" t="str">
        <f t="shared" si="327"/>
        <v/>
      </c>
      <c r="S3054" s="37" t="str">
        <f t="shared" si="328"/>
        <v/>
      </c>
      <c r="T3054" s="38" t="str">
        <f t="shared" si="329"/>
        <v/>
      </c>
      <c r="U3054" s="37" t="str">
        <f t="shared" si="330"/>
        <v/>
      </c>
    </row>
    <row r="3055" spans="2:21" ht="17.25">
      <c r="B3055" s="156"/>
      <c r="C3055" s="156"/>
      <c r="D3055" s="157"/>
      <c r="E3055" s="155"/>
      <c r="F3055" s="151"/>
      <c r="G3055" s="152"/>
      <c r="H3055" s="153"/>
      <c r="I3055" s="154"/>
      <c r="J3055" s="154"/>
      <c r="K3055" s="30" t="str">
        <f>IF(H3055="","",IF($C$30="간이법","",FPR(H3055,I3055,J3055)))</f>
        <v/>
      </c>
      <c r="L3055" s="30" t="str">
        <f>IF(H3055="","",IF($C$30="상세법",FPV(H3055,K3055),IF(H3055="EI",4,IF(H3055="EO",5.2,IF(H3055="EQ",3.9,IF(H3055="ILF",7.5,IF(H3055="EIF",5.4)))))))</f>
        <v/>
      </c>
      <c r="M3055" s="30" t="str">
        <f t="shared" si="324"/>
        <v/>
      </c>
      <c r="N3055" s="134"/>
      <c r="O3055" s="29"/>
      <c r="P3055" s="37" t="str">
        <f t="shared" si="325"/>
        <v/>
      </c>
      <c r="Q3055" s="38" t="str">
        <f t="shared" si="326"/>
        <v/>
      </c>
      <c r="R3055" s="37" t="str">
        <f t="shared" si="327"/>
        <v/>
      </c>
      <c r="S3055" s="37" t="str">
        <f t="shared" si="328"/>
        <v/>
      </c>
      <c r="T3055" s="38" t="str">
        <f t="shared" si="329"/>
        <v/>
      </c>
      <c r="U3055" s="37" t="str">
        <f t="shared" si="330"/>
        <v/>
      </c>
    </row>
    <row r="3056" spans="2:21" ht="17.25">
      <c r="B3056" s="156"/>
      <c r="C3056" s="156"/>
      <c r="D3056" s="157"/>
      <c r="E3056" s="155"/>
      <c r="F3056" s="151"/>
      <c r="G3056" s="152"/>
      <c r="H3056" s="153"/>
      <c r="I3056" s="154"/>
      <c r="J3056" s="154"/>
      <c r="K3056" s="30" t="str">
        <f>IF(H3056="","",IF($C$30="간이법","",FPR(H3056,I3056,J3056)))</f>
        <v/>
      </c>
      <c r="L3056" s="30" t="str">
        <f>IF(H3056="","",IF($C$30="상세법",FPV(H3056,K3056),IF(H3056="EI",4,IF(H3056="EO",5.2,IF(H3056="EQ",3.9,IF(H3056="ILF",7.5,IF(H3056="EIF",5.4)))))))</f>
        <v/>
      </c>
      <c r="M3056" s="30" t="str">
        <f t="shared" si="324"/>
        <v/>
      </c>
      <c r="N3056" s="134"/>
      <c r="O3056" s="29"/>
      <c r="P3056" s="37" t="str">
        <f t="shared" si="325"/>
        <v/>
      </c>
      <c r="Q3056" s="38" t="str">
        <f t="shared" si="326"/>
        <v/>
      </c>
      <c r="R3056" s="37" t="str">
        <f t="shared" si="327"/>
        <v/>
      </c>
      <c r="S3056" s="37" t="str">
        <f t="shared" si="328"/>
        <v/>
      </c>
      <c r="T3056" s="38" t="str">
        <f t="shared" si="329"/>
        <v/>
      </c>
      <c r="U3056" s="37" t="str">
        <f t="shared" si="330"/>
        <v/>
      </c>
    </row>
    <row r="3057" spans="2:21" ht="17.25">
      <c r="B3057" s="156"/>
      <c r="C3057" s="156"/>
      <c r="D3057" s="157"/>
      <c r="E3057" s="155"/>
      <c r="F3057" s="151"/>
      <c r="G3057" s="152"/>
      <c r="H3057" s="153"/>
      <c r="I3057" s="154"/>
      <c r="J3057" s="154"/>
      <c r="K3057" s="30" t="str">
        <f>IF(H3057="","",IF($C$30="간이법","",FPR(H3057,I3057,J3057)))</f>
        <v/>
      </c>
      <c r="L3057" s="30" t="str">
        <f>IF(H3057="","",IF($C$30="상세법",FPV(H3057,K3057),IF(H3057="EI",4,IF(H3057="EO",5.2,IF(H3057="EQ",3.9,IF(H3057="ILF",7.5,IF(H3057="EIF",5.4)))))))</f>
        <v/>
      </c>
      <c r="M3057" s="30" t="str">
        <f t="shared" si="324"/>
        <v/>
      </c>
      <c r="N3057" s="134"/>
      <c r="O3057" s="29"/>
      <c r="P3057" s="37" t="str">
        <f t="shared" si="325"/>
        <v/>
      </c>
      <c r="Q3057" s="38" t="str">
        <f t="shared" si="326"/>
        <v/>
      </c>
      <c r="R3057" s="37" t="str">
        <f t="shared" si="327"/>
        <v/>
      </c>
      <c r="S3057" s="37" t="str">
        <f t="shared" si="328"/>
        <v/>
      </c>
      <c r="T3057" s="38" t="str">
        <f t="shared" si="329"/>
        <v/>
      </c>
      <c r="U3057" s="37" t="str">
        <f t="shared" si="330"/>
        <v/>
      </c>
    </row>
    <row r="3058" spans="2:21" ht="17.25">
      <c r="B3058" s="156"/>
      <c r="C3058" s="156"/>
      <c r="D3058" s="157"/>
      <c r="E3058" s="155"/>
      <c r="F3058" s="151"/>
      <c r="G3058" s="152"/>
      <c r="H3058" s="153"/>
      <c r="I3058" s="154"/>
      <c r="J3058" s="154"/>
      <c r="K3058" s="30" t="str">
        <f>IF(H3058="","",IF($C$30="간이법","",FPR(H3058,I3058,J3058)))</f>
        <v/>
      </c>
      <c r="L3058" s="30" t="str">
        <f>IF(H3058="","",IF($C$30="상세법",FPV(H3058,K3058),IF(H3058="EI",4,IF(H3058="EO",5.2,IF(H3058="EQ",3.9,IF(H3058="ILF",7.5,IF(H3058="EIF",5.4)))))))</f>
        <v/>
      </c>
      <c r="M3058" s="30" t="str">
        <f t="shared" si="324"/>
        <v/>
      </c>
      <c r="N3058" s="134"/>
      <c r="O3058" s="29"/>
      <c r="P3058" s="37" t="str">
        <f t="shared" si="325"/>
        <v/>
      </c>
      <c r="Q3058" s="38" t="str">
        <f t="shared" si="326"/>
        <v/>
      </c>
      <c r="R3058" s="37" t="str">
        <f t="shared" si="327"/>
        <v/>
      </c>
      <c r="S3058" s="37" t="str">
        <f t="shared" si="328"/>
        <v/>
      </c>
      <c r="T3058" s="38" t="str">
        <f t="shared" si="329"/>
        <v/>
      </c>
      <c r="U3058" s="37" t="str">
        <f t="shared" si="330"/>
        <v/>
      </c>
    </row>
    <row r="3059" spans="2:21" ht="17.25">
      <c r="B3059" s="156"/>
      <c r="C3059" s="156"/>
      <c r="D3059" s="157"/>
      <c r="E3059" s="155"/>
      <c r="F3059" s="151"/>
      <c r="G3059" s="152"/>
      <c r="H3059" s="153"/>
      <c r="I3059" s="154"/>
      <c r="J3059" s="154"/>
      <c r="K3059" s="30" t="str">
        <f>IF(H3059="","",IF($C$30="간이법","",FPR(H3059,I3059,J3059)))</f>
        <v/>
      </c>
      <c r="L3059" s="30" t="str">
        <f>IF(H3059="","",IF($C$30="상세법",FPV(H3059,K3059),IF(H3059="EI",4,IF(H3059="EO",5.2,IF(H3059="EQ",3.9,IF(H3059="ILF",7.5,IF(H3059="EIF",5.4)))))))</f>
        <v/>
      </c>
      <c r="M3059" s="30" t="str">
        <f t="shared" si="324"/>
        <v/>
      </c>
      <c r="N3059" s="134"/>
      <c r="O3059" s="29"/>
      <c r="P3059" s="37" t="str">
        <f t="shared" si="325"/>
        <v/>
      </c>
      <c r="Q3059" s="38" t="str">
        <f t="shared" si="326"/>
        <v/>
      </c>
      <c r="R3059" s="37" t="str">
        <f t="shared" si="327"/>
        <v/>
      </c>
      <c r="S3059" s="37" t="str">
        <f t="shared" si="328"/>
        <v/>
      </c>
      <c r="T3059" s="38" t="str">
        <f t="shared" si="329"/>
        <v/>
      </c>
      <c r="U3059" s="37" t="str">
        <f t="shared" si="330"/>
        <v/>
      </c>
    </row>
    <row r="3060" spans="2:21" ht="17.25">
      <c r="B3060" s="156"/>
      <c r="C3060" s="156"/>
      <c r="D3060" s="157"/>
      <c r="E3060" s="155"/>
      <c r="F3060" s="151"/>
      <c r="G3060" s="152"/>
      <c r="H3060" s="153"/>
      <c r="I3060" s="154"/>
      <c r="J3060" s="154"/>
      <c r="K3060" s="30" t="str">
        <f>IF(H3060="","",IF($C$30="간이법","",FPR(H3060,I3060,J3060)))</f>
        <v/>
      </c>
      <c r="L3060" s="30" t="str">
        <f>IF(H3060="","",IF($C$30="상세법",FPV(H3060,K3060),IF(H3060="EI",4,IF(H3060="EO",5.2,IF(H3060="EQ",3.9,IF(H3060="ILF",7.5,IF(H3060="EIF",5.4)))))))</f>
        <v/>
      </c>
      <c r="M3060" s="30" t="str">
        <f t="shared" si="324"/>
        <v/>
      </c>
      <c r="N3060" s="134"/>
      <c r="O3060" s="29"/>
      <c r="P3060" s="37" t="str">
        <f t="shared" si="325"/>
        <v/>
      </c>
      <c r="Q3060" s="38" t="str">
        <f t="shared" si="326"/>
        <v/>
      </c>
      <c r="R3060" s="37" t="str">
        <f t="shared" si="327"/>
        <v/>
      </c>
      <c r="S3060" s="37" t="str">
        <f t="shared" si="328"/>
        <v/>
      </c>
      <c r="T3060" s="38" t="str">
        <f t="shared" si="329"/>
        <v/>
      </c>
      <c r="U3060" s="37" t="str">
        <f t="shared" si="330"/>
        <v/>
      </c>
    </row>
    <row r="3061" spans="2:21" ht="17.25">
      <c r="B3061" s="156"/>
      <c r="C3061" s="156"/>
      <c r="D3061" s="157"/>
      <c r="E3061" s="155"/>
      <c r="F3061" s="151"/>
      <c r="G3061" s="152"/>
      <c r="H3061" s="153"/>
      <c r="I3061" s="154"/>
      <c r="J3061" s="154"/>
      <c r="K3061" s="30" t="str">
        <f>IF(H3061="","",IF($C$30="간이법","",FPR(H3061,I3061,J3061)))</f>
        <v/>
      </c>
      <c r="L3061" s="30" t="str">
        <f>IF(H3061="","",IF($C$30="상세법",FPV(H3061,K3061),IF(H3061="EI",4,IF(H3061="EO",5.2,IF(H3061="EQ",3.9,IF(H3061="ILF",7.5,IF(H3061="EIF",5.4)))))))</f>
        <v/>
      </c>
      <c r="M3061" s="30" t="str">
        <f t="shared" si="324"/>
        <v/>
      </c>
      <c r="N3061" s="134"/>
      <c r="O3061" s="29"/>
      <c r="P3061" s="37" t="str">
        <f t="shared" si="325"/>
        <v/>
      </c>
      <c r="Q3061" s="38" t="str">
        <f t="shared" si="326"/>
        <v/>
      </c>
      <c r="R3061" s="37" t="str">
        <f t="shared" si="327"/>
        <v/>
      </c>
      <c r="S3061" s="37" t="str">
        <f t="shared" si="328"/>
        <v/>
      </c>
      <c r="T3061" s="38" t="str">
        <f t="shared" si="329"/>
        <v/>
      </c>
      <c r="U3061" s="37" t="str">
        <f t="shared" si="330"/>
        <v/>
      </c>
    </row>
    <row r="3062" spans="2:21" ht="17.25">
      <c r="B3062" s="156"/>
      <c r="C3062" s="156"/>
      <c r="D3062" s="157"/>
      <c r="E3062" s="155"/>
      <c r="F3062" s="151"/>
      <c r="G3062" s="152"/>
      <c r="H3062" s="153"/>
      <c r="I3062" s="154"/>
      <c r="J3062" s="154"/>
      <c r="K3062" s="30" t="str">
        <f>IF(H3062="","",IF($C$30="간이법","",FPR(H3062,I3062,J3062)))</f>
        <v/>
      </c>
      <c r="L3062" s="30" t="str">
        <f>IF(H3062="","",IF($C$30="상세법",FPV(H3062,K3062),IF(H3062="EI",4,IF(H3062="EO",5.2,IF(H3062="EQ",3.9,IF(H3062="ILF",7.5,IF(H3062="EIF",5.4)))))))</f>
        <v/>
      </c>
      <c r="M3062" s="30" t="str">
        <f t="shared" si="324"/>
        <v/>
      </c>
      <c r="N3062" s="134"/>
      <c r="O3062" s="29"/>
      <c r="P3062" s="37" t="str">
        <f t="shared" si="325"/>
        <v/>
      </c>
      <c r="Q3062" s="38" t="str">
        <f t="shared" si="326"/>
        <v/>
      </c>
      <c r="R3062" s="37" t="str">
        <f t="shared" si="327"/>
        <v/>
      </c>
      <c r="S3062" s="37" t="str">
        <f t="shared" si="328"/>
        <v/>
      </c>
      <c r="T3062" s="38" t="str">
        <f t="shared" si="329"/>
        <v/>
      </c>
      <c r="U3062" s="37" t="str">
        <f t="shared" si="330"/>
        <v/>
      </c>
    </row>
    <row r="3063" spans="2:21" ht="17.25">
      <c r="B3063" s="156"/>
      <c r="C3063" s="156"/>
      <c r="D3063" s="157"/>
      <c r="E3063" s="155"/>
      <c r="F3063" s="151"/>
      <c r="G3063" s="152"/>
      <c r="H3063" s="153"/>
      <c r="I3063" s="154"/>
      <c r="J3063" s="154"/>
      <c r="K3063" s="30" t="str">
        <f>IF(H3063="","",IF($C$30="간이법","",FPR(H3063,I3063,J3063)))</f>
        <v/>
      </c>
      <c r="L3063" s="30" t="str">
        <f>IF(H3063="","",IF($C$30="상세법",FPV(H3063,K3063),IF(H3063="EI",4,IF(H3063="EO",5.2,IF(H3063="EQ",3.9,IF(H3063="ILF",7.5,IF(H3063="EIF",5.4)))))))</f>
        <v/>
      </c>
      <c r="M3063" s="30" t="str">
        <f t="shared" si="324"/>
        <v/>
      </c>
      <c r="N3063" s="134"/>
      <c r="O3063" s="29"/>
      <c r="P3063" s="37" t="str">
        <f t="shared" si="325"/>
        <v/>
      </c>
      <c r="Q3063" s="38" t="str">
        <f t="shared" si="326"/>
        <v/>
      </c>
      <c r="R3063" s="37" t="str">
        <f t="shared" si="327"/>
        <v/>
      </c>
      <c r="S3063" s="37" t="str">
        <f t="shared" si="328"/>
        <v/>
      </c>
      <c r="T3063" s="38" t="str">
        <f t="shared" si="329"/>
        <v/>
      </c>
      <c r="U3063" s="37" t="str">
        <f t="shared" si="330"/>
        <v/>
      </c>
    </row>
    <row r="3064" spans="2:21" ht="17.25">
      <c r="B3064" s="156"/>
      <c r="C3064" s="156"/>
      <c r="D3064" s="157"/>
      <c r="E3064" s="155"/>
      <c r="F3064" s="151"/>
      <c r="G3064" s="152"/>
      <c r="H3064" s="153"/>
      <c r="I3064" s="154"/>
      <c r="J3064" s="154"/>
      <c r="K3064" s="30" t="str">
        <f>IF(H3064="","",IF($C$30="간이법","",FPR(H3064,I3064,J3064)))</f>
        <v/>
      </c>
      <c r="L3064" s="30" t="str">
        <f>IF(H3064="","",IF($C$30="상세법",FPV(H3064,K3064),IF(H3064="EI",4,IF(H3064="EO",5.2,IF(H3064="EQ",3.9,IF(H3064="ILF",7.5,IF(H3064="EIF",5.4)))))))</f>
        <v/>
      </c>
      <c r="M3064" s="30" t="str">
        <f t="shared" si="324"/>
        <v/>
      </c>
      <c r="N3064" s="134"/>
      <c r="O3064" s="29"/>
      <c r="P3064" s="37" t="str">
        <f t="shared" si="325"/>
        <v/>
      </c>
      <c r="Q3064" s="38" t="str">
        <f t="shared" si="326"/>
        <v/>
      </c>
      <c r="R3064" s="37" t="str">
        <f t="shared" si="327"/>
        <v/>
      </c>
      <c r="S3064" s="37" t="str">
        <f t="shared" si="328"/>
        <v/>
      </c>
      <c r="T3064" s="38" t="str">
        <f t="shared" si="329"/>
        <v/>
      </c>
      <c r="U3064" s="37" t="str">
        <f t="shared" si="330"/>
        <v/>
      </c>
    </row>
    <row r="3065" spans="2:21" ht="17.25">
      <c r="B3065" s="156"/>
      <c r="C3065" s="156"/>
      <c r="D3065" s="157"/>
      <c r="E3065" s="155"/>
      <c r="F3065" s="151"/>
      <c r="G3065" s="152"/>
      <c r="H3065" s="153"/>
      <c r="I3065" s="154"/>
      <c r="J3065" s="154"/>
      <c r="K3065" s="30" t="str">
        <f>IF(H3065="","",IF($C$30="간이법","",FPR(H3065,I3065,J3065)))</f>
        <v/>
      </c>
      <c r="L3065" s="30" t="str">
        <f>IF(H3065="","",IF($C$30="상세법",FPV(H3065,K3065),IF(H3065="EI",4,IF(H3065="EO",5.2,IF(H3065="EQ",3.9,IF(H3065="ILF",7.5,IF(H3065="EIF",5.4)))))))</f>
        <v/>
      </c>
      <c r="M3065" s="30" t="str">
        <f t="shared" si="324"/>
        <v/>
      </c>
      <c r="N3065" s="134"/>
      <c r="O3065" s="29"/>
      <c r="P3065" s="37" t="str">
        <f t="shared" si="325"/>
        <v/>
      </c>
      <c r="Q3065" s="38" t="str">
        <f t="shared" si="326"/>
        <v/>
      </c>
      <c r="R3065" s="37" t="str">
        <f t="shared" si="327"/>
        <v/>
      </c>
      <c r="S3065" s="37" t="str">
        <f t="shared" si="328"/>
        <v/>
      </c>
      <c r="T3065" s="38" t="str">
        <f t="shared" si="329"/>
        <v/>
      </c>
      <c r="U3065" s="37" t="str">
        <f t="shared" si="330"/>
        <v/>
      </c>
    </row>
    <row r="3066" spans="2:21" ht="17.25">
      <c r="B3066" s="156"/>
      <c r="C3066" s="156"/>
      <c r="D3066" s="157"/>
      <c r="E3066" s="155"/>
      <c r="F3066" s="151"/>
      <c r="G3066" s="152"/>
      <c r="H3066" s="153"/>
      <c r="I3066" s="154"/>
      <c r="J3066" s="154"/>
      <c r="K3066" s="30" t="str">
        <f>IF(H3066="","",IF($C$30="간이법","",FPR(H3066,I3066,J3066)))</f>
        <v/>
      </c>
      <c r="L3066" s="30" t="str">
        <f>IF(H3066="","",IF($C$30="상세법",FPV(H3066,K3066),IF(H3066="EI",4,IF(H3066="EO",5.2,IF(H3066="EQ",3.9,IF(H3066="ILF",7.5,IF(H3066="EIF",5.4)))))))</f>
        <v/>
      </c>
      <c r="M3066" s="30" t="str">
        <f t="shared" si="324"/>
        <v/>
      </c>
      <c r="N3066" s="134"/>
      <c r="O3066" s="29"/>
      <c r="P3066" s="37" t="str">
        <f t="shared" si="325"/>
        <v/>
      </c>
      <c r="Q3066" s="38" t="str">
        <f t="shared" si="326"/>
        <v/>
      </c>
      <c r="R3066" s="37" t="str">
        <f t="shared" si="327"/>
        <v/>
      </c>
      <c r="S3066" s="37" t="str">
        <f t="shared" si="328"/>
        <v/>
      </c>
      <c r="T3066" s="38" t="str">
        <f t="shared" si="329"/>
        <v/>
      </c>
      <c r="U3066" s="37" t="str">
        <f t="shared" si="330"/>
        <v/>
      </c>
    </row>
    <row r="3067" spans="2:21" ht="17.25">
      <c r="B3067" s="156"/>
      <c r="C3067" s="156"/>
      <c r="D3067" s="157"/>
      <c r="E3067" s="155"/>
      <c r="F3067" s="151"/>
      <c r="G3067" s="152"/>
      <c r="H3067" s="153"/>
      <c r="I3067" s="154"/>
      <c r="J3067" s="154"/>
      <c r="K3067" s="30" t="str">
        <f>IF(H3067="","",IF($C$30="간이법","",FPR(H3067,I3067,J3067)))</f>
        <v/>
      </c>
      <c r="L3067" s="30" t="str">
        <f>IF(H3067="","",IF($C$30="상세법",FPV(H3067,K3067),IF(H3067="EI",4,IF(H3067="EO",5.2,IF(H3067="EQ",3.9,IF(H3067="ILF",7.5,IF(H3067="EIF",5.4)))))))</f>
        <v/>
      </c>
      <c r="M3067" s="30" t="str">
        <f t="shared" si="324"/>
        <v/>
      </c>
      <c r="N3067" s="134"/>
      <c r="O3067" s="29"/>
      <c r="P3067" s="37" t="str">
        <f t="shared" si="325"/>
        <v/>
      </c>
      <c r="Q3067" s="38" t="str">
        <f t="shared" si="326"/>
        <v/>
      </c>
      <c r="R3067" s="37" t="str">
        <f t="shared" si="327"/>
        <v/>
      </c>
      <c r="S3067" s="37" t="str">
        <f t="shared" si="328"/>
        <v/>
      </c>
      <c r="T3067" s="38" t="str">
        <f t="shared" si="329"/>
        <v/>
      </c>
      <c r="U3067" s="37" t="str">
        <f t="shared" si="330"/>
        <v/>
      </c>
    </row>
    <row r="3068" spans="2:21" ht="17.25">
      <c r="B3068" s="156"/>
      <c r="C3068" s="156"/>
      <c r="D3068" s="157"/>
      <c r="E3068" s="155"/>
      <c r="F3068" s="151"/>
      <c r="G3068" s="152"/>
      <c r="H3068" s="153"/>
      <c r="I3068" s="154"/>
      <c r="J3068" s="154"/>
      <c r="K3068" s="30" t="str">
        <f>IF(H3068="","",IF($C$30="간이법","",FPR(H3068,I3068,J3068)))</f>
        <v/>
      </c>
      <c r="L3068" s="30" t="str">
        <f>IF(H3068="","",IF($C$30="상세법",FPV(H3068,K3068),IF(H3068="EI",4,IF(H3068="EO",5.2,IF(H3068="EQ",3.9,IF(H3068="ILF",7.5,IF(H3068="EIF",5.4)))))))</f>
        <v/>
      </c>
      <c r="M3068" s="30" t="str">
        <f t="shared" ref="M3068:M3131" si="331">IF(OR(G3068="",$E$36="(선택)",$E$40="(선택)",$E$41="(선택)",F3068="신규 개발",F3068="수정 없이 재사용"),"",(IF(F3068="수정 후 재사용",IF($E$50&lt;=0.5,L3068*($E$36+$E$50*100*(1+0.02*($E$40*$E$41)))/100,L3068*($E$36+$E$50*100+($E$40*$E$41))/100))))</f>
        <v/>
      </c>
      <c r="N3068" s="134"/>
      <c r="O3068" s="29"/>
      <c r="P3068" s="37" t="str">
        <f t="shared" ref="P3068:P3131" si="332">IF(F3068="수정 후 재사용",IF(H3068="ILF",G3068,IF(H3068="EIF",G3068,"")),"")</f>
        <v/>
      </c>
      <c r="Q3068" s="38" t="str">
        <f t="shared" ref="Q3068:Q3131" si="333">IF(P3068&lt;&gt;"",IF(H3068="ILF", L3068/$E$46,IF(H3068="EIF", L3068/$E$46,"")),"")</f>
        <v/>
      </c>
      <c r="R3068" s="37" t="str">
        <f t="shared" ref="R3068:R3131" si="334">IF(P3068&lt;&gt;"",P3068*Q3068,"")</f>
        <v/>
      </c>
      <c r="S3068" s="37" t="str">
        <f t="shared" ref="S3068:S3131" si="335">IF(F3068="수정 후 재사용",IF(H3068="EI",G3068,IF(H3068="EO",G3068,IF(H3068="EQ",G3068,""))),"")</f>
        <v/>
      </c>
      <c r="T3068" s="38" t="str">
        <f t="shared" ref="T3068:T3131" si="336">IF(S3068&lt;&gt;"",IF(H3068="EI",L3068/$E$47,IF(H3068="EO",L3068/$E$47,IF(H3068="EQ",L3068/$E$47,""))),"")</f>
        <v/>
      </c>
      <c r="U3068" s="37" t="str">
        <f t="shared" ref="U3068:U3131" si="337">IF(S3068&lt;&gt;"",S3068*T3068,"")</f>
        <v/>
      </c>
    </row>
    <row r="3069" spans="2:21" ht="17.25">
      <c r="B3069" s="156"/>
      <c r="C3069" s="156"/>
      <c r="D3069" s="157"/>
      <c r="E3069" s="155"/>
      <c r="F3069" s="151"/>
      <c r="G3069" s="152"/>
      <c r="H3069" s="153"/>
      <c r="I3069" s="154"/>
      <c r="J3069" s="154"/>
      <c r="K3069" s="30" t="str">
        <f>IF(H3069="","",IF($C$30="간이법","",FPR(H3069,I3069,J3069)))</f>
        <v/>
      </c>
      <c r="L3069" s="30" t="str">
        <f>IF(H3069="","",IF($C$30="상세법",FPV(H3069,K3069),IF(H3069="EI",4,IF(H3069="EO",5.2,IF(H3069="EQ",3.9,IF(H3069="ILF",7.5,IF(H3069="EIF",5.4)))))))</f>
        <v/>
      </c>
      <c r="M3069" s="30" t="str">
        <f t="shared" si="331"/>
        <v/>
      </c>
      <c r="N3069" s="134"/>
      <c r="O3069" s="29"/>
      <c r="P3069" s="37" t="str">
        <f t="shared" si="332"/>
        <v/>
      </c>
      <c r="Q3069" s="38" t="str">
        <f t="shared" si="333"/>
        <v/>
      </c>
      <c r="R3069" s="37" t="str">
        <f t="shared" si="334"/>
        <v/>
      </c>
      <c r="S3069" s="37" t="str">
        <f t="shared" si="335"/>
        <v/>
      </c>
      <c r="T3069" s="38" t="str">
        <f t="shared" si="336"/>
        <v/>
      </c>
      <c r="U3069" s="37" t="str">
        <f t="shared" si="337"/>
        <v/>
      </c>
    </row>
    <row r="3070" spans="2:21" ht="17.25">
      <c r="B3070" s="156"/>
      <c r="C3070" s="156"/>
      <c r="D3070" s="157"/>
      <c r="E3070" s="155"/>
      <c r="F3070" s="151"/>
      <c r="G3070" s="152"/>
      <c r="H3070" s="153"/>
      <c r="I3070" s="154"/>
      <c r="J3070" s="154"/>
      <c r="K3070" s="30" t="str">
        <f>IF(H3070="","",IF($C$30="간이법","",FPR(H3070,I3070,J3070)))</f>
        <v/>
      </c>
      <c r="L3070" s="30" t="str">
        <f>IF(H3070="","",IF($C$30="상세법",FPV(H3070,K3070),IF(H3070="EI",4,IF(H3070="EO",5.2,IF(H3070="EQ",3.9,IF(H3070="ILF",7.5,IF(H3070="EIF",5.4)))))))</f>
        <v/>
      </c>
      <c r="M3070" s="30" t="str">
        <f t="shared" si="331"/>
        <v/>
      </c>
      <c r="N3070" s="134"/>
      <c r="O3070" s="29"/>
      <c r="P3070" s="37" t="str">
        <f t="shared" si="332"/>
        <v/>
      </c>
      <c r="Q3070" s="38" t="str">
        <f t="shared" si="333"/>
        <v/>
      </c>
      <c r="R3070" s="37" t="str">
        <f t="shared" si="334"/>
        <v/>
      </c>
      <c r="S3070" s="37" t="str">
        <f t="shared" si="335"/>
        <v/>
      </c>
      <c r="T3070" s="38" t="str">
        <f t="shared" si="336"/>
        <v/>
      </c>
      <c r="U3070" s="37" t="str">
        <f t="shared" si="337"/>
        <v/>
      </c>
    </row>
    <row r="3071" spans="2:21" ht="17.25">
      <c r="B3071" s="156"/>
      <c r="C3071" s="156"/>
      <c r="D3071" s="157"/>
      <c r="E3071" s="155"/>
      <c r="F3071" s="151"/>
      <c r="G3071" s="152"/>
      <c r="H3071" s="153"/>
      <c r="I3071" s="154"/>
      <c r="J3071" s="154"/>
      <c r="K3071" s="30" t="str">
        <f>IF(H3071="","",IF($C$30="간이법","",FPR(H3071,I3071,J3071)))</f>
        <v/>
      </c>
      <c r="L3071" s="30" t="str">
        <f>IF(H3071="","",IF($C$30="상세법",FPV(H3071,K3071),IF(H3071="EI",4,IF(H3071="EO",5.2,IF(H3071="EQ",3.9,IF(H3071="ILF",7.5,IF(H3071="EIF",5.4)))))))</f>
        <v/>
      </c>
      <c r="M3071" s="30" t="str">
        <f t="shared" si="331"/>
        <v/>
      </c>
      <c r="N3071" s="134"/>
      <c r="O3071" s="29"/>
      <c r="P3071" s="37" t="str">
        <f t="shared" si="332"/>
        <v/>
      </c>
      <c r="Q3071" s="38" t="str">
        <f t="shared" si="333"/>
        <v/>
      </c>
      <c r="R3071" s="37" t="str">
        <f t="shared" si="334"/>
        <v/>
      </c>
      <c r="S3071" s="37" t="str">
        <f t="shared" si="335"/>
        <v/>
      </c>
      <c r="T3071" s="38" t="str">
        <f t="shared" si="336"/>
        <v/>
      </c>
      <c r="U3071" s="37" t="str">
        <f t="shared" si="337"/>
        <v/>
      </c>
    </row>
    <row r="3072" spans="2:21" ht="17.25">
      <c r="B3072" s="156"/>
      <c r="C3072" s="156"/>
      <c r="D3072" s="157"/>
      <c r="E3072" s="155"/>
      <c r="F3072" s="151"/>
      <c r="G3072" s="152"/>
      <c r="H3072" s="153"/>
      <c r="I3072" s="154"/>
      <c r="J3072" s="154"/>
      <c r="K3072" s="30" t="str">
        <f>IF(H3072="","",IF($C$30="간이법","",FPR(H3072,I3072,J3072)))</f>
        <v/>
      </c>
      <c r="L3072" s="30" t="str">
        <f>IF(H3072="","",IF($C$30="상세법",FPV(H3072,K3072),IF(H3072="EI",4,IF(H3072="EO",5.2,IF(H3072="EQ",3.9,IF(H3072="ILF",7.5,IF(H3072="EIF",5.4)))))))</f>
        <v/>
      </c>
      <c r="M3072" s="30" t="str">
        <f t="shared" si="331"/>
        <v/>
      </c>
      <c r="N3072" s="134"/>
      <c r="O3072" s="29"/>
      <c r="P3072" s="37" t="str">
        <f t="shared" si="332"/>
        <v/>
      </c>
      <c r="Q3072" s="38" t="str">
        <f t="shared" si="333"/>
        <v/>
      </c>
      <c r="R3072" s="37" t="str">
        <f t="shared" si="334"/>
        <v/>
      </c>
      <c r="S3072" s="37" t="str">
        <f t="shared" si="335"/>
        <v/>
      </c>
      <c r="T3072" s="38" t="str">
        <f t="shared" si="336"/>
        <v/>
      </c>
      <c r="U3072" s="37" t="str">
        <f t="shared" si="337"/>
        <v/>
      </c>
    </row>
    <row r="3073" spans="2:21" ht="17.25">
      <c r="B3073" s="156"/>
      <c r="C3073" s="156"/>
      <c r="D3073" s="157"/>
      <c r="E3073" s="155"/>
      <c r="F3073" s="151"/>
      <c r="G3073" s="152"/>
      <c r="H3073" s="153"/>
      <c r="I3073" s="154"/>
      <c r="J3073" s="154"/>
      <c r="K3073" s="30" t="str">
        <f>IF(H3073="","",IF($C$30="간이법","",FPR(H3073,I3073,J3073)))</f>
        <v/>
      </c>
      <c r="L3073" s="30" t="str">
        <f>IF(H3073="","",IF($C$30="상세법",FPV(H3073,K3073),IF(H3073="EI",4,IF(H3073="EO",5.2,IF(H3073="EQ",3.9,IF(H3073="ILF",7.5,IF(H3073="EIF",5.4)))))))</f>
        <v/>
      </c>
      <c r="M3073" s="30" t="str">
        <f t="shared" si="331"/>
        <v/>
      </c>
      <c r="N3073" s="134"/>
      <c r="O3073" s="29"/>
      <c r="P3073" s="37" t="str">
        <f t="shared" si="332"/>
        <v/>
      </c>
      <c r="Q3073" s="38" t="str">
        <f t="shared" si="333"/>
        <v/>
      </c>
      <c r="R3073" s="37" t="str">
        <f t="shared" si="334"/>
        <v/>
      </c>
      <c r="S3073" s="37" t="str">
        <f t="shared" si="335"/>
        <v/>
      </c>
      <c r="T3073" s="38" t="str">
        <f t="shared" si="336"/>
        <v/>
      </c>
      <c r="U3073" s="37" t="str">
        <f t="shared" si="337"/>
        <v/>
      </c>
    </row>
    <row r="3074" spans="2:21" ht="17.25">
      <c r="B3074" s="156"/>
      <c r="C3074" s="156"/>
      <c r="D3074" s="157"/>
      <c r="E3074" s="155"/>
      <c r="F3074" s="151"/>
      <c r="G3074" s="152"/>
      <c r="H3074" s="153"/>
      <c r="I3074" s="154"/>
      <c r="J3074" s="154"/>
      <c r="K3074" s="30" t="str">
        <f>IF(H3074="","",IF($C$30="간이법","",FPR(H3074,I3074,J3074)))</f>
        <v/>
      </c>
      <c r="L3074" s="30" t="str">
        <f>IF(H3074="","",IF($C$30="상세법",FPV(H3074,K3074),IF(H3074="EI",4,IF(H3074="EO",5.2,IF(H3074="EQ",3.9,IF(H3074="ILF",7.5,IF(H3074="EIF",5.4)))))))</f>
        <v/>
      </c>
      <c r="M3074" s="30" t="str">
        <f t="shared" si="331"/>
        <v/>
      </c>
      <c r="N3074" s="134"/>
      <c r="O3074" s="29"/>
      <c r="P3074" s="37" t="str">
        <f t="shared" si="332"/>
        <v/>
      </c>
      <c r="Q3074" s="38" t="str">
        <f t="shared" si="333"/>
        <v/>
      </c>
      <c r="R3074" s="37" t="str">
        <f t="shared" si="334"/>
        <v/>
      </c>
      <c r="S3074" s="37" t="str">
        <f t="shared" si="335"/>
        <v/>
      </c>
      <c r="T3074" s="38" t="str">
        <f t="shared" si="336"/>
        <v/>
      </c>
      <c r="U3074" s="37" t="str">
        <f t="shared" si="337"/>
        <v/>
      </c>
    </row>
    <row r="3075" spans="2:21" ht="17.25">
      <c r="B3075" s="156"/>
      <c r="C3075" s="156"/>
      <c r="D3075" s="157"/>
      <c r="E3075" s="155"/>
      <c r="F3075" s="151"/>
      <c r="G3075" s="152"/>
      <c r="H3075" s="153"/>
      <c r="I3075" s="154"/>
      <c r="J3075" s="154"/>
      <c r="K3075" s="30" t="str">
        <f>IF(H3075="","",IF($C$30="간이법","",FPR(H3075,I3075,J3075)))</f>
        <v/>
      </c>
      <c r="L3075" s="30" t="str">
        <f>IF(H3075="","",IF($C$30="상세법",FPV(H3075,K3075),IF(H3075="EI",4,IF(H3075="EO",5.2,IF(H3075="EQ",3.9,IF(H3075="ILF",7.5,IF(H3075="EIF",5.4)))))))</f>
        <v/>
      </c>
      <c r="M3075" s="30" t="str">
        <f t="shared" si="331"/>
        <v/>
      </c>
      <c r="N3075" s="134"/>
      <c r="O3075" s="29"/>
      <c r="P3075" s="37" t="str">
        <f t="shared" si="332"/>
        <v/>
      </c>
      <c r="Q3075" s="38" t="str">
        <f t="shared" si="333"/>
        <v/>
      </c>
      <c r="R3075" s="37" t="str">
        <f t="shared" si="334"/>
        <v/>
      </c>
      <c r="S3075" s="37" t="str">
        <f t="shared" si="335"/>
        <v/>
      </c>
      <c r="T3075" s="38" t="str">
        <f t="shared" si="336"/>
        <v/>
      </c>
      <c r="U3075" s="37" t="str">
        <f t="shared" si="337"/>
        <v/>
      </c>
    </row>
    <row r="3076" spans="2:21" ht="17.25">
      <c r="B3076" s="156"/>
      <c r="C3076" s="156"/>
      <c r="D3076" s="157"/>
      <c r="E3076" s="155"/>
      <c r="F3076" s="151"/>
      <c r="G3076" s="152"/>
      <c r="H3076" s="153"/>
      <c r="I3076" s="154"/>
      <c r="J3076" s="154"/>
      <c r="K3076" s="30" t="str">
        <f>IF(H3076="","",IF($C$30="간이법","",FPR(H3076,I3076,J3076)))</f>
        <v/>
      </c>
      <c r="L3076" s="30" t="str">
        <f>IF(H3076="","",IF($C$30="상세법",FPV(H3076,K3076),IF(H3076="EI",4,IF(H3076="EO",5.2,IF(H3076="EQ",3.9,IF(H3076="ILF",7.5,IF(H3076="EIF",5.4)))))))</f>
        <v/>
      </c>
      <c r="M3076" s="30" t="str">
        <f t="shared" si="331"/>
        <v/>
      </c>
      <c r="N3076" s="134"/>
      <c r="O3076" s="29"/>
      <c r="P3076" s="37" t="str">
        <f t="shared" si="332"/>
        <v/>
      </c>
      <c r="Q3076" s="38" t="str">
        <f t="shared" si="333"/>
        <v/>
      </c>
      <c r="R3076" s="37" t="str">
        <f t="shared" si="334"/>
        <v/>
      </c>
      <c r="S3076" s="37" t="str">
        <f t="shared" si="335"/>
        <v/>
      </c>
      <c r="T3076" s="38" t="str">
        <f t="shared" si="336"/>
        <v/>
      </c>
      <c r="U3076" s="37" t="str">
        <f t="shared" si="337"/>
        <v/>
      </c>
    </row>
    <row r="3077" spans="2:21" ht="17.25">
      <c r="B3077" s="156"/>
      <c r="C3077" s="156"/>
      <c r="D3077" s="157"/>
      <c r="E3077" s="155"/>
      <c r="F3077" s="151"/>
      <c r="G3077" s="152"/>
      <c r="H3077" s="153"/>
      <c r="I3077" s="154"/>
      <c r="J3077" s="154"/>
      <c r="K3077" s="30" t="str">
        <f>IF(H3077="","",IF($C$30="간이법","",FPR(H3077,I3077,J3077)))</f>
        <v/>
      </c>
      <c r="L3077" s="30" t="str">
        <f>IF(H3077="","",IF($C$30="상세법",FPV(H3077,K3077),IF(H3077="EI",4,IF(H3077="EO",5.2,IF(H3077="EQ",3.9,IF(H3077="ILF",7.5,IF(H3077="EIF",5.4)))))))</f>
        <v/>
      </c>
      <c r="M3077" s="30" t="str">
        <f t="shared" si="331"/>
        <v/>
      </c>
      <c r="N3077" s="134"/>
      <c r="O3077" s="29"/>
      <c r="P3077" s="37" t="str">
        <f t="shared" si="332"/>
        <v/>
      </c>
      <c r="Q3077" s="38" t="str">
        <f t="shared" si="333"/>
        <v/>
      </c>
      <c r="R3077" s="37" t="str">
        <f t="shared" si="334"/>
        <v/>
      </c>
      <c r="S3077" s="37" t="str">
        <f t="shared" si="335"/>
        <v/>
      </c>
      <c r="T3077" s="38" t="str">
        <f t="shared" si="336"/>
        <v/>
      </c>
      <c r="U3077" s="37" t="str">
        <f t="shared" si="337"/>
        <v/>
      </c>
    </row>
    <row r="3078" spans="2:21" ht="17.25">
      <c r="B3078" s="156"/>
      <c r="C3078" s="156"/>
      <c r="D3078" s="157"/>
      <c r="E3078" s="155"/>
      <c r="F3078" s="151"/>
      <c r="G3078" s="152"/>
      <c r="H3078" s="153"/>
      <c r="I3078" s="154"/>
      <c r="J3078" s="154"/>
      <c r="K3078" s="30" t="str">
        <f>IF(H3078="","",IF($C$30="간이법","",FPR(H3078,I3078,J3078)))</f>
        <v/>
      </c>
      <c r="L3078" s="30" t="str">
        <f>IF(H3078="","",IF($C$30="상세법",FPV(H3078,K3078),IF(H3078="EI",4,IF(H3078="EO",5.2,IF(H3078="EQ",3.9,IF(H3078="ILF",7.5,IF(H3078="EIF",5.4)))))))</f>
        <v/>
      </c>
      <c r="M3078" s="30" t="str">
        <f t="shared" si="331"/>
        <v/>
      </c>
      <c r="N3078" s="134"/>
      <c r="O3078" s="29"/>
      <c r="P3078" s="37" t="str">
        <f t="shared" si="332"/>
        <v/>
      </c>
      <c r="Q3078" s="38" t="str">
        <f t="shared" si="333"/>
        <v/>
      </c>
      <c r="R3078" s="37" t="str">
        <f t="shared" si="334"/>
        <v/>
      </c>
      <c r="S3078" s="37" t="str">
        <f t="shared" si="335"/>
        <v/>
      </c>
      <c r="T3078" s="38" t="str">
        <f t="shared" si="336"/>
        <v/>
      </c>
      <c r="U3078" s="37" t="str">
        <f t="shared" si="337"/>
        <v/>
      </c>
    </row>
    <row r="3079" spans="2:21" ht="17.25">
      <c r="B3079" s="156"/>
      <c r="C3079" s="156"/>
      <c r="D3079" s="157"/>
      <c r="E3079" s="155"/>
      <c r="F3079" s="151"/>
      <c r="G3079" s="152"/>
      <c r="H3079" s="153"/>
      <c r="I3079" s="154"/>
      <c r="J3079" s="154"/>
      <c r="K3079" s="30" t="str">
        <f>IF(H3079="","",IF($C$30="간이법","",FPR(H3079,I3079,J3079)))</f>
        <v/>
      </c>
      <c r="L3079" s="30" t="str">
        <f>IF(H3079="","",IF($C$30="상세법",FPV(H3079,K3079),IF(H3079="EI",4,IF(H3079="EO",5.2,IF(H3079="EQ",3.9,IF(H3079="ILF",7.5,IF(H3079="EIF",5.4)))))))</f>
        <v/>
      </c>
      <c r="M3079" s="30" t="str">
        <f t="shared" si="331"/>
        <v/>
      </c>
      <c r="N3079" s="134"/>
      <c r="O3079" s="29"/>
      <c r="P3079" s="37" t="str">
        <f t="shared" si="332"/>
        <v/>
      </c>
      <c r="Q3079" s="38" t="str">
        <f t="shared" si="333"/>
        <v/>
      </c>
      <c r="R3079" s="37" t="str">
        <f t="shared" si="334"/>
        <v/>
      </c>
      <c r="S3079" s="37" t="str">
        <f t="shared" si="335"/>
        <v/>
      </c>
      <c r="T3079" s="38" t="str">
        <f t="shared" si="336"/>
        <v/>
      </c>
      <c r="U3079" s="37" t="str">
        <f t="shared" si="337"/>
        <v/>
      </c>
    </row>
    <row r="3080" spans="2:21" ht="17.25">
      <c r="B3080" s="156"/>
      <c r="C3080" s="156"/>
      <c r="D3080" s="157"/>
      <c r="E3080" s="155"/>
      <c r="F3080" s="151"/>
      <c r="G3080" s="152"/>
      <c r="H3080" s="153"/>
      <c r="I3080" s="154"/>
      <c r="J3080" s="154"/>
      <c r="K3080" s="30" t="str">
        <f>IF(H3080="","",IF($C$30="간이법","",FPR(H3080,I3080,J3080)))</f>
        <v/>
      </c>
      <c r="L3080" s="30" t="str">
        <f>IF(H3080="","",IF($C$30="상세법",FPV(H3080,K3080),IF(H3080="EI",4,IF(H3080="EO",5.2,IF(H3080="EQ",3.9,IF(H3080="ILF",7.5,IF(H3080="EIF",5.4)))))))</f>
        <v/>
      </c>
      <c r="M3080" s="30" t="str">
        <f t="shared" si="331"/>
        <v/>
      </c>
      <c r="N3080" s="134"/>
      <c r="O3080" s="29"/>
      <c r="P3080" s="37" t="str">
        <f t="shared" si="332"/>
        <v/>
      </c>
      <c r="Q3080" s="38" t="str">
        <f t="shared" si="333"/>
        <v/>
      </c>
      <c r="R3080" s="37" t="str">
        <f t="shared" si="334"/>
        <v/>
      </c>
      <c r="S3080" s="37" t="str">
        <f t="shared" si="335"/>
        <v/>
      </c>
      <c r="T3080" s="38" t="str">
        <f t="shared" si="336"/>
        <v/>
      </c>
      <c r="U3080" s="37" t="str">
        <f t="shared" si="337"/>
        <v/>
      </c>
    </row>
    <row r="3081" spans="2:21" ht="17.25">
      <c r="B3081" s="156"/>
      <c r="C3081" s="156"/>
      <c r="D3081" s="157"/>
      <c r="E3081" s="155"/>
      <c r="F3081" s="151"/>
      <c r="G3081" s="152"/>
      <c r="H3081" s="153"/>
      <c r="I3081" s="154"/>
      <c r="J3081" s="154"/>
      <c r="K3081" s="30" t="str">
        <f>IF(H3081="","",IF($C$30="간이법","",FPR(H3081,I3081,J3081)))</f>
        <v/>
      </c>
      <c r="L3081" s="30" t="str">
        <f>IF(H3081="","",IF($C$30="상세법",FPV(H3081,K3081),IF(H3081="EI",4,IF(H3081="EO",5.2,IF(H3081="EQ",3.9,IF(H3081="ILF",7.5,IF(H3081="EIF",5.4)))))))</f>
        <v/>
      </c>
      <c r="M3081" s="30" t="str">
        <f t="shared" si="331"/>
        <v/>
      </c>
      <c r="N3081" s="134"/>
      <c r="O3081" s="29"/>
      <c r="P3081" s="37" t="str">
        <f t="shared" si="332"/>
        <v/>
      </c>
      <c r="Q3081" s="38" t="str">
        <f t="shared" si="333"/>
        <v/>
      </c>
      <c r="R3081" s="37" t="str">
        <f t="shared" si="334"/>
        <v/>
      </c>
      <c r="S3081" s="37" t="str">
        <f t="shared" si="335"/>
        <v/>
      </c>
      <c r="T3081" s="38" t="str">
        <f t="shared" si="336"/>
        <v/>
      </c>
      <c r="U3081" s="37" t="str">
        <f t="shared" si="337"/>
        <v/>
      </c>
    </row>
    <row r="3082" spans="2:21" ht="17.25">
      <c r="B3082" s="156"/>
      <c r="C3082" s="156"/>
      <c r="D3082" s="157"/>
      <c r="E3082" s="155"/>
      <c r="F3082" s="151"/>
      <c r="G3082" s="152"/>
      <c r="H3082" s="153"/>
      <c r="I3082" s="154"/>
      <c r="J3082" s="154"/>
      <c r="K3082" s="30" t="str">
        <f>IF(H3082="","",IF($C$30="간이법","",FPR(H3082,I3082,J3082)))</f>
        <v/>
      </c>
      <c r="L3082" s="30" t="str">
        <f>IF(H3082="","",IF($C$30="상세법",FPV(H3082,K3082),IF(H3082="EI",4,IF(H3082="EO",5.2,IF(H3082="EQ",3.9,IF(H3082="ILF",7.5,IF(H3082="EIF",5.4)))))))</f>
        <v/>
      </c>
      <c r="M3082" s="30" t="str">
        <f t="shared" si="331"/>
        <v/>
      </c>
      <c r="N3082" s="134"/>
      <c r="O3082" s="29"/>
      <c r="P3082" s="37" t="str">
        <f t="shared" si="332"/>
        <v/>
      </c>
      <c r="Q3082" s="38" t="str">
        <f t="shared" si="333"/>
        <v/>
      </c>
      <c r="R3082" s="37" t="str">
        <f t="shared" si="334"/>
        <v/>
      </c>
      <c r="S3082" s="37" t="str">
        <f t="shared" si="335"/>
        <v/>
      </c>
      <c r="T3082" s="38" t="str">
        <f t="shared" si="336"/>
        <v/>
      </c>
      <c r="U3082" s="37" t="str">
        <f t="shared" si="337"/>
        <v/>
      </c>
    </row>
    <row r="3083" spans="2:21" ht="17.25">
      <c r="B3083" s="156"/>
      <c r="C3083" s="156"/>
      <c r="D3083" s="157"/>
      <c r="E3083" s="155"/>
      <c r="F3083" s="151"/>
      <c r="G3083" s="152"/>
      <c r="H3083" s="153"/>
      <c r="I3083" s="154"/>
      <c r="J3083" s="154"/>
      <c r="K3083" s="30" t="str">
        <f>IF(H3083="","",IF($C$30="간이법","",FPR(H3083,I3083,J3083)))</f>
        <v/>
      </c>
      <c r="L3083" s="30" t="str">
        <f>IF(H3083="","",IF($C$30="상세법",FPV(H3083,K3083),IF(H3083="EI",4,IF(H3083="EO",5.2,IF(H3083="EQ",3.9,IF(H3083="ILF",7.5,IF(H3083="EIF",5.4)))))))</f>
        <v/>
      </c>
      <c r="M3083" s="30" t="str">
        <f t="shared" si="331"/>
        <v/>
      </c>
      <c r="N3083" s="134"/>
      <c r="O3083" s="29"/>
      <c r="P3083" s="37" t="str">
        <f t="shared" si="332"/>
        <v/>
      </c>
      <c r="Q3083" s="38" t="str">
        <f t="shared" si="333"/>
        <v/>
      </c>
      <c r="R3083" s="37" t="str">
        <f t="shared" si="334"/>
        <v/>
      </c>
      <c r="S3083" s="37" t="str">
        <f t="shared" si="335"/>
        <v/>
      </c>
      <c r="T3083" s="38" t="str">
        <f t="shared" si="336"/>
        <v/>
      </c>
      <c r="U3083" s="37" t="str">
        <f t="shared" si="337"/>
        <v/>
      </c>
    </row>
    <row r="3084" spans="2:21" ht="17.25">
      <c r="B3084" s="156"/>
      <c r="C3084" s="156"/>
      <c r="D3084" s="157"/>
      <c r="E3084" s="155"/>
      <c r="F3084" s="151"/>
      <c r="G3084" s="152"/>
      <c r="H3084" s="153"/>
      <c r="I3084" s="154"/>
      <c r="J3084" s="154"/>
      <c r="K3084" s="30" t="str">
        <f>IF(H3084="","",IF($C$30="간이법","",FPR(H3084,I3084,J3084)))</f>
        <v/>
      </c>
      <c r="L3084" s="30" t="str">
        <f>IF(H3084="","",IF($C$30="상세법",FPV(H3084,K3084),IF(H3084="EI",4,IF(H3084="EO",5.2,IF(H3084="EQ",3.9,IF(H3084="ILF",7.5,IF(H3084="EIF",5.4)))))))</f>
        <v/>
      </c>
      <c r="M3084" s="30" t="str">
        <f t="shared" si="331"/>
        <v/>
      </c>
      <c r="N3084" s="134"/>
      <c r="O3084" s="29"/>
      <c r="P3084" s="37" t="str">
        <f t="shared" si="332"/>
        <v/>
      </c>
      <c r="Q3084" s="38" t="str">
        <f t="shared" si="333"/>
        <v/>
      </c>
      <c r="R3084" s="37" t="str">
        <f t="shared" si="334"/>
        <v/>
      </c>
      <c r="S3084" s="37" t="str">
        <f t="shared" si="335"/>
        <v/>
      </c>
      <c r="T3084" s="38" t="str">
        <f t="shared" si="336"/>
        <v/>
      </c>
      <c r="U3084" s="37" t="str">
        <f t="shared" si="337"/>
        <v/>
      </c>
    </row>
    <row r="3085" spans="2:21" ht="17.25">
      <c r="B3085" s="156"/>
      <c r="C3085" s="156"/>
      <c r="D3085" s="157"/>
      <c r="E3085" s="155"/>
      <c r="F3085" s="151"/>
      <c r="G3085" s="152"/>
      <c r="H3085" s="153"/>
      <c r="I3085" s="154"/>
      <c r="J3085" s="154"/>
      <c r="K3085" s="30" t="str">
        <f>IF(H3085="","",IF($C$30="간이법","",FPR(H3085,I3085,J3085)))</f>
        <v/>
      </c>
      <c r="L3085" s="30" t="str">
        <f>IF(H3085="","",IF($C$30="상세법",FPV(H3085,K3085),IF(H3085="EI",4,IF(H3085="EO",5.2,IF(H3085="EQ",3.9,IF(H3085="ILF",7.5,IF(H3085="EIF",5.4)))))))</f>
        <v/>
      </c>
      <c r="M3085" s="30" t="str">
        <f t="shared" si="331"/>
        <v/>
      </c>
      <c r="N3085" s="134"/>
      <c r="O3085" s="29"/>
      <c r="P3085" s="37" t="str">
        <f t="shared" si="332"/>
        <v/>
      </c>
      <c r="Q3085" s="38" t="str">
        <f t="shared" si="333"/>
        <v/>
      </c>
      <c r="R3085" s="37" t="str">
        <f t="shared" si="334"/>
        <v/>
      </c>
      <c r="S3085" s="37" t="str">
        <f t="shared" si="335"/>
        <v/>
      </c>
      <c r="T3085" s="38" t="str">
        <f t="shared" si="336"/>
        <v/>
      </c>
      <c r="U3085" s="37" t="str">
        <f t="shared" si="337"/>
        <v/>
      </c>
    </row>
    <row r="3086" spans="2:21" ht="17.25">
      <c r="B3086" s="156"/>
      <c r="C3086" s="156"/>
      <c r="D3086" s="157"/>
      <c r="E3086" s="155"/>
      <c r="F3086" s="151"/>
      <c r="G3086" s="152"/>
      <c r="H3086" s="153"/>
      <c r="I3086" s="154"/>
      <c r="J3086" s="154"/>
      <c r="K3086" s="30" t="str">
        <f>IF(H3086="","",IF($C$30="간이법","",FPR(H3086,I3086,J3086)))</f>
        <v/>
      </c>
      <c r="L3086" s="30" t="str">
        <f>IF(H3086="","",IF($C$30="상세법",FPV(H3086,K3086),IF(H3086="EI",4,IF(H3086="EO",5.2,IF(H3086="EQ",3.9,IF(H3086="ILF",7.5,IF(H3086="EIF",5.4)))))))</f>
        <v/>
      </c>
      <c r="M3086" s="30" t="str">
        <f t="shared" si="331"/>
        <v/>
      </c>
      <c r="N3086" s="134"/>
      <c r="O3086" s="29"/>
      <c r="P3086" s="37" t="str">
        <f t="shared" si="332"/>
        <v/>
      </c>
      <c r="Q3086" s="38" t="str">
        <f t="shared" si="333"/>
        <v/>
      </c>
      <c r="R3086" s="37" t="str">
        <f t="shared" si="334"/>
        <v/>
      </c>
      <c r="S3086" s="37" t="str">
        <f t="shared" si="335"/>
        <v/>
      </c>
      <c r="T3086" s="38" t="str">
        <f t="shared" si="336"/>
        <v/>
      </c>
      <c r="U3086" s="37" t="str">
        <f t="shared" si="337"/>
        <v/>
      </c>
    </row>
    <row r="3087" spans="2:21" ht="17.25">
      <c r="B3087" s="156"/>
      <c r="C3087" s="156"/>
      <c r="D3087" s="157"/>
      <c r="E3087" s="155"/>
      <c r="F3087" s="151"/>
      <c r="G3087" s="152"/>
      <c r="H3087" s="153"/>
      <c r="I3087" s="154"/>
      <c r="J3087" s="154"/>
      <c r="K3087" s="30" t="str">
        <f>IF(H3087="","",IF($C$30="간이법","",FPR(H3087,I3087,J3087)))</f>
        <v/>
      </c>
      <c r="L3087" s="30" t="str">
        <f>IF(H3087="","",IF($C$30="상세법",FPV(H3087,K3087),IF(H3087="EI",4,IF(H3087="EO",5.2,IF(H3087="EQ",3.9,IF(H3087="ILF",7.5,IF(H3087="EIF",5.4)))))))</f>
        <v/>
      </c>
      <c r="M3087" s="30" t="str">
        <f t="shared" si="331"/>
        <v/>
      </c>
      <c r="N3087" s="134"/>
      <c r="O3087" s="29"/>
      <c r="P3087" s="37" t="str">
        <f t="shared" si="332"/>
        <v/>
      </c>
      <c r="Q3087" s="38" t="str">
        <f t="shared" si="333"/>
        <v/>
      </c>
      <c r="R3087" s="37" t="str">
        <f t="shared" si="334"/>
        <v/>
      </c>
      <c r="S3087" s="37" t="str">
        <f t="shared" si="335"/>
        <v/>
      </c>
      <c r="T3087" s="38" t="str">
        <f t="shared" si="336"/>
        <v/>
      </c>
      <c r="U3087" s="37" t="str">
        <f t="shared" si="337"/>
        <v/>
      </c>
    </row>
    <row r="3088" spans="2:21" ht="17.25">
      <c r="B3088" s="156"/>
      <c r="C3088" s="156"/>
      <c r="D3088" s="157"/>
      <c r="E3088" s="155"/>
      <c r="F3088" s="151"/>
      <c r="G3088" s="152"/>
      <c r="H3088" s="153"/>
      <c r="I3088" s="154"/>
      <c r="J3088" s="154"/>
      <c r="K3088" s="30" t="str">
        <f>IF(H3088="","",IF($C$30="간이법","",FPR(H3088,I3088,J3088)))</f>
        <v/>
      </c>
      <c r="L3088" s="30" t="str">
        <f>IF(H3088="","",IF($C$30="상세법",FPV(H3088,K3088),IF(H3088="EI",4,IF(H3088="EO",5.2,IF(H3088="EQ",3.9,IF(H3088="ILF",7.5,IF(H3088="EIF",5.4)))))))</f>
        <v/>
      </c>
      <c r="M3088" s="30" t="str">
        <f t="shared" si="331"/>
        <v/>
      </c>
      <c r="N3088" s="134"/>
      <c r="O3088" s="29"/>
      <c r="P3088" s="37" t="str">
        <f t="shared" si="332"/>
        <v/>
      </c>
      <c r="Q3088" s="38" t="str">
        <f t="shared" si="333"/>
        <v/>
      </c>
      <c r="R3088" s="37" t="str">
        <f t="shared" si="334"/>
        <v/>
      </c>
      <c r="S3088" s="37" t="str">
        <f t="shared" si="335"/>
        <v/>
      </c>
      <c r="T3088" s="38" t="str">
        <f t="shared" si="336"/>
        <v/>
      </c>
      <c r="U3088" s="37" t="str">
        <f t="shared" si="337"/>
        <v/>
      </c>
    </row>
    <row r="3089" spans="2:21" ht="17.25">
      <c r="B3089" s="156"/>
      <c r="C3089" s="156"/>
      <c r="D3089" s="157"/>
      <c r="E3089" s="155"/>
      <c r="F3089" s="151"/>
      <c r="G3089" s="152"/>
      <c r="H3089" s="153"/>
      <c r="I3089" s="154"/>
      <c r="J3089" s="154"/>
      <c r="K3089" s="30" t="str">
        <f>IF(H3089="","",IF($C$30="간이법","",FPR(H3089,I3089,J3089)))</f>
        <v/>
      </c>
      <c r="L3089" s="30" t="str">
        <f>IF(H3089="","",IF($C$30="상세법",FPV(H3089,K3089),IF(H3089="EI",4,IF(H3089="EO",5.2,IF(H3089="EQ",3.9,IF(H3089="ILF",7.5,IF(H3089="EIF",5.4)))))))</f>
        <v/>
      </c>
      <c r="M3089" s="30" t="str">
        <f t="shared" si="331"/>
        <v/>
      </c>
      <c r="N3089" s="134"/>
      <c r="O3089" s="29"/>
      <c r="P3089" s="37" t="str">
        <f t="shared" si="332"/>
        <v/>
      </c>
      <c r="Q3089" s="38" t="str">
        <f t="shared" si="333"/>
        <v/>
      </c>
      <c r="R3089" s="37" t="str">
        <f t="shared" si="334"/>
        <v/>
      </c>
      <c r="S3089" s="37" t="str">
        <f t="shared" si="335"/>
        <v/>
      </c>
      <c r="T3089" s="38" t="str">
        <f t="shared" si="336"/>
        <v/>
      </c>
      <c r="U3089" s="37" t="str">
        <f t="shared" si="337"/>
        <v/>
      </c>
    </row>
    <row r="3090" spans="2:21" ht="17.25">
      <c r="B3090" s="156"/>
      <c r="C3090" s="156"/>
      <c r="D3090" s="157"/>
      <c r="E3090" s="155"/>
      <c r="F3090" s="151"/>
      <c r="G3090" s="152"/>
      <c r="H3090" s="153"/>
      <c r="I3090" s="154"/>
      <c r="J3090" s="154"/>
      <c r="K3090" s="30" t="str">
        <f>IF(H3090="","",IF($C$30="간이법","",FPR(H3090,I3090,J3090)))</f>
        <v/>
      </c>
      <c r="L3090" s="30" t="str">
        <f>IF(H3090="","",IF($C$30="상세법",FPV(H3090,K3090),IF(H3090="EI",4,IF(H3090="EO",5.2,IF(H3090="EQ",3.9,IF(H3090="ILF",7.5,IF(H3090="EIF",5.4)))))))</f>
        <v/>
      </c>
      <c r="M3090" s="30" t="str">
        <f t="shared" si="331"/>
        <v/>
      </c>
      <c r="N3090" s="134"/>
      <c r="O3090" s="29"/>
      <c r="P3090" s="37" t="str">
        <f t="shared" si="332"/>
        <v/>
      </c>
      <c r="Q3090" s="38" t="str">
        <f t="shared" si="333"/>
        <v/>
      </c>
      <c r="R3090" s="37" t="str">
        <f t="shared" si="334"/>
        <v/>
      </c>
      <c r="S3090" s="37" t="str">
        <f t="shared" si="335"/>
        <v/>
      </c>
      <c r="T3090" s="38" t="str">
        <f t="shared" si="336"/>
        <v/>
      </c>
      <c r="U3090" s="37" t="str">
        <f t="shared" si="337"/>
        <v/>
      </c>
    </row>
    <row r="3091" spans="2:21" ht="17.25">
      <c r="B3091" s="156"/>
      <c r="C3091" s="156"/>
      <c r="D3091" s="157"/>
      <c r="E3091" s="155"/>
      <c r="F3091" s="151"/>
      <c r="G3091" s="152"/>
      <c r="H3091" s="153"/>
      <c r="I3091" s="154"/>
      <c r="J3091" s="154"/>
      <c r="K3091" s="30" t="str">
        <f>IF(H3091="","",IF($C$30="간이법","",FPR(H3091,I3091,J3091)))</f>
        <v/>
      </c>
      <c r="L3091" s="30" t="str">
        <f>IF(H3091="","",IF($C$30="상세법",FPV(H3091,K3091),IF(H3091="EI",4,IF(H3091="EO",5.2,IF(H3091="EQ",3.9,IF(H3091="ILF",7.5,IF(H3091="EIF",5.4)))))))</f>
        <v/>
      </c>
      <c r="M3091" s="30" t="str">
        <f t="shared" si="331"/>
        <v/>
      </c>
      <c r="N3091" s="134"/>
      <c r="O3091" s="29"/>
      <c r="P3091" s="37" t="str">
        <f t="shared" si="332"/>
        <v/>
      </c>
      <c r="Q3091" s="38" t="str">
        <f t="shared" si="333"/>
        <v/>
      </c>
      <c r="R3091" s="37" t="str">
        <f t="shared" si="334"/>
        <v/>
      </c>
      <c r="S3091" s="37" t="str">
        <f t="shared" si="335"/>
        <v/>
      </c>
      <c r="T3091" s="38" t="str">
        <f t="shared" si="336"/>
        <v/>
      </c>
      <c r="U3091" s="37" t="str">
        <f t="shared" si="337"/>
        <v/>
      </c>
    </row>
    <row r="3092" spans="2:21" ht="17.25">
      <c r="B3092" s="156"/>
      <c r="C3092" s="156"/>
      <c r="D3092" s="157"/>
      <c r="E3092" s="155"/>
      <c r="F3092" s="151"/>
      <c r="G3092" s="152"/>
      <c r="H3092" s="153"/>
      <c r="I3092" s="154"/>
      <c r="J3092" s="154"/>
      <c r="K3092" s="30" t="str">
        <f>IF(H3092="","",IF($C$30="간이법","",FPR(H3092,I3092,J3092)))</f>
        <v/>
      </c>
      <c r="L3092" s="30" t="str">
        <f>IF(H3092="","",IF($C$30="상세법",FPV(H3092,K3092),IF(H3092="EI",4,IF(H3092="EO",5.2,IF(H3092="EQ",3.9,IF(H3092="ILF",7.5,IF(H3092="EIF",5.4)))))))</f>
        <v/>
      </c>
      <c r="M3092" s="30" t="str">
        <f t="shared" si="331"/>
        <v/>
      </c>
      <c r="N3092" s="134"/>
      <c r="O3092" s="29"/>
      <c r="P3092" s="37" t="str">
        <f t="shared" si="332"/>
        <v/>
      </c>
      <c r="Q3092" s="38" t="str">
        <f t="shared" si="333"/>
        <v/>
      </c>
      <c r="R3092" s="37" t="str">
        <f t="shared" si="334"/>
        <v/>
      </c>
      <c r="S3092" s="37" t="str">
        <f t="shared" si="335"/>
        <v/>
      </c>
      <c r="T3092" s="38" t="str">
        <f t="shared" si="336"/>
        <v/>
      </c>
      <c r="U3092" s="37" t="str">
        <f t="shared" si="337"/>
        <v/>
      </c>
    </row>
    <row r="3093" spans="2:21" ht="17.25">
      <c r="B3093" s="156"/>
      <c r="C3093" s="156"/>
      <c r="D3093" s="157"/>
      <c r="E3093" s="155"/>
      <c r="F3093" s="151"/>
      <c r="G3093" s="152"/>
      <c r="H3093" s="153"/>
      <c r="I3093" s="154"/>
      <c r="J3093" s="154"/>
      <c r="K3093" s="30" t="str">
        <f>IF(H3093="","",IF($C$30="간이법","",FPR(H3093,I3093,J3093)))</f>
        <v/>
      </c>
      <c r="L3093" s="30" t="str">
        <f>IF(H3093="","",IF($C$30="상세법",FPV(H3093,K3093),IF(H3093="EI",4,IF(H3093="EO",5.2,IF(H3093="EQ",3.9,IF(H3093="ILF",7.5,IF(H3093="EIF",5.4)))))))</f>
        <v/>
      </c>
      <c r="M3093" s="30" t="str">
        <f t="shared" si="331"/>
        <v/>
      </c>
      <c r="N3093" s="134"/>
      <c r="O3093" s="29"/>
      <c r="P3093" s="37" t="str">
        <f t="shared" si="332"/>
        <v/>
      </c>
      <c r="Q3093" s="38" t="str">
        <f t="shared" si="333"/>
        <v/>
      </c>
      <c r="R3093" s="37" t="str">
        <f t="shared" si="334"/>
        <v/>
      </c>
      <c r="S3093" s="37" t="str">
        <f t="shared" si="335"/>
        <v/>
      </c>
      <c r="T3093" s="38" t="str">
        <f t="shared" si="336"/>
        <v/>
      </c>
      <c r="U3093" s="37" t="str">
        <f t="shared" si="337"/>
        <v/>
      </c>
    </row>
    <row r="3094" spans="2:21" ht="17.25">
      <c r="B3094" s="156"/>
      <c r="C3094" s="156"/>
      <c r="D3094" s="157"/>
      <c r="E3094" s="155"/>
      <c r="F3094" s="151"/>
      <c r="G3094" s="152"/>
      <c r="H3094" s="153"/>
      <c r="I3094" s="154"/>
      <c r="J3094" s="154"/>
      <c r="K3094" s="30" t="str">
        <f>IF(H3094="","",IF($C$30="간이법","",FPR(H3094,I3094,J3094)))</f>
        <v/>
      </c>
      <c r="L3094" s="30" t="str">
        <f>IF(H3094="","",IF($C$30="상세법",FPV(H3094,K3094),IF(H3094="EI",4,IF(H3094="EO",5.2,IF(H3094="EQ",3.9,IF(H3094="ILF",7.5,IF(H3094="EIF",5.4)))))))</f>
        <v/>
      </c>
      <c r="M3094" s="30" t="str">
        <f t="shared" si="331"/>
        <v/>
      </c>
      <c r="N3094" s="134"/>
      <c r="O3094" s="29"/>
      <c r="P3094" s="37" t="str">
        <f t="shared" si="332"/>
        <v/>
      </c>
      <c r="Q3094" s="38" t="str">
        <f t="shared" si="333"/>
        <v/>
      </c>
      <c r="R3094" s="37" t="str">
        <f t="shared" si="334"/>
        <v/>
      </c>
      <c r="S3094" s="37" t="str">
        <f t="shared" si="335"/>
        <v/>
      </c>
      <c r="T3094" s="38" t="str">
        <f t="shared" si="336"/>
        <v/>
      </c>
      <c r="U3094" s="37" t="str">
        <f t="shared" si="337"/>
        <v/>
      </c>
    </row>
    <row r="3095" spans="2:21" ht="17.25">
      <c r="B3095" s="156"/>
      <c r="C3095" s="156"/>
      <c r="D3095" s="157"/>
      <c r="E3095" s="155"/>
      <c r="F3095" s="151"/>
      <c r="G3095" s="152"/>
      <c r="H3095" s="153"/>
      <c r="I3095" s="154"/>
      <c r="J3095" s="154"/>
      <c r="K3095" s="30" t="str">
        <f>IF(H3095="","",IF($C$30="간이법","",FPR(H3095,I3095,J3095)))</f>
        <v/>
      </c>
      <c r="L3095" s="30" t="str">
        <f>IF(H3095="","",IF($C$30="상세법",FPV(H3095,K3095),IF(H3095="EI",4,IF(H3095="EO",5.2,IF(H3095="EQ",3.9,IF(H3095="ILF",7.5,IF(H3095="EIF",5.4)))))))</f>
        <v/>
      </c>
      <c r="M3095" s="30" t="str">
        <f t="shared" si="331"/>
        <v/>
      </c>
      <c r="N3095" s="134"/>
      <c r="O3095" s="29"/>
      <c r="P3095" s="37" t="str">
        <f t="shared" si="332"/>
        <v/>
      </c>
      <c r="Q3095" s="38" t="str">
        <f t="shared" si="333"/>
        <v/>
      </c>
      <c r="R3095" s="37" t="str">
        <f t="shared" si="334"/>
        <v/>
      </c>
      <c r="S3095" s="37" t="str">
        <f t="shared" si="335"/>
        <v/>
      </c>
      <c r="T3095" s="38" t="str">
        <f t="shared" si="336"/>
        <v/>
      </c>
      <c r="U3095" s="37" t="str">
        <f t="shared" si="337"/>
        <v/>
      </c>
    </row>
    <row r="3096" spans="2:21" ht="17.25">
      <c r="B3096" s="156"/>
      <c r="C3096" s="156"/>
      <c r="D3096" s="157"/>
      <c r="E3096" s="155"/>
      <c r="F3096" s="151"/>
      <c r="G3096" s="152"/>
      <c r="H3096" s="153"/>
      <c r="I3096" s="154"/>
      <c r="J3096" s="154"/>
      <c r="K3096" s="30" t="str">
        <f>IF(H3096="","",IF($C$30="간이법","",FPR(H3096,I3096,J3096)))</f>
        <v/>
      </c>
      <c r="L3096" s="30" t="str">
        <f>IF(H3096="","",IF($C$30="상세법",FPV(H3096,K3096),IF(H3096="EI",4,IF(H3096="EO",5.2,IF(H3096="EQ",3.9,IF(H3096="ILF",7.5,IF(H3096="EIF",5.4)))))))</f>
        <v/>
      </c>
      <c r="M3096" s="30" t="str">
        <f t="shared" si="331"/>
        <v/>
      </c>
      <c r="N3096" s="134"/>
      <c r="O3096" s="29"/>
      <c r="P3096" s="37" t="str">
        <f t="shared" si="332"/>
        <v/>
      </c>
      <c r="Q3096" s="38" t="str">
        <f t="shared" si="333"/>
        <v/>
      </c>
      <c r="R3096" s="37" t="str">
        <f t="shared" si="334"/>
        <v/>
      </c>
      <c r="S3096" s="37" t="str">
        <f t="shared" si="335"/>
        <v/>
      </c>
      <c r="T3096" s="38" t="str">
        <f t="shared" si="336"/>
        <v/>
      </c>
      <c r="U3096" s="37" t="str">
        <f t="shared" si="337"/>
        <v/>
      </c>
    </row>
    <row r="3097" spans="2:21" ht="17.25">
      <c r="B3097" s="156"/>
      <c r="C3097" s="156"/>
      <c r="D3097" s="157"/>
      <c r="E3097" s="155"/>
      <c r="F3097" s="151"/>
      <c r="G3097" s="152"/>
      <c r="H3097" s="153"/>
      <c r="I3097" s="154"/>
      <c r="J3097" s="154"/>
      <c r="K3097" s="30" t="str">
        <f>IF(H3097="","",IF($C$30="간이법","",FPR(H3097,I3097,J3097)))</f>
        <v/>
      </c>
      <c r="L3097" s="30" t="str">
        <f>IF(H3097="","",IF($C$30="상세법",FPV(H3097,K3097),IF(H3097="EI",4,IF(H3097="EO",5.2,IF(H3097="EQ",3.9,IF(H3097="ILF",7.5,IF(H3097="EIF",5.4)))))))</f>
        <v/>
      </c>
      <c r="M3097" s="30" t="str">
        <f t="shared" si="331"/>
        <v/>
      </c>
      <c r="N3097" s="134"/>
      <c r="O3097" s="29"/>
      <c r="P3097" s="37" t="str">
        <f t="shared" si="332"/>
        <v/>
      </c>
      <c r="Q3097" s="38" t="str">
        <f t="shared" si="333"/>
        <v/>
      </c>
      <c r="R3097" s="37" t="str">
        <f t="shared" si="334"/>
        <v/>
      </c>
      <c r="S3097" s="37" t="str">
        <f t="shared" si="335"/>
        <v/>
      </c>
      <c r="T3097" s="38" t="str">
        <f t="shared" si="336"/>
        <v/>
      </c>
      <c r="U3097" s="37" t="str">
        <f t="shared" si="337"/>
        <v/>
      </c>
    </row>
    <row r="3098" spans="2:21" ht="17.25">
      <c r="B3098" s="156"/>
      <c r="C3098" s="156"/>
      <c r="D3098" s="157"/>
      <c r="E3098" s="155"/>
      <c r="F3098" s="151"/>
      <c r="G3098" s="152"/>
      <c r="H3098" s="153"/>
      <c r="I3098" s="154"/>
      <c r="J3098" s="154"/>
      <c r="K3098" s="30" t="str">
        <f>IF(H3098="","",IF($C$30="간이법","",FPR(H3098,I3098,J3098)))</f>
        <v/>
      </c>
      <c r="L3098" s="30" t="str">
        <f>IF(H3098="","",IF($C$30="상세법",FPV(H3098,K3098),IF(H3098="EI",4,IF(H3098="EO",5.2,IF(H3098="EQ",3.9,IF(H3098="ILF",7.5,IF(H3098="EIF",5.4)))))))</f>
        <v/>
      </c>
      <c r="M3098" s="30" t="str">
        <f t="shared" si="331"/>
        <v/>
      </c>
      <c r="N3098" s="134"/>
      <c r="O3098" s="29"/>
      <c r="P3098" s="37" t="str">
        <f t="shared" si="332"/>
        <v/>
      </c>
      <c r="Q3098" s="38" t="str">
        <f t="shared" si="333"/>
        <v/>
      </c>
      <c r="R3098" s="37" t="str">
        <f t="shared" si="334"/>
        <v/>
      </c>
      <c r="S3098" s="37" t="str">
        <f t="shared" si="335"/>
        <v/>
      </c>
      <c r="T3098" s="38" t="str">
        <f t="shared" si="336"/>
        <v/>
      </c>
      <c r="U3098" s="37" t="str">
        <f t="shared" si="337"/>
        <v/>
      </c>
    </row>
    <row r="3099" spans="2:21" ht="17.25">
      <c r="B3099" s="156"/>
      <c r="C3099" s="156"/>
      <c r="D3099" s="157"/>
      <c r="E3099" s="155"/>
      <c r="F3099" s="151"/>
      <c r="G3099" s="152"/>
      <c r="H3099" s="153"/>
      <c r="I3099" s="154"/>
      <c r="J3099" s="154"/>
      <c r="K3099" s="30" t="str">
        <f>IF(H3099="","",IF($C$30="간이법","",FPR(H3099,I3099,J3099)))</f>
        <v/>
      </c>
      <c r="L3099" s="30" t="str">
        <f>IF(H3099="","",IF($C$30="상세법",FPV(H3099,K3099),IF(H3099="EI",4,IF(H3099="EO",5.2,IF(H3099="EQ",3.9,IF(H3099="ILF",7.5,IF(H3099="EIF",5.4)))))))</f>
        <v/>
      </c>
      <c r="M3099" s="30" t="str">
        <f t="shared" si="331"/>
        <v/>
      </c>
      <c r="N3099" s="134"/>
      <c r="O3099" s="29"/>
      <c r="P3099" s="37" t="str">
        <f t="shared" si="332"/>
        <v/>
      </c>
      <c r="Q3099" s="38" t="str">
        <f t="shared" si="333"/>
        <v/>
      </c>
      <c r="R3099" s="37" t="str">
        <f t="shared" si="334"/>
        <v/>
      </c>
      <c r="S3099" s="37" t="str">
        <f t="shared" si="335"/>
        <v/>
      </c>
      <c r="T3099" s="38" t="str">
        <f t="shared" si="336"/>
        <v/>
      </c>
      <c r="U3099" s="37" t="str">
        <f t="shared" si="337"/>
        <v/>
      </c>
    </row>
    <row r="3100" spans="2:21" ht="17.25">
      <c r="B3100" s="156"/>
      <c r="C3100" s="156"/>
      <c r="D3100" s="157"/>
      <c r="E3100" s="155"/>
      <c r="F3100" s="151"/>
      <c r="G3100" s="152"/>
      <c r="H3100" s="153"/>
      <c r="I3100" s="154"/>
      <c r="J3100" s="154"/>
      <c r="K3100" s="30" t="str">
        <f>IF(H3100="","",IF($C$30="간이법","",FPR(H3100,I3100,J3100)))</f>
        <v/>
      </c>
      <c r="L3100" s="30" t="str">
        <f>IF(H3100="","",IF($C$30="상세법",FPV(H3100,K3100),IF(H3100="EI",4,IF(H3100="EO",5.2,IF(H3100="EQ",3.9,IF(H3100="ILF",7.5,IF(H3100="EIF",5.4)))))))</f>
        <v/>
      </c>
      <c r="M3100" s="30" t="str">
        <f t="shared" si="331"/>
        <v/>
      </c>
      <c r="N3100" s="134"/>
      <c r="O3100" s="29"/>
      <c r="P3100" s="37" t="str">
        <f t="shared" si="332"/>
        <v/>
      </c>
      <c r="Q3100" s="38" t="str">
        <f t="shared" si="333"/>
        <v/>
      </c>
      <c r="R3100" s="37" t="str">
        <f t="shared" si="334"/>
        <v/>
      </c>
      <c r="S3100" s="37" t="str">
        <f t="shared" si="335"/>
        <v/>
      </c>
      <c r="T3100" s="38" t="str">
        <f t="shared" si="336"/>
        <v/>
      </c>
      <c r="U3100" s="37" t="str">
        <f t="shared" si="337"/>
        <v/>
      </c>
    </row>
    <row r="3101" spans="2:21" ht="17.25">
      <c r="B3101" s="156"/>
      <c r="C3101" s="156"/>
      <c r="D3101" s="157"/>
      <c r="E3101" s="155"/>
      <c r="F3101" s="151"/>
      <c r="G3101" s="152"/>
      <c r="H3101" s="153"/>
      <c r="I3101" s="154"/>
      <c r="J3101" s="154"/>
      <c r="K3101" s="30" t="str">
        <f>IF(H3101="","",IF($C$30="간이법","",FPR(H3101,I3101,J3101)))</f>
        <v/>
      </c>
      <c r="L3101" s="30" t="str">
        <f>IF(H3101="","",IF($C$30="상세법",FPV(H3101,K3101),IF(H3101="EI",4,IF(H3101="EO",5.2,IF(H3101="EQ",3.9,IF(H3101="ILF",7.5,IF(H3101="EIF",5.4)))))))</f>
        <v/>
      </c>
      <c r="M3101" s="30" t="str">
        <f t="shared" si="331"/>
        <v/>
      </c>
      <c r="N3101" s="134"/>
      <c r="O3101" s="29"/>
      <c r="P3101" s="37" t="str">
        <f t="shared" si="332"/>
        <v/>
      </c>
      <c r="Q3101" s="38" t="str">
        <f t="shared" si="333"/>
        <v/>
      </c>
      <c r="R3101" s="37" t="str">
        <f t="shared" si="334"/>
        <v/>
      </c>
      <c r="S3101" s="37" t="str">
        <f t="shared" si="335"/>
        <v/>
      </c>
      <c r="T3101" s="38" t="str">
        <f t="shared" si="336"/>
        <v/>
      </c>
      <c r="U3101" s="37" t="str">
        <f t="shared" si="337"/>
        <v/>
      </c>
    </row>
    <row r="3102" spans="2:21" ht="17.25">
      <c r="B3102" s="156"/>
      <c r="C3102" s="156"/>
      <c r="D3102" s="157"/>
      <c r="E3102" s="155"/>
      <c r="F3102" s="151"/>
      <c r="G3102" s="152"/>
      <c r="H3102" s="153"/>
      <c r="I3102" s="154"/>
      <c r="J3102" s="154"/>
      <c r="K3102" s="30" t="str">
        <f>IF(H3102="","",IF($C$30="간이법","",FPR(H3102,I3102,J3102)))</f>
        <v/>
      </c>
      <c r="L3102" s="30" t="str">
        <f>IF(H3102="","",IF($C$30="상세법",FPV(H3102,K3102),IF(H3102="EI",4,IF(H3102="EO",5.2,IF(H3102="EQ",3.9,IF(H3102="ILF",7.5,IF(H3102="EIF",5.4)))))))</f>
        <v/>
      </c>
      <c r="M3102" s="30" t="str">
        <f t="shared" si="331"/>
        <v/>
      </c>
      <c r="N3102" s="134"/>
      <c r="O3102" s="29"/>
      <c r="P3102" s="37" t="str">
        <f t="shared" si="332"/>
        <v/>
      </c>
      <c r="Q3102" s="38" t="str">
        <f t="shared" si="333"/>
        <v/>
      </c>
      <c r="R3102" s="37" t="str">
        <f t="shared" si="334"/>
        <v/>
      </c>
      <c r="S3102" s="37" t="str">
        <f t="shared" si="335"/>
        <v/>
      </c>
      <c r="T3102" s="38" t="str">
        <f t="shared" si="336"/>
        <v/>
      </c>
      <c r="U3102" s="37" t="str">
        <f t="shared" si="337"/>
        <v/>
      </c>
    </row>
    <row r="3103" spans="2:21" ht="17.25">
      <c r="B3103" s="156"/>
      <c r="C3103" s="156"/>
      <c r="D3103" s="157"/>
      <c r="E3103" s="155"/>
      <c r="F3103" s="151"/>
      <c r="G3103" s="152"/>
      <c r="H3103" s="153"/>
      <c r="I3103" s="154"/>
      <c r="J3103" s="154"/>
      <c r="K3103" s="30" t="str">
        <f>IF(H3103="","",IF($C$30="간이법","",FPR(H3103,I3103,J3103)))</f>
        <v/>
      </c>
      <c r="L3103" s="30" t="str">
        <f>IF(H3103="","",IF($C$30="상세법",FPV(H3103,K3103),IF(H3103="EI",4,IF(H3103="EO",5.2,IF(H3103="EQ",3.9,IF(H3103="ILF",7.5,IF(H3103="EIF",5.4)))))))</f>
        <v/>
      </c>
      <c r="M3103" s="30" t="str">
        <f t="shared" si="331"/>
        <v/>
      </c>
      <c r="N3103" s="134"/>
      <c r="O3103" s="29"/>
      <c r="P3103" s="37" t="str">
        <f t="shared" si="332"/>
        <v/>
      </c>
      <c r="Q3103" s="38" t="str">
        <f t="shared" si="333"/>
        <v/>
      </c>
      <c r="R3103" s="37" t="str">
        <f t="shared" si="334"/>
        <v/>
      </c>
      <c r="S3103" s="37" t="str">
        <f t="shared" si="335"/>
        <v/>
      </c>
      <c r="T3103" s="38" t="str">
        <f t="shared" si="336"/>
        <v/>
      </c>
      <c r="U3103" s="37" t="str">
        <f t="shared" si="337"/>
        <v/>
      </c>
    </row>
    <row r="3104" spans="2:21" ht="17.25">
      <c r="B3104" s="156"/>
      <c r="C3104" s="156"/>
      <c r="D3104" s="157"/>
      <c r="E3104" s="155"/>
      <c r="F3104" s="151"/>
      <c r="G3104" s="152"/>
      <c r="H3104" s="153"/>
      <c r="I3104" s="154"/>
      <c r="J3104" s="154"/>
      <c r="K3104" s="30" t="str">
        <f>IF(H3104="","",IF($C$30="간이법","",FPR(H3104,I3104,J3104)))</f>
        <v/>
      </c>
      <c r="L3104" s="30" t="str">
        <f>IF(H3104="","",IF($C$30="상세법",FPV(H3104,K3104),IF(H3104="EI",4,IF(H3104="EO",5.2,IF(H3104="EQ",3.9,IF(H3104="ILF",7.5,IF(H3104="EIF",5.4)))))))</f>
        <v/>
      </c>
      <c r="M3104" s="30" t="str">
        <f t="shared" si="331"/>
        <v/>
      </c>
      <c r="N3104" s="134"/>
      <c r="O3104" s="29"/>
      <c r="P3104" s="37" t="str">
        <f t="shared" si="332"/>
        <v/>
      </c>
      <c r="Q3104" s="38" t="str">
        <f t="shared" si="333"/>
        <v/>
      </c>
      <c r="R3104" s="37" t="str">
        <f t="shared" si="334"/>
        <v/>
      </c>
      <c r="S3104" s="37" t="str">
        <f t="shared" si="335"/>
        <v/>
      </c>
      <c r="T3104" s="38" t="str">
        <f t="shared" si="336"/>
        <v/>
      </c>
      <c r="U3104" s="37" t="str">
        <f t="shared" si="337"/>
        <v/>
      </c>
    </row>
    <row r="3105" spans="2:21" ht="17.25">
      <c r="B3105" s="156"/>
      <c r="C3105" s="156"/>
      <c r="D3105" s="157"/>
      <c r="E3105" s="155"/>
      <c r="F3105" s="151"/>
      <c r="G3105" s="152"/>
      <c r="H3105" s="153"/>
      <c r="I3105" s="154"/>
      <c r="J3105" s="154"/>
      <c r="K3105" s="30" t="str">
        <f>IF(H3105="","",IF($C$30="간이법","",FPR(H3105,I3105,J3105)))</f>
        <v/>
      </c>
      <c r="L3105" s="30" t="str">
        <f>IF(H3105="","",IF($C$30="상세법",FPV(H3105,K3105),IF(H3105="EI",4,IF(H3105="EO",5.2,IF(H3105="EQ",3.9,IF(H3105="ILF",7.5,IF(H3105="EIF",5.4)))))))</f>
        <v/>
      </c>
      <c r="M3105" s="30" t="str">
        <f t="shared" si="331"/>
        <v/>
      </c>
      <c r="N3105" s="134"/>
      <c r="O3105" s="29"/>
      <c r="P3105" s="37" t="str">
        <f t="shared" si="332"/>
        <v/>
      </c>
      <c r="Q3105" s="38" t="str">
        <f t="shared" si="333"/>
        <v/>
      </c>
      <c r="R3105" s="37" t="str">
        <f t="shared" si="334"/>
        <v/>
      </c>
      <c r="S3105" s="37" t="str">
        <f t="shared" si="335"/>
        <v/>
      </c>
      <c r="T3105" s="38" t="str">
        <f t="shared" si="336"/>
        <v/>
      </c>
      <c r="U3105" s="37" t="str">
        <f t="shared" si="337"/>
        <v/>
      </c>
    </row>
    <row r="3106" spans="2:21" ht="17.25">
      <c r="B3106" s="156"/>
      <c r="C3106" s="156"/>
      <c r="D3106" s="157"/>
      <c r="E3106" s="155"/>
      <c r="F3106" s="151"/>
      <c r="G3106" s="152"/>
      <c r="H3106" s="153"/>
      <c r="I3106" s="154"/>
      <c r="J3106" s="154"/>
      <c r="K3106" s="30" t="str">
        <f>IF(H3106="","",IF($C$30="간이법","",FPR(H3106,I3106,J3106)))</f>
        <v/>
      </c>
      <c r="L3106" s="30" t="str">
        <f>IF(H3106="","",IF($C$30="상세법",FPV(H3106,K3106),IF(H3106="EI",4,IF(H3106="EO",5.2,IF(H3106="EQ",3.9,IF(H3106="ILF",7.5,IF(H3106="EIF",5.4)))))))</f>
        <v/>
      </c>
      <c r="M3106" s="30" t="str">
        <f t="shared" si="331"/>
        <v/>
      </c>
      <c r="N3106" s="134"/>
      <c r="O3106" s="29"/>
      <c r="P3106" s="37" t="str">
        <f t="shared" si="332"/>
        <v/>
      </c>
      <c r="Q3106" s="38" t="str">
        <f t="shared" si="333"/>
        <v/>
      </c>
      <c r="R3106" s="37" t="str">
        <f t="shared" si="334"/>
        <v/>
      </c>
      <c r="S3106" s="37" t="str">
        <f t="shared" si="335"/>
        <v/>
      </c>
      <c r="T3106" s="38" t="str">
        <f t="shared" si="336"/>
        <v/>
      </c>
      <c r="U3106" s="37" t="str">
        <f t="shared" si="337"/>
        <v/>
      </c>
    </row>
    <row r="3107" spans="2:21" ht="17.25">
      <c r="B3107" s="156"/>
      <c r="C3107" s="156"/>
      <c r="D3107" s="157"/>
      <c r="E3107" s="155"/>
      <c r="F3107" s="151"/>
      <c r="G3107" s="152"/>
      <c r="H3107" s="153"/>
      <c r="I3107" s="154"/>
      <c r="J3107" s="154"/>
      <c r="K3107" s="30" t="str">
        <f>IF(H3107="","",IF($C$30="간이법","",FPR(H3107,I3107,J3107)))</f>
        <v/>
      </c>
      <c r="L3107" s="30" t="str">
        <f>IF(H3107="","",IF($C$30="상세법",FPV(H3107,K3107),IF(H3107="EI",4,IF(H3107="EO",5.2,IF(H3107="EQ",3.9,IF(H3107="ILF",7.5,IF(H3107="EIF",5.4)))))))</f>
        <v/>
      </c>
      <c r="M3107" s="30" t="str">
        <f t="shared" si="331"/>
        <v/>
      </c>
      <c r="N3107" s="134"/>
      <c r="O3107" s="29"/>
      <c r="P3107" s="37" t="str">
        <f t="shared" si="332"/>
        <v/>
      </c>
      <c r="Q3107" s="38" t="str">
        <f t="shared" si="333"/>
        <v/>
      </c>
      <c r="R3107" s="37" t="str">
        <f t="shared" si="334"/>
        <v/>
      </c>
      <c r="S3107" s="37" t="str">
        <f t="shared" si="335"/>
        <v/>
      </c>
      <c r="T3107" s="38" t="str">
        <f t="shared" si="336"/>
        <v/>
      </c>
      <c r="U3107" s="37" t="str">
        <f t="shared" si="337"/>
        <v/>
      </c>
    </row>
    <row r="3108" spans="2:21" ht="17.25">
      <c r="B3108" s="156"/>
      <c r="C3108" s="156"/>
      <c r="D3108" s="157"/>
      <c r="E3108" s="155"/>
      <c r="F3108" s="151"/>
      <c r="G3108" s="152"/>
      <c r="H3108" s="153"/>
      <c r="I3108" s="154"/>
      <c r="J3108" s="154"/>
      <c r="K3108" s="30" t="str">
        <f>IF(H3108="","",IF($C$30="간이법","",FPR(H3108,I3108,J3108)))</f>
        <v/>
      </c>
      <c r="L3108" s="30" t="str">
        <f>IF(H3108="","",IF($C$30="상세법",FPV(H3108,K3108),IF(H3108="EI",4,IF(H3108="EO",5.2,IF(H3108="EQ",3.9,IF(H3108="ILF",7.5,IF(H3108="EIF",5.4)))))))</f>
        <v/>
      </c>
      <c r="M3108" s="30" t="str">
        <f t="shared" si="331"/>
        <v/>
      </c>
      <c r="N3108" s="134"/>
      <c r="O3108" s="29"/>
      <c r="P3108" s="37" t="str">
        <f t="shared" si="332"/>
        <v/>
      </c>
      <c r="Q3108" s="38" t="str">
        <f t="shared" si="333"/>
        <v/>
      </c>
      <c r="R3108" s="37" t="str">
        <f t="shared" si="334"/>
        <v/>
      </c>
      <c r="S3108" s="37" t="str">
        <f t="shared" si="335"/>
        <v/>
      </c>
      <c r="T3108" s="38" t="str">
        <f t="shared" si="336"/>
        <v/>
      </c>
      <c r="U3108" s="37" t="str">
        <f t="shared" si="337"/>
        <v/>
      </c>
    </row>
    <row r="3109" spans="2:21" ht="17.25">
      <c r="B3109" s="156"/>
      <c r="C3109" s="156"/>
      <c r="D3109" s="157"/>
      <c r="E3109" s="155"/>
      <c r="F3109" s="151"/>
      <c r="G3109" s="152"/>
      <c r="H3109" s="153"/>
      <c r="I3109" s="154"/>
      <c r="J3109" s="154"/>
      <c r="K3109" s="30" t="str">
        <f>IF(H3109="","",IF($C$30="간이법","",FPR(H3109,I3109,J3109)))</f>
        <v/>
      </c>
      <c r="L3109" s="30" t="str">
        <f>IF(H3109="","",IF($C$30="상세법",FPV(H3109,K3109),IF(H3109="EI",4,IF(H3109="EO",5.2,IF(H3109="EQ",3.9,IF(H3109="ILF",7.5,IF(H3109="EIF",5.4)))))))</f>
        <v/>
      </c>
      <c r="M3109" s="30" t="str">
        <f t="shared" si="331"/>
        <v/>
      </c>
      <c r="N3109" s="134"/>
      <c r="O3109" s="29"/>
      <c r="P3109" s="37" t="str">
        <f t="shared" si="332"/>
        <v/>
      </c>
      <c r="Q3109" s="38" t="str">
        <f t="shared" si="333"/>
        <v/>
      </c>
      <c r="R3109" s="37" t="str">
        <f t="shared" si="334"/>
        <v/>
      </c>
      <c r="S3109" s="37" t="str">
        <f t="shared" si="335"/>
        <v/>
      </c>
      <c r="T3109" s="38" t="str">
        <f t="shared" si="336"/>
        <v/>
      </c>
      <c r="U3109" s="37" t="str">
        <f t="shared" si="337"/>
        <v/>
      </c>
    </row>
    <row r="3110" spans="2:21" ht="17.25">
      <c r="B3110" s="156"/>
      <c r="C3110" s="156"/>
      <c r="D3110" s="157"/>
      <c r="E3110" s="155"/>
      <c r="F3110" s="151"/>
      <c r="G3110" s="152"/>
      <c r="H3110" s="153"/>
      <c r="I3110" s="154"/>
      <c r="J3110" s="154"/>
      <c r="K3110" s="30" t="str">
        <f>IF(H3110="","",IF($C$30="간이법","",FPR(H3110,I3110,J3110)))</f>
        <v/>
      </c>
      <c r="L3110" s="30" t="str">
        <f>IF(H3110="","",IF($C$30="상세법",FPV(H3110,K3110),IF(H3110="EI",4,IF(H3110="EO",5.2,IF(H3110="EQ",3.9,IF(H3110="ILF",7.5,IF(H3110="EIF",5.4)))))))</f>
        <v/>
      </c>
      <c r="M3110" s="30" t="str">
        <f t="shared" si="331"/>
        <v/>
      </c>
      <c r="N3110" s="134"/>
      <c r="O3110" s="29"/>
      <c r="P3110" s="37" t="str">
        <f t="shared" si="332"/>
        <v/>
      </c>
      <c r="Q3110" s="38" t="str">
        <f t="shared" si="333"/>
        <v/>
      </c>
      <c r="R3110" s="37" t="str">
        <f t="shared" si="334"/>
        <v/>
      </c>
      <c r="S3110" s="37" t="str">
        <f t="shared" si="335"/>
        <v/>
      </c>
      <c r="T3110" s="38" t="str">
        <f t="shared" si="336"/>
        <v/>
      </c>
      <c r="U3110" s="37" t="str">
        <f t="shared" si="337"/>
        <v/>
      </c>
    </row>
    <row r="3111" spans="2:21" ht="17.25">
      <c r="B3111" s="156"/>
      <c r="C3111" s="156"/>
      <c r="D3111" s="157"/>
      <c r="E3111" s="155"/>
      <c r="F3111" s="151"/>
      <c r="G3111" s="152"/>
      <c r="H3111" s="153"/>
      <c r="I3111" s="154"/>
      <c r="J3111" s="154"/>
      <c r="K3111" s="30" t="str">
        <f>IF(H3111="","",IF($C$30="간이법","",FPR(H3111,I3111,J3111)))</f>
        <v/>
      </c>
      <c r="L3111" s="30" t="str">
        <f>IF(H3111="","",IF($C$30="상세법",FPV(H3111,K3111),IF(H3111="EI",4,IF(H3111="EO",5.2,IF(H3111="EQ",3.9,IF(H3111="ILF",7.5,IF(H3111="EIF",5.4)))))))</f>
        <v/>
      </c>
      <c r="M3111" s="30" t="str">
        <f t="shared" si="331"/>
        <v/>
      </c>
      <c r="N3111" s="134"/>
      <c r="O3111" s="29"/>
      <c r="P3111" s="37" t="str">
        <f t="shared" si="332"/>
        <v/>
      </c>
      <c r="Q3111" s="38" t="str">
        <f t="shared" si="333"/>
        <v/>
      </c>
      <c r="R3111" s="37" t="str">
        <f t="shared" si="334"/>
        <v/>
      </c>
      <c r="S3111" s="37" t="str">
        <f t="shared" si="335"/>
        <v/>
      </c>
      <c r="T3111" s="38" t="str">
        <f t="shared" si="336"/>
        <v/>
      </c>
      <c r="U3111" s="37" t="str">
        <f t="shared" si="337"/>
        <v/>
      </c>
    </row>
    <row r="3112" spans="2:21" ht="17.25">
      <c r="B3112" s="156"/>
      <c r="C3112" s="156"/>
      <c r="D3112" s="157"/>
      <c r="E3112" s="155"/>
      <c r="F3112" s="151"/>
      <c r="G3112" s="152"/>
      <c r="H3112" s="153"/>
      <c r="I3112" s="154"/>
      <c r="J3112" s="154"/>
      <c r="K3112" s="30" t="str">
        <f>IF(H3112="","",IF($C$30="간이법","",FPR(H3112,I3112,J3112)))</f>
        <v/>
      </c>
      <c r="L3112" s="30" t="str">
        <f>IF(H3112="","",IF($C$30="상세법",FPV(H3112,K3112),IF(H3112="EI",4,IF(H3112="EO",5.2,IF(H3112="EQ",3.9,IF(H3112="ILF",7.5,IF(H3112="EIF",5.4)))))))</f>
        <v/>
      </c>
      <c r="M3112" s="30" t="str">
        <f t="shared" si="331"/>
        <v/>
      </c>
      <c r="N3112" s="134"/>
      <c r="O3112" s="29"/>
      <c r="P3112" s="37" t="str">
        <f t="shared" si="332"/>
        <v/>
      </c>
      <c r="Q3112" s="38" t="str">
        <f t="shared" si="333"/>
        <v/>
      </c>
      <c r="R3112" s="37" t="str">
        <f t="shared" si="334"/>
        <v/>
      </c>
      <c r="S3112" s="37" t="str">
        <f t="shared" si="335"/>
        <v/>
      </c>
      <c r="T3112" s="38" t="str">
        <f t="shared" si="336"/>
        <v/>
      </c>
      <c r="U3112" s="37" t="str">
        <f t="shared" si="337"/>
        <v/>
      </c>
    </row>
    <row r="3113" spans="2:21" ht="17.25">
      <c r="B3113" s="156"/>
      <c r="C3113" s="156"/>
      <c r="D3113" s="157"/>
      <c r="E3113" s="155"/>
      <c r="F3113" s="151"/>
      <c r="G3113" s="152"/>
      <c r="H3113" s="153"/>
      <c r="I3113" s="154"/>
      <c r="J3113" s="154"/>
      <c r="K3113" s="30" t="str">
        <f>IF(H3113="","",IF($C$30="간이법","",FPR(H3113,I3113,J3113)))</f>
        <v/>
      </c>
      <c r="L3113" s="30" t="str">
        <f>IF(H3113="","",IF($C$30="상세법",FPV(H3113,K3113),IF(H3113="EI",4,IF(H3113="EO",5.2,IF(H3113="EQ",3.9,IF(H3113="ILF",7.5,IF(H3113="EIF",5.4)))))))</f>
        <v/>
      </c>
      <c r="M3113" s="30" t="str">
        <f t="shared" si="331"/>
        <v/>
      </c>
      <c r="N3113" s="134"/>
      <c r="O3113" s="29"/>
      <c r="P3113" s="37" t="str">
        <f t="shared" si="332"/>
        <v/>
      </c>
      <c r="Q3113" s="38" t="str">
        <f t="shared" si="333"/>
        <v/>
      </c>
      <c r="R3113" s="37" t="str">
        <f t="shared" si="334"/>
        <v/>
      </c>
      <c r="S3113" s="37" t="str">
        <f t="shared" si="335"/>
        <v/>
      </c>
      <c r="T3113" s="38" t="str">
        <f t="shared" si="336"/>
        <v/>
      </c>
      <c r="U3113" s="37" t="str">
        <f t="shared" si="337"/>
        <v/>
      </c>
    </row>
    <row r="3114" spans="2:21" ht="17.25">
      <c r="B3114" s="156"/>
      <c r="C3114" s="156"/>
      <c r="D3114" s="157"/>
      <c r="E3114" s="155"/>
      <c r="F3114" s="151"/>
      <c r="G3114" s="152"/>
      <c r="H3114" s="153"/>
      <c r="I3114" s="154"/>
      <c r="J3114" s="154"/>
      <c r="K3114" s="30" t="str">
        <f>IF(H3114="","",IF($C$30="간이법","",FPR(H3114,I3114,J3114)))</f>
        <v/>
      </c>
      <c r="L3114" s="30" t="str">
        <f>IF(H3114="","",IF($C$30="상세법",FPV(H3114,K3114),IF(H3114="EI",4,IF(H3114="EO",5.2,IF(H3114="EQ",3.9,IF(H3114="ILF",7.5,IF(H3114="EIF",5.4)))))))</f>
        <v/>
      </c>
      <c r="M3114" s="30" t="str">
        <f t="shared" si="331"/>
        <v/>
      </c>
      <c r="N3114" s="134"/>
      <c r="O3114" s="29"/>
      <c r="P3114" s="37" t="str">
        <f t="shared" si="332"/>
        <v/>
      </c>
      <c r="Q3114" s="38" t="str">
        <f t="shared" si="333"/>
        <v/>
      </c>
      <c r="R3114" s="37" t="str">
        <f t="shared" si="334"/>
        <v/>
      </c>
      <c r="S3114" s="37" t="str">
        <f t="shared" si="335"/>
        <v/>
      </c>
      <c r="T3114" s="38" t="str">
        <f t="shared" si="336"/>
        <v/>
      </c>
      <c r="U3114" s="37" t="str">
        <f t="shared" si="337"/>
        <v/>
      </c>
    </row>
    <row r="3115" spans="2:21" ht="17.25">
      <c r="B3115" s="156"/>
      <c r="C3115" s="156"/>
      <c r="D3115" s="157"/>
      <c r="E3115" s="155"/>
      <c r="F3115" s="151"/>
      <c r="G3115" s="152"/>
      <c r="H3115" s="153"/>
      <c r="I3115" s="154"/>
      <c r="J3115" s="154"/>
      <c r="K3115" s="30" t="str">
        <f>IF(H3115="","",IF($C$30="간이법","",FPR(H3115,I3115,J3115)))</f>
        <v/>
      </c>
      <c r="L3115" s="30" t="str">
        <f>IF(H3115="","",IF($C$30="상세법",FPV(H3115,K3115),IF(H3115="EI",4,IF(H3115="EO",5.2,IF(H3115="EQ",3.9,IF(H3115="ILF",7.5,IF(H3115="EIF",5.4)))))))</f>
        <v/>
      </c>
      <c r="M3115" s="30" t="str">
        <f t="shared" si="331"/>
        <v/>
      </c>
      <c r="N3115" s="134"/>
      <c r="O3115" s="29"/>
      <c r="P3115" s="37" t="str">
        <f t="shared" si="332"/>
        <v/>
      </c>
      <c r="Q3115" s="38" t="str">
        <f t="shared" si="333"/>
        <v/>
      </c>
      <c r="R3115" s="37" t="str">
        <f t="shared" si="334"/>
        <v/>
      </c>
      <c r="S3115" s="37" t="str">
        <f t="shared" si="335"/>
        <v/>
      </c>
      <c r="T3115" s="38" t="str">
        <f t="shared" si="336"/>
        <v/>
      </c>
      <c r="U3115" s="37" t="str">
        <f t="shared" si="337"/>
        <v/>
      </c>
    </row>
    <row r="3116" spans="2:21" ht="17.25">
      <c r="B3116" s="156"/>
      <c r="C3116" s="156"/>
      <c r="D3116" s="157"/>
      <c r="E3116" s="155"/>
      <c r="F3116" s="151"/>
      <c r="G3116" s="152"/>
      <c r="H3116" s="153"/>
      <c r="I3116" s="154"/>
      <c r="J3116" s="154"/>
      <c r="K3116" s="30" t="str">
        <f>IF(H3116="","",IF($C$30="간이법","",FPR(H3116,I3116,J3116)))</f>
        <v/>
      </c>
      <c r="L3116" s="30" t="str">
        <f>IF(H3116="","",IF($C$30="상세법",FPV(H3116,K3116),IF(H3116="EI",4,IF(H3116="EO",5.2,IF(H3116="EQ",3.9,IF(H3116="ILF",7.5,IF(H3116="EIF",5.4)))))))</f>
        <v/>
      </c>
      <c r="M3116" s="30" t="str">
        <f t="shared" si="331"/>
        <v/>
      </c>
      <c r="N3116" s="134"/>
      <c r="O3116" s="29"/>
      <c r="P3116" s="37" t="str">
        <f t="shared" si="332"/>
        <v/>
      </c>
      <c r="Q3116" s="38" t="str">
        <f t="shared" si="333"/>
        <v/>
      </c>
      <c r="R3116" s="37" t="str">
        <f t="shared" si="334"/>
        <v/>
      </c>
      <c r="S3116" s="37" t="str">
        <f t="shared" si="335"/>
        <v/>
      </c>
      <c r="T3116" s="38" t="str">
        <f t="shared" si="336"/>
        <v/>
      </c>
      <c r="U3116" s="37" t="str">
        <f t="shared" si="337"/>
        <v/>
      </c>
    </row>
    <row r="3117" spans="2:21" ht="17.25">
      <c r="B3117" s="156"/>
      <c r="C3117" s="156"/>
      <c r="D3117" s="157"/>
      <c r="E3117" s="155"/>
      <c r="F3117" s="151"/>
      <c r="G3117" s="152"/>
      <c r="H3117" s="153"/>
      <c r="I3117" s="154"/>
      <c r="J3117" s="154"/>
      <c r="K3117" s="30" t="str">
        <f>IF(H3117="","",IF($C$30="간이법","",FPR(H3117,I3117,J3117)))</f>
        <v/>
      </c>
      <c r="L3117" s="30" t="str">
        <f>IF(H3117="","",IF($C$30="상세법",FPV(H3117,K3117),IF(H3117="EI",4,IF(H3117="EO",5.2,IF(H3117="EQ",3.9,IF(H3117="ILF",7.5,IF(H3117="EIF",5.4)))))))</f>
        <v/>
      </c>
      <c r="M3117" s="30" t="str">
        <f t="shared" si="331"/>
        <v/>
      </c>
      <c r="N3117" s="134"/>
      <c r="O3117" s="29"/>
      <c r="P3117" s="37" t="str">
        <f t="shared" si="332"/>
        <v/>
      </c>
      <c r="Q3117" s="38" t="str">
        <f t="shared" si="333"/>
        <v/>
      </c>
      <c r="R3117" s="37" t="str">
        <f t="shared" si="334"/>
        <v/>
      </c>
      <c r="S3117" s="37" t="str">
        <f t="shared" si="335"/>
        <v/>
      </c>
      <c r="T3117" s="38" t="str">
        <f t="shared" si="336"/>
        <v/>
      </c>
      <c r="U3117" s="37" t="str">
        <f t="shared" si="337"/>
        <v/>
      </c>
    </row>
    <row r="3118" spans="2:21" ht="17.25">
      <c r="B3118" s="156"/>
      <c r="C3118" s="156"/>
      <c r="D3118" s="157"/>
      <c r="E3118" s="155"/>
      <c r="F3118" s="151"/>
      <c r="G3118" s="152"/>
      <c r="H3118" s="153"/>
      <c r="I3118" s="154"/>
      <c r="J3118" s="154"/>
      <c r="K3118" s="30" t="str">
        <f>IF(H3118="","",IF($C$30="간이법","",FPR(H3118,I3118,J3118)))</f>
        <v/>
      </c>
      <c r="L3118" s="30" t="str">
        <f>IF(H3118="","",IF($C$30="상세법",FPV(H3118,K3118),IF(H3118="EI",4,IF(H3118="EO",5.2,IF(H3118="EQ",3.9,IF(H3118="ILF",7.5,IF(H3118="EIF",5.4)))))))</f>
        <v/>
      </c>
      <c r="M3118" s="30" t="str">
        <f t="shared" si="331"/>
        <v/>
      </c>
      <c r="N3118" s="134"/>
      <c r="O3118" s="29"/>
      <c r="P3118" s="37" t="str">
        <f t="shared" si="332"/>
        <v/>
      </c>
      <c r="Q3118" s="38" t="str">
        <f t="shared" si="333"/>
        <v/>
      </c>
      <c r="R3118" s="37" t="str">
        <f t="shared" si="334"/>
        <v/>
      </c>
      <c r="S3118" s="37" t="str">
        <f t="shared" si="335"/>
        <v/>
      </c>
      <c r="T3118" s="38" t="str">
        <f t="shared" si="336"/>
        <v/>
      </c>
      <c r="U3118" s="37" t="str">
        <f t="shared" si="337"/>
        <v/>
      </c>
    </row>
    <row r="3119" spans="2:21" ht="17.25">
      <c r="B3119" s="156"/>
      <c r="C3119" s="156"/>
      <c r="D3119" s="157"/>
      <c r="E3119" s="155"/>
      <c r="F3119" s="151"/>
      <c r="G3119" s="152"/>
      <c r="H3119" s="153"/>
      <c r="I3119" s="154"/>
      <c r="J3119" s="154"/>
      <c r="K3119" s="30" t="str">
        <f>IF(H3119="","",IF($C$30="간이법","",FPR(H3119,I3119,J3119)))</f>
        <v/>
      </c>
      <c r="L3119" s="30" t="str">
        <f>IF(H3119="","",IF($C$30="상세법",FPV(H3119,K3119),IF(H3119="EI",4,IF(H3119="EO",5.2,IF(H3119="EQ",3.9,IF(H3119="ILF",7.5,IF(H3119="EIF",5.4)))))))</f>
        <v/>
      </c>
      <c r="M3119" s="30" t="str">
        <f t="shared" si="331"/>
        <v/>
      </c>
      <c r="N3119" s="134"/>
      <c r="O3119" s="29"/>
      <c r="P3119" s="37" t="str">
        <f t="shared" si="332"/>
        <v/>
      </c>
      <c r="Q3119" s="38" t="str">
        <f t="shared" si="333"/>
        <v/>
      </c>
      <c r="R3119" s="37" t="str">
        <f t="shared" si="334"/>
        <v/>
      </c>
      <c r="S3119" s="37" t="str">
        <f t="shared" si="335"/>
        <v/>
      </c>
      <c r="T3119" s="38" t="str">
        <f t="shared" si="336"/>
        <v/>
      </c>
      <c r="U3119" s="37" t="str">
        <f t="shared" si="337"/>
        <v/>
      </c>
    </row>
    <row r="3120" spans="2:21" ht="17.25">
      <c r="B3120" s="156"/>
      <c r="C3120" s="156"/>
      <c r="D3120" s="157"/>
      <c r="E3120" s="155"/>
      <c r="F3120" s="151"/>
      <c r="G3120" s="152"/>
      <c r="H3120" s="153"/>
      <c r="I3120" s="154"/>
      <c r="J3120" s="154"/>
      <c r="K3120" s="30" t="str">
        <f>IF(H3120="","",IF($C$30="간이법","",FPR(H3120,I3120,J3120)))</f>
        <v/>
      </c>
      <c r="L3120" s="30" t="str">
        <f>IF(H3120="","",IF($C$30="상세법",FPV(H3120,K3120),IF(H3120="EI",4,IF(H3120="EO",5.2,IF(H3120="EQ",3.9,IF(H3120="ILF",7.5,IF(H3120="EIF",5.4)))))))</f>
        <v/>
      </c>
      <c r="M3120" s="30" t="str">
        <f t="shared" si="331"/>
        <v/>
      </c>
      <c r="N3120" s="134"/>
      <c r="O3120" s="29"/>
      <c r="P3120" s="37" t="str">
        <f t="shared" si="332"/>
        <v/>
      </c>
      <c r="Q3120" s="38" t="str">
        <f t="shared" si="333"/>
        <v/>
      </c>
      <c r="R3120" s="37" t="str">
        <f t="shared" si="334"/>
        <v/>
      </c>
      <c r="S3120" s="37" t="str">
        <f t="shared" si="335"/>
        <v/>
      </c>
      <c r="T3120" s="38" t="str">
        <f t="shared" si="336"/>
        <v/>
      </c>
      <c r="U3120" s="37" t="str">
        <f t="shared" si="337"/>
        <v/>
      </c>
    </row>
    <row r="3121" spans="2:21" ht="17.25">
      <c r="B3121" s="156"/>
      <c r="C3121" s="156"/>
      <c r="D3121" s="157"/>
      <c r="E3121" s="155"/>
      <c r="F3121" s="151"/>
      <c r="G3121" s="152"/>
      <c r="H3121" s="153"/>
      <c r="I3121" s="154"/>
      <c r="J3121" s="154"/>
      <c r="K3121" s="30" t="str">
        <f>IF(H3121="","",IF($C$30="간이법","",FPR(H3121,I3121,J3121)))</f>
        <v/>
      </c>
      <c r="L3121" s="30" t="str">
        <f>IF(H3121="","",IF($C$30="상세법",FPV(H3121,K3121),IF(H3121="EI",4,IF(H3121="EO",5.2,IF(H3121="EQ",3.9,IF(H3121="ILF",7.5,IF(H3121="EIF",5.4)))))))</f>
        <v/>
      </c>
      <c r="M3121" s="30" t="str">
        <f t="shared" si="331"/>
        <v/>
      </c>
      <c r="N3121" s="134"/>
      <c r="O3121" s="29"/>
      <c r="P3121" s="37" t="str">
        <f t="shared" si="332"/>
        <v/>
      </c>
      <c r="Q3121" s="38" t="str">
        <f t="shared" si="333"/>
        <v/>
      </c>
      <c r="R3121" s="37" t="str">
        <f t="shared" si="334"/>
        <v/>
      </c>
      <c r="S3121" s="37" t="str">
        <f t="shared" si="335"/>
        <v/>
      </c>
      <c r="T3121" s="38" t="str">
        <f t="shared" si="336"/>
        <v/>
      </c>
      <c r="U3121" s="37" t="str">
        <f t="shared" si="337"/>
        <v/>
      </c>
    </row>
    <row r="3122" spans="2:21" ht="17.25">
      <c r="B3122" s="156"/>
      <c r="C3122" s="156"/>
      <c r="D3122" s="157"/>
      <c r="E3122" s="155"/>
      <c r="F3122" s="151"/>
      <c r="G3122" s="152"/>
      <c r="H3122" s="153"/>
      <c r="I3122" s="154"/>
      <c r="J3122" s="154"/>
      <c r="K3122" s="30" t="str">
        <f>IF(H3122="","",IF($C$30="간이법","",FPR(H3122,I3122,J3122)))</f>
        <v/>
      </c>
      <c r="L3122" s="30" t="str">
        <f>IF(H3122="","",IF($C$30="상세법",FPV(H3122,K3122),IF(H3122="EI",4,IF(H3122="EO",5.2,IF(H3122="EQ",3.9,IF(H3122="ILF",7.5,IF(H3122="EIF",5.4)))))))</f>
        <v/>
      </c>
      <c r="M3122" s="30" t="str">
        <f t="shared" si="331"/>
        <v/>
      </c>
      <c r="N3122" s="134"/>
      <c r="O3122" s="29"/>
      <c r="P3122" s="37" t="str">
        <f t="shared" si="332"/>
        <v/>
      </c>
      <c r="Q3122" s="38" t="str">
        <f t="shared" si="333"/>
        <v/>
      </c>
      <c r="R3122" s="37" t="str">
        <f t="shared" si="334"/>
        <v/>
      </c>
      <c r="S3122" s="37" t="str">
        <f t="shared" si="335"/>
        <v/>
      </c>
      <c r="T3122" s="38" t="str">
        <f t="shared" si="336"/>
        <v/>
      </c>
      <c r="U3122" s="37" t="str">
        <f t="shared" si="337"/>
        <v/>
      </c>
    </row>
    <row r="3123" spans="2:21" ht="17.25">
      <c r="B3123" s="156"/>
      <c r="C3123" s="156"/>
      <c r="D3123" s="157"/>
      <c r="E3123" s="155"/>
      <c r="F3123" s="151"/>
      <c r="G3123" s="152"/>
      <c r="H3123" s="153"/>
      <c r="I3123" s="154"/>
      <c r="J3123" s="154"/>
      <c r="K3123" s="30" t="str">
        <f>IF(H3123="","",IF($C$30="간이법","",FPR(H3123,I3123,J3123)))</f>
        <v/>
      </c>
      <c r="L3123" s="30" t="str">
        <f>IF(H3123="","",IF($C$30="상세법",FPV(H3123,K3123),IF(H3123="EI",4,IF(H3123="EO",5.2,IF(H3123="EQ",3.9,IF(H3123="ILF",7.5,IF(H3123="EIF",5.4)))))))</f>
        <v/>
      </c>
      <c r="M3123" s="30" t="str">
        <f t="shared" si="331"/>
        <v/>
      </c>
      <c r="N3123" s="134"/>
      <c r="O3123" s="29"/>
      <c r="P3123" s="37" t="str">
        <f t="shared" si="332"/>
        <v/>
      </c>
      <c r="Q3123" s="38" t="str">
        <f t="shared" si="333"/>
        <v/>
      </c>
      <c r="R3123" s="37" t="str">
        <f t="shared" si="334"/>
        <v/>
      </c>
      <c r="S3123" s="37" t="str">
        <f t="shared" si="335"/>
        <v/>
      </c>
      <c r="T3123" s="38" t="str">
        <f t="shared" si="336"/>
        <v/>
      </c>
      <c r="U3123" s="37" t="str">
        <f t="shared" si="337"/>
        <v/>
      </c>
    </row>
    <row r="3124" spans="2:21" ht="17.25">
      <c r="B3124" s="156"/>
      <c r="C3124" s="156"/>
      <c r="D3124" s="157"/>
      <c r="E3124" s="155"/>
      <c r="F3124" s="151"/>
      <c r="G3124" s="152"/>
      <c r="H3124" s="153"/>
      <c r="I3124" s="154"/>
      <c r="J3124" s="154"/>
      <c r="K3124" s="30" t="str">
        <f>IF(H3124="","",IF($C$30="간이법","",FPR(H3124,I3124,J3124)))</f>
        <v/>
      </c>
      <c r="L3124" s="30" t="str">
        <f>IF(H3124="","",IF($C$30="상세법",FPV(H3124,K3124),IF(H3124="EI",4,IF(H3124="EO",5.2,IF(H3124="EQ",3.9,IF(H3124="ILF",7.5,IF(H3124="EIF",5.4)))))))</f>
        <v/>
      </c>
      <c r="M3124" s="30" t="str">
        <f t="shared" si="331"/>
        <v/>
      </c>
      <c r="N3124" s="134"/>
      <c r="O3124" s="29"/>
      <c r="P3124" s="37" t="str">
        <f t="shared" si="332"/>
        <v/>
      </c>
      <c r="Q3124" s="38" t="str">
        <f t="shared" si="333"/>
        <v/>
      </c>
      <c r="R3124" s="37" t="str">
        <f t="shared" si="334"/>
        <v/>
      </c>
      <c r="S3124" s="37" t="str">
        <f t="shared" si="335"/>
        <v/>
      </c>
      <c r="T3124" s="38" t="str">
        <f t="shared" si="336"/>
        <v/>
      </c>
      <c r="U3124" s="37" t="str">
        <f t="shared" si="337"/>
        <v/>
      </c>
    </row>
    <row r="3125" spans="2:21" ht="17.25">
      <c r="B3125" s="156"/>
      <c r="C3125" s="156"/>
      <c r="D3125" s="157"/>
      <c r="E3125" s="155"/>
      <c r="F3125" s="151"/>
      <c r="G3125" s="152"/>
      <c r="H3125" s="153"/>
      <c r="I3125" s="154"/>
      <c r="J3125" s="154"/>
      <c r="K3125" s="30" t="str">
        <f>IF(H3125="","",IF($C$30="간이법","",FPR(H3125,I3125,J3125)))</f>
        <v/>
      </c>
      <c r="L3125" s="30" t="str">
        <f>IF(H3125="","",IF($C$30="상세법",FPV(H3125,K3125),IF(H3125="EI",4,IF(H3125="EO",5.2,IF(H3125="EQ",3.9,IF(H3125="ILF",7.5,IF(H3125="EIF",5.4)))))))</f>
        <v/>
      </c>
      <c r="M3125" s="30" t="str">
        <f t="shared" si="331"/>
        <v/>
      </c>
      <c r="N3125" s="134"/>
      <c r="O3125" s="29"/>
      <c r="P3125" s="37" t="str">
        <f t="shared" si="332"/>
        <v/>
      </c>
      <c r="Q3125" s="38" t="str">
        <f t="shared" si="333"/>
        <v/>
      </c>
      <c r="R3125" s="37" t="str">
        <f t="shared" si="334"/>
        <v/>
      </c>
      <c r="S3125" s="37" t="str">
        <f t="shared" si="335"/>
        <v/>
      </c>
      <c r="T3125" s="38" t="str">
        <f t="shared" si="336"/>
        <v/>
      </c>
      <c r="U3125" s="37" t="str">
        <f t="shared" si="337"/>
        <v/>
      </c>
    </row>
    <row r="3126" spans="2:21" ht="17.25">
      <c r="B3126" s="156"/>
      <c r="C3126" s="156"/>
      <c r="D3126" s="157"/>
      <c r="E3126" s="155"/>
      <c r="F3126" s="151"/>
      <c r="G3126" s="152"/>
      <c r="H3126" s="153"/>
      <c r="I3126" s="154"/>
      <c r="J3126" s="154"/>
      <c r="K3126" s="30" t="str">
        <f>IF(H3126="","",IF($C$30="간이법","",FPR(H3126,I3126,J3126)))</f>
        <v/>
      </c>
      <c r="L3126" s="30" t="str">
        <f>IF(H3126="","",IF($C$30="상세법",FPV(H3126,K3126),IF(H3126="EI",4,IF(H3126="EO",5.2,IF(H3126="EQ",3.9,IF(H3126="ILF",7.5,IF(H3126="EIF",5.4)))))))</f>
        <v/>
      </c>
      <c r="M3126" s="30" t="str">
        <f t="shared" si="331"/>
        <v/>
      </c>
      <c r="N3126" s="134"/>
      <c r="O3126" s="29"/>
      <c r="P3126" s="37" t="str">
        <f t="shared" si="332"/>
        <v/>
      </c>
      <c r="Q3126" s="38" t="str">
        <f t="shared" si="333"/>
        <v/>
      </c>
      <c r="R3126" s="37" t="str">
        <f t="shared" si="334"/>
        <v/>
      </c>
      <c r="S3126" s="37" t="str">
        <f t="shared" si="335"/>
        <v/>
      </c>
      <c r="T3126" s="38" t="str">
        <f t="shared" si="336"/>
        <v/>
      </c>
      <c r="U3126" s="37" t="str">
        <f t="shared" si="337"/>
        <v/>
      </c>
    </row>
    <row r="3127" spans="2:21" ht="17.25">
      <c r="B3127" s="156"/>
      <c r="C3127" s="156"/>
      <c r="D3127" s="157"/>
      <c r="E3127" s="155"/>
      <c r="F3127" s="151"/>
      <c r="G3127" s="152"/>
      <c r="H3127" s="153"/>
      <c r="I3127" s="154"/>
      <c r="J3127" s="154"/>
      <c r="K3127" s="30" t="str">
        <f>IF(H3127="","",IF($C$30="간이법","",FPR(H3127,I3127,J3127)))</f>
        <v/>
      </c>
      <c r="L3127" s="30" t="str">
        <f>IF(H3127="","",IF($C$30="상세법",FPV(H3127,K3127),IF(H3127="EI",4,IF(H3127="EO",5.2,IF(H3127="EQ",3.9,IF(H3127="ILF",7.5,IF(H3127="EIF",5.4)))))))</f>
        <v/>
      </c>
      <c r="M3127" s="30" t="str">
        <f t="shared" si="331"/>
        <v/>
      </c>
      <c r="N3127" s="134"/>
      <c r="O3127" s="29"/>
      <c r="P3127" s="37" t="str">
        <f t="shared" si="332"/>
        <v/>
      </c>
      <c r="Q3127" s="38" t="str">
        <f t="shared" si="333"/>
        <v/>
      </c>
      <c r="R3127" s="37" t="str">
        <f t="shared" si="334"/>
        <v/>
      </c>
      <c r="S3127" s="37" t="str">
        <f t="shared" si="335"/>
        <v/>
      </c>
      <c r="T3127" s="38" t="str">
        <f t="shared" si="336"/>
        <v/>
      </c>
      <c r="U3127" s="37" t="str">
        <f t="shared" si="337"/>
        <v/>
      </c>
    </row>
    <row r="3128" spans="2:21" ht="17.25">
      <c r="B3128" s="156"/>
      <c r="C3128" s="156"/>
      <c r="D3128" s="157"/>
      <c r="E3128" s="155"/>
      <c r="F3128" s="151"/>
      <c r="G3128" s="152"/>
      <c r="H3128" s="153"/>
      <c r="I3128" s="154"/>
      <c r="J3128" s="154"/>
      <c r="K3128" s="30" t="str">
        <f>IF(H3128="","",IF($C$30="간이법","",FPR(H3128,I3128,J3128)))</f>
        <v/>
      </c>
      <c r="L3128" s="30" t="str">
        <f>IF(H3128="","",IF($C$30="상세법",FPV(H3128,K3128),IF(H3128="EI",4,IF(H3128="EO",5.2,IF(H3128="EQ",3.9,IF(H3128="ILF",7.5,IF(H3128="EIF",5.4)))))))</f>
        <v/>
      </c>
      <c r="M3128" s="30" t="str">
        <f t="shared" si="331"/>
        <v/>
      </c>
      <c r="N3128" s="134"/>
      <c r="O3128" s="29"/>
      <c r="P3128" s="37" t="str">
        <f t="shared" si="332"/>
        <v/>
      </c>
      <c r="Q3128" s="38" t="str">
        <f t="shared" si="333"/>
        <v/>
      </c>
      <c r="R3128" s="37" t="str">
        <f t="shared" si="334"/>
        <v/>
      </c>
      <c r="S3128" s="37" t="str">
        <f t="shared" si="335"/>
        <v/>
      </c>
      <c r="T3128" s="38" t="str">
        <f t="shared" si="336"/>
        <v/>
      </c>
      <c r="U3128" s="37" t="str">
        <f t="shared" si="337"/>
        <v/>
      </c>
    </row>
    <row r="3129" spans="2:21" ht="17.25">
      <c r="B3129" s="156"/>
      <c r="C3129" s="156"/>
      <c r="D3129" s="157"/>
      <c r="E3129" s="155"/>
      <c r="F3129" s="151"/>
      <c r="G3129" s="152"/>
      <c r="H3129" s="153"/>
      <c r="I3129" s="154"/>
      <c r="J3129" s="154"/>
      <c r="K3129" s="30" t="str">
        <f>IF(H3129="","",IF($C$30="간이법","",FPR(H3129,I3129,J3129)))</f>
        <v/>
      </c>
      <c r="L3129" s="30" t="str">
        <f>IF(H3129="","",IF($C$30="상세법",FPV(H3129,K3129),IF(H3129="EI",4,IF(H3129="EO",5.2,IF(H3129="EQ",3.9,IF(H3129="ILF",7.5,IF(H3129="EIF",5.4)))))))</f>
        <v/>
      </c>
      <c r="M3129" s="30" t="str">
        <f t="shared" si="331"/>
        <v/>
      </c>
      <c r="N3129" s="134"/>
      <c r="O3129" s="29"/>
      <c r="P3129" s="37" t="str">
        <f t="shared" si="332"/>
        <v/>
      </c>
      <c r="Q3129" s="38" t="str">
        <f t="shared" si="333"/>
        <v/>
      </c>
      <c r="R3129" s="37" t="str">
        <f t="shared" si="334"/>
        <v/>
      </c>
      <c r="S3129" s="37" t="str">
        <f t="shared" si="335"/>
        <v/>
      </c>
      <c r="T3129" s="38" t="str">
        <f t="shared" si="336"/>
        <v/>
      </c>
      <c r="U3129" s="37" t="str">
        <f t="shared" si="337"/>
        <v/>
      </c>
    </row>
    <row r="3130" spans="2:21" ht="17.25">
      <c r="B3130" s="156"/>
      <c r="C3130" s="156"/>
      <c r="D3130" s="157"/>
      <c r="E3130" s="155"/>
      <c r="F3130" s="151"/>
      <c r="G3130" s="152"/>
      <c r="H3130" s="153"/>
      <c r="I3130" s="154"/>
      <c r="J3130" s="154"/>
      <c r="K3130" s="30" t="str">
        <f>IF(H3130="","",IF($C$30="간이법","",FPR(H3130,I3130,J3130)))</f>
        <v/>
      </c>
      <c r="L3130" s="30" t="str">
        <f>IF(H3130="","",IF($C$30="상세법",FPV(H3130,K3130),IF(H3130="EI",4,IF(H3130="EO",5.2,IF(H3130="EQ",3.9,IF(H3130="ILF",7.5,IF(H3130="EIF",5.4)))))))</f>
        <v/>
      </c>
      <c r="M3130" s="30" t="str">
        <f t="shared" si="331"/>
        <v/>
      </c>
      <c r="N3130" s="134"/>
      <c r="O3130" s="29"/>
      <c r="P3130" s="37" t="str">
        <f t="shared" si="332"/>
        <v/>
      </c>
      <c r="Q3130" s="38" t="str">
        <f t="shared" si="333"/>
        <v/>
      </c>
      <c r="R3130" s="37" t="str">
        <f t="shared" si="334"/>
        <v/>
      </c>
      <c r="S3130" s="37" t="str">
        <f t="shared" si="335"/>
        <v/>
      </c>
      <c r="T3130" s="38" t="str">
        <f t="shared" si="336"/>
        <v/>
      </c>
      <c r="U3130" s="37" t="str">
        <f t="shared" si="337"/>
        <v/>
      </c>
    </row>
    <row r="3131" spans="2:21" ht="17.25">
      <c r="B3131" s="156"/>
      <c r="C3131" s="156"/>
      <c r="D3131" s="157"/>
      <c r="E3131" s="155"/>
      <c r="F3131" s="151"/>
      <c r="G3131" s="152"/>
      <c r="H3131" s="153"/>
      <c r="I3131" s="154"/>
      <c r="J3131" s="154"/>
      <c r="K3131" s="30" t="str">
        <f>IF(H3131="","",IF($C$30="간이법","",FPR(H3131,I3131,J3131)))</f>
        <v/>
      </c>
      <c r="L3131" s="30" t="str">
        <f>IF(H3131="","",IF($C$30="상세법",FPV(H3131,K3131),IF(H3131="EI",4,IF(H3131="EO",5.2,IF(H3131="EQ",3.9,IF(H3131="ILF",7.5,IF(H3131="EIF",5.4)))))))</f>
        <v/>
      </c>
      <c r="M3131" s="30" t="str">
        <f t="shared" si="331"/>
        <v/>
      </c>
      <c r="N3131" s="134"/>
      <c r="O3131" s="29"/>
      <c r="P3131" s="37" t="str">
        <f t="shared" si="332"/>
        <v/>
      </c>
      <c r="Q3131" s="38" t="str">
        <f t="shared" si="333"/>
        <v/>
      </c>
      <c r="R3131" s="37" t="str">
        <f t="shared" si="334"/>
        <v/>
      </c>
      <c r="S3131" s="37" t="str">
        <f t="shared" si="335"/>
        <v/>
      </c>
      <c r="T3131" s="38" t="str">
        <f t="shared" si="336"/>
        <v/>
      </c>
      <c r="U3131" s="37" t="str">
        <f t="shared" si="337"/>
        <v/>
      </c>
    </row>
    <row r="3132" spans="2:21" ht="17.25">
      <c r="B3132" s="156"/>
      <c r="C3132" s="156"/>
      <c r="D3132" s="157"/>
      <c r="E3132" s="155"/>
      <c r="F3132" s="151"/>
      <c r="G3132" s="152"/>
      <c r="H3132" s="153"/>
      <c r="I3132" s="154"/>
      <c r="J3132" s="154"/>
      <c r="K3132" s="30" t="str">
        <f>IF(H3132="","",IF($C$30="간이법","",FPR(H3132,I3132,J3132)))</f>
        <v/>
      </c>
      <c r="L3132" s="30" t="str">
        <f>IF(H3132="","",IF($C$30="상세법",FPV(H3132,K3132),IF(H3132="EI",4,IF(H3132="EO",5.2,IF(H3132="EQ",3.9,IF(H3132="ILF",7.5,IF(H3132="EIF",5.4)))))))</f>
        <v/>
      </c>
      <c r="M3132" s="30" t="str">
        <f t="shared" ref="M3132:M3195" si="338">IF(OR(G3132="",$E$36="(선택)",$E$40="(선택)",$E$41="(선택)",F3132="신규 개발",F3132="수정 없이 재사용"),"",(IF(F3132="수정 후 재사용",IF($E$50&lt;=0.5,L3132*($E$36+$E$50*100*(1+0.02*($E$40*$E$41)))/100,L3132*($E$36+$E$50*100+($E$40*$E$41))/100))))</f>
        <v/>
      </c>
      <c r="N3132" s="134"/>
      <c r="O3132" s="29"/>
      <c r="P3132" s="37" t="str">
        <f t="shared" ref="P3132:P3195" si="339">IF(F3132="수정 후 재사용",IF(H3132="ILF",G3132,IF(H3132="EIF",G3132,"")),"")</f>
        <v/>
      </c>
      <c r="Q3132" s="38" t="str">
        <f t="shared" ref="Q3132:Q3195" si="340">IF(P3132&lt;&gt;"",IF(H3132="ILF", L3132/$E$46,IF(H3132="EIF", L3132/$E$46,"")),"")</f>
        <v/>
      </c>
      <c r="R3132" s="37" t="str">
        <f t="shared" ref="R3132:R3195" si="341">IF(P3132&lt;&gt;"",P3132*Q3132,"")</f>
        <v/>
      </c>
      <c r="S3132" s="37" t="str">
        <f t="shared" ref="S3132:S3195" si="342">IF(F3132="수정 후 재사용",IF(H3132="EI",G3132,IF(H3132="EO",G3132,IF(H3132="EQ",G3132,""))),"")</f>
        <v/>
      </c>
      <c r="T3132" s="38" t="str">
        <f t="shared" ref="T3132:T3195" si="343">IF(S3132&lt;&gt;"",IF(H3132="EI",L3132/$E$47,IF(H3132="EO",L3132/$E$47,IF(H3132="EQ",L3132/$E$47,""))),"")</f>
        <v/>
      </c>
      <c r="U3132" s="37" t="str">
        <f t="shared" ref="U3132:U3195" si="344">IF(S3132&lt;&gt;"",S3132*T3132,"")</f>
        <v/>
      </c>
    </row>
    <row r="3133" spans="2:21" ht="17.25">
      <c r="B3133" s="156"/>
      <c r="C3133" s="156"/>
      <c r="D3133" s="157"/>
      <c r="E3133" s="155"/>
      <c r="F3133" s="151"/>
      <c r="G3133" s="152"/>
      <c r="H3133" s="153"/>
      <c r="I3133" s="154"/>
      <c r="J3133" s="154"/>
      <c r="K3133" s="30" t="str">
        <f>IF(H3133="","",IF($C$30="간이법","",FPR(H3133,I3133,J3133)))</f>
        <v/>
      </c>
      <c r="L3133" s="30" t="str">
        <f>IF(H3133="","",IF($C$30="상세법",FPV(H3133,K3133),IF(H3133="EI",4,IF(H3133="EO",5.2,IF(H3133="EQ",3.9,IF(H3133="ILF",7.5,IF(H3133="EIF",5.4)))))))</f>
        <v/>
      </c>
      <c r="M3133" s="30" t="str">
        <f t="shared" si="338"/>
        <v/>
      </c>
      <c r="N3133" s="134"/>
      <c r="O3133" s="29"/>
      <c r="P3133" s="37" t="str">
        <f t="shared" si="339"/>
        <v/>
      </c>
      <c r="Q3133" s="38" t="str">
        <f t="shared" si="340"/>
        <v/>
      </c>
      <c r="R3133" s="37" t="str">
        <f t="shared" si="341"/>
        <v/>
      </c>
      <c r="S3133" s="37" t="str">
        <f t="shared" si="342"/>
        <v/>
      </c>
      <c r="T3133" s="38" t="str">
        <f t="shared" si="343"/>
        <v/>
      </c>
      <c r="U3133" s="37" t="str">
        <f t="shared" si="344"/>
        <v/>
      </c>
    </row>
    <row r="3134" spans="2:21" ht="17.25">
      <c r="B3134" s="156"/>
      <c r="C3134" s="156"/>
      <c r="D3134" s="157"/>
      <c r="E3134" s="155"/>
      <c r="F3134" s="151"/>
      <c r="G3134" s="152"/>
      <c r="H3134" s="153"/>
      <c r="I3134" s="154"/>
      <c r="J3134" s="154"/>
      <c r="K3134" s="30" t="str">
        <f>IF(H3134="","",IF($C$30="간이법","",FPR(H3134,I3134,J3134)))</f>
        <v/>
      </c>
      <c r="L3134" s="30" t="str">
        <f>IF(H3134="","",IF($C$30="상세법",FPV(H3134,K3134),IF(H3134="EI",4,IF(H3134="EO",5.2,IF(H3134="EQ",3.9,IF(H3134="ILF",7.5,IF(H3134="EIF",5.4)))))))</f>
        <v/>
      </c>
      <c r="M3134" s="30" t="str">
        <f t="shared" si="338"/>
        <v/>
      </c>
      <c r="N3134" s="134"/>
      <c r="O3134" s="29"/>
      <c r="P3134" s="37" t="str">
        <f t="shared" si="339"/>
        <v/>
      </c>
      <c r="Q3134" s="38" t="str">
        <f t="shared" si="340"/>
        <v/>
      </c>
      <c r="R3134" s="37" t="str">
        <f t="shared" si="341"/>
        <v/>
      </c>
      <c r="S3134" s="37" t="str">
        <f t="shared" si="342"/>
        <v/>
      </c>
      <c r="T3134" s="38" t="str">
        <f t="shared" si="343"/>
        <v/>
      </c>
      <c r="U3134" s="37" t="str">
        <f t="shared" si="344"/>
        <v/>
      </c>
    </row>
    <row r="3135" spans="2:21" ht="17.25">
      <c r="B3135" s="156"/>
      <c r="C3135" s="156"/>
      <c r="D3135" s="157"/>
      <c r="E3135" s="155"/>
      <c r="F3135" s="151"/>
      <c r="G3135" s="152"/>
      <c r="H3135" s="153"/>
      <c r="I3135" s="154"/>
      <c r="J3135" s="154"/>
      <c r="K3135" s="30" t="str">
        <f>IF(H3135="","",IF($C$30="간이법","",FPR(H3135,I3135,J3135)))</f>
        <v/>
      </c>
      <c r="L3135" s="30" t="str">
        <f>IF(H3135="","",IF($C$30="상세법",FPV(H3135,K3135),IF(H3135="EI",4,IF(H3135="EO",5.2,IF(H3135="EQ",3.9,IF(H3135="ILF",7.5,IF(H3135="EIF",5.4)))))))</f>
        <v/>
      </c>
      <c r="M3135" s="30" t="str">
        <f t="shared" si="338"/>
        <v/>
      </c>
      <c r="N3135" s="134"/>
      <c r="O3135" s="29"/>
      <c r="P3135" s="37" t="str">
        <f t="shared" si="339"/>
        <v/>
      </c>
      <c r="Q3135" s="38" t="str">
        <f t="shared" si="340"/>
        <v/>
      </c>
      <c r="R3135" s="37" t="str">
        <f t="shared" si="341"/>
        <v/>
      </c>
      <c r="S3135" s="37" t="str">
        <f t="shared" si="342"/>
        <v/>
      </c>
      <c r="T3135" s="38" t="str">
        <f t="shared" si="343"/>
        <v/>
      </c>
      <c r="U3135" s="37" t="str">
        <f t="shared" si="344"/>
        <v/>
      </c>
    </row>
    <row r="3136" spans="2:21" ht="17.25">
      <c r="B3136" s="156"/>
      <c r="C3136" s="156"/>
      <c r="D3136" s="157"/>
      <c r="E3136" s="155"/>
      <c r="F3136" s="151"/>
      <c r="G3136" s="152"/>
      <c r="H3136" s="153"/>
      <c r="I3136" s="154"/>
      <c r="J3136" s="154"/>
      <c r="K3136" s="30" t="str">
        <f>IF(H3136="","",IF($C$30="간이법","",FPR(H3136,I3136,J3136)))</f>
        <v/>
      </c>
      <c r="L3136" s="30" t="str">
        <f>IF(H3136="","",IF($C$30="상세법",FPV(H3136,K3136),IF(H3136="EI",4,IF(H3136="EO",5.2,IF(H3136="EQ",3.9,IF(H3136="ILF",7.5,IF(H3136="EIF",5.4)))))))</f>
        <v/>
      </c>
      <c r="M3136" s="30" t="str">
        <f t="shared" si="338"/>
        <v/>
      </c>
      <c r="N3136" s="134"/>
      <c r="O3136" s="29"/>
      <c r="P3136" s="37" t="str">
        <f t="shared" si="339"/>
        <v/>
      </c>
      <c r="Q3136" s="38" t="str">
        <f t="shared" si="340"/>
        <v/>
      </c>
      <c r="R3136" s="37" t="str">
        <f t="shared" si="341"/>
        <v/>
      </c>
      <c r="S3136" s="37" t="str">
        <f t="shared" si="342"/>
        <v/>
      </c>
      <c r="T3136" s="38" t="str">
        <f t="shared" si="343"/>
        <v/>
      </c>
      <c r="U3136" s="37" t="str">
        <f t="shared" si="344"/>
        <v/>
      </c>
    </row>
    <row r="3137" spans="2:21" ht="17.25">
      <c r="B3137" s="156"/>
      <c r="C3137" s="156"/>
      <c r="D3137" s="157"/>
      <c r="E3137" s="155"/>
      <c r="F3137" s="151"/>
      <c r="G3137" s="152"/>
      <c r="H3137" s="153"/>
      <c r="I3137" s="154"/>
      <c r="J3137" s="154"/>
      <c r="K3137" s="30" t="str">
        <f>IF(H3137="","",IF($C$30="간이법","",FPR(H3137,I3137,J3137)))</f>
        <v/>
      </c>
      <c r="L3137" s="30" t="str">
        <f>IF(H3137="","",IF($C$30="상세법",FPV(H3137,K3137),IF(H3137="EI",4,IF(H3137="EO",5.2,IF(H3137="EQ",3.9,IF(H3137="ILF",7.5,IF(H3137="EIF",5.4)))))))</f>
        <v/>
      </c>
      <c r="M3137" s="30" t="str">
        <f t="shared" si="338"/>
        <v/>
      </c>
      <c r="N3137" s="134"/>
      <c r="O3137" s="29"/>
      <c r="P3137" s="37" t="str">
        <f t="shared" si="339"/>
        <v/>
      </c>
      <c r="Q3137" s="38" t="str">
        <f t="shared" si="340"/>
        <v/>
      </c>
      <c r="R3137" s="37" t="str">
        <f t="shared" si="341"/>
        <v/>
      </c>
      <c r="S3137" s="37" t="str">
        <f t="shared" si="342"/>
        <v/>
      </c>
      <c r="T3137" s="38" t="str">
        <f t="shared" si="343"/>
        <v/>
      </c>
      <c r="U3137" s="37" t="str">
        <f t="shared" si="344"/>
        <v/>
      </c>
    </row>
    <row r="3138" spans="2:21" ht="17.25">
      <c r="B3138" s="156"/>
      <c r="C3138" s="156"/>
      <c r="D3138" s="157"/>
      <c r="E3138" s="155"/>
      <c r="F3138" s="151"/>
      <c r="G3138" s="152"/>
      <c r="H3138" s="153"/>
      <c r="I3138" s="154"/>
      <c r="J3138" s="154"/>
      <c r="K3138" s="30" t="str">
        <f>IF(H3138="","",IF($C$30="간이법","",FPR(H3138,I3138,J3138)))</f>
        <v/>
      </c>
      <c r="L3138" s="30" t="str">
        <f>IF(H3138="","",IF($C$30="상세법",FPV(H3138,K3138),IF(H3138="EI",4,IF(H3138="EO",5.2,IF(H3138="EQ",3.9,IF(H3138="ILF",7.5,IF(H3138="EIF",5.4)))))))</f>
        <v/>
      </c>
      <c r="M3138" s="30" t="str">
        <f t="shared" si="338"/>
        <v/>
      </c>
      <c r="N3138" s="134"/>
      <c r="O3138" s="29"/>
      <c r="P3138" s="37" t="str">
        <f t="shared" si="339"/>
        <v/>
      </c>
      <c r="Q3138" s="38" t="str">
        <f t="shared" si="340"/>
        <v/>
      </c>
      <c r="R3138" s="37" t="str">
        <f t="shared" si="341"/>
        <v/>
      </c>
      <c r="S3138" s="37" t="str">
        <f t="shared" si="342"/>
        <v/>
      </c>
      <c r="T3138" s="38" t="str">
        <f t="shared" si="343"/>
        <v/>
      </c>
      <c r="U3138" s="37" t="str">
        <f t="shared" si="344"/>
        <v/>
      </c>
    </row>
    <row r="3139" spans="2:21" ht="17.25">
      <c r="B3139" s="156"/>
      <c r="C3139" s="156"/>
      <c r="D3139" s="157"/>
      <c r="E3139" s="155"/>
      <c r="F3139" s="151"/>
      <c r="G3139" s="152"/>
      <c r="H3139" s="153"/>
      <c r="I3139" s="154"/>
      <c r="J3139" s="154"/>
      <c r="K3139" s="30" t="str">
        <f>IF(H3139="","",IF($C$30="간이법","",FPR(H3139,I3139,J3139)))</f>
        <v/>
      </c>
      <c r="L3139" s="30" t="str">
        <f>IF(H3139="","",IF($C$30="상세법",FPV(H3139,K3139),IF(H3139="EI",4,IF(H3139="EO",5.2,IF(H3139="EQ",3.9,IF(H3139="ILF",7.5,IF(H3139="EIF",5.4)))))))</f>
        <v/>
      </c>
      <c r="M3139" s="30" t="str">
        <f t="shared" si="338"/>
        <v/>
      </c>
      <c r="N3139" s="134"/>
      <c r="O3139" s="29"/>
      <c r="P3139" s="37" t="str">
        <f t="shared" si="339"/>
        <v/>
      </c>
      <c r="Q3139" s="38" t="str">
        <f t="shared" si="340"/>
        <v/>
      </c>
      <c r="R3139" s="37" t="str">
        <f t="shared" si="341"/>
        <v/>
      </c>
      <c r="S3139" s="37" t="str">
        <f t="shared" si="342"/>
        <v/>
      </c>
      <c r="T3139" s="38" t="str">
        <f t="shared" si="343"/>
        <v/>
      </c>
      <c r="U3139" s="37" t="str">
        <f t="shared" si="344"/>
        <v/>
      </c>
    </row>
    <row r="3140" spans="2:21" ht="17.25">
      <c r="B3140" s="156"/>
      <c r="C3140" s="156"/>
      <c r="D3140" s="157"/>
      <c r="E3140" s="155"/>
      <c r="F3140" s="151"/>
      <c r="G3140" s="152"/>
      <c r="H3140" s="153"/>
      <c r="I3140" s="154"/>
      <c r="J3140" s="154"/>
      <c r="K3140" s="30" t="str">
        <f>IF(H3140="","",IF($C$30="간이법","",FPR(H3140,I3140,J3140)))</f>
        <v/>
      </c>
      <c r="L3140" s="30" t="str">
        <f>IF(H3140="","",IF($C$30="상세법",FPV(H3140,K3140),IF(H3140="EI",4,IF(H3140="EO",5.2,IF(H3140="EQ",3.9,IF(H3140="ILF",7.5,IF(H3140="EIF",5.4)))))))</f>
        <v/>
      </c>
      <c r="M3140" s="30" t="str">
        <f t="shared" si="338"/>
        <v/>
      </c>
      <c r="N3140" s="134"/>
      <c r="O3140" s="29"/>
      <c r="P3140" s="37" t="str">
        <f t="shared" si="339"/>
        <v/>
      </c>
      <c r="Q3140" s="38" t="str">
        <f t="shared" si="340"/>
        <v/>
      </c>
      <c r="R3140" s="37" t="str">
        <f t="shared" si="341"/>
        <v/>
      </c>
      <c r="S3140" s="37" t="str">
        <f t="shared" si="342"/>
        <v/>
      </c>
      <c r="T3140" s="38" t="str">
        <f t="shared" si="343"/>
        <v/>
      </c>
      <c r="U3140" s="37" t="str">
        <f t="shared" si="344"/>
        <v/>
      </c>
    </row>
    <row r="3141" spans="2:21" ht="17.25">
      <c r="B3141" s="156"/>
      <c r="C3141" s="156"/>
      <c r="D3141" s="157"/>
      <c r="E3141" s="155"/>
      <c r="F3141" s="151"/>
      <c r="G3141" s="152"/>
      <c r="H3141" s="153"/>
      <c r="I3141" s="154"/>
      <c r="J3141" s="154"/>
      <c r="K3141" s="30" t="str">
        <f>IF(H3141="","",IF($C$30="간이법","",FPR(H3141,I3141,J3141)))</f>
        <v/>
      </c>
      <c r="L3141" s="30" t="str">
        <f>IF(H3141="","",IF($C$30="상세법",FPV(H3141,K3141),IF(H3141="EI",4,IF(H3141="EO",5.2,IF(H3141="EQ",3.9,IF(H3141="ILF",7.5,IF(H3141="EIF",5.4)))))))</f>
        <v/>
      </c>
      <c r="M3141" s="30" t="str">
        <f t="shared" si="338"/>
        <v/>
      </c>
      <c r="N3141" s="134"/>
      <c r="O3141" s="29"/>
      <c r="P3141" s="37" t="str">
        <f t="shared" si="339"/>
        <v/>
      </c>
      <c r="Q3141" s="38" t="str">
        <f t="shared" si="340"/>
        <v/>
      </c>
      <c r="R3141" s="37" t="str">
        <f t="shared" si="341"/>
        <v/>
      </c>
      <c r="S3141" s="37" t="str">
        <f t="shared" si="342"/>
        <v/>
      </c>
      <c r="T3141" s="38" t="str">
        <f t="shared" si="343"/>
        <v/>
      </c>
      <c r="U3141" s="37" t="str">
        <f t="shared" si="344"/>
        <v/>
      </c>
    </row>
    <row r="3142" spans="2:21" ht="17.25">
      <c r="B3142" s="156"/>
      <c r="C3142" s="156"/>
      <c r="D3142" s="157"/>
      <c r="E3142" s="155"/>
      <c r="F3142" s="151"/>
      <c r="G3142" s="152"/>
      <c r="H3142" s="153"/>
      <c r="I3142" s="154"/>
      <c r="J3142" s="154"/>
      <c r="K3142" s="30" t="str">
        <f>IF(H3142="","",IF($C$30="간이법","",FPR(H3142,I3142,J3142)))</f>
        <v/>
      </c>
      <c r="L3142" s="30" t="str">
        <f>IF(H3142="","",IF($C$30="상세법",FPV(H3142,K3142),IF(H3142="EI",4,IF(H3142="EO",5.2,IF(H3142="EQ",3.9,IF(H3142="ILF",7.5,IF(H3142="EIF",5.4)))))))</f>
        <v/>
      </c>
      <c r="M3142" s="30" t="str">
        <f t="shared" si="338"/>
        <v/>
      </c>
      <c r="N3142" s="134"/>
      <c r="O3142" s="29"/>
      <c r="P3142" s="37" t="str">
        <f t="shared" si="339"/>
        <v/>
      </c>
      <c r="Q3142" s="38" t="str">
        <f t="shared" si="340"/>
        <v/>
      </c>
      <c r="R3142" s="37" t="str">
        <f t="shared" si="341"/>
        <v/>
      </c>
      <c r="S3142" s="37" t="str">
        <f t="shared" si="342"/>
        <v/>
      </c>
      <c r="T3142" s="38" t="str">
        <f t="shared" si="343"/>
        <v/>
      </c>
      <c r="U3142" s="37" t="str">
        <f t="shared" si="344"/>
        <v/>
      </c>
    </row>
    <row r="3143" spans="2:21" ht="17.25">
      <c r="B3143" s="156"/>
      <c r="C3143" s="156"/>
      <c r="D3143" s="157"/>
      <c r="E3143" s="155"/>
      <c r="F3143" s="151"/>
      <c r="G3143" s="152"/>
      <c r="H3143" s="153"/>
      <c r="I3143" s="154"/>
      <c r="J3143" s="154"/>
      <c r="K3143" s="30" t="str">
        <f>IF(H3143="","",IF($C$30="간이법","",FPR(H3143,I3143,J3143)))</f>
        <v/>
      </c>
      <c r="L3143" s="30" t="str">
        <f>IF(H3143="","",IF($C$30="상세법",FPV(H3143,K3143),IF(H3143="EI",4,IF(H3143="EO",5.2,IF(H3143="EQ",3.9,IF(H3143="ILF",7.5,IF(H3143="EIF",5.4)))))))</f>
        <v/>
      </c>
      <c r="M3143" s="30" t="str">
        <f t="shared" si="338"/>
        <v/>
      </c>
      <c r="N3143" s="134"/>
      <c r="O3143" s="29"/>
      <c r="P3143" s="37" t="str">
        <f t="shared" si="339"/>
        <v/>
      </c>
      <c r="Q3143" s="38" t="str">
        <f t="shared" si="340"/>
        <v/>
      </c>
      <c r="R3143" s="37" t="str">
        <f t="shared" si="341"/>
        <v/>
      </c>
      <c r="S3143" s="37" t="str">
        <f t="shared" si="342"/>
        <v/>
      </c>
      <c r="T3143" s="38" t="str">
        <f t="shared" si="343"/>
        <v/>
      </c>
      <c r="U3143" s="37" t="str">
        <f t="shared" si="344"/>
        <v/>
      </c>
    </row>
    <row r="3144" spans="2:21" ht="17.25">
      <c r="B3144" s="156"/>
      <c r="C3144" s="156"/>
      <c r="D3144" s="157"/>
      <c r="E3144" s="155"/>
      <c r="F3144" s="151"/>
      <c r="G3144" s="152"/>
      <c r="H3144" s="153"/>
      <c r="I3144" s="154"/>
      <c r="J3144" s="154"/>
      <c r="K3144" s="30" t="str">
        <f>IF(H3144="","",IF($C$30="간이법","",FPR(H3144,I3144,J3144)))</f>
        <v/>
      </c>
      <c r="L3144" s="30" t="str">
        <f>IF(H3144="","",IF($C$30="상세법",FPV(H3144,K3144),IF(H3144="EI",4,IF(H3144="EO",5.2,IF(H3144="EQ",3.9,IF(H3144="ILF",7.5,IF(H3144="EIF",5.4)))))))</f>
        <v/>
      </c>
      <c r="M3144" s="30" t="str">
        <f t="shared" si="338"/>
        <v/>
      </c>
      <c r="N3144" s="134"/>
      <c r="O3144" s="29"/>
      <c r="P3144" s="37" t="str">
        <f t="shared" si="339"/>
        <v/>
      </c>
      <c r="Q3144" s="38" t="str">
        <f t="shared" si="340"/>
        <v/>
      </c>
      <c r="R3144" s="37" t="str">
        <f t="shared" si="341"/>
        <v/>
      </c>
      <c r="S3144" s="37" t="str">
        <f t="shared" si="342"/>
        <v/>
      </c>
      <c r="T3144" s="38" t="str">
        <f t="shared" si="343"/>
        <v/>
      </c>
      <c r="U3144" s="37" t="str">
        <f t="shared" si="344"/>
        <v/>
      </c>
    </row>
    <row r="3145" spans="2:21" ht="17.25">
      <c r="B3145" s="156"/>
      <c r="C3145" s="156"/>
      <c r="D3145" s="157"/>
      <c r="E3145" s="155"/>
      <c r="F3145" s="151"/>
      <c r="G3145" s="152"/>
      <c r="H3145" s="153"/>
      <c r="I3145" s="154"/>
      <c r="J3145" s="154"/>
      <c r="K3145" s="30" t="str">
        <f>IF(H3145="","",IF($C$30="간이법","",FPR(H3145,I3145,J3145)))</f>
        <v/>
      </c>
      <c r="L3145" s="30" t="str">
        <f>IF(H3145="","",IF($C$30="상세법",FPV(H3145,K3145),IF(H3145="EI",4,IF(H3145="EO",5.2,IF(H3145="EQ",3.9,IF(H3145="ILF",7.5,IF(H3145="EIF",5.4)))))))</f>
        <v/>
      </c>
      <c r="M3145" s="30" t="str">
        <f t="shared" si="338"/>
        <v/>
      </c>
      <c r="N3145" s="134"/>
      <c r="O3145" s="29"/>
      <c r="P3145" s="37" t="str">
        <f t="shared" si="339"/>
        <v/>
      </c>
      <c r="Q3145" s="38" t="str">
        <f t="shared" si="340"/>
        <v/>
      </c>
      <c r="R3145" s="37" t="str">
        <f t="shared" si="341"/>
        <v/>
      </c>
      <c r="S3145" s="37" t="str">
        <f t="shared" si="342"/>
        <v/>
      </c>
      <c r="T3145" s="38" t="str">
        <f t="shared" si="343"/>
        <v/>
      </c>
      <c r="U3145" s="37" t="str">
        <f t="shared" si="344"/>
        <v/>
      </c>
    </row>
    <row r="3146" spans="2:21" ht="17.25">
      <c r="B3146" s="156"/>
      <c r="C3146" s="156"/>
      <c r="D3146" s="157"/>
      <c r="E3146" s="155"/>
      <c r="F3146" s="151"/>
      <c r="G3146" s="152"/>
      <c r="H3146" s="153"/>
      <c r="I3146" s="154"/>
      <c r="J3146" s="154"/>
      <c r="K3146" s="30" t="str">
        <f>IF(H3146="","",IF($C$30="간이법","",FPR(H3146,I3146,J3146)))</f>
        <v/>
      </c>
      <c r="L3146" s="30" t="str">
        <f>IF(H3146="","",IF($C$30="상세법",FPV(H3146,K3146),IF(H3146="EI",4,IF(H3146="EO",5.2,IF(H3146="EQ",3.9,IF(H3146="ILF",7.5,IF(H3146="EIF",5.4)))))))</f>
        <v/>
      </c>
      <c r="M3146" s="30" t="str">
        <f t="shared" si="338"/>
        <v/>
      </c>
      <c r="N3146" s="134"/>
      <c r="O3146" s="29"/>
      <c r="P3146" s="37" t="str">
        <f t="shared" si="339"/>
        <v/>
      </c>
      <c r="Q3146" s="38" t="str">
        <f t="shared" si="340"/>
        <v/>
      </c>
      <c r="R3146" s="37" t="str">
        <f t="shared" si="341"/>
        <v/>
      </c>
      <c r="S3146" s="37" t="str">
        <f t="shared" si="342"/>
        <v/>
      </c>
      <c r="T3146" s="38" t="str">
        <f t="shared" si="343"/>
        <v/>
      </c>
      <c r="U3146" s="37" t="str">
        <f t="shared" si="344"/>
        <v/>
      </c>
    </row>
    <row r="3147" spans="2:21" ht="17.25">
      <c r="B3147" s="156"/>
      <c r="C3147" s="156"/>
      <c r="D3147" s="157"/>
      <c r="E3147" s="155"/>
      <c r="F3147" s="151"/>
      <c r="G3147" s="152"/>
      <c r="H3147" s="153"/>
      <c r="I3147" s="154"/>
      <c r="J3147" s="154"/>
      <c r="K3147" s="30" t="str">
        <f>IF(H3147="","",IF($C$30="간이법","",FPR(H3147,I3147,J3147)))</f>
        <v/>
      </c>
      <c r="L3147" s="30" t="str">
        <f>IF(H3147="","",IF($C$30="상세법",FPV(H3147,K3147),IF(H3147="EI",4,IF(H3147="EO",5.2,IF(H3147="EQ",3.9,IF(H3147="ILF",7.5,IF(H3147="EIF",5.4)))))))</f>
        <v/>
      </c>
      <c r="M3147" s="30" t="str">
        <f t="shared" si="338"/>
        <v/>
      </c>
      <c r="N3147" s="134"/>
      <c r="O3147" s="29"/>
      <c r="P3147" s="37" t="str">
        <f t="shared" si="339"/>
        <v/>
      </c>
      <c r="Q3147" s="38" t="str">
        <f t="shared" si="340"/>
        <v/>
      </c>
      <c r="R3147" s="37" t="str">
        <f t="shared" si="341"/>
        <v/>
      </c>
      <c r="S3147" s="37" t="str">
        <f t="shared" si="342"/>
        <v/>
      </c>
      <c r="T3147" s="38" t="str">
        <f t="shared" si="343"/>
        <v/>
      </c>
      <c r="U3147" s="37" t="str">
        <f t="shared" si="344"/>
        <v/>
      </c>
    </row>
    <row r="3148" spans="2:21" ht="17.25">
      <c r="B3148" s="156"/>
      <c r="C3148" s="156"/>
      <c r="D3148" s="157"/>
      <c r="E3148" s="155"/>
      <c r="F3148" s="151"/>
      <c r="G3148" s="152"/>
      <c r="H3148" s="153"/>
      <c r="I3148" s="154"/>
      <c r="J3148" s="154"/>
      <c r="K3148" s="30" t="str">
        <f>IF(H3148="","",IF($C$30="간이법","",FPR(H3148,I3148,J3148)))</f>
        <v/>
      </c>
      <c r="L3148" s="30" t="str">
        <f>IF(H3148="","",IF($C$30="상세법",FPV(H3148,K3148),IF(H3148="EI",4,IF(H3148="EO",5.2,IF(H3148="EQ",3.9,IF(H3148="ILF",7.5,IF(H3148="EIF",5.4)))))))</f>
        <v/>
      </c>
      <c r="M3148" s="30" t="str">
        <f t="shared" si="338"/>
        <v/>
      </c>
      <c r="N3148" s="134"/>
      <c r="O3148" s="29"/>
      <c r="P3148" s="37" t="str">
        <f t="shared" si="339"/>
        <v/>
      </c>
      <c r="Q3148" s="38" t="str">
        <f t="shared" si="340"/>
        <v/>
      </c>
      <c r="R3148" s="37" t="str">
        <f t="shared" si="341"/>
        <v/>
      </c>
      <c r="S3148" s="37" t="str">
        <f t="shared" si="342"/>
        <v/>
      </c>
      <c r="T3148" s="38" t="str">
        <f t="shared" si="343"/>
        <v/>
      </c>
      <c r="U3148" s="37" t="str">
        <f t="shared" si="344"/>
        <v/>
      </c>
    </row>
    <row r="3149" spans="2:21" ht="17.25">
      <c r="B3149" s="156"/>
      <c r="C3149" s="156"/>
      <c r="D3149" s="157"/>
      <c r="E3149" s="155"/>
      <c r="F3149" s="151"/>
      <c r="G3149" s="152"/>
      <c r="H3149" s="153"/>
      <c r="I3149" s="154"/>
      <c r="J3149" s="154"/>
      <c r="K3149" s="30" t="str">
        <f>IF(H3149="","",IF($C$30="간이법","",FPR(H3149,I3149,J3149)))</f>
        <v/>
      </c>
      <c r="L3149" s="30" t="str">
        <f>IF(H3149="","",IF($C$30="상세법",FPV(H3149,K3149),IF(H3149="EI",4,IF(H3149="EO",5.2,IF(H3149="EQ",3.9,IF(H3149="ILF",7.5,IF(H3149="EIF",5.4)))))))</f>
        <v/>
      </c>
      <c r="M3149" s="30" t="str">
        <f t="shared" si="338"/>
        <v/>
      </c>
      <c r="N3149" s="134"/>
      <c r="O3149" s="29"/>
      <c r="P3149" s="37" t="str">
        <f t="shared" si="339"/>
        <v/>
      </c>
      <c r="Q3149" s="38" t="str">
        <f t="shared" si="340"/>
        <v/>
      </c>
      <c r="R3149" s="37" t="str">
        <f t="shared" si="341"/>
        <v/>
      </c>
      <c r="S3149" s="37" t="str">
        <f t="shared" si="342"/>
        <v/>
      </c>
      <c r="T3149" s="38" t="str">
        <f t="shared" si="343"/>
        <v/>
      </c>
      <c r="U3149" s="37" t="str">
        <f t="shared" si="344"/>
        <v/>
      </c>
    </row>
    <row r="3150" spans="2:21" ht="17.25">
      <c r="B3150" s="156"/>
      <c r="C3150" s="156"/>
      <c r="D3150" s="157"/>
      <c r="E3150" s="155"/>
      <c r="F3150" s="151"/>
      <c r="G3150" s="152"/>
      <c r="H3150" s="153"/>
      <c r="I3150" s="154"/>
      <c r="J3150" s="154"/>
      <c r="K3150" s="30" t="str">
        <f>IF(H3150="","",IF($C$30="간이법","",FPR(H3150,I3150,J3150)))</f>
        <v/>
      </c>
      <c r="L3150" s="30" t="str">
        <f>IF(H3150="","",IF($C$30="상세법",FPV(H3150,K3150),IF(H3150="EI",4,IF(H3150="EO",5.2,IF(H3150="EQ",3.9,IF(H3150="ILF",7.5,IF(H3150="EIF",5.4)))))))</f>
        <v/>
      </c>
      <c r="M3150" s="30" t="str">
        <f t="shared" si="338"/>
        <v/>
      </c>
      <c r="N3150" s="134"/>
      <c r="O3150" s="29"/>
      <c r="P3150" s="37" t="str">
        <f t="shared" si="339"/>
        <v/>
      </c>
      <c r="Q3150" s="38" t="str">
        <f t="shared" si="340"/>
        <v/>
      </c>
      <c r="R3150" s="37" t="str">
        <f t="shared" si="341"/>
        <v/>
      </c>
      <c r="S3150" s="37" t="str">
        <f t="shared" si="342"/>
        <v/>
      </c>
      <c r="T3150" s="38" t="str">
        <f t="shared" si="343"/>
        <v/>
      </c>
      <c r="U3150" s="37" t="str">
        <f t="shared" si="344"/>
        <v/>
      </c>
    </row>
    <row r="3151" spans="2:21" ht="17.25">
      <c r="B3151" s="156"/>
      <c r="C3151" s="156"/>
      <c r="D3151" s="157"/>
      <c r="E3151" s="155"/>
      <c r="F3151" s="151"/>
      <c r="G3151" s="152"/>
      <c r="H3151" s="153"/>
      <c r="I3151" s="154"/>
      <c r="J3151" s="154"/>
      <c r="K3151" s="30" t="str">
        <f>IF(H3151="","",IF($C$30="간이법","",FPR(H3151,I3151,J3151)))</f>
        <v/>
      </c>
      <c r="L3151" s="30" t="str">
        <f>IF(H3151="","",IF($C$30="상세법",FPV(H3151,K3151),IF(H3151="EI",4,IF(H3151="EO",5.2,IF(H3151="EQ",3.9,IF(H3151="ILF",7.5,IF(H3151="EIF",5.4)))))))</f>
        <v/>
      </c>
      <c r="M3151" s="30" t="str">
        <f t="shared" si="338"/>
        <v/>
      </c>
      <c r="N3151" s="134"/>
      <c r="O3151" s="29"/>
      <c r="P3151" s="37" t="str">
        <f t="shared" si="339"/>
        <v/>
      </c>
      <c r="Q3151" s="38" t="str">
        <f t="shared" si="340"/>
        <v/>
      </c>
      <c r="R3151" s="37" t="str">
        <f t="shared" si="341"/>
        <v/>
      </c>
      <c r="S3151" s="37" t="str">
        <f t="shared" si="342"/>
        <v/>
      </c>
      <c r="T3151" s="38" t="str">
        <f t="shared" si="343"/>
        <v/>
      </c>
      <c r="U3151" s="37" t="str">
        <f t="shared" si="344"/>
        <v/>
      </c>
    </row>
    <row r="3152" spans="2:21" ht="17.25">
      <c r="B3152" s="156"/>
      <c r="C3152" s="156"/>
      <c r="D3152" s="157"/>
      <c r="E3152" s="155"/>
      <c r="F3152" s="151"/>
      <c r="G3152" s="152"/>
      <c r="H3152" s="153"/>
      <c r="I3152" s="154"/>
      <c r="J3152" s="154"/>
      <c r="K3152" s="30" t="str">
        <f>IF(H3152="","",IF($C$30="간이법","",FPR(H3152,I3152,J3152)))</f>
        <v/>
      </c>
      <c r="L3152" s="30" t="str">
        <f>IF(H3152="","",IF($C$30="상세법",FPV(H3152,K3152),IF(H3152="EI",4,IF(H3152="EO",5.2,IF(H3152="EQ",3.9,IF(H3152="ILF",7.5,IF(H3152="EIF",5.4)))))))</f>
        <v/>
      </c>
      <c r="M3152" s="30" t="str">
        <f t="shared" si="338"/>
        <v/>
      </c>
      <c r="N3152" s="134"/>
      <c r="O3152" s="29"/>
      <c r="P3152" s="37" t="str">
        <f t="shared" si="339"/>
        <v/>
      </c>
      <c r="Q3152" s="38" t="str">
        <f t="shared" si="340"/>
        <v/>
      </c>
      <c r="R3152" s="37" t="str">
        <f t="shared" si="341"/>
        <v/>
      </c>
      <c r="S3152" s="37" t="str">
        <f t="shared" si="342"/>
        <v/>
      </c>
      <c r="T3152" s="38" t="str">
        <f t="shared" si="343"/>
        <v/>
      </c>
      <c r="U3152" s="37" t="str">
        <f t="shared" si="344"/>
        <v/>
      </c>
    </row>
    <row r="3153" spans="2:21" ht="17.25">
      <c r="B3153" s="156"/>
      <c r="C3153" s="156"/>
      <c r="D3153" s="157"/>
      <c r="E3153" s="155"/>
      <c r="F3153" s="151"/>
      <c r="G3153" s="152"/>
      <c r="H3153" s="153"/>
      <c r="I3153" s="154"/>
      <c r="J3153" s="154"/>
      <c r="K3153" s="30" t="str">
        <f>IF(H3153="","",IF($C$30="간이법","",FPR(H3153,I3153,J3153)))</f>
        <v/>
      </c>
      <c r="L3153" s="30" t="str">
        <f>IF(H3153="","",IF($C$30="상세법",FPV(H3153,K3153),IF(H3153="EI",4,IF(H3153="EO",5.2,IF(H3153="EQ",3.9,IF(H3153="ILF",7.5,IF(H3153="EIF",5.4)))))))</f>
        <v/>
      </c>
      <c r="M3153" s="30" t="str">
        <f t="shared" si="338"/>
        <v/>
      </c>
      <c r="N3153" s="134"/>
      <c r="O3153" s="29"/>
      <c r="P3153" s="37" t="str">
        <f t="shared" si="339"/>
        <v/>
      </c>
      <c r="Q3153" s="38" t="str">
        <f t="shared" si="340"/>
        <v/>
      </c>
      <c r="R3153" s="37" t="str">
        <f t="shared" si="341"/>
        <v/>
      </c>
      <c r="S3153" s="37" t="str">
        <f t="shared" si="342"/>
        <v/>
      </c>
      <c r="T3153" s="38" t="str">
        <f t="shared" si="343"/>
        <v/>
      </c>
      <c r="U3153" s="37" t="str">
        <f t="shared" si="344"/>
        <v/>
      </c>
    </row>
    <row r="3154" spans="2:21" ht="17.25">
      <c r="B3154" s="156"/>
      <c r="C3154" s="156"/>
      <c r="D3154" s="157"/>
      <c r="E3154" s="155"/>
      <c r="F3154" s="151"/>
      <c r="G3154" s="152"/>
      <c r="H3154" s="153"/>
      <c r="I3154" s="154"/>
      <c r="J3154" s="154"/>
      <c r="K3154" s="30" t="str">
        <f>IF(H3154="","",IF($C$30="간이법","",FPR(H3154,I3154,J3154)))</f>
        <v/>
      </c>
      <c r="L3154" s="30" t="str">
        <f>IF(H3154="","",IF($C$30="상세법",FPV(H3154,K3154),IF(H3154="EI",4,IF(H3154="EO",5.2,IF(H3154="EQ",3.9,IF(H3154="ILF",7.5,IF(H3154="EIF",5.4)))))))</f>
        <v/>
      </c>
      <c r="M3154" s="30" t="str">
        <f t="shared" si="338"/>
        <v/>
      </c>
      <c r="N3154" s="134"/>
      <c r="O3154" s="29"/>
      <c r="P3154" s="37" t="str">
        <f t="shared" si="339"/>
        <v/>
      </c>
      <c r="Q3154" s="38" t="str">
        <f t="shared" si="340"/>
        <v/>
      </c>
      <c r="R3154" s="37" t="str">
        <f t="shared" si="341"/>
        <v/>
      </c>
      <c r="S3154" s="37" t="str">
        <f t="shared" si="342"/>
        <v/>
      </c>
      <c r="T3154" s="38" t="str">
        <f t="shared" si="343"/>
        <v/>
      </c>
      <c r="U3154" s="37" t="str">
        <f t="shared" si="344"/>
        <v/>
      </c>
    </row>
    <row r="3155" spans="2:21" ht="17.25">
      <c r="B3155" s="156"/>
      <c r="C3155" s="156"/>
      <c r="D3155" s="157"/>
      <c r="E3155" s="155"/>
      <c r="F3155" s="151"/>
      <c r="G3155" s="152"/>
      <c r="H3155" s="153"/>
      <c r="I3155" s="154"/>
      <c r="J3155" s="154"/>
      <c r="K3155" s="30" t="str">
        <f>IF(H3155="","",IF($C$30="간이법","",FPR(H3155,I3155,J3155)))</f>
        <v/>
      </c>
      <c r="L3155" s="30" t="str">
        <f>IF(H3155="","",IF($C$30="상세법",FPV(H3155,K3155),IF(H3155="EI",4,IF(H3155="EO",5.2,IF(H3155="EQ",3.9,IF(H3155="ILF",7.5,IF(H3155="EIF",5.4)))))))</f>
        <v/>
      </c>
      <c r="M3155" s="30" t="str">
        <f t="shared" si="338"/>
        <v/>
      </c>
      <c r="N3155" s="134"/>
      <c r="O3155" s="29"/>
      <c r="P3155" s="37" t="str">
        <f t="shared" si="339"/>
        <v/>
      </c>
      <c r="Q3155" s="38" t="str">
        <f t="shared" si="340"/>
        <v/>
      </c>
      <c r="R3155" s="37" t="str">
        <f t="shared" si="341"/>
        <v/>
      </c>
      <c r="S3155" s="37" t="str">
        <f t="shared" si="342"/>
        <v/>
      </c>
      <c r="T3155" s="38" t="str">
        <f t="shared" si="343"/>
        <v/>
      </c>
      <c r="U3155" s="37" t="str">
        <f t="shared" si="344"/>
        <v/>
      </c>
    </row>
    <row r="3156" spans="2:21" ht="17.25">
      <c r="B3156" s="156"/>
      <c r="C3156" s="156"/>
      <c r="D3156" s="157"/>
      <c r="E3156" s="155"/>
      <c r="F3156" s="151"/>
      <c r="G3156" s="152"/>
      <c r="H3156" s="153"/>
      <c r="I3156" s="154"/>
      <c r="J3156" s="154"/>
      <c r="K3156" s="30" t="str">
        <f>IF(H3156="","",IF($C$30="간이법","",FPR(H3156,I3156,J3156)))</f>
        <v/>
      </c>
      <c r="L3156" s="30" t="str">
        <f>IF(H3156="","",IF($C$30="상세법",FPV(H3156,K3156),IF(H3156="EI",4,IF(H3156="EO",5.2,IF(H3156="EQ",3.9,IF(H3156="ILF",7.5,IF(H3156="EIF",5.4)))))))</f>
        <v/>
      </c>
      <c r="M3156" s="30" t="str">
        <f t="shared" si="338"/>
        <v/>
      </c>
      <c r="N3156" s="134"/>
      <c r="O3156" s="29"/>
      <c r="P3156" s="37" t="str">
        <f t="shared" si="339"/>
        <v/>
      </c>
      <c r="Q3156" s="38" t="str">
        <f t="shared" si="340"/>
        <v/>
      </c>
      <c r="R3156" s="37" t="str">
        <f t="shared" si="341"/>
        <v/>
      </c>
      <c r="S3156" s="37" t="str">
        <f t="shared" si="342"/>
        <v/>
      </c>
      <c r="T3156" s="38" t="str">
        <f t="shared" si="343"/>
        <v/>
      </c>
      <c r="U3156" s="37" t="str">
        <f t="shared" si="344"/>
        <v/>
      </c>
    </row>
    <row r="3157" spans="2:21" ht="17.25">
      <c r="B3157" s="156"/>
      <c r="C3157" s="156"/>
      <c r="D3157" s="157"/>
      <c r="E3157" s="155"/>
      <c r="F3157" s="151"/>
      <c r="G3157" s="152"/>
      <c r="H3157" s="153"/>
      <c r="I3157" s="154"/>
      <c r="J3157" s="154"/>
      <c r="K3157" s="30" t="str">
        <f>IF(H3157="","",IF($C$30="간이법","",FPR(H3157,I3157,J3157)))</f>
        <v/>
      </c>
      <c r="L3157" s="30" t="str">
        <f>IF(H3157="","",IF($C$30="상세법",FPV(H3157,K3157),IF(H3157="EI",4,IF(H3157="EO",5.2,IF(H3157="EQ",3.9,IF(H3157="ILF",7.5,IF(H3157="EIF",5.4)))))))</f>
        <v/>
      </c>
      <c r="M3157" s="30" t="str">
        <f t="shared" si="338"/>
        <v/>
      </c>
      <c r="N3157" s="134"/>
      <c r="O3157" s="29"/>
      <c r="P3157" s="37" t="str">
        <f t="shared" si="339"/>
        <v/>
      </c>
      <c r="Q3157" s="38" t="str">
        <f t="shared" si="340"/>
        <v/>
      </c>
      <c r="R3157" s="37" t="str">
        <f t="shared" si="341"/>
        <v/>
      </c>
      <c r="S3157" s="37" t="str">
        <f t="shared" si="342"/>
        <v/>
      </c>
      <c r="T3157" s="38" t="str">
        <f t="shared" si="343"/>
        <v/>
      </c>
      <c r="U3157" s="37" t="str">
        <f t="shared" si="344"/>
        <v/>
      </c>
    </row>
    <row r="3158" spans="2:21" ht="17.25">
      <c r="B3158" s="156"/>
      <c r="C3158" s="156"/>
      <c r="D3158" s="157"/>
      <c r="E3158" s="155"/>
      <c r="F3158" s="151"/>
      <c r="G3158" s="152"/>
      <c r="H3158" s="153"/>
      <c r="I3158" s="154"/>
      <c r="J3158" s="154"/>
      <c r="K3158" s="30" t="str">
        <f>IF(H3158="","",IF($C$30="간이법","",FPR(H3158,I3158,J3158)))</f>
        <v/>
      </c>
      <c r="L3158" s="30" t="str">
        <f>IF(H3158="","",IF($C$30="상세법",FPV(H3158,K3158),IF(H3158="EI",4,IF(H3158="EO",5.2,IF(H3158="EQ",3.9,IF(H3158="ILF",7.5,IF(H3158="EIF",5.4)))))))</f>
        <v/>
      </c>
      <c r="M3158" s="30" t="str">
        <f t="shared" si="338"/>
        <v/>
      </c>
      <c r="N3158" s="134"/>
      <c r="O3158" s="29"/>
      <c r="P3158" s="37" t="str">
        <f t="shared" si="339"/>
        <v/>
      </c>
      <c r="Q3158" s="38" t="str">
        <f t="shared" si="340"/>
        <v/>
      </c>
      <c r="R3158" s="37" t="str">
        <f t="shared" si="341"/>
        <v/>
      </c>
      <c r="S3158" s="37" t="str">
        <f t="shared" si="342"/>
        <v/>
      </c>
      <c r="T3158" s="38" t="str">
        <f t="shared" si="343"/>
        <v/>
      </c>
      <c r="U3158" s="37" t="str">
        <f t="shared" si="344"/>
        <v/>
      </c>
    </row>
    <row r="3159" spans="2:21" ht="17.25">
      <c r="B3159" s="156"/>
      <c r="C3159" s="156"/>
      <c r="D3159" s="157"/>
      <c r="E3159" s="155"/>
      <c r="F3159" s="151"/>
      <c r="G3159" s="152"/>
      <c r="H3159" s="153"/>
      <c r="I3159" s="154"/>
      <c r="J3159" s="154"/>
      <c r="K3159" s="30" t="str">
        <f>IF(H3159="","",IF($C$30="간이법","",FPR(H3159,I3159,J3159)))</f>
        <v/>
      </c>
      <c r="L3159" s="30" t="str">
        <f>IF(H3159="","",IF($C$30="상세법",FPV(H3159,K3159),IF(H3159="EI",4,IF(H3159="EO",5.2,IF(H3159="EQ",3.9,IF(H3159="ILF",7.5,IF(H3159="EIF",5.4)))))))</f>
        <v/>
      </c>
      <c r="M3159" s="30" t="str">
        <f t="shared" si="338"/>
        <v/>
      </c>
      <c r="N3159" s="134"/>
      <c r="O3159" s="29"/>
      <c r="P3159" s="37" t="str">
        <f t="shared" si="339"/>
        <v/>
      </c>
      <c r="Q3159" s="38" t="str">
        <f t="shared" si="340"/>
        <v/>
      </c>
      <c r="R3159" s="37" t="str">
        <f t="shared" si="341"/>
        <v/>
      </c>
      <c r="S3159" s="37" t="str">
        <f t="shared" si="342"/>
        <v/>
      </c>
      <c r="T3159" s="38" t="str">
        <f t="shared" si="343"/>
        <v/>
      </c>
      <c r="U3159" s="37" t="str">
        <f t="shared" si="344"/>
        <v/>
      </c>
    </row>
    <row r="3160" spans="2:21" ht="17.25">
      <c r="B3160" s="156"/>
      <c r="C3160" s="156"/>
      <c r="D3160" s="157"/>
      <c r="E3160" s="155"/>
      <c r="F3160" s="151"/>
      <c r="G3160" s="152"/>
      <c r="H3160" s="153"/>
      <c r="I3160" s="154"/>
      <c r="J3160" s="154"/>
      <c r="K3160" s="30" t="str">
        <f>IF(H3160="","",IF($C$30="간이법","",FPR(H3160,I3160,J3160)))</f>
        <v/>
      </c>
      <c r="L3160" s="30" t="str">
        <f>IF(H3160="","",IF($C$30="상세법",FPV(H3160,K3160),IF(H3160="EI",4,IF(H3160="EO",5.2,IF(H3160="EQ",3.9,IF(H3160="ILF",7.5,IF(H3160="EIF",5.4)))))))</f>
        <v/>
      </c>
      <c r="M3160" s="30" t="str">
        <f t="shared" si="338"/>
        <v/>
      </c>
      <c r="N3160" s="134"/>
      <c r="O3160" s="29"/>
      <c r="P3160" s="37" t="str">
        <f t="shared" si="339"/>
        <v/>
      </c>
      <c r="Q3160" s="38" t="str">
        <f t="shared" si="340"/>
        <v/>
      </c>
      <c r="R3160" s="37" t="str">
        <f t="shared" si="341"/>
        <v/>
      </c>
      <c r="S3160" s="37" t="str">
        <f t="shared" si="342"/>
        <v/>
      </c>
      <c r="T3160" s="38" t="str">
        <f t="shared" si="343"/>
        <v/>
      </c>
      <c r="U3160" s="37" t="str">
        <f t="shared" si="344"/>
        <v/>
      </c>
    </row>
    <row r="3161" spans="2:21" ht="17.25">
      <c r="B3161" s="156"/>
      <c r="C3161" s="156"/>
      <c r="D3161" s="157"/>
      <c r="E3161" s="155"/>
      <c r="F3161" s="151"/>
      <c r="G3161" s="152"/>
      <c r="H3161" s="153"/>
      <c r="I3161" s="154"/>
      <c r="J3161" s="154"/>
      <c r="K3161" s="30" t="str">
        <f>IF(H3161="","",IF($C$30="간이법","",FPR(H3161,I3161,J3161)))</f>
        <v/>
      </c>
      <c r="L3161" s="30" t="str">
        <f>IF(H3161="","",IF($C$30="상세법",FPV(H3161,K3161),IF(H3161="EI",4,IF(H3161="EO",5.2,IF(H3161="EQ",3.9,IF(H3161="ILF",7.5,IF(H3161="EIF",5.4)))))))</f>
        <v/>
      </c>
      <c r="M3161" s="30" t="str">
        <f t="shared" si="338"/>
        <v/>
      </c>
      <c r="N3161" s="134"/>
      <c r="O3161" s="29"/>
      <c r="P3161" s="37" t="str">
        <f t="shared" si="339"/>
        <v/>
      </c>
      <c r="Q3161" s="38" t="str">
        <f t="shared" si="340"/>
        <v/>
      </c>
      <c r="R3161" s="37" t="str">
        <f t="shared" si="341"/>
        <v/>
      </c>
      <c r="S3161" s="37" t="str">
        <f t="shared" si="342"/>
        <v/>
      </c>
      <c r="T3161" s="38" t="str">
        <f t="shared" si="343"/>
        <v/>
      </c>
      <c r="U3161" s="37" t="str">
        <f t="shared" si="344"/>
        <v/>
      </c>
    </row>
    <row r="3162" spans="2:21" ht="17.25">
      <c r="B3162" s="156"/>
      <c r="C3162" s="156"/>
      <c r="D3162" s="157"/>
      <c r="E3162" s="155"/>
      <c r="F3162" s="151"/>
      <c r="G3162" s="152"/>
      <c r="H3162" s="153"/>
      <c r="I3162" s="154"/>
      <c r="J3162" s="154"/>
      <c r="K3162" s="30" t="str">
        <f>IF(H3162="","",IF($C$30="간이법","",FPR(H3162,I3162,J3162)))</f>
        <v/>
      </c>
      <c r="L3162" s="30" t="str">
        <f>IF(H3162="","",IF($C$30="상세법",FPV(H3162,K3162),IF(H3162="EI",4,IF(H3162="EO",5.2,IF(H3162="EQ",3.9,IF(H3162="ILF",7.5,IF(H3162="EIF",5.4)))))))</f>
        <v/>
      </c>
      <c r="M3162" s="30" t="str">
        <f t="shared" si="338"/>
        <v/>
      </c>
      <c r="N3162" s="134"/>
      <c r="O3162" s="29"/>
      <c r="P3162" s="37" t="str">
        <f t="shared" si="339"/>
        <v/>
      </c>
      <c r="Q3162" s="38" t="str">
        <f t="shared" si="340"/>
        <v/>
      </c>
      <c r="R3162" s="37" t="str">
        <f t="shared" si="341"/>
        <v/>
      </c>
      <c r="S3162" s="37" t="str">
        <f t="shared" si="342"/>
        <v/>
      </c>
      <c r="T3162" s="38" t="str">
        <f t="shared" si="343"/>
        <v/>
      </c>
      <c r="U3162" s="37" t="str">
        <f t="shared" si="344"/>
        <v/>
      </c>
    </row>
    <row r="3163" spans="2:21" ht="17.25">
      <c r="B3163" s="156"/>
      <c r="C3163" s="156"/>
      <c r="D3163" s="157"/>
      <c r="E3163" s="155"/>
      <c r="F3163" s="151"/>
      <c r="G3163" s="152"/>
      <c r="H3163" s="153"/>
      <c r="I3163" s="154"/>
      <c r="J3163" s="154"/>
      <c r="K3163" s="30" t="str">
        <f>IF(H3163="","",IF($C$30="간이법","",FPR(H3163,I3163,J3163)))</f>
        <v/>
      </c>
      <c r="L3163" s="30" t="str">
        <f>IF(H3163="","",IF($C$30="상세법",FPV(H3163,K3163),IF(H3163="EI",4,IF(H3163="EO",5.2,IF(H3163="EQ",3.9,IF(H3163="ILF",7.5,IF(H3163="EIF",5.4)))))))</f>
        <v/>
      </c>
      <c r="M3163" s="30" t="str">
        <f t="shared" si="338"/>
        <v/>
      </c>
      <c r="N3163" s="134"/>
      <c r="O3163" s="29"/>
      <c r="P3163" s="37" t="str">
        <f t="shared" si="339"/>
        <v/>
      </c>
      <c r="Q3163" s="38" t="str">
        <f t="shared" si="340"/>
        <v/>
      </c>
      <c r="R3163" s="37" t="str">
        <f t="shared" si="341"/>
        <v/>
      </c>
      <c r="S3163" s="37" t="str">
        <f t="shared" si="342"/>
        <v/>
      </c>
      <c r="T3163" s="38" t="str">
        <f t="shared" si="343"/>
        <v/>
      </c>
      <c r="U3163" s="37" t="str">
        <f t="shared" si="344"/>
        <v/>
      </c>
    </row>
    <row r="3164" spans="2:21" ht="17.25">
      <c r="B3164" s="156"/>
      <c r="C3164" s="156"/>
      <c r="D3164" s="157"/>
      <c r="E3164" s="155"/>
      <c r="F3164" s="151"/>
      <c r="G3164" s="152"/>
      <c r="H3164" s="153"/>
      <c r="I3164" s="154"/>
      <c r="J3164" s="154"/>
      <c r="K3164" s="30" t="str">
        <f>IF(H3164="","",IF($C$30="간이법","",FPR(H3164,I3164,J3164)))</f>
        <v/>
      </c>
      <c r="L3164" s="30" t="str">
        <f>IF(H3164="","",IF($C$30="상세법",FPV(H3164,K3164),IF(H3164="EI",4,IF(H3164="EO",5.2,IF(H3164="EQ",3.9,IF(H3164="ILF",7.5,IF(H3164="EIF",5.4)))))))</f>
        <v/>
      </c>
      <c r="M3164" s="30" t="str">
        <f t="shared" si="338"/>
        <v/>
      </c>
      <c r="N3164" s="134"/>
      <c r="O3164" s="29"/>
      <c r="P3164" s="37" t="str">
        <f t="shared" si="339"/>
        <v/>
      </c>
      <c r="Q3164" s="38" t="str">
        <f t="shared" si="340"/>
        <v/>
      </c>
      <c r="R3164" s="37" t="str">
        <f t="shared" si="341"/>
        <v/>
      </c>
      <c r="S3164" s="37" t="str">
        <f t="shared" si="342"/>
        <v/>
      </c>
      <c r="T3164" s="38" t="str">
        <f t="shared" si="343"/>
        <v/>
      </c>
      <c r="U3164" s="37" t="str">
        <f t="shared" si="344"/>
        <v/>
      </c>
    </row>
    <row r="3165" spans="2:21" ht="17.25">
      <c r="B3165" s="156"/>
      <c r="C3165" s="156"/>
      <c r="D3165" s="157"/>
      <c r="E3165" s="155"/>
      <c r="F3165" s="151"/>
      <c r="G3165" s="152"/>
      <c r="H3165" s="153"/>
      <c r="I3165" s="154"/>
      <c r="J3165" s="154"/>
      <c r="K3165" s="30" t="str">
        <f>IF(H3165="","",IF($C$30="간이법","",FPR(H3165,I3165,J3165)))</f>
        <v/>
      </c>
      <c r="L3165" s="30" t="str">
        <f>IF(H3165="","",IF($C$30="상세법",FPV(H3165,K3165),IF(H3165="EI",4,IF(H3165="EO",5.2,IF(H3165="EQ",3.9,IF(H3165="ILF",7.5,IF(H3165="EIF",5.4)))))))</f>
        <v/>
      </c>
      <c r="M3165" s="30" t="str">
        <f t="shared" si="338"/>
        <v/>
      </c>
      <c r="N3165" s="134"/>
      <c r="O3165" s="29"/>
      <c r="P3165" s="37" t="str">
        <f t="shared" si="339"/>
        <v/>
      </c>
      <c r="Q3165" s="38" t="str">
        <f t="shared" si="340"/>
        <v/>
      </c>
      <c r="R3165" s="37" t="str">
        <f t="shared" si="341"/>
        <v/>
      </c>
      <c r="S3165" s="37" t="str">
        <f t="shared" si="342"/>
        <v/>
      </c>
      <c r="T3165" s="38" t="str">
        <f t="shared" si="343"/>
        <v/>
      </c>
      <c r="U3165" s="37" t="str">
        <f t="shared" si="344"/>
        <v/>
      </c>
    </row>
    <row r="3166" spans="2:21" ht="17.25">
      <c r="B3166" s="156"/>
      <c r="C3166" s="156"/>
      <c r="D3166" s="157"/>
      <c r="E3166" s="155"/>
      <c r="F3166" s="151"/>
      <c r="G3166" s="152"/>
      <c r="H3166" s="153"/>
      <c r="I3166" s="154"/>
      <c r="J3166" s="154"/>
      <c r="K3166" s="30" t="str">
        <f>IF(H3166="","",IF($C$30="간이법","",FPR(H3166,I3166,J3166)))</f>
        <v/>
      </c>
      <c r="L3166" s="30" t="str">
        <f>IF(H3166="","",IF($C$30="상세법",FPV(H3166,K3166),IF(H3166="EI",4,IF(H3166="EO",5.2,IF(H3166="EQ",3.9,IF(H3166="ILF",7.5,IF(H3166="EIF",5.4)))))))</f>
        <v/>
      </c>
      <c r="M3166" s="30" t="str">
        <f t="shared" si="338"/>
        <v/>
      </c>
      <c r="N3166" s="134"/>
      <c r="O3166" s="29"/>
      <c r="P3166" s="37" t="str">
        <f t="shared" si="339"/>
        <v/>
      </c>
      <c r="Q3166" s="38" t="str">
        <f t="shared" si="340"/>
        <v/>
      </c>
      <c r="R3166" s="37" t="str">
        <f t="shared" si="341"/>
        <v/>
      </c>
      <c r="S3166" s="37" t="str">
        <f t="shared" si="342"/>
        <v/>
      </c>
      <c r="T3166" s="38" t="str">
        <f t="shared" si="343"/>
        <v/>
      </c>
      <c r="U3166" s="37" t="str">
        <f t="shared" si="344"/>
        <v/>
      </c>
    </row>
    <row r="3167" spans="2:21" ht="17.25">
      <c r="B3167" s="156"/>
      <c r="C3167" s="156"/>
      <c r="D3167" s="157"/>
      <c r="E3167" s="155"/>
      <c r="F3167" s="151"/>
      <c r="G3167" s="152"/>
      <c r="H3167" s="153"/>
      <c r="I3167" s="154"/>
      <c r="J3167" s="154"/>
      <c r="K3167" s="30" t="str">
        <f>IF(H3167="","",IF($C$30="간이법","",FPR(H3167,I3167,J3167)))</f>
        <v/>
      </c>
      <c r="L3167" s="30" t="str">
        <f>IF(H3167="","",IF($C$30="상세법",FPV(H3167,K3167),IF(H3167="EI",4,IF(H3167="EO",5.2,IF(H3167="EQ",3.9,IF(H3167="ILF",7.5,IF(H3167="EIF",5.4)))))))</f>
        <v/>
      </c>
      <c r="M3167" s="30" t="str">
        <f t="shared" si="338"/>
        <v/>
      </c>
      <c r="N3167" s="134"/>
      <c r="O3167" s="29"/>
      <c r="P3167" s="37" t="str">
        <f t="shared" si="339"/>
        <v/>
      </c>
      <c r="Q3167" s="38" t="str">
        <f t="shared" si="340"/>
        <v/>
      </c>
      <c r="R3167" s="37" t="str">
        <f t="shared" si="341"/>
        <v/>
      </c>
      <c r="S3167" s="37" t="str">
        <f t="shared" si="342"/>
        <v/>
      </c>
      <c r="T3167" s="38" t="str">
        <f t="shared" si="343"/>
        <v/>
      </c>
      <c r="U3167" s="37" t="str">
        <f t="shared" si="344"/>
        <v/>
      </c>
    </row>
    <row r="3168" spans="2:21" ht="17.25">
      <c r="B3168" s="156"/>
      <c r="C3168" s="156"/>
      <c r="D3168" s="157"/>
      <c r="E3168" s="155"/>
      <c r="F3168" s="151"/>
      <c r="G3168" s="152"/>
      <c r="H3168" s="153"/>
      <c r="I3168" s="154"/>
      <c r="J3168" s="154"/>
      <c r="K3168" s="30" t="str">
        <f>IF(H3168="","",IF($C$30="간이법","",FPR(H3168,I3168,J3168)))</f>
        <v/>
      </c>
      <c r="L3168" s="30" t="str">
        <f>IF(H3168="","",IF($C$30="상세법",FPV(H3168,K3168),IF(H3168="EI",4,IF(H3168="EO",5.2,IF(H3168="EQ",3.9,IF(H3168="ILF",7.5,IF(H3168="EIF",5.4)))))))</f>
        <v/>
      </c>
      <c r="M3168" s="30" t="str">
        <f t="shared" si="338"/>
        <v/>
      </c>
      <c r="N3168" s="134"/>
      <c r="O3168" s="29"/>
      <c r="P3168" s="37" t="str">
        <f t="shared" si="339"/>
        <v/>
      </c>
      <c r="Q3168" s="38" t="str">
        <f t="shared" si="340"/>
        <v/>
      </c>
      <c r="R3168" s="37" t="str">
        <f t="shared" si="341"/>
        <v/>
      </c>
      <c r="S3168" s="37" t="str">
        <f t="shared" si="342"/>
        <v/>
      </c>
      <c r="T3168" s="38" t="str">
        <f t="shared" si="343"/>
        <v/>
      </c>
      <c r="U3168" s="37" t="str">
        <f t="shared" si="344"/>
        <v/>
      </c>
    </row>
    <row r="3169" spans="2:21" ht="17.25">
      <c r="B3169" s="156"/>
      <c r="C3169" s="156"/>
      <c r="D3169" s="157"/>
      <c r="E3169" s="155"/>
      <c r="F3169" s="151"/>
      <c r="G3169" s="152"/>
      <c r="H3169" s="153"/>
      <c r="I3169" s="154"/>
      <c r="J3169" s="154"/>
      <c r="K3169" s="30" t="str">
        <f>IF(H3169="","",IF($C$30="간이법","",FPR(H3169,I3169,J3169)))</f>
        <v/>
      </c>
      <c r="L3169" s="30" t="str">
        <f>IF(H3169="","",IF($C$30="상세법",FPV(H3169,K3169),IF(H3169="EI",4,IF(H3169="EO",5.2,IF(H3169="EQ",3.9,IF(H3169="ILF",7.5,IF(H3169="EIF",5.4)))))))</f>
        <v/>
      </c>
      <c r="M3169" s="30" t="str">
        <f t="shared" si="338"/>
        <v/>
      </c>
      <c r="N3169" s="134"/>
      <c r="O3169" s="29"/>
      <c r="P3169" s="37" t="str">
        <f t="shared" si="339"/>
        <v/>
      </c>
      <c r="Q3169" s="38" t="str">
        <f t="shared" si="340"/>
        <v/>
      </c>
      <c r="R3169" s="37" t="str">
        <f t="shared" si="341"/>
        <v/>
      </c>
      <c r="S3169" s="37" t="str">
        <f t="shared" si="342"/>
        <v/>
      </c>
      <c r="T3169" s="38" t="str">
        <f t="shared" si="343"/>
        <v/>
      </c>
      <c r="U3169" s="37" t="str">
        <f t="shared" si="344"/>
        <v/>
      </c>
    </row>
    <row r="3170" spans="2:21" ht="17.25">
      <c r="B3170" s="156"/>
      <c r="C3170" s="156"/>
      <c r="D3170" s="157"/>
      <c r="E3170" s="155"/>
      <c r="F3170" s="151"/>
      <c r="G3170" s="152"/>
      <c r="H3170" s="153"/>
      <c r="I3170" s="154"/>
      <c r="J3170" s="154"/>
      <c r="K3170" s="30" t="str">
        <f>IF(H3170="","",IF($C$30="간이법","",FPR(H3170,I3170,J3170)))</f>
        <v/>
      </c>
      <c r="L3170" s="30" t="str">
        <f>IF(H3170="","",IF($C$30="상세법",FPV(H3170,K3170),IF(H3170="EI",4,IF(H3170="EO",5.2,IF(H3170="EQ",3.9,IF(H3170="ILF",7.5,IF(H3170="EIF",5.4)))))))</f>
        <v/>
      </c>
      <c r="M3170" s="30" t="str">
        <f t="shared" si="338"/>
        <v/>
      </c>
      <c r="N3170" s="134"/>
      <c r="O3170" s="29"/>
      <c r="P3170" s="37" t="str">
        <f t="shared" si="339"/>
        <v/>
      </c>
      <c r="Q3170" s="38" t="str">
        <f t="shared" si="340"/>
        <v/>
      </c>
      <c r="R3170" s="37" t="str">
        <f t="shared" si="341"/>
        <v/>
      </c>
      <c r="S3170" s="37" t="str">
        <f t="shared" si="342"/>
        <v/>
      </c>
      <c r="T3170" s="38" t="str">
        <f t="shared" si="343"/>
        <v/>
      </c>
      <c r="U3170" s="37" t="str">
        <f t="shared" si="344"/>
        <v/>
      </c>
    </row>
    <row r="3171" spans="2:21" ht="17.25">
      <c r="B3171" s="156"/>
      <c r="C3171" s="156"/>
      <c r="D3171" s="157"/>
      <c r="E3171" s="155"/>
      <c r="F3171" s="151"/>
      <c r="G3171" s="152"/>
      <c r="H3171" s="153"/>
      <c r="I3171" s="154"/>
      <c r="J3171" s="154"/>
      <c r="K3171" s="30" t="str">
        <f>IF(H3171="","",IF($C$30="간이법","",FPR(H3171,I3171,J3171)))</f>
        <v/>
      </c>
      <c r="L3171" s="30" t="str">
        <f>IF(H3171="","",IF($C$30="상세법",FPV(H3171,K3171),IF(H3171="EI",4,IF(H3171="EO",5.2,IF(H3171="EQ",3.9,IF(H3171="ILF",7.5,IF(H3171="EIF",5.4)))))))</f>
        <v/>
      </c>
      <c r="M3171" s="30" t="str">
        <f t="shared" si="338"/>
        <v/>
      </c>
      <c r="N3171" s="134"/>
      <c r="O3171" s="29"/>
      <c r="P3171" s="37" t="str">
        <f t="shared" si="339"/>
        <v/>
      </c>
      <c r="Q3171" s="38" t="str">
        <f t="shared" si="340"/>
        <v/>
      </c>
      <c r="R3171" s="37" t="str">
        <f t="shared" si="341"/>
        <v/>
      </c>
      <c r="S3171" s="37" t="str">
        <f t="shared" si="342"/>
        <v/>
      </c>
      <c r="T3171" s="38" t="str">
        <f t="shared" si="343"/>
        <v/>
      </c>
      <c r="U3171" s="37" t="str">
        <f t="shared" si="344"/>
        <v/>
      </c>
    </row>
    <row r="3172" spans="2:21" ht="17.25">
      <c r="B3172" s="156"/>
      <c r="C3172" s="156"/>
      <c r="D3172" s="157"/>
      <c r="E3172" s="155"/>
      <c r="F3172" s="151"/>
      <c r="G3172" s="152"/>
      <c r="H3172" s="153"/>
      <c r="I3172" s="154"/>
      <c r="J3172" s="154"/>
      <c r="K3172" s="30" t="str">
        <f>IF(H3172="","",IF($C$30="간이법","",FPR(H3172,I3172,J3172)))</f>
        <v/>
      </c>
      <c r="L3172" s="30" t="str">
        <f>IF(H3172="","",IF($C$30="상세법",FPV(H3172,K3172),IF(H3172="EI",4,IF(H3172="EO",5.2,IF(H3172="EQ",3.9,IF(H3172="ILF",7.5,IF(H3172="EIF",5.4)))))))</f>
        <v/>
      </c>
      <c r="M3172" s="30" t="str">
        <f t="shared" si="338"/>
        <v/>
      </c>
      <c r="N3172" s="134"/>
      <c r="O3172" s="29"/>
      <c r="P3172" s="37" t="str">
        <f t="shared" si="339"/>
        <v/>
      </c>
      <c r="Q3172" s="38" t="str">
        <f t="shared" si="340"/>
        <v/>
      </c>
      <c r="R3172" s="37" t="str">
        <f t="shared" si="341"/>
        <v/>
      </c>
      <c r="S3172" s="37" t="str">
        <f t="shared" si="342"/>
        <v/>
      </c>
      <c r="T3172" s="38" t="str">
        <f t="shared" si="343"/>
        <v/>
      </c>
      <c r="U3172" s="37" t="str">
        <f t="shared" si="344"/>
        <v/>
      </c>
    </row>
    <row r="3173" spans="2:21" ht="17.25">
      <c r="B3173" s="156"/>
      <c r="C3173" s="156"/>
      <c r="D3173" s="157"/>
      <c r="E3173" s="155"/>
      <c r="F3173" s="151"/>
      <c r="G3173" s="152"/>
      <c r="H3173" s="153"/>
      <c r="I3173" s="154"/>
      <c r="J3173" s="154"/>
      <c r="K3173" s="30" t="str">
        <f>IF(H3173="","",IF($C$30="간이법","",FPR(H3173,I3173,J3173)))</f>
        <v/>
      </c>
      <c r="L3173" s="30" t="str">
        <f>IF(H3173="","",IF($C$30="상세법",FPV(H3173,K3173),IF(H3173="EI",4,IF(H3173="EO",5.2,IF(H3173="EQ",3.9,IF(H3173="ILF",7.5,IF(H3173="EIF",5.4)))))))</f>
        <v/>
      </c>
      <c r="M3173" s="30" t="str">
        <f t="shared" si="338"/>
        <v/>
      </c>
      <c r="N3173" s="134"/>
      <c r="O3173" s="29"/>
      <c r="P3173" s="37" t="str">
        <f t="shared" si="339"/>
        <v/>
      </c>
      <c r="Q3173" s="38" t="str">
        <f t="shared" si="340"/>
        <v/>
      </c>
      <c r="R3173" s="37" t="str">
        <f t="shared" si="341"/>
        <v/>
      </c>
      <c r="S3173" s="37" t="str">
        <f t="shared" si="342"/>
        <v/>
      </c>
      <c r="T3173" s="38" t="str">
        <f t="shared" si="343"/>
        <v/>
      </c>
      <c r="U3173" s="37" t="str">
        <f t="shared" si="344"/>
        <v/>
      </c>
    </row>
    <row r="3174" spans="2:21" ht="17.25">
      <c r="B3174" s="156"/>
      <c r="C3174" s="156"/>
      <c r="D3174" s="157"/>
      <c r="E3174" s="155"/>
      <c r="F3174" s="151"/>
      <c r="G3174" s="152"/>
      <c r="H3174" s="153"/>
      <c r="I3174" s="154"/>
      <c r="J3174" s="154"/>
      <c r="K3174" s="30" t="str">
        <f>IF(H3174="","",IF($C$30="간이법","",FPR(H3174,I3174,J3174)))</f>
        <v/>
      </c>
      <c r="L3174" s="30" t="str">
        <f>IF(H3174="","",IF($C$30="상세법",FPV(H3174,K3174),IF(H3174="EI",4,IF(H3174="EO",5.2,IF(H3174="EQ",3.9,IF(H3174="ILF",7.5,IF(H3174="EIF",5.4)))))))</f>
        <v/>
      </c>
      <c r="M3174" s="30" t="str">
        <f t="shared" si="338"/>
        <v/>
      </c>
      <c r="N3174" s="134"/>
      <c r="O3174" s="29"/>
      <c r="P3174" s="37" t="str">
        <f t="shared" si="339"/>
        <v/>
      </c>
      <c r="Q3174" s="38" t="str">
        <f t="shared" si="340"/>
        <v/>
      </c>
      <c r="R3174" s="37" t="str">
        <f t="shared" si="341"/>
        <v/>
      </c>
      <c r="S3174" s="37" t="str">
        <f t="shared" si="342"/>
        <v/>
      </c>
      <c r="T3174" s="38" t="str">
        <f t="shared" si="343"/>
        <v/>
      </c>
      <c r="U3174" s="37" t="str">
        <f t="shared" si="344"/>
        <v/>
      </c>
    </row>
    <row r="3175" spans="2:21" ht="17.25">
      <c r="B3175" s="156"/>
      <c r="C3175" s="156"/>
      <c r="D3175" s="157"/>
      <c r="E3175" s="155"/>
      <c r="F3175" s="151"/>
      <c r="G3175" s="152"/>
      <c r="H3175" s="153"/>
      <c r="I3175" s="154"/>
      <c r="J3175" s="154"/>
      <c r="K3175" s="30" t="str">
        <f>IF(H3175="","",IF($C$30="간이법","",FPR(H3175,I3175,J3175)))</f>
        <v/>
      </c>
      <c r="L3175" s="30" t="str">
        <f>IF(H3175="","",IF($C$30="상세법",FPV(H3175,K3175),IF(H3175="EI",4,IF(H3175="EO",5.2,IF(H3175="EQ",3.9,IF(H3175="ILF",7.5,IF(H3175="EIF",5.4)))))))</f>
        <v/>
      </c>
      <c r="M3175" s="30" t="str">
        <f t="shared" si="338"/>
        <v/>
      </c>
      <c r="N3175" s="134"/>
      <c r="O3175" s="29"/>
      <c r="P3175" s="37" t="str">
        <f t="shared" si="339"/>
        <v/>
      </c>
      <c r="Q3175" s="38" t="str">
        <f t="shared" si="340"/>
        <v/>
      </c>
      <c r="R3175" s="37" t="str">
        <f t="shared" si="341"/>
        <v/>
      </c>
      <c r="S3175" s="37" t="str">
        <f t="shared" si="342"/>
        <v/>
      </c>
      <c r="T3175" s="38" t="str">
        <f t="shared" si="343"/>
        <v/>
      </c>
      <c r="U3175" s="37" t="str">
        <f t="shared" si="344"/>
        <v/>
      </c>
    </row>
    <row r="3176" spans="2:21" ht="17.25">
      <c r="B3176" s="156"/>
      <c r="C3176" s="156"/>
      <c r="D3176" s="157"/>
      <c r="E3176" s="155"/>
      <c r="F3176" s="151"/>
      <c r="G3176" s="152"/>
      <c r="H3176" s="153"/>
      <c r="I3176" s="154"/>
      <c r="J3176" s="154"/>
      <c r="K3176" s="30" t="str">
        <f>IF(H3176="","",IF($C$30="간이법","",FPR(H3176,I3176,J3176)))</f>
        <v/>
      </c>
      <c r="L3176" s="30" t="str">
        <f>IF(H3176="","",IF($C$30="상세법",FPV(H3176,K3176),IF(H3176="EI",4,IF(H3176="EO",5.2,IF(H3176="EQ",3.9,IF(H3176="ILF",7.5,IF(H3176="EIF",5.4)))))))</f>
        <v/>
      </c>
      <c r="M3176" s="30" t="str">
        <f t="shared" si="338"/>
        <v/>
      </c>
      <c r="N3176" s="134"/>
      <c r="O3176" s="29"/>
      <c r="P3176" s="37" t="str">
        <f t="shared" si="339"/>
        <v/>
      </c>
      <c r="Q3176" s="38" t="str">
        <f t="shared" si="340"/>
        <v/>
      </c>
      <c r="R3176" s="37" t="str">
        <f t="shared" si="341"/>
        <v/>
      </c>
      <c r="S3176" s="37" t="str">
        <f t="shared" si="342"/>
        <v/>
      </c>
      <c r="T3176" s="38" t="str">
        <f t="shared" si="343"/>
        <v/>
      </c>
      <c r="U3176" s="37" t="str">
        <f t="shared" si="344"/>
        <v/>
      </c>
    </row>
    <row r="3177" spans="2:21" ht="17.25">
      <c r="B3177" s="156"/>
      <c r="C3177" s="156"/>
      <c r="D3177" s="157"/>
      <c r="E3177" s="155"/>
      <c r="F3177" s="151"/>
      <c r="G3177" s="152"/>
      <c r="H3177" s="153"/>
      <c r="I3177" s="154"/>
      <c r="J3177" s="154"/>
      <c r="K3177" s="30" t="str">
        <f>IF(H3177="","",IF($C$30="간이법","",FPR(H3177,I3177,J3177)))</f>
        <v/>
      </c>
      <c r="L3177" s="30" t="str">
        <f>IF(H3177="","",IF($C$30="상세법",FPV(H3177,K3177),IF(H3177="EI",4,IF(H3177="EO",5.2,IF(H3177="EQ",3.9,IF(H3177="ILF",7.5,IF(H3177="EIF",5.4)))))))</f>
        <v/>
      </c>
      <c r="M3177" s="30" t="str">
        <f t="shared" si="338"/>
        <v/>
      </c>
      <c r="N3177" s="134"/>
      <c r="O3177" s="29"/>
      <c r="P3177" s="37" t="str">
        <f t="shared" si="339"/>
        <v/>
      </c>
      <c r="Q3177" s="38" t="str">
        <f t="shared" si="340"/>
        <v/>
      </c>
      <c r="R3177" s="37" t="str">
        <f t="shared" si="341"/>
        <v/>
      </c>
      <c r="S3177" s="37" t="str">
        <f t="shared" si="342"/>
        <v/>
      </c>
      <c r="T3177" s="38" t="str">
        <f t="shared" si="343"/>
        <v/>
      </c>
      <c r="U3177" s="37" t="str">
        <f t="shared" si="344"/>
        <v/>
      </c>
    </row>
    <row r="3178" spans="2:21" ht="17.25">
      <c r="B3178" s="156"/>
      <c r="C3178" s="156"/>
      <c r="D3178" s="157"/>
      <c r="E3178" s="155"/>
      <c r="F3178" s="151"/>
      <c r="G3178" s="152"/>
      <c r="H3178" s="153"/>
      <c r="I3178" s="154"/>
      <c r="J3178" s="154"/>
      <c r="K3178" s="30" t="str">
        <f>IF(H3178="","",IF($C$30="간이법","",FPR(H3178,I3178,J3178)))</f>
        <v/>
      </c>
      <c r="L3178" s="30" t="str">
        <f>IF(H3178="","",IF($C$30="상세법",FPV(H3178,K3178),IF(H3178="EI",4,IF(H3178="EO",5.2,IF(H3178="EQ",3.9,IF(H3178="ILF",7.5,IF(H3178="EIF",5.4)))))))</f>
        <v/>
      </c>
      <c r="M3178" s="30" t="str">
        <f t="shared" si="338"/>
        <v/>
      </c>
      <c r="N3178" s="134"/>
      <c r="O3178" s="29"/>
      <c r="P3178" s="37" t="str">
        <f t="shared" si="339"/>
        <v/>
      </c>
      <c r="Q3178" s="38" t="str">
        <f t="shared" si="340"/>
        <v/>
      </c>
      <c r="R3178" s="37" t="str">
        <f t="shared" si="341"/>
        <v/>
      </c>
      <c r="S3178" s="37" t="str">
        <f t="shared" si="342"/>
        <v/>
      </c>
      <c r="T3178" s="38" t="str">
        <f t="shared" si="343"/>
        <v/>
      </c>
      <c r="U3178" s="37" t="str">
        <f t="shared" si="344"/>
        <v/>
      </c>
    </row>
    <row r="3179" spans="2:21" ht="17.25">
      <c r="B3179" s="156"/>
      <c r="C3179" s="156"/>
      <c r="D3179" s="157"/>
      <c r="E3179" s="155"/>
      <c r="F3179" s="151"/>
      <c r="G3179" s="152"/>
      <c r="H3179" s="153"/>
      <c r="I3179" s="154"/>
      <c r="J3179" s="154"/>
      <c r="K3179" s="30" t="str">
        <f>IF(H3179="","",IF($C$30="간이법","",FPR(H3179,I3179,J3179)))</f>
        <v/>
      </c>
      <c r="L3179" s="30" t="str">
        <f>IF(H3179="","",IF($C$30="상세법",FPV(H3179,K3179),IF(H3179="EI",4,IF(H3179="EO",5.2,IF(H3179="EQ",3.9,IF(H3179="ILF",7.5,IF(H3179="EIF",5.4)))))))</f>
        <v/>
      </c>
      <c r="M3179" s="30" t="str">
        <f t="shared" si="338"/>
        <v/>
      </c>
      <c r="N3179" s="134"/>
      <c r="O3179" s="29"/>
      <c r="P3179" s="37" t="str">
        <f t="shared" si="339"/>
        <v/>
      </c>
      <c r="Q3179" s="38" t="str">
        <f t="shared" si="340"/>
        <v/>
      </c>
      <c r="R3179" s="37" t="str">
        <f t="shared" si="341"/>
        <v/>
      </c>
      <c r="S3179" s="37" t="str">
        <f t="shared" si="342"/>
        <v/>
      </c>
      <c r="T3179" s="38" t="str">
        <f t="shared" si="343"/>
        <v/>
      </c>
      <c r="U3179" s="37" t="str">
        <f t="shared" si="344"/>
        <v/>
      </c>
    </row>
    <row r="3180" spans="2:21" ht="17.25">
      <c r="B3180" s="156"/>
      <c r="C3180" s="156"/>
      <c r="D3180" s="157"/>
      <c r="E3180" s="155"/>
      <c r="F3180" s="151"/>
      <c r="G3180" s="152"/>
      <c r="H3180" s="153"/>
      <c r="I3180" s="154"/>
      <c r="J3180" s="154"/>
      <c r="K3180" s="30" t="str">
        <f>IF(H3180="","",IF($C$30="간이법","",FPR(H3180,I3180,J3180)))</f>
        <v/>
      </c>
      <c r="L3180" s="30" t="str">
        <f>IF(H3180="","",IF($C$30="상세법",FPV(H3180,K3180),IF(H3180="EI",4,IF(H3180="EO",5.2,IF(H3180="EQ",3.9,IF(H3180="ILF",7.5,IF(H3180="EIF",5.4)))))))</f>
        <v/>
      </c>
      <c r="M3180" s="30" t="str">
        <f t="shared" si="338"/>
        <v/>
      </c>
      <c r="N3180" s="134"/>
      <c r="O3180" s="29"/>
      <c r="P3180" s="37" t="str">
        <f t="shared" si="339"/>
        <v/>
      </c>
      <c r="Q3180" s="38" t="str">
        <f t="shared" si="340"/>
        <v/>
      </c>
      <c r="R3180" s="37" t="str">
        <f t="shared" si="341"/>
        <v/>
      </c>
      <c r="S3180" s="37" t="str">
        <f t="shared" si="342"/>
        <v/>
      </c>
      <c r="T3180" s="38" t="str">
        <f t="shared" si="343"/>
        <v/>
      </c>
      <c r="U3180" s="37" t="str">
        <f t="shared" si="344"/>
        <v/>
      </c>
    </row>
    <row r="3181" spans="2:21" ht="17.25">
      <c r="B3181" s="156"/>
      <c r="C3181" s="156"/>
      <c r="D3181" s="157"/>
      <c r="E3181" s="155"/>
      <c r="F3181" s="151"/>
      <c r="G3181" s="152"/>
      <c r="H3181" s="153"/>
      <c r="I3181" s="154"/>
      <c r="J3181" s="154"/>
      <c r="K3181" s="30" t="str">
        <f>IF(H3181="","",IF($C$30="간이법","",FPR(H3181,I3181,J3181)))</f>
        <v/>
      </c>
      <c r="L3181" s="30" t="str">
        <f>IF(H3181="","",IF($C$30="상세법",FPV(H3181,K3181),IF(H3181="EI",4,IF(H3181="EO",5.2,IF(H3181="EQ",3.9,IF(H3181="ILF",7.5,IF(H3181="EIF",5.4)))))))</f>
        <v/>
      </c>
      <c r="M3181" s="30" t="str">
        <f t="shared" si="338"/>
        <v/>
      </c>
      <c r="N3181" s="134"/>
      <c r="O3181" s="29"/>
      <c r="P3181" s="37" t="str">
        <f t="shared" si="339"/>
        <v/>
      </c>
      <c r="Q3181" s="38" t="str">
        <f t="shared" si="340"/>
        <v/>
      </c>
      <c r="R3181" s="37" t="str">
        <f t="shared" si="341"/>
        <v/>
      </c>
      <c r="S3181" s="37" t="str">
        <f t="shared" si="342"/>
        <v/>
      </c>
      <c r="T3181" s="38" t="str">
        <f t="shared" si="343"/>
        <v/>
      </c>
      <c r="U3181" s="37" t="str">
        <f t="shared" si="344"/>
        <v/>
      </c>
    </row>
    <row r="3182" spans="2:21" ht="17.25">
      <c r="B3182" s="156"/>
      <c r="C3182" s="156"/>
      <c r="D3182" s="157"/>
      <c r="E3182" s="155"/>
      <c r="F3182" s="151"/>
      <c r="G3182" s="152"/>
      <c r="H3182" s="153"/>
      <c r="I3182" s="154"/>
      <c r="J3182" s="154"/>
      <c r="K3182" s="30" t="str">
        <f>IF(H3182="","",IF($C$30="간이법","",FPR(H3182,I3182,J3182)))</f>
        <v/>
      </c>
      <c r="L3182" s="30" t="str">
        <f>IF(H3182="","",IF($C$30="상세법",FPV(H3182,K3182),IF(H3182="EI",4,IF(H3182="EO",5.2,IF(H3182="EQ",3.9,IF(H3182="ILF",7.5,IF(H3182="EIF",5.4)))))))</f>
        <v/>
      </c>
      <c r="M3182" s="30" t="str">
        <f t="shared" si="338"/>
        <v/>
      </c>
      <c r="N3182" s="134"/>
      <c r="O3182" s="29"/>
      <c r="P3182" s="37" t="str">
        <f t="shared" si="339"/>
        <v/>
      </c>
      <c r="Q3182" s="38" t="str">
        <f t="shared" si="340"/>
        <v/>
      </c>
      <c r="R3182" s="37" t="str">
        <f t="shared" si="341"/>
        <v/>
      </c>
      <c r="S3182" s="37" t="str">
        <f t="shared" si="342"/>
        <v/>
      </c>
      <c r="T3182" s="38" t="str">
        <f t="shared" si="343"/>
        <v/>
      </c>
      <c r="U3182" s="37" t="str">
        <f t="shared" si="344"/>
        <v/>
      </c>
    </row>
    <row r="3183" spans="2:21" ht="17.25">
      <c r="B3183" s="156"/>
      <c r="C3183" s="156"/>
      <c r="D3183" s="157"/>
      <c r="E3183" s="155"/>
      <c r="F3183" s="151"/>
      <c r="G3183" s="152"/>
      <c r="H3183" s="153"/>
      <c r="I3183" s="154"/>
      <c r="J3183" s="154"/>
      <c r="K3183" s="30" t="str">
        <f>IF(H3183="","",IF($C$30="간이법","",FPR(H3183,I3183,J3183)))</f>
        <v/>
      </c>
      <c r="L3183" s="30" t="str">
        <f>IF(H3183="","",IF($C$30="상세법",FPV(H3183,K3183),IF(H3183="EI",4,IF(H3183="EO",5.2,IF(H3183="EQ",3.9,IF(H3183="ILF",7.5,IF(H3183="EIF",5.4)))))))</f>
        <v/>
      </c>
      <c r="M3183" s="30" t="str">
        <f t="shared" si="338"/>
        <v/>
      </c>
      <c r="N3183" s="134"/>
      <c r="O3183" s="29"/>
      <c r="P3183" s="37" t="str">
        <f t="shared" si="339"/>
        <v/>
      </c>
      <c r="Q3183" s="38" t="str">
        <f t="shared" si="340"/>
        <v/>
      </c>
      <c r="R3183" s="37" t="str">
        <f t="shared" si="341"/>
        <v/>
      </c>
      <c r="S3183" s="37" t="str">
        <f t="shared" si="342"/>
        <v/>
      </c>
      <c r="T3183" s="38" t="str">
        <f t="shared" si="343"/>
        <v/>
      </c>
      <c r="U3183" s="37" t="str">
        <f t="shared" si="344"/>
        <v/>
      </c>
    </row>
    <row r="3184" spans="2:21" ht="17.25">
      <c r="B3184" s="156"/>
      <c r="C3184" s="156"/>
      <c r="D3184" s="157"/>
      <c r="E3184" s="155"/>
      <c r="F3184" s="151"/>
      <c r="G3184" s="152"/>
      <c r="H3184" s="153"/>
      <c r="I3184" s="154"/>
      <c r="J3184" s="154"/>
      <c r="K3184" s="30" t="str">
        <f>IF(H3184="","",IF($C$30="간이법","",FPR(H3184,I3184,J3184)))</f>
        <v/>
      </c>
      <c r="L3184" s="30" t="str">
        <f>IF(H3184="","",IF($C$30="상세법",FPV(H3184,K3184),IF(H3184="EI",4,IF(H3184="EO",5.2,IF(H3184="EQ",3.9,IF(H3184="ILF",7.5,IF(H3184="EIF",5.4)))))))</f>
        <v/>
      </c>
      <c r="M3184" s="30" t="str">
        <f t="shared" si="338"/>
        <v/>
      </c>
      <c r="N3184" s="134"/>
      <c r="O3184" s="29"/>
      <c r="P3184" s="37" t="str">
        <f t="shared" si="339"/>
        <v/>
      </c>
      <c r="Q3184" s="38" t="str">
        <f t="shared" si="340"/>
        <v/>
      </c>
      <c r="R3184" s="37" t="str">
        <f t="shared" si="341"/>
        <v/>
      </c>
      <c r="S3184" s="37" t="str">
        <f t="shared" si="342"/>
        <v/>
      </c>
      <c r="T3184" s="38" t="str">
        <f t="shared" si="343"/>
        <v/>
      </c>
      <c r="U3184" s="37" t="str">
        <f t="shared" si="344"/>
        <v/>
      </c>
    </row>
    <row r="3185" spans="2:21" ht="17.25">
      <c r="B3185" s="156"/>
      <c r="C3185" s="156"/>
      <c r="D3185" s="157"/>
      <c r="E3185" s="155"/>
      <c r="F3185" s="151"/>
      <c r="G3185" s="152"/>
      <c r="H3185" s="153"/>
      <c r="I3185" s="154"/>
      <c r="J3185" s="154"/>
      <c r="K3185" s="30" t="str">
        <f>IF(H3185="","",IF($C$30="간이법","",FPR(H3185,I3185,J3185)))</f>
        <v/>
      </c>
      <c r="L3185" s="30" t="str">
        <f>IF(H3185="","",IF($C$30="상세법",FPV(H3185,K3185),IF(H3185="EI",4,IF(H3185="EO",5.2,IF(H3185="EQ",3.9,IF(H3185="ILF",7.5,IF(H3185="EIF",5.4)))))))</f>
        <v/>
      </c>
      <c r="M3185" s="30" t="str">
        <f t="shared" si="338"/>
        <v/>
      </c>
      <c r="N3185" s="134"/>
      <c r="O3185" s="29"/>
      <c r="P3185" s="37" t="str">
        <f t="shared" si="339"/>
        <v/>
      </c>
      <c r="Q3185" s="38" t="str">
        <f t="shared" si="340"/>
        <v/>
      </c>
      <c r="R3185" s="37" t="str">
        <f t="shared" si="341"/>
        <v/>
      </c>
      <c r="S3185" s="37" t="str">
        <f t="shared" si="342"/>
        <v/>
      </c>
      <c r="T3185" s="38" t="str">
        <f t="shared" si="343"/>
        <v/>
      </c>
      <c r="U3185" s="37" t="str">
        <f t="shared" si="344"/>
        <v/>
      </c>
    </row>
    <row r="3186" spans="2:21" ht="17.25">
      <c r="B3186" s="156"/>
      <c r="C3186" s="156"/>
      <c r="D3186" s="157"/>
      <c r="E3186" s="155"/>
      <c r="F3186" s="151"/>
      <c r="G3186" s="152"/>
      <c r="H3186" s="153"/>
      <c r="I3186" s="154"/>
      <c r="J3186" s="154"/>
      <c r="K3186" s="30" t="str">
        <f>IF(H3186="","",IF($C$30="간이법","",FPR(H3186,I3186,J3186)))</f>
        <v/>
      </c>
      <c r="L3186" s="30" t="str">
        <f>IF(H3186="","",IF($C$30="상세법",FPV(H3186,K3186),IF(H3186="EI",4,IF(H3186="EO",5.2,IF(H3186="EQ",3.9,IF(H3186="ILF",7.5,IF(H3186="EIF",5.4)))))))</f>
        <v/>
      </c>
      <c r="M3186" s="30" t="str">
        <f t="shared" si="338"/>
        <v/>
      </c>
      <c r="N3186" s="134"/>
      <c r="O3186" s="29"/>
      <c r="P3186" s="37" t="str">
        <f t="shared" si="339"/>
        <v/>
      </c>
      <c r="Q3186" s="38" t="str">
        <f t="shared" si="340"/>
        <v/>
      </c>
      <c r="R3186" s="37" t="str">
        <f t="shared" si="341"/>
        <v/>
      </c>
      <c r="S3186" s="37" t="str">
        <f t="shared" si="342"/>
        <v/>
      </c>
      <c r="T3186" s="38" t="str">
        <f t="shared" si="343"/>
        <v/>
      </c>
      <c r="U3186" s="37" t="str">
        <f t="shared" si="344"/>
        <v/>
      </c>
    </row>
    <row r="3187" spans="2:21" ht="17.25">
      <c r="B3187" s="156"/>
      <c r="C3187" s="156"/>
      <c r="D3187" s="157"/>
      <c r="E3187" s="155"/>
      <c r="F3187" s="151"/>
      <c r="G3187" s="152"/>
      <c r="H3187" s="153"/>
      <c r="I3187" s="154"/>
      <c r="J3187" s="154"/>
      <c r="K3187" s="30" t="str">
        <f>IF(H3187="","",IF($C$30="간이법","",FPR(H3187,I3187,J3187)))</f>
        <v/>
      </c>
      <c r="L3187" s="30" t="str">
        <f>IF(H3187="","",IF($C$30="상세법",FPV(H3187,K3187),IF(H3187="EI",4,IF(H3187="EO",5.2,IF(H3187="EQ",3.9,IF(H3187="ILF",7.5,IF(H3187="EIF",5.4)))))))</f>
        <v/>
      </c>
      <c r="M3187" s="30" t="str">
        <f t="shared" si="338"/>
        <v/>
      </c>
      <c r="N3187" s="134"/>
      <c r="O3187" s="29"/>
      <c r="P3187" s="37" t="str">
        <f t="shared" si="339"/>
        <v/>
      </c>
      <c r="Q3187" s="38" t="str">
        <f t="shared" si="340"/>
        <v/>
      </c>
      <c r="R3187" s="37" t="str">
        <f t="shared" si="341"/>
        <v/>
      </c>
      <c r="S3187" s="37" t="str">
        <f t="shared" si="342"/>
        <v/>
      </c>
      <c r="T3187" s="38" t="str">
        <f t="shared" si="343"/>
        <v/>
      </c>
      <c r="U3187" s="37" t="str">
        <f t="shared" si="344"/>
        <v/>
      </c>
    </row>
    <row r="3188" spans="2:21" ht="17.25">
      <c r="B3188" s="156"/>
      <c r="C3188" s="156"/>
      <c r="D3188" s="157"/>
      <c r="E3188" s="155"/>
      <c r="F3188" s="151"/>
      <c r="G3188" s="152"/>
      <c r="H3188" s="153"/>
      <c r="I3188" s="154"/>
      <c r="J3188" s="154"/>
      <c r="K3188" s="30" t="str">
        <f>IF(H3188="","",IF($C$30="간이법","",FPR(H3188,I3188,J3188)))</f>
        <v/>
      </c>
      <c r="L3188" s="30" t="str">
        <f>IF(H3188="","",IF($C$30="상세법",FPV(H3188,K3188),IF(H3188="EI",4,IF(H3188="EO",5.2,IF(H3188="EQ",3.9,IF(H3188="ILF",7.5,IF(H3188="EIF",5.4)))))))</f>
        <v/>
      </c>
      <c r="M3188" s="30" t="str">
        <f t="shared" si="338"/>
        <v/>
      </c>
      <c r="N3188" s="134"/>
      <c r="O3188" s="29"/>
      <c r="P3188" s="37" t="str">
        <f t="shared" si="339"/>
        <v/>
      </c>
      <c r="Q3188" s="38" t="str">
        <f t="shared" si="340"/>
        <v/>
      </c>
      <c r="R3188" s="37" t="str">
        <f t="shared" si="341"/>
        <v/>
      </c>
      <c r="S3188" s="37" t="str">
        <f t="shared" si="342"/>
        <v/>
      </c>
      <c r="T3188" s="38" t="str">
        <f t="shared" si="343"/>
        <v/>
      </c>
      <c r="U3188" s="37" t="str">
        <f t="shared" si="344"/>
        <v/>
      </c>
    </row>
    <row r="3189" spans="2:21" ht="17.25">
      <c r="B3189" s="156"/>
      <c r="C3189" s="156"/>
      <c r="D3189" s="157"/>
      <c r="E3189" s="155"/>
      <c r="F3189" s="151"/>
      <c r="G3189" s="152"/>
      <c r="H3189" s="153"/>
      <c r="I3189" s="154"/>
      <c r="J3189" s="154"/>
      <c r="K3189" s="30" t="str">
        <f>IF(H3189="","",IF($C$30="간이법","",FPR(H3189,I3189,J3189)))</f>
        <v/>
      </c>
      <c r="L3189" s="30" t="str">
        <f>IF(H3189="","",IF($C$30="상세법",FPV(H3189,K3189),IF(H3189="EI",4,IF(H3189="EO",5.2,IF(H3189="EQ",3.9,IF(H3189="ILF",7.5,IF(H3189="EIF",5.4)))))))</f>
        <v/>
      </c>
      <c r="M3189" s="30" t="str">
        <f t="shared" si="338"/>
        <v/>
      </c>
      <c r="N3189" s="134"/>
      <c r="O3189" s="29"/>
      <c r="P3189" s="37" t="str">
        <f t="shared" si="339"/>
        <v/>
      </c>
      <c r="Q3189" s="38" t="str">
        <f t="shared" si="340"/>
        <v/>
      </c>
      <c r="R3189" s="37" t="str">
        <f t="shared" si="341"/>
        <v/>
      </c>
      <c r="S3189" s="37" t="str">
        <f t="shared" si="342"/>
        <v/>
      </c>
      <c r="T3189" s="38" t="str">
        <f t="shared" si="343"/>
        <v/>
      </c>
      <c r="U3189" s="37" t="str">
        <f t="shared" si="344"/>
        <v/>
      </c>
    </row>
    <row r="3190" spans="2:21" ht="17.25">
      <c r="B3190" s="156"/>
      <c r="C3190" s="156"/>
      <c r="D3190" s="157"/>
      <c r="E3190" s="155"/>
      <c r="F3190" s="151"/>
      <c r="G3190" s="152"/>
      <c r="H3190" s="153"/>
      <c r="I3190" s="154"/>
      <c r="J3190" s="154"/>
      <c r="K3190" s="30" t="str">
        <f>IF(H3190="","",IF($C$30="간이법","",FPR(H3190,I3190,J3190)))</f>
        <v/>
      </c>
      <c r="L3190" s="30" t="str">
        <f>IF(H3190="","",IF($C$30="상세법",FPV(H3190,K3190),IF(H3190="EI",4,IF(H3190="EO",5.2,IF(H3190="EQ",3.9,IF(H3190="ILF",7.5,IF(H3190="EIF",5.4)))))))</f>
        <v/>
      </c>
      <c r="M3190" s="30" t="str">
        <f t="shared" si="338"/>
        <v/>
      </c>
      <c r="N3190" s="134"/>
      <c r="O3190" s="29"/>
      <c r="P3190" s="37" t="str">
        <f t="shared" si="339"/>
        <v/>
      </c>
      <c r="Q3190" s="38" t="str">
        <f t="shared" si="340"/>
        <v/>
      </c>
      <c r="R3190" s="37" t="str">
        <f t="shared" si="341"/>
        <v/>
      </c>
      <c r="S3190" s="37" t="str">
        <f t="shared" si="342"/>
        <v/>
      </c>
      <c r="T3190" s="38" t="str">
        <f t="shared" si="343"/>
        <v/>
      </c>
      <c r="U3190" s="37" t="str">
        <f t="shared" si="344"/>
        <v/>
      </c>
    </row>
    <row r="3191" spans="2:21" ht="17.25">
      <c r="B3191" s="156"/>
      <c r="C3191" s="156"/>
      <c r="D3191" s="157"/>
      <c r="E3191" s="155"/>
      <c r="F3191" s="151"/>
      <c r="G3191" s="152"/>
      <c r="H3191" s="153"/>
      <c r="I3191" s="154"/>
      <c r="J3191" s="154"/>
      <c r="K3191" s="30" t="str">
        <f>IF(H3191="","",IF($C$30="간이법","",FPR(H3191,I3191,J3191)))</f>
        <v/>
      </c>
      <c r="L3191" s="30" t="str">
        <f>IF(H3191="","",IF($C$30="상세법",FPV(H3191,K3191),IF(H3191="EI",4,IF(H3191="EO",5.2,IF(H3191="EQ",3.9,IF(H3191="ILF",7.5,IF(H3191="EIF",5.4)))))))</f>
        <v/>
      </c>
      <c r="M3191" s="30" t="str">
        <f t="shared" si="338"/>
        <v/>
      </c>
      <c r="N3191" s="134"/>
      <c r="O3191" s="29"/>
      <c r="P3191" s="37" t="str">
        <f t="shared" si="339"/>
        <v/>
      </c>
      <c r="Q3191" s="38" t="str">
        <f t="shared" si="340"/>
        <v/>
      </c>
      <c r="R3191" s="37" t="str">
        <f t="shared" si="341"/>
        <v/>
      </c>
      <c r="S3191" s="37" t="str">
        <f t="shared" si="342"/>
        <v/>
      </c>
      <c r="T3191" s="38" t="str">
        <f t="shared" si="343"/>
        <v/>
      </c>
      <c r="U3191" s="37" t="str">
        <f t="shared" si="344"/>
        <v/>
      </c>
    </row>
    <row r="3192" spans="2:21" ht="17.25">
      <c r="B3192" s="156"/>
      <c r="C3192" s="156"/>
      <c r="D3192" s="157"/>
      <c r="E3192" s="155"/>
      <c r="F3192" s="151"/>
      <c r="G3192" s="152"/>
      <c r="H3192" s="153"/>
      <c r="I3192" s="154"/>
      <c r="J3192" s="154"/>
      <c r="K3192" s="30" t="str">
        <f>IF(H3192="","",IF($C$30="간이법","",FPR(H3192,I3192,J3192)))</f>
        <v/>
      </c>
      <c r="L3192" s="30" t="str">
        <f>IF(H3192="","",IF($C$30="상세법",FPV(H3192,K3192),IF(H3192="EI",4,IF(H3192="EO",5.2,IF(H3192="EQ",3.9,IF(H3192="ILF",7.5,IF(H3192="EIF",5.4)))))))</f>
        <v/>
      </c>
      <c r="M3192" s="30" t="str">
        <f t="shared" si="338"/>
        <v/>
      </c>
      <c r="N3192" s="134"/>
      <c r="O3192" s="29"/>
      <c r="P3192" s="37" t="str">
        <f t="shared" si="339"/>
        <v/>
      </c>
      <c r="Q3192" s="38" t="str">
        <f t="shared" si="340"/>
        <v/>
      </c>
      <c r="R3192" s="37" t="str">
        <f t="shared" si="341"/>
        <v/>
      </c>
      <c r="S3192" s="37" t="str">
        <f t="shared" si="342"/>
        <v/>
      </c>
      <c r="T3192" s="38" t="str">
        <f t="shared" si="343"/>
        <v/>
      </c>
      <c r="U3192" s="37" t="str">
        <f t="shared" si="344"/>
        <v/>
      </c>
    </row>
    <row r="3193" spans="2:21" ht="17.25">
      <c r="B3193" s="156"/>
      <c r="C3193" s="156"/>
      <c r="D3193" s="157"/>
      <c r="E3193" s="155"/>
      <c r="F3193" s="151"/>
      <c r="G3193" s="152"/>
      <c r="H3193" s="153"/>
      <c r="I3193" s="154"/>
      <c r="J3193" s="154"/>
      <c r="K3193" s="30" t="str">
        <f>IF(H3193="","",IF($C$30="간이법","",FPR(H3193,I3193,J3193)))</f>
        <v/>
      </c>
      <c r="L3193" s="30" t="str">
        <f>IF(H3193="","",IF($C$30="상세법",FPV(H3193,K3193),IF(H3193="EI",4,IF(H3193="EO",5.2,IF(H3193="EQ",3.9,IF(H3193="ILF",7.5,IF(H3193="EIF",5.4)))))))</f>
        <v/>
      </c>
      <c r="M3193" s="30" t="str">
        <f t="shared" si="338"/>
        <v/>
      </c>
      <c r="N3193" s="134"/>
      <c r="O3193" s="29"/>
      <c r="P3193" s="37" t="str">
        <f t="shared" si="339"/>
        <v/>
      </c>
      <c r="Q3193" s="38" t="str">
        <f t="shared" si="340"/>
        <v/>
      </c>
      <c r="R3193" s="37" t="str">
        <f t="shared" si="341"/>
        <v/>
      </c>
      <c r="S3193" s="37" t="str">
        <f t="shared" si="342"/>
        <v/>
      </c>
      <c r="T3193" s="38" t="str">
        <f t="shared" si="343"/>
        <v/>
      </c>
      <c r="U3193" s="37" t="str">
        <f t="shared" si="344"/>
        <v/>
      </c>
    </row>
    <row r="3194" spans="2:21" ht="17.25">
      <c r="B3194" s="156"/>
      <c r="C3194" s="156"/>
      <c r="D3194" s="157"/>
      <c r="E3194" s="155"/>
      <c r="F3194" s="151"/>
      <c r="G3194" s="152"/>
      <c r="H3194" s="153"/>
      <c r="I3194" s="154"/>
      <c r="J3194" s="154"/>
      <c r="K3194" s="30" t="str">
        <f>IF(H3194="","",IF($C$30="간이법","",FPR(H3194,I3194,J3194)))</f>
        <v/>
      </c>
      <c r="L3194" s="30" t="str">
        <f>IF(H3194="","",IF($C$30="상세법",FPV(H3194,K3194),IF(H3194="EI",4,IF(H3194="EO",5.2,IF(H3194="EQ",3.9,IF(H3194="ILF",7.5,IF(H3194="EIF",5.4)))))))</f>
        <v/>
      </c>
      <c r="M3194" s="30" t="str">
        <f t="shared" si="338"/>
        <v/>
      </c>
      <c r="N3194" s="134"/>
      <c r="O3194" s="29"/>
      <c r="P3194" s="37" t="str">
        <f t="shared" si="339"/>
        <v/>
      </c>
      <c r="Q3194" s="38" t="str">
        <f t="shared" si="340"/>
        <v/>
      </c>
      <c r="R3194" s="37" t="str">
        <f t="shared" si="341"/>
        <v/>
      </c>
      <c r="S3194" s="37" t="str">
        <f t="shared" si="342"/>
        <v/>
      </c>
      <c r="T3194" s="38" t="str">
        <f t="shared" si="343"/>
        <v/>
      </c>
      <c r="U3194" s="37" t="str">
        <f t="shared" si="344"/>
        <v/>
      </c>
    </row>
    <row r="3195" spans="2:21" ht="17.25">
      <c r="B3195" s="156"/>
      <c r="C3195" s="156"/>
      <c r="D3195" s="157"/>
      <c r="E3195" s="155"/>
      <c r="F3195" s="151"/>
      <c r="G3195" s="152"/>
      <c r="H3195" s="153"/>
      <c r="I3195" s="154"/>
      <c r="J3195" s="154"/>
      <c r="K3195" s="30" t="str">
        <f>IF(H3195="","",IF($C$30="간이법","",FPR(H3195,I3195,J3195)))</f>
        <v/>
      </c>
      <c r="L3195" s="30" t="str">
        <f>IF(H3195="","",IF($C$30="상세법",FPV(H3195,K3195),IF(H3195="EI",4,IF(H3195="EO",5.2,IF(H3195="EQ",3.9,IF(H3195="ILF",7.5,IF(H3195="EIF",5.4)))))))</f>
        <v/>
      </c>
      <c r="M3195" s="30" t="str">
        <f t="shared" si="338"/>
        <v/>
      </c>
      <c r="N3195" s="134"/>
      <c r="O3195" s="29"/>
      <c r="P3195" s="37" t="str">
        <f t="shared" si="339"/>
        <v/>
      </c>
      <c r="Q3195" s="38" t="str">
        <f t="shared" si="340"/>
        <v/>
      </c>
      <c r="R3195" s="37" t="str">
        <f t="shared" si="341"/>
        <v/>
      </c>
      <c r="S3195" s="37" t="str">
        <f t="shared" si="342"/>
        <v/>
      </c>
      <c r="T3195" s="38" t="str">
        <f t="shared" si="343"/>
        <v/>
      </c>
      <c r="U3195" s="37" t="str">
        <f t="shared" si="344"/>
        <v/>
      </c>
    </row>
    <row r="3196" spans="2:21" ht="17.25">
      <c r="B3196" s="156"/>
      <c r="C3196" s="156"/>
      <c r="D3196" s="157"/>
      <c r="E3196" s="155"/>
      <c r="F3196" s="151"/>
      <c r="G3196" s="152"/>
      <c r="H3196" s="153"/>
      <c r="I3196" s="154"/>
      <c r="J3196" s="154"/>
      <c r="K3196" s="30" t="str">
        <f>IF(H3196="","",IF($C$30="간이법","",FPR(H3196,I3196,J3196)))</f>
        <v/>
      </c>
      <c r="L3196" s="30" t="str">
        <f>IF(H3196="","",IF($C$30="상세법",FPV(H3196,K3196),IF(H3196="EI",4,IF(H3196="EO",5.2,IF(H3196="EQ",3.9,IF(H3196="ILF",7.5,IF(H3196="EIF",5.4)))))))</f>
        <v/>
      </c>
      <c r="M3196" s="30" t="str">
        <f t="shared" ref="M3196:M3259" si="345">IF(OR(G3196="",$E$36="(선택)",$E$40="(선택)",$E$41="(선택)",F3196="신규 개발",F3196="수정 없이 재사용"),"",(IF(F3196="수정 후 재사용",IF($E$50&lt;=0.5,L3196*($E$36+$E$50*100*(1+0.02*($E$40*$E$41)))/100,L3196*($E$36+$E$50*100+($E$40*$E$41))/100))))</f>
        <v/>
      </c>
      <c r="N3196" s="134"/>
      <c r="O3196" s="29"/>
      <c r="P3196" s="37" t="str">
        <f t="shared" ref="P3196:P3259" si="346">IF(F3196="수정 후 재사용",IF(H3196="ILF",G3196,IF(H3196="EIF",G3196,"")),"")</f>
        <v/>
      </c>
      <c r="Q3196" s="38" t="str">
        <f t="shared" ref="Q3196:Q3259" si="347">IF(P3196&lt;&gt;"",IF(H3196="ILF", L3196/$E$46,IF(H3196="EIF", L3196/$E$46,"")),"")</f>
        <v/>
      </c>
      <c r="R3196" s="37" t="str">
        <f t="shared" ref="R3196:R3259" si="348">IF(P3196&lt;&gt;"",P3196*Q3196,"")</f>
        <v/>
      </c>
      <c r="S3196" s="37" t="str">
        <f t="shared" ref="S3196:S3259" si="349">IF(F3196="수정 후 재사용",IF(H3196="EI",G3196,IF(H3196="EO",G3196,IF(H3196="EQ",G3196,""))),"")</f>
        <v/>
      </c>
      <c r="T3196" s="38" t="str">
        <f t="shared" ref="T3196:T3259" si="350">IF(S3196&lt;&gt;"",IF(H3196="EI",L3196/$E$47,IF(H3196="EO",L3196/$E$47,IF(H3196="EQ",L3196/$E$47,""))),"")</f>
        <v/>
      </c>
      <c r="U3196" s="37" t="str">
        <f t="shared" ref="U3196:U3259" si="351">IF(S3196&lt;&gt;"",S3196*T3196,"")</f>
        <v/>
      </c>
    </row>
    <row r="3197" spans="2:21" ht="17.25">
      <c r="B3197" s="156"/>
      <c r="C3197" s="156"/>
      <c r="D3197" s="157"/>
      <c r="E3197" s="155"/>
      <c r="F3197" s="151"/>
      <c r="G3197" s="152"/>
      <c r="H3197" s="153"/>
      <c r="I3197" s="154"/>
      <c r="J3197" s="154"/>
      <c r="K3197" s="30" t="str">
        <f>IF(H3197="","",IF($C$30="간이법","",FPR(H3197,I3197,J3197)))</f>
        <v/>
      </c>
      <c r="L3197" s="30" t="str">
        <f>IF(H3197="","",IF($C$30="상세법",FPV(H3197,K3197),IF(H3197="EI",4,IF(H3197="EO",5.2,IF(H3197="EQ",3.9,IF(H3197="ILF",7.5,IF(H3197="EIF",5.4)))))))</f>
        <v/>
      </c>
      <c r="M3197" s="30" t="str">
        <f t="shared" si="345"/>
        <v/>
      </c>
      <c r="N3197" s="134"/>
      <c r="O3197" s="29"/>
      <c r="P3197" s="37" t="str">
        <f t="shared" si="346"/>
        <v/>
      </c>
      <c r="Q3197" s="38" t="str">
        <f t="shared" si="347"/>
        <v/>
      </c>
      <c r="R3197" s="37" t="str">
        <f t="shared" si="348"/>
        <v/>
      </c>
      <c r="S3197" s="37" t="str">
        <f t="shared" si="349"/>
        <v/>
      </c>
      <c r="T3197" s="38" t="str">
        <f t="shared" si="350"/>
        <v/>
      </c>
      <c r="U3197" s="37" t="str">
        <f t="shared" si="351"/>
        <v/>
      </c>
    </row>
    <row r="3198" spans="2:21" ht="17.25">
      <c r="B3198" s="156"/>
      <c r="C3198" s="156"/>
      <c r="D3198" s="157"/>
      <c r="E3198" s="155"/>
      <c r="F3198" s="151"/>
      <c r="G3198" s="152"/>
      <c r="H3198" s="153"/>
      <c r="I3198" s="154"/>
      <c r="J3198" s="154"/>
      <c r="K3198" s="30" t="str">
        <f>IF(H3198="","",IF($C$30="간이법","",FPR(H3198,I3198,J3198)))</f>
        <v/>
      </c>
      <c r="L3198" s="30" t="str">
        <f>IF(H3198="","",IF($C$30="상세법",FPV(H3198,K3198),IF(H3198="EI",4,IF(H3198="EO",5.2,IF(H3198="EQ",3.9,IF(H3198="ILF",7.5,IF(H3198="EIF",5.4)))))))</f>
        <v/>
      </c>
      <c r="M3198" s="30" t="str">
        <f t="shared" si="345"/>
        <v/>
      </c>
      <c r="N3198" s="134"/>
      <c r="O3198" s="29"/>
      <c r="P3198" s="37" t="str">
        <f t="shared" si="346"/>
        <v/>
      </c>
      <c r="Q3198" s="38" t="str">
        <f t="shared" si="347"/>
        <v/>
      </c>
      <c r="R3198" s="37" t="str">
        <f t="shared" si="348"/>
        <v/>
      </c>
      <c r="S3198" s="37" t="str">
        <f t="shared" si="349"/>
        <v/>
      </c>
      <c r="T3198" s="38" t="str">
        <f t="shared" si="350"/>
        <v/>
      </c>
      <c r="U3198" s="37" t="str">
        <f t="shared" si="351"/>
        <v/>
      </c>
    </row>
    <row r="3199" spans="2:21" ht="17.25">
      <c r="B3199" s="156"/>
      <c r="C3199" s="156"/>
      <c r="D3199" s="157"/>
      <c r="E3199" s="155"/>
      <c r="F3199" s="151"/>
      <c r="G3199" s="152"/>
      <c r="H3199" s="153"/>
      <c r="I3199" s="154"/>
      <c r="J3199" s="154"/>
      <c r="K3199" s="30" t="str">
        <f>IF(H3199="","",IF($C$30="간이법","",FPR(H3199,I3199,J3199)))</f>
        <v/>
      </c>
      <c r="L3199" s="30" t="str">
        <f>IF(H3199="","",IF($C$30="상세법",FPV(H3199,K3199),IF(H3199="EI",4,IF(H3199="EO",5.2,IF(H3199="EQ",3.9,IF(H3199="ILF",7.5,IF(H3199="EIF",5.4)))))))</f>
        <v/>
      </c>
      <c r="M3199" s="30" t="str">
        <f t="shared" si="345"/>
        <v/>
      </c>
      <c r="N3199" s="134"/>
      <c r="O3199" s="29"/>
      <c r="P3199" s="37" t="str">
        <f t="shared" si="346"/>
        <v/>
      </c>
      <c r="Q3199" s="38" t="str">
        <f t="shared" si="347"/>
        <v/>
      </c>
      <c r="R3199" s="37" t="str">
        <f t="shared" si="348"/>
        <v/>
      </c>
      <c r="S3199" s="37" t="str">
        <f t="shared" si="349"/>
        <v/>
      </c>
      <c r="T3199" s="38" t="str">
        <f t="shared" si="350"/>
        <v/>
      </c>
      <c r="U3199" s="37" t="str">
        <f t="shared" si="351"/>
        <v/>
      </c>
    </row>
    <row r="3200" spans="2:21" ht="17.25">
      <c r="B3200" s="156"/>
      <c r="C3200" s="156"/>
      <c r="D3200" s="157"/>
      <c r="E3200" s="155"/>
      <c r="F3200" s="151"/>
      <c r="G3200" s="152"/>
      <c r="H3200" s="153"/>
      <c r="I3200" s="154"/>
      <c r="J3200" s="154"/>
      <c r="K3200" s="30" t="str">
        <f>IF(H3200="","",IF($C$30="간이법","",FPR(H3200,I3200,J3200)))</f>
        <v/>
      </c>
      <c r="L3200" s="30" t="str">
        <f>IF(H3200="","",IF($C$30="상세법",FPV(H3200,K3200),IF(H3200="EI",4,IF(H3200="EO",5.2,IF(H3200="EQ",3.9,IF(H3200="ILF",7.5,IF(H3200="EIF",5.4)))))))</f>
        <v/>
      </c>
      <c r="M3200" s="30" t="str">
        <f t="shared" si="345"/>
        <v/>
      </c>
      <c r="N3200" s="134"/>
      <c r="O3200" s="29"/>
      <c r="P3200" s="37" t="str">
        <f t="shared" si="346"/>
        <v/>
      </c>
      <c r="Q3200" s="38" t="str">
        <f t="shared" si="347"/>
        <v/>
      </c>
      <c r="R3200" s="37" t="str">
        <f t="shared" si="348"/>
        <v/>
      </c>
      <c r="S3200" s="37" t="str">
        <f t="shared" si="349"/>
        <v/>
      </c>
      <c r="T3200" s="38" t="str">
        <f t="shared" si="350"/>
        <v/>
      </c>
      <c r="U3200" s="37" t="str">
        <f t="shared" si="351"/>
        <v/>
      </c>
    </row>
    <row r="3201" spans="2:21" ht="17.25">
      <c r="B3201" s="156"/>
      <c r="C3201" s="156"/>
      <c r="D3201" s="157"/>
      <c r="E3201" s="155"/>
      <c r="F3201" s="151"/>
      <c r="G3201" s="152"/>
      <c r="H3201" s="153"/>
      <c r="I3201" s="154"/>
      <c r="J3201" s="154"/>
      <c r="K3201" s="30" t="str">
        <f>IF(H3201="","",IF($C$30="간이법","",FPR(H3201,I3201,J3201)))</f>
        <v/>
      </c>
      <c r="L3201" s="30" t="str">
        <f>IF(H3201="","",IF($C$30="상세법",FPV(H3201,K3201),IF(H3201="EI",4,IF(H3201="EO",5.2,IF(H3201="EQ",3.9,IF(H3201="ILF",7.5,IF(H3201="EIF",5.4)))))))</f>
        <v/>
      </c>
      <c r="M3201" s="30" t="str">
        <f t="shared" si="345"/>
        <v/>
      </c>
      <c r="N3201" s="134"/>
      <c r="O3201" s="29"/>
      <c r="P3201" s="37" t="str">
        <f t="shared" si="346"/>
        <v/>
      </c>
      <c r="Q3201" s="38" t="str">
        <f t="shared" si="347"/>
        <v/>
      </c>
      <c r="R3201" s="37" t="str">
        <f t="shared" si="348"/>
        <v/>
      </c>
      <c r="S3201" s="37" t="str">
        <f t="shared" si="349"/>
        <v/>
      </c>
      <c r="T3201" s="38" t="str">
        <f t="shared" si="350"/>
        <v/>
      </c>
      <c r="U3201" s="37" t="str">
        <f t="shared" si="351"/>
        <v/>
      </c>
    </row>
    <row r="3202" spans="2:21" ht="17.25">
      <c r="B3202" s="156"/>
      <c r="C3202" s="156"/>
      <c r="D3202" s="157"/>
      <c r="E3202" s="155"/>
      <c r="F3202" s="151"/>
      <c r="G3202" s="152"/>
      <c r="H3202" s="153"/>
      <c r="I3202" s="154"/>
      <c r="J3202" s="154"/>
      <c r="K3202" s="30" t="str">
        <f>IF(H3202="","",IF($C$30="간이법","",FPR(H3202,I3202,J3202)))</f>
        <v/>
      </c>
      <c r="L3202" s="30" t="str">
        <f>IF(H3202="","",IF($C$30="상세법",FPV(H3202,K3202),IF(H3202="EI",4,IF(H3202="EO",5.2,IF(H3202="EQ",3.9,IF(H3202="ILF",7.5,IF(H3202="EIF",5.4)))))))</f>
        <v/>
      </c>
      <c r="M3202" s="30" t="str">
        <f t="shared" si="345"/>
        <v/>
      </c>
      <c r="N3202" s="134"/>
      <c r="O3202" s="29"/>
      <c r="P3202" s="37" t="str">
        <f t="shared" si="346"/>
        <v/>
      </c>
      <c r="Q3202" s="38" t="str">
        <f t="shared" si="347"/>
        <v/>
      </c>
      <c r="R3202" s="37" t="str">
        <f t="shared" si="348"/>
        <v/>
      </c>
      <c r="S3202" s="37" t="str">
        <f t="shared" si="349"/>
        <v/>
      </c>
      <c r="T3202" s="38" t="str">
        <f t="shared" si="350"/>
        <v/>
      </c>
      <c r="U3202" s="37" t="str">
        <f t="shared" si="351"/>
        <v/>
      </c>
    </row>
    <row r="3203" spans="2:21" ht="17.25">
      <c r="B3203" s="156"/>
      <c r="C3203" s="156"/>
      <c r="D3203" s="157"/>
      <c r="E3203" s="155"/>
      <c r="F3203" s="151"/>
      <c r="G3203" s="152"/>
      <c r="H3203" s="153"/>
      <c r="I3203" s="154"/>
      <c r="J3203" s="154"/>
      <c r="K3203" s="30" t="str">
        <f>IF(H3203="","",IF($C$30="간이법","",FPR(H3203,I3203,J3203)))</f>
        <v/>
      </c>
      <c r="L3203" s="30" t="str">
        <f>IF(H3203="","",IF($C$30="상세법",FPV(H3203,K3203),IF(H3203="EI",4,IF(H3203="EO",5.2,IF(H3203="EQ",3.9,IF(H3203="ILF",7.5,IF(H3203="EIF",5.4)))))))</f>
        <v/>
      </c>
      <c r="M3203" s="30" t="str">
        <f t="shared" si="345"/>
        <v/>
      </c>
      <c r="N3203" s="134"/>
      <c r="O3203" s="29"/>
      <c r="P3203" s="37" t="str">
        <f t="shared" si="346"/>
        <v/>
      </c>
      <c r="Q3203" s="38" t="str">
        <f t="shared" si="347"/>
        <v/>
      </c>
      <c r="R3203" s="37" t="str">
        <f t="shared" si="348"/>
        <v/>
      </c>
      <c r="S3203" s="37" t="str">
        <f t="shared" si="349"/>
        <v/>
      </c>
      <c r="T3203" s="38" t="str">
        <f t="shared" si="350"/>
        <v/>
      </c>
      <c r="U3203" s="37" t="str">
        <f t="shared" si="351"/>
        <v/>
      </c>
    </row>
    <row r="3204" spans="2:21" ht="17.25">
      <c r="B3204" s="156"/>
      <c r="C3204" s="156"/>
      <c r="D3204" s="157"/>
      <c r="E3204" s="155"/>
      <c r="F3204" s="151"/>
      <c r="G3204" s="152"/>
      <c r="H3204" s="153"/>
      <c r="I3204" s="154"/>
      <c r="J3204" s="154"/>
      <c r="K3204" s="30" t="str">
        <f>IF(H3204="","",IF($C$30="간이법","",FPR(H3204,I3204,J3204)))</f>
        <v/>
      </c>
      <c r="L3204" s="30" t="str">
        <f>IF(H3204="","",IF($C$30="상세법",FPV(H3204,K3204),IF(H3204="EI",4,IF(H3204="EO",5.2,IF(H3204="EQ",3.9,IF(H3204="ILF",7.5,IF(H3204="EIF",5.4)))))))</f>
        <v/>
      </c>
      <c r="M3204" s="30" t="str">
        <f t="shared" si="345"/>
        <v/>
      </c>
      <c r="N3204" s="134"/>
      <c r="O3204" s="29"/>
      <c r="P3204" s="37" t="str">
        <f t="shared" si="346"/>
        <v/>
      </c>
      <c r="Q3204" s="38" t="str">
        <f t="shared" si="347"/>
        <v/>
      </c>
      <c r="R3204" s="37" t="str">
        <f t="shared" si="348"/>
        <v/>
      </c>
      <c r="S3204" s="37" t="str">
        <f t="shared" si="349"/>
        <v/>
      </c>
      <c r="T3204" s="38" t="str">
        <f t="shared" si="350"/>
        <v/>
      </c>
      <c r="U3204" s="37" t="str">
        <f t="shared" si="351"/>
        <v/>
      </c>
    </row>
    <row r="3205" spans="2:21" ht="17.25">
      <c r="B3205" s="156"/>
      <c r="C3205" s="156"/>
      <c r="D3205" s="157"/>
      <c r="E3205" s="155"/>
      <c r="F3205" s="151"/>
      <c r="G3205" s="152"/>
      <c r="H3205" s="153"/>
      <c r="I3205" s="154"/>
      <c r="J3205" s="154"/>
      <c r="K3205" s="30" t="str">
        <f>IF(H3205="","",IF($C$30="간이법","",FPR(H3205,I3205,J3205)))</f>
        <v/>
      </c>
      <c r="L3205" s="30" t="str">
        <f>IF(H3205="","",IF($C$30="상세법",FPV(H3205,K3205),IF(H3205="EI",4,IF(H3205="EO",5.2,IF(H3205="EQ",3.9,IF(H3205="ILF",7.5,IF(H3205="EIF",5.4)))))))</f>
        <v/>
      </c>
      <c r="M3205" s="30" t="str">
        <f t="shared" si="345"/>
        <v/>
      </c>
      <c r="N3205" s="134"/>
      <c r="O3205" s="29"/>
      <c r="P3205" s="37" t="str">
        <f t="shared" si="346"/>
        <v/>
      </c>
      <c r="Q3205" s="38" t="str">
        <f t="shared" si="347"/>
        <v/>
      </c>
      <c r="R3205" s="37" t="str">
        <f t="shared" si="348"/>
        <v/>
      </c>
      <c r="S3205" s="37" t="str">
        <f t="shared" si="349"/>
        <v/>
      </c>
      <c r="T3205" s="38" t="str">
        <f t="shared" si="350"/>
        <v/>
      </c>
      <c r="U3205" s="37" t="str">
        <f t="shared" si="351"/>
        <v/>
      </c>
    </row>
    <row r="3206" spans="2:21" ht="17.25">
      <c r="B3206" s="156"/>
      <c r="C3206" s="156"/>
      <c r="D3206" s="157"/>
      <c r="E3206" s="155"/>
      <c r="F3206" s="151"/>
      <c r="G3206" s="152"/>
      <c r="H3206" s="153"/>
      <c r="I3206" s="154"/>
      <c r="J3206" s="154"/>
      <c r="K3206" s="30" t="str">
        <f>IF(H3206="","",IF($C$30="간이법","",FPR(H3206,I3206,J3206)))</f>
        <v/>
      </c>
      <c r="L3206" s="30" t="str">
        <f>IF(H3206="","",IF($C$30="상세법",FPV(H3206,K3206),IF(H3206="EI",4,IF(H3206="EO",5.2,IF(H3206="EQ",3.9,IF(H3206="ILF",7.5,IF(H3206="EIF",5.4)))))))</f>
        <v/>
      </c>
      <c r="M3206" s="30" t="str">
        <f t="shared" si="345"/>
        <v/>
      </c>
      <c r="N3206" s="134"/>
      <c r="O3206" s="29"/>
      <c r="P3206" s="37" t="str">
        <f t="shared" si="346"/>
        <v/>
      </c>
      <c r="Q3206" s="38" t="str">
        <f t="shared" si="347"/>
        <v/>
      </c>
      <c r="R3206" s="37" t="str">
        <f t="shared" si="348"/>
        <v/>
      </c>
      <c r="S3206" s="37" t="str">
        <f t="shared" si="349"/>
        <v/>
      </c>
      <c r="T3206" s="38" t="str">
        <f t="shared" si="350"/>
        <v/>
      </c>
      <c r="U3206" s="37" t="str">
        <f t="shared" si="351"/>
        <v/>
      </c>
    </row>
    <row r="3207" spans="2:21" ht="17.25">
      <c r="B3207" s="156"/>
      <c r="C3207" s="156"/>
      <c r="D3207" s="157"/>
      <c r="E3207" s="155"/>
      <c r="F3207" s="151"/>
      <c r="G3207" s="152"/>
      <c r="H3207" s="153"/>
      <c r="I3207" s="154"/>
      <c r="J3207" s="154"/>
      <c r="K3207" s="30" t="str">
        <f>IF(H3207="","",IF($C$30="간이법","",FPR(H3207,I3207,J3207)))</f>
        <v/>
      </c>
      <c r="L3207" s="30" t="str">
        <f>IF(H3207="","",IF($C$30="상세법",FPV(H3207,K3207),IF(H3207="EI",4,IF(H3207="EO",5.2,IF(H3207="EQ",3.9,IF(H3207="ILF",7.5,IF(H3207="EIF",5.4)))))))</f>
        <v/>
      </c>
      <c r="M3207" s="30" t="str">
        <f t="shared" si="345"/>
        <v/>
      </c>
      <c r="N3207" s="134"/>
      <c r="O3207" s="29"/>
      <c r="P3207" s="37" t="str">
        <f t="shared" si="346"/>
        <v/>
      </c>
      <c r="Q3207" s="38" t="str">
        <f t="shared" si="347"/>
        <v/>
      </c>
      <c r="R3207" s="37" t="str">
        <f t="shared" si="348"/>
        <v/>
      </c>
      <c r="S3207" s="37" t="str">
        <f t="shared" si="349"/>
        <v/>
      </c>
      <c r="T3207" s="38" t="str">
        <f t="shared" si="350"/>
        <v/>
      </c>
      <c r="U3207" s="37" t="str">
        <f t="shared" si="351"/>
        <v/>
      </c>
    </row>
    <row r="3208" spans="2:21" ht="17.25">
      <c r="B3208" s="156"/>
      <c r="C3208" s="156"/>
      <c r="D3208" s="157"/>
      <c r="E3208" s="155"/>
      <c r="F3208" s="151"/>
      <c r="G3208" s="152"/>
      <c r="H3208" s="153"/>
      <c r="I3208" s="154"/>
      <c r="J3208" s="154"/>
      <c r="K3208" s="30" t="str">
        <f>IF(H3208="","",IF($C$30="간이법","",FPR(H3208,I3208,J3208)))</f>
        <v/>
      </c>
      <c r="L3208" s="30" t="str">
        <f>IF(H3208="","",IF($C$30="상세법",FPV(H3208,K3208),IF(H3208="EI",4,IF(H3208="EO",5.2,IF(H3208="EQ",3.9,IF(H3208="ILF",7.5,IF(H3208="EIF",5.4)))))))</f>
        <v/>
      </c>
      <c r="M3208" s="30" t="str">
        <f t="shared" si="345"/>
        <v/>
      </c>
      <c r="N3208" s="134"/>
      <c r="O3208" s="29"/>
      <c r="P3208" s="37" t="str">
        <f t="shared" si="346"/>
        <v/>
      </c>
      <c r="Q3208" s="38" t="str">
        <f t="shared" si="347"/>
        <v/>
      </c>
      <c r="R3208" s="37" t="str">
        <f t="shared" si="348"/>
        <v/>
      </c>
      <c r="S3208" s="37" t="str">
        <f t="shared" si="349"/>
        <v/>
      </c>
      <c r="T3208" s="38" t="str">
        <f t="shared" si="350"/>
        <v/>
      </c>
      <c r="U3208" s="37" t="str">
        <f t="shared" si="351"/>
        <v/>
      </c>
    </row>
    <row r="3209" spans="2:21" ht="17.25">
      <c r="B3209" s="156"/>
      <c r="C3209" s="156"/>
      <c r="D3209" s="157"/>
      <c r="E3209" s="155"/>
      <c r="F3209" s="151"/>
      <c r="G3209" s="152"/>
      <c r="H3209" s="153"/>
      <c r="I3209" s="154"/>
      <c r="J3209" s="154"/>
      <c r="K3209" s="30" t="str">
        <f>IF(H3209="","",IF($C$30="간이법","",FPR(H3209,I3209,J3209)))</f>
        <v/>
      </c>
      <c r="L3209" s="30" t="str">
        <f>IF(H3209="","",IF($C$30="상세법",FPV(H3209,K3209),IF(H3209="EI",4,IF(H3209="EO",5.2,IF(H3209="EQ",3.9,IF(H3209="ILF",7.5,IF(H3209="EIF",5.4)))))))</f>
        <v/>
      </c>
      <c r="M3209" s="30" t="str">
        <f t="shared" si="345"/>
        <v/>
      </c>
      <c r="N3209" s="134"/>
      <c r="O3209" s="29"/>
      <c r="P3209" s="37" t="str">
        <f t="shared" si="346"/>
        <v/>
      </c>
      <c r="Q3209" s="38" t="str">
        <f t="shared" si="347"/>
        <v/>
      </c>
      <c r="R3209" s="37" t="str">
        <f t="shared" si="348"/>
        <v/>
      </c>
      <c r="S3209" s="37" t="str">
        <f t="shared" si="349"/>
        <v/>
      </c>
      <c r="T3209" s="38" t="str">
        <f t="shared" si="350"/>
        <v/>
      </c>
      <c r="U3209" s="37" t="str">
        <f t="shared" si="351"/>
        <v/>
      </c>
    </row>
    <row r="3210" spans="2:21" ht="17.25">
      <c r="B3210" s="156"/>
      <c r="C3210" s="156"/>
      <c r="D3210" s="157"/>
      <c r="E3210" s="155"/>
      <c r="F3210" s="151"/>
      <c r="G3210" s="152"/>
      <c r="H3210" s="153"/>
      <c r="I3210" s="154"/>
      <c r="J3210" s="154"/>
      <c r="K3210" s="30" t="str">
        <f>IF(H3210="","",IF($C$30="간이법","",FPR(H3210,I3210,J3210)))</f>
        <v/>
      </c>
      <c r="L3210" s="30" t="str">
        <f>IF(H3210="","",IF($C$30="상세법",FPV(H3210,K3210),IF(H3210="EI",4,IF(H3210="EO",5.2,IF(H3210="EQ",3.9,IF(H3210="ILF",7.5,IF(H3210="EIF",5.4)))))))</f>
        <v/>
      </c>
      <c r="M3210" s="30" t="str">
        <f t="shared" si="345"/>
        <v/>
      </c>
      <c r="N3210" s="134"/>
      <c r="O3210" s="29"/>
      <c r="P3210" s="37" t="str">
        <f t="shared" si="346"/>
        <v/>
      </c>
      <c r="Q3210" s="38" t="str">
        <f t="shared" si="347"/>
        <v/>
      </c>
      <c r="R3210" s="37" t="str">
        <f t="shared" si="348"/>
        <v/>
      </c>
      <c r="S3210" s="37" t="str">
        <f t="shared" si="349"/>
        <v/>
      </c>
      <c r="T3210" s="38" t="str">
        <f t="shared" si="350"/>
        <v/>
      </c>
      <c r="U3210" s="37" t="str">
        <f t="shared" si="351"/>
        <v/>
      </c>
    </row>
    <row r="3211" spans="2:21" ht="17.25">
      <c r="B3211" s="156"/>
      <c r="C3211" s="156"/>
      <c r="D3211" s="157"/>
      <c r="E3211" s="155"/>
      <c r="F3211" s="151"/>
      <c r="G3211" s="152"/>
      <c r="H3211" s="153"/>
      <c r="I3211" s="154"/>
      <c r="J3211" s="154"/>
      <c r="K3211" s="30" t="str">
        <f>IF(H3211="","",IF($C$30="간이법","",FPR(H3211,I3211,J3211)))</f>
        <v/>
      </c>
      <c r="L3211" s="30" t="str">
        <f>IF(H3211="","",IF($C$30="상세법",FPV(H3211,K3211),IF(H3211="EI",4,IF(H3211="EO",5.2,IF(H3211="EQ",3.9,IF(H3211="ILF",7.5,IF(H3211="EIF",5.4)))))))</f>
        <v/>
      </c>
      <c r="M3211" s="30" t="str">
        <f t="shared" si="345"/>
        <v/>
      </c>
      <c r="N3211" s="134"/>
      <c r="O3211" s="29"/>
      <c r="P3211" s="37" t="str">
        <f t="shared" si="346"/>
        <v/>
      </c>
      <c r="Q3211" s="38" t="str">
        <f t="shared" si="347"/>
        <v/>
      </c>
      <c r="R3211" s="37" t="str">
        <f t="shared" si="348"/>
        <v/>
      </c>
      <c r="S3211" s="37" t="str">
        <f t="shared" si="349"/>
        <v/>
      </c>
      <c r="T3211" s="38" t="str">
        <f t="shared" si="350"/>
        <v/>
      </c>
      <c r="U3211" s="37" t="str">
        <f t="shared" si="351"/>
        <v/>
      </c>
    </row>
    <row r="3212" spans="2:21" ht="17.25">
      <c r="B3212" s="156"/>
      <c r="C3212" s="156"/>
      <c r="D3212" s="157"/>
      <c r="E3212" s="155"/>
      <c r="F3212" s="151"/>
      <c r="G3212" s="152"/>
      <c r="H3212" s="153"/>
      <c r="I3212" s="154"/>
      <c r="J3212" s="154"/>
      <c r="K3212" s="30" t="str">
        <f>IF(H3212="","",IF($C$30="간이법","",FPR(H3212,I3212,J3212)))</f>
        <v/>
      </c>
      <c r="L3212" s="30" t="str">
        <f>IF(H3212="","",IF($C$30="상세법",FPV(H3212,K3212),IF(H3212="EI",4,IF(H3212="EO",5.2,IF(H3212="EQ",3.9,IF(H3212="ILF",7.5,IF(H3212="EIF",5.4)))))))</f>
        <v/>
      </c>
      <c r="M3212" s="30" t="str">
        <f t="shared" si="345"/>
        <v/>
      </c>
      <c r="N3212" s="134"/>
      <c r="O3212" s="29"/>
      <c r="P3212" s="37" t="str">
        <f t="shared" si="346"/>
        <v/>
      </c>
      <c r="Q3212" s="38" t="str">
        <f t="shared" si="347"/>
        <v/>
      </c>
      <c r="R3212" s="37" t="str">
        <f t="shared" si="348"/>
        <v/>
      </c>
      <c r="S3212" s="37" t="str">
        <f t="shared" si="349"/>
        <v/>
      </c>
      <c r="T3212" s="38" t="str">
        <f t="shared" si="350"/>
        <v/>
      </c>
      <c r="U3212" s="37" t="str">
        <f t="shared" si="351"/>
        <v/>
      </c>
    </row>
    <row r="3213" spans="2:21" ht="17.25">
      <c r="B3213" s="156"/>
      <c r="C3213" s="156"/>
      <c r="D3213" s="157"/>
      <c r="E3213" s="155"/>
      <c r="F3213" s="151"/>
      <c r="G3213" s="152"/>
      <c r="H3213" s="153"/>
      <c r="I3213" s="154"/>
      <c r="J3213" s="154"/>
      <c r="K3213" s="30" t="str">
        <f>IF(H3213="","",IF($C$30="간이법","",FPR(H3213,I3213,J3213)))</f>
        <v/>
      </c>
      <c r="L3213" s="30" t="str">
        <f>IF(H3213="","",IF($C$30="상세법",FPV(H3213,K3213),IF(H3213="EI",4,IF(H3213="EO",5.2,IF(H3213="EQ",3.9,IF(H3213="ILF",7.5,IF(H3213="EIF",5.4)))))))</f>
        <v/>
      </c>
      <c r="M3213" s="30" t="str">
        <f t="shared" si="345"/>
        <v/>
      </c>
      <c r="N3213" s="134"/>
      <c r="O3213" s="29"/>
      <c r="P3213" s="37" t="str">
        <f t="shared" si="346"/>
        <v/>
      </c>
      <c r="Q3213" s="38" t="str">
        <f t="shared" si="347"/>
        <v/>
      </c>
      <c r="R3213" s="37" t="str">
        <f t="shared" si="348"/>
        <v/>
      </c>
      <c r="S3213" s="37" t="str">
        <f t="shared" si="349"/>
        <v/>
      </c>
      <c r="T3213" s="38" t="str">
        <f t="shared" si="350"/>
        <v/>
      </c>
      <c r="U3213" s="37" t="str">
        <f t="shared" si="351"/>
        <v/>
      </c>
    </row>
    <row r="3214" spans="2:21" ht="17.25">
      <c r="B3214" s="156"/>
      <c r="C3214" s="156"/>
      <c r="D3214" s="157"/>
      <c r="E3214" s="155"/>
      <c r="F3214" s="151"/>
      <c r="G3214" s="152"/>
      <c r="H3214" s="153"/>
      <c r="I3214" s="154"/>
      <c r="J3214" s="154"/>
      <c r="K3214" s="30" t="str">
        <f>IF(H3214="","",IF($C$30="간이법","",FPR(H3214,I3214,J3214)))</f>
        <v/>
      </c>
      <c r="L3214" s="30" t="str">
        <f>IF(H3214="","",IF($C$30="상세법",FPV(H3214,K3214),IF(H3214="EI",4,IF(H3214="EO",5.2,IF(H3214="EQ",3.9,IF(H3214="ILF",7.5,IF(H3214="EIF",5.4)))))))</f>
        <v/>
      </c>
      <c r="M3214" s="30" t="str">
        <f t="shared" si="345"/>
        <v/>
      </c>
      <c r="N3214" s="134"/>
      <c r="O3214" s="29"/>
      <c r="P3214" s="37" t="str">
        <f t="shared" si="346"/>
        <v/>
      </c>
      <c r="Q3214" s="38" t="str">
        <f t="shared" si="347"/>
        <v/>
      </c>
      <c r="R3214" s="37" t="str">
        <f t="shared" si="348"/>
        <v/>
      </c>
      <c r="S3214" s="37" t="str">
        <f t="shared" si="349"/>
        <v/>
      </c>
      <c r="T3214" s="38" t="str">
        <f t="shared" si="350"/>
        <v/>
      </c>
      <c r="U3214" s="37" t="str">
        <f t="shared" si="351"/>
        <v/>
      </c>
    </row>
    <row r="3215" spans="2:21" ht="17.25">
      <c r="B3215" s="156"/>
      <c r="C3215" s="156"/>
      <c r="D3215" s="157"/>
      <c r="E3215" s="155"/>
      <c r="F3215" s="151"/>
      <c r="G3215" s="152"/>
      <c r="H3215" s="153"/>
      <c r="I3215" s="154"/>
      <c r="J3215" s="154"/>
      <c r="K3215" s="30" t="str">
        <f>IF(H3215="","",IF($C$30="간이법","",FPR(H3215,I3215,J3215)))</f>
        <v/>
      </c>
      <c r="L3215" s="30" t="str">
        <f>IF(H3215="","",IF($C$30="상세법",FPV(H3215,K3215),IF(H3215="EI",4,IF(H3215="EO",5.2,IF(H3215="EQ",3.9,IF(H3215="ILF",7.5,IF(H3215="EIF",5.4)))))))</f>
        <v/>
      </c>
      <c r="M3215" s="30" t="str">
        <f t="shared" si="345"/>
        <v/>
      </c>
      <c r="N3215" s="134"/>
      <c r="O3215" s="29"/>
      <c r="P3215" s="37" t="str">
        <f t="shared" si="346"/>
        <v/>
      </c>
      <c r="Q3215" s="38" t="str">
        <f t="shared" si="347"/>
        <v/>
      </c>
      <c r="R3215" s="37" t="str">
        <f t="shared" si="348"/>
        <v/>
      </c>
      <c r="S3215" s="37" t="str">
        <f t="shared" si="349"/>
        <v/>
      </c>
      <c r="T3215" s="38" t="str">
        <f t="shared" si="350"/>
        <v/>
      </c>
      <c r="U3215" s="37" t="str">
        <f t="shared" si="351"/>
        <v/>
      </c>
    </row>
    <row r="3216" spans="2:21" ht="17.25">
      <c r="B3216" s="156"/>
      <c r="C3216" s="156"/>
      <c r="D3216" s="157"/>
      <c r="E3216" s="155"/>
      <c r="F3216" s="151"/>
      <c r="G3216" s="152"/>
      <c r="H3216" s="153"/>
      <c r="I3216" s="154"/>
      <c r="J3216" s="154"/>
      <c r="K3216" s="30" t="str">
        <f>IF(H3216="","",IF($C$30="간이법","",FPR(H3216,I3216,J3216)))</f>
        <v/>
      </c>
      <c r="L3216" s="30" t="str">
        <f>IF(H3216="","",IF($C$30="상세법",FPV(H3216,K3216),IF(H3216="EI",4,IF(H3216="EO",5.2,IF(H3216="EQ",3.9,IF(H3216="ILF",7.5,IF(H3216="EIF",5.4)))))))</f>
        <v/>
      </c>
      <c r="M3216" s="30" t="str">
        <f t="shared" si="345"/>
        <v/>
      </c>
      <c r="N3216" s="134"/>
      <c r="O3216" s="29"/>
      <c r="P3216" s="37" t="str">
        <f t="shared" si="346"/>
        <v/>
      </c>
      <c r="Q3216" s="38" t="str">
        <f t="shared" si="347"/>
        <v/>
      </c>
      <c r="R3216" s="37" t="str">
        <f t="shared" si="348"/>
        <v/>
      </c>
      <c r="S3216" s="37" t="str">
        <f t="shared" si="349"/>
        <v/>
      </c>
      <c r="T3216" s="38" t="str">
        <f t="shared" si="350"/>
        <v/>
      </c>
      <c r="U3216" s="37" t="str">
        <f t="shared" si="351"/>
        <v/>
      </c>
    </row>
    <row r="3217" spans="2:21" ht="17.25">
      <c r="B3217" s="156"/>
      <c r="C3217" s="156"/>
      <c r="D3217" s="157"/>
      <c r="E3217" s="155"/>
      <c r="F3217" s="151"/>
      <c r="G3217" s="152"/>
      <c r="H3217" s="153"/>
      <c r="I3217" s="154"/>
      <c r="J3217" s="154"/>
      <c r="K3217" s="30" t="str">
        <f>IF(H3217="","",IF($C$30="간이법","",FPR(H3217,I3217,J3217)))</f>
        <v/>
      </c>
      <c r="L3217" s="30" t="str">
        <f>IF(H3217="","",IF($C$30="상세법",FPV(H3217,K3217),IF(H3217="EI",4,IF(H3217="EO",5.2,IF(H3217="EQ",3.9,IF(H3217="ILF",7.5,IF(H3217="EIF",5.4)))))))</f>
        <v/>
      </c>
      <c r="M3217" s="30" t="str">
        <f t="shared" si="345"/>
        <v/>
      </c>
      <c r="N3217" s="134"/>
      <c r="O3217" s="29"/>
      <c r="P3217" s="37" t="str">
        <f t="shared" si="346"/>
        <v/>
      </c>
      <c r="Q3217" s="38" t="str">
        <f t="shared" si="347"/>
        <v/>
      </c>
      <c r="R3217" s="37" t="str">
        <f t="shared" si="348"/>
        <v/>
      </c>
      <c r="S3217" s="37" t="str">
        <f t="shared" si="349"/>
        <v/>
      </c>
      <c r="T3217" s="38" t="str">
        <f t="shared" si="350"/>
        <v/>
      </c>
      <c r="U3217" s="37" t="str">
        <f t="shared" si="351"/>
        <v/>
      </c>
    </row>
    <row r="3218" spans="2:21" ht="17.25">
      <c r="B3218" s="156"/>
      <c r="C3218" s="156"/>
      <c r="D3218" s="157"/>
      <c r="E3218" s="155"/>
      <c r="F3218" s="151"/>
      <c r="G3218" s="152"/>
      <c r="H3218" s="153"/>
      <c r="I3218" s="154"/>
      <c r="J3218" s="154"/>
      <c r="K3218" s="30" t="str">
        <f>IF(H3218="","",IF($C$30="간이법","",FPR(H3218,I3218,J3218)))</f>
        <v/>
      </c>
      <c r="L3218" s="30" t="str">
        <f>IF(H3218="","",IF($C$30="상세법",FPV(H3218,K3218),IF(H3218="EI",4,IF(H3218="EO",5.2,IF(H3218="EQ",3.9,IF(H3218="ILF",7.5,IF(H3218="EIF",5.4)))))))</f>
        <v/>
      </c>
      <c r="M3218" s="30" t="str">
        <f t="shared" si="345"/>
        <v/>
      </c>
      <c r="N3218" s="134"/>
      <c r="O3218" s="29"/>
      <c r="P3218" s="37" t="str">
        <f t="shared" si="346"/>
        <v/>
      </c>
      <c r="Q3218" s="38" t="str">
        <f t="shared" si="347"/>
        <v/>
      </c>
      <c r="R3218" s="37" t="str">
        <f t="shared" si="348"/>
        <v/>
      </c>
      <c r="S3218" s="37" t="str">
        <f t="shared" si="349"/>
        <v/>
      </c>
      <c r="T3218" s="38" t="str">
        <f t="shared" si="350"/>
        <v/>
      </c>
      <c r="U3218" s="37" t="str">
        <f t="shared" si="351"/>
        <v/>
      </c>
    </row>
    <row r="3219" spans="2:21" ht="17.25">
      <c r="B3219" s="156"/>
      <c r="C3219" s="156"/>
      <c r="D3219" s="157"/>
      <c r="E3219" s="155"/>
      <c r="F3219" s="151"/>
      <c r="G3219" s="152"/>
      <c r="H3219" s="153"/>
      <c r="I3219" s="154"/>
      <c r="J3219" s="154"/>
      <c r="K3219" s="30" t="str">
        <f>IF(H3219="","",IF($C$30="간이법","",FPR(H3219,I3219,J3219)))</f>
        <v/>
      </c>
      <c r="L3219" s="30" t="str">
        <f>IF(H3219="","",IF($C$30="상세법",FPV(H3219,K3219),IF(H3219="EI",4,IF(H3219="EO",5.2,IF(H3219="EQ",3.9,IF(H3219="ILF",7.5,IF(H3219="EIF",5.4)))))))</f>
        <v/>
      </c>
      <c r="M3219" s="30" t="str">
        <f t="shared" si="345"/>
        <v/>
      </c>
      <c r="N3219" s="134"/>
      <c r="O3219" s="29"/>
      <c r="P3219" s="37" t="str">
        <f t="shared" si="346"/>
        <v/>
      </c>
      <c r="Q3219" s="38" t="str">
        <f t="shared" si="347"/>
        <v/>
      </c>
      <c r="R3219" s="37" t="str">
        <f t="shared" si="348"/>
        <v/>
      </c>
      <c r="S3219" s="37" t="str">
        <f t="shared" si="349"/>
        <v/>
      </c>
      <c r="T3219" s="38" t="str">
        <f t="shared" si="350"/>
        <v/>
      </c>
      <c r="U3219" s="37" t="str">
        <f t="shared" si="351"/>
        <v/>
      </c>
    </row>
    <row r="3220" spans="2:21" ht="17.25">
      <c r="B3220" s="156"/>
      <c r="C3220" s="156"/>
      <c r="D3220" s="157"/>
      <c r="E3220" s="155"/>
      <c r="F3220" s="151"/>
      <c r="G3220" s="152"/>
      <c r="H3220" s="153"/>
      <c r="I3220" s="154"/>
      <c r="J3220" s="154"/>
      <c r="K3220" s="30" t="str">
        <f>IF(H3220="","",IF($C$30="간이법","",FPR(H3220,I3220,J3220)))</f>
        <v/>
      </c>
      <c r="L3220" s="30" t="str">
        <f>IF(H3220="","",IF($C$30="상세법",FPV(H3220,K3220),IF(H3220="EI",4,IF(H3220="EO",5.2,IF(H3220="EQ",3.9,IF(H3220="ILF",7.5,IF(H3220="EIF",5.4)))))))</f>
        <v/>
      </c>
      <c r="M3220" s="30" t="str">
        <f t="shared" si="345"/>
        <v/>
      </c>
      <c r="N3220" s="134"/>
      <c r="O3220" s="29"/>
      <c r="P3220" s="37" t="str">
        <f t="shared" si="346"/>
        <v/>
      </c>
      <c r="Q3220" s="38" t="str">
        <f t="shared" si="347"/>
        <v/>
      </c>
      <c r="R3220" s="37" t="str">
        <f t="shared" si="348"/>
        <v/>
      </c>
      <c r="S3220" s="37" t="str">
        <f t="shared" si="349"/>
        <v/>
      </c>
      <c r="T3220" s="38" t="str">
        <f t="shared" si="350"/>
        <v/>
      </c>
      <c r="U3220" s="37" t="str">
        <f t="shared" si="351"/>
        <v/>
      </c>
    </row>
    <row r="3221" spans="2:21" ht="17.25">
      <c r="B3221" s="156"/>
      <c r="C3221" s="156"/>
      <c r="D3221" s="157"/>
      <c r="E3221" s="155"/>
      <c r="F3221" s="151"/>
      <c r="G3221" s="152"/>
      <c r="H3221" s="153"/>
      <c r="I3221" s="154"/>
      <c r="J3221" s="154"/>
      <c r="K3221" s="30" t="str">
        <f>IF(H3221="","",IF($C$30="간이법","",FPR(H3221,I3221,J3221)))</f>
        <v/>
      </c>
      <c r="L3221" s="30" t="str">
        <f>IF(H3221="","",IF($C$30="상세법",FPV(H3221,K3221),IF(H3221="EI",4,IF(H3221="EO",5.2,IF(H3221="EQ",3.9,IF(H3221="ILF",7.5,IF(H3221="EIF",5.4)))))))</f>
        <v/>
      </c>
      <c r="M3221" s="30" t="str">
        <f t="shared" si="345"/>
        <v/>
      </c>
      <c r="N3221" s="134"/>
      <c r="O3221" s="29"/>
      <c r="P3221" s="37" t="str">
        <f t="shared" si="346"/>
        <v/>
      </c>
      <c r="Q3221" s="38" t="str">
        <f t="shared" si="347"/>
        <v/>
      </c>
      <c r="R3221" s="37" t="str">
        <f t="shared" si="348"/>
        <v/>
      </c>
      <c r="S3221" s="37" t="str">
        <f t="shared" si="349"/>
        <v/>
      </c>
      <c r="T3221" s="38" t="str">
        <f t="shared" si="350"/>
        <v/>
      </c>
      <c r="U3221" s="37" t="str">
        <f t="shared" si="351"/>
        <v/>
      </c>
    </row>
    <row r="3222" spans="2:21" ht="17.25">
      <c r="B3222" s="156"/>
      <c r="C3222" s="156"/>
      <c r="D3222" s="157"/>
      <c r="E3222" s="155"/>
      <c r="F3222" s="151"/>
      <c r="G3222" s="152"/>
      <c r="H3222" s="153"/>
      <c r="I3222" s="154"/>
      <c r="J3222" s="154"/>
      <c r="K3222" s="30" t="str">
        <f>IF(H3222="","",IF($C$30="간이법","",FPR(H3222,I3222,J3222)))</f>
        <v/>
      </c>
      <c r="L3222" s="30" t="str">
        <f>IF(H3222="","",IF($C$30="상세법",FPV(H3222,K3222),IF(H3222="EI",4,IF(H3222="EO",5.2,IF(H3222="EQ",3.9,IF(H3222="ILF",7.5,IF(H3222="EIF",5.4)))))))</f>
        <v/>
      </c>
      <c r="M3222" s="30" t="str">
        <f t="shared" si="345"/>
        <v/>
      </c>
      <c r="N3222" s="134"/>
      <c r="O3222" s="29"/>
      <c r="P3222" s="37" t="str">
        <f t="shared" si="346"/>
        <v/>
      </c>
      <c r="Q3222" s="38" t="str">
        <f t="shared" si="347"/>
        <v/>
      </c>
      <c r="R3222" s="37" t="str">
        <f t="shared" si="348"/>
        <v/>
      </c>
      <c r="S3222" s="37" t="str">
        <f t="shared" si="349"/>
        <v/>
      </c>
      <c r="T3222" s="38" t="str">
        <f t="shared" si="350"/>
        <v/>
      </c>
      <c r="U3222" s="37" t="str">
        <f t="shared" si="351"/>
        <v/>
      </c>
    </row>
    <row r="3223" spans="2:21" ht="17.25">
      <c r="B3223" s="156"/>
      <c r="C3223" s="156"/>
      <c r="D3223" s="157"/>
      <c r="E3223" s="155"/>
      <c r="F3223" s="151"/>
      <c r="G3223" s="152"/>
      <c r="H3223" s="153"/>
      <c r="I3223" s="154"/>
      <c r="J3223" s="154"/>
      <c r="K3223" s="30" t="str">
        <f>IF(H3223="","",IF($C$30="간이법","",FPR(H3223,I3223,J3223)))</f>
        <v/>
      </c>
      <c r="L3223" s="30" t="str">
        <f>IF(H3223="","",IF($C$30="상세법",FPV(H3223,K3223),IF(H3223="EI",4,IF(H3223="EO",5.2,IF(H3223="EQ",3.9,IF(H3223="ILF",7.5,IF(H3223="EIF",5.4)))))))</f>
        <v/>
      </c>
      <c r="M3223" s="30" t="str">
        <f t="shared" si="345"/>
        <v/>
      </c>
      <c r="N3223" s="134"/>
      <c r="O3223" s="29"/>
      <c r="P3223" s="37" t="str">
        <f t="shared" si="346"/>
        <v/>
      </c>
      <c r="Q3223" s="38" t="str">
        <f t="shared" si="347"/>
        <v/>
      </c>
      <c r="R3223" s="37" t="str">
        <f t="shared" si="348"/>
        <v/>
      </c>
      <c r="S3223" s="37" t="str">
        <f t="shared" si="349"/>
        <v/>
      </c>
      <c r="T3223" s="38" t="str">
        <f t="shared" si="350"/>
        <v/>
      </c>
      <c r="U3223" s="37" t="str">
        <f t="shared" si="351"/>
        <v/>
      </c>
    </row>
    <row r="3224" spans="2:21" ht="17.25">
      <c r="B3224" s="156"/>
      <c r="C3224" s="156"/>
      <c r="D3224" s="157"/>
      <c r="E3224" s="155"/>
      <c r="F3224" s="151"/>
      <c r="G3224" s="152"/>
      <c r="H3224" s="153"/>
      <c r="I3224" s="154"/>
      <c r="J3224" s="154"/>
      <c r="K3224" s="30" t="str">
        <f>IF(H3224="","",IF($C$30="간이법","",FPR(H3224,I3224,J3224)))</f>
        <v/>
      </c>
      <c r="L3224" s="30" t="str">
        <f>IF(H3224="","",IF($C$30="상세법",FPV(H3224,K3224),IF(H3224="EI",4,IF(H3224="EO",5.2,IF(H3224="EQ",3.9,IF(H3224="ILF",7.5,IF(H3224="EIF",5.4)))))))</f>
        <v/>
      </c>
      <c r="M3224" s="30" t="str">
        <f t="shared" si="345"/>
        <v/>
      </c>
      <c r="N3224" s="134"/>
      <c r="O3224" s="29"/>
      <c r="P3224" s="37" t="str">
        <f t="shared" si="346"/>
        <v/>
      </c>
      <c r="Q3224" s="38" t="str">
        <f t="shared" si="347"/>
        <v/>
      </c>
      <c r="R3224" s="37" t="str">
        <f t="shared" si="348"/>
        <v/>
      </c>
      <c r="S3224" s="37" t="str">
        <f t="shared" si="349"/>
        <v/>
      </c>
      <c r="T3224" s="38" t="str">
        <f t="shared" si="350"/>
        <v/>
      </c>
      <c r="U3224" s="37" t="str">
        <f t="shared" si="351"/>
        <v/>
      </c>
    </row>
    <row r="3225" spans="2:21" ht="17.25">
      <c r="B3225" s="156"/>
      <c r="C3225" s="156"/>
      <c r="D3225" s="157"/>
      <c r="E3225" s="155"/>
      <c r="F3225" s="151"/>
      <c r="G3225" s="152"/>
      <c r="H3225" s="153"/>
      <c r="I3225" s="154"/>
      <c r="J3225" s="154"/>
      <c r="K3225" s="30" t="str">
        <f>IF(H3225="","",IF($C$30="간이법","",FPR(H3225,I3225,J3225)))</f>
        <v/>
      </c>
      <c r="L3225" s="30" t="str">
        <f>IF(H3225="","",IF($C$30="상세법",FPV(H3225,K3225),IF(H3225="EI",4,IF(H3225="EO",5.2,IF(H3225="EQ",3.9,IF(H3225="ILF",7.5,IF(H3225="EIF",5.4)))))))</f>
        <v/>
      </c>
      <c r="M3225" s="30" t="str">
        <f t="shared" si="345"/>
        <v/>
      </c>
      <c r="N3225" s="134"/>
      <c r="O3225" s="29"/>
      <c r="P3225" s="37" t="str">
        <f t="shared" si="346"/>
        <v/>
      </c>
      <c r="Q3225" s="38" t="str">
        <f t="shared" si="347"/>
        <v/>
      </c>
      <c r="R3225" s="37" t="str">
        <f t="shared" si="348"/>
        <v/>
      </c>
      <c r="S3225" s="37" t="str">
        <f t="shared" si="349"/>
        <v/>
      </c>
      <c r="T3225" s="38" t="str">
        <f t="shared" si="350"/>
        <v/>
      </c>
      <c r="U3225" s="37" t="str">
        <f t="shared" si="351"/>
        <v/>
      </c>
    </row>
    <row r="3226" spans="2:21" ht="17.25">
      <c r="B3226" s="156"/>
      <c r="C3226" s="156"/>
      <c r="D3226" s="157"/>
      <c r="E3226" s="155"/>
      <c r="F3226" s="151"/>
      <c r="G3226" s="152"/>
      <c r="H3226" s="153"/>
      <c r="I3226" s="154"/>
      <c r="J3226" s="154"/>
      <c r="K3226" s="30" t="str">
        <f>IF(H3226="","",IF($C$30="간이법","",FPR(H3226,I3226,J3226)))</f>
        <v/>
      </c>
      <c r="L3226" s="30" t="str">
        <f>IF(H3226="","",IF($C$30="상세법",FPV(H3226,K3226),IF(H3226="EI",4,IF(H3226="EO",5.2,IF(H3226="EQ",3.9,IF(H3226="ILF",7.5,IF(H3226="EIF",5.4)))))))</f>
        <v/>
      </c>
      <c r="M3226" s="30" t="str">
        <f t="shared" si="345"/>
        <v/>
      </c>
      <c r="N3226" s="134"/>
      <c r="O3226" s="29"/>
      <c r="P3226" s="37" t="str">
        <f t="shared" si="346"/>
        <v/>
      </c>
      <c r="Q3226" s="38" t="str">
        <f t="shared" si="347"/>
        <v/>
      </c>
      <c r="R3226" s="37" t="str">
        <f t="shared" si="348"/>
        <v/>
      </c>
      <c r="S3226" s="37" t="str">
        <f t="shared" si="349"/>
        <v/>
      </c>
      <c r="T3226" s="38" t="str">
        <f t="shared" si="350"/>
        <v/>
      </c>
      <c r="U3226" s="37" t="str">
        <f t="shared" si="351"/>
        <v/>
      </c>
    </row>
    <row r="3227" spans="2:21" ht="17.25">
      <c r="B3227" s="156"/>
      <c r="C3227" s="156"/>
      <c r="D3227" s="157"/>
      <c r="E3227" s="155"/>
      <c r="F3227" s="151"/>
      <c r="G3227" s="152"/>
      <c r="H3227" s="153"/>
      <c r="I3227" s="154"/>
      <c r="J3227" s="154"/>
      <c r="K3227" s="30" t="str">
        <f>IF(H3227="","",IF($C$30="간이법","",FPR(H3227,I3227,J3227)))</f>
        <v/>
      </c>
      <c r="L3227" s="30" t="str">
        <f>IF(H3227="","",IF($C$30="상세법",FPV(H3227,K3227),IF(H3227="EI",4,IF(H3227="EO",5.2,IF(H3227="EQ",3.9,IF(H3227="ILF",7.5,IF(H3227="EIF",5.4)))))))</f>
        <v/>
      </c>
      <c r="M3227" s="30" t="str">
        <f t="shared" si="345"/>
        <v/>
      </c>
      <c r="N3227" s="134"/>
      <c r="O3227" s="29"/>
      <c r="P3227" s="37" t="str">
        <f t="shared" si="346"/>
        <v/>
      </c>
      <c r="Q3227" s="38" t="str">
        <f t="shared" si="347"/>
        <v/>
      </c>
      <c r="R3227" s="37" t="str">
        <f t="shared" si="348"/>
        <v/>
      </c>
      <c r="S3227" s="37" t="str">
        <f t="shared" si="349"/>
        <v/>
      </c>
      <c r="T3227" s="38" t="str">
        <f t="shared" si="350"/>
        <v/>
      </c>
      <c r="U3227" s="37" t="str">
        <f t="shared" si="351"/>
        <v/>
      </c>
    </row>
    <row r="3228" spans="2:21" ht="17.25">
      <c r="B3228" s="156"/>
      <c r="C3228" s="156"/>
      <c r="D3228" s="157"/>
      <c r="E3228" s="155"/>
      <c r="F3228" s="151"/>
      <c r="G3228" s="152"/>
      <c r="H3228" s="153"/>
      <c r="I3228" s="154"/>
      <c r="J3228" s="154"/>
      <c r="K3228" s="30" t="str">
        <f>IF(H3228="","",IF($C$30="간이법","",FPR(H3228,I3228,J3228)))</f>
        <v/>
      </c>
      <c r="L3228" s="30" t="str">
        <f>IF(H3228="","",IF($C$30="상세법",FPV(H3228,K3228),IF(H3228="EI",4,IF(H3228="EO",5.2,IF(H3228="EQ",3.9,IF(H3228="ILF",7.5,IF(H3228="EIF",5.4)))))))</f>
        <v/>
      </c>
      <c r="M3228" s="30" t="str">
        <f t="shared" si="345"/>
        <v/>
      </c>
      <c r="N3228" s="134"/>
      <c r="O3228" s="29"/>
      <c r="P3228" s="37" t="str">
        <f t="shared" si="346"/>
        <v/>
      </c>
      <c r="Q3228" s="38" t="str">
        <f t="shared" si="347"/>
        <v/>
      </c>
      <c r="R3228" s="37" t="str">
        <f t="shared" si="348"/>
        <v/>
      </c>
      <c r="S3228" s="37" t="str">
        <f t="shared" si="349"/>
        <v/>
      </c>
      <c r="T3228" s="38" t="str">
        <f t="shared" si="350"/>
        <v/>
      </c>
      <c r="U3228" s="37" t="str">
        <f t="shared" si="351"/>
        <v/>
      </c>
    </row>
    <row r="3229" spans="2:21" ht="17.25">
      <c r="B3229" s="156"/>
      <c r="C3229" s="156"/>
      <c r="D3229" s="157"/>
      <c r="E3229" s="155"/>
      <c r="F3229" s="151"/>
      <c r="G3229" s="152"/>
      <c r="H3229" s="153"/>
      <c r="I3229" s="154"/>
      <c r="J3229" s="154"/>
      <c r="K3229" s="30" t="str">
        <f>IF(H3229="","",IF($C$30="간이법","",FPR(H3229,I3229,J3229)))</f>
        <v/>
      </c>
      <c r="L3229" s="30" t="str">
        <f>IF(H3229="","",IF($C$30="상세법",FPV(H3229,K3229),IF(H3229="EI",4,IF(H3229="EO",5.2,IF(H3229="EQ",3.9,IF(H3229="ILF",7.5,IF(H3229="EIF",5.4)))))))</f>
        <v/>
      </c>
      <c r="M3229" s="30" t="str">
        <f t="shared" si="345"/>
        <v/>
      </c>
      <c r="N3229" s="134"/>
      <c r="O3229" s="29"/>
      <c r="P3229" s="37" t="str">
        <f t="shared" si="346"/>
        <v/>
      </c>
      <c r="Q3229" s="38" t="str">
        <f t="shared" si="347"/>
        <v/>
      </c>
      <c r="R3229" s="37" t="str">
        <f t="shared" si="348"/>
        <v/>
      </c>
      <c r="S3229" s="37" t="str">
        <f t="shared" si="349"/>
        <v/>
      </c>
      <c r="T3229" s="38" t="str">
        <f t="shared" si="350"/>
        <v/>
      </c>
      <c r="U3229" s="37" t="str">
        <f t="shared" si="351"/>
        <v/>
      </c>
    </row>
    <row r="3230" spans="2:21" ht="17.25">
      <c r="B3230" s="156"/>
      <c r="C3230" s="156"/>
      <c r="D3230" s="157"/>
      <c r="E3230" s="155"/>
      <c r="F3230" s="151"/>
      <c r="G3230" s="152"/>
      <c r="H3230" s="153"/>
      <c r="I3230" s="154"/>
      <c r="J3230" s="154"/>
      <c r="K3230" s="30" t="str">
        <f>IF(H3230="","",IF($C$30="간이법","",FPR(H3230,I3230,J3230)))</f>
        <v/>
      </c>
      <c r="L3230" s="30" t="str">
        <f>IF(H3230="","",IF($C$30="상세법",FPV(H3230,K3230),IF(H3230="EI",4,IF(H3230="EO",5.2,IF(H3230="EQ",3.9,IF(H3230="ILF",7.5,IF(H3230="EIF",5.4)))))))</f>
        <v/>
      </c>
      <c r="M3230" s="30" t="str">
        <f t="shared" si="345"/>
        <v/>
      </c>
      <c r="N3230" s="134"/>
      <c r="O3230" s="29"/>
      <c r="P3230" s="37" t="str">
        <f t="shared" si="346"/>
        <v/>
      </c>
      <c r="Q3230" s="38" t="str">
        <f t="shared" si="347"/>
        <v/>
      </c>
      <c r="R3230" s="37" t="str">
        <f t="shared" si="348"/>
        <v/>
      </c>
      <c r="S3230" s="37" t="str">
        <f t="shared" si="349"/>
        <v/>
      </c>
      <c r="T3230" s="38" t="str">
        <f t="shared" si="350"/>
        <v/>
      </c>
      <c r="U3230" s="37" t="str">
        <f t="shared" si="351"/>
        <v/>
      </c>
    </row>
    <row r="3231" spans="2:21" ht="17.25">
      <c r="B3231" s="156"/>
      <c r="C3231" s="156"/>
      <c r="D3231" s="157"/>
      <c r="E3231" s="155"/>
      <c r="F3231" s="151"/>
      <c r="G3231" s="152"/>
      <c r="H3231" s="153"/>
      <c r="I3231" s="154"/>
      <c r="J3231" s="154"/>
      <c r="K3231" s="30" t="str">
        <f>IF(H3231="","",IF($C$30="간이법","",FPR(H3231,I3231,J3231)))</f>
        <v/>
      </c>
      <c r="L3231" s="30" t="str">
        <f>IF(H3231="","",IF($C$30="상세법",FPV(H3231,K3231),IF(H3231="EI",4,IF(H3231="EO",5.2,IF(H3231="EQ",3.9,IF(H3231="ILF",7.5,IF(H3231="EIF",5.4)))))))</f>
        <v/>
      </c>
      <c r="M3231" s="30" t="str">
        <f t="shared" si="345"/>
        <v/>
      </c>
      <c r="N3231" s="134"/>
      <c r="O3231" s="29"/>
      <c r="P3231" s="37" t="str">
        <f t="shared" si="346"/>
        <v/>
      </c>
      <c r="Q3231" s="38" t="str">
        <f t="shared" si="347"/>
        <v/>
      </c>
      <c r="R3231" s="37" t="str">
        <f t="shared" si="348"/>
        <v/>
      </c>
      <c r="S3231" s="37" t="str">
        <f t="shared" si="349"/>
        <v/>
      </c>
      <c r="T3231" s="38" t="str">
        <f t="shared" si="350"/>
        <v/>
      </c>
      <c r="U3231" s="37" t="str">
        <f t="shared" si="351"/>
        <v/>
      </c>
    </row>
    <row r="3232" spans="2:21" ht="17.25">
      <c r="B3232" s="156"/>
      <c r="C3232" s="156"/>
      <c r="D3232" s="157"/>
      <c r="E3232" s="155"/>
      <c r="F3232" s="151"/>
      <c r="G3232" s="152"/>
      <c r="H3232" s="153"/>
      <c r="I3232" s="154"/>
      <c r="J3232" s="154"/>
      <c r="K3232" s="30" t="str">
        <f>IF(H3232="","",IF($C$30="간이법","",FPR(H3232,I3232,J3232)))</f>
        <v/>
      </c>
      <c r="L3232" s="30" t="str">
        <f>IF(H3232="","",IF($C$30="상세법",FPV(H3232,K3232),IF(H3232="EI",4,IF(H3232="EO",5.2,IF(H3232="EQ",3.9,IF(H3232="ILF",7.5,IF(H3232="EIF",5.4)))))))</f>
        <v/>
      </c>
      <c r="M3232" s="30" t="str">
        <f t="shared" si="345"/>
        <v/>
      </c>
      <c r="N3232" s="134"/>
      <c r="O3232" s="29"/>
      <c r="P3232" s="37" t="str">
        <f t="shared" si="346"/>
        <v/>
      </c>
      <c r="Q3232" s="38" t="str">
        <f t="shared" si="347"/>
        <v/>
      </c>
      <c r="R3232" s="37" t="str">
        <f t="shared" si="348"/>
        <v/>
      </c>
      <c r="S3232" s="37" t="str">
        <f t="shared" si="349"/>
        <v/>
      </c>
      <c r="T3232" s="38" t="str">
        <f t="shared" si="350"/>
        <v/>
      </c>
      <c r="U3232" s="37" t="str">
        <f t="shared" si="351"/>
        <v/>
      </c>
    </row>
    <row r="3233" spans="2:21" ht="17.25">
      <c r="B3233" s="156"/>
      <c r="C3233" s="156"/>
      <c r="D3233" s="157"/>
      <c r="E3233" s="155"/>
      <c r="F3233" s="151"/>
      <c r="G3233" s="152"/>
      <c r="H3233" s="153"/>
      <c r="I3233" s="154"/>
      <c r="J3233" s="154"/>
      <c r="K3233" s="30" t="str">
        <f>IF(H3233="","",IF($C$30="간이법","",FPR(H3233,I3233,J3233)))</f>
        <v/>
      </c>
      <c r="L3233" s="30" t="str">
        <f>IF(H3233="","",IF($C$30="상세법",FPV(H3233,K3233),IF(H3233="EI",4,IF(H3233="EO",5.2,IF(H3233="EQ",3.9,IF(H3233="ILF",7.5,IF(H3233="EIF",5.4)))))))</f>
        <v/>
      </c>
      <c r="M3233" s="30" t="str">
        <f t="shared" si="345"/>
        <v/>
      </c>
      <c r="N3233" s="134"/>
      <c r="O3233" s="29"/>
      <c r="P3233" s="37" t="str">
        <f t="shared" si="346"/>
        <v/>
      </c>
      <c r="Q3233" s="38" t="str">
        <f t="shared" si="347"/>
        <v/>
      </c>
      <c r="R3233" s="37" t="str">
        <f t="shared" si="348"/>
        <v/>
      </c>
      <c r="S3233" s="37" t="str">
        <f t="shared" si="349"/>
        <v/>
      </c>
      <c r="T3233" s="38" t="str">
        <f t="shared" si="350"/>
        <v/>
      </c>
      <c r="U3233" s="37" t="str">
        <f t="shared" si="351"/>
        <v/>
      </c>
    </row>
    <row r="3234" spans="2:21" ht="17.25">
      <c r="B3234" s="156"/>
      <c r="C3234" s="156"/>
      <c r="D3234" s="157"/>
      <c r="E3234" s="155"/>
      <c r="F3234" s="151"/>
      <c r="G3234" s="152"/>
      <c r="H3234" s="153"/>
      <c r="I3234" s="154"/>
      <c r="J3234" s="154"/>
      <c r="K3234" s="30" t="str">
        <f>IF(H3234="","",IF($C$30="간이법","",FPR(H3234,I3234,J3234)))</f>
        <v/>
      </c>
      <c r="L3234" s="30" t="str">
        <f>IF(H3234="","",IF($C$30="상세법",FPV(H3234,K3234),IF(H3234="EI",4,IF(H3234="EO",5.2,IF(H3234="EQ",3.9,IF(H3234="ILF",7.5,IF(H3234="EIF",5.4)))))))</f>
        <v/>
      </c>
      <c r="M3234" s="30" t="str">
        <f t="shared" si="345"/>
        <v/>
      </c>
      <c r="N3234" s="134"/>
      <c r="O3234" s="29"/>
      <c r="P3234" s="37" t="str">
        <f t="shared" si="346"/>
        <v/>
      </c>
      <c r="Q3234" s="38" t="str">
        <f t="shared" si="347"/>
        <v/>
      </c>
      <c r="R3234" s="37" t="str">
        <f t="shared" si="348"/>
        <v/>
      </c>
      <c r="S3234" s="37" t="str">
        <f t="shared" si="349"/>
        <v/>
      </c>
      <c r="T3234" s="38" t="str">
        <f t="shared" si="350"/>
        <v/>
      </c>
      <c r="U3234" s="37" t="str">
        <f t="shared" si="351"/>
        <v/>
      </c>
    </row>
    <row r="3235" spans="2:21" ht="17.25">
      <c r="B3235" s="156"/>
      <c r="C3235" s="156"/>
      <c r="D3235" s="157"/>
      <c r="E3235" s="155"/>
      <c r="F3235" s="151"/>
      <c r="G3235" s="152"/>
      <c r="H3235" s="153"/>
      <c r="I3235" s="154"/>
      <c r="J3235" s="154"/>
      <c r="K3235" s="30" t="str">
        <f>IF(H3235="","",IF($C$30="간이법","",FPR(H3235,I3235,J3235)))</f>
        <v/>
      </c>
      <c r="L3235" s="30" t="str">
        <f>IF(H3235="","",IF($C$30="상세법",FPV(H3235,K3235),IF(H3235="EI",4,IF(H3235="EO",5.2,IF(H3235="EQ",3.9,IF(H3235="ILF",7.5,IF(H3235="EIF",5.4)))))))</f>
        <v/>
      </c>
      <c r="M3235" s="30" t="str">
        <f t="shared" si="345"/>
        <v/>
      </c>
      <c r="N3235" s="134"/>
      <c r="O3235" s="29"/>
      <c r="P3235" s="37" t="str">
        <f t="shared" si="346"/>
        <v/>
      </c>
      <c r="Q3235" s="38" t="str">
        <f t="shared" si="347"/>
        <v/>
      </c>
      <c r="R3235" s="37" t="str">
        <f t="shared" si="348"/>
        <v/>
      </c>
      <c r="S3235" s="37" t="str">
        <f t="shared" si="349"/>
        <v/>
      </c>
      <c r="T3235" s="38" t="str">
        <f t="shared" si="350"/>
        <v/>
      </c>
      <c r="U3235" s="37" t="str">
        <f t="shared" si="351"/>
        <v/>
      </c>
    </row>
    <row r="3236" spans="2:21" ht="17.25">
      <c r="B3236" s="156"/>
      <c r="C3236" s="156"/>
      <c r="D3236" s="157"/>
      <c r="E3236" s="155"/>
      <c r="F3236" s="151"/>
      <c r="G3236" s="152"/>
      <c r="H3236" s="153"/>
      <c r="I3236" s="154"/>
      <c r="J3236" s="154"/>
      <c r="K3236" s="30" t="str">
        <f>IF(H3236="","",IF($C$30="간이법","",FPR(H3236,I3236,J3236)))</f>
        <v/>
      </c>
      <c r="L3236" s="30" t="str">
        <f>IF(H3236="","",IF($C$30="상세법",FPV(H3236,K3236),IF(H3236="EI",4,IF(H3236="EO",5.2,IF(H3236="EQ",3.9,IF(H3236="ILF",7.5,IF(H3236="EIF",5.4)))))))</f>
        <v/>
      </c>
      <c r="M3236" s="30" t="str">
        <f t="shared" si="345"/>
        <v/>
      </c>
      <c r="N3236" s="134"/>
      <c r="O3236" s="29"/>
      <c r="P3236" s="37" t="str">
        <f t="shared" si="346"/>
        <v/>
      </c>
      <c r="Q3236" s="38" t="str">
        <f t="shared" si="347"/>
        <v/>
      </c>
      <c r="R3236" s="37" t="str">
        <f t="shared" si="348"/>
        <v/>
      </c>
      <c r="S3236" s="37" t="str">
        <f t="shared" si="349"/>
        <v/>
      </c>
      <c r="T3236" s="38" t="str">
        <f t="shared" si="350"/>
        <v/>
      </c>
      <c r="U3236" s="37" t="str">
        <f t="shared" si="351"/>
        <v/>
      </c>
    </row>
    <row r="3237" spans="2:21" ht="17.25">
      <c r="B3237" s="156"/>
      <c r="C3237" s="156"/>
      <c r="D3237" s="157"/>
      <c r="E3237" s="155"/>
      <c r="F3237" s="151"/>
      <c r="G3237" s="152"/>
      <c r="H3237" s="153"/>
      <c r="I3237" s="154"/>
      <c r="J3237" s="154"/>
      <c r="K3237" s="30" t="str">
        <f>IF(H3237="","",IF($C$30="간이법","",FPR(H3237,I3237,J3237)))</f>
        <v/>
      </c>
      <c r="L3237" s="30" t="str">
        <f>IF(H3237="","",IF($C$30="상세법",FPV(H3237,K3237),IF(H3237="EI",4,IF(H3237="EO",5.2,IF(H3237="EQ",3.9,IF(H3237="ILF",7.5,IF(H3237="EIF",5.4)))))))</f>
        <v/>
      </c>
      <c r="M3237" s="30" t="str">
        <f t="shared" si="345"/>
        <v/>
      </c>
      <c r="N3237" s="134"/>
      <c r="O3237" s="29"/>
      <c r="P3237" s="37" t="str">
        <f t="shared" si="346"/>
        <v/>
      </c>
      <c r="Q3237" s="38" t="str">
        <f t="shared" si="347"/>
        <v/>
      </c>
      <c r="R3237" s="37" t="str">
        <f t="shared" si="348"/>
        <v/>
      </c>
      <c r="S3237" s="37" t="str">
        <f t="shared" si="349"/>
        <v/>
      </c>
      <c r="T3237" s="38" t="str">
        <f t="shared" si="350"/>
        <v/>
      </c>
      <c r="U3237" s="37" t="str">
        <f t="shared" si="351"/>
        <v/>
      </c>
    </row>
    <row r="3238" spans="2:21" ht="17.25">
      <c r="B3238" s="156"/>
      <c r="C3238" s="156"/>
      <c r="D3238" s="157"/>
      <c r="E3238" s="155"/>
      <c r="F3238" s="151"/>
      <c r="G3238" s="152"/>
      <c r="H3238" s="153"/>
      <c r="I3238" s="154"/>
      <c r="J3238" s="154"/>
      <c r="K3238" s="30" t="str">
        <f>IF(H3238="","",IF($C$30="간이법","",FPR(H3238,I3238,J3238)))</f>
        <v/>
      </c>
      <c r="L3238" s="30" t="str">
        <f>IF(H3238="","",IF($C$30="상세법",FPV(H3238,K3238),IF(H3238="EI",4,IF(H3238="EO",5.2,IF(H3238="EQ",3.9,IF(H3238="ILF",7.5,IF(H3238="EIF",5.4)))))))</f>
        <v/>
      </c>
      <c r="M3238" s="30" t="str">
        <f t="shared" si="345"/>
        <v/>
      </c>
      <c r="N3238" s="134"/>
      <c r="O3238" s="29"/>
      <c r="P3238" s="37" t="str">
        <f t="shared" si="346"/>
        <v/>
      </c>
      <c r="Q3238" s="38" t="str">
        <f t="shared" si="347"/>
        <v/>
      </c>
      <c r="R3238" s="37" t="str">
        <f t="shared" si="348"/>
        <v/>
      </c>
      <c r="S3238" s="37" t="str">
        <f t="shared" si="349"/>
        <v/>
      </c>
      <c r="T3238" s="38" t="str">
        <f t="shared" si="350"/>
        <v/>
      </c>
      <c r="U3238" s="37" t="str">
        <f t="shared" si="351"/>
        <v/>
      </c>
    </row>
    <row r="3239" spans="2:21" ht="17.25">
      <c r="B3239" s="156"/>
      <c r="C3239" s="156"/>
      <c r="D3239" s="157"/>
      <c r="E3239" s="155"/>
      <c r="F3239" s="151"/>
      <c r="G3239" s="152"/>
      <c r="H3239" s="153"/>
      <c r="I3239" s="154"/>
      <c r="J3239" s="154"/>
      <c r="K3239" s="30" t="str">
        <f>IF(H3239="","",IF($C$30="간이법","",FPR(H3239,I3239,J3239)))</f>
        <v/>
      </c>
      <c r="L3239" s="30" t="str">
        <f>IF(H3239="","",IF($C$30="상세법",FPV(H3239,K3239),IF(H3239="EI",4,IF(H3239="EO",5.2,IF(H3239="EQ",3.9,IF(H3239="ILF",7.5,IF(H3239="EIF",5.4)))))))</f>
        <v/>
      </c>
      <c r="M3239" s="30" t="str">
        <f t="shared" si="345"/>
        <v/>
      </c>
      <c r="N3239" s="134"/>
      <c r="O3239" s="29"/>
      <c r="P3239" s="37" t="str">
        <f t="shared" si="346"/>
        <v/>
      </c>
      <c r="Q3239" s="38" t="str">
        <f t="shared" si="347"/>
        <v/>
      </c>
      <c r="R3239" s="37" t="str">
        <f t="shared" si="348"/>
        <v/>
      </c>
      <c r="S3239" s="37" t="str">
        <f t="shared" si="349"/>
        <v/>
      </c>
      <c r="T3239" s="38" t="str">
        <f t="shared" si="350"/>
        <v/>
      </c>
      <c r="U3239" s="37" t="str">
        <f t="shared" si="351"/>
        <v/>
      </c>
    </row>
    <row r="3240" spans="2:21" ht="17.25">
      <c r="B3240" s="156"/>
      <c r="C3240" s="156"/>
      <c r="D3240" s="157"/>
      <c r="E3240" s="155"/>
      <c r="F3240" s="151"/>
      <c r="G3240" s="152"/>
      <c r="H3240" s="153"/>
      <c r="I3240" s="154"/>
      <c r="J3240" s="154"/>
      <c r="K3240" s="30" t="str">
        <f>IF(H3240="","",IF($C$30="간이법","",FPR(H3240,I3240,J3240)))</f>
        <v/>
      </c>
      <c r="L3240" s="30" t="str">
        <f>IF(H3240="","",IF($C$30="상세법",FPV(H3240,K3240),IF(H3240="EI",4,IF(H3240="EO",5.2,IF(H3240="EQ",3.9,IF(H3240="ILF",7.5,IF(H3240="EIF",5.4)))))))</f>
        <v/>
      </c>
      <c r="M3240" s="30" t="str">
        <f t="shared" si="345"/>
        <v/>
      </c>
      <c r="N3240" s="134"/>
      <c r="O3240" s="29"/>
      <c r="P3240" s="37" t="str">
        <f t="shared" si="346"/>
        <v/>
      </c>
      <c r="Q3240" s="38" t="str">
        <f t="shared" si="347"/>
        <v/>
      </c>
      <c r="R3240" s="37" t="str">
        <f t="shared" si="348"/>
        <v/>
      </c>
      <c r="S3240" s="37" t="str">
        <f t="shared" si="349"/>
        <v/>
      </c>
      <c r="T3240" s="38" t="str">
        <f t="shared" si="350"/>
        <v/>
      </c>
      <c r="U3240" s="37" t="str">
        <f t="shared" si="351"/>
        <v/>
      </c>
    </row>
    <row r="3241" spans="2:21" ht="17.25">
      <c r="B3241" s="156"/>
      <c r="C3241" s="156"/>
      <c r="D3241" s="157"/>
      <c r="E3241" s="155"/>
      <c r="F3241" s="151"/>
      <c r="G3241" s="152"/>
      <c r="H3241" s="153"/>
      <c r="I3241" s="154"/>
      <c r="J3241" s="154"/>
      <c r="K3241" s="30" t="str">
        <f>IF(H3241="","",IF($C$30="간이법","",FPR(H3241,I3241,J3241)))</f>
        <v/>
      </c>
      <c r="L3241" s="30" t="str">
        <f>IF(H3241="","",IF($C$30="상세법",FPV(H3241,K3241),IF(H3241="EI",4,IF(H3241="EO",5.2,IF(H3241="EQ",3.9,IF(H3241="ILF",7.5,IF(H3241="EIF",5.4)))))))</f>
        <v/>
      </c>
      <c r="M3241" s="30" t="str">
        <f t="shared" si="345"/>
        <v/>
      </c>
      <c r="N3241" s="134"/>
      <c r="O3241" s="29"/>
      <c r="P3241" s="37" t="str">
        <f t="shared" si="346"/>
        <v/>
      </c>
      <c r="Q3241" s="38" t="str">
        <f t="shared" si="347"/>
        <v/>
      </c>
      <c r="R3241" s="37" t="str">
        <f t="shared" si="348"/>
        <v/>
      </c>
      <c r="S3241" s="37" t="str">
        <f t="shared" si="349"/>
        <v/>
      </c>
      <c r="T3241" s="38" t="str">
        <f t="shared" si="350"/>
        <v/>
      </c>
      <c r="U3241" s="37" t="str">
        <f t="shared" si="351"/>
        <v/>
      </c>
    </row>
    <row r="3242" spans="2:21" ht="17.25">
      <c r="B3242" s="156"/>
      <c r="C3242" s="156"/>
      <c r="D3242" s="157"/>
      <c r="E3242" s="155"/>
      <c r="F3242" s="151"/>
      <c r="G3242" s="152"/>
      <c r="H3242" s="153"/>
      <c r="I3242" s="154"/>
      <c r="J3242" s="154"/>
      <c r="K3242" s="30" t="str">
        <f>IF(H3242="","",IF($C$30="간이법","",FPR(H3242,I3242,J3242)))</f>
        <v/>
      </c>
      <c r="L3242" s="30" t="str">
        <f>IF(H3242="","",IF($C$30="상세법",FPV(H3242,K3242),IF(H3242="EI",4,IF(H3242="EO",5.2,IF(H3242="EQ",3.9,IF(H3242="ILF",7.5,IF(H3242="EIF",5.4)))))))</f>
        <v/>
      </c>
      <c r="M3242" s="30" t="str">
        <f t="shared" si="345"/>
        <v/>
      </c>
      <c r="N3242" s="134"/>
      <c r="O3242" s="29"/>
      <c r="P3242" s="37" t="str">
        <f t="shared" si="346"/>
        <v/>
      </c>
      <c r="Q3242" s="38" t="str">
        <f t="shared" si="347"/>
        <v/>
      </c>
      <c r="R3242" s="37" t="str">
        <f t="shared" si="348"/>
        <v/>
      </c>
      <c r="S3242" s="37" t="str">
        <f t="shared" si="349"/>
        <v/>
      </c>
      <c r="T3242" s="38" t="str">
        <f t="shared" si="350"/>
        <v/>
      </c>
      <c r="U3242" s="37" t="str">
        <f t="shared" si="351"/>
        <v/>
      </c>
    </row>
    <row r="3243" spans="2:21" ht="17.25">
      <c r="B3243" s="156"/>
      <c r="C3243" s="156"/>
      <c r="D3243" s="157"/>
      <c r="E3243" s="155"/>
      <c r="F3243" s="151"/>
      <c r="G3243" s="152"/>
      <c r="H3243" s="153"/>
      <c r="I3243" s="154"/>
      <c r="J3243" s="154"/>
      <c r="K3243" s="30" t="str">
        <f>IF(H3243="","",IF($C$30="간이법","",FPR(H3243,I3243,J3243)))</f>
        <v/>
      </c>
      <c r="L3243" s="30" t="str">
        <f>IF(H3243="","",IF($C$30="상세법",FPV(H3243,K3243),IF(H3243="EI",4,IF(H3243="EO",5.2,IF(H3243="EQ",3.9,IF(H3243="ILF",7.5,IF(H3243="EIF",5.4)))))))</f>
        <v/>
      </c>
      <c r="M3243" s="30" t="str">
        <f t="shared" si="345"/>
        <v/>
      </c>
      <c r="N3243" s="134"/>
      <c r="O3243" s="29"/>
      <c r="P3243" s="37" t="str">
        <f t="shared" si="346"/>
        <v/>
      </c>
      <c r="Q3243" s="38" t="str">
        <f t="shared" si="347"/>
        <v/>
      </c>
      <c r="R3243" s="37" t="str">
        <f t="shared" si="348"/>
        <v/>
      </c>
      <c r="S3243" s="37" t="str">
        <f t="shared" si="349"/>
        <v/>
      </c>
      <c r="T3243" s="38" t="str">
        <f t="shared" si="350"/>
        <v/>
      </c>
      <c r="U3243" s="37" t="str">
        <f t="shared" si="351"/>
        <v/>
      </c>
    </row>
    <row r="3244" spans="2:21" ht="17.25">
      <c r="B3244" s="156"/>
      <c r="C3244" s="156"/>
      <c r="D3244" s="157"/>
      <c r="E3244" s="155"/>
      <c r="F3244" s="151"/>
      <c r="G3244" s="152"/>
      <c r="H3244" s="153"/>
      <c r="I3244" s="154"/>
      <c r="J3244" s="154"/>
      <c r="K3244" s="30" t="str">
        <f>IF(H3244="","",IF($C$30="간이법","",FPR(H3244,I3244,J3244)))</f>
        <v/>
      </c>
      <c r="L3244" s="30" t="str">
        <f>IF(H3244="","",IF($C$30="상세법",FPV(H3244,K3244),IF(H3244="EI",4,IF(H3244="EO",5.2,IF(H3244="EQ",3.9,IF(H3244="ILF",7.5,IF(H3244="EIF",5.4)))))))</f>
        <v/>
      </c>
      <c r="M3244" s="30" t="str">
        <f t="shared" si="345"/>
        <v/>
      </c>
      <c r="N3244" s="134"/>
      <c r="O3244" s="29"/>
      <c r="P3244" s="37" t="str">
        <f t="shared" si="346"/>
        <v/>
      </c>
      <c r="Q3244" s="38" t="str">
        <f t="shared" si="347"/>
        <v/>
      </c>
      <c r="R3244" s="37" t="str">
        <f t="shared" si="348"/>
        <v/>
      </c>
      <c r="S3244" s="37" t="str">
        <f t="shared" si="349"/>
        <v/>
      </c>
      <c r="T3244" s="38" t="str">
        <f t="shared" si="350"/>
        <v/>
      </c>
      <c r="U3244" s="37" t="str">
        <f t="shared" si="351"/>
        <v/>
      </c>
    </row>
    <row r="3245" spans="2:21" ht="17.25">
      <c r="B3245" s="156"/>
      <c r="C3245" s="156"/>
      <c r="D3245" s="157"/>
      <c r="E3245" s="155"/>
      <c r="F3245" s="151"/>
      <c r="G3245" s="152"/>
      <c r="H3245" s="153"/>
      <c r="I3245" s="154"/>
      <c r="J3245" s="154"/>
      <c r="K3245" s="30" t="str">
        <f>IF(H3245="","",IF($C$30="간이법","",FPR(H3245,I3245,J3245)))</f>
        <v/>
      </c>
      <c r="L3245" s="30" t="str">
        <f>IF(H3245="","",IF($C$30="상세법",FPV(H3245,K3245),IF(H3245="EI",4,IF(H3245="EO",5.2,IF(H3245="EQ",3.9,IF(H3245="ILF",7.5,IF(H3245="EIF",5.4)))))))</f>
        <v/>
      </c>
      <c r="M3245" s="30" t="str">
        <f t="shared" si="345"/>
        <v/>
      </c>
      <c r="N3245" s="134"/>
      <c r="O3245" s="29"/>
      <c r="P3245" s="37" t="str">
        <f t="shared" si="346"/>
        <v/>
      </c>
      <c r="Q3245" s="38" t="str">
        <f t="shared" si="347"/>
        <v/>
      </c>
      <c r="R3245" s="37" t="str">
        <f t="shared" si="348"/>
        <v/>
      </c>
      <c r="S3245" s="37" t="str">
        <f t="shared" si="349"/>
        <v/>
      </c>
      <c r="T3245" s="38" t="str">
        <f t="shared" si="350"/>
        <v/>
      </c>
      <c r="U3245" s="37" t="str">
        <f t="shared" si="351"/>
        <v/>
      </c>
    </row>
    <row r="3246" spans="2:21" ht="17.25">
      <c r="B3246" s="156"/>
      <c r="C3246" s="156"/>
      <c r="D3246" s="157"/>
      <c r="E3246" s="155"/>
      <c r="F3246" s="151"/>
      <c r="G3246" s="152"/>
      <c r="H3246" s="153"/>
      <c r="I3246" s="154"/>
      <c r="J3246" s="154"/>
      <c r="K3246" s="30" t="str">
        <f>IF(H3246="","",IF($C$30="간이법","",FPR(H3246,I3246,J3246)))</f>
        <v/>
      </c>
      <c r="L3246" s="30" t="str">
        <f>IF(H3246="","",IF($C$30="상세법",FPV(H3246,K3246),IF(H3246="EI",4,IF(H3246="EO",5.2,IF(H3246="EQ",3.9,IF(H3246="ILF",7.5,IF(H3246="EIF",5.4)))))))</f>
        <v/>
      </c>
      <c r="M3246" s="30" t="str">
        <f t="shared" si="345"/>
        <v/>
      </c>
      <c r="N3246" s="134"/>
      <c r="O3246" s="29"/>
      <c r="P3246" s="37" t="str">
        <f t="shared" si="346"/>
        <v/>
      </c>
      <c r="Q3246" s="38" t="str">
        <f t="shared" si="347"/>
        <v/>
      </c>
      <c r="R3246" s="37" t="str">
        <f t="shared" si="348"/>
        <v/>
      </c>
      <c r="S3246" s="37" t="str">
        <f t="shared" si="349"/>
        <v/>
      </c>
      <c r="T3246" s="38" t="str">
        <f t="shared" si="350"/>
        <v/>
      </c>
      <c r="U3246" s="37" t="str">
        <f t="shared" si="351"/>
        <v/>
      </c>
    </row>
    <row r="3247" spans="2:21" ht="17.25">
      <c r="B3247" s="156"/>
      <c r="C3247" s="156"/>
      <c r="D3247" s="157"/>
      <c r="E3247" s="155"/>
      <c r="F3247" s="151"/>
      <c r="G3247" s="152"/>
      <c r="H3247" s="153"/>
      <c r="I3247" s="154"/>
      <c r="J3247" s="154"/>
      <c r="K3247" s="30" t="str">
        <f>IF(H3247="","",IF($C$30="간이법","",FPR(H3247,I3247,J3247)))</f>
        <v/>
      </c>
      <c r="L3247" s="30" t="str">
        <f>IF(H3247="","",IF($C$30="상세법",FPV(H3247,K3247),IF(H3247="EI",4,IF(H3247="EO",5.2,IF(H3247="EQ",3.9,IF(H3247="ILF",7.5,IF(H3247="EIF",5.4)))))))</f>
        <v/>
      </c>
      <c r="M3247" s="30" t="str">
        <f t="shared" si="345"/>
        <v/>
      </c>
      <c r="N3247" s="134"/>
      <c r="O3247" s="29"/>
      <c r="P3247" s="37" t="str">
        <f t="shared" si="346"/>
        <v/>
      </c>
      <c r="Q3247" s="38" t="str">
        <f t="shared" si="347"/>
        <v/>
      </c>
      <c r="R3247" s="37" t="str">
        <f t="shared" si="348"/>
        <v/>
      </c>
      <c r="S3247" s="37" t="str">
        <f t="shared" si="349"/>
        <v/>
      </c>
      <c r="T3247" s="38" t="str">
        <f t="shared" si="350"/>
        <v/>
      </c>
      <c r="U3247" s="37" t="str">
        <f t="shared" si="351"/>
        <v/>
      </c>
    </row>
    <row r="3248" spans="2:21" ht="17.25">
      <c r="B3248" s="156"/>
      <c r="C3248" s="156"/>
      <c r="D3248" s="157"/>
      <c r="E3248" s="155"/>
      <c r="F3248" s="151"/>
      <c r="G3248" s="152"/>
      <c r="H3248" s="153"/>
      <c r="I3248" s="154"/>
      <c r="J3248" s="154"/>
      <c r="K3248" s="30" t="str">
        <f>IF(H3248="","",IF($C$30="간이법","",FPR(H3248,I3248,J3248)))</f>
        <v/>
      </c>
      <c r="L3248" s="30" t="str">
        <f>IF(H3248="","",IF($C$30="상세법",FPV(H3248,K3248),IF(H3248="EI",4,IF(H3248="EO",5.2,IF(H3248="EQ",3.9,IF(H3248="ILF",7.5,IF(H3248="EIF",5.4)))))))</f>
        <v/>
      </c>
      <c r="M3248" s="30" t="str">
        <f t="shared" si="345"/>
        <v/>
      </c>
      <c r="N3248" s="134"/>
      <c r="O3248" s="29"/>
      <c r="P3248" s="37" t="str">
        <f t="shared" si="346"/>
        <v/>
      </c>
      <c r="Q3248" s="38" t="str">
        <f t="shared" si="347"/>
        <v/>
      </c>
      <c r="R3248" s="37" t="str">
        <f t="shared" si="348"/>
        <v/>
      </c>
      <c r="S3248" s="37" t="str">
        <f t="shared" si="349"/>
        <v/>
      </c>
      <c r="T3248" s="38" t="str">
        <f t="shared" si="350"/>
        <v/>
      </c>
      <c r="U3248" s="37" t="str">
        <f t="shared" si="351"/>
        <v/>
      </c>
    </row>
    <row r="3249" spans="2:21" ht="17.25">
      <c r="B3249" s="156"/>
      <c r="C3249" s="156"/>
      <c r="D3249" s="157"/>
      <c r="E3249" s="155"/>
      <c r="F3249" s="151"/>
      <c r="G3249" s="152"/>
      <c r="H3249" s="153"/>
      <c r="I3249" s="154"/>
      <c r="J3249" s="154"/>
      <c r="K3249" s="30" t="str">
        <f>IF(H3249="","",IF($C$30="간이법","",FPR(H3249,I3249,J3249)))</f>
        <v/>
      </c>
      <c r="L3249" s="30" t="str">
        <f>IF(H3249="","",IF($C$30="상세법",FPV(H3249,K3249),IF(H3249="EI",4,IF(H3249="EO",5.2,IF(H3249="EQ",3.9,IF(H3249="ILF",7.5,IF(H3249="EIF",5.4)))))))</f>
        <v/>
      </c>
      <c r="M3249" s="30" t="str">
        <f t="shared" si="345"/>
        <v/>
      </c>
      <c r="N3249" s="134"/>
      <c r="O3249" s="29"/>
      <c r="P3249" s="37" t="str">
        <f t="shared" si="346"/>
        <v/>
      </c>
      <c r="Q3249" s="38" t="str">
        <f t="shared" si="347"/>
        <v/>
      </c>
      <c r="R3249" s="37" t="str">
        <f t="shared" si="348"/>
        <v/>
      </c>
      <c r="S3249" s="37" t="str">
        <f t="shared" si="349"/>
        <v/>
      </c>
      <c r="T3249" s="38" t="str">
        <f t="shared" si="350"/>
        <v/>
      </c>
      <c r="U3249" s="37" t="str">
        <f t="shared" si="351"/>
        <v/>
      </c>
    </row>
    <row r="3250" spans="2:21" ht="17.25">
      <c r="B3250" s="156"/>
      <c r="C3250" s="156"/>
      <c r="D3250" s="157"/>
      <c r="E3250" s="155"/>
      <c r="F3250" s="151"/>
      <c r="G3250" s="152"/>
      <c r="H3250" s="153"/>
      <c r="I3250" s="154"/>
      <c r="J3250" s="154"/>
      <c r="K3250" s="30" t="str">
        <f>IF(H3250="","",IF($C$30="간이법","",FPR(H3250,I3250,J3250)))</f>
        <v/>
      </c>
      <c r="L3250" s="30" t="str">
        <f>IF(H3250="","",IF($C$30="상세법",FPV(H3250,K3250),IF(H3250="EI",4,IF(H3250="EO",5.2,IF(H3250="EQ",3.9,IF(H3250="ILF",7.5,IF(H3250="EIF",5.4)))))))</f>
        <v/>
      </c>
      <c r="M3250" s="30" t="str">
        <f t="shared" si="345"/>
        <v/>
      </c>
      <c r="N3250" s="134"/>
      <c r="O3250" s="29"/>
      <c r="P3250" s="37" t="str">
        <f t="shared" si="346"/>
        <v/>
      </c>
      <c r="Q3250" s="38" t="str">
        <f t="shared" si="347"/>
        <v/>
      </c>
      <c r="R3250" s="37" t="str">
        <f t="shared" si="348"/>
        <v/>
      </c>
      <c r="S3250" s="37" t="str">
        <f t="shared" si="349"/>
        <v/>
      </c>
      <c r="T3250" s="38" t="str">
        <f t="shared" si="350"/>
        <v/>
      </c>
      <c r="U3250" s="37" t="str">
        <f t="shared" si="351"/>
        <v/>
      </c>
    </row>
    <row r="3251" spans="2:21" ht="17.25">
      <c r="B3251" s="156"/>
      <c r="C3251" s="156"/>
      <c r="D3251" s="157"/>
      <c r="E3251" s="155"/>
      <c r="F3251" s="151"/>
      <c r="G3251" s="152"/>
      <c r="H3251" s="153"/>
      <c r="I3251" s="154"/>
      <c r="J3251" s="154"/>
      <c r="K3251" s="30" t="str">
        <f>IF(H3251="","",IF($C$30="간이법","",FPR(H3251,I3251,J3251)))</f>
        <v/>
      </c>
      <c r="L3251" s="30" t="str">
        <f>IF(H3251="","",IF($C$30="상세법",FPV(H3251,K3251),IF(H3251="EI",4,IF(H3251="EO",5.2,IF(H3251="EQ",3.9,IF(H3251="ILF",7.5,IF(H3251="EIF",5.4)))))))</f>
        <v/>
      </c>
      <c r="M3251" s="30" t="str">
        <f t="shared" si="345"/>
        <v/>
      </c>
      <c r="N3251" s="134"/>
      <c r="O3251" s="29"/>
      <c r="P3251" s="37" t="str">
        <f t="shared" si="346"/>
        <v/>
      </c>
      <c r="Q3251" s="38" t="str">
        <f t="shared" si="347"/>
        <v/>
      </c>
      <c r="R3251" s="37" t="str">
        <f t="shared" si="348"/>
        <v/>
      </c>
      <c r="S3251" s="37" t="str">
        <f t="shared" si="349"/>
        <v/>
      </c>
      <c r="T3251" s="38" t="str">
        <f t="shared" si="350"/>
        <v/>
      </c>
      <c r="U3251" s="37" t="str">
        <f t="shared" si="351"/>
        <v/>
      </c>
    </row>
    <row r="3252" spans="2:21" ht="17.25">
      <c r="B3252" s="156"/>
      <c r="C3252" s="156"/>
      <c r="D3252" s="157"/>
      <c r="E3252" s="155"/>
      <c r="F3252" s="151"/>
      <c r="G3252" s="152"/>
      <c r="H3252" s="153"/>
      <c r="I3252" s="154"/>
      <c r="J3252" s="154"/>
      <c r="K3252" s="30" t="str">
        <f>IF(H3252="","",IF($C$30="간이법","",FPR(H3252,I3252,J3252)))</f>
        <v/>
      </c>
      <c r="L3252" s="30" t="str">
        <f>IF(H3252="","",IF($C$30="상세법",FPV(H3252,K3252),IF(H3252="EI",4,IF(H3252="EO",5.2,IF(H3252="EQ",3.9,IF(H3252="ILF",7.5,IF(H3252="EIF",5.4)))))))</f>
        <v/>
      </c>
      <c r="M3252" s="30" t="str">
        <f t="shared" si="345"/>
        <v/>
      </c>
      <c r="N3252" s="134"/>
      <c r="O3252" s="29"/>
      <c r="P3252" s="37" t="str">
        <f t="shared" si="346"/>
        <v/>
      </c>
      <c r="Q3252" s="38" t="str">
        <f t="shared" si="347"/>
        <v/>
      </c>
      <c r="R3252" s="37" t="str">
        <f t="shared" si="348"/>
        <v/>
      </c>
      <c r="S3252" s="37" t="str">
        <f t="shared" si="349"/>
        <v/>
      </c>
      <c r="T3252" s="38" t="str">
        <f t="shared" si="350"/>
        <v/>
      </c>
      <c r="U3252" s="37" t="str">
        <f t="shared" si="351"/>
        <v/>
      </c>
    </row>
    <row r="3253" spans="2:21" ht="17.25">
      <c r="B3253" s="156"/>
      <c r="C3253" s="156"/>
      <c r="D3253" s="157"/>
      <c r="E3253" s="155"/>
      <c r="F3253" s="151"/>
      <c r="G3253" s="152"/>
      <c r="H3253" s="153"/>
      <c r="I3253" s="154"/>
      <c r="J3253" s="154"/>
      <c r="K3253" s="30" t="str">
        <f>IF(H3253="","",IF($C$30="간이법","",FPR(H3253,I3253,J3253)))</f>
        <v/>
      </c>
      <c r="L3253" s="30" t="str">
        <f>IF(H3253="","",IF($C$30="상세법",FPV(H3253,K3253),IF(H3253="EI",4,IF(H3253="EO",5.2,IF(H3253="EQ",3.9,IF(H3253="ILF",7.5,IF(H3253="EIF",5.4)))))))</f>
        <v/>
      </c>
      <c r="M3253" s="30" t="str">
        <f t="shared" si="345"/>
        <v/>
      </c>
      <c r="N3253" s="134"/>
      <c r="O3253" s="29"/>
      <c r="P3253" s="37" t="str">
        <f t="shared" si="346"/>
        <v/>
      </c>
      <c r="Q3253" s="38" t="str">
        <f t="shared" si="347"/>
        <v/>
      </c>
      <c r="R3253" s="37" t="str">
        <f t="shared" si="348"/>
        <v/>
      </c>
      <c r="S3253" s="37" t="str">
        <f t="shared" si="349"/>
        <v/>
      </c>
      <c r="T3253" s="38" t="str">
        <f t="shared" si="350"/>
        <v/>
      </c>
      <c r="U3253" s="37" t="str">
        <f t="shared" si="351"/>
        <v/>
      </c>
    </row>
    <row r="3254" spans="2:21" ht="17.25">
      <c r="B3254" s="156"/>
      <c r="C3254" s="156"/>
      <c r="D3254" s="157"/>
      <c r="E3254" s="155"/>
      <c r="F3254" s="151"/>
      <c r="G3254" s="152"/>
      <c r="H3254" s="153"/>
      <c r="I3254" s="154"/>
      <c r="J3254" s="154"/>
      <c r="K3254" s="30" t="str">
        <f>IF(H3254="","",IF($C$30="간이법","",FPR(H3254,I3254,J3254)))</f>
        <v/>
      </c>
      <c r="L3254" s="30" t="str">
        <f>IF(H3254="","",IF($C$30="상세법",FPV(H3254,K3254),IF(H3254="EI",4,IF(H3254="EO",5.2,IF(H3254="EQ",3.9,IF(H3254="ILF",7.5,IF(H3254="EIF",5.4)))))))</f>
        <v/>
      </c>
      <c r="M3254" s="30" t="str">
        <f t="shared" si="345"/>
        <v/>
      </c>
      <c r="N3254" s="134"/>
      <c r="O3254" s="29"/>
      <c r="P3254" s="37" t="str">
        <f t="shared" si="346"/>
        <v/>
      </c>
      <c r="Q3254" s="38" t="str">
        <f t="shared" si="347"/>
        <v/>
      </c>
      <c r="R3254" s="37" t="str">
        <f t="shared" si="348"/>
        <v/>
      </c>
      <c r="S3254" s="37" t="str">
        <f t="shared" si="349"/>
        <v/>
      </c>
      <c r="T3254" s="38" t="str">
        <f t="shared" si="350"/>
        <v/>
      </c>
      <c r="U3254" s="37" t="str">
        <f t="shared" si="351"/>
        <v/>
      </c>
    </row>
    <row r="3255" spans="2:21" ht="17.25">
      <c r="B3255" s="156"/>
      <c r="C3255" s="156"/>
      <c r="D3255" s="157"/>
      <c r="E3255" s="155"/>
      <c r="F3255" s="151"/>
      <c r="G3255" s="152"/>
      <c r="H3255" s="153"/>
      <c r="I3255" s="154"/>
      <c r="J3255" s="154"/>
      <c r="K3255" s="30" t="str">
        <f>IF(H3255="","",IF($C$30="간이법","",FPR(H3255,I3255,J3255)))</f>
        <v/>
      </c>
      <c r="L3255" s="30" t="str">
        <f>IF(H3255="","",IF($C$30="상세법",FPV(H3255,K3255),IF(H3255="EI",4,IF(H3255="EO",5.2,IF(H3255="EQ",3.9,IF(H3255="ILF",7.5,IF(H3255="EIF",5.4)))))))</f>
        <v/>
      </c>
      <c r="M3255" s="30" t="str">
        <f t="shared" si="345"/>
        <v/>
      </c>
      <c r="N3255" s="134"/>
      <c r="O3255" s="29"/>
      <c r="P3255" s="37" t="str">
        <f t="shared" si="346"/>
        <v/>
      </c>
      <c r="Q3255" s="38" t="str">
        <f t="shared" si="347"/>
        <v/>
      </c>
      <c r="R3255" s="37" t="str">
        <f t="shared" si="348"/>
        <v/>
      </c>
      <c r="S3255" s="37" t="str">
        <f t="shared" si="349"/>
        <v/>
      </c>
      <c r="T3255" s="38" t="str">
        <f t="shared" si="350"/>
        <v/>
      </c>
      <c r="U3255" s="37" t="str">
        <f t="shared" si="351"/>
        <v/>
      </c>
    </row>
    <row r="3256" spans="2:21" ht="17.25">
      <c r="B3256" s="156"/>
      <c r="C3256" s="156"/>
      <c r="D3256" s="157"/>
      <c r="E3256" s="155"/>
      <c r="F3256" s="151"/>
      <c r="G3256" s="152"/>
      <c r="H3256" s="153"/>
      <c r="I3256" s="154"/>
      <c r="J3256" s="154"/>
      <c r="K3256" s="30" t="str">
        <f>IF(H3256="","",IF($C$30="간이법","",FPR(H3256,I3256,J3256)))</f>
        <v/>
      </c>
      <c r="L3256" s="30" t="str">
        <f>IF(H3256="","",IF($C$30="상세법",FPV(H3256,K3256),IF(H3256="EI",4,IF(H3256="EO",5.2,IF(H3256="EQ",3.9,IF(H3256="ILF",7.5,IF(H3256="EIF",5.4)))))))</f>
        <v/>
      </c>
      <c r="M3256" s="30" t="str">
        <f t="shared" si="345"/>
        <v/>
      </c>
      <c r="N3256" s="134"/>
      <c r="O3256" s="29"/>
      <c r="P3256" s="37" t="str">
        <f t="shared" si="346"/>
        <v/>
      </c>
      <c r="Q3256" s="38" t="str">
        <f t="shared" si="347"/>
        <v/>
      </c>
      <c r="R3256" s="37" t="str">
        <f t="shared" si="348"/>
        <v/>
      </c>
      <c r="S3256" s="37" t="str">
        <f t="shared" si="349"/>
        <v/>
      </c>
      <c r="T3256" s="38" t="str">
        <f t="shared" si="350"/>
        <v/>
      </c>
      <c r="U3256" s="37" t="str">
        <f t="shared" si="351"/>
        <v/>
      </c>
    </row>
    <row r="3257" spans="2:21" ht="17.25">
      <c r="B3257" s="156"/>
      <c r="C3257" s="156"/>
      <c r="D3257" s="157"/>
      <c r="E3257" s="155"/>
      <c r="F3257" s="151"/>
      <c r="G3257" s="152"/>
      <c r="H3257" s="153"/>
      <c r="I3257" s="154"/>
      <c r="J3257" s="154"/>
      <c r="K3257" s="30" t="str">
        <f>IF(H3257="","",IF($C$30="간이법","",FPR(H3257,I3257,J3257)))</f>
        <v/>
      </c>
      <c r="L3257" s="30" t="str">
        <f>IF(H3257="","",IF($C$30="상세법",FPV(H3257,K3257),IF(H3257="EI",4,IF(H3257="EO",5.2,IF(H3257="EQ",3.9,IF(H3257="ILF",7.5,IF(H3257="EIF",5.4)))))))</f>
        <v/>
      </c>
      <c r="M3257" s="30" t="str">
        <f t="shared" si="345"/>
        <v/>
      </c>
      <c r="N3257" s="134"/>
      <c r="O3257" s="29"/>
      <c r="P3257" s="37" t="str">
        <f t="shared" si="346"/>
        <v/>
      </c>
      <c r="Q3257" s="38" t="str">
        <f t="shared" si="347"/>
        <v/>
      </c>
      <c r="R3257" s="37" t="str">
        <f t="shared" si="348"/>
        <v/>
      </c>
      <c r="S3257" s="37" t="str">
        <f t="shared" si="349"/>
        <v/>
      </c>
      <c r="T3257" s="38" t="str">
        <f t="shared" si="350"/>
        <v/>
      </c>
      <c r="U3257" s="37" t="str">
        <f t="shared" si="351"/>
        <v/>
      </c>
    </row>
    <row r="3258" spans="2:21" ht="17.25">
      <c r="B3258" s="156"/>
      <c r="C3258" s="156"/>
      <c r="D3258" s="157"/>
      <c r="E3258" s="155"/>
      <c r="F3258" s="151"/>
      <c r="G3258" s="152"/>
      <c r="H3258" s="153"/>
      <c r="I3258" s="154"/>
      <c r="J3258" s="154"/>
      <c r="K3258" s="30" t="str">
        <f>IF(H3258="","",IF($C$30="간이법","",FPR(H3258,I3258,J3258)))</f>
        <v/>
      </c>
      <c r="L3258" s="30" t="str">
        <f>IF(H3258="","",IF($C$30="상세법",FPV(H3258,K3258),IF(H3258="EI",4,IF(H3258="EO",5.2,IF(H3258="EQ",3.9,IF(H3258="ILF",7.5,IF(H3258="EIF",5.4)))))))</f>
        <v/>
      </c>
      <c r="M3258" s="30" t="str">
        <f t="shared" si="345"/>
        <v/>
      </c>
      <c r="N3258" s="134"/>
      <c r="O3258" s="29"/>
      <c r="P3258" s="37" t="str">
        <f t="shared" si="346"/>
        <v/>
      </c>
      <c r="Q3258" s="38" t="str">
        <f t="shared" si="347"/>
        <v/>
      </c>
      <c r="R3258" s="37" t="str">
        <f t="shared" si="348"/>
        <v/>
      </c>
      <c r="S3258" s="37" t="str">
        <f t="shared" si="349"/>
        <v/>
      </c>
      <c r="T3258" s="38" t="str">
        <f t="shared" si="350"/>
        <v/>
      </c>
      <c r="U3258" s="37" t="str">
        <f t="shared" si="351"/>
        <v/>
      </c>
    </row>
    <row r="3259" spans="2:21" ht="17.25">
      <c r="B3259" s="156"/>
      <c r="C3259" s="156"/>
      <c r="D3259" s="157"/>
      <c r="E3259" s="155"/>
      <c r="F3259" s="151"/>
      <c r="G3259" s="152"/>
      <c r="H3259" s="153"/>
      <c r="I3259" s="154"/>
      <c r="J3259" s="154"/>
      <c r="K3259" s="30" t="str">
        <f>IF(H3259="","",IF($C$30="간이법","",FPR(H3259,I3259,J3259)))</f>
        <v/>
      </c>
      <c r="L3259" s="30" t="str">
        <f>IF(H3259="","",IF($C$30="상세법",FPV(H3259,K3259),IF(H3259="EI",4,IF(H3259="EO",5.2,IF(H3259="EQ",3.9,IF(H3259="ILF",7.5,IF(H3259="EIF",5.4)))))))</f>
        <v/>
      </c>
      <c r="M3259" s="30" t="str">
        <f t="shared" si="345"/>
        <v/>
      </c>
      <c r="N3259" s="134"/>
      <c r="O3259" s="29"/>
      <c r="P3259" s="37" t="str">
        <f t="shared" si="346"/>
        <v/>
      </c>
      <c r="Q3259" s="38" t="str">
        <f t="shared" si="347"/>
        <v/>
      </c>
      <c r="R3259" s="37" t="str">
        <f t="shared" si="348"/>
        <v/>
      </c>
      <c r="S3259" s="37" t="str">
        <f t="shared" si="349"/>
        <v/>
      </c>
      <c r="T3259" s="38" t="str">
        <f t="shared" si="350"/>
        <v/>
      </c>
      <c r="U3259" s="37" t="str">
        <f t="shared" si="351"/>
        <v/>
      </c>
    </row>
    <row r="3260" spans="2:21" ht="17.25">
      <c r="B3260" s="156"/>
      <c r="C3260" s="156"/>
      <c r="D3260" s="157"/>
      <c r="E3260" s="155"/>
      <c r="F3260" s="151"/>
      <c r="G3260" s="152"/>
      <c r="H3260" s="153"/>
      <c r="I3260" s="154"/>
      <c r="J3260" s="154"/>
      <c r="K3260" s="30" t="str">
        <f>IF(H3260="","",IF($C$30="간이법","",FPR(H3260,I3260,J3260)))</f>
        <v/>
      </c>
      <c r="L3260" s="30" t="str">
        <f>IF(H3260="","",IF($C$30="상세법",FPV(H3260,K3260),IF(H3260="EI",4,IF(H3260="EO",5.2,IF(H3260="EQ",3.9,IF(H3260="ILF",7.5,IF(H3260="EIF",5.4)))))))</f>
        <v/>
      </c>
      <c r="M3260" s="30" t="str">
        <f t="shared" ref="M3260:M3323" si="352">IF(OR(G3260="",$E$36="(선택)",$E$40="(선택)",$E$41="(선택)",F3260="신규 개발",F3260="수정 없이 재사용"),"",(IF(F3260="수정 후 재사용",IF($E$50&lt;=0.5,L3260*($E$36+$E$50*100*(1+0.02*($E$40*$E$41)))/100,L3260*($E$36+$E$50*100+($E$40*$E$41))/100))))</f>
        <v/>
      </c>
      <c r="N3260" s="134"/>
      <c r="O3260" s="29"/>
      <c r="P3260" s="37" t="str">
        <f t="shared" ref="P3260:P3323" si="353">IF(F3260="수정 후 재사용",IF(H3260="ILF",G3260,IF(H3260="EIF",G3260,"")),"")</f>
        <v/>
      </c>
      <c r="Q3260" s="38" t="str">
        <f t="shared" ref="Q3260:Q3323" si="354">IF(P3260&lt;&gt;"",IF(H3260="ILF", L3260/$E$46,IF(H3260="EIF", L3260/$E$46,"")),"")</f>
        <v/>
      </c>
      <c r="R3260" s="37" t="str">
        <f t="shared" ref="R3260:R3323" si="355">IF(P3260&lt;&gt;"",P3260*Q3260,"")</f>
        <v/>
      </c>
      <c r="S3260" s="37" t="str">
        <f t="shared" ref="S3260:S3323" si="356">IF(F3260="수정 후 재사용",IF(H3260="EI",G3260,IF(H3260="EO",G3260,IF(H3260="EQ",G3260,""))),"")</f>
        <v/>
      </c>
      <c r="T3260" s="38" t="str">
        <f t="shared" ref="T3260:T3323" si="357">IF(S3260&lt;&gt;"",IF(H3260="EI",L3260/$E$47,IF(H3260="EO",L3260/$E$47,IF(H3260="EQ",L3260/$E$47,""))),"")</f>
        <v/>
      </c>
      <c r="U3260" s="37" t="str">
        <f t="shared" ref="U3260:U3323" si="358">IF(S3260&lt;&gt;"",S3260*T3260,"")</f>
        <v/>
      </c>
    </row>
    <row r="3261" spans="2:21" ht="17.25">
      <c r="B3261" s="156"/>
      <c r="C3261" s="156"/>
      <c r="D3261" s="157"/>
      <c r="E3261" s="155"/>
      <c r="F3261" s="151"/>
      <c r="G3261" s="152"/>
      <c r="H3261" s="153"/>
      <c r="I3261" s="154"/>
      <c r="J3261" s="154"/>
      <c r="K3261" s="30" t="str">
        <f>IF(H3261="","",IF($C$30="간이법","",FPR(H3261,I3261,J3261)))</f>
        <v/>
      </c>
      <c r="L3261" s="30" t="str">
        <f>IF(H3261="","",IF($C$30="상세법",FPV(H3261,K3261),IF(H3261="EI",4,IF(H3261="EO",5.2,IF(H3261="EQ",3.9,IF(H3261="ILF",7.5,IF(H3261="EIF",5.4)))))))</f>
        <v/>
      </c>
      <c r="M3261" s="30" t="str">
        <f t="shared" si="352"/>
        <v/>
      </c>
      <c r="N3261" s="134"/>
      <c r="O3261" s="29"/>
      <c r="P3261" s="37" t="str">
        <f t="shared" si="353"/>
        <v/>
      </c>
      <c r="Q3261" s="38" t="str">
        <f t="shared" si="354"/>
        <v/>
      </c>
      <c r="R3261" s="37" t="str">
        <f t="shared" si="355"/>
        <v/>
      </c>
      <c r="S3261" s="37" t="str">
        <f t="shared" si="356"/>
        <v/>
      </c>
      <c r="T3261" s="38" t="str">
        <f t="shared" si="357"/>
        <v/>
      </c>
      <c r="U3261" s="37" t="str">
        <f t="shared" si="358"/>
        <v/>
      </c>
    </row>
    <row r="3262" spans="2:21" ht="17.25">
      <c r="B3262" s="156"/>
      <c r="C3262" s="156"/>
      <c r="D3262" s="157"/>
      <c r="E3262" s="155"/>
      <c r="F3262" s="151"/>
      <c r="G3262" s="152"/>
      <c r="H3262" s="153"/>
      <c r="I3262" s="154"/>
      <c r="J3262" s="154"/>
      <c r="K3262" s="30" t="str">
        <f>IF(H3262="","",IF($C$30="간이법","",FPR(H3262,I3262,J3262)))</f>
        <v/>
      </c>
      <c r="L3262" s="30" t="str">
        <f>IF(H3262="","",IF($C$30="상세법",FPV(H3262,K3262),IF(H3262="EI",4,IF(H3262="EO",5.2,IF(H3262="EQ",3.9,IF(H3262="ILF",7.5,IF(H3262="EIF",5.4)))))))</f>
        <v/>
      </c>
      <c r="M3262" s="30" t="str">
        <f t="shared" si="352"/>
        <v/>
      </c>
      <c r="N3262" s="134"/>
      <c r="O3262" s="29"/>
      <c r="P3262" s="37" t="str">
        <f t="shared" si="353"/>
        <v/>
      </c>
      <c r="Q3262" s="38" t="str">
        <f t="shared" si="354"/>
        <v/>
      </c>
      <c r="R3262" s="37" t="str">
        <f t="shared" si="355"/>
        <v/>
      </c>
      <c r="S3262" s="37" t="str">
        <f t="shared" si="356"/>
        <v/>
      </c>
      <c r="T3262" s="38" t="str">
        <f t="shared" si="357"/>
        <v/>
      </c>
      <c r="U3262" s="37" t="str">
        <f t="shared" si="358"/>
        <v/>
      </c>
    </row>
    <row r="3263" spans="2:21" ht="17.25">
      <c r="B3263" s="156"/>
      <c r="C3263" s="156"/>
      <c r="D3263" s="157"/>
      <c r="E3263" s="155"/>
      <c r="F3263" s="151"/>
      <c r="G3263" s="152"/>
      <c r="H3263" s="153"/>
      <c r="I3263" s="154"/>
      <c r="J3263" s="154"/>
      <c r="K3263" s="30" t="str">
        <f>IF(H3263="","",IF($C$30="간이법","",FPR(H3263,I3263,J3263)))</f>
        <v/>
      </c>
      <c r="L3263" s="30" t="str">
        <f>IF(H3263="","",IF($C$30="상세법",FPV(H3263,K3263),IF(H3263="EI",4,IF(H3263="EO",5.2,IF(H3263="EQ",3.9,IF(H3263="ILF",7.5,IF(H3263="EIF",5.4)))))))</f>
        <v/>
      </c>
      <c r="M3263" s="30" t="str">
        <f t="shared" si="352"/>
        <v/>
      </c>
      <c r="N3263" s="134"/>
      <c r="O3263" s="29"/>
      <c r="P3263" s="37" t="str">
        <f t="shared" si="353"/>
        <v/>
      </c>
      <c r="Q3263" s="38" t="str">
        <f t="shared" si="354"/>
        <v/>
      </c>
      <c r="R3263" s="37" t="str">
        <f t="shared" si="355"/>
        <v/>
      </c>
      <c r="S3263" s="37" t="str">
        <f t="shared" si="356"/>
        <v/>
      </c>
      <c r="T3263" s="38" t="str">
        <f t="shared" si="357"/>
        <v/>
      </c>
      <c r="U3263" s="37" t="str">
        <f t="shared" si="358"/>
        <v/>
      </c>
    </row>
    <row r="3264" spans="2:21" ht="17.25">
      <c r="B3264" s="156"/>
      <c r="C3264" s="156"/>
      <c r="D3264" s="157"/>
      <c r="E3264" s="155"/>
      <c r="F3264" s="151"/>
      <c r="G3264" s="152"/>
      <c r="H3264" s="153"/>
      <c r="I3264" s="154"/>
      <c r="J3264" s="154"/>
      <c r="K3264" s="30" t="str">
        <f>IF(H3264="","",IF($C$30="간이법","",FPR(H3264,I3264,J3264)))</f>
        <v/>
      </c>
      <c r="L3264" s="30" t="str">
        <f>IF(H3264="","",IF($C$30="상세법",FPV(H3264,K3264),IF(H3264="EI",4,IF(H3264="EO",5.2,IF(H3264="EQ",3.9,IF(H3264="ILF",7.5,IF(H3264="EIF",5.4)))))))</f>
        <v/>
      </c>
      <c r="M3264" s="30" t="str">
        <f t="shared" si="352"/>
        <v/>
      </c>
      <c r="N3264" s="134"/>
      <c r="O3264" s="29"/>
      <c r="P3264" s="37" t="str">
        <f t="shared" si="353"/>
        <v/>
      </c>
      <c r="Q3264" s="38" t="str">
        <f t="shared" si="354"/>
        <v/>
      </c>
      <c r="R3264" s="37" t="str">
        <f t="shared" si="355"/>
        <v/>
      </c>
      <c r="S3264" s="37" t="str">
        <f t="shared" si="356"/>
        <v/>
      </c>
      <c r="T3264" s="38" t="str">
        <f t="shared" si="357"/>
        <v/>
      </c>
      <c r="U3264" s="37" t="str">
        <f t="shared" si="358"/>
        <v/>
      </c>
    </row>
    <row r="3265" spans="2:21" ht="17.25">
      <c r="B3265" s="156"/>
      <c r="C3265" s="156"/>
      <c r="D3265" s="157"/>
      <c r="E3265" s="155"/>
      <c r="F3265" s="151"/>
      <c r="G3265" s="152"/>
      <c r="H3265" s="153"/>
      <c r="I3265" s="154"/>
      <c r="J3265" s="154"/>
      <c r="K3265" s="30" t="str">
        <f>IF(H3265="","",IF($C$30="간이법","",FPR(H3265,I3265,J3265)))</f>
        <v/>
      </c>
      <c r="L3265" s="30" t="str">
        <f>IF(H3265="","",IF($C$30="상세법",FPV(H3265,K3265),IF(H3265="EI",4,IF(H3265="EO",5.2,IF(H3265="EQ",3.9,IF(H3265="ILF",7.5,IF(H3265="EIF",5.4)))))))</f>
        <v/>
      </c>
      <c r="M3265" s="30" t="str">
        <f t="shared" si="352"/>
        <v/>
      </c>
      <c r="N3265" s="134"/>
      <c r="O3265" s="29"/>
      <c r="P3265" s="37" t="str">
        <f t="shared" si="353"/>
        <v/>
      </c>
      <c r="Q3265" s="38" t="str">
        <f t="shared" si="354"/>
        <v/>
      </c>
      <c r="R3265" s="37" t="str">
        <f t="shared" si="355"/>
        <v/>
      </c>
      <c r="S3265" s="37" t="str">
        <f t="shared" si="356"/>
        <v/>
      </c>
      <c r="T3265" s="38" t="str">
        <f t="shared" si="357"/>
        <v/>
      </c>
      <c r="U3265" s="37" t="str">
        <f t="shared" si="358"/>
        <v/>
      </c>
    </row>
    <row r="3266" spans="2:21" ht="17.25">
      <c r="B3266" s="156"/>
      <c r="C3266" s="156"/>
      <c r="D3266" s="157"/>
      <c r="E3266" s="155"/>
      <c r="F3266" s="151"/>
      <c r="G3266" s="152"/>
      <c r="H3266" s="153"/>
      <c r="I3266" s="154"/>
      <c r="J3266" s="154"/>
      <c r="K3266" s="30" t="str">
        <f>IF(H3266="","",IF($C$30="간이법","",FPR(H3266,I3266,J3266)))</f>
        <v/>
      </c>
      <c r="L3266" s="30" t="str">
        <f>IF(H3266="","",IF($C$30="상세법",FPV(H3266,K3266),IF(H3266="EI",4,IF(H3266="EO",5.2,IF(H3266="EQ",3.9,IF(H3266="ILF",7.5,IF(H3266="EIF",5.4)))))))</f>
        <v/>
      </c>
      <c r="M3266" s="30" t="str">
        <f t="shared" si="352"/>
        <v/>
      </c>
      <c r="N3266" s="134"/>
      <c r="O3266" s="29"/>
      <c r="P3266" s="37" t="str">
        <f t="shared" si="353"/>
        <v/>
      </c>
      <c r="Q3266" s="38" t="str">
        <f t="shared" si="354"/>
        <v/>
      </c>
      <c r="R3266" s="37" t="str">
        <f t="shared" si="355"/>
        <v/>
      </c>
      <c r="S3266" s="37" t="str">
        <f t="shared" si="356"/>
        <v/>
      </c>
      <c r="T3266" s="38" t="str">
        <f t="shared" si="357"/>
        <v/>
      </c>
      <c r="U3266" s="37" t="str">
        <f t="shared" si="358"/>
        <v/>
      </c>
    </row>
    <row r="3267" spans="2:21" ht="17.25">
      <c r="B3267" s="156"/>
      <c r="C3267" s="156"/>
      <c r="D3267" s="157"/>
      <c r="E3267" s="155"/>
      <c r="F3267" s="151"/>
      <c r="G3267" s="152"/>
      <c r="H3267" s="153"/>
      <c r="I3267" s="154"/>
      <c r="J3267" s="154"/>
      <c r="K3267" s="30" t="str">
        <f>IF(H3267="","",IF($C$30="간이법","",FPR(H3267,I3267,J3267)))</f>
        <v/>
      </c>
      <c r="L3267" s="30" t="str">
        <f>IF(H3267="","",IF($C$30="상세법",FPV(H3267,K3267),IF(H3267="EI",4,IF(H3267="EO",5.2,IF(H3267="EQ",3.9,IF(H3267="ILF",7.5,IF(H3267="EIF",5.4)))))))</f>
        <v/>
      </c>
      <c r="M3267" s="30" t="str">
        <f t="shared" si="352"/>
        <v/>
      </c>
      <c r="N3267" s="134"/>
      <c r="O3267" s="29"/>
      <c r="P3267" s="37" t="str">
        <f t="shared" si="353"/>
        <v/>
      </c>
      <c r="Q3267" s="38" t="str">
        <f t="shared" si="354"/>
        <v/>
      </c>
      <c r="R3267" s="37" t="str">
        <f t="shared" si="355"/>
        <v/>
      </c>
      <c r="S3267" s="37" t="str">
        <f t="shared" si="356"/>
        <v/>
      </c>
      <c r="T3267" s="38" t="str">
        <f t="shared" si="357"/>
        <v/>
      </c>
      <c r="U3267" s="37" t="str">
        <f t="shared" si="358"/>
        <v/>
      </c>
    </row>
    <row r="3268" spans="2:21" ht="17.25">
      <c r="B3268" s="156"/>
      <c r="C3268" s="156"/>
      <c r="D3268" s="157"/>
      <c r="E3268" s="155"/>
      <c r="F3268" s="151"/>
      <c r="G3268" s="152"/>
      <c r="H3268" s="153"/>
      <c r="I3268" s="154"/>
      <c r="J3268" s="154"/>
      <c r="K3268" s="30" t="str">
        <f>IF(H3268="","",IF($C$30="간이법","",FPR(H3268,I3268,J3268)))</f>
        <v/>
      </c>
      <c r="L3268" s="30" t="str">
        <f>IF(H3268="","",IF($C$30="상세법",FPV(H3268,K3268),IF(H3268="EI",4,IF(H3268="EO",5.2,IF(H3268="EQ",3.9,IF(H3268="ILF",7.5,IF(H3268="EIF",5.4)))))))</f>
        <v/>
      </c>
      <c r="M3268" s="30" t="str">
        <f t="shared" si="352"/>
        <v/>
      </c>
      <c r="N3268" s="134"/>
      <c r="O3268" s="29"/>
      <c r="P3268" s="37" t="str">
        <f t="shared" si="353"/>
        <v/>
      </c>
      <c r="Q3268" s="38" t="str">
        <f t="shared" si="354"/>
        <v/>
      </c>
      <c r="R3268" s="37" t="str">
        <f t="shared" si="355"/>
        <v/>
      </c>
      <c r="S3268" s="37" t="str">
        <f t="shared" si="356"/>
        <v/>
      </c>
      <c r="T3268" s="38" t="str">
        <f t="shared" si="357"/>
        <v/>
      </c>
      <c r="U3268" s="37" t="str">
        <f t="shared" si="358"/>
        <v/>
      </c>
    </row>
    <row r="3269" spans="2:21" ht="17.25">
      <c r="B3269" s="156"/>
      <c r="C3269" s="156"/>
      <c r="D3269" s="157"/>
      <c r="E3269" s="155"/>
      <c r="F3269" s="151"/>
      <c r="G3269" s="152"/>
      <c r="H3269" s="153"/>
      <c r="I3269" s="154"/>
      <c r="J3269" s="154"/>
      <c r="K3269" s="30" t="str">
        <f>IF(H3269="","",IF($C$30="간이법","",FPR(H3269,I3269,J3269)))</f>
        <v/>
      </c>
      <c r="L3269" s="30" t="str">
        <f>IF(H3269="","",IF($C$30="상세법",FPV(H3269,K3269),IF(H3269="EI",4,IF(H3269="EO",5.2,IF(H3269="EQ",3.9,IF(H3269="ILF",7.5,IF(H3269="EIF",5.4)))))))</f>
        <v/>
      </c>
      <c r="M3269" s="30" t="str">
        <f t="shared" si="352"/>
        <v/>
      </c>
      <c r="N3269" s="134"/>
      <c r="O3269" s="29"/>
      <c r="P3269" s="37" t="str">
        <f t="shared" si="353"/>
        <v/>
      </c>
      <c r="Q3269" s="38" t="str">
        <f t="shared" si="354"/>
        <v/>
      </c>
      <c r="R3269" s="37" t="str">
        <f t="shared" si="355"/>
        <v/>
      </c>
      <c r="S3269" s="37" t="str">
        <f t="shared" si="356"/>
        <v/>
      </c>
      <c r="T3269" s="38" t="str">
        <f t="shared" si="357"/>
        <v/>
      </c>
      <c r="U3269" s="37" t="str">
        <f t="shared" si="358"/>
        <v/>
      </c>
    </row>
    <row r="3270" spans="2:21" ht="17.25">
      <c r="B3270" s="156"/>
      <c r="C3270" s="156"/>
      <c r="D3270" s="157"/>
      <c r="E3270" s="155"/>
      <c r="F3270" s="151"/>
      <c r="G3270" s="152"/>
      <c r="H3270" s="153"/>
      <c r="I3270" s="154"/>
      <c r="J3270" s="154"/>
      <c r="K3270" s="30" t="str">
        <f>IF(H3270="","",IF($C$30="간이법","",FPR(H3270,I3270,J3270)))</f>
        <v/>
      </c>
      <c r="L3270" s="30" t="str">
        <f>IF(H3270="","",IF($C$30="상세법",FPV(H3270,K3270),IF(H3270="EI",4,IF(H3270="EO",5.2,IF(H3270="EQ",3.9,IF(H3270="ILF",7.5,IF(H3270="EIF",5.4)))))))</f>
        <v/>
      </c>
      <c r="M3270" s="30" t="str">
        <f t="shared" si="352"/>
        <v/>
      </c>
      <c r="N3270" s="134"/>
      <c r="O3270" s="29"/>
      <c r="P3270" s="37" t="str">
        <f t="shared" si="353"/>
        <v/>
      </c>
      <c r="Q3270" s="38" t="str">
        <f t="shared" si="354"/>
        <v/>
      </c>
      <c r="R3270" s="37" t="str">
        <f t="shared" si="355"/>
        <v/>
      </c>
      <c r="S3270" s="37" t="str">
        <f t="shared" si="356"/>
        <v/>
      </c>
      <c r="T3270" s="38" t="str">
        <f t="shared" si="357"/>
        <v/>
      </c>
      <c r="U3270" s="37" t="str">
        <f t="shared" si="358"/>
        <v/>
      </c>
    </row>
    <row r="3271" spans="2:21" ht="17.25">
      <c r="B3271" s="156"/>
      <c r="C3271" s="156"/>
      <c r="D3271" s="157"/>
      <c r="E3271" s="155"/>
      <c r="F3271" s="151"/>
      <c r="G3271" s="152"/>
      <c r="H3271" s="153"/>
      <c r="I3271" s="154"/>
      <c r="J3271" s="154"/>
      <c r="K3271" s="30" t="str">
        <f>IF(H3271="","",IF($C$30="간이법","",FPR(H3271,I3271,J3271)))</f>
        <v/>
      </c>
      <c r="L3271" s="30" t="str">
        <f>IF(H3271="","",IF($C$30="상세법",FPV(H3271,K3271),IF(H3271="EI",4,IF(H3271="EO",5.2,IF(H3271="EQ",3.9,IF(H3271="ILF",7.5,IF(H3271="EIF",5.4)))))))</f>
        <v/>
      </c>
      <c r="M3271" s="30" t="str">
        <f t="shared" si="352"/>
        <v/>
      </c>
      <c r="N3271" s="134"/>
      <c r="O3271" s="29"/>
      <c r="P3271" s="37" t="str">
        <f t="shared" si="353"/>
        <v/>
      </c>
      <c r="Q3271" s="38" t="str">
        <f t="shared" si="354"/>
        <v/>
      </c>
      <c r="R3271" s="37" t="str">
        <f t="shared" si="355"/>
        <v/>
      </c>
      <c r="S3271" s="37" t="str">
        <f t="shared" si="356"/>
        <v/>
      </c>
      <c r="T3271" s="38" t="str">
        <f t="shared" si="357"/>
        <v/>
      </c>
      <c r="U3271" s="37" t="str">
        <f t="shared" si="358"/>
        <v/>
      </c>
    </row>
    <row r="3272" spans="2:21" ht="17.25">
      <c r="B3272" s="156"/>
      <c r="C3272" s="156"/>
      <c r="D3272" s="157"/>
      <c r="E3272" s="155"/>
      <c r="F3272" s="151"/>
      <c r="G3272" s="152"/>
      <c r="H3272" s="153"/>
      <c r="I3272" s="154"/>
      <c r="J3272" s="154"/>
      <c r="K3272" s="30" t="str">
        <f>IF(H3272="","",IF($C$30="간이법","",FPR(H3272,I3272,J3272)))</f>
        <v/>
      </c>
      <c r="L3272" s="30" t="str">
        <f>IF(H3272="","",IF($C$30="상세법",FPV(H3272,K3272),IF(H3272="EI",4,IF(H3272="EO",5.2,IF(H3272="EQ",3.9,IF(H3272="ILF",7.5,IF(H3272="EIF",5.4)))))))</f>
        <v/>
      </c>
      <c r="M3272" s="30" t="str">
        <f t="shared" si="352"/>
        <v/>
      </c>
      <c r="N3272" s="134"/>
      <c r="O3272" s="29"/>
      <c r="P3272" s="37" t="str">
        <f t="shared" si="353"/>
        <v/>
      </c>
      <c r="Q3272" s="38" t="str">
        <f t="shared" si="354"/>
        <v/>
      </c>
      <c r="R3272" s="37" t="str">
        <f t="shared" si="355"/>
        <v/>
      </c>
      <c r="S3272" s="37" t="str">
        <f t="shared" si="356"/>
        <v/>
      </c>
      <c r="T3272" s="38" t="str">
        <f t="shared" si="357"/>
        <v/>
      </c>
      <c r="U3272" s="37" t="str">
        <f t="shared" si="358"/>
        <v/>
      </c>
    </row>
    <row r="3273" spans="2:21" ht="17.25">
      <c r="B3273" s="156"/>
      <c r="C3273" s="156"/>
      <c r="D3273" s="157"/>
      <c r="E3273" s="155"/>
      <c r="F3273" s="151"/>
      <c r="G3273" s="152"/>
      <c r="H3273" s="153"/>
      <c r="I3273" s="154"/>
      <c r="J3273" s="154"/>
      <c r="K3273" s="30" t="str">
        <f>IF(H3273="","",IF($C$30="간이법","",FPR(H3273,I3273,J3273)))</f>
        <v/>
      </c>
      <c r="L3273" s="30" t="str">
        <f>IF(H3273="","",IF($C$30="상세법",FPV(H3273,K3273),IF(H3273="EI",4,IF(H3273="EO",5.2,IF(H3273="EQ",3.9,IF(H3273="ILF",7.5,IF(H3273="EIF",5.4)))))))</f>
        <v/>
      </c>
      <c r="M3273" s="30" t="str">
        <f t="shared" si="352"/>
        <v/>
      </c>
      <c r="N3273" s="134"/>
      <c r="O3273" s="29"/>
      <c r="P3273" s="37" t="str">
        <f t="shared" si="353"/>
        <v/>
      </c>
      <c r="Q3273" s="38" t="str">
        <f t="shared" si="354"/>
        <v/>
      </c>
      <c r="R3273" s="37" t="str">
        <f t="shared" si="355"/>
        <v/>
      </c>
      <c r="S3273" s="37" t="str">
        <f t="shared" si="356"/>
        <v/>
      </c>
      <c r="T3273" s="38" t="str">
        <f t="shared" si="357"/>
        <v/>
      </c>
      <c r="U3273" s="37" t="str">
        <f t="shared" si="358"/>
        <v/>
      </c>
    </row>
    <row r="3274" spans="2:21" ht="17.25">
      <c r="B3274" s="156"/>
      <c r="C3274" s="156"/>
      <c r="D3274" s="157"/>
      <c r="E3274" s="155"/>
      <c r="F3274" s="151"/>
      <c r="G3274" s="152"/>
      <c r="H3274" s="153"/>
      <c r="I3274" s="154"/>
      <c r="J3274" s="154"/>
      <c r="K3274" s="30" t="str">
        <f>IF(H3274="","",IF($C$30="간이법","",FPR(H3274,I3274,J3274)))</f>
        <v/>
      </c>
      <c r="L3274" s="30" t="str">
        <f>IF(H3274="","",IF($C$30="상세법",FPV(H3274,K3274),IF(H3274="EI",4,IF(H3274="EO",5.2,IF(H3274="EQ",3.9,IF(H3274="ILF",7.5,IF(H3274="EIF",5.4)))))))</f>
        <v/>
      </c>
      <c r="M3274" s="30" t="str">
        <f t="shared" si="352"/>
        <v/>
      </c>
      <c r="N3274" s="134"/>
      <c r="O3274" s="29"/>
      <c r="P3274" s="37" t="str">
        <f t="shared" si="353"/>
        <v/>
      </c>
      <c r="Q3274" s="38" t="str">
        <f t="shared" si="354"/>
        <v/>
      </c>
      <c r="R3274" s="37" t="str">
        <f t="shared" si="355"/>
        <v/>
      </c>
      <c r="S3274" s="37" t="str">
        <f t="shared" si="356"/>
        <v/>
      </c>
      <c r="T3274" s="38" t="str">
        <f t="shared" si="357"/>
        <v/>
      </c>
      <c r="U3274" s="37" t="str">
        <f t="shared" si="358"/>
        <v/>
      </c>
    </row>
    <row r="3275" spans="2:21" ht="17.25">
      <c r="B3275" s="156"/>
      <c r="C3275" s="156"/>
      <c r="D3275" s="157"/>
      <c r="E3275" s="155"/>
      <c r="F3275" s="151"/>
      <c r="G3275" s="152"/>
      <c r="H3275" s="153"/>
      <c r="I3275" s="154"/>
      <c r="J3275" s="154"/>
      <c r="K3275" s="30" t="str">
        <f>IF(H3275="","",IF($C$30="간이법","",FPR(H3275,I3275,J3275)))</f>
        <v/>
      </c>
      <c r="L3275" s="30" t="str">
        <f>IF(H3275="","",IF($C$30="상세법",FPV(H3275,K3275),IF(H3275="EI",4,IF(H3275="EO",5.2,IF(H3275="EQ",3.9,IF(H3275="ILF",7.5,IF(H3275="EIF",5.4)))))))</f>
        <v/>
      </c>
      <c r="M3275" s="30" t="str">
        <f t="shared" si="352"/>
        <v/>
      </c>
      <c r="N3275" s="134"/>
      <c r="O3275" s="29"/>
      <c r="P3275" s="37" t="str">
        <f t="shared" si="353"/>
        <v/>
      </c>
      <c r="Q3275" s="38" t="str">
        <f t="shared" si="354"/>
        <v/>
      </c>
      <c r="R3275" s="37" t="str">
        <f t="shared" si="355"/>
        <v/>
      </c>
      <c r="S3275" s="37" t="str">
        <f t="shared" si="356"/>
        <v/>
      </c>
      <c r="T3275" s="38" t="str">
        <f t="shared" si="357"/>
        <v/>
      </c>
      <c r="U3275" s="37" t="str">
        <f t="shared" si="358"/>
        <v/>
      </c>
    </row>
    <row r="3276" spans="2:21" ht="17.25">
      <c r="B3276" s="156"/>
      <c r="C3276" s="156"/>
      <c r="D3276" s="157"/>
      <c r="E3276" s="155"/>
      <c r="F3276" s="151"/>
      <c r="G3276" s="152"/>
      <c r="H3276" s="153"/>
      <c r="I3276" s="154"/>
      <c r="J3276" s="154"/>
      <c r="K3276" s="30" t="str">
        <f>IF(H3276="","",IF($C$30="간이법","",FPR(H3276,I3276,J3276)))</f>
        <v/>
      </c>
      <c r="L3276" s="30" t="str">
        <f>IF(H3276="","",IF($C$30="상세법",FPV(H3276,K3276),IF(H3276="EI",4,IF(H3276="EO",5.2,IF(H3276="EQ",3.9,IF(H3276="ILF",7.5,IF(H3276="EIF",5.4)))))))</f>
        <v/>
      </c>
      <c r="M3276" s="30" t="str">
        <f t="shared" si="352"/>
        <v/>
      </c>
      <c r="N3276" s="134"/>
      <c r="O3276" s="29"/>
      <c r="P3276" s="37" t="str">
        <f t="shared" si="353"/>
        <v/>
      </c>
      <c r="Q3276" s="38" t="str">
        <f t="shared" si="354"/>
        <v/>
      </c>
      <c r="R3276" s="37" t="str">
        <f t="shared" si="355"/>
        <v/>
      </c>
      <c r="S3276" s="37" t="str">
        <f t="shared" si="356"/>
        <v/>
      </c>
      <c r="T3276" s="38" t="str">
        <f t="shared" si="357"/>
        <v/>
      </c>
      <c r="U3276" s="37" t="str">
        <f t="shared" si="358"/>
        <v/>
      </c>
    </row>
    <row r="3277" spans="2:21" ht="17.25">
      <c r="B3277" s="156"/>
      <c r="C3277" s="156"/>
      <c r="D3277" s="157"/>
      <c r="E3277" s="155"/>
      <c r="F3277" s="151"/>
      <c r="G3277" s="152"/>
      <c r="H3277" s="153"/>
      <c r="I3277" s="154"/>
      <c r="J3277" s="154"/>
      <c r="K3277" s="30" t="str">
        <f>IF(H3277="","",IF($C$30="간이법","",FPR(H3277,I3277,J3277)))</f>
        <v/>
      </c>
      <c r="L3277" s="30" t="str">
        <f>IF(H3277="","",IF($C$30="상세법",FPV(H3277,K3277),IF(H3277="EI",4,IF(H3277="EO",5.2,IF(H3277="EQ",3.9,IF(H3277="ILF",7.5,IF(H3277="EIF",5.4)))))))</f>
        <v/>
      </c>
      <c r="M3277" s="30" t="str">
        <f t="shared" si="352"/>
        <v/>
      </c>
      <c r="N3277" s="134"/>
      <c r="O3277" s="29"/>
      <c r="P3277" s="37" t="str">
        <f t="shared" si="353"/>
        <v/>
      </c>
      <c r="Q3277" s="38" t="str">
        <f t="shared" si="354"/>
        <v/>
      </c>
      <c r="R3277" s="37" t="str">
        <f t="shared" si="355"/>
        <v/>
      </c>
      <c r="S3277" s="37" t="str">
        <f t="shared" si="356"/>
        <v/>
      </c>
      <c r="T3277" s="38" t="str">
        <f t="shared" si="357"/>
        <v/>
      </c>
      <c r="U3277" s="37" t="str">
        <f t="shared" si="358"/>
        <v/>
      </c>
    </row>
    <row r="3278" spans="2:21" ht="17.25">
      <c r="B3278" s="156"/>
      <c r="C3278" s="156"/>
      <c r="D3278" s="157"/>
      <c r="E3278" s="155"/>
      <c r="F3278" s="151"/>
      <c r="G3278" s="152"/>
      <c r="H3278" s="153"/>
      <c r="I3278" s="154"/>
      <c r="J3278" s="154"/>
      <c r="K3278" s="30" t="str">
        <f>IF(H3278="","",IF($C$30="간이법","",FPR(H3278,I3278,J3278)))</f>
        <v/>
      </c>
      <c r="L3278" s="30" t="str">
        <f>IF(H3278="","",IF($C$30="상세법",FPV(H3278,K3278),IF(H3278="EI",4,IF(H3278="EO",5.2,IF(H3278="EQ",3.9,IF(H3278="ILF",7.5,IF(H3278="EIF",5.4)))))))</f>
        <v/>
      </c>
      <c r="M3278" s="30" t="str">
        <f t="shared" si="352"/>
        <v/>
      </c>
      <c r="N3278" s="134"/>
      <c r="O3278" s="29"/>
      <c r="P3278" s="37" t="str">
        <f t="shared" si="353"/>
        <v/>
      </c>
      <c r="Q3278" s="38" t="str">
        <f t="shared" si="354"/>
        <v/>
      </c>
      <c r="R3278" s="37" t="str">
        <f t="shared" si="355"/>
        <v/>
      </c>
      <c r="S3278" s="37" t="str">
        <f t="shared" si="356"/>
        <v/>
      </c>
      <c r="T3278" s="38" t="str">
        <f t="shared" si="357"/>
        <v/>
      </c>
      <c r="U3278" s="37" t="str">
        <f t="shared" si="358"/>
        <v/>
      </c>
    </row>
    <row r="3279" spans="2:21" ht="17.25">
      <c r="B3279" s="156"/>
      <c r="C3279" s="156"/>
      <c r="D3279" s="157"/>
      <c r="E3279" s="155"/>
      <c r="F3279" s="151"/>
      <c r="G3279" s="152"/>
      <c r="H3279" s="153"/>
      <c r="I3279" s="154"/>
      <c r="J3279" s="154"/>
      <c r="K3279" s="30" t="str">
        <f>IF(H3279="","",IF($C$30="간이법","",FPR(H3279,I3279,J3279)))</f>
        <v/>
      </c>
      <c r="L3279" s="30" t="str">
        <f>IF(H3279="","",IF($C$30="상세법",FPV(H3279,K3279),IF(H3279="EI",4,IF(H3279="EO",5.2,IF(H3279="EQ",3.9,IF(H3279="ILF",7.5,IF(H3279="EIF",5.4)))))))</f>
        <v/>
      </c>
      <c r="M3279" s="30" t="str">
        <f t="shared" si="352"/>
        <v/>
      </c>
      <c r="N3279" s="134"/>
      <c r="O3279" s="29"/>
      <c r="P3279" s="37" t="str">
        <f t="shared" si="353"/>
        <v/>
      </c>
      <c r="Q3279" s="38" t="str">
        <f t="shared" si="354"/>
        <v/>
      </c>
      <c r="R3279" s="37" t="str">
        <f t="shared" si="355"/>
        <v/>
      </c>
      <c r="S3279" s="37" t="str">
        <f t="shared" si="356"/>
        <v/>
      </c>
      <c r="T3279" s="38" t="str">
        <f t="shared" si="357"/>
        <v/>
      </c>
      <c r="U3279" s="37" t="str">
        <f t="shared" si="358"/>
        <v/>
      </c>
    </row>
    <row r="3280" spans="2:21" ht="17.25">
      <c r="B3280" s="156"/>
      <c r="C3280" s="156"/>
      <c r="D3280" s="157"/>
      <c r="E3280" s="155"/>
      <c r="F3280" s="151"/>
      <c r="G3280" s="152"/>
      <c r="H3280" s="153"/>
      <c r="I3280" s="154"/>
      <c r="J3280" s="154"/>
      <c r="K3280" s="30" t="str">
        <f>IF(H3280="","",IF($C$30="간이법","",FPR(H3280,I3280,J3280)))</f>
        <v/>
      </c>
      <c r="L3280" s="30" t="str">
        <f>IF(H3280="","",IF($C$30="상세법",FPV(H3280,K3280),IF(H3280="EI",4,IF(H3280="EO",5.2,IF(H3280="EQ",3.9,IF(H3280="ILF",7.5,IF(H3280="EIF",5.4)))))))</f>
        <v/>
      </c>
      <c r="M3280" s="30" t="str">
        <f t="shared" si="352"/>
        <v/>
      </c>
      <c r="N3280" s="134"/>
      <c r="O3280" s="29"/>
      <c r="P3280" s="37" t="str">
        <f t="shared" si="353"/>
        <v/>
      </c>
      <c r="Q3280" s="38" t="str">
        <f t="shared" si="354"/>
        <v/>
      </c>
      <c r="R3280" s="37" t="str">
        <f t="shared" si="355"/>
        <v/>
      </c>
      <c r="S3280" s="37" t="str">
        <f t="shared" si="356"/>
        <v/>
      </c>
      <c r="T3280" s="38" t="str">
        <f t="shared" si="357"/>
        <v/>
      </c>
      <c r="U3280" s="37" t="str">
        <f t="shared" si="358"/>
        <v/>
      </c>
    </row>
    <row r="3281" spans="2:21" ht="17.25">
      <c r="B3281" s="156"/>
      <c r="C3281" s="156"/>
      <c r="D3281" s="157"/>
      <c r="E3281" s="155"/>
      <c r="F3281" s="151"/>
      <c r="G3281" s="152"/>
      <c r="H3281" s="153"/>
      <c r="I3281" s="154"/>
      <c r="J3281" s="154"/>
      <c r="K3281" s="30" t="str">
        <f>IF(H3281="","",IF($C$30="간이법","",FPR(H3281,I3281,J3281)))</f>
        <v/>
      </c>
      <c r="L3281" s="30" t="str">
        <f>IF(H3281="","",IF($C$30="상세법",FPV(H3281,K3281),IF(H3281="EI",4,IF(H3281="EO",5.2,IF(H3281="EQ",3.9,IF(H3281="ILF",7.5,IF(H3281="EIF",5.4)))))))</f>
        <v/>
      </c>
      <c r="M3281" s="30" t="str">
        <f t="shared" si="352"/>
        <v/>
      </c>
      <c r="N3281" s="134"/>
      <c r="O3281" s="29"/>
      <c r="P3281" s="37" t="str">
        <f t="shared" si="353"/>
        <v/>
      </c>
      <c r="Q3281" s="38" t="str">
        <f t="shared" si="354"/>
        <v/>
      </c>
      <c r="R3281" s="37" t="str">
        <f t="shared" si="355"/>
        <v/>
      </c>
      <c r="S3281" s="37" t="str">
        <f t="shared" si="356"/>
        <v/>
      </c>
      <c r="T3281" s="38" t="str">
        <f t="shared" si="357"/>
        <v/>
      </c>
      <c r="U3281" s="37" t="str">
        <f t="shared" si="358"/>
        <v/>
      </c>
    </row>
    <row r="3282" spans="2:21" ht="17.25">
      <c r="B3282" s="156"/>
      <c r="C3282" s="156"/>
      <c r="D3282" s="157"/>
      <c r="E3282" s="155"/>
      <c r="F3282" s="151"/>
      <c r="G3282" s="152"/>
      <c r="H3282" s="153"/>
      <c r="I3282" s="154"/>
      <c r="J3282" s="154"/>
      <c r="K3282" s="30" t="str">
        <f>IF(H3282="","",IF($C$30="간이법","",FPR(H3282,I3282,J3282)))</f>
        <v/>
      </c>
      <c r="L3282" s="30" t="str">
        <f>IF(H3282="","",IF($C$30="상세법",FPV(H3282,K3282),IF(H3282="EI",4,IF(H3282="EO",5.2,IF(H3282="EQ",3.9,IF(H3282="ILF",7.5,IF(H3282="EIF",5.4)))))))</f>
        <v/>
      </c>
      <c r="M3282" s="30" t="str">
        <f t="shared" si="352"/>
        <v/>
      </c>
      <c r="N3282" s="134"/>
      <c r="O3282" s="29"/>
      <c r="P3282" s="37" t="str">
        <f t="shared" si="353"/>
        <v/>
      </c>
      <c r="Q3282" s="38" t="str">
        <f t="shared" si="354"/>
        <v/>
      </c>
      <c r="R3282" s="37" t="str">
        <f t="shared" si="355"/>
        <v/>
      </c>
      <c r="S3282" s="37" t="str">
        <f t="shared" si="356"/>
        <v/>
      </c>
      <c r="T3282" s="38" t="str">
        <f t="shared" si="357"/>
        <v/>
      </c>
      <c r="U3282" s="37" t="str">
        <f t="shared" si="358"/>
        <v/>
      </c>
    </row>
    <row r="3283" spans="2:21" ht="17.25">
      <c r="B3283" s="156"/>
      <c r="C3283" s="156"/>
      <c r="D3283" s="157"/>
      <c r="E3283" s="155"/>
      <c r="F3283" s="151"/>
      <c r="G3283" s="152"/>
      <c r="H3283" s="153"/>
      <c r="I3283" s="154"/>
      <c r="J3283" s="154"/>
      <c r="K3283" s="30" t="str">
        <f>IF(H3283="","",IF($C$30="간이법","",FPR(H3283,I3283,J3283)))</f>
        <v/>
      </c>
      <c r="L3283" s="30" t="str">
        <f>IF(H3283="","",IF($C$30="상세법",FPV(H3283,K3283),IF(H3283="EI",4,IF(H3283="EO",5.2,IF(H3283="EQ",3.9,IF(H3283="ILF",7.5,IF(H3283="EIF",5.4)))))))</f>
        <v/>
      </c>
      <c r="M3283" s="30" t="str">
        <f t="shared" si="352"/>
        <v/>
      </c>
      <c r="N3283" s="134"/>
      <c r="O3283" s="29"/>
      <c r="P3283" s="37" t="str">
        <f t="shared" si="353"/>
        <v/>
      </c>
      <c r="Q3283" s="38" t="str">
        <f t="shared" si="354"/>
        <v/>
      </c>
      <c r="R3283" s="37" t="str">
        <f t="shared" si="355"/>
        <v/>
      </c>
      <c r="S3283" s="37" t="str">
        <f t="shared" si="356"/>
        <v/>
      </c>
      <c r="T3283" s="38" t="str">
        <f t="shared" si="357"/>
        <v/>
      </c>
      <c r="U3283" s="37" t="str">
        <f t="shared" si="358"/>
        <v/>
      </c>
    </row>
    <row r="3284" spans="2:21" ht="17.25">
      <c r="B3284" s="156"/>
      <c r="C3284" s="156"/>
      <c r="D3284" s="157"/>
      <c r="E3284" s="155"/>
      <c r="F3284" s="151"/>
      <c r="G3284" s="152"/>
      <c r="H3284" s="153"/>
      <c r="I3284" s="154"/>
      <c r="J3284" s="154"/>
      <c r="K3284" s="30" t="str">
        <f>IF(H3284="","",IF($C$30="간이법","",FPR(H3284,I3284,J3284)))</f>
        <v/>
      </c>
      <c r="L3284" s="30" t="str">
        <f>IF(H3284="","",IF($C$30="상세법",FPV(H3284,K3284),IF(H3284="EI",4,IF(H3284="EO",5.2,IF(H3284="EQ",3.9,IF(H3284="ILF",7.5,IF(H3284="EIF",5.4)))))))</f>
        <v/>
      </c>
      <c r="M3284" s="30" t="str">
        <f t="shared" si="352"/>
        <v/>
      </c>
      <c r="N3284" s="134"/>
      <c r="O3284" s="29"/>
      <c r="P3284" s="37" t="str">
        <f t="shared" si="353"/>
        <v/>
      </c>
      <c r="Q3284" s="38" t="str">
        <f t="shared" si="354"/>
        <v/>
      </c>
      <c r="R3284" s="37" t="str">
        <f t="shared" si="355"/>
        <v/>
      </c>
      <c r="S3284" s="37" t="str">
        <f t="shared" si="356"/>
        <v/>
      </c>
      <c r="T3284" s="38" t="str">
        <f t="shared" si="357"/>
        <v/>
      </c>
      <c r="U3284" s="37" t="str">
        <f t="shared" si="358"/>
        <v/>
      </c>
    </row>
    <row r="3285" spans="2:21" ht="17.25">
      <c r="B3285" s="156"/>
      <c r="C3285" s="156"/>
      <c r="D3285" s="157"/>
      <c r="E3285" s="155"/>
      <c r="F3285" s="151"/>
      <c r="G3285" s="152"/>
      <c r="H3285" s="153"/>
      <c r="I3285" s="154"/>
      <c r="J3285" s="154"/>
      <c r="K3285" s="30" t="str">
        <f>IF(H3285="","",IF($C$30="간이법","",FPR(H3285,I3285,J3285)))</f>
        <v/>
      </c>
      <c r="L3285" s="30" t="str">
        <f>IF(H3285="","",IF($C$30="상세법",FPV(H3285,K3285),IF(H3285="EI",4,IF(H3285="EO",5.2,IF(H3285="EQ",3.9,IF(H3285="ILF",7.5,IF(H3285="EIF",5.4)))))))</f>
        <v/>
      </c>
      <c r="M3285" s="30" t="str">
        <f t="shared" si="352"/>
        <v/>
      </c>
      <c r="N3285" s="134"/>
      <c r="O3285" s="29"/>
      <c r="P3285" s="37" t="str">
        <f t="shared" si="353"/>
        <v/>
      </c>
      <c r="Q3285" s="38" t="str">
        <f t="shared" si="354"/>
        <v/>
      </c>
      <c r="R3285" s="37" t="str">
        <f t="shared" si="355"/>
        <v/>
      </c>
      <c r="S3285" s="37" t="str">
        <f t="shared" si="356"/>
        <v/>
      </c>
      <c r="T3285" s="38" t="str">
        <f t="shared" si="357"/>
        <v/>
      </c>
      <c r="U3285" s="37" t="str">
        <f t="shared" si="358"/>
        <v/>
      </c>
    </row>
    <row r="3286" spans="2:21" ht="17.25">
      <c r="B3286" s="156"/>
      <c r="C3286" s="156"/>
      <c r="D3286" s="157"/>
      <c r="E3286" s="155"/>
      <c r="F3286" s="151"/>
      <c r="G3286" s="152"/>
      <c r="H3286" s="153"/>
      <c r="I3286" s="154"/>
      <c r="J3286" s="154"/>
      <c r="K3286" s="30" t="str">
        <f>IF(H3286="","",IF($C$30="간이법","",FPR(H3286,I3286,J3286)))</f>
        <v/>
      </c>
      <c r="L3286" s="30" t="str">
        <f>IF(H3286="","",IF($C$30="상세법",FPV(H3286,K3286),IF(H3286="EI",4,IF(H3286="EO",5.2,IF(H3286="EQ",3.9,IF(H3286="ILF",7.5,IF(H3286="EIF",5.4)))))))</f>
        <v/>
      </c>
      <c r="M3286" s="30" t="str">
        <f t="shared" si="352"/>
        <v/>
      </c>
      <c r="N3286" s="134"/>
      <c r="O3286" s="29"/>
      <c r="P3286" s="37" t="str">
        <f t="shared" si="353"/>
        <v/>
      </c>
      <c r="Q3286" s="38" t="str">
        <f t="shared" si="354"/>
        <v/>
      </c>
      <c r="R3286" s="37" t="str">
        <f t="shared" si="355"/>
        <v/>
      </c>
      <c r="S3286" s="37" t="str">
        <f t="shared" si="356"/>
        <v/>
      </c>
      <c r="T3286" s="38" t="str">
        <f t="shared" si="357"/>
        <v/>
      </c>
      <c r="U3286" s="37" t="str">
        <f t="shared" si="358"/>
        <v/>
      </c>
    </row>
    <row r="3287" spans="2:21" ht="17.25">
      <c r="B3287" s="156"/>
      <c r="C3287" s="156"/>
      <c r="D3287" s="157"/>
      <c r="E3287" s="155"/>
      <c r="F3287" s="151"/>
      <c r="G3287" s="152"/>
      <c r="H3287" s="153"/>
      <c r="I3287" s="154"/>
      <c r="J3287" s="154"/>
      <c r="K3287" s="30" t="str">
        <f>IF(H3287="","",IF($C$30="간이법","",FPR(H3287,I3287,J3287)))</f>
        <v/>
      </c>
      <c r="L3287" s="30" t="str">
        <f>IF(H3287="","",IF($C$30="상세법",FPV(H3287,K3287),IF(H3287="EI",4,IF(H3287="EO",5.2,IF(H3287="EQ",3.9,IF(H3287="ILF",7.5,IF(H3287="EIF",5.4)))))))</f>
        <v/>
      </c>
      <c r="M3287" s="30" t="str">
        <f t="shared" si="352"/>
        <v/>
      </c>
      <c r="N3287" s="134"/>
      <c r="O3287" s="29"/>
      <c r="P3287" s="37" t="str">
        <f t="shared" si="353"/>
        <v/>
      </c>
      <c r="Q3287" s="38" t="str">
        <f t="shared" si="354"/>
        <v/>
      </c>
      <c r="R3287" s="37" t="str">
        <f t="shared" si="355"/>
        <v/>
      </c>
      <c r="S3287" s="37" t="str">
        <f t="shared" si="356"/>
        <v/>
      </c>
      <c r="T3287" s="38" t="str">
        <f t="shared" si="357"/>
        <v/>
      </c>
      <c r="U3287" s="37" t="str">
        <f t="shared" si="358"/>
        <v/>
      </c>
    </row>
    <row r="3288" spans="2:21" ht="17.25">
      <c r="B3288" s="156"/>
      <c r="C3288" s="156"/>
      <c r="D3288" s="157"/>
      <c r="E3288" s="155"/>
      <c r="F3288" s="151"/>
      <c r="G3288" s="152"/>
      <c r="H3288" s="153"/>
      <c r="I3288" s="154"/>
      <c r="J3288" s="154"/>
      <c r="K3288" s="30" t="str">
        <f>IF(H3288="","",IF($C$30="간이법","",FPR(H3288,I3288,J3288)))</f>
        <v/>
      </c>
      <c r="L3288" s="30" t="str">
        <f>IF(H3288="","",IF($C$30="상세법",FPV(H3288,K3288),IF(H3288="EI",4,IF(H3288="EO",5.2,IF(H3288="EQ",3.9,IF(H3288="ILF",7.5,IF(H3288="EIF",5.4)))))))</f>
        <v/>
      </c>
      <c r="M3288" s="30" t="str">
        <f t="shared" si="352"/>
        <v/>
      </c>
      <c r="N3288" s="134"/>
      <c r="O3288" s="29"/>
      <c r="P3288" s="37" t="str">
        <f t="shared" si="353"/>
        <v/>
      </c>
      <c r="Q3288" s="38" t="str">
        <f t="shared" si="354"/>
        <v/>
      </c>
      <c r="R3288" s="37" t="str">
        <f t="shared" si="355"/>
        <v/>
      </c>
      <c r="S3288" s="37" t="str">
        <f t="shared" si="356"/>
        <v/>
      </c>
      <c r="T3288" s="38" t="str">
        <f t="shared" si="357"/>
        <v/>
      </c>
      <c r="U3288" s="37" t="str">
        <f t="shared" si="358"/>
        <v/>
      </c>
    </row>
    <row r="3289" spans="2:21" ht="17.25">
      <c r="B3289" s="156"/>
      <c r="C3289" s="156"/>
      <c r="D3289" s="157"/>
      <c r="E3289" s="155"/>
      <c r="F3289" s="151"/>
      <c r="G3289" s="152"/>
      <c r="H3289" s="153"/>
      <c r="I3289" s="154"/>
      <c r="J3289" s="154"/>
      <c r="K3289" s="30" t="str">
        <f>IF(H3289="","",IF($C$30="간이법","",FPR(H3289,I3289,J3289)))</f>
        <v/>
      </c>
      <c r="L3289" s="30" t="str">
        <f>IF(H3289="","",IF($C$30="상세법",FPV(H3289,K3289),IF(H3289="EI",4,IF(H3289="EO",5.2,IF(H3289="EQ",3.9,IF(H3289="ILF",7.5,IF(H3289="EIF",5.4)))))))</f>
        <v/>
      </c>
      <c r="M3289" s="30" t="str">
        <f t="shared" si="352"/>
        <v/>
      </c>
      <c r="N3289" s="134"/>
      <c r="O3289" s="29"/>
      <c r="P3289" s="37" t="str">
        <f t="shared" si="353"/>
        <v/>
      </c>
      <c r="Q3289" s="38" t="str">
        <f t="shared" si="354"/>
        <v/>
      </c>
      <c r="R3289" s="37" t="str">
        <f t="shared" si="355"/>
        <v/>
      </c>
      <c r="S3289" s="37" t="str">
        <f t="shared" si="356"/>
        <v/>
      </c>
      <c r="T3289" s="38" t="str">
        <f t="shared" si="357"/>
        <v/>
      </c>
      <c r="U3289" s="37" t="str">
        <f t="shared" si="358"/>
        <v/>
      </c>
    </row>
    <row r="3290" spans="2:21" ht="17.25">
      <c r="B3290" s="156"/>
      <c r="C3290" s="156"/>
      <c r="D3290" s="157"/>
      <c r="E3290" s="155"/>
      <c r="F3290" s="151"/>
      <c r="G3290" s="152"/>
      <c r="H3290" s="153"/>
      <c r="I3290" s="154"/>
      <c r="J3290" s="154"/>
      <c r="K3290" s="30" t="str">
        <f>IF(H3290="","",IF($C$30="간이법","",FPR(H3290,I3290,J3290)))</f>
        <v/>
      </c>
      <c r="L3290" s="30" t="str">
        <f>IF(H3290="","",IF($C$30="상세법",FPV(H3290,K3290),IF(H3290="EI",4,IF(H3290="EO",5.2,IF(H3290="EQ",3.9,IF(H3290="ILF",7.5,IF(H3290="EIF",5.4)))))))</f>
        <v/>
      </c>
      <c r="M3290" s="30" t="str">
        <f t="shared" si="352"/>
        <v/>
      </c>
      <c r="N3290" s="134"/>
      <c r="O3290" s="29"/>
      <c r="P3290" s="37" t="str">
        <f t="shared" si="353"/>
        <v/>
      </c>
      <c r="Q3290" s="38" t="str">
        <f t="shared" si="354"/>
        <v/>
      </c>
      <c r="R3290" s="37" t="str">
        <f t="shared" si="355"/>
        <v/>
      </c>
      <c r="S3290" s="37" t="str">
        <f t="shared" si="356"/>
        <v/>
      </c>
      <c r="T3290" s="38" t="str">
        <f t="shared" si="357"/>
        <v/>
      </c>
      <c r="U3290" s="37" t="str">
        <f t="shared" si="358"/>
        <v/>
      </c>
    </row>
    <row r="3291" spans="2:21" ht="17.25">
      <c r="B3291" s="156"/>
      <c r="C3291" s="156"/>
      <c r="D3291" s="157"/>
      <c r="E3291" s="155"/>
      <c r="F3291" s="151"/>
      <c r="G3291" s="152"/>
      <c r="H3291" s="153"/>
      <c r="I3291" s="154"/>
      <c r="J3291" s="154"/>
      <c r="K3291" s="30" t="str">
        <f>IF(H3291="","",IF($C$30="간이법","",FPR(H3291,I3291,J3291)))</f>
        <v/>
      </c>
      <c r="L3291" s="30" t="str">
        <f>IF(H3291="","",IF($C$30="상세법",FPV(H3291,K3291),IF(H3291="EI",4,IF(H3291="EO",5.2,IF(H3291="EQ",3.9,IF(H3291="ILF",7.5,IF(H3291="EIF",5.4)))))))</f>
        <v/>
      </c>
      <c r="M3291" s="30" t="str">
        <f t="shared" si="352"/>
        <v/>
      </c>
      <c r="N3291" s="134"/>
      <c r="O3291" s="29"/>
      <c r="P3291" s="37" t="str">
        <f t="shared" si="353"/>
        <v/>
      </c>
      <c r="Q3291" s="38" t="str">
        <f t="shared" si="354"/>
        <v/>
      </c>
      <c r="R3291" s="37" t="str">
        <f t="shared" si="355"/>
        <v/>
      </c>
      <c r="S3291" s="37" t="str">
        <f t="shared" si="356"/>
        <v/>
      </c>
      <c r="T3291" s="38" t="str">
        <f t="shared" si="357"/>
        <v/>
      </c>
      <c r="U3291" s="37" t="str">
        <f t="shared" si="358"/>
        <v/>
      </c>
    </row>
    <row r="3292" spans="2:21" ht="17.25">
      <c r="B3292" s="156"/>
      <c r="C3292" s="156"/>
      <c r="D3292" s="157"/>
      <c r="E3292" s="155"/>
      <c r="F3292" s="151"/>
      <c r="G3292" s="152"/>
      <c r="H3292" s="153"/>
      <c r="I3292" s="154"/>
      <c r="J3292" s="154"/>
      <c r="K3292" s="30" t="str">
        <f>IF(H3292="","",IF($C$30="간이법","",FPR(H3292,I3292,J3292)))</f>
        <v/>
      </c>
      <c r="L3292" s="30" t="str">
        <f>IF(H3292="","",IF($C$30="상세법",FPV(H3292,K3292),IF(H3292="EI",4,IF(H3292="EO",5.2,IF(H3292="EQ",3.9,IF(H3292="ILF",7.5,IF(H3292="EIF",5.4)))))))</f>
        <v/>
      </c>
      <c r="M3292" s="30" t="str">
        <f t="shared" si="352"/>
        <v/>
      </c>
      <c r="N3292" s="134"/>
      <c r="O3292" s="29"/>
      <c r="P3292" s="37" t="str">
        <f t="shared" si="353"/>
        <v/>
      </c>
      <c r="Q3292" s="38" t="str">
        <f t="shared" si="354"/>
        <v/>
      </c>
      <c r="R3292" s="37" t="str">
        <f t="shared" si="355"/>
        <v/>
      </c>
      <c r="S3292" s="37" t="str">
        <f t="shared" si="356"/>
        <v/>
      </c>
      <c r="T3292" s="38" t="str">
        <f t="shared" si="357"/>
        <v/>
      </c>
      <c r="U3292" s="37" t="str">
        <f t="shared" si="358"/>
        <v/>
      </c>
    </row>
    <row r="3293" spans="2:21" ht="17.25">
      <c r="B3293" s="156"/>
      <c r="C3293" s="156"/>
      <c r="D3293" s="157"/>
      <c r="E3293" s="155"/>
      <c r="F3293" s="151"/>
      <c r="G3293" s="152"/>
      <c r="H3293" s="153"/>
      <c r="I3293" s="154"/>
      <c r="J3293" s="154"/>
      <c r="K3293" s="30" t="str">
        <f>IF(H3293="","",IF($C$30="간이법","",FPR(H3293,I3293,J3293)))</f>
        <v/>
      </c>
      <c r="L3293" s="30" t="str">
        <f>IF(H3293="","",IF($C$30="상세법",FPV(H3293,K3293),IF(H3293="EI",4,IF(H3293="EO",5.2,IF(H3293="EQ",3.9,IF(H3293="ILF",7.5,IF(H3293="EIF",5.4)))))))</f>
        <v/>
      </c>
      <c r="M3293" s="30" t="str">
        <f t="shared" si="352"/>
        <v/>
      </c>
      <c r="N3293" s="134"/>
      <c r="O3293" s="29"/>
      <c r="P3293" s="37" t="str">
        <f t="shared" si="353"/>
        <v/>
      </c>
      <c r="Q3293" s="38" t="str">
        <f t="shared" si="354"/>
        <v/>
      </c>
      <c r="R3293" s="37" t="str">
        <f t="shared" si="355"/>
        <v/>
      </c>
      <c r="S3293" s="37" t="str">
        <f t="shared" si="356"/>
        <v/>
      </c>
      <c r="T3293" s="38" t="str">
        <f t="shared" si="357"/>
        <v/>
      </c>
      <c r="U3293" s="37" t="str">
        <f t="shared" si="358"/>
        <v/>
      </c>
    </row>
    <row r="3294" spans="2:21" ht="17.25">
      <c r="B3294" s="156"/>
      <c r="C3294" s="156"/>
      <c r="D3294" s="157"/>
      <c r="E3294" s="155"/>
      <c r="F3294" s="151"/>
      <c r="G3294" s="152"/>
      <c r="H3294" s="153"/>
      <c r="I3294" s="154"/>
      <c r="J3294" s="154"/>
      <c r="K3294" s="30" t="str">
        <f>IF(H3294="","",IF($C$30="간이법","",FPR(H3294,I3294,J3294)))</f>
        <v/>
      </c>
      <c r="L3294" s="30" t="str">
        <f>IF(H3294="","",IF($C$30="상세법",FPV(H3294,K3294),IF(H3294="EI",4,IF(H3294="EO",5.2,IF(H3294="EQ",3.9,IF(H3294="ILF",7.5,IF(H3294="EIF",5.4)))))))</f>
        <v/>
      </c>
      <c r="M3294" s="30" t="str">
        <f t="shared" si="352"/>
        <v/>
      </c>
      <c r="N3294" s="134"/>
      <c r="O3294" s="29"/>
      <c r="P3294" s="37" t="str">
        <f t="shared" si="353"/>
        <v/>
      </c>
      <c r="Q3294" s="38" t="str">
        <f t="shared" si="354"/>
        <v/>
      </c>
      <c r="R3294" s="37" t="str">
        <f t="shared" si="355"/>
        <v/>
      </c>
      <c r="S3294" s="37" t="str">
        <f t="shared" si="356"/>
        <v/>
      </c>
      <c r="T3294" s="38" t="str">
        <f t="shared" si="357"/>
        <v/>
      </c>
      <c r="U3294" s="37" t="str">
        <f t="shared" si="358"/>
        <v/>
      </c>
    </row>
    <row r="3295" spans="2:21" ht="17.25">
      <c r="B3295" s="156"/>
      <c r="C3295" s="156"/>
      <c r="D3295" s="157"/>
      <c r="E3295" s="155"/>
      <c r="F3295" s="151"/>
      <c r="G3295" s="152"/>
      <c r="H3295" s="153"/>
      <c r="I3295" s="154"/>
      <c r="J3295" s="154"/>
      <c r="K3295" s="30" t="str">
        <f>IF(H3295="","",IF($C$30="간이법","",FPR(H3295,I3295,J3295)))</f>
        <v/>
      </c>
      <c r="L3295" s="30" t="str">
        <f>IF(H3295="","",IF($C$30="상세법",FPV(H3295,K3295),IF(H3295="EI",4,IF(H3295="EO",5.2,IF(H3295="EQ",3.9,IF(H3295="ILF",7.5,IF(H3295="EIF",5.4)))))))</f>
        <v/>
      </c>
      <c r="M3295" s="30" t="str">
        <f t="shared" si="352"/>
        <v/>
      </c>
      <c r="N3295" s="134"/>
      <c r="O3295" s="29"/>
      <c r="P3295" s="37" t="str">
        <f t="shared" si="353"/>
        <v/>
      </c>
      <c r="Q3295" s="38" t="str">
        <f t="shared" si="354"/>
        <v/>
      </c>
      <c r="R3295" s="37" t="str">
        <f t="shared" si="355"/>
        <v/>
      </c>
      <c r="S3295" s="37" t="str">
        <f t="shared" si="356"/>
        <v/>
      </c>
      <c r="T3295" s="38" t="str">
        <f t="shared" si="357"/>
        <v/>
      </c>
      <c r="U3295" s="37" t="str">
        <f t="shared" si="358"/>
        <v/>
      </c>
    </row>
    <row r="3296" spans="2:21" ht="17.25">
      <c r="B3296" s="156"/>
      <c r="C3296" s="156"/>
      <c r="D3296" s="157"/>
      <c r="E3296" s="155"/>
      <c r="F3296" s="151"/>
      <c r="G3296" s="152"/>
      <c r="H3296" s="153"/>
      <c r="I3296" s="154"/>
      <c r="J3296" s="154"/>
      <c r="K3296" s="30" t="str">
        <f>IF(H3296="","",IF($C$30="간이법","",FPR(H3296,I3296,J3296)))</f>
        <v/>
      </c>
      <c r="L3296" s="30" t="str">
        <f>IF(H3296="","",IF($C$30="상세법",FPV(H3296,K3296),IF(H3296="EI",4,IF(H3296="EO",5.2,IF(H3296="EQ",3.9,IF(H3296="ILF",7.5,IF(H3296="EIF",5.4)))))))</f>
        <v/>
      </c>
      <c r="M3296" s="30" t="str">
        <f t="shared" si="352"/>
        <v/>
      </c>
      <c r="N3296" s="134"/>
      <c r="O3296" s="29"/>
      <c r="P3296" s="37" t="str">
        <f t="shared" si="353"/>
        <v/>
      </c>
      <c r="Q3296" s="38" t="str">
        <f t="shared" si="354"/>
        <v/>
      </c>
      <c r="R3296" s="37" t="str">
        <f t="shared" si="355"/>
        <v/>
      </c>
      <c r="S3296" s="37" t="str">
        <f t="shared" si="356"/>
        <v/>
      </c>
      <c r="T3296" s="38" t="str">
        <f t="shared" si="357"/>
        <v/>
      </c>
      <c r="U3296" s="37" t="str">
        <f t="shared" si="358"/>
        <v/>
      </c>
    </row>
    <row r="3297" spans="2:21" ht="17.25">
      <c r="B3297" s="156"/>
      <c r="C3297" s="156"/>
      <c r="D3297" s="157"/>
      <c r="E3297" s="155"/>
      <c r="F3297" s="151"/>
      <c r="G3297" s="152"/>
      <c r="H3297" s="153"/>
      <c r="I3297" s="154"/>
      <c r="J3297" s="154"/>
      <c r="K3297" s="30" t="str">
        <f>IF(H3297="","",IF($C$30="간이법","",FPR(H3297,I3297,J3297)))</f>
        <v/>
      </c>
      <c r="L3297" s="30" t="str">
        <f>IF(H3297="","",IF($C$30="상세법",FPV(H3297,K3297),IF(H3297="EI",4,IF(H3297="EO",5.2,IF(H3297="EQ",3.9,IF(H3297="ILF",7.5,IF(H3297="EIF",5.4)))))))</f>
        <v/>
      </c>
      <c r="M3297" s="30" t="str">
        <f t="shared" si="352"/>
        <v/>
      </c>
      <c r="N3297" s="134"/>
      <c r="O3297" s="29"/>
      <c r="P3297" s="37" t="str">
        <f t="shared" si="353"/>
        <v/>
      </c>
      <c r="Q3297" s="38" t="str">
        <f t="shared" si="354"/>
        <v/>
      </c>
      <c r="R3297" s="37" t="str">
        <f t="shared" si="355"/>
        <v/>
      </c>
      <c r="S3297" s="37" t="str">
        <f t="shared" si="356"/>
        <v/>
      </c>
      <c r="T3297" s="38" t="str">
        <f t="shared" si="357"/>
        <v/>
      </c>
      <c r="U3297" s="37" t="str">
        <f t="shared" si="358"/>
        <v/>
      </c>
    </row>
    <row r="3298" spans="2:21" ht="17.25">
      <c r="B3298" s="156"/>
      <c r="C3298" s="156"/>
      <c r="D3298" s="157"/>
      <c r="E3298" s="155"/>
      <c r="F3298" s="151"/>
      <c r="G3298" s="152"/>
      <c r="H3298" s="153"/>
      <c r="I3298" s="154"/>
      <c r="J3298" s="154"/>
      <c r="K3298" s="30" t="str">
        <f>IF(H3298="","",IF($C$30="간이법","",FPR(H3298,I3298,J3298)))</f>
        <v/>
      </c>
      <c r="L3298" s="30" t="str">
        <f>IF(H3298="","",IF($C$30="상세법",FPV(H3298,K3298),IF(H3298="EI",4,IF(H3298="EO",5.2,IF(H3298="EQ",3.9,IF(H3298="ILF",7.5,IF(H3298="EIF",5.4)))))))</f>
        <v/>
      </c>
      <c r="M3298" s="30" t="str">
        <f t="shared" si="352"/>
        <v/>
      </c>
      <c r="N3298" s="134"/>
      <c r="O3298" s="29"/>
      <c r="P3298" s="37" t="str">
        <f t="shared" si="353"/>
        <v/>
      </c>
      <c r="Q3298" s="38" t="str">
        <f t="shared" si="354"/>
        <v/>
      </c>
      <c r="R3298" s="37" t="str">
        <f t="shared" si="355"/>
        <v/>
      </c>
      <c r="S3298" s="37" t="str">
        <f t="shared" si="356"/>
        <v/>
      </c>
      <c r="T3298" s="38" t="str">
        <f t="shared" si="357"/>
        <v/>
      </c>
      <c r="U3298" s="37" t="str">
        <f t="shared" si="358"/>
        <v/>
      </c>
    </row>
    <row r="3299" spans="2:21" ht="17.25">
      <c r="B3299" s="156"/>
      <c r="C3299" s="156"/>
      <c r="D3299" s="157"/>
      <c r="E3299" s="155"/>
      <c r="F3299" s="151"/>
      <c r="G3299" s="152"/>
      <c r="H3299" s="153"/>
      <c r="I3299" s="154"/>
      <c r="J3299" s="154"/>
      <c r="K3299" s="30" t="str">
        <f>IF(H3299="","",IF($C$30="간이법","",FPR(H3299,I3299,J3299)))</f>
        <v/>
      </c>
      <c r="L3299" s="30" t="str">
        <f>IF(H3299="","",IF($C$30="상세법",FPV(H3299,K3299),IF(H3299="EI",4,IF(H3299="EO",5.2,IF(H3299="EQ",3.9,IF(H3299="ILF",7.5,IF(H3299="EIF",5.4)))))))</f>
        <v/>
      </c>
      <c r="M3299" s="30" t="str">
        <f t="shared" si="352"/>
        <v/>
      </c>
      <c r="N3299" s="134"/>
      <c r="O3299" s="29"/>
      <c r="P3299" s="37" t="str">
        <f t="shared" si="353"/>
        <v/>
      </c>
      <c r="Q3299" s="38" t="str">
        <f t="shared" si="354"/>
        <v/>
      </c>
      <c r="R3299" s="37" t="str">
        <f t="shared" si="355"/>
        <v/>
      </c>
      <c r="S3299" s="37" t="str">
        <f t="shared" si="356"/>
        <v/>
      </c>
      <c r="T3299" s="38" t="str">
        <f t="shared" si="357"/>
        <v/>
      </c>
      <c r="U3299" s="37" t="str">
        <f t="shared" si="358"/>
        <v/>
      </c>
    </row>
    <row r="3300" spans="2:21" ht="17.25">
      <c r="B3300" s="156"/>
      <c r="C3300" s="156"/>
      <c r="D3300" s="157"/>
      <c r="E3300" s="155"/>
      <c r="F3300" s="151"/>
      <c r="G3300" s="152"/>
      <c r="H3300" s="153"/>
      <c r="I3300" s="154"/>
      <c r="J3300" s="154"/>
      <c r="K3300" s="30" t="str">
        <f>IF(H3300="","",IF($C$30="간이법","",FPR(H3300,I3300,J3300)))</f>
        <v/>
      </c>
      <c r="L3300" s="30" t="str">
        <f>IF(H3300="","",IF($C$30="상세법",FPV(H3300,K3300),IF(H3300="EI",4,IF(H3300="EO",5.2,IF(H3300="EQ",3.9,IF(H3300="ILF",7.5,IF(H3300="EIF",5.4)))))))</f>
        <v/>
      </c>
      <c r="M3300" s="30" t="str">
        <f t="shared" si="352"/>
        <v/>
      </c>
      <c r="N3300" s="134"/>
      <c r="O3300" s="29"/>
      <c r="P3300" s="37" t="str">
        <f t="shared" si="353"/>
        <v/>
      </c>
      <c r="Q3300" s="38" t="str">
        <f t="shared" si="354"/>
        <v/>
      </c>
      <c r="R3300" s="37" t="str">
        <f t="shared" si="355"/>
        <v/>
      </c>
      <c r="S3300" s="37" t="str">
        <f t="shared" si="356"/>
        <v/>
      </c>
      <c r="T3300" s="38" t="str">
        <f t="shared" si="357"/>
        <v/>
      </c>
      <c r="U3300" s="37" t="str">
        <f t="shared" si="358"/>
        <v/>
      </c>
    </row>
    <row r="3301" spans="2:21" ht="17.25">
      <c r="B3301" s="156"/>
      <c r="C3301" s="156"/>
      <c r="D3301" s="157"/>
      <c r="E3301" s="155"/>
      <c r="F3301" s="151"/>
      <c r="G3301" s="152"/>
      <c r="H3301" s="153"/>
      <c r="I3301" s="154"/>
      <c r="J3301" s="154"/>
      <c r="K3301" s="30" t="str">
        <f>IF(H3301="","",IF($C$30="간이법","",FPR(H3301,I3301,J3301)))</f>
        <v/>
      </c>
      <c r="L3301" s="30" t="str">
        <f>IF(H3301="","",IF($C$30="상세법",FPV(H3301,K3301),IF(H3301="EI",4,IF(H3301="EO",5.2,IF(H3301="EQ",3.9,IF(H3301="ILF",7.5,IF(H3301="EIF",5.4)))))))</f>
        <v/>
      </c>
      <c r="M3301" s="30" t="str">
        <f t="shared" si="352"/>
        <v/>
      </c>
      <c r="N3301" s="134"/>
      <c r="O3301" s="29"/>
      <c r="P3301" s="37" t="str">
        <f t="shared" si="353"/>
        <v/>
      </c>
      <c r="Q3301" s="38" t="str">
        <f t="shared" si="354"/>
        <v/>
      </c>
      <c r="R3301" s="37" t="str">
        <f t="shared" si="355"/>
        <v/>
      </c>
      <c r="S3301" s="37" t="str">
        <f t="shared" si="356"/>
        <v/>
      </c>
      <c r="T3301" s="38" t="str">
        <f t="shared" si="357"/>
        <v/>
      </c>
      <c r="U3301" s="37" t="str">
        <f t="shared" si="358"/>
        <v/>
      </c>
    </row>
    <row r="3302" spans="2:21" ht="17.25">
      <c r="B3302" s="156"/>
      <c r="C3302" s="156"/>
      <c r="D3302" s="157"/>
      <c r="E3302" s="155"/>
      <c r="F3302" s="151"/>
      <c r="G3302" s="152"/>
      <c r="H3302" s="153"/>
      <c r="I3302" s="154"/>
      <c r="J3302" s="154"/>
      <c r="K3302" s="30" t="str">
        <f>IF(H3302="","",IF($C$30="간이법","",FPR(H3302,I3302,J3302)))</f>
        <v/>
      </c>
      <c r="L3302" s="30" t="str">
        <f>IF(H3302="","",IF($C$30="상세법",FPV(H3302,K3302),IF(H3302="EI",4,IF(H3302="EO",5.2,IF(H3302="EQ",3.9,IF(H3302="ILF",7.5,IF(H3302="EIF",5.4)))))))</f>
        <v/>
      </c>
      <c r="M3302" s="30" t="str">
        <f t="shared" si="352"/>
        <v/>
      </c>
      <c r="N3302" s="134"/>
      <c r="O3302" s="29"/>
      <c r="P3302" s="37" t="str">
        <f t="shared" si="353"/>
        <v/>
      </c>
      <c r="Q3302" s="38" t="str">
        <f t="shared" si="354"/>
        <v/>
      </c>
      <c r="R3302" s="37" t="str">
        <f t="shared" si="355"/>
        <v/>
      </c>
      <c r="S3302" s="37" t="str">
        <f t="shared" si="356"/>
        <v/>
      </c>
      <c r="T3302" s="38" t="str">
        <f t="shared" si="357"/>
        <v/>
      </c>
      <c r="U3302" s="37" t="str">
        <f t="shared" si="358"/>
        <v/>
      </c>
    </row>
    <row r="3303" spans="2:21" ht="17.25">
      <c r="B3303" s="156"/>
      <c r="C3303" s="156"/>
      <c r="D3303" s="157"/>
      <c r="E3303" s="155"/>
      <c r="F3303" s="151"/>
      <c r="G3303" s="152"/>
      <c r="H3303" s="153"/>
      <c r="I3303" s="154"/>
      <c r="J3303" s="154"/>
      <c r="K3303" s="30" t="str">
        <f>IF(H3303="","",IF($C$30="간이법","",FPR(H3303,I3303,J3303)))</f>
        <v/>
      </c>
      <c r="L3303" s="30" t="str">
        <f>IF(H3303="","",IF($C$30="상세법",FPV(H3303,K3303),IF(H3303="EI",4,IF(H3303="EO",5.2,IF(H3303="EQ",3.9,IF(H3303="ILF",7.5,IF(H3303="EIF",5.4)))))))</f>
        <v/>
      </c>
      <c r="M3303" s="30" t="str">
        <f t="shared" si="352"/>
        <v/>
      </c>
      <c r="N3303" s="134"/>
      <c r="O3303" s="29"/>
      <c r="P3303" s="37" t="str">
        <f t="shared" si="353"/>
        <v/>
      </c>
      <c r="Q3303" s="38" t="str">
        <f t="shared" si="354"/>
        <v/>
      </c>
      <c r="R3303" s="37" t="str">
        <f t="shared" si="355"/>
        <v/>
      </c>
      <c r="S3303" s="37" t="str">
        <f t="shared" si="356"/>
        <v/>
      </c>
      <c r="T3303" s="38" t="str">
        <f t="shared" si="357"/>
        <v/>
      </c>
      <c r="U3303" s="37" t="str">
        <f t="shared" si="358"/>
        <v/>
      </c>
    </row>
    <row r="3304" spans="2:21" ht="17.25">
      <c r="B3304" s="156"/>
      <c r="C3304" s="156"/>
      <c r="D3304" s="157"/>
      <c r="E3304" s="155"/>
      <c r="F3304" s="151"/>
      <c r="G3304" s="152"/>
      <c r="H3304" s="153"/>
      <c r="I3304" s="154"/>
      <c r="J3304" s="154"/>
      <c r="K3304" s="30" t="str">
        <f>IF(H3304="","",IF($C$30="간이법","",FPR(H3304,I3304,J3304)))</f>
        <v/>
      </c>
      <c r="L3304" s="30" t="str">
        <f>IF(H3304="","",IF($C$30="상세법",FPV(H3304,K3304),IF(H3304="EI",4,IF(H3304="EO",5.2,IF(H3304="EQ",3.9,IF(H3304="ILF",7.5,IF(H3304="EIF",5.4)))))))</f>
        <v/>
      </c>
      <c r="M3304" s="30" t="str">
        <f t="shared" si="352"/>
        <v/>
      </c>
      <c r="N3304" s="134"/>
      <c r="O3304" s="29"/>
      <c r="P3304" s="37" t="str">
        <f t="shared" si="353"/>
        <v/>
      </c>
      <c r="Q3304" s="38" t="str">
        <f t="shared" si="354"/>
        <v/>
      </c>
      <c r="R3304" s="37" t="str">
        <f t="shared" si="355"/>
        <v/>
      </c>
      <c r="S3304" s="37" t="str">
        <f t="shared" si="356"/>
        <v/>
      </c>
      <c r="T3304" s="38" t="str">
        <f t="shared" si="357"/>
        <v/>
      </c>
      <c r="U3304" s="37" t="str">
        <f t="shared" si="358"/>
        <v/>
      </c>
    </row>
    <row r="3305" spans="2:21" ht="17.25">
      <c r="B3305" s="156"/>
      <c r="C3305" s="156"/>
      <c r="D3305" s="157"/>
      <c r="E3305" s="155"/>
      <c r="F3305" s="151"/>
      <c r="G3305" s="152"/>
      <c r="H3305" s="153"/>
      <c r="I3305" s="154"/>
      <c r="J3305" s="154"/>
      <c r="K3305" s="30" t="str">
        <f>IF(H3305="","",IF($C$30="간이법","",FPR(H3305,I3305,J3305)))</f>
        <v/>
      </c>
      <c r="L3305" s="30" t="str">
        <f>IF(H3305="","",IF($C$30="상세법",FPV(H3305,K3305),IF(H3305="EI",4,IF(H3305="EO",5.2,IF(H3305="EQ",3.9,IF(H3305="ILF",7.5,IF(H3305="EIF",5.4)))))))</f>
        <v/>
      </c>
      <c r="M3305" s="30" t="str">
        <f t="shared" si="352"/>
        <v/>
      </c>
      <c r="N3305" s="134"/>
      <c r="O3305" s="29"/>
      <c r="P3305" s="37" t="str">
        <f t="shared" si="353"/>
        <v/>
      </c>
      <c r="Q3305" s="38" t="str">
        <f t="shared" si="354"/>
        <v/>
      </c>
      <c r="R3305" s="37" t="str">
        <f t="shared" si="355"/>
        <v/>
      </c>
      <c r="S3305" s="37" t="str">
        <f t="shared" si="356"/>
        <v/>
      </c>
      <c r="T3305" s="38" t="str">
        <f t="shared" si="357"/>
        <v/>
      </c>
      <c r="U3305" s="37" t="str">
        <f t="shared" si="358"/>
        <v/>
      </c>
    </row>
    <row r="3306" spans="2:21" ht="17.25">
      <c r="B3306" s="156"/>
      <c r="C3306" s="156"/>
      <c r="D3306" s="157"/>
      <c r="E3306" s="155"/>
      <c r="F3306" s="151"/>
      <c r="G3306" s="152"/>
      <c r="H3306" s="153"/>
      <c r="I3306" s="154"/>
      <c r="J3306" s="154"/>
      <c r="K3306" s="30" t="str">
        <f>IF(H3306="","",IF($C$30="간이법","",FPR(H3306,I3306,J3306)))</f>
        <v/>
      </c>
      <c r="L3306" s="30" t="str">
        <f>IF(H3306="","",IF($C$30="상세법",FPV(H3306,K3306),IF(H3306="EI",4,IF(H3306="EO",5.2,IF(H3306="EQ",3.9,IF(H3306="ILF",7.5,IF(H3306="EIF",5.4)))))))</f>
        <v/>
      </c>
      <c r="M3306" s="30" t="str">
        <f t="shared" si="352"/>
        <v/>
      </c>
      <c r="N3306" s="134"/>
      <c r="O3306" s="29"/>
      <c r="P3306" s="37" t="str">
        <f t="shared" si="353"/>
        <v/>
      </c>
      <c r="Q3306" s="38" t="str">
        <f t="shared" si="354"/>
        <v/>
      </c>
      <c r="R3306" s="37" t="str">
        <f t="shared" si="355"/>
        <v/>
      </c>
      <c r="S3306" s="37" t="str">
        <f t="shared" si="356"/>
        <v/>
      </c>
      <c r="T3306" s="38" t="str">
        <f t="shared" si="357"/>
        <v/>
      </c>
      <c r="U3306" s="37" t="str">
        <f t="shared" si="358"/>
        <v/>
      </c>
    </row>
    <row r="3307" spans="2:21" ht="17.25">
      <c r="B3307" s="156"/>
      <c r="C3307" s="156"/>
      <c r="D3307" s="157"/>
      <c r="E3307" s="155"/>
      <c r="F3307" s="151"/>
      <c r="G3307" s="152"/>
      <c r="H3307" s="153"/>
      <c r="I3307" s="154"/>
      <c r="J3307" s="154"/>
      <c r="K3307" s="30" t="str">
        <f>IF(H3307="","",IF($C$30="간이법","",FPR(H3307,I3307,J3307)))</f>
        <v/>
      </c>
      <c r="L3307" s="30" t="str">
        <f>IF(H3307="","",IF($C$30="상세법",FPV(H3307,K3307),IF(H3307="EI",4,IF(H3307="EO",5.2,IF(H3307="EQ",3.9,IF(H3307="ILF",7.5,IF(H3307="EIF",5.4)))))))</f>
        <v/>
      </c>
      <c r="M3307" s="30" t="str">
        <f t="shared" si="352"/>
        <v/>
      </c>
      <c r="N3307" s="134"/>
      <c r="O3307" s="29"/>
      <c r="P3307" s="37" t="str">
        <f t="shared" si="353"/>
        <v/>
      </c>
      <c r="Q3307" s="38" t="str">
        <f t="shared" si="354"/>
        <v/>
      </c>
      <c r="R3307" s="37" t="str">
        <f t="shared" si="355"/>
        <v/>
      </c>
      <c r="S3307" s="37" t="str">
        <f t="shared" si="356"/>
        <v/>
      </c>
      <c r="T3307" s="38" t="str">
        <f t="shared" si="357"/>
        <v/>
      </c>
      <c r="U3307" s="37" t="str">
        <f t="shared" si="358"/>
        <v/>
      </c>
    </row>
    <row r="3308" spans="2:21" ht="17.25">
      <c r="B3308" s="156"/>
      <c r="C3308" s="156"/>
      <c r="D3308" s="157"/>
      <c r="E3308" s="155"/>
      <c r="F3308" s="151"/>
      <c r="G3308" s="152"/>
      <c r="H3308" s="153"/>
      <c r="I3308" s="154"/>
      <c r="J3308" s="154"/>
      <c r="K3308" s="30" t="str">
        <f>IF(H3308="","",IF($C$30="간이법","",FPR(H3308,I3308,J3308)))</f>
        <v/>
      </c>
      <c r="L3308" s="30" t="str">
        <f>IF(H3308="","",IF($C$30="상세법",FPV(H3308,K3308),IF(H3308="EI",4,IF(H3308="EO",5.2,IF(H3308="EQ",3.9,IF(H3308="ILF",7.5,IF(H3308="EIF",5.4)))))))</f>
        <v/>
      </c>
      <c r="M3308" s="30" t="str">
        <f t="shared" si="352"/>
        <v/>
      </c>
      <c r="N3308" s="134"/>
      <c r="O3308" s="29"/>
      <c r="P3308" s="37" t="str">
        <f t="shared" si="353"/>
        <v/>
      </c>
      <c r="Q3308" s="38" t="str">
        <f t="shared" si="354"/>
        <v/>
      </c>
      <c r="R3308" s="37" t="str">
        <f t="shared" si="355"/>
        <v/>
      </c>
      <c r="S3308" s="37" t="str">
        <f t="shared" si="356"/>
        <v/>
      </c>
      <c r="T3308" s="38" t="str">
        <f t="shared" si="357"/>
        <v/>
      </c>
      <c r="U3308" s="37" t="str">
        <f t="shared" si="358"/>
        <v/>
      </c>
    </row>
    <row r="3309" spans="2:21" ht="17.25">
      <c r="B3309" s="156"/>
      <c r="C3309" s="156"/>
      <c r="D3309" s="157"/>
      <c r="E3309" s="155"/>
      <c r="F3309" s="151"/>
      <c r="G3309" s="152"/>
      <c r="H3309" s="153"/>
      <c r="I3309" s="154"/>
      <c r="J3309" s="154"/>
      <c r="K3309" s="30" t="str">
        <f>IF(H3309="","",IF($C$30="간이법","",FPR(H3309,I3309,J3309)))</f>
        <v/>
      </c>
      <c r="L3309" s="30" t="str">
        <f>IF(H3309="","",IF($C$30="상세법",FPV(H3309,K3309),IF(H3309="EI",4,IF(H3309="EO",5.2,IF(H3309="EQ",3.9,IF(H3309="ILF",7.5,IF(H3309="EIF",5.4)))))))</f>
        <v/>
      </c>
      <c r="M3309" s="30" t="str">
        <f t="shared" si="352"/>
        <v/>
      </c>
      <c r="N3309" s="134"/>
      <c r="O3309" s="29"/>
      <c r="P3309" s="37" t="str">
        <f t="shared" si="353"/>
        <v/>
      </c>
      <c r="Q3309" s="38" t="str">
        <f t="shared" si="354"/>
        <v/>
      </c>
      <c r="R3309" s="37" t="str">
        <f t="shared" si="355"/>
        <v/>
      </c>
      <c r="S3309" s="37" t="str">
        <f t="shared" si="356"/>
        <v/>
      </c>
      <c r="T3309" s="38" t="str">
        <f t="shared" si="357"/>
        <v/>
      </c>
      <c r="U3309" s="37" t="str">
        <f t="shared" si="358"/>
        <v/>
      </c>
    </row>
    <row r="3310" spans="2:21" ht="17.25">
      <c r="B3310" s="156"/>
      <c r="C3310" s="156"/>
      <c r="D3310" s="157"/>
      <c r="E3310" s="155"/>
      <c r="F3310" s="151"/>
      <c r="G3310" s="152"/>
      <c r="H3310" s="153"/>
      <c r="I3310" s="154"/>
      <c r="J3310" s="154"/>
      <c r="K3310" s="30" t="str">
        <f>IF(H3310="","",IF($C$30="간이법","",FPR(H3310,I3310,J3310)))</f>
        <v/>
      </c>
      <c r="L3310" s="30" t="str">
        <f>IF(H3310="","",IF($C$30="상세법",FPV(H3310,K3310),IF(H3310="EI",4,IF(H3310="EO",5.2,IF(H3310="EQ",3.9,IF(H3310="ILF",7.5,IF(H3310="EIF",5.4)))))))</f>
        <v/>
      </c>
      <c r="M3310" s="30" t="str">
        <f t="shared" si="352"/>
        <v/>
      </c>
      <c r="N3310" s="134"/>
      <c r="O3310" s="29"/>
      <c r="P3310" s="37" t="str">
        <f t="shared" si="353"/>
        <v/>
      </c>
      <c r="Q3310" s="38" t="str">
        <f t="shared" si="354"/>
        <v/>
      </c>
      <c r="R3310" s="37" t="str">
        <f t="shared" si="355"/>
        <v/>
      </c>
      <c r="S3310" s="37" t="str">
        <f t="shared" si="356"/>
        <v/>
      </c>
      <c r="T3310" s="38" t="str">
        <f t="shared" si="357"/>
        <v/>
      </c>
      <c r="U3310" s="37" t="str">
        <f t="shared" si="358"/>
        <v/>
      </c>
    </row>
    <row r="3311" spans="2:21" ht="17.25">
      <c r="B3311" s="156"/>
      <c r="C3311" s="156"/>
      <c r="D3311" s="157"/>
      <c r="E3311" s="155"/>
      <c r="F3311" s="151"/>
      <c r="G3311" s="152"/>
      <c r="H3311" s="153"/>
      <c r="I3311" s="154"/>
      <c r="J3311" s="154"/>
      <c r="K3311" s="30" t="str">
        <f>IF(H3311="","",IF($C$30="간이법","",FPR(H3311,I3311,J3311)))</f>
        <v/>
      </c>
      <c r="L3311" s="30" t="str">
        <f>IF(H3311="","",IF($C$30="상세법",FPV(H3311,K3311),IF(H3311="EI",4,IF(H3311="EO",5.2,IF(H3311="EQ",3.9,IF(H3311="ILF",7.5,IF(H3311="EIF",5.4)))))))</f>
        <v/>
      </c>
      <c r="M3311" s="30" t="str">
        <f t="shared" si="352"/>
        <v/>
      </c>
      <c r="N3311" s="134"/>
      <c r="O3311" s="29"/>
      <c r="P3311" s="37" t="str">
        <f t="shared" si="353"/>
        <v/>
      </c>
      <c r="Q3311" s="38" t="str">
        <f t="shared" si="354"/>
        <v/>
      </c>
      <c r="R3311" s="37" t="str">
        <f t="shared" si="355"/>
        <v/>
      </c>
      <c r="S3311" s="37" t="str">
        <f t="shared" si="356"/>
        <v/>
      </c>
      <c r="T3311" s="38" t="str">
        <f t="shared" si="357"/>
        <v/>
      </c>
      <c r="U3311" s="37" t="str">
        <f t="shared" si="358"/>
        <v/>
      </c>
    </row>
    <row r="3312" spans="2:21" ht="17.25">
      <c r="B3312" s="156"/>
      <c r="C3312" s="156"/>
      <c r="D3312" s="157"/>
      <c r="E3312" s="155"/>
      <c r="F3312" s="151"/>
      <c r="G3312" s="152"/>
      <c r="H3312" s="153"/>
      <c r="I3312" s="154"/>
      <c r="J3312" s="154"/>
      <c r="K3312" s="30" t="str">
        <f>IF(H3312="","",IF($C$30="간이법","",FPR(H3312,I3312,J3312)))</f>
        <v/>
      </c>
      <c r="L3312" s="30" t="str">
        <f>IF(H3312="","",IF($C$30="상세법",FPV(H3312,K3312),IF(H3312="EI",4,IF(H3312="EO",5.2,IF(H3312="EQ",3.9,IF(H3312="ILF",7.5,IF(H3312="EIF",5.4)))))))</f>
        <v/>
      </c>
      <c r="M3312" s="30" t="str">
        <f t="shared" si="352"/>
        <v/>
      </c>
      <c r="N3312" s="134"/>
      <c r="O3312" s="29"/>
      <c r="P3312" s="37" t="str">
        <f t="shared" si="353"/>
        <v/>
      </c>
      <c r="Q3312" s="38" t="str">
        <f t="shared" si="354"/>
        <v/>
      </c>
      <c r="R3312" s="37" t="str">
        <f t="shared" si="355"/>
        <v/>
      </c>
      <c r="S3312" s="37" t="str">
        <f t="shared" si="356"/>
        <v/>
      </c>
      <c r="T3312" s="38" t="str">
        <f t="shared" si="357"/>
        <v/>
      </c>
      <c r="U3312" s="37" t="str">
        <f t="shared" si="358"/>
        <v/>
      </c>
    </row>
    <row r="3313" spans="2:21" ht="17.25">
      <c r="B3313" s="156"/>
      <c r="C3313" s="156"/>
      <c r="D3313" s="157"/>
      <c r="E3313" s="155"/>
      <c r="F3313" s="151"/>
      <c r="G3313" s="152"/>
      <c r="H3313" s="153"/>
      <c r="I3313" s="154"/>
      <c r="J3313" s="154"/>
      <c r="K3313" s="30" t="str">
        <f>IF(H3313="","",IF($C$30="간이법","",FPR(H3313,I3313,J3313)))</f>
        <v/>
      </c>
      <c r="L3313" s="30" t="str">
        <f>IF(H3313="","",IF($C$30="상세법",FPV(H3313,K3313),IF(H3313="EI",4,IF(H3313="EO",5.2,IF(H3313="EQ",3.9,IF(H3313="ILF",7.5,IF(H3313="EIF",5.4)))))))</f>
        <v/>
      </c>
      <c r="M3313" s="30" t="str">
        <f t="shared" si="352"/>
        <v/>
      </c>
      <c r="N3313" s="134"/>
      <c r="O3313" s="29"/>
      <c r="P3313" s="37" t="str">
        <f t="shared" si="353"/>
        <v/>
      </c>
      <c r="Q3313" s="38" t="str">
        <f t="shared" si="354"/>
        <v/>
      </c>
      <c r="R3313" s="37" t="str">
        <f t="shared" si="355"/>
        <v/>
      </c>
      <c r="S3313" s="37" t="str">
        <f t="shared" si="356"/>
        <v/>
      </c>
      <c r="T3313" s="38" t="str">
        <f t="shared" si="357"/>
        <v/>
      </c>
      <c r="U3313" s="37" t="str">
        <f t="shared" si="358"/>
        <v/>
      </c>
    </row>
    <row r="3314" spans="2:21" ht="17.25">
      <c r="B3314" s="156"/>
      <c r="C3314" s="156"/>
      <c r="D3314" s="157"/>
      <c r="E3314" s="155"/>
      <c r="F3314" s="151"/>
      <c r="G3314" s="152"/>
      <c r="H3314" s="153"/>
      <c r="I3314" s="154"/>
      <c r="J3314" s="154"/>
      <c r="K3314" s="30" t="str">
        <f>IF(H3314="","",IF($C$30="간이법","",FPR(H3314,I3314,J3314)))</f>
        <v/>
      </c>
      <c r="L3314" s="30" t="str">
        <f>IF(H3314="","",IF($C$30="상세법",FPV(H3314,K3314),IF(H3314="EI",4,IF(H3314="EO",5.2,IF(H3314="EQ",3.9,IF(H3314="ILF",7.5,IF(H3314="EIF",5.4)))))))</f>
        <v/>
      </c>
      <c r="M3314" s="30" t="str">
        <f t="shared" si="352"/>
        <v/>
      </c>
      <c r="N3314" s="134"/>
      <c r="O3314" s="29"/>
      <c r="P3314" s="37" t="str">
        <f t="shared" si="353"/>
        <v/>
      </c>
      <c r="Q3314" s="38" t="str">
        <f t="shared" si="354"/>
        <v/>
      </c>
      <c r="R3314" s="37" t="str">
        <f t="shared" si="355"/>
        <v/>
      </c>
      <c r="S3314" s="37" t="str">
        <f t="shared" si="356"/>
        <v/>
      </c>
      <c r="T3314" s="38" t="str">
        <f t="shared" si="357"/>
        <v/>
      </c>
      <c r="U3314" s="37" t="str">
        <f t="shared" si="358"/>
        <v/>
      </c>
    </row>
    <row r="3315" spans="2:21" ht="17.25">
      <c r="B3315" s="156"/>
      <c r="C3315" s="156"/>
      <c r="D3315" s="157"/>
      <c r="E3315" s="155"/>
      <c r="F3315" s="151"/>
      <c r="G3315" s="152"/>
      <c r="H3315" s="153"/>
      <c r="I3315" s="154"/>
      <c r="J3315" s="154"/>
      <c r="K3315" s="30" t="str">
        <f>IF(H3315="","",IF($C$30="간이법","",FPR(H3315,I3315,J3315)))</f>
        <v/>
      </c>
      <c r="L3315" s="30" t="str">
        <f>IF(H3315="","",IF($C$30="상세법",FPV(H3315,K3315),IF(H3315="EI",4,IF(H3315="EO",5.2,IF(H3315="EQ",3.9,IF(H3315="ILF",7.5,IF(H3315="EIF",5.4)))))))</f>
        <v/>
      </c>
      <c r="M3315" s="30" t="str">
        <f t="shared" si="352"/>
        <v/>
      </c>
      <c r="N3315" s="134"/>
      <c r="O3315" s="29"/>
      <c r="P3315" s="37" t="str">
        <f t="shared" si="353"/>
        <v/>
      </c>
      <c r="Q3315" s="38" t="str">
        <f t="shared" si="354"/>
        <v/>
      </c>
      <c r="R3315" s="37" t="str">
        <f t="shared" si="355"/>
        <v/>
      </c>
      <c r="S3315" s="37" t="str">
        <f t="shared" si="356"/>
        <v/>
      </c>
      <c r="T3315" s="38" t="str">
        <f t="shared" si="357"/>
        <v/>
      </c>
      <c r="U3315" s="37" t="str">
        <f t="shared" si="358"/>
        <v/>
      </c>
    </row>
    <row r="3316" spans="2:21" ht="17.25">
      <c r="B3316" s="156"/>
      <c r="C3316" s="156"/>
      <c r="D3316" s="157"/>
      <c r="E3316" s="155"/>
      <c r="F3316" s="151"/>
      <c r="G3316" s="152"/>
      <c r="H3316" s="153"/>
      <c r="I3316" s="154"/>
      <c r="J3316" s="154"/>
      <c r="K3316" s="30" t="str">
        <f>IF(H3316="","",IF($C$30="간이법","",FPR(H3316,I3316,J3316)))</f>
        <v/>
      </c>
      <c r="L3316" s="30" t="str">
        <f>IF(H3316="","",IF($C$30="상세법",FPV(H3316,K3316),IF(H3316="EI",4,IF(H3316="EO",5.2,IF(H3316="EQ",3.9,IF(H3316="ILF",7.5,IF(H3316="EIF",5.4)))))))</f>
        <v/>
      </c>
      <c r="M3316" s="30" t="str">
        <f t="shared" si="352"/>
        <v/>
      </c>
      <c r="N3316" s="134"/>
      <c r="O3316" s="29"/>
      <c r="P3316" s="37" t="str">
        <f t="shared" si="353"/>
        <v/>
      </c>
      <c r="Q3316" s="38" t="str">
        <f t="shared" si="354"/>
        <v/>
      </c>
      <c r="R3316" s="37" t="str">
        <f t="shared" si="355"/>
        <v/>
      </c>
      <c r="S3316" s="37" t="str">
        <f t="shared" si="356"/>
        <v/>
      </c>
      <c r="T3316" s="38" t="str">
        <f t="shared" si="357"/>
        <v/>
      </c>
      <c r="U3316" s="37" t="str">
        <f t="shared" si="358"/>
        <v/>
      </c>
    </row>
    <row r="3317" spans="2:21" ht="17.25">
      <c r="B3317" s="156"/>
      <c r="C3317" s="156"/>
      <c r="D3317" s="157"/>
      <c r="E3317" s="155"/>
      <c r="F3317" s="151"/>
      <c r="G3317" s="152"/>
      <c r="H3317" s="153"/>
      <c r="I3317" s="154"/>
      <c r="J3317" s="154"/>
      <c r="K3317" s="30" t="str">
        <f>IF(H3317="","",IF($C$30="간이법","",FPR(H3317,I3317,J3317)))</f>
        <v/>
      </c>
      <c r="L3317" s="30" t="str">
        <f>IF(H3317="","",IF($C$30="상세법",FPV(H3317,K3317),IF(H3317="EI",4,IF(H3317="EO",5.2,IF(H3317="EQ",3.9,IF(H3317="ILF",7.5,IF(H3317="EIF",5.4)))))))</f>
        <v/>
      </c>
      <c r="M3317" s="30" t="str">
        <f t="shared" si="352"/>
        <v/>
      </c>
      <c r="N3317" s="134"/>
      <c r="O3317" s="29"/>
      <c r="P3317" s="37" t="str">
        <f t="shared" si="353"/>
        <v/>
      </c>
      <c r="Q3317" s="38" t="str">
        <f t="shared" si="354"/>
        <v/>
      </c>
      <c r="R3317" s="37" t="str">
        <f t="shared" si="355"/>
        <v/>
      </c>
      <c r="S3317" s="37" t="str">
        <f t="shared" si="356"/>
        <v/>
      </c>
      <c r="T3317" s="38" t="str">
        <f t="shared" si="357"/>
        <v/>
      </c>
      <c r="U3317" s="37" t="str">
        <f t="shared" si="358"/>
        <v/>
      </c>
    </row>
    <row r="3318" spans="2:21" ht="17.25">
      <c r="B3318" s="156"/>
      <c r="C3318" s="156"/>
      <c r="D3318" s="157"/>
      <c r="E3318" s="155"/>
      <c r="F3318" s="151"/>
      <c r="G3318" s="152"/>
      <c r="H3318" s="153"/>
      <c r="I3318" s="154"/>
      <c r="J3318" s="154"/>
      <c r="K3318" s="30" t="str">
        <f>IF(H3318="","",IF($C$30="간이법","",FPR(H3318,I3318,J3318)))</f>
        <v/>
      </c>
      <c r="L3318" s="30" t="str">
        <f>IF(H3318="","",IF($C$30="상세법",FPV(H3318,K3318),IF(H3318="EI",4,IF(H3318="EO",5.2,IF(H3318="EQ",3.9,IF(H3318="ILF",7.5,IF(H3318="EIF",5.4)))))))</f>
        <v/>
      </c>
      <c r="M3318" s="30" t="str">
        <f t="shared" si="352"/>
        <v/>
      </c>
      <c r="N3318" s="134"/>
      <c r="O3318" s="29"/>
      <c r="P3318" s="37" t="str">
        <f t="shared" si="353"/>
        <v/>
      </c>
      <c r="Q3318" s="38" t="str">
        <f t="shared" si="354"/>
        <v/>
      </c>
      <c r="R3318" s="37" t="str">
        <f t="shared" si="355"/>
        <v/>
      </c>
      <c r="S3318" s="37" t="str">
        <f t="shared" si="356"/>
        <v/>
      </c>
      <c r="T3318" s="38" t="str">
        <f t="shared" si="357"/>
        <v/>
      </c>
      <c r="U3318" s="37" t="str">
        <f t="shared" si="358"/>
        <v/>
      </c>
    </row>
    <row r="3319" spans="2:21" ht="17.25">
      <c r="B3319" s="156"/>
      <c r="C3319" s="156"/>
      <c r="D3319" s="157"/>
      <c r="E3319" s="155"/>
      <c r="F3319" s="151"/>
      <c r="G3319" s="152"/>
      <c r="H3319" s="153"/>
      <c r="I3319" s="154"/>
      <c r="J3319" s="154"/>
      <c r="K3319" s="30" t="str">
        <f>IF(H3319="","",IF($C$30="간이법","",FPR(H3319,I3319,J3319)))</f>
        <v/>
      </c>
      <c r="L3319" s="30" t="str">
        <f>IF(H3319="","",IF($C$30="상세법",FPV(H3319,K3319),IF(H3319="EI",4,IF(H3319="EO",5.2,IF(H3319="EQ",3.9,IF(H3319="ILF",7.5,IF(H3319="EIF",5.4)))))))</f>
        <v/>
      </c>
      <c r="M3319" s="30" t="str">
        <f t="shared" si="352"/>
        <v/>
      </c>
      <c r="N3319" s="134"/>
      <c r="O3319" s="29"/>
      <c r="P3319" s="37" t="str">
        <f t="shared" si="353"/>
        <v/>
      </c>
      <c r="Q3319" s="38" t="str">
        <f t="shared" si="354"/>
        <v/>
      </c>
      <c r="R3319" s="37" t="str">
        <f t="shared" si="355"/>
        <v/>
      </c>
      <c r="S3319" s="37" t="str">
        <f t="shared" si="356"/>
        <v/>
      </c>
      <c r="T3319" s="38" t="str">
        <f t="shared" si="357"/>
        <v/>
      </c>
      <c r="U3319" s="37" t="str">
        <f t="shared" si="358"/>
        <v/>
      </c>
    </row>
    <row r="3320" spans="2:21" ht="17.25">
      <c r="B3320" s="156"/>
      <c r="C3320" s="156"/>
      <c r="D3320" s="157"/>
      <c r="E3320" s="155"/>
      <c r="F3320" s="151"/>
      <c r="G3320" s="152"/>
      <c r="H3320" s="153"/>
      <c r="I3320" s="154"/>
      <c r="J3320" s="154"/>
      <c r="K3320" s="30" t="str">
        <f>IF(H3320="","",IF($C$30="간이법","",FPR(H3320,I3320,J3320)))</f>
        <v/>
      </c>
      <c r="L3320" s="30" t="str">
        <f>IF(H3320="","",IF($C$30="상세법",FPV(H3320,K3320),IF(H3320="EI",4,IF(H3320="EO",5.2,IF(H3320="EQ",3.9,IF(H3320="ILF",7.5,IF(H3320="EIF",5.4)))))))</f>
        <v/>
      </c>
      <c r="M3320" s="30" t="str">
        <f t="shared" si="352"/>
        <v/>
      </c>
      <c r="N3320" s="134"/>
      <c r="O3320" s="29"/>
      <c r="P3320" s="37" t="str">
        <f t="shared" si="353"/>
        <v/>
      </c>
      <c r="Q3320" s="38" t="str">
        <f t="shared" si="354"/>
        <v/>
      </c>
      <c r="R3320" s="37" t="str">
        <f t="shared" si="355"/>
        <v/>
      </c>
      <c r="S3320" s="37" t="str">
        <f t="shared" si="356"/>
        <v/>
      </c>
      <c r="T3320" s="38" t="str">
        <f t="shared" si="357"/>
        <v/>
      </c>
      <c r="U3320" s="37" t="str">
        <f t="shared" si="358"/>
        <v/>
      </c>
    </row>
    <row r="3321" spans="2:21" ht="17.25">
      <c r="B3321" s="156"/>
      <c r="C3321" s="156"/>
      <c r="D3321" s="157"/>
      <c r="E3321" s="155"/>
      <c r="F3321" s="151"/>
      <c r="G3321" s="152"/>
      <c r="H3321" s="153"/>
      <c r="I3321" s="154"/>
      <c r="J3321" s="154"/>
      <c r="K3321" s="30" t="str">
        <f>IF(H3321="","",IF($C$30="간이법","",FPR(H3321,I3321,J3321)))</f>
        <v/>
      </c>
      <c r="L3321" s="30" t="str">
        <f>IF(H3321="","",IF($C$30="상세법",FPV(H3321,K3321),IF(H3321="EI",4,IF(H3321="EO",5.2,IF(H3321="EQ",3.9,IF(H3321="ILF",7.5,IF(H3321="EIF",5.4)))))))</f>
        <v/>
      </c>
      <c r="M3321" s="30" t="str">
        <f t="shared" si="352"/>
        <v/>
      </c>
      <c r="N3321" s="134"/>
      <c r="O3321" s="29"/>
      <c r="P3321" s="37" t="str">
        <f t="shared" si="353"/>
        <v/>
      </c>
      <c r="Q3321" s="38" t="str">
        <f t="shared" si="354"/>
        <v/>
      </c>
      <c r="R3321" s="37" t="str">
        <f t="shared" si="355"/>
        <v/>
      </c>
      <c r="S3321" s="37" t="str">
        <f t="shared" si="356"/>
        <v/>
      </c>
      <c r="T3321" s="38" t="str">
        <f t="shared" si="357"/>
        <v/>
      </c>
      <c r="U3321" s="37" t="str">
        <f t="shared" si="358"/>
        <v/>
      </c>
    </row>
    <row r="3322" spans="2:21" ht="17.25">
      <c r="B3322" s="156"/>
      <c r="C3322" s="156"/>
      <c r="D3322" s="157"/>
      <c r="E3322" s="155"/>
      <c r="F3322" s="151"/>
      <c r="G3322" s="152"/>
      <c r="H3322" s="153"/>
      <c r="I3322" s="154"/>
      <c r="J3322" s="154"/>
      <c r="K3322" s="30" t="str">
        <f>IF(H3322="","",IF($C$30="간이법","",FPR(H3322,I3322,J3322)))</f>
        <v/>
      </c>
      <c r="L3322" s="30" t="str">
        <f>IF(H3322="","",IF($C$30="상세법",FPV(H3322,K3322),IF(H3322="EI",4,IF(H3322="EO",5.2,IF(H3322="EQ",3.9,IF(H3322="ILF",7.5,IF(H3322="EIF",5.4)))))))</f>
        <v/>
      </c>
      <c r="M3322" s="30" t="str">
        <f t="shared" si="352"/>
        <v/>
      </c>
      <c r="N3322" s="134"/>
      <c r="O3322" s="29"/>
      <c r="P3322" s="37" t="str">
        <f t="shared" si="353"/>
        <v/>
      </c>
      <c r="Q3322" s="38" t="str">
        <f t="shared" si="354"/>
        <v/>
      </c>
      <c r="R3322" s="37" t="str">
        <f t="shared" si="355"/>
        <v/>
      </c>
      <c r="S3322" s="37" t="str">
        <f t="shared" si="356"/>
        <v/>
      </c>
      <c r="T3322" s="38" t="str">
        <f t="shared" si="357"/>
        <v/>
      </c>
      <c r="U3322" s="37" t="str">
        <f t="shared" si="358"/>
        <v/>
      </c>
    </row>
    <row r="3323" spans="2:21" ht="17.25">
      <c r="B3323" s="156"/>
      <c r="C3323" s="156"/>
      <c r="D3323" s="157"/>
      <c r="E3323" s="155"/>
      <c r="F3323" s="151"/>
      <c r="G3323" s="152"/>
      <c r="H3323" s="153"/>
      <c r="I3323" s="154"/>
      <c r="J3323" s="154"/>
      <c r="K3323" s="30" t="str">
        <f>IF(H3323="","",IF($C$30="간이법","",FPR(H3323,I3323,J3323)))</f>
        <v/>
      </c>
      <c r="L3323" s="30" t="str">
        <f>IF(H3323="","",IF($C$30="상세법",FPV(H3323,K3323),IF(H3323="EI",4,IF(H3323="EO",5.2,IF(H3323="EQ",3.9,IF(H3323="ILF",7.5,IF(H3323="EIF",5.4)))))))</f>
        <v/>
      </c>
      <c r="M3323" s="30" t="str">
        <f t="shared" si="352"/>
        <v/>
      </c>
      <c r="N3323" s="134"/>
      <c r="O3323" s="29"/>
      <c r="P3323" s="37" t="str">
        <f t="shared" si="353"/>
        <v/>
      </c>
      <c r="Q3323" s="38" t="str">
        <f t="shared" si="354"/>
        <v/>
      </c>
      <c r="R3323" s="37" t="str">
        <f t="shared" si="355"/>
        <v/>
      </c>
      <c r="S3323" s="37" t="str">
        <f t="shared" si="356"/>
        <v/>
      </c>
      <c r="T3323" s="38" t="str">
        <f t="shared" si="357"/>
        <v/>
      </c>
      <c r="U3323" s="37" t="str">
        <f t="shared" si="358"/>
        <v/>
      </c>
    </row>
    <row r="3324" spans="2:21" ht="17.25">
      <c r="B3324" s="156"/>
      <c r="C3324" s="156"/>
      <c r="D3324" s="157"/>
      <c r="E3324" s="155"/>
      <c r="F3324" s="151"/>
      <c r="G3324" s="152"/>
      <c r="H3324" s="153"/>
      <c r="I3324" s="154"/>
      <c r="J3324" s="154"/>
      <c r="K3324" s="30" t="str">
        <f>IF(H3324="","",IF($C$30="간이법","",FPR(H3324,I3324,J3324)))</f>
        <v/>
      </c>
      <c r="L3324" s="30" t="str">
        <f>IF(H3324="","",IF($C$30="상세법",FPV(H3324,K3324),IF(H3324="EI",4,IF(H3324="EO",5.2,IF(H3324="EQ",3.9,IF(H3324="ILF",7.5,IF(H3324="EIF",5.4)))))))</f>
        <v/>
      </c>
      <c r="M3324" s="30" t="str">
        <f t="shared" ref="M3324:M3387" si="359">IF(OR(G3324="",$E$36="(선택)",$E$40="(선택)",$E$41="(선택)",F3324="신규 개발",F3324="수정 없이 재사용"),"",(IF(F3324="수정 후 재사용",IF($E$50&lt;=0.5,L3324*($E$36+$E$50*100*(1+0.02*($E$40*$E$41)))/100,L3324*($E$36+$E$50*100+($E$40*$E$41))/100))))</f>
        <v/>
      </c>
      <c r="N3324" s="134"/>
      <c r="O3324" s="29"/>
      <c r="P3324" s="37" t="str">
        <f t="shared" ref="P3324:P3387" si="360">IF(F3324="수정 후 재사용",IF(H3324="ILF",G3324,IF(H3324="EIF",G3324,"")),"")</f>
        <v/>
      </c>
      <c r="Q3324" s="38" t="str">
        <f t="shared" ref="Q3324:Q3387" si="361">IF(P3324&lt;&gt;"",IF(H3324="ILF", L3324/$E$46,IF(H3324="EIF", L3324/$E$46,"")),"")</f>
        <v/>
      </c>
      <c r="R3324" s="37" t="str">
        <f t="shared" ref="R3324:R3387" si="362">IF(P3324&lt;&gt;"",P3324*Q3324,"")</f>
        <v/>
      </c>
      <c r="S3324" s="37" t="str">
        <f t="shared" ref="S3324:S3387" si="363">IF(F3324="수정 후 재사용",IF(H3324="EI",G3324,IF(H3324="EO",G3324,IF(H3324="EQ",G3324,""))),"")</f>
        <v/>
      </c>
      <c r="T3324" s="38" t="str">
        <f t="shared" ref="T3324:T3387" si="364">IF(S3324&lt;&gt;"",IF(H3324="EI",L3324/$E$47,IF(H3324="EO",L3324/$E$47,IF(H3324="EQ",L3324/$E$47,""))),"")</f>
        <v/>
      </c>
      <c r="U3324" s="37" t="str">
        <f t="shared" ref="U3324:U3387" si="365">IF(S3324&lt;&gt;"",S3324*T3324,"")</f>
        <v/>
      </c>
    </row>
    <row r="3325" spans="2:21" ht="17.25">
      <c r="B3325" s="156"/>
      <c r="C3325" s="156"/>
      <c r="D3325" s="157"/>
      <c r="E3325" s="155"/>
      <c r="F3325" s="151"/>
      <c r="G3325" s="152"/>
      <c r="H3325" s="153"/>
      <c r="I3325" s="154"/>
      <c r="J3325" s="154"/>
      <c r="K3325" s="30" t="str">
        <f>IF(H3325="","",IF($C$30="간이법","",FPR(H3325,I3325,J3325)))</f>
        <v/>
      </c>
      <c r="L3325" s="30" t="str">
        <f>IF(H3325="","",IF($C$30="상세법",FPV(H3325,K3325),IF(H3325="EI",4,IF(H3325="EO",5.2,IF(H3325="EQ",3.9,IF(H3325="ILF",7.5,IF(H3325="EIF",5.4)))))))</f>
        <v/>
      </c>
      <c r="M3325" s="30" t="str">
        <f t="shared" si="359"/>
        <v/>
      </c>
      <c r="N3325" s="134"/>
      <c r="O3325" s="29"/>
      <c r="P3325" s="37" t="str">
        <f t="shared" si="360"/>
        <v/>
      </c>
      <c r="Q3325" s="38" t="str">
        <f t="shared" si="361"/>
        <v/>
      </c>
      <c r="R3325" s="37" t="str">
        <f t="shared" si="362"/>
        <v/>
      </c>
      <c r="S3325" s="37" t="str">
        <f t="shared" si="363"/>
        <v/>
      </c>
      <c r="T3325" s="38" t="str">
        <f t="shared" si="364"/>
        <v/>
      </c>
      <c r="U3325" s="37" t="str">
        <f t="shared" si="365"/>
        <v/>
      </c>
    </row>
    <row r="3326" spans="2:21" ht="17.25">
      <c r="B3326" s="156"/>
      <c r="C3326" s="156"/>
      <c r="D3326" s="157"/>
      <c r="E3326" s="155"/>
      <c r="F3326" s="151"/>
      <c r="G3326" s="152"/>
      <c r="H3326" s="153"/>
      <c r="I3326" s="154"/>
      <c r="J3326" s="154"/>
      <c r="K3326" s="30" t="str">
        <f>IF(H3326="","",IF($C$30="간이법","",FPR(H3326,I3326,J3326)))</f>
        <v/>
      </c>
      <c r="L3326" s="30" t="str">
        <f>IF(H3326="","",IF($C$30="상세법",FPV(H3326,K3326),IF(H3326="EI",4,IF(H3326="EO",5.2,IF(H3326="EQ",3.9,IF(H3326="ILF",7.5,IF(H3326="EIF",5.4)))))))</f>
        <v/>
      </c>
      <c r="M3326" s="30" t="str">
        <f t="shared" si="359"/>
        <v/>
      </c>
      <c r="N3326" s="134"/>
      <c r="O3326" s="29"/>
      <c r="P3326" s="37" t="str">
        <f t="shared" si="360"/>
        <v/>
      </c>
      <c r="Q3326" s="38" t="str">
        <f t="shared" si="361"/>
        <v/>
      </c>
      <c r="R3326" s="37" t="str">
        <f t="shared" si="362"/>
        <v/>
      </c>
      <c r="S3326" s="37" t="str">
        <f t="shared" si="363"/>
        <v/>
      </c>
      <c r="T3326" s="38" t="str">
        <f t="shared" si="364"/>
        <v/>
      </c>
      <c r="U3326" s="37" t="str">
        <f t="shared" si="365"/>
        <v/>
      </c>
    </row>
    <row r="3327" spans="2:21" ht="17.25">
      <c r="B3327" s="156"/>
      <c r="C3327" s="156"/>
      <c r="D3327" s="157"/>
      <c r="E3327" s="155"/>
      <c r="F3327" s="151"/>
      <c r="G3327" s="152"/>
      <c r="H3327" s="153"/>
      <c r="I3327" s="154"/>
      <c r="J3327" s="154"/>
      <c r="K3327" s="30" t="str">
        <f>IF(H3327="","",IF($C$30="간이법","",FPR(H3327,I3327,J3327)))</f>
        <v/>
      </c>
      <c r="L3327" s="30" t="str">
        <f>IF(H3327="","",IF($C$30="상세법",FPV(H3327,K3327),IF(H3327="EI",4,IF(H3327="EO",5.2,IF(H3327="EQ",3.9,IF(H3327="ILF",7.5,IF(H3327="EIF",5.4)))))))</f>
        <v/>
      </c>
      <c r="M3327" s="30" t="str">
        <f t="shared" si="359"/>
        <v/>
      </c>
      <c r="N3327" s="134"/>
      <c r="O3327" s="29"/>
      <c r="P3327" s="37" t="str">
        <f t="shared" si="360"/>
        <v/>
      </c>
      <c r="Q3327" s="38" t="str">
        <f t="shared" si="361"/>
        <v/>
      </c>
      <c r="R3327" s="37" t="str">
        <f t="shared" si="362"/>
        <v/>
      </c>
      <c r="S3327" s="37" t="str">
        <f t="shared" si="363"/>
        <v/>
      </c>
      <c r="T3327" s="38" t="str">
        <f t="shared" si="364"/>
        <v/>
      </c>
      <c r="U3327" s="37" t="str">
        <f t="shared" si="365"/>
        <v/>
      </c>
    </row>
    <row r="3328" spans="2:21" ht="17.25">
      <c r="B3328" s="156"/>
      <c r="C3328" s="156"/>
      <c r="D3328" s="157"/>
      <c r="E3328" s="155"/>
      <c r="F3328" s="151"/>
      <c r="G3328" s="152"/>
      <c r="H3328" s="153"/>
      <c r="I3328" s="154"/>
      <c r="J3328" s="154"/>
      <c r="K3328" s="30" t="str">
        <f>IF(H3328="","",IF($C$30="간이법","",FPR(H3328,I3328,J3328)))</f>
        <v/>
      </c>
      <c r="L3328" s="30" t="str">
        <f>IF(H3328="","",IF($C$30="상세법",FPV(H3328,K3328),IF(H3328="EI",4,IF(H3328="EO",5.2,IF(H3328="EQ",3.9,IF(H3328="ILF",7.5,IF(H3328="EIF",5.4)))))))</f>
        <v/>
      </c>
      <c r="M3328" s="30" t="str">
        <f t="shared" si="359"/>
        <v/>
      </c>
      <c r="N3328" s="134"/>
      <c r="O3328" s="29"/>
      <c r="P3328" s="37" t="str">
        <f t="shared" si="360"/>
        <v/>
      </c>
      <c r="Q3328" s="38" t="str">
        <f t="shared" si="361"/>
        <v/>
      </c>
      <c r="R3328" s="37" t="str">
        <f t="shared" si="362"/>
        <v/>
      </c>
      <c r="S3328" s="37" t="str">
        <f t="shared" si="363"/>
        <v/>
      </c>
      <c r="T3328" s="38" t="str">
        <f t="shared" si="364"/>
        <v/>
      </c>
      <c r="U3328" s="37" t="str">
        <f t="shared" si="365"/>
        <v/>
      </c>
    </row>
    <row r="3329" spans="2:21" ht="17.25">
      <c r="B3329" s="156"/>
      <c r="C3329" s="156"/>
      <c r="D3329" s="157"/>
      <c r="E3329" s="155"/>
      <c r="F3329" s="151"/>
      <c r="G3329" s="152"/>
      <c r="H3329" s="153"/>
      <c r="I3329" s="154"/>
      <c r="J3329" s="154"/>
      <c r="K3329" s="30" t="str">
        <f>IF(H3329="","",IF($C$30="간이법","",FPR(H3329,I3329,J3329)))</f>
        <v/>
      </c>
      <c r="L3329" s="30" t="str">
        <f>IF(H3329="","",IF($C$30="상세법",FPV(H3329,K3329),IF(H3329="EI",4,IF(H3329="EO",5.2,IF(H3329="EQ",3.9,IF(H3329="ILF",7.5,IF(H3329="EIF",5.4)))))))</f>
        <v/>
      </c>
      <c r="M3329" s="30" t="str">
        <f t="shared" si="359"/>
        <v/>
      </c>
      <c r="N3329" s="134"/>
      <c r="O3329" s="29"/>
      <c r="P3329" s="37" t="str">
        <f t="shared" si="360"/>
        <v/>
      </c>
      <c r="Q3329" s="38" t="str">
        <f t="shared" si="361"/>
        <v/>
      </c>
      <c r="R3329" s="37" t="str">
        <f t="shared" si="362"/>
        <v/>
      </c>
      <c r="S3329" s="37" t="str">
        <f t="shared" si="363"/>
        <v/>
      </c>
      <c r="T3329" s="38" t="str">
        <f t="shared" si="364"/>
        <v/>
      </c>
      <c r="U3329" s="37" t="str">
        <f t="shared" si="365"/>
        <v/>
      </c>
    </row>
    <row r="3330" spans="2:21" ht="17.25">
      <c r="B3330" s="156"/>
      <c r="C3330" s="156"/>
      <c r="D3330" s="157"/>
      <c r="E3330" s="155"/>
      <c r="F3330" s="151"/>
      <c r="G3330" s="152"/>
      <c r="H3330" s="153"/>
      <c r="I3330" s="154"/>
      <c r="J3330" s="154"/>
      <c r="K3330" s="30" t="str">
        <f>IF(H3330="","",IF($C$30="간이법","",FPR(H3330,I3330,J3330)))</f>
        <v/>
      </c>
      <c r="L3330" s="30" t="str">
        <f>IF(H3330="","",IF($C$30="상세법",FPV(H3330,K3330),IF(H3330="EI",4,IF(H3330="EO",5.2,IF(H3330="EQ",3.9,IF(H3330="ILF",7.5,IF(H3330="EIF",5.4)))))))</f>
        <v/>
      </c>
      <c r="M3330" s="30" t="str">
        <f t="shared" si="359"/>
        <v/>
      </c>
      <c r="N3330" s="134"/>
      <c r="O3330" s="29"/>
      <c r="P3330" s="37" t="str">
        <f t="shared" si="360"/>
        <v/>
      </c>
      <c r="Q3330" s="38" t="str">
        <f t="shared" si="361"/>
        <v/>
      </c>
      <c r="R3330" s="37" t="str">
        <f t="shared" si="362"/>
        <v/>
      </c>
      <c r="S3330" s="37" t="str">
        <f t="shared" si="363"/>
        <v/>
      </c>
      <c r="T3330" s="38" t="str">
        <f t="shared" si="364"/>
        <v/>
      </c>
      <c r="U3330" s="37" t="str">
        <f t="shared" si="365"/>
        <v/>
      </c>
    </row>
    <row r="3331" spans="2:21" ht="17.25">
      <c r="B3331" s="156"/>
      <c r="C3331" s="156"/>
      <c r="D3331" s="157"/>
      <c r="E3331" s="155"/>
      <c r="F3331" s="151"/>
      <c r="G3331" s="152"/>
      <c r="H3331" s="153"/>
      <c r="I3331" s="154"/>
      <c r="J3331" s="154"/>
      <c r="K3331" s="30" t="str">
        <f>IF(H3331="","",IF($C$30="간이법","",FPR(H3331,I3331,J3331)))</f>
        <v/>
      </c>
      <c r="L3331" s="30" t="str">
        <f>IF(H3331="","",IF($C$30="상세법",FPV(H3331,K3331),IF(H3331="EI",4,IF(H3331="EO",5.2,IF(H3331="EQ",3.9,IF(H3331="ILF",7.5,IF(H3331="EIF",5.4)))))))</f>
        <v/>
      </c>
      <c r="M3331" s="30" t="str">
        <f t="shared" si="359"/>
        <v/>
      </c>
      <c r="N3331" s="134"/>
      <c r="O3331" s="29"/>
      <c r="P3331" s="37" t="str">
        <f t="shared" si="360"/>
        <v/>
      </c>
      <c r="Q3331" s="38" t="str">
        <f t="shared" si="361"/>
        <v/>
      </c>
      <c r="R3331" s="37" t="str">
        <f t="shared" si="362"/>
        <v/>
      </c>
      <c r="S3331" s="37" t="str">
        <f t="shared" si="363"/>
        <v/>
      </c>
      <c r="T3331" s="38" t="str">
        <f t="shared" si="364"/>
        <v/>
      </c>
      <c r="U3331" s="37" t="str">
        <f t="shared" si="365"/>
        <v/>
      </c>
    </row>
    <row r="3332" spans="2:21" ht="17.25">
      <c r="B3332" s="156"/>
      <c r="C3332" s="156"/>
      <c r="D3332" s="157"/>
      <c r="E3332" s="155"/>
      <c r="F3332" s="151"/>
      <c r="G3332" s="152"/>
      <c r="H3332" s="153"/>
      <c r="I3332" s="154"/>
      <c r="J3332" s="154"/>
      <c r="K3332" s="30" t="str">
        <f>IF(H3332="","",IF($C$30="간이법","",FPR(H3332,I3332,J3332)))</f>
        <v/>
      </c>
      <c r="L3332" s="30" t="str">
        <f>IF(H3332="","",IF($C$30="상세법",FPV(H3332,K3332),IF(H3332="EI",4,IF(H3332="EO",5.2,IF(H3332="EQ",3.9,IF(H3332="ILF",7.5,IF(H3332="EIF",5.4)))))))</f>
        <v/>
      </c>
      <c r="M3332" s="30" t="str">
        <f t="shared" si="359"/>
        <v/>
      </c>
      <c r="N3332" s="134"/>
      <c r="O3332" s="29"/>
      <c r="P3332" s="37" t="str">
        <f t="shared" si="360"/>
        <v/>
      </c>
      <c r="Q3332" s="38" t="str">
        <f t="shared" si="361"/>
        <v/>
      </c>
      <c r="R3332" s="37" t="str">
        <f t="shared" si="362"/>
        <v/>
      </c>
      <c r="S3332" s="37" t="str">
        <f t="shared" si="363"/>
        <v/>
      </c>
      <c r="T3332" s="38" t="str">
        <f t="shared" si="364"/>
        <v/>
      </c>
      <c r="U3332" s="37" t="str">
        <f t="shared" si="365"/>
        <v/>
      </c>
    </row>
    <row r="3333" spans="2:21" ht="17.25">
      <c r="B3333" s="156"/>
      <c r="C3333" s="156"/>
      <c r="D3333" s="157"/>
      <c r="E3333" s="155"/>
      <c r="F3333" s="151"/>
      <c r="G3333" s="152"/>
      <c r="H3333" s="153"/>
      <c r="I3333" s="154"/>
      <c r="J3333" s="154"/>
      <c r="K3333" s="30" t="str">
        <f>IF(H3333="","",IF($C$30="간이법","",FPR(H3333,I3333,J3333)))</f>
        <v/>
      </c>
      <c r="L3333" s="30" t="str">
        <f>IF(H3333="","",IF($C$30="상세법",FPV(H3333,K3333),IF(H3333="EI",4,IF(H3333="EO",5.2,IF(H3333="EQ",3.9,IF(H3333="ILF",7.5,IF(H3333="EIF",5.4)))))))</f>
        <v/>
      </c>
      <c r="M3333" s="30" t="str">
        <f t="shared" si="359"/>
        <v/>
      </c>
      <c r="N3333" s="134"/>
      <c r="O3333" s="29"/>
      <c r="P3333" s="37" t="str">
        <f t="shared" si="360"/>
        <v/>
      </c>
      <c r="Q3333" s="38" t="str">
        <f t="shared" si="361"/>
        <v/>
      </c>
      <c r="R3333" s="37" t="str">
        <f t="shared" si="362"/>
        <v/>
      </c>
      <c r="S3333" s="37" t="str">
        <f t="shared" si="363"/>
        <v/>
      </c>
      <c r="T3333" s="38" t="str">
        <f t="shared" si="364"/>
        <v/>
      </c>
      <c r="U3333" s="37" t="str">
        <f t="shared" si="365"/>
        <v/>
      </c>
    </row>
    <row r="3334" spans="2:21" ht="17.25">
      <c r="B3334" s="156"/>
      <c r="C3334" s="156"/>
      <c r="D3334" s="157"/>
      <c r="E3334" s="155"/>
      <c r="F3334" s="151"/>
      <c r="G3334" s="152"/>
      <c r="H3334" s="153"/>
      <c r="I3334" s="154"/>
      <c r="J3334" s="154"/>
      <c r="K3334" s="30" t="str">
        <f>IF(H3334="","",IF($C$30="간이법","",FPR(H3334,I3334,J3334)))</f>
        <v/>
      </c>
      <c r="L3334" s="30" t="str">
        <f>IF(H3334="","",IF($C$30="상세법",FPV(H3334,K3334),IF(H3334="EI",4,IF(H3334="EO",5.2,IF(H3334="EQ",3.9,IF(H3334="ILF",7.5,IF(H3334="EIF",5.4)))))))</f>
        <v/>
      </c>
      <c r="M3334" s="30" t="str">
        <f t="shared" si="359"/>
        <v/>
      </c>
      <c r="N3334" s="134"/>
      <c r="O3334" s="29"/>
      <c r="P3334" s="37" t="str">
        <f t="shared" si="360"/>
        <v/>
      </c>
      <c r="Q3334" s="38" t="str">
        <f t="shared" si="361"/>
        <v/>
      </c>
      <c r="R3334" s="37" t="str">
        <f t="shared" si="362"/>
        <v/>
      </c>
      <c r="S3334" s="37" t="str">
        <f t="shared" si="363"/>
        <v/>
      </c>
      <c r="T3334" s="38" t="str">
        <f t="shared" si="364"/>
        <v/>
      </c>
      <c r="U3334" s="37" t="str">
        <f t="shared" si="365"/>
        <v/>
      </c>
    </row>
    <row r="3335" spans="2:21" ht="17.25">
      <c r="B3335" s="156"/>
      <c r="C3335" s="156"/>
      <c r="D3335" s="157"/>
      <c r="E3335" s="155"/>
      <c r="F3335" s="151"/>
      <c r="G3335" s="152"/>
      <c r="H3335" s="153"/>
      <c r="I3335" s="154"/>
      <c r="J3335" s="154"/>
      <c r="K3335" s="30" t="str">
        <f>IF(H3335="","",IF($C$30="간이법","",FPR(H3335,I3335,J3335)))</f>
        <v/>
      </c>
      <c r="L3335" s="30" t="str">
        <f>IF(H3335="","",IF($C$30="상세법",FPV(H3335,K3335),IF(H3335="EI",4,IF(H3335="EO",5.2,IF(H3335="EQ",3.9,IF(H3335="ILF",7.5,IF(H3335="EIF",5.4)))))))</f>
        <v/>
      </c>
      <c r="M3335" s="30" t="str">
        <f t="shared" si="359"/>
        <v/>
      </c>
      <c r="N3335" s="134"/>
      <c r="O3335" s="29"/>
      <c r="P3335" s="37" t="str">
        <f t="shared" si="360"/>
        <v/>
      </c>
      <c r="Q3335" s="38" t="str">
        <f t="shared" si="361"/>
        <v/>
      </c>
      <c r="R3335" s="37" t="str">
        <f t="shared" si="362"/>
        <v/>
      </c>
      <c r="S3335" s="37" t="str">
        <f t="shared" si="363"/>
        <v/>
      </c>
      <c r="T3335" s="38" t="str">
        <f t="shared" si="364"/>
        <v/>
      </c>
      <c r="U3335" s="37" t="str">
        <f t="shared" si="365"/>
        <v/>
      </c>
    </row>
    <row r="3336" spans="2:21" ht="17.25">
      <c r="B3336" s="156"/>
      <c r="C3336" s="156"/>
      <c r="D3336" s="157"/>
      <c r="E3336" s="155"/>
      <c r="F3336" s="151"/>
      <c r="G3336" s="152"/>
      <c r="H3336" s="153"/>
      <c r="I3336" s="154"/>
      <c r="J3336" s="154"/>
      <c r="K3336" s="30" t="str">
        <f>IF(H3336="","",IF($C$30="간이법","",FPR(H3336,I3336,J3336)))</f>
        <v/>
      </c>
      <c r="L3336" s="30" t="str">
        <f>IF(H3336="","",IF($C$30="상세법",FPV(H3336,K3336),IF(H3336="EI",4,IF(H3336="EO",5.2,IF(H3336="EQ",3.9,IF(H3336="ILF",7.5,IF(H3336="EIF",5.4)))))))</f>
        <v/>
      </c>
      <c r="M3336" s="30" t="str">
        <f t="shared" si="359"/>
        <v/>
      </c>
      <c r="N3336" s="134"/>
      <c r="O3336" s="29"/>
      <c r="P3336" s="37" t="str">
        <f t="shared" si="360"/>
        <v/>
      </c>
      <c r="Q3336" s="38" t="str">
        <f t="shared" si="361"/>
        <v/>
      </c>
      <c r="R3336" s="37" t="str">
        <f t="shared" si="362"/>
        <v/>
      </c>
      <c r="S3336" s="37" t="str">
        <f t="shared" si="363"/>
        <v/>
      </c>
      <c r="T3336" s="38" t="str">
        <f t="shared" si="364"/>
        <v/>
      </c>
      <c r="U3336" s="37" t="str">
        <f t="shared" si="365"/>
        <v/>
      </c>
    </row>
    <row r="3337" spans="2:21" ht="17.25">
      <c r="B3337" s="156"/>
      <c r="C3337" s="156"/>
      <c r="D3337" s="157"/>
      <c r="E3337" s="155"/>
      <c r="F3337" s="151"/>
      <c r="G3337" s="152"/>
      <c r="H3337" s="153"/>
      <c r="I3337" s="154"/>
      <c r="J3337" s="154"/>
      <c r="K3337" s="30" t="str">
        <f>IF(H3337="","",IF($C$30="간이법","",FPR(H3337,I3337,J3337)))</f>
        <v/>
      </c>
      <c r="L3337" s="30" t="str">
        <f>IF(H3337="","",IF($C$30="상세법",FPV(H3337,K3337),IF(H3337="EI",4,IF(H3337="EO",5.2,IF(H3337="EQ",3.9,IF(H3337="ILF",7.5,IF(H3337="EIF",5.4)))))))</f>
        <v/>
      </c>
      <c r="M3337" s="30" t="str">
        <f t="shared" si="359"/>
        <v/>
      </c>
      <c r="N3337" s="134"/>
      <c r="O3337" s="29"/>
      <c r="P3337" s="37" t="str">
        <f t="shared" si="360"/>
        <v/>
      </c>
      <c r="Q3337" s="38" t="str">
        <f t="shared" si="361"/>
        <v/>
      </c>
      <c r="R3337" s="37" t="str">
        <f t="shared" si="362"/>
        <v/>
      </c>
      <c r="S3337" s="37" t="str">
        <f t="shared" si="363"/>
        <v/>
      </c>
      <c r="T3337" s="38" t="str">
        <f t="shared" si="364"/>
        <v/>
      </c>
      <c r="U3337" s="37" t="str">
        <f t="shared" si="365"/>
        <v/>
      </c>
    </row>
    <row r="3338" spans="2:21" ht="17.25">
      <c r="B3338" s="156"/>
      <c r="C3338" s="156"/>
      <c r="D3338" s="157"/>
      <c r="E3338" s="155"/>
      <c r="F3338" s="151"/>
      <c r="G3338" s="152"/>
      <c r="H3338" s="153"/>
      <c r="I3338" s="154"/>
      <c r="J3338" s="154"/>
      <c r="K3338" s="30" t="str">
        <f>IF(H3338="","",IF($C$30="간이법","",FPR(H3338,I3338,J3338)))</f>
        <v/>
      </c>
      <c r="L3338" s="30" t="str">
        <f>IF(H3338="","",IF($C$30="상세법",FPV(H3338,K3338),IF(H3338="EI",4,IF(H3338="EO",5.2,IF(H3338="EQ",3.9,IF(H3338="ILF",7.5,IF(H3338="EIF",5.4)))))))</f>
        <v/>
      </c>
      <c r="M3338" s="30" t="str">
        <f t="shared" si="359"/>
        <v/>
      </c>
      <c r="N3338" s="134"/>
      <c r="O3338" s="29"/>
      <c r="P3338" s="37" t="str">
        <f t="shared" si="360"/>
        <v/>
      </c>
      <c r="Q3338" s="38" t="str">
        <f t="shared" si="361"/>
        <v/>
      </c>
      <c r="R3338" s="37" t="str">
        <f t="shared" si="362"/>
        <v/>
      </c>
      <c r="S3338" s="37" t="str">
        <f t="shared" si="363"/>
        <v/>
      </c>
      <c r="T3338" s="38" t="str">
        <f t="shared" si="364"/>
        <v/>
      </c>
      <c r="U3338" s="37" t="str">
        <f t="shared" si="365"/>
        <v/>
      </c>
    </row>
    <row r="3339" spans="2:21" ht="17.25">
      <c r="B3339" s="156"/>
      <c r="C3339" s="156"/>
      <c r="D3339" s="157"/>
      <c r="E3339" s="155"/>
      <c r="F3339" s="151"/>
      <c r="G3339" s="152"/>
      <c r="H3339" s="153"/>
      <c r="I3339" s="154"/>
      <c r="J3339" s="154"/>
      <c r="K3339" s="30" t="str">
        <f>IF(H3339="","",IF($C$30="간이법","",FPR(H3339,I3339,J3339)))</f>
        <v/>
      </c>
      <c r="L3339" s="30" t="str">
        <f>IF(H3339="","",IF($C$30="상세법",FPV(H3339,K3339),IF(H3339="EI",4,IF(H3339="EO",5.2,IF(H3339="EQ",3.9,IF(H3339="ILF",7.5,IF(H3339="EIF",5.4)))))))</f>
        <v/>
      </c>
      <c r="M3339" s="30" t="str">
        <f t="shared" si="359"/>
        <v/>
      </c>
      <c r="N3339" s="134"/>
      <c r="O3339" s="29"/>
      <c r="P3339" s="37" t="str">
        <f t="shared" si="360"/>
        <v/>
      </c>
      <c r="Q3339" s="38" t="str">
        <f t="shared" si="361"/>
        <v/>
      </c>
      <c r="R3339" s="37" t="str">
        <f t="shared" si="362"/>
        <v/>
      </c>
      <c r="S3339" s="37" t="str">
        <f t="shared" si="363"/>
        <v/>
      </c>
      <c r="T3339" s="38" t="str">
        <f t="shared" si="364"/>
        <v/>
      </c>
      <c r="U3339" s="37" t="str">
        <f t="shared" si="365"/>
        <v/>
      </c>
    </row>
    <row r="3340" spans="2:21" ht="17.25">
      <c r="B3340" s="156"/>
      <c r="C3340" s="156"/>
      <c r="D3340" s="157"/>
      <c r="E3340" s="155"/>
      <c r="F3340" s="151"/>
      <c r="G3340" s="152"/>
      <c r="H3340" s="153"/>
      <c r="I3340" s="154"/>
      <c r="J3340" s="154"/>
      <c r="K3340" s="30" t="str">
        <f>IF(H3340="","",IF($C$30="간이법","",FPR(H3340,I3340,J3340)))</f>
        <v/>
      </c>
      <c r="L3340" s="30" t="str">
        <f>IF(H3340="","",IF($C$30="상세법",FPV(H3340,K3340),IF(H3340="EI",4,IF(H3340="EO",5.2,IF(H3340="EQ",3.9,IF(H3340="ILF",7.5,IF(H3340="EIF",5.4)))))))</f>
        <v/>
      </c>
      <c r="M3340" s="30" t="str">
        <f t="shared" si="359"/>
        <v/>
      </c>
      <c r="N3340" s="134"/>
      <c r="O3340" s="29"/>
      <c r="P3340" s="37" t="str">
        <f t="shared" si="360"/>
        <v/>
      </c>
      <c r="Q3340" s="38" t="str">
        <f t="shared" si="361"/>
        <v/>
      </c>
      <c r="R3340" s="37" t="str">
        <f t="shared" si="362"/>
        <v/>
      </c>
      <c r="S3340" s="37" t="str">
        <f t="shared" si="363"/>
        <v/>
      </c>
      <c r="T3340" s="38" t="str">
        <f t="shared" si="364"/>
        <v/>
      </c>
      <c r="U3340" s="37" t="str">
        <f t="shared" si="365"/>
        <v/>
      </c>
    </row>
    <row r="3341" spans="2:21" ht="17.25">
      <c r="B3341" s="156"/>
      <c r="C3341" s="156"/>
      <c r="D3341" s="157"/>
      <c r="E3341" s="155"/>
      <c r="F3341" s="151"/>
      <c r="G3341" s="152"/>
      <c r="H3341" s="153"/>
      <c r="I3341" s="154"/>
      <c r="J3341" s="154"/>
      <c r="K3341" s="30" t="str">
        <f>IF(H3341="","",IF($C$30="간이법","",FPR(H3341,I3341,J3341)))</f>
        <v/>
      </c>
      <c r="L3341" s="30" t="str">
        <f>IF(H3341="","",IF($C$30="상세법",FPV(H3341,K3341),IF(H3341="EI",4,IF(H3341="EO",5.2,IF(H3341="EQ",3.9,IF(H3341="ILF",7.5,IF(H3341="EIF",5.4)))))))</f>
        <v/>
      </c>
      <c r="M3341" s="30" t="str">
        <f t="shared" si="359"/>
        <v/>
      </c>
      <c r="N3341" s="134"/>
      <c r="O3341" s="29"/>
      <c r="P3341" s="37" t="str">
        <f t="shared" si="360"/>
        <v/>
      </c>
      <c r="Q3341" s="38" t="str">
        <f t="shared" si="361"/>
        <v/>
      </c>
      <c r="R3341" s="37" t="str">
        <f t="shared" si="362"/>
        <v/>
      </c>
      <c r="S3341" s="37" t="str">
        <f t="shared" si="363"/>
        <v/>
      </c>
      <c r="T3341" s="38" t="str">
        <f t="shared" si="364"/>
        <v/>
      </c>
      <c r="U3341" s="37" t="str">
        <f t="shared" si="365"/>
        <v/>
      </c>
    </row>
    <row r="3342" spans="2:21" ht="17.25">
      <c r="B3342" s="156"/>
      <c r="C3342" s="156"/>
      <c r="D3342" s="157"/>
      <c r="E3342" s="155"/>
      <c r="F3342" s="151"/>
      <c r="G3342" s="152"/>
      <c r="H3342" s="153"/>
      <c r="I3342" s="154"/>
      <c r="J3342" s="154"/>
      <c r="K3342" s="30" t="str">
        <f>IF(H3342="","",IF($C$30="간이법","",FPR(H3342,I3342,J3342)))</f>
        <v/>
      </c>
      <c r="L3342" s="30" t="str">
        <f>IF(H3342="","",IF($C$30="상세법",FPV(H3342,K3342),IF(H3342="EI",4,IF(H3342="EO",5.2,IF(H3342="EQ",3.9,IF(H3342="ILF",7.5,IF(H3342="EIF",5.4)))))))</f>
        <v/>
      </c>
      <c r="M3342" s="30" t="str">
        <f t="shared" si="359"/>
        <v/>
      </c>
      <c r="N3342" s="134"/>
      <c r="O3342" s="29"/>
      <c r="P3342" s="37" t="str">
        <f t="shared" si="360"/>
        <v/>
      </c>
      <c r="Q3342" s="38" t="str">
        <f t="shared" si="361"/>
        <v/>
      </c>
      <c r="R3342" s="37" t="str">
        <f t="shared" si="362"/>
        <v/>
      </c>
      <c r="S3342" s="37" t="str">
        <f t="shared" si="363"/>
        <v/>
      </c>
      <c r="T3342" s="38" t="str">
        <f t="shared" si="364"/>
        <v/>
      </c>
      <c r="U3342" s="37" t="str">
        <f t="shared" si="365"/>
        <v/>
      </c>
    </row>
    <row r="3343" spans="2:21" ht="17.25">
      <c r="B3343" s="156"/>
      <c r="C3343" s="156"/>
      <c r="D3343" s="157"/>
      <c r="E3343" s="155"/>
      <c r="F3343" s="151"/>
      <c r="G3343" s="152"/>
      <c r="H3343" s="153"/>
      <c r="I3343" s="154"/>
      <c r="J3343" s="154"/>
      <c r="K3343" s="30" t="str">
        <f>IF(H3343="","",IF($C$30="간이법","",FPR(H3343,I3343,J3343)))</f>
        <v/>
      </c>
      <c r="L3343" s="30" t="str">
        <f>IF(H3343="","",IF($C$30="상세법",FPV(H3343,K3343),IF(H3343="EI",4,IF(H3343="EO",5.2,IF(H3343="EQ",3.9,IF(H3343="ILF",7.5,IF(H3343="EIF",5.4)))))))</f>
        <v/>
      </c>
      <c r="M3343" s="30" t="str">
        <f t="shared" si="359"/>
        <v/>
      </c>
      <c r="N3343" s="134"/>
      <c r="O3343" s="29"/>
      <c r="P3343" s="37" t="str">
        <f t="shared" si="360"/>
        <v/>
      </c>
      <c r="Q3343" s="38" t="str">
        <f t="shared" si="361"/>
        <v/>
      </c>
      <c r="R3343" s="37" t="str">
        <f t="shared" si="362"/>
        <v/>
      </c>
      <c r="S3343" s="37" t="str">
        <f t="shared" si="363"/>
        <v/>
      </c>
      <c r="T3343" s="38" t="str">
        <f t="shared" si="364"/>
        <v/>
      </c>
      <c r="U3343" s="37" t="str">
        <f t="shared" si="365"/>
        <v/>
      </c>
    </row>
    <row r="3344" spans="2:21" ht="17.25">
      <c r="B3344" s="156"/>
      <c r="C3344" s="156"/>
      <c r="D3344" s="157"/>
      <c r="E3344" s="155"/>
      <c r="F3344" s="151"/>
      <c r="G3344" s="152"/>
      <c r="H3344" s="153"/>
      <c r="I3344" s="154"/>
      <c r="J3344" s="154"/>
      <c r="K3344" s="30" t="str">
        <f>IF(H3344="","",IF($C$30="간이법","",FPR(H3344,I3344,J3344)))</f>
        <v/>
      </c>
      <c r="L3344" s="30" t="str">
        <f>IF(H3344="","",IF($C$30="상세법",FPV(H3344,K3344),IF(H3344="EI",4,IF(H3344="EO",5.2,IF(H3344="EQ",3.9,IF(H3344="ILF",7.5,IF(H3344="EIF",5.4)))))))</f>
        <v/>
      </c>
      <c r="M3344" s="30" t="str">
        <f t="shared" si="359"/>
        <v/>
      </c>
      <c r="N3344" s="134"/>
      <c r="O3344" s="29"/>
      <c r="P3344" s="37" t="str">
        <f t="shared" si="360"/>
        <v/>
      </c>
      <c r="Q3344" s="38" t="str">
        <f t="shared" si="361"/>
        <v/>
      </c>
      <c r="R3344" s="37" t="str">
        <f t="shared" si="362"/>
        <v/>
      </c>
      <c r="S3344" s="37" t="str">
        <f t="shared" si="363"/>
        <v/>
      </c>
      <c r="T3344" s="38" t="str">
        <f t="shared" si="364"/>
        <v/>
      </c>
      <c r="U3344" s="37" t="str">
        <f t="shared" si="365"/>
        <v/>
      </c>
    </row>
    <row r="3345" spans="2:21" ht="17.25">
      <c r="B3345" s="156"/>
      <c r="C3345" s="156"/>
      <c r="D3345" s="157"/>
      <c r="E3345" s="155"/>
      <c r="F3345" s="151"/>
      <c r="G3345" s="152"/>
      <c r="H3345" s="153"/>
      <c r="I3345" s="154"/>
      <c r="J3345" s="154"/>
      <c r="K3345" s="30" t="str">
        <f>IF(H3345="","",IF($C$30="간이법","",FPR(H3345,I3345,J3345)))</f>
        <v/>
      </c>
      <c r="L3345" s="30" t="str">
        <f>IF(H3345="","",IF($C$30="상세법",FPV(H3345,K3345),IF(H3345="EI",4,IF(H3345="EO",5.2,IF(H3345="EQ",3.9,IF(H3345="ILF",7.5,IF(H3345="EIF",5.4)))))))</f>
        <v/>
      </c>
      <c r="M3345" s="30" t="str">
        <f t="shared" si="359"/>
        <v/>
      </c>
      <c r="N3345" s="134"/>
      <c r="O3345" s="29"/>
      <c r="P3345" s="37" t="str">
        <f t="shared" si="360"/>
        <v/>
      </c>
      <c r="Q3345" s="38" t="str">
        <f t="shared" si="361"/>
        <v/>
      </c>
      <c r="R3345" s="37" t="str">
        <f t="shared" si="362"/>
        <v/>
      </c>
      <c r="S3345" s="37" t="str">
        <f t="shared" si="363"/>
        <v/>
      </c>
      <c r="T3345" s="38" t="str">
        <f t="shared" si="364"/>
        <v/>
      </c>
      <c r="U3345" s="37" t="str">
        <f t="shared" si="365"/>
        <v/>
      </c>
    </row>
    <row r="3346" spans="2:21" ht="17.25">
      <c r="B3346" s="156"/>
      <c r="C3346" s="156"/>
      <c r="D3346" s="157"/>
      <c r="E3346" s="155"/>
      <c r="F3346" s="151"/>
      <c r="G3346" s="152"/>
      <c r="H3346" s="153"/>
      <c r="I3346" s="154"/>
      <c r="J3346" s="154"/>
      <c r="K3346" s="30" t="str">
        <f>IF(H3346="","",IF($C$30="간이법","",FPR(H3346,I3346,J3346)))</f>
        <v/>
      </c>
      <c r="L3346" s="30" t="str">
        <f>IF(H3346="","",IF($C$30="상세법",FPV(H3346,K3346),IF(H3346="EI",4,IF(H3346="EO",5.2,IF(H3346="EQ",3.9,IF(H3346="ILF",7.5,IF(H3346="EIF",5.4)))))))</f>
        <v/>
      </c>
      <c r="M3346" s="30" t="str">
        <f t="shared" si="359"/>
        <v/>
      </c>
      <c r="N3346" s="134"/>
      <c r="O3346" s="29"/>
      <c r="P3346" s="37" t="str">
        <f t="shared" si="360"/>
        <v/>
      </c>
      <c r="Q3346" s="38" t="str">
        <f t="shared" si="361"/>
        <v/>
      </c>
      <c r="R3346" s="37" t="str">
        <f t="shared" si="362"/>
        <v/>
      </c>
      <c r="S3346" s="37" t="str">
        <f t="shared" si="363"/>
        <v/>
      </c>
      <c r="T3346" s="38" t="str">
        <f t="shared" si="364"/>
        <v/>
      </c>
      <c r="U3346" s="37" t="str">
        <f t="shared" si="365"/>
        <v/>
      </c>
    </row>
    <row r="3347" spans="2:21" ht="17.25">
      <c r="B3347" s="156"/>
      <c r="C3347" s="156"/>
      <c r="D3347" s="157"/>
      <c r="E3347" s="155"/>
      <c r="F3347" s="151"/>
      <c r="G3347" s="152"/>
      <c r="H3347" s="153"/>
      <c r="I3347" s="154"/>
      <c r="J3347" s="154"/>
      <c r="K3347" s="30" t="str">
        <f>IF(H3347="","",IF($C$30="간이법","",FPR(H3347,I3347,J3347)))</f>
        <v/>
      </c>
      <c r="L3347" s="30" t="str">
        <f>IF(H3347="","",IF($C$30="상세법",FPV(H3347,K3347),IF(H3347="EI",4,IF(H3347="EO",5.2,IF(H3347="EQ",3.9,IF(H3347="ILF",7.5,IF(H3347="EIF",5.4)))))))</f>
        <v/>
      </c>
      <c r="M3347" s="30" t="str">
        <f t="shared" si="359"/>
        <v/>
      </c>
      <c r="N3347" s="134"/>
      <c r="O3347" s="29"/>
      <c r="P3347" s="37" t="str">
        <f t="shared" si="360"/>
        <v/>
      </c>
      <c r="Q3347" s="38" t="str">
        <f t="shared" si="361"/>
        <v/>
      </c>
      <c r="R3347" s="37" t="str">
        <f t="shared" si="362"/>
        <v/>
      </c>
      <c r="S3347" s="37" t="str">
        <f t="shared" si="363"/>
        <v/>
      </c>
      <c r="T3347" s="38" t="str">
        <f t="shared" si="364"/>
        <v/>
      </c>
      <c r="U3347" s="37" t="str">
        <f t="shared" si="365"/>
        <v/>
      </c>
    </row>
    <row r="3348" spans="2:21" ht="17.25">
      <c r="B3348" s="156"/>
      <c r="C3348" s="156"/>
      <c r="D3348" s="157"/>
      <c r="E3348" s="155"/>
      <c r="F3348" s="151"/>
      <c r="G3348" s="152"/>
      <c r="H3348" s="153"/>
      <c r="I3348" s="154"/>
      <c r="J3348" s="154"/>
      <c r="K3348" s="30" t="str">
        <f>IF(H3348="","",IF($C$30="간이법","",FPR(H3348,I3348,J3348)))</f>
        <v/>
      </c>
      <c r="L3348" s="30" t="str">
        <f>IF(H3348="","",IF($C$30="상세법",FPV(H3348,K3348),IF(H3348="EI",4,IF(H3348="EO",5.2,IF(H3348="EQ",3.9,IF(H3348="ILF",7.5,IF(H3348="EIF",5.4)))))))</f>
        <v/>
      </c>
      <c r="M3348" s="30" t="str">
        <f t="shared" si="359"/>
        <v/>
      </c>
      <c r="N3348" s="134"/>
      <c r="O3348" s="29"/>
      <c r="P3348" s="37" t="str">
        <f t="shared" si="360"/>
        <v/>
      </c>
      <c r="Q3348" s="38" t="str">
        <f t="shared" si="361"/>
        <v/>
      </c>
      <c r="R3348" s="37" t="str">
        <f t="shared" si="362"/>
        <v/>
      </c>
      <c r="S3348" s="37" t="str">
        <f t="shared" si="363"/>
        <v/>
      </c>
      <c r="T3348" s="38" t="str">
        <f t="shared" si="364"/>
        <v/>
      </c>
      <c r="U3348" s="37" t="str">
        <f t="shared" si="365"/>
        <v/>
      </c>
    </row>
    <row r="3349" spans="2:21" ht="17.25">
      <c r="B3349" s="156"/>
      <c r="C3349" s="156"/>
      <c r="D3349" s="157"/>
      <c r="E3349" s="155"/>
      <c r="F3349" s="151"/>
      <c r="G3349" s="152"/>
      <c r="H3349" s="153"/>
      <c r="I3349" s="154"/>
      <c r="J3349" s="154"/>
      <c r="K3349" s="30" t="str">
        <f>IF(H3349="","",IF($C$30="간이법","",FPR(H3349,I3349,J3349)))</f>
        <v/>
      </c>
      <c r="L3349" s="30" t="str">
        <f>IF(H3349="","",IF($C$30="상세법",FPV(H3349,K3349),IF(H3349="EI",4,IF(H3349="EO",5.2,IF(H3349="EQ",3.9,IF(H3349="ILF",7.5,IF(H3349="EIF",5.4)))))))</f>
        <v/>
      </c>
      <c r="M3349" s="30" t="str">
        <f t="shared" si="359"/>
        <v/>
      </c>
      <c r="N3349" s="134"/>
      <c r="O3349" s="29"/>
      <c r="P3349" s="37" t="str">
        <f t="shared" si="360"/>
        <v/>
      </c>
      <c r="Q3349" s="38" t="str">
        <f t="shared" si="361"/>
        <v/>
      </c>
      <c r="R3349" s="37" t="str">
        <f t="shared" si="362"/>
        <v/>
      </c>
      <c r="S3349" s="37" t="str">
        <f t="shared" si="363"/>
        <v/>
      </c>
      <c r="T3349" s="38" t="str">
        <f t="shared" si="364"/>
        <v/>
      </c>
      <c r="U3349" s="37" t="str">
        <f t="shared" si="365"/>
        <v/>
      </c>
    </row>
    <row r="3350" spans="2:21" ht="17.25">
      <c r="B3350" s="156"/>
      <c r="C3350" s="156"/>
      <c r="D3350" s="157"/>
      <c r="E3350" s="155"/>
      <c r="F3350" s="151"/>
      <c r="G3350" s="152"/>
      <c r="H3350" s="153"/>
      <c r="I3350" s="154"/>
      <c r="J3350" s="154"/>
      <c r="K3350" s="30" t="str">
        <f>IF(H3350="","",IF($C$30="간이법","",FPR(H3350,I3350,J3350)))</f>
        <v/>
      </c>
      <c r="L3350" s="30" t="str">
        <f>IF(H3350="","",IF($C$30="상세법",FPV(H3350,K3350),IF(H3350="EI",4,IF(H3350="EO",5.2,IF(H3350="EQ",3.9,IF(H3350="ILF",7.5,IF(H3350="EIF",5.4)))))))</f>
        <v/>
      </c>
      <c r="M3350" s="30" t="str">
        <f t="shared" si="359"/>
        <v/>
      </c>
      <c r="N3350" s="134"/>
      <c r="O3350" s="29"/>
      <c r="P3350" s="37" t="str">
        <f t="shared" si="360"/>
        <v/>
      </c>
      <c r="Q3350" s="38" t="str">
        <f t="shared" si="361"/>
        <v/>
      </c>
      <c r="R3350" s="37" t="str">
        <f t="shared" si="362"/>
        <v/>
      </c>
      <c r="S3350" s="37" t="str">
        <f t="shared" si="363"/>
        <v/>
      </c>
      <c r="T3350" s="38" t="str">
        <f t="shared" si="364"/>
        <v/>
      </c>
      <c r="U3350" s="37" t="str">
        <f t="shared" si="365"/>
        <v/>
      </c>
    </row>
    <row r="3351" spans="2:21" ht="17.25">
      <c r="B3351" s="156"/>
      <c r="C3351" s="156"/>
      <c r="D3351" s="157"/>
      <c r="E3351" s="155"/>
      <c r="F3351" s="151"/>
      <c r="G3351" s="152"/>
      <c r="H3351" s="153"/>
      <c r="I3351" s="154"/>
      <c r="J3351" s="154"/>
      <c r="K3351" s="30" t="str">
        <f>IF(H3351="","",IF($C$30="간이법","",FPR(H3351,I3351,J3351)))</f>
        <v/>
      </c>
      <c r="L3351" s="30" t="str">
        <f>IF(H3351="","",IF($C$30="상세법",FPV(H3351,K3351),IF(H3351="EI",4,IF(H3351="EO",5.2,IF(H3351="EQ",3.9,IF(H3351="ILF",7.5,IF(H3351="EIF",5.4)))))))</f>
        <v/>
      </c>
      <c r="M3351" s="30" t="str">
        <f t="shared" si="359"/>
        <v/>
      </c>
      <c r="N3351" s="134"/>
      <c r="O3351" s="29"/>
      <c r="P3351" s="37" t="str">
        <f t="shared" si="360"/>
        <v/>
      </c>
      <c r="Q3351" s="38" t="str">
        <f t="shared" si="361"/>
        <v/>
      </c>
      <c r="R3351" s="37" t="str">
        <f t="shared" si="362"/>
        <v/>
      </c>
      <c r="S3351" s="37" t="str">
        <f t="shared" si="363"/>
        <v/>
      </c>
      <c r="T3351" s="38" t="str">
        <f t="shared" si="364"/>
        <v/>
      </c>
      <c r="U3351" s="37" t="str">
        <f t="shared" si="365"/>
        <v/>
      </c>
    </row>
    <row r="3352" spans="2:21" ht="17.25">
      <c r="B3352" s="156"/>
      <c r="C3352" s="156"/>
      <c r="D3352" s="157"/>
      <c r="E3352" s="155"/>
      <c r="F3352" s="151"/>
      <c r="G3352" s="152"/>
      <c r="H3352" s="153"/>
      <c r="I3352" s="154"/>
      <c r="J3352" s="154"/>
      <c r="K3352" s="30" t="str">
        <f>IF(H3352="","",IF($C$30="간이법","",FPR(H3352,I3352,J3352)))</f>
        <v/>
      </c>
      <c r="L3352" s="30" t="str">
        <f>IF(H3352="","",IF($C$30="상세법",FPV(H3352,K3352),IF(H3352="EI",4,IF(H3352="EO",5.2,IF(H3352="EQ",3.9,IF(H3352="ILF",7.5,IF(H3352="EIF",5.4)))))))</f>
        <v/>
      </c>
      <c r="M3352" s="30" t="str">
        <f t="shared" si="359"/>
        <v/>
      </c>
      <c r="N3352" s="134"/>
      <c r="O3352" s="29"/>
      <c r="P3352" s="37" t="str">
        <f t="shared" si="360"/>
        <v/>
      </c>
      <c r="Q3352" s="38" t="str">
        <f t="shared" si="361"/>
        <v/>
      </c>
      <c r="R3352" s="37" t="str">
        <f t="shared" si="362"/>
        <v/>
      </c>
      <c r="S3352" s="37" t="str">
        <f t="shared" si="363"/>
        <v/>
      </c>
      <c r="T3352" s="38" t="str">
        <f t="shared" si="364"/>
        <v/>
      </c>
      <c r="U3352" s="37" t="str">
        <f t="shared" si="365"/>
        <v/>
      </c>
    </row>
    <row r="3353" spans="2:21" ht="17.25">
      <c r="B3353" s="156"/>
      <c r="C3353" s="156"/>
      <c r="D3353" s="157"/>
      <c r="E3353" s="155"/>
      <c r="F3353" s="151"/>
      <c r="G3353" s="152"/>
      <c r="H3353" s="153"/>
      <c r="I3353" s="154"/>
      <c r="J3353" s="154"/>
      <c r="K3353" s="30" t="str">
        <f>IF(H3353="","",IF($C$30="간이법","",FPR(H3353,I3353,J3353)))</f>
        <v/>
      </c>
      <c r="L3353" s="30" t="str">
        <f>IF(H3353="","",IF($C$30="상세법",FPV(H3353,K3353),IF(H3353="EI",4,IF(H3353="EO",5.2,IF(H3353="EQ",3.9,IF(H3353="ILF",7.5,IF(H3353="EIF",5.4)))))))</f>
        <v/>
      </c>
      <c r="M3353" s="30" t="str">
        <f t="shared" si="359"/>
        <v/>
      </c>
      <c r="N3353" s="134"/>
      <c r="O3353" s="29"/>
      <c r="P3353" s="37" t="str">
        <f t="shared" si="360"/>
        <v/>
      </c>
      <c r="Q3353" s="38" t="str">
        <f t="shared" si="361"/>
        <v/>
      </c>
      <c r="R3353" s="37" t="str">
        <f t="shared" si="362"/>
        <v/>
      </c>
      <c r="S3353" s="37" t="str">
        <f t="shared" si="363"/>
        <v/>
      </c>
      <c r="T3353" s="38" t="str">
        <f t="shared" si="364"/>
        <v/>
      </c>
      <c r="U3353" s="37" t="str">
        <f t="shared" si="365"/>
        <v/>
      </c>
    </row>
    <row r="3354" spans="2:21" ht="17.25">
      <c r="B3354" s="156"/>
      <c r="C3354" s="156"/>
      <c r="D3354" s="157"/>
      <c r="E3354" s="155"/>
      <c r="F3354" s="151"/>
      <c r="G3354" s="152"/>
      <c r="H3354" s="153"/>
      <c r="I3354" s="154"/>
      <c r="J3354" s="154"/>
      <c r="K3354" s="30" t="str">
        <f>IF(H3354="","",IF($C$30="간이법","",FPR(H3354,I3354,J3354)))</f>
        <v/>
      </c>
      <c r="L3354" s="30" t="str">
        <f>IF(H3354="","",IF($C$30="상세법",FPV(H3354,K3354),IF(H3354="EI",4,IF(H3354="EO",5.2,IF(H3354="EQ",3.9,IF(H3354="ILF",7.5,IF(H3354="EIF",5.4)))))))</f>
        <v/>
      </c>
      <c r="M3354" s="30" t="str">
        <f t="shared" si="359"/>
        <v/>
      </c>
      <c r="N3354" s="134"/>
      <c r="O3354" s="29"/>
      <c r="P3354" s="37" t="str">
        <f t="shared" si="360"/>
        <v/>
      </c>
      <c r="Q3354" s="38" t="str">
        <f t="shared" si="361"/>
        <v/>
      </c>
      <c r="R3354" s="37" t="str">
        <f t="shared" si="362"/>
        <v/>
      </c>
      <c r="S3354" s="37" t="str">
        <f t="shared" si="363"/>
        <v/>
      </c>
      <c r="T3354" s="38" t="str">
        <f t="shared" si="364"/>
        <v/>
      </c>
      <c r="U3354" s="37" t="str">
        <f t="shared" si="365"/>
        <v/>
      </c>
    </row>
    <row r="3355" spans="2:21" ht="17.25">
      <c r="B3355" s="156"/>
      <c r="C3355" s="156"/>
      <c r="D3355" s="157"/>
      <c r="E3355" s="155"/>
      <c r="F3355" s="151"/>
      <c r="G3355" s="152"/>
      <c r="H3355" s="153"/>
      <c r="I3355" s="154"/>
      <c r="J3355" s="154"/>
      <c r="K3355" s="30" t="str">
        <f>IF(H3355="","",IF($C$30="간이법","",FPR(H3355,I3355,J3355)))</f>
        <v/>
      </c>
      <c r="L3355" s="30" t="str">
        <f>IF(H3355="","",IF($C$30="상세법",FPV(H3355,K3355),IF(H3355="EI",4,IF(H3355="EO",5.2,IF(H3355="EQ",3.9,IF(H3355="ILF",7.5,IF(H3355="EIF",5.4)))))))</f>
        <v/>
      </c>
      <c r="M3355" s="30" t="str">
        <f t="shared" si="359"/>
        <v/>
      </c>
      <c r="N3355" s="134"/>
      <c r="O3355" s="29"/>
      <c r="P3355" s="37" t="str">
        <f t="shared" si="360"/>
        <v/>
      </c>
      <c r="Q3355" s="38" t="str">
        <f t="shared" si="361"/>
        <v/>
      </c>
      <c r="R3355" s="37" t="str">
        <f t="shared" si="362"/>
        <v/>
      </c>
      <c r="S3355" s="37" t="str">
        <f t="shared" si="363"/>
        <v/>
      </c>
      <c r="T3355" s="38" t="str">
        <f t="shared" si="364"/>
        <v/>
      </c>
      <c r="U3355" s="37" t="str">
        <f t="shared" si="365"/>
        <v/>
      </c>
    </row>
    <row r="3356" spans="2:21" ht="17.25">
      <c r="B3356" s="156"/>
      <c r="C3356" s="156"/>
      <c r="D3356" s="157"/>
      <c r="E3356" s="155"/>
      <c r="F3356" s="151"/>
      <c r="G3356" s="152"/>
      <c r="H3356" s="153"/>
      <c r="I3356" s="154"/>
      <c r="J3356" s="154"/>
      <c r="K3356" s="30" t="str">
        <f>IF(H3356="","",IF($C$30="간이법","",FPR(H3356,I3356,J3356)))</f>
        <v/>
      </c>
      <c r="L3356" s="30" t="str">
        <f>IF(H3356="","",IF($C$30="상세법",FPV(H3356,K3356),IF(H3356="EI",4,IF(H3356="EO",5.2,IF(H3356="EQ",3.9,IF(H3356="ILF",7.5,IF(H3356="EIF",5.4)))))))</f>
        <v/>
      </c>
      <c r="M3356" s="30" t="str">
        <f t="shared" si="359"/>
        <v/>
      </c>
      <c r="N3356" s="134"/>
      <c r="O3356" s="29"/>
      <c r="P3356" s="37" t="str">
        <f t="shared" si="360"/>
        <v/>
      </c>
      <c r="Q3356" s="38" t="str">
        <f t="shared" si="361"/>
        <v/>
      </c>
      <c r="R3356" s="37" t="str">
        <f t="shared" si="362"/>
        <v/>
      </c>
      <c r="S3356" s="37" t="str">
        <f t="shared" si="363"/>
        <v/>
      </c>
      <c r="T3356" s="38" t="str">
        <f t="shared" si="364"/>
        <v/>
      </c>
      <c r="U3356" s="37" t="str">
        <f t="shared" si="365"/>
        <v/>
      </c>
    </row>
    <row r="3357" spans="2:21" ht="17.25">
      <c r="B3357" s="156"/>
      <c r="C3357" s="156"/>
      <c r="D3357" s="157"/>
      <c r="E3357" s="155"/>
      <c r="F3357" s="151"/>
      <c r="G3357" s="152"/>
      <c r="H3357" s="153"/>
      <c r="I3357" s="154"/>
      <c r="J3357" s="154"/>
      <c r="K3357" s="30" t="str">
        <f>IF(H3357="","",IF($C$30="간이법","",FPR(H3357,I3357,J3357)))</f>
        <v/>
      </c>
      <c r="L3357" s="30" t="str">
        <f>IF(H3357="","",IF($C$30="상세법",FPV(H3357,K3357),IF(H3357="EI",4,IF(H3357="EO",5.2,IF(H3357="EQ",3.9,IF(H3357="ILF",7.5,IF(H3357="EIF",5.4)))))))</f>
        <v/>
      </c>
      <c r="M3357" s="30" t="str">
        <f t="shared" si="359"/>
        <v/>
      </c>
      <c r="N3357" s="134"/>
      <c r="O3357" s="29"/>
      <c r="P3357" s="37" t="str">
        <f t="shared" si="360"/>
        <v/>
      </c>
      <c r="Q3357" s="38" t="str">
        <f t="shared" si="361"/>
        <v/>
      </c>
      <c r="R3357" s="37" t="str">
        <f t="shared" si="362"/>
        <v/>
      </c>
      <c r="S3357" s="37" t="str">
        <f t="shared" si="363"/>
        <v/>
      </c>
      <c r="T3357" s="38" t="str">
        <f t="shared" si="364"/>
        <v/>
      </c>
      <c r="U3357" s="37" t="str">
        <f t="shared" si="365"/>
        <v/>
      </c>
    </row>
    <row r="3358" spans="2:21" ht="17.25">
      <c r="B3358" s="156"/>
      <c r="C3358" s="156"/>
      <c r="D3358" s="157"/>
      <c r="E3358" s="155"/>
      <c r="F3358" s="151"/>
      <c r="G3358" s="152"/>
      <c r="H3358" s="153"/>
      <c r="I3358" s="154"/>
      <c r="J3358" s="154"/>
      <c r="K3358" s="30" t="str">
        <f>IF(H3358="","",IF($C$30="간이법","",FPR(H3358,I3358,J3358)))</f>
        <v/>
      </c>
      <c r="L3358" s="30" t="str">
        <f>IF(H3358="","",IF($C$30="상세법",FPV(H3358,K3358),IF(H3358="EI",4,IF(H3358="EO",5.2,IF(H3358="EQ",3.9,IF(H3358="ILF",7.5,IF(H3358="EIF",5.4)))))))</f>
        <v/>
      </c>
      <c r="M3358" s="30" t="str">
        <f t="shared" si="359"/>
        <v/>
      </c>
      <c r="N3358" s="134"/>
      <c r="O3358" s="29"/>
      <c r="P3358" s="37" t="str">
        <f t="shared" si="360"/>
        <v/>
      </c>
      <c r="Q3358" s="38" t="str">
        <f t="shared" si="361"/>
        <v/>
      </c>
      <c r="R3358" s="37" t="str">
        <f t="shared" si="362"/>
        <v/>
      </c>
      <c r="S3358" s="37" t="str">
        <f t="shared" si="363"/>
        <v/>
      </c>
      <c r="T3358" s="38" t="str">
        <f t="shared" si="364"/>
        <v/>
      </c>
      <c r="U3358" s="37" t="str">
        <f t="shared" si="365"/>
        <v/>
      </c>
    </row>
    <row r="3359" spans="2:21" ht="17.25">
      <c r="B3359" s="156"/>
      <c r="C3359" s="156"/>
      <c r="D3359" s="157"/>
      <c r="E3359" s="155"/>
      <c r="F3359" s="151"/>
      <c r="G3359" s="152"/>
      <c r="H3359" s="153"/>
      <c r="I3359" s="154"/>
      <c r="J3359" s="154"/>
      <c r="K3359" s="30" t="str">
        <f>IF(H3359="","",IF($C$30="간이법","",FPR(H3359,I3359,J3359)))</f>
        <v/>
      </c>
      <c r="L3359" s="30" t="str">
        <f>IF(H3359="","",IF($C$30="상세법",FPV(H3359,K3359),IF(H3359="EI",4,IF(H3359="EO",5.2,IF(H3359="EQ",3.9,IF(H3359="ILF",7.5,IF(H3359="EIF",5.4)))))))</f>
        <v/>
      </c>
      <c r="M3359" s="30" t="str">
        <f t="shared" si="359"/>
        <v/>
      </c>
      <c r="N3359" s="134"/>
      <c r="O3359" s="29"/>
      <c r="P3359" s="37" t="str">
        <f t="shared" si="360"/>
        <v/>
      </c>
      <c r="Q3359" s="38" t="str">
        <f t="shared" si="361"/>
        <v/>
      </c>
      <c r="R3359" s="37" t="str">
        <f t="shared" si="362"/>
        <v/>
      </c>
      <c r="S3359" s="37" t="str">
        <f t="shared" si="363"/>
        <v/>
      </c>
      <c r="T3359" s="38" t="str">
        <f t="shared" si="364"/>
        <v/>
      </c>
      <c r="U3359" s="37" t="str">
        <f t="shared" si="365"/>
        <v/>
      </c>
    </row>
    <row r="3360" spans="2:21" ht="17.25">
      <c r="B3360" s="156"/>
      <c r="C3360" s="156"/>
      <c r="D3360" s="157"/>
      <c r="E3360" s="155"/>
      <c r="F3360" s="151"/>
      <c r="G3360" s="152"/>
      <c r="H3360" s="153"/>
      <c r="I3360" s="154"/>
      <c r="J3360" s="154"/>
      <c r="K3360" s="30" t="str">
        <f>IF(H3360="","",IF($C$30="간이법","",FPR(H3360,I3360,J3360)))</f>
        <v/>
      </c>
      <c r="L3360" s="30" t="str">
        <f>IF(H3360="","",IF($C$30="상세법",FPV(H3360,K3360),IF(H3360="EI",4,IF(H3360="EO",5.2,IF(H3360="EQ",3.9,IF(H3360="ILF",7.5,IF(H3360="EIF",5.4)))))))</f>
        <v/>
      </c>
      <c r="M3360" s="30" t="str">
        <f t="shared" si="359"/>
        <v/>
      </c>
      <c r="N3360" s="134"/>
      <c r="O3360" s="29"/>
      <c r="P3360" s="37" t="str">
        <f t="shared" si="360"/>
        <v/>
      </c>
      <c r="Q3360" s="38" t="str">
        <f t="shared" si="361"/>
        <v/>
      </c>
      <c r="R3360" s="37" t="str">
        <f t="shared" si="362"/>
        <v/>
      </c>
      <c r="S3360" s="37" t="str">
        <f t="shared" si="363"/>
        <v/>
      </c>
      <c r="T3360" s="38" t="str">
        <f t="shared" si="364"/>
        <v/>
      </c>
      <c r="U3360" s="37" t="str">
        <f t="shared" si="365"/>
        <v/>
      </c>
    </row>
    <row r="3361" spans="2:21" ht="17.25">
      <c r="B3361" s="156"/>
      <c r="C3361" s="156"/>
      <c r="D3361" s="157"/>
      <c r="E3361" s="155"/>
      <c r="F3361" s="151"/>
      <c r="G3361" s="152"/>
      <c r="H3361" s="153"/>
      <c r="I3361" s="154"/>
      <c r="J3361" s="154"/>
      <c r="K3361" s="30" t="str">
        <f>IF(H3361="","",IF($C$30="간이법","",FPR(H3361,I3361,J3361)))</f>
        <v/>
      </c>
      <c r="L3361" s="30" t="str">
        <f>IF(H3361="","",IF($C$30="상세법",FPV(H3361,K3361),IF(H3361="EI",4,IF(H3361="EO",5.2,IF(H3361="EQ",3.9,IF(H3361="ILF",7.5,IF(H3361="EIF",5.4)))))))</f>
        <v/>
      </c>
      <c r="M3361" s="30" t="str">
        <f t="shared" si="359"/>
        <v/>
      </c>
      <c r="N3361" s="134"/>
      <c r="O3361" s="29"/>
      <c r="P3361" s="37" t="str">
        <f t="shared" si="360"/>
        <v/>
      </c>
      <c r="Q3361" s="38" t="str">
        <f t="shared" si="361"/>
        <v/>
      </c>
      <c r="R3361" s="37" t="str">
        <f t="shared" si="362"/>
        <v/>
      </c>
      <c r="S3361" s="37" t="str">
        <f t="shared" si="363"/>
        <v/>
      </c>
      <c r="T3361" s="38" t="str">
        <f t="shared" si="364"/>
        <v/>
      </c>
      <c r="U3361" s="37" t="str">
        <f t="shared" si="365"/>
        <v/>
      </c>
    </row>
    <row r="3362" spans="2:21" ht="17.25">
      <c r="B3362" s="156"/>
      <c r="C3362" s="156"/>
      <c r="D3362" s="157"/>
      <c r="E3362" s="155"/>
      <c r="F3362" s="151"/>
      <c r="G3362" s="152"/>
      <c r="H3362" s="153"/>
      <c r="I3362" s="154"/>
      <c r="J3362" s="154"/>
      <c r="K3362" s="30" t="str">
        <f>IF(H3362="","",IF($C$30="간이법","",FPR(H3362,I3362,J3362)))</f>
        <v/>
      </c>
      <c r="L3362" s="30" t="str">
        <f>IF(H3362="","",IF($C$30="상세법",FPV(H3362,K3362),IF(H3362="EI",4,IF(H3362="EO",5.2,IF(H3362="EQ",3.9,IF(H3362="ILF",7.5,IF(H3362="EIF",5.4)))))))</f>
        <v/>
      </c>
      <c r="M3362" s="30" t="str">
        <f t="shared" si="359"/>
        <v/>
      </c>
      <c r="N3362" s="134"/>
      <c r="O3362" s="29"/>
      <c r="P3362" s="37" t="str">
        <f t="shared" si="360"/>
        <v/>
      </c>
      <c r="Q3362" s="38" t="str">
        <f t="shared" si="361"/>
        <v/>
      </c>
      <c r="R3362" s="37" t="str">
        <f t="shared" si="362"/>
        <v/>
      </c>
      <c r="S3362" s="37" t="str">
        <f t="shared" si="363"/>
        <v/>
      </c>
      <c r="T3362" s="38" t="str">
        <f t="shared" si="364"/>
        <v/>
      </c>
      <c r="U3362" s="37" t="str">
        <f t="shared" si="365"/>
        <v/>
      </c>
    </row>
    <row r="3363" spans="2:21" ht="17.25">
      <c r="B3363" s="156"/>
      <c r="C3363" s="156"/>
      <c r="D3363" s="157"/>
      <c r="E3363" s="155"/>
      <c r="F3363" s="151"/>
      <c r="G3363" s="152"/>
      <c r="H3363" s="153"/>
      <c r="I3363" s="154"/>
      <c r="J3363" s="154"/>
      <c r="K3363" s="30" t="str">
        <f>IF(H3363="","",IF($C$30="간이법","",FPR(H3363,I3363,J3363)))</f>
        <v/>
      </c>
      <c r="L3363" s="30" t="str">
        <f>IF(H3363="","",IF($C$30="상세법",FPV(H3363,K3363),IF(H3363="EI",4,IF(H3363="EO",5.2,IF(H3363="EQ",3.9,IF(H3363="ILF",7.5,IF(H3363="EIF",5.4)))))))</f>
        <v/>
      </c>
      <c r="M3363" s="30" t="str">
        <f t="shared" si="359"/>
        <v/>
      </c>
      <c r="N3363" s="134"/>
      <c r="O3363" s="29"/>
      <c r="P3363" s="37" t="str">
        <f t="shared" si="360"/>
        <v/>
      </c>
      <c r="Q3363" s="38" t="str">
        <f t="shared" si="361"/>
        <v/>
      </c>
      <c r="R3363" s="37" t="str">
        <f t="shared" si="362"/>
        <v/>
      </c>
      <c r="S3363" s="37" t="str">
        <f t="shared" si="363"/>
        <v/>
      </c>
      <c r="T3363" s="38" t="str">
        <f t="shared" si="364"/>
        <v/>
      </c>
      <c r="U3363" s="37" t="str">
        <f t="shared" si="365"/>
        <v/>
      </c>
    </row>
    <row r="3364" spans="2:21" ht="17.25">
      <c r="B3364" s="156"/>
      <c r="C3364" s="156"/>
      <c r="D3364" s="157"/>
      <c r="E3364" s="155"/>
      <c r="F3364" s="151"/>
      <c r="G3364" s="152"/>
      <c r="H3364" s="153"/>
      <c r="I3364" s="154"/>
      <c r="J3364" s="154"/>
      <c r="K3364" s="30" t="str">
        <f>IF(H3364="","",IF($C$30="간이법","",FPR(H3364,I3364,J3364)))</f>
        <v/>
      </c>
      <c r="L3364" s="30" t="str">
        <f>IF(H3364="","",IF($C$30="상세법",FPV(H3364,K3364),IF(H3364="EI",4,IF(H3364="EO",5.2,IF(H3364="EQ",3.9,IF(H3364="ILF",7.5,IF(H3364="EIF",5.4)))))))</f>
        <v/>
      </c>
      <c r="M3364" s="30" t="str">
        <f t="shared" si="359"/>
        <v/>
      </c>
      <c r="N3364" s="134"/>
      <c r="O3364" s="29"/>
      <c r="P3364" s="37" t="str">
        <f t="shared" si="360"/>
        <v/>
      </c>
      <c r="Q3364" s="38" t="str">
        <f t="shared" si="361"/>
        <v/>
      </c>
      <c r="R3364" s="37" t="str">
        <f t="shared" si="362"/>
        <v/>
      </c>
      <c r="S3364" s="37" t="str">
        <f t="shared" si="363"/>
        <v/>
      </c>
      <c r="T3364" s="38" t="str">
        <f t="shared" si="364"/>
        <v/>
      </c>
      <c r="U3364" s="37" t="str">
        <f t="shared" si="365"/>
        <v/>
      </c>
    </row>
    <row r="3365" spans="2:21" ht="17.25">
      <c r="B3365" s="156"/>
      <c r="C3365" s="156"/>
      <c r="D3365" s="157"/>
      <c r="E3365" s="155"/>
      <c r="F3365" s="151"/>
      <c r="G3365" s="152"/>
      <c r="H3365" s="153"/>
      <c r="I3365" s="154"/>
      <c r="J3365" s="154"/>
      <c r="K3365" s="30" t="str">
        <f>IF(H3365="","",IF($C$30="간이법","",FPR(H3365,I3365,J3365)))</f>
        <v/>
      </c>
      <c r="L3365" s="30" t="str">
        <f>IF(H3365="","",IF($C$30="상세법",FPV(H3365,K3365),IF(H3365="EI",4,IF(H3365="EO",5.2,IF(H3365="EQ",3.9,IF(H3365="ILF",7.5,IF(H3365="EIF",5.4)))))))</f>
        <v/>
      </c>
      <c r="M3365" s="30" t="str">
        <f t="shared" si="359"/>
        <v/>
      </c>
      <c r="N3365" s="134"/>
      <c r="O3365" s="29"/>
      <c r="P3365" s="37" t="str">
        <f t="shared" si="360"/>
        <v/>
      </c>
      <c r="Q3365" s="38" t="str">
        <f t="shared" si="361"/>
        <v/>
      </c>
      <c r="R3365" s="37" t="str">
        <f t="shared" si="362"/>
        <v/>
      </c>
      <c r="S3365" s="37" t="str">
        <f t="shared" si="363"/>
        <v/>
      </c>
      <c r="T3365" s="38" t="str">
        <f t="shared" si="364"/>
        <v/>
      </c>
      <c r="U3365" s="37" t="str">
        <f t="shared" si="365"/>
        <v/>
      </c>
    </row>
    <row r="3366" spans="2:21" ht="17.25">
      <c r="B3366" s="156"/>
      <c r="C3366" s="156"/>
      <c r="D3366" s="157"/>
      <c r="E3366" s="155"/>
      <c r="F3366" s="151"/>
      <c r="G3366" s="152"/>
      <c r="H3366" s="153"/>
      <c r="I3366" s="154"/>
      <c r="J3366" s="154"/>
      <c r="K3366" s="30" t="str">
        <f>IF(H3366="","",IF($C$30="간이법","",FPR(H3366,I3366,J3366)))</f>
        <v/>
      </c>
      <c r="L3366" s="30" t="str">
        <f>IF(H3366="","",IF($C$30="상세법",FPV(H3366,K3366),IF(H3366="EI",4,IF(H3366="EO",5.2,IF(H3366="EQ",3.9,IF(H3366="ILF",7.5,IF(H3366="EIF",5.4)))))))</f>
        <v/>
      </c>
      <c r="M3366" s="30" t="str">
        <f t="shared" si="359"/>
        <v/>
      </c>
      <c r="N3366" s="134"/>
      <c r="O3366" s="29"/>
      <c r="P3366" s="37" t="str">
        <f t="shared" si="360"/>
        <v/>
      </c>
      <c r="Q3366" s="38" t="str">
        <f t="shared" si="361"/>
        <v/>
      </c>
      <c r="R3366" s="37" t="str">
        <f t="shared" si="362"/>
        <v/>
      </c>
      <c r="S3366" s="37" t="str">
        <f t="shared" si="363"/>
        <v/>
      </c>
      <c r="T3366" s="38" t="str">
        <f t="shared" si="364"/>
        <v/>
      </c>
      <c r="U3366" s="37" t="str">
        <f t="shared" si="365"/>
        <v/>
      </c>
    </row>
    <row r="3367" spans="2:21" ht="17.25">
      <c r="B3367" s="156"/>
      <c r="C3367" s="156"/>
      <c r="D3367" s="157"/>
      <c r="E3367" s="155"/>
      <c r="F3367" s="151"/>
      <c r="G3367" s="152"/>
      <c r="H3367" s="153"/>
      <c r="I3367" s="154"/>
      <c r="J3367" s="154"/>
      <c r="K3367" s="30" t="str">
        <f>IF(H3367="","",IF($C$30="간이법","",FPR(H3367,I3367,J3367)))</f>
        <v/>
      </c>
      <c r="L3367" s="30" t="str">
        <f>IF(H3367="","",IF($C$30="상세법",FPV(H3367,K3367),IF(H3367="EI",4,IF(H3367="EO",5.2,IF(H3367="EQ",3.9,IF(H3367="ILF",7.5,IF(H3367="EIF",5.4)))))))</f>
        <v/>
      </c>
      <c r="M3367" s="30" t="str">
        <f t="shared" si="359"/>
        <v/>
      </c>
      <c r="N3367" s="134"/>
      <c r="O3367" s="29"/>
      <c r="P3367" s="37" t="str">
        <f t="shared" si="360"/>
        <v/>
      </c>
      <c r="Q3367" s="38" t="str">
        <f t="shared" si="361"/>
        <v/>
      </c>
      <c r="R3367" s="37" t="str">
        <f t="shared" si="362"/>
        <v/>
      </c>
      <c r="S3367" s="37" t="str">
        <f t="shared" si="363"/>
        <v/>
      </c>
      <c r="T3367" s="38" t="str">
        <f t="shared" si="364"/>
        <v/>
      </c>
      <c r="U3367" s="37" t="str">
        <f t="shared" si="365"/>
        <v/>
      </c>
    </row>
    <row r="3368" spans="2:21" ht="17.25">
      <c r="B3368" s="156"/>
      <c r="C3368" s="156"/>
      <c r="D3368" s="157"/>
      <c r="E3368" s="155"/>
      <c r="F3368" s="151"/>
      <c r="G3368" s="152"/>
      <c r="H3368" s="153"/>
      <c r="I3368" s="154"/>
      <c r="J3368" s="154"/>
      <c r="K3368" s="30" t="str">
        <f>IF(H3368="","",IF($C$30="간이법","",FPR(H3368,I3368,J3368)))</f>
        <v/>
      </c>
      <c r="L3368" s="30" t="str">
        <f>IF(H3368="","",IF($C$30="상세법",FPV(H3368,K3368),IF(H3368="EI",4,IF(H3368="EO",5.2,IF(H3368="EQ",3.9,IF(H3368="ILF",7.5,IF(H3368="EIF",5.4)))))))</f>
        <v/>
      </c>
      <c r="M3368" s="30" t="str">
        <f t="shared" si="359"/>
        <v/>
      </c>
      <c r="N3368" s="134"/>
      <c r="O3368" s="29"/>
      <c r="P3368" s="37" t="str">
        <f t="shared" si="360"/>
        <v/>
      </c>
      <c r="Q3368" s="38" t="str">
        <f t="shared" si="361"/>
        <v/>
      </c>
      <c r="R3368" s="37" t="str">
        <f t="shared" si="362"/>
        <v/>
      </c>
      <c r="S3368" s="37" t="str">
        <f t="shared" si="363"/>
        <v/>
      </c>
      <c r="T3368" s="38" t="str">
        <f t="shared" si="364"/>
        <v/>
      </c>
      <c r="U3368" s="37" t="str">
        <f t="shared" si="365"/>
        <v/>
      </c>
    </row>
    <row r="3369" spans="2:21" ht="17.25">
      <c r="B3369" s="156"/>
      <c r="C3369" s="156"/>
      <c r="D3369" s="157"/>
      <c r="E3369" s="155"/>
      <c r="F3369" s="151"/>
      <c r="G3369" s="152"/>
      <c r="H3369" s="153"/>
      <c r="I3369" s="154"/>
      <c r="J3369" s="154"/>
      <c r="K3369" s="30" t="str">
        <f>IF(H3369="","",IF($C$30="간이법","",FPR(H3369,I3369,J3369)))</f>
        <v/>
      </c>
      <c r="L3369" s="30" t="str">
        <f>IF(H3369="","",IF($C$30="상세법",FPV(H3369,K3369),IF(H3369="EI",4,IF(H3369="EO",5.2,IF(H3369="EQ",3.9,IF(H3369="ILF",7.5,IF(H3369="EIF",5.4)))))))</f>
        <v/>
      </c>
      <c r="M3369" s="30" t="str">
        <f t="shared" si="359"/>
        <v/>
      </c>
      <c r="N3369" s="134"/>
      <c r="O3369" s="29"/>
      <c r="P3369" s="37" t="str">
        <f t="shared" si="360"/>
        <v/>
      </c>
      <c r="Q3369" s="38" t="str">
        <f t="shared" si="361"/>
        <v/>
      </c>
      <c r="R3369" s="37" t="str">
        <f t="shared" si="362"/>
        <v/>
      </c>
      <c r="S3369" s="37" t="str">
        <f t="shared" si="363"/>
        <v/>
      </c>
      <c r="T3369" s="38" t="str">
        <f t="shared" si="364"/>
        <v/>
      </c>
      <c r="U3369" s="37" t="str">
        <f t="shared" si="365"/>
        <v/>
      </c>
    </row>
    <row r="3370" spans="2:21" ht="17.25">
      <c r="B3370" s="156"/>
      <c r="C3370" s="156"/>
      <c r="D3370" s="157"/>
      <c r="E3370" s="155"/>
      <c r="F3370" s="151"/>
      <c r="G3370" s="152"/>
      <c r="H3370" s="153"/>
      <c r="I3370" s="154"/>
      <c r="J3370" s="154"/>
      <c r="K3370" s="30" t="str">
        <f>IF(H3370="","",IF($C$30="간이법","",FPR(H3370,I3370,J3370)))</f>
        <v/>
      </c>
      <c r="L3370" s="30" t="str">
        <f>IF(H3370="","",IF($C$30="상세법",FPV(H3370,K3370),IF(H3370="EI",4,IF(H3370="EO",5.2,IF(H3370="EQ",3.9,IF(H3370="ILF",7.5,IF(H3370="EIF",5.4)))))))</f>
        <v/>
      </c>
      <c r="M3370" s="30" t="str">
        <f t="shared" si="359"/>
        <v/>
      </c>
      <c r="N3370" s="134"/>
      <c r="O3370" s="29"/>
      <c r="P3370" s="37" t="str">
        <f t="shared" si="360"/>
        <v/>
      </c>
      <c r="Q3370" s="38" t="str">
        <f t="shared" si="361"/>
        <v/>
      </c>
      <c r="R3370" s="37" t="str">
        <f t="shared" si="362"/>
        <v/>
      </c>
      <c r="S3370" s="37" t="str">
        <f t="shared" si="363"/>
        <v/>
      </c>
      <c r="T3370" s="38" t="str">
        <f t="shared" si="364"/>
        <v/>
      </c>
      <c r="U3370" s="37" t="str">
        <f t="shared" si="365"/>
        <v/>
      </c>
    </row>
    <row r="3371" spans="2:21" ht="17.25">
      <c r="B3371" s="156"/>
      <c r="C3371" s="156"/>
      <c r="D3371" s="157"/>
      <c r="E3371" s="155"/>
      <c r="F3371" s="151"/>
      <c r="G3371" s="152"/>
      <c r="H3371" s="153"/>
      <c r="I3371" s="154"/>
      <c r="J3371" s="154"/>
      <c r="K3371" s="30" t="str">
        <f>IF(H3371="","",IF($C$30="간이법","",FPR(H3371,I3371,J3371)))</f>
        <v/>
      </c>
      <c r="L3371" s="30" t="str">
        <f>IF(H3371="","",IF($C$30="상세법",FPV(H3371,K3371),IF(H3371="EI",4,IF(H3371="EO",5.2,IF(H3371="EQ",3.9,IF(H3371="ILF",7.5,IF(H3371="EIF",5.4)))))))</f>
        <v/>
      </c>
      <c r="M3371" s="30" t="str">
        <f t="shared" si="359"/>
        <v/>
      </c>
      <c r="N3371" s="134"/>
      <c r="O3371" s="29"/>
      <c r="P3371" s="37" t="str">
        <f t="shared" si="360"/>
        <v/>
      </c>
      <c r="Q3371" s="38" t="str">
        <f t="shared" si="361"/>
        <v/>
      </c>
      <c r="R3371" s="37" t="str">
        <f t="shared" si="362"/>
        <v/>
      </c>
      <c r="S3371" s="37" t="str">
        <f t="shared" si="363"/>
        <v/>
      </c>
      <c r="T3371" s="38" t="str">
        <f t="shared" si="364"/>
        <v/>
      </c>
      <c r="U3371" s="37" t="str">
        <f t="shared" si="365"/>
        <v/>
      </c>
    </row>
    <row r="3372" spans="2:21" ht="17.25">
      <c r="B3372" s="156"/>
      <c r="C3372" s="156"/>
      <c r="D3372" s="157"/>
      <c r="E3372" s="155"/>
      <c r="F3372" s="151"/>
      <c r="G3372" s="152"/>
      <c r="H3372" s="153"/>
      <c r="I3372" s="154"/>
      <c r="J3372" s="154"/>
      <c r="K3372" s="30" t="str">
        <f>IF(H3372="","",IF($C$30="간이법","",FPR(H3372,I3372,J3372)))</f>
        <v/>
      </c>
      <c r="L3372" s="30" t="str">
        <f>IF(H3372="","",IF($C$30="상세법",FPV(H3372,K3372),IF(H3372="EI",4,IF(H3372="EO",5.2,IF(H3372="EQ",3.9,IF(H3372="ILF",7.5,IF(H3372="EIF",5.4)))))))</f>
        <v/>
      </c>
      <c r="M3372" s="30" t="str">
        <f t="shared" si="359"/>
        <v/>
      </c>
      <c r="N3372" s="134"/>
      <c r="O3372" s="29"/>
      <c r="P3372" s="37" t="str">
        <f t="shared" si="360"/>
        <v/>
      </c>
      <c r="Q3372" s="38" t="str">
        <f t="shared" si="361"/>
        <v/>
      </c>
      <c r="R3372" s="37" t="str">
        <f t="shared" si="362"/>
        <v/>
      </c>
      <c r="S3372" s="37" t="str">
        <f t="shared" si="363"/>
        <v/>
      </c>
      <c r="T3372" s="38" t="str">
        <f t="shared" si="364"/>
        <v/>
      </c>
      <c r="U3372" s="37" t="str">
        <f t="shared" si="365"/>
        <v/>
      </c>
    </row>
    <row r="3373" spans="2:21" ht="17.25">
      <c r="B3373" s="156"/>
      <c r="C3373" s="156"/>
      <c r="D3373" s="157"/>
      <c r="E3373" s="155"/>
      <c r="F3373" s="151"/>
      <c r="G3373" s="152"/>
      <c r="H3373" s="153"/>
      <c r="I3373" s="154"/>
      <c r="J3373" s="154"/>
      <c r="K3373" s="30" t="str">
        <f>IF(H3373="","",IF($C$30="간이법","",FPR(H3373,I3373,J3373)))</f>
        <v/>
      </c>
      <c r="L3373" s="30" t="str">
        <f>IF(H3373="","",IF($C$30="상세법",FPV(H3373,K3373),IF(H3373="EI",4,IF(H3373="EO",5.2,IF(H3373="EQ",3.9,IF(H3373="ILF",7.5,IF(H3373="EIF",5.4)))))))</f>
        <v/>
      </c>
      <c r="M3373" s="30" t="str">
        <f t="shared" si="359"/>
        <v/>
      </c>
      <c r="N3373" s="134"/>
      <c r="O3373" s="29"/>
      <c r="P3373" s="37" t="str">
        <f t="shared" si="360"/>
        <v/>
      </c>
      <c r="Q3373" s="38" t="str">
        <f t="shared" si="361"/>
        <v/>
      </c>
      <c r="R3373" s="37" t="str">
        <f t="shared" si="362"/>
        <v/>
      </c>
      <c r="S3373" s="37" t="str">
        <f t="shared" si="363"/>
        <v/>
      </c>
      <c r="T3373" s="38" t="str">
        <f t="shared" si="364"/>
        <v/>
      </c>
      <c r="U3373" s="37" t="str">
        <f t="shared" si="365"/>
        <v/>
      </c>
    </row>
    <row r="3374" spans="2:21" ht="17.25">
      <c r="B3374" s="156"/>
      <c r="C3374" s="156"/>
      <c r="D3374" s="157"/>
      <c r="E3374" s="155"/>
      <c r="F3374" s="151"/>
      <c r="G3374" s="152"/>
      <c r="H3374" s="153"/>
      <c r="I3374" s="154"/>
      <c r="J3374" s="154"/>
      <c r="K3374" s="30" t="str">
        <f>IF(H3374="","",IF($C$30="간이법","",FPR(H3374,I3374,J3374)))</f>
        <v/>
      </c>
      <c r="L3374" s="30" t="str">
        <f>IF(H3374="","",IF($C$30="상세법",FPV(H3374,K3374),IF(H3374="EI",4,IF(H3374="EO",5.2,IF(H3374="EQ",3.9,IF(H3374="ILF",7.5,IF(H3374="EIF",5.4)))))))</f>
        <v/>
      </c>
      <c r="M3374" s="30" t="str">
        <f t="shared" si="359"/>
        <v/>
      </c>
      <c r="N3374" s="134"/>
      <c r="O3374" s="29"/>
      <c r="P3374" s="37" t="str">
        <f t="shared" si="360"/>
        <v/>
      </c>
      <c r="Q3374" s="38" t="str">
        <f t="shared" si="361"/>
        <v/>
      </c>
      <c r="R3374" s="37" t="str">
        <f t="shared" si="362"/>
        <v/>
      </c>
      <c r="S3374" s="37" t="str">
        <f t="shared" si="363"/>
        <v/>
      </c>
      <c r="T3374" s="38" t="str">
        <f t="shared" si="364"/>
        <v/>
      </c>
      <c r="U3374" s="37" t="str">
        <f t="shared" si="365"/>
        <v/>
      </c>
    </row>
    <row r="3375" spans="2:21" ht="17.25">
      <c r="B3375" s="156"/>
      <c r="C3375" s="156"/>
      <c r="D3375" s="157"/>
      <c r="E3375" s="155"/>
      <c r="F3375" s="151"/>
      <c r="G3375" s="152"/>
      <c r="H3375" s="153"/>
      <c r="I3375" s="154"/>
      <c r="J3375" s="154"/>
      <c r="K3375" s="30" t="str">
        <f>IF(H3375="","",IF($C$30="간이법","",FPR(H3375,I3375,J3375)))</f>
        <v/>
      </c>
      <c r="L3375" s="30" t="str">
        <f>IF(H3375="","",IF($C$30="상세법",FPV(H3375,K3375),IF(H3375="EI",4,IF(H3375="EO",5.2,IF(H3375="EQ",3.9,IF(H3375="ILF",7.5,IF(H3375="EIF",5.4)))))))</f>
        <v/>
      </c>
      <c r="M3375" s="30" t="str">
        <f t="shared" si="359"/>
        <v/>
      </c>
      <c r="N3375" s="134"/>
      <c r="O3375" s="29"/>
      <c r="P3375" s="37" t="str">
        <f t="shared" si="360"/>
        <v/>
      </c>
      <c r="Q3375" s="38" t="str">
        <f t="shared" si="361"/>
        <v/>
      </c>
      <c r="R3375" s="37" t="str">
        <f t="shared" si="362"/>
        <v/>
      </c>
      <c r="S3375" s="37" t="str">
        <f t="shared" si="363"/>
        <v/>
      </c>
      <c r="T3375" s="38" t="str">
        <f t="shared" si="364"/>
        <v/>
      </c>
      <c r="U3375" s="37" t="str">
        <f t="shared" si="365"/>
        <v/>
      </c>
    </row>
    <row r="3376" spans="2:21" ht="17.25">
      <c r="B3376" s="156"/>
      <c r="C3376" s="156"/>
      <c r="D3376" s="157"/>
      <c r="E3376" s="155"/>
      <c r="F3376" s="151"/>
      <c r="G3376" s="152"/>
      <c r="H3376" s="153"/>
      <c r="I3376" s="154"/>
      <c r="J3376" s="154"/>
      <c r="K3376" s="30" t="str">
        <f>IF(H3376="","",IF($C$30="간이법","",FPR(H3376,I3376,J3376)))</f>
        <v/>
      </c>
      <c r="L3376" s="30" t="str">
        <f>IF(H3376="","",IF($C$30="상세법",FPV(H3376,K3376),IF(H3376="EI",4,IF(H3376="EO",5.2,IF(H3376="EQ",3.9,IF(H3376="ILF",7.5,IF(H3376="EIF",5.4)))))))</f>
        <v/>
      </c>
      <c r="M3376" s="30" t="str">
        <f t="shared" si="359"/>
        <v/>
      </c>
      <c r="N3376" s="134"/>
      <c r="O3376" s="29"/>
      <c r="P3376" s="37" t="str">
        <f t="shared" si="360"/>
        <v/>
      </c>
      <c r="Q3376" s="38" t="str">
        <f t="shared" si="361"/>
        <v/>
      </c>
      <c r="R3376" s="37" t="str">
        <f t="shared" si="362"/>
        <v/>
      </c>
      <c r="S3376" s="37" t="str">
        <f t="shared" si="363"/>
        <v/>
      </c>
      <c r="T3376" s="38" t="str">
        <f t="shared" si="364"/>
        <v/>
      </c>
      <c r="U3376" s="37" t="str">
        <f t="shared" si="365"/>
        <v/>
      </c>
    </row>
    <row r="3377" spans="2:21" ht="17.25">
      <c r="B3377" s="156"/>
      <c r="C3377" s="156"/>
      <c r="D3377" s="157"/>
      <c r="E3377" s="155"/>
      <c r="F3377" s="151"/>
      <c r="G3377" s="152"/>
      <c r="H3377" s="153"/>
      <c r="I3377" s="154"/>
      <c r="J3377" s="154"/>
      <c r="K3377" s="30" t="str">
        <f>IF(H3377="","",IF($C$30="간이법","",FPR(H3377,I3377,J3377)))</f>
        <v/>
      </c>
      <c r="L3377" s="30" t="str">
        <f>IF(H3377="","",IF($C$30="상세법",FPV(H3377,K3377),IF(H3377="EI",4,IF(H3377="EO",5.2,IF(H3377="EQ",3.9,IF(H3377="ILF",7.5,IF(H3377="EIF",5.4)))))))</f>
        <v/>
      </c>
      <c r="M3377" s="30" t="str">
        <f t="shared" si="359"/>
        <v/>
      </c>
      <c r="N3377" s="134"/>
      <c r="O3377" s="29"/>
      <c r="P3377" s="37" t="str">
        <f t="shared" si="360"/>
        <v/>
      </c>
      <c r="Q3377" s="38" t="str">
        <f t="shared" si="361"/>
        <v/>
      </c>
      <c r="R3377" s="37" t="str">
        <f t="shared" si="362"/>
        <v/>
      </c>
      <c r="S3377" s="37" t="str">
        <f t="shared" si="363"/>
        <v/>
      </c>
      <c r="T3377" s="38" t="str">
        <f t="shared" si="364"/>
        <v/>
      </c>
      <c r="U3377" s="37" t="str">
        <f t="shared" si="365"/>
        <v/>
      </c>
    </row>
    <row r="3378" spans="2:21" ht="17.25">
      <c r="B3378" s="156"/>
      <c r="C3378" s="156"/>
      <c r="D3378" s="157"/>
      <c r="E3378" s="155"/>
      <c r="F3378" s="151"/>
      <c r="G3378" s="152"/>
      <c r="H3378" s="153"/>
      <c r="I3378" s="154"/>
      <c r="J3378" s="154"/>
      <c r="K3378" s="30" t="str">
        <f>IF(H3378="","",IF($C$30="간이법","",FPR(H3378,I3378,J3378)))</f>
        <v/>
      </c>
      <c r="L3378" s="30" t="str">
        <f>IF(H3378="","",IF($C$30="상세법",FPV(H3378,K3378),IF(H3378="EI",4,IF(H3378="EO",5.2,IF(H3378="EQ",3.9,IF(H3378="ILF",7.5,IF(H3378="EIF",5.4)))))))</f>
        <v/>
      </c>
      <c r="M3378" s="30" t="str">
        <f t="shared" si="359"/>
        <v/>
      </c>
      <c r="N3378" s="134"/>
      <c r="O3378" s="29"/>
      <c r="P3378" s="37" t="str">
        <f t="shared" si="360"/>
        <v/>
      </c>
      <c r="Q3378" s="38" t="str">
        <f t="shared" si="361"/>
        <v/>
      </c>
      <c r="R3378" s="37" t="str">
        <f t="shared" si="362"/>
        <v/>
      </c>
      <c r="S3378" s="37" t="str">
        <f t="shared" si="363"/>
        <v/>
      </c>
      <c r="T3378" s="38" t="str">
        <f t="shared" si="364"/>
        <v/>
      </c>
      <c r="U3378" s="37" t="str">
        <f t="shared" si="365"/>
        <v/>
      </c>
    </row>
    <row r="3379" spans="2:21" ht="17.25">
      <c r="B3379" s="156"/>
      <c r="C3379" s="156"/>
      <c r="D3379" s="157"/>
      <c r="E3379" s="155"/>
      <c r="F3379" s="151"/>
      <c r="G3379" s="152"/>
      <c r="H3379" s="153"/>
      <c r="I3379" s="154"/>
      <c r="J3379" s="154"/>
      <c r="K3379" s="30" t="str">
        <f>IF(H3379="","",IF($C$30="간이법","",FPR(H3379,I3379,J3379)))</f>
        <v/>
      </c>
      <c r="L3379" s="30" t="str">
        <f>IF(H3379="","",IF($C$30="상세법",FPV(H3379,K3379),IF(H3379="EI",4,IF(H3379="EO",5.2,IF(H3379="EQ",3.9,IF(H3379="ILF",7.5,IF(H3379="EIF",5.4)))))))</f>
        <v/>
      </c>
      <c r="M3379" s="30" t="str">
        <f t="shared" si="359"/>
        <v/>
      </c>
      <c r="N3379" s="134"/>
      <c r="O3379" s="29"/>
      <c r="P3379" s="37" t="str">
        <f t="shared" si="360"/>
        <v/>
      </c>
      <c r="Q3379" s="38" t="str">
        <f t="shared" si="361"/>
        <v/>
      </c>
      <c r="R3379" s="37" t="str">
        <f t="shared" si="362"/>
        <v/>
      </c>
      <c r="S3379" s="37" t="str">
        <f t="shared" si="363"/>
        <v/>
      </c>
      <c r="T3379" s="38" t="str">
        <f t="shared" si="364"/>
        <v/>
      </c>
      <c r="U3379" s="37" t="str">
        <f t="shared" si="365"/>
        <v/>
      </c>
    </row>
    <row r="3380" spans="2:21" ht="17.25">
      <c r="B3380" s="156"/>
      <c r="C3380" s="156"/>
      <c r="D3380" s="157"/>
      <c r="E3380" s="155"/>
      <c r="F3380" s="151"/>
      <c r="G3380" s="152"/>
      <c r="H3380" s="153"/>
      <c r="I3380" s="154"/>
      <c r="J3380" s="154"/>
      <c r="K3380" s="30" t="str">
        <f>IF(H3380="","",IF($C$30="간이법","",FPR(H3380,I3380,J3380)))</f>
        <v/>
      </c>
      <c r="L3380" s="30" t="str">
        <f>IF(H3380="","",IF($C$30="상세법",FPV(H3380,K3380),IF(H3380="EI",4,IF(H3380="EO",5.2,IF(H3380="EQ",3.9,IF(H3380="ILF",7.5,IF(H3380="EIF",5.4)))))))</f>
        <v/>
      </c>
      <c r="M3380" s="30" t="str">
        <f t="shared" si="359"/>
        <v/>
      </c>
      <c r="N3380" s="134"/>
      <c r="O3380" s="29"/>
      <c r="P3380" s="37" t="str">
        <f t="shared" si="360"/>
        <v/>
      </c>
      <c r="Q3380" s="38" t="str">
        <f t="shared" si="361"/>
        <v/>
      </c>
      <c r="R3380" s="37" t="str">
        <f t="shared" si="362"/>
        <v/>
      </c>
      <c r="S3380" s="37" t="str">
        <f t="shared" si="363"/>
        <v/>
      </c>
      <c r="T3380" s="38" t="str">
        <f t="shared" si="364"/>
        <v/>
      </c>
      <c r="U3380" s="37" t="str">
        <f t="shared" si="365"/>
        <v/>
      </c>
    </row>
    <row r="3381" spans="2:21" ht="17.25">
      <c r="B3381" s="156"/>
      <c r="C3381" s="156"/>
      <c r="D3381" s="157"/>
      <c r="E3381" s="155"/>
      <c r="F3381" s="151"/>
      <c r="G3381" s="152"/>
      <c r="H3381" s="153"/>
      <c r="I3381" s="154"/>
      <c r="J3381" s="154"/>
      <c r="K3381" s="30" t="str">
        <f>IF(H3381="","",IF($C$30="간이법","",FPR(H3381,I3381,J3381)))</f>
        <v/>
      </c>
      <c r="L3381" s="30" t="str">
        <f>IF(H3381="","",IF($C$30="상세법",FPV(H3381,K3381),IF(H3381="EI",4,IF(H3381="EO",5.2,IF(H3381="EQ",3.9,IF(H3381="ILF",7.5,IF(H3381="EIF",5.4)))))))</f>
        <v/>
      </c>
      <c r="M3381" s="30" t="str">
        <f t="shared" si="359"/>
        <v/>
      </c>
      <c r="N3381" s="134"/>
      <c r="O3381" s="29"/>
      <c r="P3381" s="37" t="str">
        <f t="shared" si="360"/>
        <v/>
      </c>
      <c r="Q3381" s="38" t="str">
        <f t="shared" si="361"/>
        <v/>
      </c>
      <c r="R3381" s="37" t="str">
        <f t="shared" si="362"/>
        <v/>
      </c>
      <c r="S3381" s="37" t="str">
        <f t="shared" si="363"/>
        <v/>
      </c>
      <c r="T3381" s="38" t="str">
        <f t="shared" si="364"/>
        <v/>
      </c>
      <c r="U3381" s="37" t="str">
        <f t="shared" si="365"/>
        <v/>
      </c>
    </row>
    <row r="3382" spans="2:21" ht="17.25">
      <c r="B3382" s="156"/>
      <c r="C3382" s="156"/>
      <c r="D3382" s="157"/>
      <c r="E3382" s="155"/>
      <c r="F3382" s="151"/>
      <c r="G3382" s="152"/>
      <c r="H3382" s="153"/>
      <c r="I3382" s="154"/>
      <c r="J3382" s="154"/>
      <c r="K3382" s="30" t="str">
        <f>IF(H3382="","",IF($C$30="간이법","",FPR(H3382,I3382,J3382)))</f>
        <v/>
      </c>
      <c r="L3382" s="30" t="str">
        <f>IF(H3382="","",IF($C$30="상세법",FPV(H3382,K3382),IF(H3382="EI",4,IF(H3382="EO",5.2,IF(H3382="EQ",3.9,IF(H3382="ILF",7.5,IF(H3382="EIF",5.4)))))))</f>
        <v/>
      </c>
      <c r="M3382" s="30" t="str">
        <f t="shared" si="359"/>
        <v/>
      </c>
      <c r="N3382" s="134"/>
      <c r="O3382" s="29"/>
      <c r="P3382" s="37" t="str">
        <f t="shared" si="360"/>
        <v/>
      </c>
      <c r="Q3382" s="38" t="str">
        <f t="shared" si="361"/>
        <v/>
      </c>
      <c r="R3382" s="37" t="str">
        <f t="shared" si="362"/>
        <v/>
      </c>
      <c r="S3382" s="37" t="str">
        <f t="shared" si="363"/>
        <v/>
      </c>
      <c r="T3382" s="38" t="str">
        <f t="shared" si="364"/>
        <v/>
      </c>
      <c r="U3382" s="37" t="str">
        <f t="shared" si="365"/>
        <v/>
      </c>
    </row>
    <row r="3383" spans="2:21" ht="17.25">
      <c r="B3383" s="156"/>
      <c r="C3383" s="156"/>
      <c r="D3383" s="157"/>
      <c r="E3383" s="155"/>
      <c r="F3383" s="151"/>
      <c r="G3383" s="152"/>
      <c r="H3383" s="153"/>
      <c r="I3383" s="154"/>
      <c r="J3383" s="154"/>
      <c r="K3383" s="30" t="str">
        <f>IF(H3383="","",IF($C$30="간이법","",FPR(H3383,I3383,J3383)))</f>
        <v/>
      </c>
      <c r="L3383" s="30" t="str">
        <f>IF(H3383="","",IF($C$30="상세법",FPV(H3383,K3383),IF(H3383="EI",4,IF(H3383="EO",5.2,IF(H3383="EQ",3.9,IF(H3383="ILF",7.5,IF(H3383="EIF",5.4)))))))</f>
        <v/>
      </c>
      <c r="M3383" s="30" t="str">
        <f t="shared" si="359"/>
        <v/>
      </c>
      <c r="N3383" s="134"/>
      <c r="O3383" s="29"/>
      <c r="P3383" s="37" t="str">
        <f t="shared" si="360"/>
        <v/>
      </c>
      <c r="Q3383" s="38" t="str">
        <f t="shared" si="361"/>
        <v/>
      </c>
      <c r="R3383" s="37" t="str">
        <f t="shared" si="362"/>
        <v/>
      </c>
      <c r="S3383" s="37" t="str">
        <f t="shared" si="363"/>
        <v/>
      </c>
      <c r="T3383" s="38" t="str">
        <f t="shared" si="364"/>
        <v/>
      </c>
      <c r="U3383" s="37" t="str">
        <f t="shared" si="365"/>
        <v/>
      </c>
    </row>
    <row r="3384" spans="2:21" ht="17.25">
      <c r="B3384" s="156"/>
      <c r="C3384" s="156"/>
      <c r="D3384" s="157"/>
      <c r="E3384" s="155"/>
      <c r="F3384" s="151"/>
      <c r="G3384" s="152"/>
      <c r="H3384" s="153"/>
      <c r="I3384" s="154"/>
      <c r="J3384" s="154"/>
      <c r="K3384" s="30" t="str">
        <f>IF(H3384="","",IF($C$30="간이법","",FPR(H3384,I3384,J3384)))</f>
        <v/>
      </c>
      <c r="L3384" s="30" t="str">
        <f>IF(H3384="","",IF($C$30="상세법",FPV(H3384,K3384),IF(H3384="EI",4,IF(H3384="EO",5.2,IF(H3384="EQ",3.9,IF(H3384="ILF",7.5,IF(H3384="EIF",5.4)))))))</f>
        <v/>
      </c>
      <c r="M3384" s="30" t="str">
        <f t="shared" si="359"/>
        <v/>
      </c>
      <c r="N3384" s="134"/>
      <c r="O3384" s="29"/>
      <c r="P3384" s="37" t="str">
        <f t="shared" si="360"/>
        <v/>
      </c>
      <c r="Q3384" s="38" t="str">
        <f t="shared" si="361"/>
        <v/>
      </c>
      <c r="R3384" s="37" t="str">
        <f t="shared" si="362"/>
        <v/>
      </c>
      <c r="S3384" s="37" t="str">
        <f t="shared" si="363"/>
        <v/>
      </c>
      <c r="T3384" s="38" t="str">
        <f t="shared" si="364"/>
        <v/>
      </c>
      <c r="U3384" s="37" t="str">
        <f t="shared" si="365"/>
        <v/>
      </c>
    </row>
    <row r="3385" spans="2:21" ht="17.25">
      <c r="B3385" s="156"/>
      <c r="C3385" s="156"/>
      <c r="D3385" s="157"/>
      <c r="E3385" s="155"/>
      <c r="F3385" s="151"/>
      <c r="G3385" s="152"/>
      <c r="H3385" s="153"/>
      <c r="I3385" s="154"/>
      <c r="J3385" s="154"/>
      <c r="K3385" s="30" t="str">
        <f>IF(H3385="","",IF($C$30="간이법","",FPR(H3385,I3385,J3385)))</f>
        <v/>
      </c>
      <c r="L3385" s="30" t="str">
        <f>IF(H3385="","",IF($C$30="상세법",FPV(H3385,K3385),IF(H3385="EI",4,IF(H3385="EO",5.2,IF(H3385="EQ",3.9,IF(H3385="ILF",7.5,IF(H3385="EIF",5.4)))))))</f>
        <v/>
      </c>
      <c r="M3385" s="30" t="str">
        <f t="shared" si="359"/>
        <v/>
      </c>
      <c r="N3385" s="134"/>
      <c r="O3385" s="29"/>
      <c r="P3385" s="37" t="str">
        <f t="shared" si="360"/>
        <v/>
      </c>
      <c r="Q3385" s="38" t="str">
        <f t="shared" si="361"/>
        <v/>
      </c>
      <c r="R3385" s="37" t="str">
        <f t="shared" si="362"/>
        <v/>
      </c>
      <c r="S3385" s="37" t="str">
        <f t="shared" si="363"/>
        <v/>
      </c>
      <c r="T3385" s="38" t="str">
        <f t="shared" si="364"/>
        <v/>
      </c>
      <c r="U3385" s="37" t="str">
        <f t="shared" si="365"/>
        <v/>
      </c>
    </row>
    <row r="3386" spans="2:21" ht="17.25">
      <c r="B3386" s="156"/>
      <c r="C3386" s="156"/>
      <c r="D3386" s="157"/>
      <c r="E3386" s="155"/>
      <c r="F3386" s="151"/>
      <c r="G3386" s="152"/>
      <c r="H3386" s="153"/>
      <c r="I3386" s="154"/>
      <c r="J3386" s="154"/>
      <c r="K3386" s="30" t="str">
        <f>IF(H3386="","",IF($C$30="간이법","",FPR(H3386,I3386,J3386)))</f>
        <v/>
      </c>
      <c r="L3386" s="30" t="str">
        <f>IF(H3386="","",IF($C$30="상세법",FPV(H3386,K3386),IF(H3386="EI",4,IF(H3386="EO",5.2,IF(H3386="EQ",3.9,IF(H3386="ILF",7.5,IF(H3386="EIF",5.4)))))))</f>
        <v/>
      </c>
      <c r="M3386" s="30" t="str">
        <f t="shared" si="359"/>
        <v/>
      </c>
      <c r="N3386" s="134"/>
      <c r="O3386" s="29"/>
      <c r="P3386" s="37" t="str">
        <f t="shared" si="360"/>
        <v/>
      </c>
      <c r="Q3386" s="38" t="str">
        <f t="shared" si="361"/>
        <v/>
      </c>
      <c r="R3386" s="37" t="str">
        <f t="shared" si="362"/>
        <v/>
      </c>
      <c r="S3386" s="37" t="str">
        <f t="shared" si="363"/>
        <v/>
      </c>
      <c r="T3386" s="38" t="str">
        <f t="shared" si="364"/>
        <v/>
      </c>
      <c r="U3386" s="37" t="str">
        <f t="shared" si="365"/>
        <v/>
      </c>
    </row>
    <row r="3387" spans="2:21" ht="17.25">
      <c r="B3387" s="156"/>
      <c r="C3387" s="156"/>
      <c r="D3387" s="157"/>
      <c r="E3387" s="155"/>
      <c r="F3387" s="151"/>
      <c r="G3387" s="152"/>
      <c r="H3387" s="153"/>
      <c r="I3387" s="154"/>
      <c r="J3387" s="154"/>
      <c r="K3387" s="30" t="str">
        <f>IF(H3387="","",IF($C$30="간이법","",FPR(H3387,I3387,J3387)))</f>
        <v/>
      </c>
      <c r="L3387" s="30" t="str">
        <f>IF(H3387="","",IF($C$30="상세법",FPV(H3387,K3387),IF(H3387="EI",4,IF(H3387="EO",5.2,IF(H3387="EQ",3.9,IF(H3387="ILF",7.5,IF(H3387="EIF",5.4)))))))</f>
        <v/>
      </c>
      <c r="M3387" s="30" t="str">
        <f t="shared" si="359"/>
        <v/>
      </c>
      <c r="N3387" s="134"/>
      <c r="O3387" s="29"/>
      <c r="P3387" s="37" t="str">
        <f t="shared" si="360"/>
        <v/>
      </c>
      <c r="Q3387" s="38" t="str">
        <f t="shared" si="361"/>
        <v/>
      </c>
      <c r="R3387" s="37" t="str">
        <f t="shared" si="362"/>
        <v/>
      </c>
      <c r="S3387" s="37" t="str">
        <f t="shared" si="363"/>
        <v/>
      </c>
      <c r="T3387" s="38" t="str">
        <f t="shared" si="364"/>
        <v/>
      </c>
      <c r="U3387" s="37" t="str">
        <f t="shared" si="365"/>
        <v/>
      </c>
    </row>
    <row r="3388" spans="2:21" ht="17.25">
      <c r="B3388" s="156"/>
      <c r="C3388" s="156"/>
      <c r="D3388" s="157"/>
      <c r="E3388" s="155"/>
      <c r="F3388" s="151"/>
      <c r="G3388" s="152"/>
      <c r="H3388" s="153"/>
      <c r="I3388" s="154"/>
      <c r="J3388" s="154"/>
      <c r="K3388" s="30" t="str">
        <f>IF(H3388="","",IF($C$30="간이법","",FPR(H3388,I3388,J3388)))</f>
        <v/>
      </c>
      <c r="L3388" s="30" t="str">
        <f>IF(H3388="","",IF($C$30="상세법",FPV(H3388,K3388),IF(H3388="EI",4,IF(H3388="EO",5.2,IF(H3388="EQ",3.9,IF(H3388="ILF",7.5,IF(H3388="EIF",5.4)))))))</f>
        <v/>
      </c>
      <c r="M3388" s="30" t="str">
        <f t="shared" ref="M3388:M3451" si="366">IF(OR(G3388="",$E$36="(선택)",$E$40="(선택)",$E$41="(선택)",F3388="신규 개발",F3388="수정 없이 재사용"),"",(IF(F3388="수정 후 재사용",IF($E$50&lt;=0.5,L3388*($E$36+$E$50*100*(1+0.02*($E$40*$E$41)))/100,L3388*($E$36+$E$50*100+($E$40*$E$41))/100))))</f>
        <v/>
      </c>
      <c r="N3388" s="134"/>
      <c r="O3388" s="29"/>
      <c r="P3388" s="37" t="str">
        <f t="shared" ref="P3388:P3451" si="367">IF(F3388="수정 후 재사용",IF(H3388="ILF",G3388,IF(H3388="EIF",G3388,"")),"")</f>
        <v/>
      </c>
      <c r="Q3388" s="38" t="str">
        <f t="shared" ref="Q3388:Q3451" si="368">IF(P3388&lt;&gt;"",IF(H3388="ILF", L3388/$E$46,IF(H3388="EIF", L3388/$E$46,"")),"")</f>
        <v/>
      </c>
      <c r="R3388" s="37" t="str">
        <f t="shared" ref="R3388:R3451" si="369">IF(P3388&lt;&gt;"",P3388*Q3388,"")</f>
        <v/>
      </c>
      <c r="S3388" s="37" t="str">
        <f t="shared" ref="S3388:S3451" si="370">IF(F3388="수정 후 재사용",IF(H3388="EI",G3388,IF(H3388="EO",G3388,IF(H3388="EQ",G3388,""))),"")</f>
        <v/>
      </c>
      <c r="T3388" s="38" t="str">
        <f t="shared" ref="T3388:T3451" si="371">IF(S3388&lt;&gt;"",IF(H3388="EI",L3388/$E$47,IF(H3388="EO",L3388/$E$47,IF(H3388="EQ",L3388/$E$47,""))),"")</f>
        <v/>
      </c>
      <c r="U3388" s="37" t="str">
        <f t="shared" ref="U3388:U3451" si="372">IF(S3388&lt;&gt;"",S3388*T3388,"")</f>
        <v/>
      </c>
    </row>
    <row r="3389" spans="2:21" ht="17.25">
      <c r="B3389" s="156"/>
      <c r="C3389" s="156"/>
      <c r="D3389" s="157"/>
      <c r="E3389" s="155"/>
      <c r="F3389" s="151"/>
      <c r="G3389" s="152"/>
      <c r="H3389" s="153"/>
      <c r="I3389" s="154"/>
      <c r="J3389" s="154"/>
      <c r="K3389" s="30" t="str">
        <f>IF(H3389="","",IF($C$30="간이법","",FPR(H3389,I3389,J3389)))</f>
        <v/>
      </c>
      <c r="L3389" s="30" t="str">
        <f>IF(H3389="","",IF($C$30="상세법",FPV(H3389,K3389),IF(H3389="EI",4,IF(H3389="EO",5.2,IF(H3389="EQ",3.9,IF(H3389="ILF",7.5,IF(H3389="EIF",5.4)))))))</f>
        <v/>
      </c>
      <c r="M3389" s="30" t="str">
        <f t="shared" si="366"/>
        <v/>
      </c>
      <c r="N3389" s="134"/>
      <c r="O3389" s="29"/>
      <c r="P3389" s="37" t="str">
        <f t="shared" si="367"/>
        <v/>
      </c>
      <c r="Q3389" s="38" t="str">
        <f t="shared" si="368"/>
        <v/>
      </c>
      <c r="R3389" s="37" t="str">
        <f t="shared" si="369"/>
        <v/>
      </c>
      <c r="S3389" s="37" t="str">
        <f t="shared" si="370"/>
        <v/>
      </c>
      <c r="T3389" s="38" t="str">
        <f t="shared" si="371"/>
        <v/>
      </c>
      <c r="U3389" s="37" t="str">
        <f t="shared" si="372"/>
        <v/>
      </c>
    </row>
    <row r="3390" spans="2:21" ht="17.25">
      <c r="B3390" s="156"/>
      <c r="C3390" s="156"/>
      <c r="D3390" s="157"/>
      <c r="E3390" s="155"/>
      <c r="F3390" s="151"/>
      <c r="G3390" s="152"/>
      <c r="H3390" s="153"/>
      <c r="I3390" s="154"/>
      <c r="J3390" s="154"/>
      <c r="K3390" s="30" t="str">
        <f>IF(H3390="","",IF($C$30="간이법","",FPR(H3390,I3390,J3390)))</f>
        <v/>
      </c>
      <c r="L3390" s="30" t="str">
        <f>IF(H3390="","",IF($C$30="상세법",FPV(H3390,K3390),IF(H3390="EI",4,IF(H3390="EO",5.2,IF(H3390="EQ",3.9,IF(H3390="ILF",7.5,IF(H3390="EIF",5.4)))))))</f>
        <v/>
      </c>
      <c r="M3390" s="30" t="str">
        <f t="shared" si="366"/>
        <v/>
      </c>
      <c r="N3390" s="134"/>
      <c r="O3390" s="29"/>
      <c r="P3390" s="37" t="str">
        <f t="shared" si="367"/>
        <v/>
      </c>
      <c r="Q3390" s="38" t="str">
        <f t="shared" si="368"/>
        <v/>
      </c>
      <c r="R3390" s="37" t="str">
        <f t="shared" si="369"/>
        <v/>
      </c>
      <c r="S3390" s="37" t="str">
        <f t="shared" si="370"/>
        <v/>
      </c>
      <c r="T3390" s="38" t="str">
        <f t="shared" si="371"/>
        <v/>
      </c>
      <c r="U3390" s="37" t="str">
        <f t="shared" si="372"/>
        <v/>
      </c>
    </row>
    <row r="3391" spans="2:21" ht="17.25">
      <c r="B3391" s="156"/>
      <c r="C3391" s="156"/>
      <c r="D3391" s="157"/>
      <c r="E3391" s="155"/>
      <c r="F3391" s="151"/>
      <c r="G3391" s="152"/>
      <c r="H3391" s="153"/>
      <c r="I3391" s="154"/>
      <c r="J3391" s="154"/>
      <c r="K3391" s="30" t="str">
        <f>IF(H3391="","",IF($C$30="간이법","",FPR(H3391,I3391,J3391)))</f>
        <v/>
      </c>
      <c r="L3391" s="30" t="str">
        <f>IF(H3391="","",IF($C$30="상세법",FPV(H3391,K3391),IF(H3391="EI",4,IF(H3391="EO",5.2,IF(H3391="EQ",3.9,IF(H3391="ILF",7.5,IF(H3391="EIF",5.4)))))))</f>
        <v/>
      </c>
      <c r="M3391" s="30" t="str">
        <f t="shared" si="366"/>
        <v/>
      </c>
      <c r="N3391" s="134"/>
      <c r="O3391" s="29"/>
      <c r="P3391" s="37" t="str">
        <f t="shared" si="367"/>
        <v/>
      </c>
      <c r="Q3391" s="38" t="str">
        <f t="shared" si="368"/>
        <v/>
      </c>
      <c r="R3391" s="37" t="str">
        <f t="shared" si="369"/>
        <v/>
      </c>
      <c r="S3391" s="37" t="str">
        <f t="shared" si="370"/>
        <v/>
      </c>
      <c r="T3391" s="38" t="str">
        <f t="shared" si="371"/>
        <v/>
      </c>
      <c r="U3391" s="37" t="str">
        <f t="shared" si="372"/>
        <v/>
      </c>
    </row>
    <row r="3392" spans="2:21" ht="17.25">
      <c r="B3392" s="156"/>
      <c r="C3392" s="156"/>
      <c r="D3392" s="157"/>
      <c r="E3392" s="155"/>
      <c r="F3392" s="151"/>
      <c r="G3392" s="152"/>
      <c r="H3392" s="153"/>
      <c r="I3392" s="154"/>
      <c r="J3392" s="154"/>
      <c r="K3392" s="30" t="str">
        <f>IF(H3392="","",IF($C$30="간이법","",FPR(H3392,I3392,J3392)))</f>
        <v/>
      </c>
      <c r="L3392" s="30" t="str">
        <f>IF(H3392="","",IF($C$30="상세법",FPV(H3392,K3392),IF(H3392="EI",4,IF(H3392="EO",5.2,IF(H3392="EQ",3.9,IF(H3392="ILF",7.5,IF(H3392="EIF",5.4)))))))</f>
        <v/>
      </c>
      <c r="M3392" s="30" t="str">
        <f t="shared" si="366"/>
        <v/>
      </c>
      <c r="N3392" s="134"/>
      <c r="O3392" s="29"/>
      <c r="P3392" s="37" t="str">
        <f t="shared" si="367"/>
        <v/>
      </c>
      <c r="Q3392" s="38" t="str">
        <f t="shared" si="368"/>
        <v/>
      </c>
      <c r="R3392" s="37" t="str">
        <f t="shared" si="369"/>
        <v/>
      </c>
      <c r="S3392" s="37" t="str">
        <f t="shared" si="370"/>
        <v/>
      </c>
      <c r="T3392" s="38" t="str">
        <f t="shared" si="371"/>
        <v/>
      </c>
      <c r="U3392" s="37" t="str">
        <f t="shared" si="372"/>
        <v/>
      </c>
    </row>
    <row r="3393" spans="2:21" ht="17.25">
      <c r="B3393" s="156"/>
      <c r="C3393" s="156"/>
      <c r="D3393" s="157"/>
      <c r="E3393" s="155"/>
      <c r="F3393" s="151"/>
      <c r="G3393" s="152"/>
      <c r="H3393" s="153"/>
      <c r="I3393" s="154"/>
      <c r="J3393" s="154"/>
      <c r="K3393" s="30" t="str">
        <f>IF(H3393="","",IF($C$30="간이법","",FPR(H3393,I3393,J3393)))</f>
        <v/>
      </c>
      <c r="L3393" s="30" t="str">
        <f>IF(H3393="","",IF($C$30="상세법",FPV(H3393,K3393),IF(H3393="EI",4,IF(H3393="EO",5.2,IF(H3393="EQ",3.9,IF(H3393="ILF",7.5,IF(H3393="EIF",5.4)))))))</f>
        <v/>
      </c>
      <c r="M3393" s="30" t="str">
        <f t="shared" si="366"/>
        <v/>
      </c>
      <c r="N3393" s="134"/>
      <c r="O3393" s="29"/>
      <c r="P3393" s="37" t="str">
        <f t="shared" si="367"/>
        <v/>
      </c>
      <c r="Q3393" s="38" t="str">
        <f t="shared" si="368"/>
        <v/>
      </c>
      <c r="R3393" s="37" t="str">
        <f t="shared" si="369"/>
        <v/>
      </c>
      <c r="S3393" s="37" t="str">
        <f t="shared" si="370"/>
        <v/>
      </c>
      <c r="T3393" s="38" t="str">
        <f t="shared" si="371"/>
        <v/>
      </c>
      <c r="U3393" s="37" t="str">
        <f t="shared" si="372"/>
        <v/>
      </c>
    </row>
    <row r="3394" spans="2:21" ht="17.25">
      <c r="B3394" s="156"/>
      <c r="C3394" s="156"/>
      <c r="D3394" s="157"/>
      <c r="E3394" s="155"/>
      <c r="F3394" s="151"/>
      <c r="G3394" s="152"/>
      <c r="H3394" s="153"/>
      <c r="I3394" s="154"/>
      <c r="J3394" s="154"/>
      <c r="K3394" s="30" t="str">
        <f>IF(H3394="","",IF($C$30="간이법","",FPR(H3394,I3394,J3394)))</f>
        <v/>
      </c>
      <c r="L3394" s="30" t="str">
        <f>IF(H3394="","",IF($C$30="상세법",FPV(H3394,K3394),IF(H3394="EI",4,IF(H3394="EO",5.2,IF(H3394="EQ",3.9,IF(H3394="ILF",7.5,IF(H3394="EIF",5.4)))))))</f>
        <v/>
      </c>
      <c r="M3394" s="30" t="str">
        <f t="shared" si="366"/>
        <v/>
      </c>
      <c r="N3394" s="134"/>
      <c r="O3394" s="29"/>
      <c r="P3394" s="37" t="str">
        <f t="shared" si="367"/>
        <v/>
      </c>
      <c r="Q3394" s="38" t="str">
        <f t="shared" si="368"/>
        <v/>
      </c>
      <c r="R3394" s="37" t="str">
        <f t="shared" si="369"/>
        <v/>
      </c>
      <c r="S3394" s="37" t="str">
        <f t="shared" si="370"/>
        <v/>
      </c>
      <c r="T3394" s="38" t="str">
        <f t="shared" si="371"/>
        <v/>
      </c>
      <c r="U3394" s="37" t="str">
        <f t="shared" si="372"/>
        <v/>
      </c>
    </row>
    <row r="3395" spans="2:21" ht="17.25">
      <c r="B3395" s="156"/>
      <c r="C3395" s="156"/>
      <c r="D3395" s="157"/>
      <c r="E3395" s="155"/>
      <c r="F3395" s="151"/>
      <c r="G3395" s="152"/>
      <c r="H3395" s="153"/>
      <c r="I3395" s="154"/>
      <c r="J3395" s="154"/>
      <c r="K3395" s="30" t="str">
        <f>IF(H3395="","",IF($C$30="간이법","",FPR(H3395,I3395,J3395)))</f>
        <v/>
      </c>
      <c r="L3395" s="30" t="str">
        <f>IF(H3395="","",IF($C$30="상세법",FPV(H3395,K3395),IF(H3395="EI",4,IF(H3395="EO",5.2,IF(H3395="EQ",3.9,IF(H3395="ILF",7.5,IF(H3395="EIF",5.4)))))))</f>
        <v/>
      </c>
      <c r="M3395" s="30" t="str">
        <f t="shared" si="366"/>
        <v/>
      </c>
      <c r="N3395" s="134"/>
      <c r="O3395" s="29"/>
      <c r="P3395" s="37" t="str">
        <f t="shared" si="367"/>
        <v/>
      </c>
      <c r="Q3395" s="38" t="str">
        <f t="shared" si="368"/>
        <v/>
      </c>
      <c r="R3395" s="37" t="str">
        <f t="shared" si="369"/>
        <v/>
      </c>
      <c r="S3395" s="37" t="str">
        <f t="shared" si="370"/>
        <v/>
      </c>
      <c r="T3395" s="38" t="str">
        <f t="shared" si="371"/>
        <v/>
      </c>
      <c r="U3395" s="37" t="str">
        <f t="shared" si="372"/>
        <v/>
      </c>
    </row>
    <row r="3396" spans="2:21" ht="17.25">
      <c r="B3396" s="156"/>
      <c r="C3396" s="156"/>
      <c r="D3396" s="157"/>
      <c r="E3396" s="155"/>
      <c r="F3396" s="151"/>
      <c r="G3396" s="152"/>
      <c r="H3396" s="153"/>
      <c r="I3396" s="154"/>
      <c r="J3396" s="154"/>
      <c r="K3396" s="30" t="str">
        <f>IF(H3396="","",IF($C$30="간이법","",FPR(H3396,I3396,J3396)))</f>
        <v/>
      </c>
      <c r="L3396" s="30" t="str">
        <f>IF(H3396="","",IF($C$30="상세법",FPV(H3396,K3396),IF(H3396="EI",4,IF(H3396="EO",5.2,IF(H3396="EQ",3.9,IF(H3396="ILF",7.5,IF(H3396="EIF",5.4)))))))</f>
        <v/>
      </c>
      <c r="M3396" s="30" t="str">
        <f t="shared" si="366"/>
        <v/>
      </c>
      <c r="N3396" s="134"/>
      <c r="O3396" s="29"/>
      <c r="P3396" s="37" t="str">
        <f t="shared" si="367"/>
        <v/>
      </c>
      <c r="Q3396" s="38" t="str">
        <f t="shared" si="368"/>
        <v/>
      </c>
      <c r="R3396" s="37" t="str">
        <f t="shared" si="369"/>
        <v/>
      </c>
      <c r="S3396" s="37" t="str">
        <f t="shared" si="370"/>
        <v/>
      </c>
      <c r="T3396" s="38" t="str">
        <f t="shared" si="371"/>
        <v/>
      </c>
      <c r="U3396" s="37" t="str">
        <f t="shared" si="372"/>
        <v/>
      </c>
    </row>
    <row r="3397" spans="2:21" ht="17.25">
      <c r="B3397" s="156"/>
      <c r="C3397" s="156"/>
      <c r="D3397" s="157"/>
      <c r="E3397" s="155"/>
      <c r="F3397" s="151"/>
      <c r="G3397" s="152"/>
      <c r="H3397" s="153"/>
      <c r="I3397" s="154"/>
      <c r="J3397" s="154"/>
      <c r="K3397" s="30" t="str">
        <f>IF(H3397="","",IF($C$30="간이법","",FPR(H3397,I3397,J3397)))</f>
        <v/>
      </c>
      <c r="L3397" s="30" t="str">
        <f>IF(H3397="","",IF($C$30="상세법",FPV(H3397,K3397),IF(H3397="EI",4,IF(H3397="EO",5.2,IF(H3397="EQ",3.9,IF(H3397="ILF",7.5,IF(H3397="EIF",5.4)))))))</f>
        <v/>
      </c>
      <c r="M3397" s="30" t="str">
        <f t="shared" si="366"/>
        <v/>
      </c>
      <c r="N3397" s="134"/>
      <c r="O3397" s="29"/>
      <c r="P3397" s="37" t="str">
        <f t="shared" si="367"/>
        <v/>
      </c>
      <c r="Q3397" s="38" t="str">
        <f t="shared" si="368"/>
        <v/>
      </c>
      <c r="R3397" s="37" t="str">
        <f t="shared" si="369"/>
        <v/>
      </c>
      <c r="S3397" s="37" t="str">
        <f t="shared" si="370"/>
        <v/>
      </c>
      <c r="T3397" s="38" t="str">
        <f t="shared" si="371"/>
        <v/>
      </c>
      <c r="U3397" s="37" t="str">
        <f t="shared" si="372"/>
        <v/>
      </c>
    </row>
    <row r="3398" spans="2:21" ht="17.25">
      <c r="B3398" s="156"/>
      <c r="C3398" s="156"/>
      <c r="D3398" s="157"/>
      <c r="E3398" s="155"/>
      <c r="F3398" s="151"/>
      <c r="G3398" s="152"/>
      <c r="H3398" s="153"/>
      <c r="I3398" s="154"/>
      <c r="J3398" s="154"/>
      <c r="K3398" s="30" t="str">
        <f>IF(H3398="","",IF($C$30="간이법","",FPR(H3398,I3398,J3398)))</f>
        <v/>
      </c>
      <c r="L3398" s="30" t="str">
        <f>IF(H3398="","",IF($C$30="상세법",FPV(H3398,K3398),IF(H3398="EI",4,IF(H3398="EO",5.2,IF(H3398="EQ",3.9,IF(H3398="ILF",7.5,IF(H3398="EIF",5.4)))))))</f>
        <v/>
      </c>
      <c r="M3398" s="30" t="str">
        <f t="shared" si="366"/>
        <v/>
      </c>
      <c r="N3398" s="134"/>
      <c r="O3398" s="29"/>
      <c r="P3398" s="37" t="str">
        <f t="shared" si="367"/>
        <v/>
      </c>
      <c r="Q3398" s="38" t="str">
        <f t="shared" si="368"/>
        <v/>
      </c>
      <c r="R3398" s="37" t="str">
        <f t="shared" si="369"/>
        <v/>
      </c>
      <c r="S3398" s="37" t="str">
        <f t="shared" si="370"/>
        <v/>
      </c>
      <c r="T3398" s="38" t="str">
        <f t="shared" si="371"/>
        <v/>
      </c>
      <c r="U3398" s="37" t="str">
        <f t="shared" si="372"/>
        <v/>
      </c>
    </row>
    <row r="3399" spans="2:21" ht="17.25">
      <c r="B3399" s="156"/>
      <c r="C3399" s="156"/>
      <c r="D3399" s="157"/>
      <c r="E3399" s="155"/>
      <c r="F3399" s="151"/>
      <c r="G3399" s="152"/>
      <c r="H3399" s="153"/>
      <c r="I3399" s="154"/>
      <c r="J3399" s="154"/>
      <c r="K3399" s="30" t="str">
        <f>IF(H3399="","",IF($C$30="간이법","",FPR(H3399,I3399,J3399)))</f>
        <v/>
      </c>
      <c r="L3399" s="30" t="str">
        <f>IF(H3399="","",IF($C$30="상세법",FPV(H3399,K3399),IF(H3399="EI",4,IF(H3399="EO",5.2,IF(H3399="EQ",3.9,IF(H3399="ILF",7.5,IF(H3399="EIF",5.4)))))))</f>
        <v/>
      </c>
      <c r="M3399" s="30" t="str">
        <f t="shared" si="366"/>
        <v/>
      </c>
      <c r="N3399" s="134"/>
      <c r="O3399" s="29"/>
      <c r="P3399" s="37" t="str">
        <f t="shared" si="367"/>
        <v/>
      </c>
      <c r="Q3399" s="38" t="str">
        <f t="shared" si="368"/>
        <v/>
      </c>
      <c r="R3399" s="37" t="str">
        <f t="shared" si="369"/>
        <v/>
      </c>
      <c r="S3399" s="37" t="str">
        <f t="shared" si="370"/>
        <v/>
      </c>
      <c r="T3399" s="38" t="str">
        <f t="shared" si="371"/>
        <v/>
      </c>
      <c r="U3399" s="37" t="str">
        <f t="shared" si="372"/>
        <v/>
      </c>
    </row>
    <row r="3400" spans="2:21" ht="17.25">
      <c r="B3400" s="156"/>
      <c r="C3400" s="156"/>
      <c r="D3400" s="157"/>
      <c r="E3400" s="155"/>
      <c r="F3400" s="151"/>
      <c r="G3400" s="152"/>
      <c r="H3400" s="153"/>
      <c r="I3400" s="154"/>
      <c r="J3400" s="154"/>
      <c r="K3400" s="30" t="str">
        <f>IF(H3400="","",IF($C$30="간이법","",FPR(H3400,I3400,J3400)))</f>
        <v/>
      </c>
      <c r="L3400" s="30" t="str">
        <f>IF(H3400="","",IF($C$30="상세법",FPV(H3400,K3400),IF(H3400="EI",4,IF(H3400="EO",5.2,IF(H3400="EQ",3.9,IF(H3400="ILF",7.5,IF(H3400="EIF",5.4)))))))</f>
        <v/>
      </c>
      <c r="M3400" s="30" t="str">
        <f t="shared" si="366"/>
        <v/>
      </c>
      <c r="N3400" s="134"/>
      <c r="O3400" s="29"/>
      <c r="P3400" s="37" t="str">
        <f t="shared" si="367"/>
        <v/>
      </c>
      <c r="Q3400" s="38" t="str">
        <f t="shared" si="368"/>
        <v/>
      </c>
      <c r="R3400" s="37" t="str">
        <f t="shared" si="369"/>
        <v/>
      </c>
      <c r="S3400" s="37" t="str">
        <f t="shared" si="370"/>
        <v/>
      </c>
      <c r="T3400" s="38" t="str">
        <f t="shared" si="371"/>
        <v/>
      </c>
      <c r="U3400" s="37" t="str">
        <f t="shared" si="372"/>
        <v/>
      </c>
    </row>
    <row r="3401" spans="2:21" ht="17.25">
      <c r="B3401" s="156"/>
      <c r="C3401" s="156"/>
      <c r="D3401" s="157"/>
      <c r="E3401" s="155"/>
      <c r="F3401" s="151"/>
      <c r="G3401" s="152"/>
      <c r="H3401" s="153"/>
      <c r="I3401" s="154"/>
      <c r="J3401" s="154"/>
      <c r="K3401" s="30" t="str">
        <f>IF(H3401="","",IF($C$30="간이법","",FPR(H3401,I3401,J3401)))</f>
        <v/>
      </c>
      <c r="L3401" s="30" t="str">
        <f>IF(H3401="","",IF($C$30="상세법",FPV(H3401,K3401),IF(H3401="EI",4,IF(H3401="EO",5.2,IF(H3401="EQ",3.9,IF(H3401="ILF",7.5,IF(H3401="EIF",5.4)))))))</f>
        <v/>
      </c>
      <c r="M3401" s="30" t="str">
        <f t="shared" si="366"/>
        <v/>
      </c>
      <c r="N3401" s="134"/>
      <c r="O3401" s="29"/>
      <c r="P3401" s="37" t="str">
        <f t="shared" si="367"/>
        <v/>
      </c>
      <c r="Q3401" s="38" t="str">
        <f t="shared" si="368"/>
        <v/>
      </c>
      <c r="R3401" s="37" t="str">
        <f t="shared" si="369"/>
        <v/>
      </c>
      <c r="S3401" s="37" t="str">
        <f t="shared" si="370"/>
        <v/>
      </c>
      <c r="T3401" s="38" t="str">
        <f t="shared" si="371"/>
        <v/>
      </c>
      <c r="U3401" s="37" t="str">
        <f t="shared" si="372"/>
        <v/>
      </c>
    </row>
    <row r="3402" spans="2:21" ht="17.25">
      <c r="B3402" s="156"/>
      <c r="C3402" s="156"/>
      <c r="D3402" s="157"/>
      <c r="E3402" s="155"/>
      <c r="F3402" s="151"/>
      <c r="G3402" s="152"/>
      <c r="H3402" s="153"/>
      <c r="I3402" s="154"/>
      <c r="J3402" s="154"/>
      <c r="K3402" s="30" t="str">
        <f>IF(H3402="","",IF($C$30="간이법","",FPR(H3402,I3402,J3402)))</f>
        <v/>
      </c>
      <c r="L3402" s="30" t="str">
        <f>IF(H3402="","",IF($C$30="상세법",FPV(H3402,K3402),IF(H3402="EI",4,IF(H3402="EO",5.2,IF(H3402="EQ",3.9,IF(H3402="ILF",7.5,IF(H3402="EIF",5.4)))))))</f>
        <v/>
      </c>
      <c r="M3402" s="30" t="str">
        <f t="shared" si="366"/>
        <v/>
      </c>
      <c r="N3402" s="134"/>
      <c r="O3402" s="29"/>
      <c r="P3402" s="37" t="str">
        <f t="shared" si="367"/>
        <v/>
      </c>
      <c r="Q3402" s="38" t="str">
        <f t="shared" si="368"/>
        <v/>
      </c>
      <c r="R3402" s="37" t="str">
        <f t="shared" si="369"/>
        <v/>
      </c>
      <c r="S3402" s="37" t="str">
        <f t="shared" si="370"/>
        <v/>
      </c>
      <c r="T3402" s="38" t="str">
        <f t="shared" si="371"/>
        <v/>
      </c>
      <c r="U3402" s="37" t="str">
        <f t="shared" si="372"/>
        <v/>
      </c>
    </row>
    <row r="3403" spans="2:21" ht="17.25">
      <c r="B3403" s="156"/>
      <c r="C3403" s="156"/>
      <c r="D3403" s="157"/>
      <c r="E3403" s="155"/>
      <c r="F3403" s="151"/>
      <c r="G3403" s="152"/>
      <c r="H3403" s="153"/>
      <c r="I3403" s="154"/>
      <c r="J3403" s="154"/>
      <c r="K3403" s="30" t="str">
        <f>IF(H3403="","",IF($C$30="간이법","",FPR(H3403,I3403,J3403)))</f>
        <v/>
      </c>
      <c r="L3403" s="30" t="str">
        <f>IF(H3403="","",IF($C$30="상세법",FPV(H3403,K3403),IF(H3403="EI",4,IF(H3403="EO",5.2,IF(H3403="EQ",3.9,IF(H3403="ILF",7.5,IF(H3403="EIF",5.4)))))))</f>
        <v/>
      </c>
      <c r="M3403" s="30" t="str">
        <f t="shared" si="366"/>
        <v/>
      </c>
      <c r="N3403" s="134"/>
      <c r="O3403" s="29"/>
      <c r="P3403" s="37" t="str">
        <f t="shared" si="367"/>
        <v/>
      </c>
      <c r="Q3403" s="38" t="str">
        <f t="shared" si="368"/>
        <v/>
      </c>
      <c r="R3403" s="37" t="str">
        <f t="shared" si="369"/>
        <v/>
      </c>
      <c r="S3403" s="37" t="str">
        <f t="shared" si="370"/>
        <v/>
      </c>
      <c r="T3403" s="38" t="str">
        <f t="shared" si="371"/>
        <v/>
      </c>
      <c r="U3403" s="37" t="str">
        <f t="shared" si="372"/>
        <v/>
      </c>
    </row>
    <row r="3404" spans="2:21" ht="17.25">
      <c r="B3404" s="156"/>
      <c r="C3404" s="156"/>
      <c r="D3404" s="157"/>
      <c r="E3404" s="155"/>
      <c r="F3404" s="151"/>
      <c r="G3404" s="152"/>
      <c r="H3404" s="153"/>
      <c r="I3404" s="154"/>
      <c r="J3404" s="154"/>
      <c r="K3404" s="30" t="str">
        <f>IF(H3404="","",IF($C$30="간이법","",FPR(H3404,I3404,J3404)))</f>
        <v/>
      </c>
      <c r="L3404" s="30" t="str">
        <f>IF(H3404="","",IF($C$30="상세법",FPV(H3404,K3404),IF(H3404="EI",4,IF(H3404="EO",5.2,IF(H3404="EQ",3.9,IF(H3404="ILF",7.5,IF(H3404="EIF",5.4)))))))</f>
        <v/>
      </c>
      <c r="M3404" s="30" t="str">
        <f t="shared" si="366"/>
        <v/>
      </c>
      <c r="N3404" s="134"/>
      <c r="O3404" s="29"/>
      <c r="P3404" s="37" t="str">
        <f t="shared" si="367"/>
        <v/>
      </c>
      <c r="Q3404" s="38" t="str">
        <f t="shared" si="368"/>
        <v/>
      </c>
      <c r="R3404" s="37" t="str">
        <f t="shared" si="369"/>
        <v/>
      </c>
      <c r="S3404" s="37" t="str">
        <f t="shared" si="370"/>
        <v/>
      </c>
      <c r="T3404" s="38" t="str">
        <f t="shared" si="371"/>
        <v/>
      </c>
      <c r="U3404" s="37" t="str">
        <f t="shared" si="372"/>
        <v/>
      </c>
    </row>
    <row r="3405" spans="2:21" ht="17.25">
      <c r="B3405" s="156"/>
      <c r="C3405" s="156"/>
      <c r="D3405" s="157"/>
      <c r="E3405" s="155"/>
      <c r="F3405" s="151"/>
      <c r="G3405" s="152"/>
      <c r="H3405" s="153"/>
      <c r="I3405" s="154"/>
      <c r="J3405" s="154"/>
      <c r="K3405" s="30" t="str">
        <f>IF(H3405="","",IF($C$30="간이법","",FPR(H3405,I3405,J3405)))</f>
        <v/>
      </c>
      <c r="L3405" s="30" t="str">
        <f>IF(H3405="","",IF($C$30="상세법",FPV(H3405,K3405),IF(H3405="EI",4,IF(H3405="EO",5.2,IF(H3405="EQ",3.9,IF(H3405="ILF",7.5,IF(H3405="EIF",5.4)))))))</f>
        <v/>
      </c>
      <c r="M3405" s="30" t="str">
        <f t="shared" si="366"/>
        <v/>
      </c>
      <c r="N3405" s="134"/>
      <c r="O3405" s="29"/>
      <c r="P3405" s="37" t="str">
        <f t="shared" si="367"/>
        <v/>
      </c>
      <c r="Q3405" s="38" t="str">
        <f t="shared" si="368"/>
        <v/>
      </c>
      <c r="R3405" s="37" t="str">
        <f t="shared" si="369"/>
        <v/>
      </c>
      <c r="S3405" s="37" t="str">
        <f t="shared" si="370"/>
        <v/>
      </c>
      <c r="T3405" s="38" t="str">
        <f t="shared" si="371"/>
        <v/>
      </c>
      <c r="U3405" s="37" t="str">
        <f t="shared" si="372"/>
        <v/>
      </c>
    </row>
    <row r="3406" spans="2:21" ht="17.25">
      <c r="B3406" s="156"/>
      <c r="C3406" s="156"/>
      <c r="D3406" s="157"/>
      <c r="E3406" s="155"/>
      <c r="F3406" s="151"/>
      <c r="G3406" s="152"/>
      <c r="H3406" s="153"/>
      <c r="I3406" s="154"/>
      <c r="J3406" s="154"/>
      <c r="K3406" s="30" t="str">
        <f>IF(H3406="","",IF($C$30="간이법","",FPR(H3406,I3406,J3406)))</f>
        <v/>
      </c>
      <c r="L3406" s="30" t="str">
        <f>IF(H3406="","",IF($C$30="상세법",FPV(H3406,K3406),IF(H3406="EI",4,IF(H3406="EO",5.2,IF(H3406="EQ",3.9,IF(H3406="ILF",7.5,IF(H3406="EIF",5.4)))))))</f>
        <v/>
      </c>
      <c r="M3406" s="30" t="str">
        <f t="shared" si="366"/>
        <v/>
      </c>
      <c r="N3406" s="134"/>
      <c r="O3406" s="29"/>
      <c r="P3406" s="37" t="str">
        <f t="shared" si="367"/>
        <v/>
      </c>
      <c r="Q3406" s="38" t="str">
        <f t="shared" si="368"/>
        <v/>
      </c>
      <c r="R3406" s="37" t="str">
        <f t="shared" si="369"/>
        <v/>
      </c>
      <c r="S3406" s="37" t="str">
        <f t="shared" si="370"/>
        <v/>
      </c>
      <c r="T3406" s="38" t="str">
        <f t="shared" si="371"/>
        <v/>
      </c>
      <c r="U3406" s="37" t="str">
        <f t="shared" si="372"/>
        <v/>
      </c>
    </row>
    <row r="3407" spans="2:21" ht="17.25">
      <c r="B3407" s="156"/>
      <c r="C3407" s="156"/>
      <c r="D3407" s="157"/>
      <c r="E3407" s="155"/>
      <c r="F3407" s="151"/>
      <c r="G3407" s="152"/>
      <c r="H3407" s="153"/>
      <c r="I3407" s="154"/>
      <c r="J3407" s="154"/>
      <c r="K3407" s="30" t="str">
        <f>IF(H3407="","",IF($C$30="간이법","",FPR(H3407,I3407,J3407)))</f>
        <v/>
      </c>
      <c r="L3407" s="30" t="str">
        <f>IF(H3407="","",IF($C$30="상세법",FPV(H3407,K3407),IF(H3407="EI",4,IF(H3407="EO",5.2,IF(H3407="EQ",3.9,IF(H3407="ILF",7.5,IF(H3407="EIF",5.4)))))))</f>
        <v/>
      </c>
      <c r="M3407" s="30" t="str">
        <f t="shared" si="366"/>
        <v/>
      </c>
      <c r="N3407" s="134"/>
      <c r="O3407" s="29"/>
      <c r="P3407" s="37" t="str">
        <f t="shared" si="367"/>
        <v/>
      </c>
      <c r="Q3407" s="38" t="str">
        <f t="shared" si="368"/>
        <v/>
      </c>
      <c r="R3407" s="37" t="str">
        <f t="shared" si="369"/>
        <v/>
      </c>
      <c r="S3407" s="37" t="str">
        <f t="shared" si="370"/>
        <v/>
      </c>
      <c r="T3407" s="38" t="str">
        <f t="shared" si="371"/>
        <v/>
      </c>
      <c r="U3407" s="37" t="str">
        <f t="shared" si="372"/>
        <v/>
      </c>
    </row>
    <row r="3408" spans="2:21" ht="17.25">
      <c r="B3408" s="156"/>
      <c r="C3408" s="156"/>
      <c r="D3408" s="157"/>
      <c r="E3408" s="155"/>
      <c r="F3408" s="151"/>
      <c r="G3408" s="152"/>
      <c r="H3408" s="153"/>
      <c r="I3408" s="154"/>
      <c r="J3408" s="154"/>
      <c r="K3408" s="30" t="str">
        <f>IF(H3408="","",IF($C$30="간이법","",FPR(H3408,I3408,J3408)))</f>
        <v/>
      </c>
      <c r="L3408" s="30" t="str">
        <f>IF(H3408="","",IF($C$30="상세법",FPV(H3408,K3408),IF(H3408="EI",4,IF(H3408="EO",5.2,IF(H3408="EQ",3.9,IF(H3408="ILF",7.5,IF(H3408="EIF",5.4)))))))</f>
        <v/>
      </c>
      <c r="M3408" s="30" t="str">
        <f t="shared" si="366"/>
        <v/>
      </c>
      <c r="N3408" s="134"/>
      <c r="O3408" s="29"/>
      <c r="P3408" s="37" t="str">
        <f t="shared" si="367"/>
        <v/>
      </c>
      <c r="Q3408" s="38" t="str">
        <f t="shared" si="368"/>
        <v/>
      </c>
      <c r="R3408" s="37" t="str">
        <f t="shared" si="369"/>
        <v/>
      </c>
      <c r="S3408" s="37" t="str">
        <f t="shared" si="370"/>
        <v/>
      </c>
      <c r="T3408" s="38" t="str">
        <f t="shared" si="371"/>
        <v/>
      </c>
      <c r="U3408" s="37" t="str">
        <f t="shared" si="372"/>
        <v/>
      </c>
    </row>
    <row r="3409" spans="2:21" ht="17.25">
      <c r="B3409" s="156"/>
      <c r="C3409" s="156"/>
      <c r="D3409" s="157"/>
      <c r="E3409" s="155"/>
      <c r="F3409" s="151"/>
      <c r="G3409" s="152"/>
      <c r="H3409" s="153"/>
      <c r="I3409" s="154"/>
      <c r="J3409" s="154"/>
      <c r="K3409" s="30" t="str">
        <f>IF(H3409="","",IF($C$30="간이법","",FPR(H3409,I3409,J3409)))</f>
        <v/>
      </c>
      <c r="L3409" s="30" t="str">
        <f>IF(H3409="","",IF($C$30="상세법",FPV(H3409,K3409),IF(H3409="EI",4,IF(H3409="EO",5.2,IF(H3409="EQ",3.9,IF(H3409="ILF",7.5,IF(H3409="EIF",5.4)))))))</f>
        <v/>
      </c>
      <c r="M3409" s="30" t="str">
        <f t="shared" si="366"/>
        <v/>
      </c>
      <c r="N3409" s="134"/>
      <c r="O3409" s="29"/>
      <c r="P3409" s="37" t="str">
        <f t="shared" si="367"/>
        <v/>
      </c>
      <c r="Q3409" s="38" t="str">
        <f t="shared" si="368"/>
        <v/>
      </c>
      <c r="R3409" s="37" t="str">
        <f t="shared" si="369"/>
        <v/>
      </c>
      <c r="S3409" s="37" t="str">
        <f t="shared" si="370"/>
        <v/>
      </c>
      <c r="T3409" s="38" t="str">
        <f t="shared" si="371"/>
        <v/>
      </c>
      <c r="U3409" s="37" t="str">
        <f t="shared" si="372"/>
        <v/>
      </c>
    </row>
    <row r="3410" spans="2:21" ht="17.25">
      <c r="B3410" s="156"/>
      <c r="C3410" s="156"/>
      <c r="D3410" s="157"/>
      <c r="E3410" s="155"/>
      <c r="F3410" s="151"/>
      <c r="G3410" s="152"/>
      <c r="H3410" s="153"/>
      <c r="I3410" s="154"/>
      <c r="J3410" s="154"/>
      <c r="K3410" s="30" t="str">
        <f>IF(H3410="","",IF($C$30="간이법","",FPR(H3410,I3410,J3410)))</f>
        <v/>
      </c>
      <c r="L3410" s="30" t="str">
        <f>IF(H3410="","",IF($C$30="상세법",FPV(H3410,K3410),IF(H3410="EI",4,IF(H3410="EO",5.2,IF(H3410="EQ",3.9,IF(H3410="ILF",7.5,IF(H3410="EIF",5.4)))))))</f>
        <v/>
      </c>
      <c r="M3410" s="30" t="str">
        <f t="shared" si="366"/>
        <v/>
      </c>
      <c r="N3410" s="134"/>
      <c r="O3410" s="29"/>
      <c r="P3410" s="37" t="str">
        <f t="shared" si="367"/>
        <v/>
      </c>
      <c r="Q3410" s="38" t="str">
        <f t="shared" si="368"/>
        <v/>
      </c>
      <c r="R3410" s="37" t="str">
        <f t="shared" si="369"/>
        <v/>
      </c>
      <c r="S3410" s="37" t="str">
        <f t="shared" si="370"/>
        <v/>
      </c>
      <c r="T3410" s="38" t="str">
        <f t="shared" si="371"/>
        <v/>
      </c>
      <c r="U3410" s="37" t="str">
        <f t="shared" si="372"/>
        <v/>
      </c>
    </row>
    <row r="3411" spans="2:21" ht="17.25">
      <c r="B3411" s="156"/>
      <c r="C3411" s="156"/>
      <c r="D3411" s="157"/>
      <c r="E3411" s="155"/>
      <c r="F3411" s="151"/>
      <c r="G3411" s="152"/>
      <c r="H3411" s="153"/>
      <c r="I3411" s="154"/>
      <c r="J3411" s="154"/>
      <c r="K3411" s="30" t="str">
        <f>IF(H3411="","",IF($C$30="간이법","",FPR(H3411,I3411,J3411)))</f>
        <v/>
      </c>
      <c r="L3411" s="30" t="str">
        <f>IF(H3411="","",IF($C$30="상세법",FPV(H3411,K3411),IF(H3411="EI",4,IF(H3411="EO",5.2,IF(H3411="EQ",3.9,IF(H3411="ILF",7.5,IF(H3411="EIF",5.4)))))))</f>
        <v/>
      </c>
      <c r="M3411" s="30" t="str">
        <f t="shared" si="366"/>
        <v/>
      </c>
      <c r="N3411" s="134"/>
      <c r="O3411" s="29"/>
      <c r="P3411" s="37" t="str">
        <f t="shared" si="367"/>
        <v/>
      </c>
      <c r="Q3411" s="38" t="str">
        <f t="shared" si="368"/>
        <v/>
      </c>
      <c r="R3411" s="37" t="str">
        <f t="shared" si="369"/>
        <v/>
      </c>
      <c r="S3411" s="37" t="str">
        <f t="shared" si="370"/>
        <v/>
      </c>
      <c r="T3411" s="38" t="str">
        <f t="shared" si="371"/>
        <v/>
      </c>
      <c r="U3411" s="37" t="str">
        <f t="shared" si="372"/>
        <v/>
      </c>
    </row>
    <row r="3412" spans="2:21" ht="17.25">
      <c r="B3412" s="156"/>
      <c r="C3412" s="156"/>
      <c r="D3412" s="157"/>
      <c r="E3412" s="155"/>
      <c r="F3412" s="151"/>
      <c r="G3412" s="152"/>
      <c r="H3412" s="153"/>
      <c r="I3412" s="154"/>
      <c r="J3412" s="154"/>
      <c r="K3412" s="30" t="str">
        <f>IF(H3412="","",IF($C$30="간이법","",FPR(H3412,I3412,J3412)))</f>
        <v/>
      </c>
      <c r="L3412" s="30" t="str">
        <f>IF(H3412="","",IF($C$30="상세법",FPV(H3412,K3412),IF(H3412="EI",4,IF(H3412="EO",5.2,IF(H3412="EQ",3.9,IF(H3412="ILF",7.5,IF(H3412="EIF",5.4)))))))</f>
        <v/>
      </c>
      <c r="M3412" s="30" t="str">
        <f t="shared" si="366"/>
        <v/>
      </c>
      <c r="N3412" s="134"/>
      <c r="O3412" s="29"/>
      <c r="P3412" s="37" t="str">
        <f t="shared" si="367"/>
        <v/>
      </c>
      <c r="Q3412" s="38" t="str">
        <f t="shared" si="368"/>
        <v/>
      </c>
      <c r="R3412" s="37" t="str">
        <f t="shared" si="369"/>
        <v/>
      </c>
      <c r="S3412" s="37" t="str">
        <f t="shared" si="370"/>
        <v/>
      </c>
      <c r="T3412" s="38" t="str">
        <f t="shared" si="371"/>
        <v/>
      </c>
      <c r="U3412" s="37" t="str">
        <f t="shared" si="372"/>
        <v/>
      </c>
    </row>
    <row r="3413" spans="2:21" ht="17.25">
      <c r="B3413" s="156"/>
      <c r="C3413" s="156"/>
      <c r="D3413" s="157"/>
      <c r="E3413" s="155"/>
      <c r="F3413" s="151"/>
      <c r="G3413" s="152"/>
      <c r="H3413" s="153"/>
      <c r="I3413" s="154"/>
      <c r="J3413" s="154"/>
      <c r="K3413" s="30" t="str">
        <f>IF(H3413="","",IF($C$30="간이법","",FPR(H3413,I3413,J3413)))</f>
        <v/>
      </c>
      <c r="L3413" s="30" t="str">
        <f>IF(H3413="","",IF($C$30="상세법",FPV(H3413,K3413),IF(H3413="EI",4,IF(H3413="EO",5.2,IF(H3413="EQ",3.9,IF(H3413="ILF",7.5,IF(H3413="EIF",5.4)))))))</f>
        <v/>
      </c>
      <c r="M3413" s="30" t="str">
        <f t="shared" si="366"/>
        <v/>
      </c>
      <c r="N3413" s="134"/>
      <c r="O3413" s="29"/>
      <c r="P3413" s="37" t="str">
        <f t="shared" si="367"/>
        <v/>
      </c>
      <c r="Q3413" s="38" t="str">
        <f t="shared" si="368"/>
        <v/>
      </c>
      <c r="R3413" s="37" t="str">
        <f t="shared" si="369"/>
        <v/>
      </c>
      <c r="S3413" s="37" t="str">
        <f t="shared" si="370"/>
        <v/>
      </c>
      <c r="T3413" s="38" t="str">
        <f t="shared" si="371"/>
        <v/>
      </c>
      <c r="U3413" s="37" t="str">
        <f t="shared" si="372"/>
        <v/>
      </c>
    </row>
    <row r="3414" spans="2:21" ht="17.25">
      <c r="B3414" s="156"/>
      <c r="C3414" s="156"/>
      <c r="D3414" s="157"/>
      <c r="E3414" s="155"/>
      <c r="F3414" s="151"/>
      <c r="G3414" s="152"/>
      <c r="H3414" s="153"/>
      <c r="I3414" s="154"/>
      <c r="J3414" s="154"/>
      <c r="K3414" s="30" t="str">
        <f>IF(H3414="","",IF($C$30="간이법","",FPR(H3414,I3414,J3414)))</f>
        <v/>
      </c>
      <c r="L3414" s="30" t="str">
        <f>IF(H3414="","",IF($C$30="상세법",FPV(H3414,K3414),IF(H3414="EI",4,IF(H3414="EO",5.2,IF(H3414="EQ",3.9,IF(H3414="ILF",7.5,IF(H3414="EIF",5.4)))))))</f>
        <v/>
      </c>
      <c r="M3414" s="30" t="str">
        <f t="shared" si="366"/>
        <v/>
      </c>
      <c r="N3414" s="134"/>
      <c r="O3414" s="29"/>
      <c r="P3414" s="37" t="str">
        <f t="shared" si="367"/>
        <v/>
      </c>
      <c r="Q3414" s="38" t="str">
        <f t="shared" si="368"/>
        <v/>
      </c>
      <c r="R3414" s="37" t="str">
        <f t="shared" si="369"/>
        <v/>
      </c>
      <c r="S3414" s="37" t="str">
        <f t="shared" si="370"/>
        <v/>
      </c>
      <c r="T3414" s="38" t="str">
        <f t="shared" si="371"/>
        <v/>
      </c>
      <c r="U3414" s="37" t="str">
        <f t="shared" si="372"/>
        <v/>
      </c>
    </row>
    <row r="3415" spans="2:21" ht="17.25">
      <c r="B3415" s="156"/>
      <c r="C3415" s="156"/>
      <c r="D3415" s="157"/>
      <c r="E3415" s="155"/>
      <c r="F3415" s="151"/>
      <c r="G3415" s="152"/>
      <c r="H3415" s="153"/>
      <c r="I3415" s="154"/>
      <c r="J3415" s="154"/>
      <c r="K3415" s="30" t="str">
        <f>IF(H3415="","",IF($C$30="간이법","",FPR(H3415,I3415,J3415)))</f>
        <v/>
      </c>
      <c r="L3415" s="30" t="str">
        <f>IF(H3415="","",IF($C$30="상세법",FPV(H3415,K3415),IF(H3415="EI",4,IF(H3415="EO",5.2,IF(H3415="EQ",3.9,IF(H3415="ILF",7.5,IF(H3415="EIF",5.4)))))))</f>
        <v/>
      </c>
      <c r="M3415" s="30" t="str">
        <f t="shared" si="366"/>
        <v/>
      </c>
      <c r="N3415" s="134"/>
      <c r="O3415" s="29"/>
      <c r="P3415" s="37" t="str">
        <f t="shared" si="367"/>
        <v/>
      </c>
      <c r="Q3415" s="38" t="str">
        <f t="shared" si="368"/>
        <v/>
      </c>
      <c r="R3415" s="37" t="str">
        <f t="shared" si="369"/>
        <v/>
      </c>
      <c r="S3415" s="37" t="str">
        <f t="shared" si="370"/>
        <v/>
      </c>
      <c r="T3415" s="38" t="str">
        <f t="shared" si="371"/>
        <v/>
      </c>
      <c r="U3415" s="37" t="str">
        <f t="shared" si="372"/>
        <v/>
      </c>
    </row>
    <row r="3416" spans="2:21" ht="17.25">
      <c r="B3416" s="156"/>
      <c r="C3416" s="156"/>
      <c r="D3416" s="157"/>
      <c r="E3416" s="155"/>
      <c r="F3416" s="151"/>
      <c r="G3416" s="152"/>
      <c r="H3416" s="153"/>
      <c r="I3416" s="154"/>
      <c r="J3416" s="154"/>
      <c r="K3416" s="30" t="str">
        <f>IF(H3416="","",IF($C$30="간이법","",FPR(H3416,I3416,J3416)))</f>
        <v/>
      </c>
      <c r="L3416" s="30" t="str">
        <f>IF(H3416="","",IF($C$30="상세법",FPV(H3416,K3416),IF(H3416="EI",4,IF(H3416="EO",5.2,IF(H3416="EQ",3.9,IF(H3416="ILF",7.5,IF(H3416="EIF",5.4)))))))</f>
        <v/>
      </c>
      <c r="M3416" s="30" t="str">
        <f t="shared" si="366"/>
        <v/>
      </c>
      <c r="N3416" s="134"/>
      <c r="O3416" s="29"/>
      <c r="P3416" s="37" t="str">
        <f t="shared" si="367"/>
        <v/>
      </c>
      <c r="Q3416" s="38" t="str">
        <f t="shared" si="368"/>
        <v/>
      </c>
      <c r="R3416" s="37" t="str">
        <f t="shared" si="369"/>
        <v/>
      </c>
      <c r="S3416" s="37" t="str">
        <f t="shared" si="370"/>
        <v/>
      </c>
      <c r="T3416" s="38" t="str">
        <f t="shared" si="371"/>
        <v/>
      </c>
      <c r="U3416" s="37" t="str">
        <f t="shared" si="372"/>
        <v/>
      </c>
    </row>
    <row r="3417" spans="2:21" ht="17.25">
      <c r="B3417" s="156"/>
      <c r="C3417" s="156"/>
      <c r="D3417" s="157"/>
      <c r="E3417" s="155"/>
      <c r="F3417" s="151"/>
      <c r="G3417" s="152"/>
      <c r="H3417" s="153"/>
      <c r="I3417" s="154"/>
      <c r="J3417" s="154"/>
      <c r="K3417" s="30" t="str">
        <f>IF(H3417="","",IF($C$30="간이법","",FPR(H3417,I3417,J3417)))</f>
        <v/>
      </c>
      <c r="L3417" s="30" t="str">
        <f>IF(H3417="","",IF($C$30="상세법",FPV(H3417,K3417),IF(H3417="EI",4,IF(H3417="EO",5.2,IF(H3417="EQ",3.9,IF(H3417="ILF",7.5,IF(H3417="EIF",5.4)))))))</f>
        <v/>
      </c>
      <c r="M3417" s="30" t="str">
        <f t="shared" si="366"/>
        <v/>
      </c>
      <c r="N3417" s="134"/>
      <c r="O3417" s="29"/>
      <c r="P3417" s="37" t="str">
        <f t="shared" si="367"/>
        <v/>
      </c>
      <c r="Q3417" s="38" t="str">
        <f t="shared" si="368"/>
        <v/>
      </c>
      <c r="R3417" s="37" t="str">
        <f t="shared" si="369"/>
        <v/>
      </c>
      <c r="S3417" s="37" t="str">
        <f t="shared" si="370"/>
        <v/>
      </c>
      <c r="T3417" s="38" t="str">
        <f t="shared" si="371"/>
        <v/>
      </c>
      <c r="U3417" s="37" t="str">
        <f t="shared" si="372"/>
        <v/>
      </c>
    </row>
    <row r="3418" spans="2:21" ht="17.25">
      <c r="B3418" s="156"/>
      <c r="C3418" s="156"/>
      <c r="D3418" s="157"/>
      <c r="E3418" s="155"/>
      <c r="F3418" s="151"/>
      <c r="G3418" s="152"/>
      <c r="H3418" s="153"/>
      <c r="I3418" s="154"/>
      <c r="J3418" s="154"/>
      <c r="K3418" s="30" t="str">
        <f>IF(H3418="","",IF($C$30="간이법","",FPR(H3418,I3418,J3418)))</f>
        <v/>
      </c>
      <c r="L3418" s="30" t="str">
        <f>IF(H3418="","",IF($C$30="상세법",FPV(H3418,K3418),IF(H3418="EI",4,IF(H3418="EO",5.2,IF(H3418="EQ",3.9,IF(H3418="ILF",7.5,IF(H3418="EIF",5.4)))))))</f>
        <v/>
      </c>
      <c r="M3418" s="30" t="str">
        <f t="shared" si="366"/>
        <v/>
      </c>
      <c r="N3418" s="134"/>
      <c r="O3418" s="29"/>
      <c r="P3418" s="37" t="str">
        <f t="shared" si="367"/>
        <v/>
      </c>
      <c r="Q3418" s="38" t="str">
        <f t="shared" si="368"/>
        <v/>
      </c>
      <c r="R3418" s="37" t="str">
        <f t="shared" si="369"/>
        <v/>
      </c>
      <c r="S3418" s="37" t="str">
        <f t="shared" si="370"/>
        <v/>
      </c>
      <c r="T3418" s="38" t="str">
        <f t="shared" si="371"/>
        <v/>
      </c>
      <c r="U3418" s="37" t="str">
        <f t="shared" si="372"/>
        <v/>
      </c>
    </row>
    <row r="3419" spans="2:21" ht="17.25">
      <c r="B3419" s="156"/>
      <c r="C3419" s="156"/>
      <c r="D3419" s="157"/>
      <c r="E3419" s="155"/>
      <c r="F3419" s="151"/>
      <c r="G3419" s="152"/>
      <c r="H3419" s="153"/>
      <c r="I3419" s="154"/>
      <c r="J3419" s="154"/>
      <c r="K3419" s="30" t="str">
        <f>IF(H3419="","",IF($C$30="간이법","",FPR(H3419,I3419,J3419)))</f>
        <v/>
      </c>
      <c r="L3419" s="30" t="str">
        <f>IF(H3419="","",IF($C$30="상세법",FPV(H3419,K3419),IF(H3419="EI",4,IF(H3419="EO",5.2,IF(H3419="EQ",3.9,IF(H3419="ILF",7.5,IF(H3419="EIF",5.4)))))))</f>
        <v/>
      </c>
      <c r="M3419" s="30" t="str">
        <f t="shared" si="366"/>
        <v/>
      </c>
      <c r="N3419" s="134"/>
      <c r="O3419" s="29"/>
      <c r="P3419" s="37" t="str">
        <f t="shared" si="367"/>
        <v/>
      </c>
      <c r="Q3419" s="38" t="str">
        <f t="shared" si="368"/>
        <v/>
      </c>
      <c r="R3419" s="37" t="str">
        <f t="shared" si="369"/>
        <v/>
      </c>
      <c r="S3419" s="37" t="str">
        <f t="shared" si="370"/>
        <v/>
      </c>
      <c r="T3419" s="38" t="str">
        <f t="shared" si="371"/>
        <v/>
      </c>
      <c r="U3419" s="37" t="str">
        <f t="shared" si="372"/>
        <v/>
      </c>
    </row>
    <row r="3420" spans="2:21" ht="17.25">
      <c r="B3420" s="156"/>
      <c r="C3420" s="156"/>
      <c r="D3420" s="157"/>
      <c r="E3420" s="155"/>
      <c r="F3420" s="151"/>
      <c r="G3420" s="152"/>
      <c r="H3420" s="153"/>
      <c r="I3420" s="154"/>
      <c r="J3420" s="154"/>
      <c r="K3420" s="30" t="str">
        <f>IF(H3420="","",IF($C$30="간이법","",FPR(H3420,I3420,J3420)))</f>
        <v/>
      </c>
      <c r="L3420" s="30" t="str">
        <f>IF(H3420="","",IF($C$30="상세법",FPV(H3420,K3420),IF(H3420="EI",4,IF(H3420="EO",5.2,IF(H3420="EQ",3.9,IF(H3420="ILF",7.5,IF(H3420="EIF",5.4)))))))</f>
        <v/>
      </c>
      <c r="M3420" s="30" t="str">
        <f t="shared" si="366"/>
        <v/>
      </c>
      <c r="N3420" s="134"/>
      <c r="O3420" s="29"/>
      <c r="P3420" s="37" t="str">
        <f t="shared" si="367"/>
        <v/>
      </c>
      <c r="Q3420" s="38" t="str">
        <f t="shared" si="368"/>
        <v/>
      </c>
      <c r="R3420" s="37" t="str">
        <f t="shared" si="369"/>
        <v/>
      </c>
      <c r="S3420" s="37" t="str">
        <f t="shared" si="370"/>
        <v/>
      </c>
      <c r="T3420" s="38" t="str">
        <f t="shared" si="371"/>
        <v/>
      </c>
      <c r="U3420" s="37" t="str">
        <f t="shared" si="372"/>
        <v/>
      </c>
    </row>
    <row r="3421" spans="2:21" ht="17.25">
      <c r="B3421" s="156"/>
      <c r="C3421" s="156"/>
      <c r="D3421" s="157"/>
      <c r="E3421" s="155"/>
      <c r="F3421" s="151"/>
      <c r="G3421" s="152"/>
      <c r="H3421" s="153"/>
      <c r="I3421" s="154"/>
      <c r="J3421" s="154"/>
      <c r="K3421" s="30" t="str">
        <f>IF(H3421="","",IF($C$30="간이법","",FPR(H3421,I3421,J3421)))</f>
        <v/>
      </c>
      <c r="L3421" s="30" t="str">
        <f>IF(H3421="","",IF($C$30="상세법",FPV(H3421,K3421),IF(H3421="EI",4,IF(H3421="EO",5.2,IF(H3421="EQ",3.9,IF(H3421="ILF",7.5,IF(H3421="EIF",5.4)))))))</f>
        <v/>
      </c>
      <c r="M3421" s="30" t="str">
        <f t="shared" si="366"/>
        <v/>
      </c>
      <c r="N3421" s="134"/>
      <c r="O3421" s="29"/>
      <c r="P3421" s="37" t="str">
        <f t="shared" si="367"/>
        <v/>
      </c>
      <c r="Q3421" s="38" t="str">
        <f t="shared" si="368"/>
        <v/>
      </c>
      <c r="R3421" s="37" t="str">
        <f t="shared" si="369"/>
        <v/>
      </c>
      <c r="S3421" s="37" t="str">
        <f t="shared" si="370"/>
        <v/>
      </c>
      <c r="T3421" s="38" t="str">
        <f t="shared" si="371"/>
        <v/>
      </c>
      <c r="U3421" s="37" t="str">
        <f t="shared" si="372"/>
        <v/>
      </c>
    </row>
    <row r="3422" spans="2:21" ht="17.25">
      <c r="B3422" s="156"/>
      <c r="C3422" s="156"/>
      <c r="D3422" s="157"/>
      <c r="E3422" s="155"/>
      <c r="F3422" s="151"/>
      <c r="G3422" s="152"/>
      <c r="H3422" s="153"/>
      <c r="I3422" s="154"/>
      <c r="J3422" s="154"/>
      <c r="K3422" s="30" t="str">
        <f>IF(H3422="","",IF($C$30="간이법","",FPR(H3422,I3422,J3422)))</f>
        <v/>
      </c>
      <c r="L3422" s="30" t="str">
        <f>IF(H3422="","",IF($C$30="상세법",FPV(H3422,K3422),IF(H3422="EI",4,IF(H3422="EO",5.2,IF(H3422="EQ",3.9,IF(H3422="ILF",7.5,IF(H3422="EIF",5.4)))))))</f>
        <v/>
      </c>
      <c r="M3422" s="30" t="str">
        <f t="shared" si="366"/>
        <v/>
      </c>
      <c r="N3422" s="134"/>
      <c r="O3422" s="29"/>
      <c r="P3422" s="37" t="str">
        <f t="shared" si="367"/>
        <v/>
      </c>
      <c r="Q3422" s="38" t="str">
        <f t="shared" si="368"/>
        <v/>
      </c>
      <c r="R3422" s="37" t="str">
        <f t="shared" si="369"/>
        <v/>
      </c>
      <c r="S3422" s="37" t="str">
        <f t="shared" si="370"/>
        <v/>
      </c>
      <c r="T3422" s="38" t="str">
        <f t="shared" si="371"/>
        <v/>
      </c>
      <c r="U3422" s="37" t="str">
        <f t="shared" si="372"/>
        <v/>
      </c>
    </row>
    <row r="3423" spans="2:21" ht="17.25">
      <c r="B3423" s="156"/>
      <c r="C3423" s="156"/>
      <c r="D3423" s="157"/>
      <c r="E3423" s="155"/>
      <c r="F3423" s="151"/>
      <c r="G3423" s="152"/>
      <c r="H3423" s="153"/>
      <c r="I3423" s="154"/>
      <c r="J3423" s="154"/>
      <c r="K3423" s="30" t="str">
        <f>IF(H3423="","",IF($C$30="간이법","",FPR(H3423,I3423,J3423)))</f>
        <v/>
      </c>
      <c r="L3423" s="30" t="str">
        <f>IF(H3423="","",IF($C$30="상세법",FPV(H3423,K3423),IF(H3423="EI",4,IF(H3423="EO",5.2,IF(H3423="EQ",3.9,IF(H3423="ILF",7.5,IF(H3423="EIF",5.4)))))))</f>
        <v/>
      </c>
      <c r="M3423" s="30" t="str">
        <f t="shared" si="366"/>
        <v/>
      </c>
      <c r="N3423" s="134"/>
      <c r="O3423" s="29"/>
      <c r="P3423" s="37" t="str">
        <f t="shared" si="367"/>
        <v/>
      </c>
      <c r="Q3423" s="38" t="str">
        <f t="shared" si="368"/>
        <v/>
      </c>
      <c r="R3423" s="37" t="str">
        <f t="shared" si="369"/>
        <v/>
      </c>
      <c r="S3423" s="37" t="str">
        <f t="shared" si="370"/>
        <v/>
      </c>
      <c r="T3423" s="38" t="str">
        <f t="shared" si="371"/>
        <v/>
      </c>
      <c r="U3423" s="37" t="str">
        <f t="shared" si="372"/>
        <v/>
      </c>
    </row>
    <row r="3424" spans="2:21" ht="17.25">
      <c r="B3424" s="156"/>
      <c r="C3424" s="156"/>
      <c r="D3424" s="157"/>
      <c r="E3424" s="155"/>
      <c r="F3424" s="151"/>
      <c r="G3424" s="152"/>
      <c r="H3424" s="153"/>
      <c r="I3424" s="154"/>
      <c r="J3424" s="154"/>
      <c r="K3424" s="30" t="str">
        <f>IF(H3424="","",IF($C$30="간이법","",FPR(H3424,I3424,J3424)))</f>
        <v/>
      </c>
      <c r="L3424" s="30" t="str">
        <f>IF(H3424="","",IF($C$30="상세법",FPV(H3424,K3424),IF(H3424="EI",4,IF(H3424="EO",5.2,IF(H3424="EQ",3.9,IF(H3424="ILF",7.5,IF(H3424="EIF",5.4)))))))</f>
        <v/>
      </c>
      <c r="M3424" s="30" t="str">
        <f t="shared" si="366"/>
        <v/>
      </c>
      <c r="N3424" s="134"/>
      <c r="O3424" s="29"/>
      <c r="P3424" s="37" t="str">
        <f t="shared" si="367"/>
        <v/>
      </c>
      <c r="Q3424" s="38" t="str">
        <f t="shared" si="368"/>
        <v/>
      </c>
      <c r="R3424" s="37" t="str">
        <f t="shared" si="369"/>
        <v/>
      </c>
      <c r="S3424" s="37" t="str">
        <f t="shared" si="370"/>
        <v/>
      </c>
      <c r="T3424" s="38" t="str">
        <f t="shared" si="371"/>
        <v/>
      </c>
      <c r="U3424" s="37" t="str">
        <f t="shared" si="372"/>
        <v/>
      </c>
    </row>
    <row r="3425" spans="2:21" ht="17.25">
      <c r="B3425" s="156"/>
      <c r="C3425" s="156"/>
      <c r="D3425" s="157"/>
      <c r="E3425" s="155"/>
      <c r="F3425" s="151"/>
      <c r="G3425" s="152"/>
      <c r="H3425" s="153"/>
      <c r="I3425" s="154"/>
      <c r="J3425" s="154"/>
      <c r="K3425" s="30" t="str">
        <f>IF(H3425="","",IF($C$30="간이법","",FPR(H3425,I3425,J3425)))</f>
        <v/>
      </c>
      <c r="L3425" s="30" t="str">
        <f>IF(H3425="","",IF($C$30="상세법",FPV(H3425,K3425),IF(H3425="EI",4,IF(H3425="EO",5.2,IF(H3425="EQ",3.9,IF(H3425="ILF",7.5,IF(H3425="EIF",5.4)))))))</f>
        <v/>
      </c>
      <c r="M3425" s="30" t="str">
        <f t="shared" si="366"/>
        <v/>
      </c>
      <c r="N3425" s="134"/>
      <c r="O3425" s="29"/>
      <c r="P3425" s="37" t="str">
        <f t="shared" si="367"/>
        <v/>
      </c>
      <c r="Q3425" s="38" t="str">
        <f t="shared" si="368"/>
        <v/>
      </c>
      <c r="R3425" s="37" t="str">
        <f t="shared" si="369"/>
        <v/>
      </c>
      <c r="S3425" s="37" t="str">
        <f t="shared" si="370"/>
        <v/>
      </c>
      <c r="T3425" s="38" t="str">
        <f t="shared" si="371"/>
        <v/>
      </c>
      <c r="U3425" s="37" t="str">
        <f t="shared" si="372"/>
        <v/>
      </c>
    </row>
    <row r="3426" spans="2:21" ht="17.25">
      <c r="B3426" s="156"/>
      <c r="C3426" s="156"/>
      <c r="D3426" s="157"/>
      <c r="E3426" s="155"/>
      <c r="F3426" s="151"/>
      <c r="G3426" s="152"/>
      <c r="H3426" s="153"/>
      <c r="I3426" s="154"/>
      <c r="J3426" s="154"/>
      <c r="K3426" s="30" t="str">
        <f>IF(H3426="","",IF($C$30="간이법","",FPR(H3426,I3426,J3426)))</f>
        <v/>
      </c>
      <c r="L3426" s="30" t="str">
        <f>IF(H3426="","",IF($C$30="상세법",FPV(H3426,K3426),IF(H3426="EI",4,IF(H3426="EO",5.2,IF(H3426="EQ",3.9,IF(H3426="ILF",7.5,IF(H3426="EIF",5.4)))))))</f>
        <v/>
      </c>
      <c r="M3426" s="30" t="str">
        <f t="shared" si="366"/>
        <v/>
      </c>
      <c r="N3426" s="134"/>
      <c r="O3426" s="29"/>
      <c r="P3426" s="37" t="str">
        <f t="shared" si="367"/>
        <v/>
      </c>
      <c r="Q3426" s="38" t="str">
        <f t="shared" si="368"/>
        <v/>
      </c>
      <c r="R3426" s="37" t="str">
        <f t="shared" si="369"/>
        <v/>
      </c>
      <c r="S3426" s="37" t="str">
        <f t="shared" si="370"/>
        <v/>
      </c>
      <c r="T3426" s="38" t="str">
        <f t="shared" si="371"/>
        <v/>
      </c>
      <c r="U3426" s="37" t="str">
        <f t="shared" si="372"/>
        <v/>
      </c>
    </row>
    <row r="3427" spans="2:21" ht="17.25">
      <c r="B3427" s="156"/>
      <c r="C3427" s="156"/>
      <c r="D3427" s="157"/>
      <c r="E3427" s="155"/>
      <c r="F3427" s="151"/>
      <c r="G3427" s="152"/>
      <c r="H3427" s="153"/>
      <c r="I3427" s="154"/>
      <c r="J3427" s="154"/>
      <c r="K3427" s="30" t="str">
        <f>IF(H3427="","",IF($C$30="간이법","",FPR(H3427,I3427,J3427)))</f>
        <v/>
      </c>
      <c r="L3427" s="30" t="str">
        <f>IF(H3427="","",IF($C$30="상세법",FPV(H3427,K3427),IF(H3427="EI",4,IF(H3427="EO",5.2,IF(H3427="EQ",3.9,IF(H3427="ILF",7.5,IF(H3427="EIF",5.4)))))))</f>
        <v/>
      </c>
      <c r="M3427" s="30" t="str">
        <f t="shared" si="366"/>
        <v/>
      </c>
      <c r="N3427" s="134"/>
      <c r="O3427" s="29"/>
      <c r="P3427" s="37" t="str">
        <f t="shared" si="367"/>
        <v/>
      </c>
      <c r="Q3427" s="38" t="str">
        <f t="shared" si="368"/>
        <v/>
      </c>
      <c r="R3427" s="37" t="str">
        <f t="shared" si="369"/>
        <v/>
      </c>
      <c r="S3427" s="37" t="str">
        <f t="shared" si="370"/>
        <v/>
      </c>
      <c r="T3427" s="38" t="str">
        <f t="shared" si="371"/>
        <v/>
      </c>
      <c r="U3427" s="37" t="str">
        <f t="shared" si="372"/>
        <v/>
      </c>
    </row>
    <row r="3428" spans="2:21" ht="17.25">
      <c r="B3428" s="156"/>
      <c r="C3428" s="156"/>
      <c r="D3428" s="157"/>
      <c r="E3428" s="155"/>
      <c r="F3428" s="151"/>
      <c r="G3428" s="152"/>
      <c r="H3428" s="153"/>
      <c r="I3428" s="154"/>
      <c r="J3428" s="154"/>
      <c r="K3428" s="30" t="str">
        <f>IF(H3428="","",IF($C$30="간이법","",FPR(H3428,I3428,J3428)))</f>
        <v/>
      </c>
      <c r="L3428" s="30" t="str">
        <f>IF(H3428="","",IF($C$30="상세법",FPV(H3428,K3428),IF(H3428="EI",4,IF(H3428="EO",5.2,IF(H3428="EQ",3.9,IF(H3428="ILF",7.5,IF(H3428="EIF",5.4)))))))</f>
        <v/>
      </c>
      <c r="M3428" s="30" t="str">
        <f t="shared" si="366"/>
        <v/>
      </c>
      <c r="N3428" s="134"/>
      <c r="O3428" s="29"/>
      <c r="P3428" s="37" t="str">
        <f t="shared" si="367"/>
        <v/>
      </c>
      <c r="Q3428" s="38" t="str">
        <f t="shared" si="368"/>
        <v/>
      </c>
      <c r="R3428" s="37" t="str">
        <f t="shared" si="369"/>
        <v/>
      </c>
      <c r="S3428" s="37" t="str">
        <f t="shared" si="370"/>
        <v/>
      </c>
      <c r="T3428" s="38" t="str">
        <f t="shared" si="371"/>
        <v/>
      </c>
      <c r="U3428" s="37" t="str">
        <f t="shared" si="372"/>
        <v/>
      </c>
    </row>
    <row r="3429" spans="2:21" ht="17.25">
      <c r="B3429" s="156"/>
      <c r="C3429" s="156"/>
      <c r="D3429" s="157"/>
      <c r="E3429" s="155"/>
      <c r="F3429" s="151"/>
      <c r="G3429" s="152"/>
      <c r="H3429" s="153"/>
      <c r="I3429" s="154"/>
      <c r="J3429" s="154"/>
      <c r="K3429" s="30" t="str">
        <f>IF(H3429="","",IF($C$30="간이법","",FPR(H3429,I3429,J3429)))</f>
        <v/>
      </c>
      <c r="L3429" s="30" t="str">
        <f>IF(H3429="","",IF($C$30="상세법",FPV(H3429,K3429),IF(H3429="EI",4,IF(H3429="EO",5.2,IF(H3429="EQ",3.9,IF(H3429="ILF",7.5,IF(H3429="EIF",5.4)))))))</f>
        <v/>
      </c>
      <c r="M3429" s="30" t="str">
        <f t="shared" si="366"/>
        <v/>
      </c>
      <c r="N3429" s="134"/>
      <c r="O3429" s="29"/>
      <c r="P3429" s="37" t="str">
        <f t="shared" si="367"/>
        <v/>
      </c>
      <c r="Q3429" s="38" t="str">
        <f t="shared" si="368"/>
        <v/>
      </c>
      <c r="R3429" s="37" t="str">
        <f t="shared" si="369"/>
        <v/>
      </c>
      <c r="S3429" s="37" t="str">
        <f t="shared" si="370"/>
        <v/>
      </c>
      <c r="T3429" s="38" t="str">
        <f t="shared" si="371"/>
        <v/>
      </c>
      <c r="U3429" s="37" t="str">
        <f t="shared" si="372"/>
        <v/>
      </c>
    </row>
    <row r="3430" spans="2:21" ht="17.25">
      <c r="B3430" s="156"/>
      <c r="C3430" s="156"/>
      <c r="D3430" s="157"/>
      <c r="E3430" s="155"/>
      <c r="F3430" s="151"/>
      <c r="G3430" s="152"/>
      <c r="H3430" s="153"/>
      <c r="I3430" s="154"/>
      <c r="J3430" s="154"/>
      <c r="K3430" s="30" t="str">
        <f>IF(H3430="","",IF($C$30="간이법","",FPR(H3430,I3430,J3430)))</f>
        <v/>
      </c>
      <c r="L3430" s="30" t="str">
        <f>IF(H3430="","",IF($C$30="상세법",FPV(H3430,K3430),IF(H3430="EI",4,IF(H3430="EO",5.2,IF(H3430="EQ",3.9,IF(H3430="ILF",7.5,IF(H3430="EIF",5.4)))))))</f>
        <v/>
      </c>
      <c r="M3430" s="30" t="str">
        <f t="shared" si="366"/>
        <v/>
      </c>
      <c r="N3430" s="134"/>
      <c r="O3430" s="29"/>
      <c r="P3430" s="37" t="str">
        <f t="shared" si="367"/>
        <v/>
      </c>
      <c r="Q3430" s="38" t="str">
        <f t="shared" si="368"/>
        <v/>
      </c>
      <c r="R3430" s="37" t="str">
        <f t="shared" si="369"/>
        <v/>
      </c>
      <c r="S3430" s="37" t="str">
        <f t="shared" si="370"/>
        <v/>
      </c>
      <c r="T3430" s="38" t="str">
        <f t="shared" si="371"/>
        <v/>
      </c>
      <c r="U3430" s="37" t="str">
        <f t="shared" si="372"/>
        <v/>
      </c>
    </row>
    <row r="3431" spans="2:21" ht="17.25">
      <c r="B3431" s="156"/>
      <c r="C3431" s="156"/>
      <c r="D3431" s="157"/>
      <c r="E3431" s="155"/>
      <c r="F3431" s="151"/>
      <c r="G3431" s="152"/>
      <c r="H3431" s="153"/>
      <c r="I3431" s="154"/>
      <c r="J3431" s="154"/>
      <c r="K3431" s="30" t="str">
        <f>IF(H3431="","",IF($C$30="간이법","",FPR(H3431,I3431,J3431)))</f>
        <v/>
      </c>
      <c r="L3431" s="30" t="str">
        <f>IF(H3431="","",IF($C$30="상세법",FPV(H3431,K3431),IF(H3431="EI",4,IF(H3431="EO",5.2,IF(H3431="EQ",3.9,IF(H3431="ILF",7.5,IF(H3431="EIF",5.4)))))))</f>
        <v/>
      </c>
      <c r="M3431" s="30" t="str">
        <f t="shared" si="366"/>
        <v/>
      </c>
      <c r="N3431" s="134"/>
      <c r="O3431" s="29"/>
      <c r="P3431" s="37" t="str">
        <f t="shared" si="367"/>
        <v/>
      </c>
      <c r="Q3431" s="38" t="str">
        <f t="shared" si="368"/>
        <v/>
      </c>
      <c r="R3431" s="37" t="str">
        <f t="shared" si="369"/>
        <v/>
      </c>
      <c r="S3431" s="37" t="str">
        <f t="shared" si="370"/>
        <v/>
      </c>
      <c r="T3431" s="38" t="str">
        <f t="shared" si="371"/>
        <v/>
      </c>
      <c r="U3431" s="37" t="str">
        <f t="shared" si="372"/>
        <v/>
      </c>
    </row>
    <row r="3432" spans="2:21" ht="17.25">
      <c r="B3432" s="156"/>
      <c r="C3432" s="156"/>
      <c r="D3432" s="157"/>
      <c r="E3432" s="155"/>
      <c r="F3432" s="151"/>
      <c r="G3432" s="152"/>
      <c r="H3432" s="153"/>
      <c r="I3432" s="154"/>
      <c r="J3432" s="154"/>
      <c r="K3432" s="30" t="str">
        <f>IF(H3432="","",IF($C$30="간이법","",FPR(H3432,I3432,J3432)))</f>
        <v/>
      </c>
      <c r="L3432" s="30" t="str">
        <f>IF(H3432="","",IF($C$30="상세법",FPV(H3432,K3432),IF(H3432="EI",4,IF(H3432="EO",5.2,IF(H3432="EQ",3.9,IF(H3432="ILF",7.5,IF(H3432="EIF",5.4)))))))</f>
        <v/>
      </c>
      <c r="M3432" s="30" t="str">
        <f t="shared" si="366"/>
        <v/>
      </c>
      <c r="N3432" s="134"/>
      <c r="O3432" s="29"/>
      <c r="P3432" s="37" t="str">
        <f t="shared" si="367"/>
        <v/>
      </c>
      <c r="Q3432" s="38" t="str">
        <f t="shared" si="368"/>
        <v/>
      </c>
      <c r="R3432" s="37" t="str">
        <f t="shared" si="369"/>
        <v/>
      </c>
      <c r="S3432" s="37" t="str">
        <f t="shared" si="370"/>
        <v/>
      </c>
      <c r="T3432" s="38" t="str">
        <f t="shared" si="371"/>
        <v/>
      </c>
      <c r="U3432" s="37" t="str">
        <f t="shared" si="372"/>
        <v/>
      </c>
    </row>
    <row r="3433" spans="2:21" ht="17.25">
      <c r="B3433" s="156"/>
      <c r="C3433" s="156"/>
      <c r="D3433" s="157"/>
      <c r="E3433" s="155"/>
      <c r="F3433" s="151"/>
      <c r="G3433" s="152"/>
      <c r="H3433" s="153"/>
      <c r="I3433" s="154"/>
      <c r="J3433" s="154"/>
      <c r="K3433" s="30" t="str">
        <f>IF(H3433="","",IF($C$30="간이법","",FPR(H3433,I3433,J3433)))</f>
        <v/>
      </c>
      <c r="L3433" s="30" t="str">
        <f>IF(H3433="","",IF($C$30="상세법",FPV(H3433,K3433),IF(H3433="EI",4,IF(H3433="EO",5.2,IF(H3433="EQ",3.9,IF(H3433="ILF",7.5,IF(H3433="EIF",5.4)))))))</f>
        <v/>
      </c>
      <c r="M3433" s="30" t="str">
        <f t="shared" si="366"/>
        <v/>
      </c>
      <c r="N3433" s="134"/>
      <c r="O3433" s="29"/>
      <c r="P3433" s="37" t="str">
        <f t="shared" si="367"/>
        <v/>
      </c>
      <c r="Q3433" s="38" t="str">
        <f t="shared" si="368"/>
        <v/>
      </c>
      <c r="R3433" s="37" t="str">
        <f t="shared" si="369"/>
        <v/>
      </c>
      <c r="S3433" s="37" t="str">
        <f t="shared" si="370"/>
        <v/>
      </c>
      <c r="T3433" s="38" t="str">
        <f t="shared" si="371"/>
        <v/>
      </c>
      <c r="U3433" s="37" t="str">
        <f t="shared" si="372"/>
        <v/>
      </c>
    </row>
    <row r="3434" spans="2:21" ht="17.25">
      <c r="B3434" s="156"/>
      <c r="C3434" s="156"/>
      <c r="D3434" s="157"/>
      <c r="E3434" s="155"/>
      <c r="F3434" s="151"/>
      <c r="G3434" s="152"/>
      <c r="H3434" s="153"/>
      <c r="I3434" s="154"/>
      <c r="J3434" s="154"/>
      <c r="K3434" s="30" t="str">
        <f>IF(H3434="","",IF($C$30="간이법","",FPR(H3434,I3434,J3434)))</f>
        <v/>
      </c>
      <c r="L3434" s="30" t="str">
        <f>IF(H3434="","",IF($C$30="상세법",FPV(H3434,K3434),IF(H3434="EI",4,IF(H3434="EO",5.2,IF(H3434="EQ",3.9,IF(H3434="ILF",7.5,IF(H3434="EIF",5.4)))))))</f>
        <v/>
      </c>
      <c r="M3434" s="30" t="str">
        <f t="shared" si="366"/>
        <v/>
      </c>
      <c r="N3434" s="134"/>
      <c r="O3434" s="29"/>
      <c r="P3434" s="37" t="str">
        <f t="shared" si="367"/>
        <v/>
      </c>
      <c r="Q3434" s="38" t="str">
        <f t="shared" si="368"/>
        <v/>
      </c>
      <c r="R3434" s="37" t="str">
        <f t="shared" si="369"/>
        <v/>
      </c>
      <c r="S3434" s="37" t="str">
        <f t="shared" si="370"/>
        <v/>
      </c>
      <c r="T3434" s="38" t="str">
        <f t="shared" si="371"/>
        <v/>
      </c>
      <c r="U3434" s="37" t="str">
        <f t="shared" si="372"/>
        <v/>
      </c>
    </row>
    <row r="3435" spans="2:21" ht="17.25">
      <c r="B3435" s="156"/>
      <c r="C3435" s="156"/>
      <c r="D3435" s="157"/>
      <c r="E3435" s="155"/>
      <c r="F3435" s="151"/>
      <c r="G3435" s="152"/>
      <c r="H3435" s="153"/>
      <c r="I3435" s="154"/>
      <c r="J3435" s="154"/>
      <c r="K3435" s="30" t="str">
        <f>IF(H3435="","",IF($C$30="간이법","",FPR(H3435,I3435,J3435)))</f>
        <v/>
      </c>
      <c r="L3435" s="30" t="str">
        <f>IF(H3435="","",IF($C$30="상세법",FPV(H3435,K3435),IF(H3435="EI",4,IF(H3435="EO",5.2,IF(H3435="EQ",3.9,IF(H3435="ILF",7.5,IF(H3435="EIF",5.4)))))))</f>
        <v/>
      </c>
      <c r="M3435" s="30" t="str">
        <f t="shared" si="366"/>
        <v/>
      </c>
      <c r="N3435" s="134"/>
      <c r="O3435" s="29"/>
      <c r="P3435" s="37" t="str">
        <f t="shared" si="367"/>
        <v/>
      </c>
      <c r="Q3435" s="38" t="str">
        <f t="shared" si="368"/>
        <v/>
      </c>
      <c r="R3435" s="37" t="str">
        <f t="shared" si="369"/>
        <v/>
      </c>
      <c r="S3435" s="37" t="str">
        <f t="shared" si="370"/>
        <v/>
      </c>
      <c r="T3435" s="38" t="str">
        <f t="shared" si="371"/>
        <v/>
      </c>
      <c r="U3435" s="37" t="str">
        <f t="shared" si="372"/>
        <v/>
      </c>
    </row>
    <row r="3436" spans="2:21" ht="17.25">
      <c r="B3436" s="156"/>
      <c r="C3436" s="156"/>
      <c r="D3436" s="157"/>
      <c r="E3436" s="155"/>
      <c r="F3436" s="151"/>
      <c r="G3436" s="152"/>
      <c r="H3436" s="153"/>
      <c r="I3436" s="154"/>
      <c r="J3436" s="154"/>
      <c r="K3436" s="30" t="str">
        <f>IF(H3436="","",IF($C$30="간이법","",FPR(H3436,I3436,J3436)))</f>
        <v/>
      </c>
      <c r="L3436" s="30" t="str">
        <f>IF(H3436="","",IF($C$30="상세법",FPV(H3436,K3436),IF(H3436="EI",4,IF(H3436="EO",5.2,IF(H3436="EQ",3.9,IF(H3436="ILF",7.5,IF(H3436="EIF",5.4)))))))</f>
        <v/>
      </c>
      <c r="M3436" s="30" t="str">
        <f t="shared" si="366"/>
        <v/>
      </c>
      <c r="N3436" s="134"/>
      <c r="O3436" s="29"/>
      <c r="P3436" s="37" t="str">
        <f t="shared" si="367"/>
        <v/>
      </c>
      <c r="Q3436" s="38" t="str">
        <f t="shared" si="368"/>
        <v/>
      </c>
      <c r="R3436" s="37" t="str">
        <f t="shared" si="369"/>
        <v/>
      </c>
      <c r="S3436" s="37" t="str">
        <f t="shared" si="370"/>
        <v/>
      </c>
      <c r="T3436" s="38" t="str">
        <f t="shared" si="371"/>
        <v/>
      </c>
      <c r="U3436" s="37" t="str">
        <f t="shared" si="372"/>
        <v/>
      </c>
    </row>
    <row r="3437" spans="2:21" ht="17.25">
      <c r="B3437" s="156"/>
      <c r="C3437" s="156"/>
      <c r="D3437" s="157"/>
      <c r="E3437" s="155"/>
      <c r="F3437" s="151"/>
      <c r="G3437" s="152"/>
      <c r="H3437" s="153"/>
      <c r="I3437" s="154"/>
      <c r="J3437" s="154"/>
      <c r="K3437" s="30" t="str">
        <f>IF(H3437="","",IF($C$30="간이법","",FPR(H3437,I3437,J3437)))</f>
        <v/>
      </c>
      <c r="L3437" s="30" t="str">
        <f>IF(H3437="","",IF($C$30="상세법",FPV(H3437,K3437),IF(H3437="EI",4,IF(H3437="EO",5.2,IF(H3437="EQ",3.9,IF(H3437="ILF",7.5,IF(H3437="EIF",5.4)))))))</f>
        <v/>
      </c>
      <c r="M3437" s="30" t="str">
        <f t="shared" si="366"/>
        <v/>
      </c>
      <c r="N3437" s="134"/>
      <c r="O3437" s="29"/>
      <c r="P3437" s="37" t="str">
        <f t="shared" si="367"/>
        <v/>
      </c>
      <c r="Q3437" s="38" t="str">
        <f t="shared" si="368"/>
        <v/>
      </c>
      <c r="R3437" s="37" t="str">
        <f t="shared" si="369"/>
        <v/>
      </c>
      <c r="S3437" s="37" t="str">
        <f t="shared" si="370"/>
        <v/>
      </c>
      <c r="T3437" s="38" t="str">
        <f t="shared" si="371"/>
        <v/>
      </c>
      <c r="U3437" s="37" t="str">
        <f t="shared" si="372"/>
        <v/>
      </c>
    </row>
    <row r="3438" spans="2:21" ht="17.25">
      <c r="B3438" s="156"/>
      <c r="C3438" s="156"/>
      <c r="D3438" s="157"/>
      <c r="E3438" s="155"/>
      <c r="F3438" s="151"/>
      <c r="G3438" s="152"/>
      <c r="H3438" s="153"/>
      <c r="I3438" s="154"/>
      <c r="J3438" s="154"/>
      <c r="K3438" s="30" t="str">
        <f>IF(H3438="","",IF($C$30="간이법","",FPR(H3438,I3438,J3438)))</f>
        <v/>
      </c>
      <c r="L3438" s="30" t="str">
        <f>IF(H3438="","",IF($C$30="상세법",FPV(H3438,K3438),IF(H3438="EI",4,IF(H3438="EO",5.2,IF(H3438="EQ",3.9,IF(H3438="ILF",7.5,IF(H3438="EIF",5.4)))))))</f>
        <v/>
      </c>
      <c r="M3438" s="30" t="str">
        <f t="shared" si="366"/>
        <v/>
      </c>
      <c r="N3438" s="134"/>
      <c r="O3438" s="29"/>
      <c r="P3438" s="37" t="str">
        <f t="shared" si="367"/>
        <v/>
      </c>
      <c r="Q3438" s="38" t="str">
        <f t="shared" si="368"/>
        <v/>
      </c>
      <c r="R3438" s="37" t="str">
        <f t="shared" si="369"/>
        <v/>
      </c>
      <c r="S3438" s="37" t="str">
        <f t="shared" si="370"/>
        <v/>
      </c>
      <c r="T3438" s="38" t="str">
        <f t="shared" si="371"/>
        <v/>
      </c>
      <c r="U3438" s="37" t="str">
        <f t="shared" si="372"/>
        <v/>
      </c>
    </row>
    <row r="3439" spans="2:21" ht="17.25">
      <c r="B3439" s="156"/>
      <c r="C3439" s="156"/>
      <c r="D3439" s="157"/>
      <c r="E3439" s="155"/>
      <c r="F3439" s="151"/>
      <c r="G3439" s="152"/>
      <c r="H3439" s="153"/>
      <c r="I3439" s="154"/>
      <c r="J3439" s="154"/>
      <c r="K3439" s="30" t="str">
        <f>IF(H3439="","",IF($C$30="간이법","",FPR(H3439,I3439,J3439)))</f>
        <v/>
      </c>
      <c r="L3439" s="30" t="str">
        <f>IF(H3439="","",IF($C$30="상세법",FPV(H3439,K3439),IF(H3439="EI",4,IF(H3439="EO",5.2,IF(H3439="EQ",3.9,IF(H3439="ILF",7.5,IF(H3439="EIF",5.4)))))))</f>
        <v/>
      </c>
      <c r="M3439" s="30" t="str">
        <f t="shared" si="366"/>
        <v/>
      </c>
      <c r="N3439" s="134"/>
      <c r="O3439" s="29"/>
      <c r="P3439" s="37" t="str">
        <f t="shared" si="367"/>
        <v/>
      </c>
      <c r="Q3439" s="38" t="str">
        <f t="shared" si="368"/>
        <v/>
      </c>
      <c r="R3439" s="37" t="str">
        <f t="shared" si="369"/>
        <v/>
      </c>
      <c r="S3439" s="37" t="str">
        <f t="shared" si="370"/>
        <v/>
      </c>
      <c r="T3439" s="38" t="str">
        <f t="shared" si="371"/>
        <v/>
      </c>
      <c r="U3439" s="37" t="str">
        <f t="shared" si="372"/>
        <v/>
      </c>
    </row>
    <row r="3440" spans="2:21" ht="17.25">
      <c r="B3440" s="156"/>
      <c r="C3440" s="156"/>
      <c r="D3440" s="157"/>
      <c r="E3440" s="155"/>
      <c r="F3440" s="151"/>
      <c r="G3440" s="152"/>
      <c r="H3440" s="153"/>
      <c r="I3440" s="154"/>
      <c r="J3440" s="154"/>
      <c r="K3440" s="30" t="str">
        <f>IF(H3440="","",IF($C$30="간이법","",FPR(H3440,I3440,J3440)))</f>
        <v/>
      </c>
      <c r="L3440" s="30" t="str">
        <f>IF(H3440="","",IF($C$30="상세법",FPV(H3440,K3440),IF(H3440="EI",4,IF(H3440="EO",5.2,IF(H3440="EQ",3.9,IF(H3440="ILF",7.5,IF(H3440="EIF",5.4)))))))</f>
        <v/>
      </c>
      <c r="M3440" s="30" t="str">
        <f t="shared" si="366"/>
        <v/>
      </c>
      <c r="N3440" s="134"/>
      <c r="O3440" s="29"/>
      <c r="P3440" s="37" t="str">
        <f t="shared" si="367"/>
        <v/>
      </c>
      <c r="Q3440" s="38" t="str">
        <f t="shared" si="368"/>
        <v/>
      </c>
      <c r="R3440" s="37" t="str">
        <f t="shared" si="369"/>
        <v/>
      </c>
      <c r="S3440" s="37" t="str">
        <f t="shared" si="370"/>
        <v/>
      </c>
      <c r="T3440" s="38" t="str">
        <f t="shared" si="371"/>
        <v/>
      </c>
      <c r="U3440" s="37" t="str">
        <f t="shared" si="372"/>
        <v/>
      </c>
    </row>
    <row r="3441" spans="2:21" ht="17.25">
      <c r="B3441" s="156"/>
      <c r="C3441" s="156"/>
      <c r="D3441" s="157"/>
      <c r="E3441" s="155"/>
      <c r="F3441" s="151"/>
      <c r="G3441" s="152"/>
      <c r="H3441" s="153"/>
      <c r="I3441" s="154"/>
      <c r="J3441" s="154"/>
      <c r="K3441" s="30" t="str">
        <f>IF(H3441="","",IF($C$30="간이법","",FPR(H3441,I3441,J3441)))</f>
        <v/>
      </c>
      <c r="L3441" s="30" t="str">
        <f>IF(H3441="","",IF($C$30="상세법",FPV(H3441,K3441),IF(H3441="EI",4,IF(H3441="EO",5.2,IF(H3441="EQ",3.9,IF(H3441="ILF",7.5,IF(H3441="EIF",5.4)))))))</f>
        <v/>
      </c>
      <c r="M3441" s="30" t="str">
        <f t="shared" si="366"/>
        <v/>
      </c>
      <c r="N3441" s="134"/>
      <c r="O3441" s="29"/>
      <c r="P3441" s="37" t="str">
        <f t="shared" si="367"/>
        <v/>
      </c>
      <c r="Q3441" s="38" t="str">
        <f t="shared" si="368"/>
        <v/>
      </c>
      <c r="R3441" s="37" t="str">
        <f t="shared" si="369"/>
        <v/>
      </c>
      <c r="S3441" s="37" t="str">
        <f t="shared" si="370"/>
        <v/>
      </c>
      <c r="T3441" s="38" t="str">
        <f t="shared" si="371"/>
        <v/>
      </c>
      <c r="U3441" s="37" t="str">
        <f t="shared" si="372"/>
        <v/>
      </c>
    </row>
    <row r="3442" spans="2:21" ht="17.25">
      <c r="B3442" s="156"/>
      <c r="C3442" s="156"/>
      <c r="D3442" s="157"/>
      <c r="E3442" s="155"/>
      <c r="F3442" s="151"/>
      <c r="G3442" s="152"/>
      <c r="H3442" s="153"/>
      <c r="I3442" s="154"/>
      <c r="J3442" s="154"/>
      <c r="K3442" s="30" t="str">
        <f>IF(H3442="","",IF($C$30="간이법","",FPR(H3442,I3442,J3442)))</f>
        <v/>
      </c>
      <c r="L3442" s="30" t="str">
        <f>IF(H3442="","",IF($C$30="상세법",FPV(H3442,K3442),IF(H3442="EI",4,IF(H3442="EO",5.2,IF(H3442="EQ",3.9,IF(H3442="ILF",7.5,IF(H3442="EIF",5.4)))))))</f>
        <v/>
      </c>
      <c r="M3442" s="30" t="str">
        <f t="shared" si="366"/>
        <v/>
      </c>
      <c r="N3442" s="134"/>
      <c r="O3442" s="29"/>
      <c r="P3442" s="37" t="str">
        <f t="shared" si="367"/>
        <v/>
      </c>
      <c r="Q3442" s="38" t="str">
        <f t="shared" si="368"/>
        <v/>
      </c>
      <c r="R3442" s="37" t="str">
        <f t="shared" si="369"/>
        <v/>
      </c>
      <c r="S3442" s="37" t="str">
        <f t="shared" si="370"/>
        <v/>
      </c>
      <c r="T3442" s="38" t="str">
        <f t="shared" si="371"/>
        <v/>
      </c>
      <c r="U3442" s="37" t="str">
        <f t="shared" si="372"/>
        <v/>
      </c>
    </row>
    <row r="3443" spans="2:21" ht="17.25">
      <c r="B3443" s="156"/>
      <c r="C3443" s="156"/>
      <c r="D3443" s="157"/>
      <c r="E3443" s="155"/>
      <c r="F3443" s="151"/>
      <c r="G3443" s="152"/>
      <c r="H3443" s="153"/>
      <c r="I3443" s="154"/>
      <c r="J3443" s="154"/>
      <c r="K3443" s="30" t="str">
        <f>IF(H3443="","",IF($C$30="간이법","",FPR(H3443,I3443,J3443)))</f>
        <v/>
      </c>
      <c r="L3443" s="30" t="str">
        <f>IF(H3443="","",IF($C$30="상세법",FPV(H3443,K3443),IF(H3443="EI",4,IF(H3443="EO",5.2,IF(H3443="EQ",3.9,IF(H3443="ILF",7.5,IF(H3443="EIF",5.4)))))))</f>
        <v/>
      </c>
      <c r="M3443" s="30" t="str">
        <f t="shared" si="366"/>
        <v/>
      </c>
      <c r="N3443" s="134"/>
      <c r="O3443" s="29"/>
      <c r="P3443" s="37" t="str">
        <f t="shared" si="367"/>
        <v/>
      </c>
      <c r="Q3443" s="38" t="str">
        <f t="shared" si="368"/>
        <v/>
      </c>
      <c r="R3443" s="37" t="str">
        <f t="shared" si="369"/>
        <v/>
      </c>
      <c r="S3443" s="37" t="str">
        <f t="shared" si="370"/>
        <v/>
      </c>
      <c r="T3443" s="38" t="str">
        <f t="shared" si="371"/>
        <v/>
      </c>
      <c r="U3443" s="37" t="str">
        <f t="shared" si="372"/>
        <v/>
      </c>
    </row>
    <row r="3444" spans="2:21" ht="17.25">
      <c r="B3444" s="156"/>
      <c r="C3444" s="156"/>
      <c r="D3444" s="157"/>
      <c r="E3444" s="155"/>
      <c r="F3444" s="151"/>
      <c r="G3444" s="152"/>
      <c r="H3444" s="153"/>
      <c r="I3444" s="154"/>
      <c r="J3444" s="154"/>
      <c r="K3444" s="30" t="str">
        <f>IF(H3444="","",IF($C$30="간이법","",FPR(H3444,I3444,J3444)))</f>
        <v/>
      </c>
      <c r="L3444" s="30" t="str">
        <f>IF(H3444="","",IF($C$30="상세법",FPV(H3444,K3444),IF(H3444="EI",4,IF(H3444="EO",5.2,IF(H3444="EQ",3.9,IF(H3444="ILF",7.5,IF(H3444="EIF",5.4)))))))</f>
        <v/>
      </c>
      <c r="M3444" s="30" t="str">
        <f t="shared" si="366"/>
        <v/>
      </c>
      <c r="N3444" s="134"/>
      <c r="O3444" s="29"/>
      <c r="P3444" s="37" t="str">
        <f t="shared" si="367"/>
        <v/>
      </c>
      <c r="Q3444" s="38" t="str">
        <f t="shared" si="368"/>
        <v/>
      </c>
      <c r="R3444" s="37" t="str">
        <f t="shared" si="369"/>
        <v/>
      </c>
      <c r="S3444" s="37" t="str">
        <f t="shared" si="370"/>
        <v/>
      </c>
      <c r="T3444" s="38" t="str">
        <f t="shared" si="371"/>
        <v/>
      </c>
      <c r="U3444" s="37" t="str">
        <f t="shared" si="372"/>
        <v/>
      </c>
    </row>
    <row r="3445" spans="2:21" ht="17.25">
      <c r="B3445" s="156"/>
      <c r="C3445" s="156"/>
      <c r="D3445" s="157"/>
      <c r="E3445" s="155"/>
      <c r="F3445" s="151"/>
      <c r="G3445" s="152"/>
      <c r="H3445" s="153"/>
      <c r="I3445" s="154"/>
      <c r="J3445" s="154"/>
      <c r="K3445" s="30" t="str">
        <f>IF(H3445="","",IF($C$30="간이법","",FPR(H3445,I3445,J3445)))</f>
        <v/>
      </c>
      <c r="L3445" s="30" t="str">
        <f>IF(H3445="","",IF($C$30="상세법",FPV(H3445,K3445),IF(H3445="EI",4,IF(H3445="EO",5.2,IF(H3445="EQ",3.9,IF(H3445="ILF",7.5,IF(H3445="EIF",5.4)))))))</f>
        <v/>
      </c>
      <c r="M3445" s="30" t="str">
        <f t="shared" si="366"/>
        <v/>
      </c>
      <c r="N3445" s="134"/>
      <c r="O3445" s="29"/>
      <c r="P3445" s="37" t="str">
        <f t="shared" si="367"/>
        <v/>
      </c>
      <c r="Q3445" s="38" t="str">
        <f t="shared" si="368"/>
        <v/>
      </c>
      <c r="R3445" s="37" t="str">
        <f t="shared" si="369"/>
        <v/>
      </c>
      <c r="S3445" s="37" t="str">
        <f t="shared" si="370"/>
        <v/>
      </c>
      <c r="T3445" s="38" t="str">
        <f t="shared" si="371"/>
        <v/>
      </c>
      <c r="U3445" s="37" t="str">
        <f t="shared" si="372"/>
        <v/>
      </c>
    </row>
    <row r="3446" spans="2:21" ht="17.25">
      <c r="B3446" s="156"/>
      <c r="C3446" s="156"/>
      <c r="D3446" s="157"/>
      <c r="E3446" s="155"/>
      <c r="F3446" s="151"/>
      <c r="G3446" s="152"/>
      <c r="H3446" s="153"/>
      <c r="I3446" s="154"/>
      <c r="J3446" s="154"/>
      <c r="K3446" s="30" t="str">
        <f>IF(H3446="","",IF($C$30="간이법","",FPR(H3446,I3446,J3446)))</f>
        <v/>
      </c>
      <c r="L3446" s="30" t="str">
        <f>IF(H3446="","",IF($C$30="상세법",FPV(H3446,K3446),IF(H3446="EI",4,IF(H3446="EO",5.2,IF(H3446="EQ",3.9,IF(H3446="ILF",7.5,IF(H3446="EIF",5.4)))))))</f>
        <v/>
      </c>
      <c r="M3446" s="30" t="str">
        <f t="shared" si="366"/>
        <v/>
      </c>
      <c r="N3446" s="134"/>
      <c r="O3446" s="29"/>
      <c r="P3446" s="37" t="str">
        <f t="shared" si="367"/>
        <v/>
      </c>
      <c r="Q3446" s="38" t="str">
        <f t="shared" si="368"/>
        <v/>
      </c>
      <c r="R3446" s="37" t="str">
        <f t="shared" si="369"/>
        <v/>
      </c>
      <c r="S3446" s="37" t="str">
        <f t="shared" si="370"/>
        <v/>
      </c>
      <c r="T3446" s="38" t="str">
        <f t="shared" si="371"/>
        <v/>
      </c>
      <c r="U3446" s="37" t="str">
        <f t="shared" si="372"/>
        <v/>
      </c>
    </row>
    <row r="3447" spans="2:21" ht="17.25">
      <c r="B3447" s="156"/>
      <c r="C3447" s="156"/>
      <c r="D3447" s="157"/>
      <c r="E3447" s="155"/>
      <c r="F3447" s="151"/>
      <c r="G3447" s="152"/>
      <c r="H3447" s="153"/>
      <c r="I3447" s="154"/>
      <c r="J3447" s="154"/>
      <c r="K3447" s="30" t="str">
        <f>IF(H3447="","",IF($C$30="간이법","",FPR(H3447,I3447,J3447)))</f>
        <v/>
      </c>
      <c r="L3447" s="30" t="str">
        <f>IF(H3447="","",IF($C$30="상세법",FPV(H3447,K3447),IF(H3447="EI",4,IF(H3447="EO",5.2,IF(H3447="EQ",3.9,IF(H3447="ILF",7.5,IF(H3447="EIF",5.4)))))))</f>
        <v/>
      </c>
      <c r="M3447" s="30" t="str">
        <f t="shared" si="366"/>
        <v/>
      </c>
      <c r="N3447" s="134"/>
      <c r="O3447" s="29"/>
      <c r="P3447" s="37" t="str">
        <f t="shared" si="367"/>
        <v/>
      </c>
      <c r="Q3447" s="38" t="str">
        <f t="shared" si="368"/>
        <v/>
      </c>
      <c r="R3447" s="37" t="str">
        <f t="shared" si="369"/>
        <v/>
      </c>
      <c r="S3447" s="37" t="str">
        <f t="shared" si="370"/>
        <v/>
      </c>
      <c r="T3447" s="38" t="str">
        <f t="shared" si="371"/>
        <v/>
      </c>
      <c r="U3447" s="37" t="str">
        <f t="shared" si="372"/>
        <v/>
      </c>
    </row>
    <row r="3448" spans="2:21" ht="17.25">
      <c r="B3448" s="156"/>
      <c r="C3448" s="156"/>
      <c r="D3448" s="157"/>
      <c r="E3448" s="155"/>
      <c r="F3448" s="151"/>
      <c r="G3448" s="152"/>
      <c r="H3448" s="153"/>
      <c r="I3448" s="154"/>
      <c r="J3448" s="154"/>
      <c r="K3448" s="30" t="str">
        <f>IF(H3448="","",IF($C$30="간이법","",FPR(H3448,I3448,J3448)))</f>
        <v/>
      </c>
      <c r="L3448" s="30" t="str">
        <f>IF(H3448="","",IF($C$30="상세법",FPV(H3448,K3448),IF(H3448="EI",4,IF(H3448="EO",5.2,IF(H3448="EQ",3.9,IF(H3448="ILF",7.5,IF(H3448="EIF",5.4)))))))</f>
        <v/>
      </c>
      <c r="M3448" s="30" t="str">
        <f t="shared" si="366"/>
        <v/>
      </c>
      <c r="N3448" s="134"/>
      <c r="O3448" s="29"/>
      <c r="P3448" s="37" t="str">
        <f t="shared" si="367"/>
        <v/>
      </c>
      <c r="Q3448" s="38" t="str">
        <f t="shared" si="368"/>
        <v/>
      </c>
      <c r="R3448" s="37" t="str">
        <f t="shared" si="369"/>
        <v/>
      </c>
      <c r="S3448" s="37" t="str">
        <f t="shared" si="370"/>
        <v/>
      </c>
      <c r="T3448" s="38" t="str">
        <f t="shared" si="371"/>
        <v/>
      </c>
      <c r="U3448" s="37" t="str">
        <f t="shared" si="372"/>
        <v/>
      </c>
    </row>
    <row r="3449" spans="2:21" ht="17.25">
      <c r="B3449" s="156"/>
      <c r="C3449" s="156"/>
      <c r="D3449" s="157"/>
      <c r="E3449" s="155"/>
      <c r="F3449" s="151"/>
      <c r="G3449" s="152"/>
      <c r="H3449" s="153"/>
      <c r="I3449" s="154"/>
      <c r="J3449" s="154"/>
      <c r="K3449" s="30" t="str">
        <f>IF(H3449="","",IF($C$30="간이법","",FPR(H3449,I3449,J3449)))</f>
        <v/>
      </c>
      <c r="L3449" s="30" t="str">
        <f>IF(H3449="","",IF($C$30="상세법",FPV(H3449,K3449),IF(H3449="EI",4,IF(H3449="EO",5.2,IF(H3449="EQ",3.9,IF(H3449="ILF",7.5,IF(H3449="EIF",5.4)))))))</f>
        <v/>
      </c>
      <c r="M3449" s="30" t="str">
        <f t="shared" si="366"/>
        <v/>
      </c>
      <c r="N3449" s="134"/>
      <c r="O3449" s="29"/>
      <c r="P3449" s="37" t="str">
        <f t="shared" si="367"/>
        <v/>
      </c>
      <c r="Q3449" s="38" t="str">
        <f t="shared" si="368"/>
        <v/>
      </c>
      <c r="R3449" s="37" t="str">
        <f t="shared" si="369"/>
        <v/>
      </c>
      <c r="S3449" s="37" t="str">
        <f t="shared" si="370"/>
        <v/>
      </c>
      <c r="T3449" s="38" t="str">
        <f t="shared" si="371"/>
        <v/>
      </c>
      <c r="U3449" s="37" t="str">
        <f t="shared" si="372"/>
        <v/>
      </c>
    </row>
    <row r="3450" spans="2:21" ht="17.25">
      <c r="B3450" s="156"/>
      <c r="C3450" s="156"/>
      <c r="D3450" s="157"/>
      <c r="E3450" s="155"/>
      <c r="F3450" s="151"/>
      <c r="G3450" s="152"/>
      <c r="H3450" s="153"/>
      <c r="I3450" s="154"/>
      <c r="J3450" s="154"/>
      <c r="K3450" s="30" t="str">
        <f>IF(H3450="","",IF($C$30="간이법","",FPR(H3450,I3450,J3450)))</f>
        <v/>
      </c>
      <c r="L3450" s="30" t="str">
        <f>IF(H3450="","",IF($C$30="상세법",FPV(H3450,K3450),IF(H3450="EI",4,IF(H3450="EO",5.2,IF(H3450="EQ",3.9,IF(H3450="ILF",7.5,IF(H3450="EIF",5.4)))))))</f>
        <v/>
      </c>
      <c r="M3450" s="30" t="str">
        <f t="shared" si="366"/>
        <v/>
      </c>
      <c r="N3450" s="134"/>
      <c r="O3450" s="29"/>
      <c r="P3450" s="37" t="str">
        <f t="shared" si="367"/>
        <v/>
      </c>
      <c r="Q3450" s="38" t="str">
        <f t="shared" si="368"/>
        <v/>
      </c>
      <c r="R3450" s="37" t="str">
        <f t="shared" si="369"/>
        <v/>
      </c>
      <c r="S3450" s="37" t="str">
        <f t="shared" si="370"/>
        <v/>
      </c>
      <c r="T3450" s="38" t="str">
        <f t="shared" si="371"/>
        <v/>
      </c>
      <c r="U3450" s="37" t="str">
        <f t="shared" si="372"/>
        <v/>
      </c>
    </row>
    <row r="3451" spans="2:21" ht="17.25">
      <c r="B3451" s="156"/>
      <c r="C3451" s="156"/>
      <c r="D3451" s="157"/>
      <c r="E3451" s="155"/>
      <c r="F3451" s="151"/>
      <c r="G3451" s="152"/>
      <c r="H3451" s="153"/>
      <c r="I3451" s="154"/>
      <c r="J3451" s="154"/>
      <c r="K3451" s="30" t="str">
        <f>IF(H3451="","",IF($C$30="간이법","",FPR(H3451,I3451,J3451)))</f>
        <v/>
      </c>
      <c r="L3451" s="30" t="str">
        <f>IF(H3451="","",IF($C$30="상세법",FPV(H3451,K3451),IF(H3451="EI",4,IF(H3451="EO",5.2,IF(H3451="EQ",3.9,IF(H3451="ILF",7.5,IF(H3451="EIF",5.4)))))))</f>
        <v/>
      </c>
      <c r="M3451" s="30" t="str">
        <f t="shared" si="366"/>
        <v/>
      </c>
      <c r="N3451" s="134"/>
      <c r="O3451" s="29"/>
      <c r="P3451" s="37" t="str">
        <f t="shared" si="367"/>
        <v/>
      </c>
      <c r="Q3451" s="38" t="str">
        <f t="shared" si="368"/>
        <v/>
      </c>
      <c r="R3451" s="37" t="str">
        <f t="shared" si="369"/>
        <v/>
      </c>
      <c r="S3451" s="37" t="str">
        <f t="shared" si="370"/>
        <v/>
      </c>
      <c r="T3451" s="38" t="str">
        <f t="shared" si="371"/>
        <v/>
      </c>
      <c r="U3451" s="37" t="str">
        <f t="shared" si="372"/>
        <v/>
      </c>
    </row>
    <row r="3452" spans="2:21" ht="17.25">
      <c r="B3452" s="156"/>
      <c r="C3452" s="156"/>
      <c r="D3452" s="157"/>
      <c r="E3452" s="155"/>
      <c r="F3452" s="151"/>
      <c r="G3452" s="152"/>
      <c r="H3452" s="153"/>
      <c r="I3452" s="154"/>
      <c r="J3452" s="154"/>
      <c r="K3452" s="30" t="str">
        <f>IF(H3452="","",IF($C$30="간이법","",FPR(H3452,I3452,J3452)))</f>
        <v/>
      </c>
      <c r="L3452" s="30" t="str">
        <f>IF(H3452="","",IF($C$30="상세법",FPV(H3452,K3452),IF(H3452="EI",4,IF(H3452="EO",5.2,IF(H3452="EQ",3.9,IF(H3452="ILF",7.5,IF(H3452="EIF",5.4)))))))</f>
        <v/>
      </c>
      <c r="M3452" s="30" t="str">
        <f t="shared" ref="M3452:M3515" si="373">IF(OR(G3452="",$E$36="(선택)",$E$40="(선택)",$E$41="(선택)",F3452="신규 개발",F3452="수정 없이 재사용"),"",(IF(F3452="수정 후 재사용",IF($E$50&lt;=0.5,L3452*($E$36+$E$50*100*(1+0.02*($E$40*$E$41)))/100,L3452*($E$36+$E$50*100+($E$40*$E$41))/100))))</f>
        <v/>
      </c>
      <c r="N3452" s="134"/>
      <c r="O3452" s="29"/>
      <c r="P3452" s="37" t="str">
        <f t="shared" ref="P3452:P3515" si="374">IF(F3452="수정 후 재사용",IF(H3452="ILF",G3452,IF(H3452="EIF",G3452,"")),"")</f>
        <v/>
      </c>
      <c r="Q3452" s="38" t="str">
        <f t="shared" ref="Q3452:Q3515" si="375">IF(P3452&lt;&gt;"",IF(H3452="ILF", L3452/$E$46,IF(H3452="EIF", L3452/$E$46,"")),"")</f>
        <v/>
      </c>
      <c r="R3452" s="37" t="str">
        <f t="shared" ref="R3452:R3515" si="376">IF(P3452&lt;&gt;"",P3452*Q3452,"")</f>
        <v/>
      </c>
      <c r="S3452" s="37" t="str">
        <f t="shared" ref="S3452:S3515" si="377">IF(F3452="수정 후 재사용",IF(H3452="EI",G3452,IF(H3452="EO",G3452,IF(H3452="EQ",G3452,""))),"")</f>
        <v/>
      </c>
      <c r="T3452" s="38" t="str">
        <f t="shared" ref="T3452:T3515" si="378">IF(S3452&lt;&gt;"",IF(H3452="EI",L3452/$E$47,IF(H3452="EO",L3452/$E$47,IF(H3452="EQ",L3452/$E$47,""))),"")</f>
        <v/>
      </c>
      <c r="U3452" s="37" t="str">
        <f t="shared" ref="U3452:U3515" si="379">IF(S3452&lt;&gt;"",S3452*T3452,"")</f>
        <v/>
      </c>
    </row>
    <row r="3453" spans="2:21" ht="17.25">
      <c r="B3453" s="156"/>
      <c r="C3453" s="156"/>
      <c r="D3453" s="157"/>
      <c r="E3453" s="155"/>
      <c r="F3453" s="151"/>
      <c r="G3453" s="152"/>
      <c r="H3453" s="153"/>
      <c r="I3453" s="154"/>
      <c r="J3453" s="154"/>
      <c r="K3453" s="30" t="str">
        <f>IF(H3453="","",IF($C$30="간이법","",FPR(H3453,I3453,J3453)))</f>
        <v/>
      </c>
      <c r="L3453" s="30" t="str">
        <f>IF(H3453="","",IF($C$30="상세법",FPV(H3453,K3453),IF(H3453="EI",4,IF(H3453="EO",5.2,IF(H3453="EQ",3.9,IF(H3453="ILF",7.5,IF(H3453="EIF",5.4)))))))</f>
        <v/>
      </c>
      <c r="M3453" s="30" t="str">
        <f t="shared" si="373"/>
        <v/>
      </c>
      <c r="N3453" s="134"/>
      <c r="O3453" s="29"/>
      <c r="P3453" s="37" t="str">
        <f t="shared" si="374"/>
        <v/>
      </c>
      <c r="Q3453" s="38" t="str">
        <f t="shared" si="375"/>
        <v/>
      </c>
      <c r="R3453" s="37" t="str">
        <f t="shared" si="376"/>
        <v/>
      </c>
      <c r="S3453" s="37" t="str">
        <f t="shared" si="377"/>
        <v/>
      </c>
      <c r="T3453" s="38" t="str">
        <f t="shared" si="378"/>
        <v/>
      </c>
      <c r="U3453" s="37" t="str">
        <f t="shared" si="379"/>
        <v/>
      </c>
    </row>
    <row r="3454" spans="2:21" ht="17.25">
      <c r="B3454" s="156"/>
      <c r="C3454" s="156"/>
      <c r="D3454" s="157"/>
      <c r="E3454" s="155"/>
      <c r="F3454" s="151"/>
      <c r="G3454" s="152"/>
      <c r="H3454" s="153"/>
      <c r="I3454" s="154"/>
      <c r="J3454" s="154"/>
      <c r="K3454" s="30" t="str">
        <f>IF(H3454="","",IF($C$30="간이법","",FPR(H3454,I3454,J3454)))</f>
        <v/>
      </c>
      <c r="L3454" s="30" t="str">
        <f>IF(H3454="","",IF($C$30="상세법",FPV(H3454,K3454),IF(H3454="EI",4,IF(H3454="EO",5.2,IF(H3454="EQ",3.9,IF(H3454="ILF",7.5,IF(H3454="EIF",5.4)))))))</f>
        <v/>
      </c>
      <c r="M3454" s="30" t="str">
        <f t="shared" si="373"/>
        <v/>
      </c>
      <c r="N3454" s="134"/>
      <c r="O3454" s="29"/>
      <c r="P3454" s="37" t="str">
        <f t="shared" si="374"/>
        <v/>
      </c>
      <c r="Q3454" s="38" t="str">
        <f t="shared" si="375"/>
        <v/>
      </c>
      <c r="R3454" s="37" t="str">
        <f t="shared" si="376"/>
        <v/>
      </c>
      <c r="S3454" s="37" t="str">
        <f t="shared" si="377"/>
        <v/>
      </c>
      <c r="T3454" s="38" t="str">
        <f t="shared" si="378"/>
        <v/>
      </c>
      <c r="U3454" s="37" t="str">
        <f t="shared" si="379"/>
        <v/>
      </c>
    </row>
    <row r="3455" spans="2:21" ht="17.25">
      <c r="B3455" s="156"/>
      <c r="C3455" s="156"/>
      <c r="D3455" s="157"/>
      <c r="E3455" s="155"/>
      <c r="F3455" s="151"/>
      <c r="G3455" s="152"/>
      <c r="H3455" s="153"/>
      <c r="I3455" s="154"/>
      <c r="J3455" s="154"/>
      <c r="K3455" s="30" t="str">
        <f>IF(H3455="","",IF($C$30="간이법","",FPR(H3455,I3455,J3455)))</f>
        <v/>
      </c>
      <c r="L3455" s="30" t="str">
        <f>IF(H3455="","",IF($C$30="상세법",FPV(H3455,K3455),IF(H3455="EI",4,IF(H3455="EO",5.2,IF(H3455="EQ",3.9,IF(H3455="ILF",7.5,IF(H3455="EIF",5.4)))))))</f>
        <v/>
      </c>
      <c r="M3455" s="30" t="str">
        <f t="shared" si="373"/>
        <v/>
      </c>
      <c r="N3455" s="134"/>
      <c r="O3455" s="29"/>
      <c r="P3455" s="37" t="str">
        <f t="shared" si="374"/>
        <v/>
      </c>
      <c r="Q3455" s="38" t="str">
        <f t="shared" si="375"/>
        <v/>
      </c>
      <c r="R3455" s="37" t="str">
        <f t="shared" si="376"/>
        <v/>
      </c>
      <c r="S3455" s="37" t="str">
        <f t="shared" si="377"/>
        <v/>
      </c>
      <c r="T3455" s="38" t="str">
        <f t="shared" si="378"/>
        <v/>
      </c>
      <c r="U3455" s="37" t="str">
        <f t="shared" si="379"/>
        <v/>
      </c>
    </row>
    <row r="3456" spans="2:21" ht="17.25">
      <c r="B3456" s="156"/>
      <c r="C3456" s="156"/>
      <c r="D3456" s="157"/>
      <c r="E3456" s="155"/>
      <c r="F3456" s="151"/>
      <c r="G3456" s="152"/>
      <c r="H3456" s="153"/>
      <c r="I3456" s="154"/>
      <c r="J3456" s="154"/>
      <c r="K3456" s="30" t="str">
        <f>IF(H3456="","",IF($C$30="간이법","",FPR(H3456,I3456,J3456)))</f>
        <v/>
      </c>
      <c r="L3456" s="30" t="str">
        <f>IF(H3456="","",IF($C$30="상세법",FPV(H3456,K3456),IF(H3456="EI",4,IF(H3456="EO",5.2,IF(H3456="EQ",3.9,IF(H3456="ILF",7.5,IF(H3456="EIF",5.4)))))))</f>
        <v/>
      </c>
      <c r="M3456" s="30" t="str">
        <f t="shared" si="373"/>
        <v/>
      </c>
      <c r="N3456" s="134"/>
      <c r="O3456" s="29"/>
      <c r="P3456" s="37" t="str">
        <f t="shared" si="374"/>
        <v/>
      </c>
      <c r="Q3456" s="38" t="str">
        <f t="shared" si="375"/>
        <v/>
      </c>
      <c r="R3456" s="37" t="str">
        <f t="shared" si="376"/>
        <v/>
      </c>
      <c r="S3456" s="37" t="str">
        <f t="shared" si="377"/>
        <v/>
      </c>
      <c r="T3456" s="38" t="str">
        <f t="shared" si="378"/>
        <v/>
      </c>
      <c r="U3456" s="37" t="str">
        <f t="shared" si="379"/>
        <v/>
      </c>
    </row>
    <row r="3457" spans="2:21" ht="17.25">
      <c r="B3457" s="156"/>
      <c r="C3457" s="156"/>
      <c r="D3457" s="157"/>
      <c r="E3457" s="155"/>
      <c r="F3457" s="151"/>
      <c r="G3457" s="152"/>
      <c r="H3457" s="153"/>
      <c r="I3457" s="154"/>
      <c r="J3457" s="154"/>
      <c r="K3457" s="30" t="str">
        <f>IF(H3457="","",IF($C$30="간이법","",FPR(H3457,I3457,J3457)))</f>
        <v/>
      </c>
      <c r="L3457" s="30" t="str">
        <f>IF(H3457="","",IF($C$30="상세법",FPV(H3457,K3457),IF(H3457="EI",4,IF(H3457="EO",5.2,IF(H3457="EQ",3.9,IF(H3457="ILF",7.5,IF(H3457="EIF",5.4)))))))</f>
        <v/>
      </c>
      <c r="M3457" s="30" t="str">
        <f t="shared" si="373"/>
        <v/>
      </c>
      <c r="N3457" s="134"/>
      <c r="O3457" s="29"/>
      <c r="P3457" s="37" t="str">
        <f t="shared" si="374"/>
        <v/>
      </c>
      <c r="Q3457" s="38" t="str">
        <f t="shared" si="375"/>
        <v/>
      </c>
      <c r="R3457" s="37" t="str">
        <f t="shared" si="376"/>
        <v/>
      </c>
      <c r="S3457" s="37" t="str">
        <f t="shared" si="377"/>
        <v/>
      </c>
      <c r="T3457" s="38" t="str">
        <f t="shared" si="378"/>
        <v/>
      </c>
      <c r="U3457" s="37" t="str">
        <f t="shared" si="379"/>
        <v/>
      </c>
    </row>
    <row r="3458" spans="2:21" ht="17.25">
      <c r="B3458" s="156"/>
      <c r="C3458" s="156"/>
      <c r="D3458" s="157"/>
      <c r="E3458" s="155"/>
      <c r="F3458" s="151"/>
      <c r="G3458" s="152"/>
      <c r="H3458" s="153"/>
      <c r="I3458" s="154"/>
      <c r="J3458" s="154"/>
      <c r="K3458" s="30" t="str">
        <f>IF(H3458="","",IF($C$30="간이법","",FPR(H3458,I3458,J3458)))</f>
        <v/>
      </c>
      <c r="L3458" s="30" t="str">
        <f>IF(H3458="","",IF($C$30="상세법",FPV(H3458,K3458),IF(H3458="EI",4,IF(H3458="EO",5.2,IF(H3458="EQ",3.9,IF(H3458="ILF",7.5,IF(H3458="EIF",5.4)))))))</f>
        <v/>
      </c>
      <c r="M3458" s="30" t="str">
        <f t="shared" si="373"/>
        <v/>
      </c>
      <c r="N3458" s="134"/>
      <c r="O3458" s="29"/>
      <c r="P3458" s="37" t="str">
        <f t="shared" si="374"/>
        <v/>
      </c>
      <c r="Q3458" s="38" t="str">
        <f t="shared" si="375"/>
        <v/>
      </c>
      <c r="R3458" s="37" t="str">
        <f t="shared" si="376"/>
        <v/>
      </c>
      <c r="S3458" s="37" t="str">
        <f t="shared" si="377"/>
        <v/>
      </c>
      <c r="T3458" s="38" t="str">
        <f t="shared" si="378"/>
        <v/>
      </c>
      <c r="U3458" s="37" t="str">
        <f t="shared" si="379"/>
        <v/>
      </c>
    </row>
    <row r="3459" spans="2:21" ht="17.25">
      <c r="B3459" s="156"/>
      <c r="C3459" s="156"/>
      <c r="D3459" s="157"/>
      <c r="E3459" s="155"/>
      <c r="F3459" s="151"/>
      <c r="G3459" s="152"/>
      <c r="H3459" s="153"/>
      <c r="I3459" s="154"/>
      <c r="J3459" s="154"/>
      <c r="K3459" s="30" t="str">
        <f>IF(H3459="","",IF($C$30="간이법","",FPR(H3459,I3459,J3459)))</f>
        <v/>
      </c>
      <c r="L3459" s="30" t="str">
        <f>IF(H3459="","",IF($C$30="상세법",FPV(H3459,K3459),IF(H3459="EI",4,IF(H3459="EO",5.2,IF(H3459="EQ",3.9,IF(H3459="ILF",7.5,IF(H3459="EIF",5.4)))))))</f>
        <v/>
      </c>
      <c r="M3459" s="30" t="str">
        <f t="shared" si="373"/>
        <v/>
      </c>
      <c r="N3459" s="134"/>
      <c r="O3459" s="29"/>
      <c r="P3459" s="37" t="str">
        <f t="shared" si="374"/>
        <v/>
      </c>
      <c r="Q3459" s="38" t="str">
        <f t="shared" si="375"/>
        <v/>
      </c>
      <c r="R3459" s="37" t="str">
        <f t="shared" si="376"/>
        <v/>
      </c>
      <c r="S3459" s="37" t="str">
        <f t="shared" si="377"/>
        <v/>
      </c>
      <c r="T3459" s="38" t="str">
        <f t="shared" si="378"/>
        <v/>
      </c>
      <c r="U3459" s="37" t="str">
        <f t="shared" si="379"/>
        <v/>
      </c>
    </row>
    <row r="3460" spans="2:21" ht="17.25">
      <c r="B3460" s="156"/>
      <c r="C3460" s="156"/>
      <c r="D3460" s="157"/>
      <c r="E3460" s="155"/>
      <c r="F3460" s="151"/>
      <c r="G3460" s="152"/>
      <c r="H3460" s="153"/>
      <c r="I3460" s="154"/>
      <c r="J3460" s="154"/>
      <c r="K3460" s="30" t="str">
        <f>IF(H3460="","",IF($C$30="간이법","",FPR(H3460,I3460,J3460)))</f>
        <v/>
      </c>
      <c r="L3460" s="30" t="str">
        <f>IF(H3460="","",IF($C$30="상세법",FPV(H3460,K3460),IF(H3460="EI",4,IF(H3460="EO",5.2,IF(H3460="EQ",3.9,IF(H3460="ILF",7.5,IF(H3460="EIF",5.4)))))))</f>
        <v/>
      </c>
      <c r="M3460" s="30" t="str">
        <f t="shared" si="373"/>
        <v/>
      </c>
      <c r="N3460" s="134"/>
      <c r="O3460" s="29"/>
      <c r="P3460" s="37" t="str">
        <f t="shared" si="374"/>
        <v/>
      </c>
      <c r="Q3460" s="38" t="str">
        <f t="shared" si="375"/>
        <v/>
      </c>
      <c r="R3460" s="37" t="str">
        <f t="shared" si="376"/>
        <v/>
      </c>
      <c r="S3460" s="37" t="str">
        <f t="shared" si="377"/>
        <v/>
      </c>
      <c r="T3460" s="38" t="str">
        <f t="shared" si="378"/>
        <v/>
      </c>
      <c r="U3460" s="37" t="str">
        <f t="shared" si="379"/>
        <v/>
      </c>
    </row>
    <row r="3461" spans="2:21" ht="17.25">
      <c r="B3461" s="156"/>
      <c r="C3461" s="156"/>
      <c r="D3461" s="157"/>
      <c r="E3461" s="155"/>
      <c r="F3461" s="151"/>
      <c r="G3461" s="152"/>
      <c r="H3461" s="153"/>
      <c r="I3461" s="154"/>
      <c r="J3461" s="154"/>
      <c r="K3461" s="30" t="str">
        <f>IF(H3461="","",IF($C$30="간이법","",FPR(H3461,I3461,J3461)))</f>
        <v/>
      </c>
      <c r="L3461" s="30" t="str">
        <f>IF(H3461="","",IF($C$30="상세법",FPV(H3461,K3461),IF(H3461="EI",4,IF(H3461="EO",5.2,IF(H3461="EQ",3.9,IF(H3461="ILF",7.5,IF(H3461="EIF",5.4)))))))</f>
        <v/>
      </c>
      <c r="M3461" s="30" t="str">
        <f t="shared" si="373"/>
        <v/>
      </c>
      <c r="N3461" s="134"/>
      <c r="O3461" s="29"/>
      <c r="P3461" s="37" t="str">
        <f t="shared" si="374"/>
        <v/>
      </c>
      <c r="Q3461" s="38" t="str">
        <f t="shared" si="375"/>
        <v/>
      </c>
      <c r="R3461" s="37" t="str">
        <f t="shared" si="376"/>
        <v/>
      </c>
      <c r="S3461" s="37" t="str">
        <f t="shared" si="377"/>
        <v/>
      </c>
      <c r="T3461" s="38" t="str">
        <f t="shared" si="378"/>
        <v/>
      </c>
      <c r="U3461" s="37" t="str">
        <f t="shared" si="379"/>
        <v/>
      </c>
    </row>
    <row r="3462" spans="2:21" ht="17.25">
      <c r="B3462" s="156"/>
      <c r="C3462" s="156"/>
      <c r="D3462" s="157"/>
      <c r="E3462" s="155"/>
      <c r="F3462" s="151"/>
      <c r="G3462" s="152"/>
      <c r="H3462" s="153"/>
      <c r="I3462" s="154"/>
      <c r="J3462" s="154"/>
      <c r="K3462" s="30" t="str">
        <f>IF(H3462="","",IF($C$30="간이법","",FPR(H3462,I3462,J3462)))</f>
        <v/>
      </c>
      <c r="L3462" s="30" t="str">
        <f>IF(H3462="","",IF($C$30="상세법",FPV(H3462,K3462),IF(H3462="EI",4,IF(H3462="EO",5.2,IF(H3462="EQ",3.9,IF(H3462="ILF",7.5,IF(H3462="EIF",5.4)))))))</f>
        <v/>
      </c>
      <c r="M3462" s="30" t="str">
        <f t="shared" si="373"/>
        <v/>
      </c>
      <c r="N3462" s="134"/>
      <c r="O3462" s="29"/>
      <c r="P3462" s="37" t="str">
        <f t="shared" si="374"/>
        <v/>
      </c>
      <c r="Q3462" s="38" t="str">
        <f t="shared" si="375"/>
        <v/>
      </c>
      <c r="R3462" s="37" t="str">
        <f t="shared" si="376"/>
        <v/>
      </c>
      <c r="S3462" s="37" t="str">
        <f t="shared" si="377"/>
        <v/>
      </c>
      <c r="T3462" s="38" t="str">
        <f t="shared" si="378"/>
        <v/>
      </c>
      <c r="U3462" s="37" t="str">
        <f t="shared" si="379"/>
        <v/>
      </c>
    </row>
    <row r="3463" spans="2:21" ht="17.25">
      <c r="B3463" s="156"/>
      <c r="C3463" s="156"/>
      <c r="D3463" s="157"/>
      <c r="E3463" s="155"/>
      <c r="F3463" s="151"/>
      <c r="G3463" s="152"/>
      <c r="H3463" s="153"/>
      <c r="I3463" s="154"/>
      <c r="J3463" s="154"/>
      <c r="K3463" s="30" t="str">
        <f>IF(H3463="","",IF($C$30="간이법","",FPR(H3463,I3463,J3463)))</f>
        <v/>
      </c>
      <c r="L3463" s="30" t="str">
        <f>IF(H3463="","",IF($C$30="상세법",FPV(H3463,K3463),IF(H3463="EI",4,IF(H3463="EO",5.2,IF(H3463="EQ",3.9,IF(H3463="ILF",7.5,IF(H3463="EIF",5.4)))))))</f>
        <v/>
      </c>
      <c r="M3463" s="30" t="str">
        <f t="shared" si="373"/>
        <v/>
      </c>
      <c r="N3463" s="134"/>
      <c r="O3463" s="29"/>
      <c r="P3463" s="37" t="str">
        <f t="shared" si="374"/>
        <v/>
      </c>
      <c r="Q3463" s="38" t="str">
        <f t="shared" si="375"/>
        <v/>
      </c>
      <c r="R3463" s="37" t="str">
        <f t="shared" si="376"/>
        <v/>
      </c>
      <c r="S3463" s="37" t="str">
        <f t="shared" si="377"/>
        <v/>
      </c>
      <c r="T3463" s="38" t="str">
        <f t="shared" si="378"/>
        <v/>
      </c>
      <c r="U3463" s="37" t="str">
        <f t="shared" si="379"/>
        <v/>
      </c>
    </row>
    <row r="3464" spans="2:21" ht="17.25">
      <c r="B3464" s="156"/>
      <c r="C3464" s="156"/>
      <c r="D3464" s="157"/>
      <c r="E3464" s="155"/>
      <c r="F3464" s="151"/>
      <c r="G3464" s="152"/>
      <c r="H3464" s="153"/>
      <c r="I3464" s="154"/>
      <c r="J3464" s="154"/>
      <c r="K3464" s="30" t="str">
        <f>IF(H3464="","",IF($C$30="간이법","",FPR(H3464,I3464,J3464)))</f>
        <v/>
      </c>
      <c r="L3464" s="30" t="str">
        <f>IF(H3464="","",IF($C$30="상세법",FPV(H3464,K3464),IF(H3464="EI",4,IF(H3464="EO",5.2,IF(H3464="EQ",3.9,IF(H3464="ILF",7.5,IF(H3464="EIF",5.4)))))))</f>
        <v/>
      </c>
      <c r="M3464" s="30" t="str">
        <f t="shared" si="373"/>
        <v/>
      </c>
      <c r="N3464" s="134"/>
      <c r="O3464" s="29"/>
      <c r="P3464" s="37" t="str">
        <f t="shared" si="374"/>
        <v/>
      </c>
      <c r="Q3464" s="38" t="str">
        <f t="shared" si="375"/>
        <v/>
      </c>
      <c r="R3464" s="37" t="str">
        <f t="shared" si="376"/>
        <v/>
      </c>
      <c r="S3464" s="37" t="str">
        <f t="shared" si="377"/>
        <v/>
      </c>
      <c r="T3464" s="38" t="str">
        <f t="shared" si="378"/>
        <v/>
      </c>
      <c r="U3464" s="37" t="str">
        <f t="shared" si="379"/>
        <v/>
      </c>
    </row>
    <row r="3465" spans="2:21" ht="17.25">
      <c r="B3465" s="156"/>
      <c r="C3465" s="156"/>
      <c r="D3465" s="157"/>
      <c r="E3465" s="155"/>
      <c r="F3465" s="151"/>
      <c r="G3465" s="152"/>
      <c r="H3465" s="153"/>
      <c r="I3465" s="154"/>
      <c r="J3465" s="154"/>
      <c r="K3465" s="30" t="str">
        <f>IF(H3465="","",IF($C$30="간이법","",FPR(H3465,I3465,J3465)))</f>
        <v/>
      </c>
      <c r="L3465" s="30" t="str">
        <f>IF(H3465="","",IF($C$30="상세법",FPV(H3465,K3465),IF(H3465="EI",4,IF(H3465="EO",5.2,IF(H3465="EQ",3.9,IF(H3465="ILF",7.5,IF(H3465="EIF",5.4)))))))</f>
        <v/>
      </c>
      <c r="M3465" s="30" t="str">
        <f t="shared" si="373"/>
        <v/>
      </c>
      <c r="N3465" s="134"/>
      <c r="O3465" s="29"/>
      <c r="P3465" s="37" t="str">
        <f t="shared" si="374"/>
        <v/>
      </c>
      <c r="Q3465" s="38" t="str">
        <f t="shared" si="375"/>
        <v/>
      </c>
      <c r="R3465" s="37" t="str">
        <f t="shared" si="376"/>
        <v/>
      </c>
      <c r="S3465" s="37" t="str">
        <f t="shared" si="377"/>
        <v/>
      </c>
      <c r="T3465" s="38" t="str">
        <f t="shared" si="378"/>
        <v/>
      </c>
      <c r="U3465" s="37" t="str">
        <f t="shared" si="379"/>
        <v/>
      </c>
    </row>
    <row r="3466" spans="2:21" ht="17.25">
      <c r="B3466" s="156"/>
      <c r="C3466" s="156"/>
      <c r="D3466" s="157"/>
      <c r="E3466" s="155"/>
      <c r="F3466" s="151"/>
      <c r="G3466" s="152"/>
      <c r="H3466" s="153"/>
      <c r="I3466" s="154"/>
      <c r="J3466" s="154"/>
      <c r="K3466" s="30" t="str">
        <f>IF(H3466="","",IF($C$30="간이법","",FPR(H3466,I3466,J3466)))</f>
        <v/>
      </c>
      <c r="L3466" s="30" t="str">
        <f>IF(H3466="","",IF($C$30="상세법",FPV(H3466,K3466),IF(H3466="EI",4,IF(H3466="EO",5.2,IF(H3466="EQ",3.9,IF(H3466="ILF",7.5,IF(H3466="EIF",5.4)))))))</f>
        <v/>
      </c>
      <c r="M3466" s="30" t="str">
        <f t="shared" si="373"/>
        <v/>
      </c>
      <c r="N3466" s="134"/>
      <c r="O3466" s="29"/>
      <c r="P3466" s="37" t="str">
        <f t="shared" si="374"/>
        <v/>
      </c>
      <c r="Q3466" s="38" t="str">
        <f t="shared" si="375"/>
        <v/>
      </c>
      <c r="R3466" s="37" t="str">
        <f t="shared" si="376"/>
        <v/>
      </c>
      <c r="S3466" s="37" t="str">
        <f t="shared" si="377"/>
        <v/>
      </c>
      <c r="T3466" s="38" t="str">
        <f t="shared" si="378"/>
        <v/>
      </c>
      <c r="U3466" s="37" t="str">
        <f t="shared" si="379"/>
        <v/>
      </c>
    </row>
    <row r="3467" spans="2:21" ht="17.25">
      <c r="B3467" s="156"/>
      <c r="C3467" s="156"/>
      <c r="D3467" s="157"/>
      <c r="E3467" s="155"/>
      <c r="F3467" s="151"/>
      <c r="G3467" s="152"/>
      <c r="H3467" s="153"/>
      <c r="I3467" s="154"/>
      <c r="J3467" s="154"/>
      <c r="K3467" s="30" t="str">
        <f>IF(H3467="","",IF($C$30="간이법","",FPR(H3467,I3467,J3467)))</f>
        <v/>
      </c>
      <c r="L3467" s="30" t="str">
        <f>IF(H3467="","",IF($C$30="상세법",FPV(H3467,K3467),IF(H3467="EI",4,IF(H3467="EO",5.2,IF(H3467="EQ",3.9,IF(H3467="ILF",7.5,IF(H3467="EIF",5.4)))))))</f>
        <v/>
      </c>
      <c r="M3467" s="30" t="str">
        <f t="shared" si="373"/>
        <v/>
      </c>
      <c r="N3467" s="134"/>
      <c r="O3467" s="29"/>
      <c r="P3467" s="37" t="str">
        <f t="shared" si="374"/>
        <v/>
      </c>
      <c r="Q3467" s="38" t="str">
        <f t="shared" si="375"/>
        <v/>
      </c>
      <c r="R3467" s="37" t="str">
        <f t="shared" si="376"/>
        <v/>
      </c>
      <c r="S3467" s="37" t="str">
        <f t="shared" si="377"/>
        <v/>
      </c>
      <c r="T3467" s="38" t="str">
        <f t="shared" si="378"/>
        <v/>
      </c>
      <c r="U3467" s="37" t="str">
        <f t="shared" si="379"/>
        <v/>
      </c>
    </row>
    <row r="3468" spans="2:21" ht="17.25">
      <c r="B3468" s="156"/>
      <c r="C3468" s="156"/>
      <c r="D3468" s="157"/>
      <c r="E3468" s="155"/>
      <c r="F3468" s="151"/>
      <c r="G3468" s="152"/>
      <c r="H3468" s="153"/>
      <c r="I3468" s="154"/>
      <c r="J3468" s="154"/>
      <c r="K3468" s="30" t="str">
        <f>IF(H3468="","",IF($C$30="간이법","",FPR(H3468,I3468,J3468)))</f>
        <v/>
      </c>
      <c r="L3468" s="30" t="str">
        <f>IF(H3468="","",IF($C$30="상세법",FPV(H3468,K3468),IF(H3468="EI",4,IF(H3468="EO",5.2,IF(H3468="EQ",3.9,IF(H3468="ILF",7.5,IF(H3468="EIF",5.4)))))))</f>
        <v/>
      </c>
      <c r="M3468" s="30" t="str">
        <f t="shared" si="373"/>
        <v/>
      </c>
      <c r="N3468" s="134"/>
      <c r="O3468" s="29"/>
      <c r="P3468" s="37" t="str">
        <f t="shared" si="374"/>
        <v/>
      </c>
      <c r="Q3468" s="38" t="str">
        <f t="shared" si="375"/>
        <v/>
      </c>
      <c r="R3468" s="37" t="str">
        <f t="shared" si="376"/>
        <v/>
      </c>
      <c r="S3468" s="37" t="str">
        <f t="shared" si="377"/>
        <v/>
      </c>
      <c r="T3468" s="38" t="str">
        <f t="shared" si="378"/>
        <v/>
      </c>
      <c r="U3468" s="37" t="str">
        <f t="shared" si="379"/>
        <v/>
      </c>
    </row>
    <row r="3469" spans="2:21" ht="17.25">
      <c r="B3469" s="156"/>
      <c r="C3469" s="156"/>
      <c r="D3469" s="157"/>
      <c r="E3469" s="155"/>
      <c r="F3469" s="151"/>
      <c r="G3469" s="152"/>
      <c r="H3469" s="153"/>
      <c r="I3469" s="154"/>
      <c r="J3469" s="154"/>
      <c r="K3469" s="30" t="str">
        <f>IF(H3469="","",IF($C$30="간이법","",FPR(H3469,I3469,J3469)))</f>
        <v/>
      </c>
      <c r="L3469" s="30" t="str">
        <f>IF(H3469="","",IF($C$30="상세법",FPV(H3469,K3469),IF(H3469="EI",4,IF(H3469="EO",5.2,IF(H3469="EQ",3.9,IF(H3469="ILF",7.5,IF(H3469="EIF",5.4)))))))</f>
        <v/>
      </c>
      <c r="M3469" s="30" t="str">
        <f t="shared" si="373"/>
        <v/>
      </c>
      <c r="N3469" s="134"/>
      <c r="O3469" s="29"/>
      <c r="P3469" s="37" t="str">
        <f t="shared" si="374"/>
        <v/>
      </c>
      <c r="Q3469" s="38" t="str">
        <f t="shared" si="375"/>
        <v/>
      </c>
      <c r="R3469" s="37" t="str">
        <f t="shared" si="376"/>
        <v/>
      </c>
      <c r="S3469" s="37" t="str">
        <f t="shared" si="377"/>
        <v/>
      </c>
      <c r="T3469" s="38" t="str">
        <f t="shared" si="378"/>
        <v/>
      </c>
      <c r="U3469" s="37" t="str">
        <f t="shared" si="379"/>
        <v/>
      </c>
    </row>
    <row r="3470" spans="2:21" ht="17.25">
      <c r="B3470" s="156"/>
      <c r="C3470" s="156"/>
      <c r="D3470" s="157"/>
      <c r="E3470" s="155"/>
      <c r="F3470" s="151"/>
      <c r="G3470" s="152"/>
      <c r="H3470" s="153"/>
      <c r="I3470" s="154"/>
      <c r="J3470" s="154"/>
      <c r="K3470" s="30" t="str">
        <f>IF(H3470="","",IF($C$30="간이법","",FPR(H3470,I3470,J3470)))</f>
        <v/>
      </c>
      <c r="L3470" s="30" t="str">
        <f>IF(H3470="","",IF($C$30="상세법",FPV(H3470,K3470),IF(H3470="EI",4,IF(H3470="EO",5.2,IF(H3470="EQ",3.9,IF(H3470="ILF",7.5,IF(H3470="EIF",5.4)))))))</f>
        <v/>
      </c>
      <c r="M3470" s="30" t="str">
        <f t="shared" si="373"/>
        <v/>
      </c>
      <c r="N3470" s="134"/>
      <c r="O3470" s="29"/>
      <c r="P3470" s="37" t="str">
        <f t="shared" si="374"/>
        <v/>
      </c>
      <c r="Q3470" s="38" t="str">
        <f t="shared" si="375"/>
        <v/>
      </c>
      <c r="R3470" s="37" t="str">
        <f t="shared" si="376"/>
        <v/>
      </c>
      <c r="S3470" s="37" t="str">
        <f t="shared" si="377"/>
        <v/>
      </c>
      <c r="T3470" s="38" t="str">
        <f t="shared" si="378"/>
        <v/>
      </c>
      <c r="U3470" s="37" t="str">
        <f t="shared" si="379"/>
        <v/>
      </c>
    </row>
    <row r="3471" spans="2:21" ht="17.25">
      <c r="B3471" s="156"/>
      <c r="C3471" s="156"/>
      <c r="D3471" s="157"/>
      <c r="E3471" s="155"/>
      <c r="F3471" s="151"/>
      <c r="G3471" s="152"/>
      <c r="H3471" s="153"/>
      <c r="I3471" s="154"/>
      <c r="J3471" s="154"/>
      <c r="K3471" s="30" t="str">
        <f>IF(H3471="","",IF($C$30="간이법","",FPR(H3471,I3471,J3471)))</f>
        <v/>
      </c>
      <c r="L3471" s="30" t="str">
        <f>IF(H3471="","",IF($C$30="상세법",FPV(H3471,K3471),IF(H3471="EI",4,IF(H3471="EO",5.2,IF(H3471="EQ",3.9,IF(H3471="ILF",7.5,IF(H3471="EIF",5.4)))))))</f>
        <v/>
      </c>
      <c r="M3471" s="30" t="str">
        <f t="shared" si="373"/>
        <v/>
      </c>
      <c r="N3471" s="134"/>
      <c r="O3471" s="29"/>
      <c r="P3471" s="37" t="str">
        <f t="shared" si="374"/>
        <v/>
      </c>
      <c r="Q3471" s="38" t="str">
        <f t="shared" si="375"/>
        <v/>
      </c>
      <c r="R3471" s="37" t="str">
        <f t="shared" si="376"/>
        <v/>
      </c>
      <c r="S3471" s="37" t="str">
        <f t="shared" si="377"/>
        <v/>
      </c>
      <c r="T3471" s="38" t="str">
        <f t="shared" si="378"/>
        <v/>
      </c>
      <c r="U3471" s="37" t="str">
        <f t="shared" si="379"/>
        <v/>
      </c>
    </row>
    <row r="3472" spans="2:21" ht="17.25">
      <c r="B3472" s="156"/>
      <c r="C3472" s="156"/>
      <c r="D3472" s="157"/>
      <c r="E3472" s="155"/>
      <c r="F3472" s="151"/>
      <c r="G3472" s="152"/>
      <c r="H3472" s="153"/>
      <c r="I3472" s="154"/>
      <c r="J3472" s="154"/>
      <c r="K3472" s="30" t="str">
        <f>IF(H3472="","",IF($C$30="간이법","",FPR(H3472,I3472,J3472)))</f>
        <v/>
      </c>
      <c r="L3472" s="30" t="str">
        <f>IF(H3472="","",IF($C$30="상세법",FPV(H3472,K3472),IF(H3472="EI",4,IF(H3472="EO",5.2,IF(H3472="EQ",3.9,IF(H3472="ILF",7.5,IF(H3472="EIF",5.4)))))))</f>
        <v/>
      </c>
      <c r="M3472" s="30" t="str">
        <f t="shared" si="373"/>
        <v/>
      </c>
      <c r="N3472" s="134"/>
      <c r="O3472" s="29"/>
      <c r="P3472" s="37" t="str">
        <f t="shared" si="374"/>
        <v/>
      </c>
      <c r="Q3472" s="38" t="str">
        <f t="shared" si="375"/>
        <v/>
      </c>
      <c r="R3472" s="37" t="str">
        <f t="shared" si="376"/>
        <v/>
      </c>
      <c r="S3472" s="37" t="str">
        <f t="shared" si="377"/>
        <v/>
      </c>
      <c r="T3472" s="38" t="str">
        <f t="shared" si="378"/>
        <v/>
      </c>
      <c r="U3472" s="37" t="str">
        <f t="shared" si="379"/>
        <v/>
      </c>
    </row>
    <row r="3473" spans="2:21" ht="17.25">
      <c r="B3473" s="156"/>
      <c r="C3473" s="156"/>
      <c r="D3473" s="157"/>
      <c r="E3473" s="155"/>
      <c r="F3473" s="151"/>
      <c r="G3473" s="152"/>
      <c r="H3473" s="153"/>
      <c r="I3473" s="154"/>
      <c r="J3473" s="154"/>
      <c r="K3473" s="30" t="str">
        <f>IF(H3473="","",IF($C$30="간이법","",FPR(H3473,I3473,J3473)))</f>
        <v/>
      </c>
      <c r="L3473" s="30" t="str">
        <f>IF(H3473="","",IF($C$30="상세법",FPV(H3473,K3473),IF(H3473="EI",4,IF(H3473="EO",5.2,IF(H3473="EQ",3.9,IF(H3473="ILF",7.5,IF(H3473="EIF",5.4)))))))</f>
        <v/>
      </c>
      <c r="M3473" s="30" t="str">
        <f t="shared" si="373"/>
        <v/>
      </c>
      <c r="N3473" s="134"/>
      <c r="O3473" s="29"/>
      <c r="P3473" s="37" t="str">
        <f t="shared" si="374"/>
        <v/>
      </c>
      <c r="Q3473" s="38" t="str">
        <f t="shared" si="375"/>
        <v/>
      </c>
      <c r="R3473" s="37" t="str">
        <f t="shared" si="376"/>
        <v/>
      </c>
      <c r="S3473" s="37" t="str">
        <f t="shared" si="377"/>
        <v/>
      </c>
      <c r="T3473" s="38" t="str">
        <f t="shared" si="378"/>
        <v/>
      </c>
      <c r="U3473" s="37" t="str">
        <f t="shared" si="379"/>
        <v/>
      </c>
    </row>
    <row r="3474" spans="2:21" ht="17.25">
      <c r="B3474" s="156"/>
      <c r="C3474" s="156"/>
      <c r="D3474" s="157"/>
      <c r="E3474" s="155"/>
      <c r="F3474" s="151"/>
      <c r="G3474" s="152"/>
      <c r="H3474" s="153"/>
      <c r="I3474" s="154"/>
      <c r="J3474" s="154"/>
      <c r="K3474" s="30" t="str">
        <f>IF(H3474="","",IF($C$30="간이법","",FPR(H3474,I3474,J3474)))</f>
        <v/>
      </c>
      <c r="L3474" s="30" t="str">
        <f>IF(H3474="","",IF($C$30="상세법",FPV(H3474,K3474),IF(H3474="EI",4,IF(H3474="EO",5.2,IF(H3474="EQ",3.9,IF(H3474="ILF",7.5,IF(H3474="EIF",5.4)))))))</f>
        <v/>
      </c>
      <c r="M3474" s="30" t="str">
        <f t="shared" si="373"/>
        <v/>
      </c>
      <c r="N3474" s="134"/>
      <c r="O3474" s="29"/>
      <c r="P3474" s="37" t="str">
        <f t="shared" si="374"/>
        <v/>
      </c>
      <c r="Q3474" s="38" t="str">
        <f t="shared" si="375"/>
        <v/>
      </c>
      <c r="R3474" s="37" t="str">
        <f t="shared" si="376"/>
        <v/>
      </c>
      <c r="S3474" s="37" t="str">
        <f t="shared" si="377"/>
        <v/>
      </c>
      <c r="T3474" s="38" t="str">
        <f t="shared" si="378"/>
        <v/>
      </c>
      <c r="U3474" s="37" t="str">
        <f t="shared" si="379"/>
        <v/>
      </c>
    </row>
    <row r="3475" spans="2:21" ht="17.25">
      <c r="B3475" s="156"/>
      <c r="C3475" s="156"/>
      <c r="D3475" s="157"/>
      <c r="E3475" s="155"/>
      <c r="F3475" s="151"/>
      <c r="G3475" s="152"/>
      <c r="H3475" s="153"/>
      <c r="I3475" s="154"/>
      <c r="J3475" s="154"/>
      <c r="K3475" s="30" t="str">
        <f>IF(H3475="","",IF($C$30="간이법","",FPR(H3475,I3475,J3475)))</f>
        <v/>
      </c>
      <c r="L3475" s="30" t="str">
        <f>IF(H3475="","",IF($C$30="상세법",FPV(H3475,K3475),IF(H3475="EI",4,IF(H3475="EO",5.2,IF(H3475="EQ",3.9,IF(H3475="ILF",7.5,IF(H3475="EIF",5.4)))))))</f>
        <v/>
      </c>
      <c r="M3475" s="30" t="str">
        <f t="shared" si="373"/>
        <v/>
      </c>
      <c r="N3475" s="134"/>
      <c r="O3475" s="29"/>
      <c r="P3475" s="37" t="str">
        <f t="shared" si="374"/>
        <v/>
      </c>
      <c r="Q3475" s="38" t="str">
        <f t="shared" si="375"/>
        <v/>
      </c>
      <c r="R3475" s="37" t="str">
        <f t="shared" si="376"/>
        <v/>
      </c>
      <c r="S3475" s="37" t="str">
        <f t="shared" si="377"/>
        <v/>
      </c>
      <c r="T3475" s="38" t="str">
        <f t="shared" si="378"/>
        <v/>
      </c>
      <c r="U3475" s="37" t="str">
        <f t="shared" si="379"/>
        <v/>
      </c>
    </row>
    <row r="3476" spans="2:21" ht="17.25">
      <c r="B3476" s="156"/>
      <c r="C3476" s="156"/>
      <c r="D3476" s="157"/>
      <c r="E3476" s="155"/>
      <c r="F3476" s="151"/>
      <c r="G3476" s="152"/>
      <c r="H3476" s="153"/>
      <c r="I3476" s="154"/>
      <c r="J3476" s="154"/>
      <c r="K3476" s="30" t="str">
        <f>IF(H3476="","",IF($C$30="간이법","",FPR(H3476,I3476,J3476)))</f>
        <v/>
      </c>
      <c r="L3476" s="30" t="str">
        <f>IF(H3476="","",IF($C$30="상세법",FPV(H3476,K3476),IF(H3476="EI",4,IF(H3476="EO",5.2,IF(H3476="EQ",3.9,IF(H3476="ILF",7.5,IF(H3476="EIF",5.4)))))))</f>
        <v/>
      </c>
      <c r="M3476" s="30" t="str">
        <f t="shared" si="373"/>
        <v/>
      </c>
      <c r="N3476" s="134"/>
      <c r="O3476" s="29"/>
      <c r="P3476" s="37" t="str">
        <f t="shared" si="374"/>
        <v/>
      </c>
      <c r="Q3476" s="38" t="str">
        <f t="shared" si="375"/>
        <v/>
      </c>
      <c r="R3476" s="37" t="str">
        <f t="shared" si="376"/>
        <v/>
      </c>
      <c r="S3476" s="37" t="str">
        <f t="shared" si="377"/>
        <v/>
      </c>
      <c r="T3476" s="38" t="str">
        <f t="shared" si="378"/>
        <v/>
      </c>
      <c r="U3476" s="37" t="str">
        <f t="shared" si="379"/>
        <v/>
      </c>
    </row>
    <row r="3477" spans="2:21" ht="17.25">
      <c r="B3477" s="156"/>
      <c r="C3477" s="156"/>
      <c r="D3477" s="157"/>
      <c r="E3477" s="155"/>
      <c r="F3477" s="151"/>
      <c r="G3477" s="152"/>
      <c r="H3477" s="153"/>
      <c r="I3477" s="154"/>
      <c r="J3477" s="154"/>
      <c r="K3477" s="30" t="str">
        <f>IF(H3477="","",IF($C$30="간이법","",FPR(H3477,I3477,J3477)))</f>
        <v/>
      </c>
      <c r="L3477" s="30" t="str">
        <f>IF(H3477="","",IF($C$30="상세법",FPV(H3477,K3477),IF(H3477="EI",4,IF(H3477="EO",5.2,IF(H3477="EQ",3.9,IF(H3477="ILF",7.5,IF(H3477="EIF",5.4)))))))</f>
        <v/>
      </c>
      <c r="M3477" s="30" t="str">
        <f t="shared" si="373"/>
        <v/>
      </c>
      <c r="N3477" s="134"/>
      <c r="O3477" s="29"/>
      <c r="P3477" s="37" t="str">
        <f t="shared" si="374"/>
        <v/>
      </c>
      <c r="Q3477" s="38" t="str">
        <f t="shared" si="375"/>
        <v/>
      </c>
      <c r="R3477" s="37" t="str">
        <f t="shared" si="376"/>
        <v/>
      </c>
      <c r="S3477" s="37" t="str">
        <f t="shared" si="377"/>
        <v/>
      </c>
      <c r="T3477" s="38" t="str">
        <f t="shared" si="378"/>
        <v/>
      </c>
      <c r="U3477" s="37" t="str">
        <f t="shared" si="379"/>
        <v/>
      </c>
    </row>
    <row r="3478" spans="2:21" ht="17.25">
      <c r="B3478" s="156"/>
      <c r="C3478" s="156"/>
      <c r="D3478" s="157"/>
      <c r="E3478" s="155"/>
      <c r="F3478" s="151"/>
      <c r="G3478" s="152"/>
      <c r="H3478" s="153"/>
      <c r="I3478" s="154"/>
      <c r="J3478" s="154"/>
      <c r="K3478" s="30" t="str">
        <f>IF(H3478="","",IF($C$30="간이법","",FPR(H3478,I3478,J3478)))</f>
        <v/>
      </c>
      <c r="L3478" s="30" t="str">
        <f>IF(H3478="","",IF($C$30="상세법",FPV(H3478,K3478),IF(H3478="EI",4,IF(H3478="EO",5.2,IF(H3478="EQ",3.9,IF(H3478="ILF",7.5,IF(H3478="EIF",5.4)))))))</f>
        <v/>
      </c>
      <c r="M3478" s="30" t="str">
        <f t="shared" si="373"/>
        <v/>
      </c>
      <c r="N3478" s="134"/>
      <c r="O3478" s="29"/>
      <c r="P3478" s="37" t="str">
        <f t="shared" si="374"/>
        <v/>
      </c>
      <c r="Q3478" s="38" t="str">
        <f t="shared" si="375"/>
        <v/>
      </c>
      <c r="R3478" s="37" t="str">
        <f t="shared" si="376"/>
        <v/>
      </c>
      <c r="S3478" s="37" t="str">
        <f t="shared" si="377"/>
        <v/>
      </c>
      <c r="T3478" s="38" t="str">
        <f t="shared" si="378"/>
        <v/>
      </c>
      <c r="U3478" s="37" t="str">
        <f t="shared" si="379"/>
        <v/>
      </c>
    </row>
    <row r="3479" spans="2:21" ht="17.25">
      <c r="B3479" s="156"/>
      <c r="C3479" s="156"/>
      <c r="D3479" s="157"/>
      <c r="E3479" s="155"/>
      <c r="F3479" s="151"/>
      <c r="G3479" s="152"/>
      <c r="H3479" s="153"/>
      <c r="I3479" s="154"/>
      <c r="J3479" s="154"/>
      <c r="K3479" s="30" t="str">
        <f>IF(H3479="","",IF($C$30="간이법","",FPR(H3479,I3479,J3479)))</f>
        <v/>
      </c>
      <c r="L3479" s="30" t="str">
        <f>IF(H3479="","",IF($C$30="상세법",FPV(H3479,K3479),IF(H3479="EI",4,IF(H3479="EO",5.2,IF(H3479="EQ",3.9,IF(H3479="ILF",7.5,IF(H3479="EIF",5.4)))))))</f>
        <v/>
      </c>
      <c r="M3479" s="30" t="str">
        <f t="shared" si="373"/>
        <v/>
      </c>
      <c r="N3479" s="134"/>
      <c r="O3479" s="29"/>
      <c r="P3479" s="37" t="str">
        <f t="shared" si="374"/>
        <v/>
      </c>
      <c r="Q3479" s="38" t="str">
        <f t="shared" si="375"/>
        <v/>
      </c>
      <c r="R3479" s="37" t="str">
        <f t="shared" si="376"/>
        <v/>
      </c>
      <c r="S3479" s="37" t="str">
        <f t="shared" si="377"/>
        <v/>
      </c>
      <c r="T3479" s="38" t="str">
        <f t="shared" si="378"/>
        <v/>
      </c>
      <c r="U3479" s="37" t="str">
        <f t="shared" si="379"/>
        <v/>
      </c>
    </row>
    <row r="3480" spans="2:21" ht="17.25">
      <c r="B3480" s="156"/>
      <c r="C3480" s="156"/>
      <c r="D3480" s="157"/>
      <c r="E3480" s="155"/>
      <c r="F3480" s="151"/>
      <c r="G3480" s="152"/>
      <c r="H3480" s="153"/>
      <c r="I3480" s="154"/>
      <c r="J3480" s="154"/>
      <c r="K3480" s="30" t="str">
        <f>IF(H3480="","",IF($C$30="간이법","",FPR(H3480,I3480,J3480)))</f>
        <v/>
      </c>
      <c r="L3480" s="30" t="str">
        <f>IF(H3480="","",IF($C$30="상세법",FPV(H3480,K3480),IF(H3480="EI",4,IF(H3480="EO",5.2,IF(H3480="EQ",3.9,IF(H3480="ILF",7.5,IF(H3480="EIF",5.4)))))))</f>
        <v/>
      </c>
      <c r="M3480" s="30" t="str">
        <f t="shared" si="373"/>
        <v/>
      </c>
      <c r="N3480" s="134"/>
      <c r="O3480" s="29"/>
      <c r="P3480" s="37" t="str">
        <f t="shared" si="374"/>
        <v/>
      </c>
      <c r="Q3480" s="38" t="str">
        <f t="shared" si="375"/>
        <v/>
      </c>
      <c r="R3480" s="37" t="str">
        <f t="shared" si="376"/>
        <v/>
      </c>
      <c r="S3480" s="37" t="str">
        <f t="shared" si="377"/>
        <v/>
      </c>
      <c r="T3480" s="38" t="str">
        <f t="shared" si="378"/>
        <v/>
      </c>
      <c r="U3480" s="37" t="str">
        <f t="shared" si="379"/>
        <v/>
      </c>
    </row>
    <row r="3481" spans="2:21" ht="17.25">
      <c r="B3481" s="156"/>
      <c r="C3481" s="156"/>
      <c r="D3481" s="157"/>
      <c r="E3481" s="155"/>
      <c r="F3481" s="151"/>
      <c r="G3481" s="152"/>
      <c r="H3481" s="153"/>
      <c r="I3481" s="154"/>
      <c r="J3481" s="154"/>
      <c r="K3481" s="30" t="str">
        <f>IF(H3481="","",IF($C$30="간이법","",FPR(H3481,I3481,J3481)))</f>
        <v/>
      </c>
      <c r="L3481" s="30" t="str">
        <f>IF(H3481="","",IF($C$30="상세법",FPV(H3481,K3481),IF(H3481="EI",4,IF(H3481="EO",5.2,IF(H3481="EQ",3.9,IF(H3481="ILF",7.5,IF(H3481="EIF",5.4)))))))</f>
        <v/>
      </c>
      <c r="M3481" s="30" t="str">
        <f t="shared" si="373"/>
        <v/>
      </c>
      <c r="N3481" s="134"/>
      <c r="O3481" s="29"/>
      <c r="P3481" s="37" t="str">
        <f t="shared" si="374"/>
        <v/>
      </c>
      <c r="Q3481" s="38" t="str">
        <f t="shared" si="375"/>
        <v/>
      </c>
      <c r="R3481" s="37" t="str">
        <f t="shared" si="376"/>
        <v/>
      </c>
      <c r="S3481" s="37" t="str">
        <f t="shared" si="377"/>
        <v/>
      </c>
      <c r="T3481" s="38" t="str">
        <f t="shared" si="378"/>
        <v/>
      </c>
      <c r="U3481" s="37" t="str">
        <f t="shared" si="379"/>
        <v/>
      </c>
    </row>
    <row r="3482" spans="2:21" ht="17.25">
      <c r="B3482" s="156"/>
      <c r="C3482" s="156"/>
      <c r="D3482" s="157"/>
      <c r="E3482" s="155"/>
      <c r="F3482" s="151"/>
      <c r="G3482" s="152"/>
      <c r="H3482" s="153"/>
      <c r="I3482" s="154"/>
      <c r="J3482" s="154"/>
      <c r="K3482" s="30" t="str">
        <f>IF(H3482="","",IF($C$30="간이법","",FPR(H3482,I3482,J3482)))</f>
        <v/>
      </c>
      <c r="L3482" s="30" t="str">
        <f>IF(H3482="","",IF($C$30="상세법",FPV(H3482,K3482),IF(H3482="EI",4,IF(H3482="EO",5.2,IF(H3482="EQ",3.9,IF(H3482="ILF",7.5,IF(H3482="EIF",5.4)))))))</f>
        <v/>
      </c>
      <c r="M3482" s="30" t="str">
        <f t="shared" si="373"/>
        <v/>
      </c>
      <c r="N3482" s="134"/>
      <c r="O3482" s="29"/>
      <c r="P3482" s="37" t="str">
        <f t="shared" si="374"/>
        <v/>
      </c>
      <c r="Q3482" s="38" t="str">
        <f t="shared" si="375"/>
        <v/>
      </c>
      <c r="R3482" s="37" t="str">
        <f t="shared" si="376"/>
        <v/>
      </c>
      <c r="S3482" s="37" t="str">
        <f t="shared" si="377"/>
        <v/>
      </c>
      <c r="T3482" s="38" t="str">
        <f t="shared" si="378"/>
        <v/>
      </c>
      <c r="U3482" s="37" t="str">
        <f t="shared" si="379"/>
        <v/>
      </c>
    </row>
    <row r="3483" spans="2:21" ht="17.25">
      <c r="B3483" s="156"/>
      <c r="C3483" s="156"/>
      <c r="D3483" s="157"/>
      <c r="E3483" s="155"/>
      <c r="F3483" s="151"/>
      <c r="G3483" s="152"/>
      <c r="H3483" s="153"/>
      <c r="I3483" s="154"/>
      <c r="J3483" s="154"/>
      <c r="K3483" s="30" t="str">
        <f>IF(H3483="","",IF($C$30="간이법","",FPR(H3483,I3483,J3483)))</f>
        <v/>
      </c>
      <c r="L3483" s="30" t="str">
        <f>IF(H3483="","",IF($C$30="상세법",FPV(H3483,K3483),IF(H3483="EI",4,IF(H3483="EO",5.2,IF(H3483="EQ",3.9,IF(H3483="ILF",7.5,IF(H3483="EIF",5.4)))))))</f>
        <v/>
      </c>
      <c r="M3483" s="30" t="str">
        <f t="shared" si="373"/>
        <v/>
      </c>
      <c r="N3483" s="134"/>
      <c r="O3483" s="29"/>
      <c r="P3483" s="37" t="str">
        <f t="shared" si="374"/>
        <v/>
      </c>
      <c r="Q3483" s="38" t="str">
        <f t="shared" si="375"/>
        <v/>
      </c>
      <c r="R3483" s="37" t="str">
        <f t="shared" si="376"/>
        <v/>
      </c>
      <c r="S3483" s="37" t="str">
        <f t="shared" si="377"/>
        <v/>
      </c>
      <c r="T3483" s="38" t="str">
        <f t="shared" si="378"/>
        <v/>
      </c>
      <c r="U3483" s="37" t="str">
        <f t="shared" si="379"/>
        <v/>
      </c>
    </row>
    <row r="3484" spans="2:21" ht="17.25">
      <c r="B3484" s="156"/>
      <c r="C3484" s="156"/>
      <c r="D3484" s="157"/>
      <c r="E3484" s="155"/>
      <c r="F3484" s="151"/>
      <c r="G3484" s="152"/>
      <c r="H3484" s="153"/>
      <c r="I3484" s="154"/>
      <c r="J3484" s="154"/>
      <c r="K3484" s="30" t="str">
        <f>IF(H3484="","",IF($C$30="간이법","",FPR(H3484,I3484,J3484)))</f>
        <v/>
      </c>
      <c r="L3484" s="30" t="str">
        <f>IF(H3484="","",IF($C$30="상세법",FPV(H3484,K3484),IF(H3484="EI",4,IF(H3484="EO",5.2,IF(H3484="EQ",3.9,IF(H3484="ILF",7.5,IF(H3484="EIF",5.4)))))))</f>
        <v/>
      </c>
      <c r="M3484" s="30" t="str">
        <f t="shared" si="373"/>
        <v/>
      </c>
      <c r="N3484" s="134"/>
      <c r="O3484" s="29"/>
      <c r="P3484" s="37" t="str">
        <f t="shared" si="374"/>
        <v/>
      </c>
      <c r="Q3484" s="38" t="str">
        <f t="shared" si="375"/>
        <v/>
      </c>
      <c r="R3484" s="37" t="str">
        <f t="shared" si="376"/>
        <v/>
      </c>
      <c r="S3484" s="37" t="str">
        <f t="shared" si="377"/>
        <v/>
      </c>
      <c r="T3484" s="38" t="str">
        <f t="shared" si="378"/>
        <v/>
      </c>
      <c r="U3484" s="37" t="str">
        <f t="shared" si="379"/>
        <v/>
      </c>
    </row>
    <row r="3485" spans="2:21" ht="17.25">
      <c r="B3485" s="156"/>
      <c r="C3485" s="156"/>
      <c r="D3485" s="157"/>
      <c r="E3485" s="155"/>
      <c r="F3485" s="151"/>
      <c r="G3485" s="152"/>
      <c r="H3485" s="153"/>
      <c r="I3485" s="154"/>
      <c r="J3485" s="154"/>
      <c r="K3485" s="30" t="str">
        <f>IF(H3485="","",IF($C$30="간이법","",FPR(H3485,I3485,J3485)))</f>
        <v/>
      </c>
      <c r="L3485" s="30" t="str">
        <f>IF(H3485="","",IF($C$30="상세법",FPV(H3485,K3485),IF(H3485="EI",4,IF(H3485="EO",5.2,IF(H3485="EQ",3.9,IF(H3485="ILF",7.5,IF(H3485="EIF",5.4)))))))</f>
        <v/>
      </c>
      <c r="M3485" s="30" t="str">
        <f t="shared" si="373"/>
        <v/>
      </c>
      <c r="N3485" s="134"/>
      <c r="O3485" s="29"/>
      <c r="P3485" s="37" t="str">
        <f t="shared" si="374"/>
        <v/>
      </c>
      <c r="Q3485" s="38" t="str">
        <f t="shared" si="375"/>
        <v/>
      </c>
      <c r="R3485" s="37" t="str">
        <f t="shared" si="376"/>
        <v/>
      </c>
      <c r="S3485" s="37" t="str">
        <f t="shared" si="377"/>
        <v/>
      </c>
      <c r="T3485" s="38" t="str">
        <f t="shared" si="378"/>
        <v/>
      </c>
      <c r="U3485" s="37" t="str">
        <f t="shared" si="379"/>
        <v/>
      </c>
    </row>
    <row r="3486" spans="2:21" ht="17.25">
      <c r="B3486" s="156"/>
      <c r="C3486" s="156"/>
      <c r="D3486" s="157"/>
      <c r="E3486" s="155"/>
      <c r="F3486" s="151"/>
      <c r="G3486" s="152"/>
      <c r="H3486" s="153"/>
      <c r="I3486" s="154"/>
      <c r="J3486" s="154"/>
      <c r="K3486" s="30" t="str">
        <f>IF(H3486="","",IF($C$30="간이법","",FPR(H3486,I3486,J3486)))</f>
        <v/>
      </c>
      <c r="L3486" s="30" t="str">
        <f>IF(H3486="","",IF($C$30="상세법",FPV(H3486,K3486),IF(H3486="EI",4,IF(H3486="EO",5.2,IF(H3486="EQ",3.9,IF(H3486="ILF",7.5,IF(H3486="EIF",5.4)))))))</f>
        <v/>
      </c>
      <c r="M3486" s="30" t="str">
        <f t="shared" si="373"/>
        <v/>
      </c>
      <c r="N3486" s="134"/>
      <c r="O3486" s="29"/>
      <c r="P3486" s="37" t="str">
        <f t="shared" si="374"/>
        <v/>
      </c>
      <c r="Q3486" s="38" t="str">
        <f t="shared" si="375"/>
        <v/>
      </c>
      <c r="R3486" s="37" t="str">
        <f t="shared" si="376"/>
        <v/>
      </c>
      <c r="S3486" s="37" t="str">
        <f t="shared" si="377"/>
        <v/>
      </c>
      <c r="T3486" s="38" t="str">
        <f t="shared" si="378"/>
        <v/>
      </c>
      <c r="U3486" s="37" t="str">
        <f t="shared" si="379"/>
        <v/>
      </c>
    </row>
    <row r="3487" spans="2:21" ht="17.25">
      <c r="B3487" s="156"/>
      <c r="C3487" s="156"/>
      <c r="D3487" s="157"/>
      <c r="E3487" s="155"/>
      <c r="F3487" s="151"/>
      <c r="G3487" s="152"/>
      <c r="H3487" s="153"/>
      <c r="I3487" s="154"/>
      <c r="J3487" s="154"/>
      <c r="K3487" s="30" t="str">
        <f>IF(H3487="","",IF($C$30="간이법","",FPR(H3487,I3487,J3487)))</f>
        <v/>
      </c>
      <c r="L3487" s="30" t="str">
        <f>IF(H3487="","",IF($C$30="상세법",FPV(H3487,K3487),IF(H3487="EI",4,IF(H3487="EO",5.2,IF(H3487="EQ",3.9,IF(H3487="ILF",7.5,IF(H3487="EIF",5.4)))))))</f>
        <v/>
      </c>
      <c r="M3487" s="30" t="str">
        <f t="shared" si="373"/>
        <v/>
      </c>
      <c r="N3487" s="134"/>
      <c r="O3487" s="29"/>
      <c r="P3487" s="37" t="str">
        <f t="shared" si="374"/>
        <v/>
      </c>
      <c r="Q3487" s="38" t="str">
        <f t="shared" si="375"/>
        <v/>
      </c>
      <c r="R3487" s="37" t="str">
        <f t="shared" si="376"/>
        <v/>
      </c>
      <c r="S3487" s="37" t="str">
        <f t="shared" si="377"/>
        <v/>
      </c>
      <c r="T3487" s="38" t="str">
        <f t="shared" si="378"/>
        <v/>
      </c>
      <c r="U3487" s="37" t="str">
        <f t="shared" si="379"/>
        <v/>
      </c>
    </row>
    <row r="3488" spans="2:21" ht="17.25">
      <c r="B3488" s="156"/>
      <c r="C3488" s="156"/>
      <c r="D3488" s="157"/>
      <c r="E3488" s="155"/>
      <c r="F3488" s="151"/>
      <c r="G3488" s="152"/>
      <c r="H3488" s="153"/>
      <c r="I3488" s="154"/>
      <c r="J3488" s="154"/>
      <c r="K3488" s="30" t="str">
        <f>IF(H3488="","",IF($C$30="간이법","",FPR(H3488,I3488,J3488)))</f>
        <v/>
      </c>
      <c r="L3488" s="30" t="str">
        <f>IF(H3488="","",IF($C$30="상세법",FPV(H3488,K3488),IF(H3488="EI",4,IF(H3488="EO",5.2,IF(H3488="EQ",3.9,IF(H3488="ILF",7.5,IF(H3488="EIF",5.4)))))))</f>
        <v/>
      </c>
      <c r="M3488" s="30" t="str">
        <f t="shared" si="373"/>
        <v/>
      </c>
      <c r="N3488" s="134"/>
      <c r="O3488" s="29"/>
      <c r="P3488" s="37" t="str">
        <f t="shared" si="374"/>
        <v/>
      </c>
      <c r="Q3488" s="38" t="str">
        <f t="shared" si="375"/>
        <v/>
      </c>
      <c r="R3488" s="37" t="str">
        <f t="shared" si="376"/>
        <v/>
      </c>
      <c r="S3488" s="37" t="str">
        <f t="shared" si="377"/>
        <v/>
      </c>
      <c r="T3488" s="38" t="str">
        <f t="shared" si="378"/>
        <v/>
      </c>
      <c r="U3488" s="37" t="str">
        <f t="shared" si="379"/>
        <v/>
      </c>
    </row>
    <row r="3489" spans="2:21" ht="17.25">
      <c r="B3489" s="156"/>
      <c r="C3489" s="156"/>
      <c r="D3489" s="157"/>
      <c r="E3489" s="155"/>
      <c r="F3489" s="151"/>
      <c r="G3489" s="152"/>
      <c r="H3489" s="153"/>
      <c r="I3489" s="154"/>
      <c r="J3489" s="154"/>
      <c r="K3489" s="30" t="str">
        <f>IF(H3489="","",IF($C$30="간이법","",FPR(H3489,I3489,J3489)))</f>
        <v/>
      </c>
      <c r="L3489" s="30" t="str">
        <f>IF(H3489="","",IF($C$30="상세법",FPV(H3489,K3489),IF(H3489="EI",4,IF(H3489="EO",5.2,IF(H3489="EQ",3.9,IF(H3489="ILF",7.5,IF(H3489="EIF",5.4)))))))</f>
        <v/>
      </c>
      <c r="M3489" s="30" t="str">
        <f t="shared" si="373"/>
        <v/>
      </c>
      <c r="N3489" s="134"/>
      <c r="O3489" s="29"/>
      <c r="P3489" s="37" t="str">
        <f t="shared" si="374"/>
        <v/>
      </c>
      <c r="Q3489" s="38" t="str">
        <f t="shared" si="375"/>
        <v/>
      </c>
      <c r="R3489" s="37" t="str">
        <f t="shared" si="376"/>
        <v/>
      </c>
      <c r="S3489" s="37" t="str">
        <f t="shared" si="377"/>
        <v/>
      </c>
      <c r="T3489" s="38" t="str">
        <f t="shared" si="378"/>
        <v/>
      </c>
      <c r="U3489" s="37" t="str">
        <f t="shared" si="379"/>
        <v/>
      </c>
    </row>
    <row r="3490" spans="2:21" ht="17.25">
      <c r="B3490" s="156"/>
      <c r="C3490" s="156"/>
      <c r="D3490" s="157"/>
      <c r="E3490" s="155"/>
      <c r="F3490" s="151"/>
      <c r="G3490" s="152"/>
      <c r="H3490" s="153"/>
      <c r="I3490" s="154"/>
      <c r="J3490" s="154"/>
      <c r="K3490" s="30" t="str">
        <f>IF(H3490="","",IF($C$30="간이법","",FPR(H3490,I3490,J3490)))</f>
        <v/>
      </c>
      <c r="L3490" s="30" t="str">
        <f>IF(H3490="","",IF($C$30="상세법",FPV(H3490,K3490),IF(H3490="EI",4,IF(H3490="EO",5.2,IF(H3490="EQ",3.9,IF(H3490="ILF",7.5,IF(H3490="EIF",5.4)))))))</f>
        <v/>
      </c>
      <c r="M3490" s="30" t="str">
        <f t="shared" si="373"/>
        <v/>
      </c>
      <c r="N3490" s="134"/>
      <c r="O3490" s="29"/>
      <c r="P3490" s="37" t="str">
        <f t="shared" si="374"/>
        <v/>
      </c>
      <c r="Q3490" s="38" t="str">
        <f t="shared" si="375"/>
        <v/>
      </c>
      <c r="R3490" s="37" t="str">
        <f t="shared" si="376"/>
        <v/>
      </c>
      <c r="S3490" s="37" t="str">
        <f t="shared" si="377"/>
        <v/>
      </c>
      <c r="T3490" s="38" t="str">
        <f t="shared" si="378"/>
        <v/>
      </c>
      <c r="U3490" s="37" t="str">
        <f t="shared" si="379"/>
        <v/>
      </c>
    </row>
    <row r="3491" spans="2:21" ht="17.25">
      <c r="B3491" s="156"/>
      <c r="C3491" s="156"/>
      <c r="D3491" s="157"/>
      <c r="E3491" s="155"/>
      <c r="F3491" s="151"/>
      <c r="G3491" s="152"/>
      <c r="H3491" s="153"/>
      <c r="I3491" s="154"/>
      <c r="J3491" s="154"/>
      <c r="K3491" s="30" t="str">
        <f>IF(H3491="","",IF($C$30="간이법","",FPR(H3491,I3491,J3491)))</f>
        <v/>
      </c>
      <c r="L3491" s="30" t="str">
        <f>IF(H3491="","",IF($C$30="상세법",FPV(H3491,K3491),IF(H3491="EI",4,IF(H3491="EO",5.2,IF(H3491="EQ",3.9,IF(H3491="ILF",7.5,IF(H3491="EIF",5.4)))))))</f>
        <v/>
      </c>
      <c r="M3491" s="30" t="str">
        <f t="shared" si="373"/>
        <v/>
      </c>
      <c r="N3491" s="134"/>
      <c r="O3491" s="29"/>
      <c r="P3491" s="37" t="str">
        <f t="shared" si="374"/>
        <v/>
      </c>
      <c r="Q3491" s="38" t="str">
        <f t="shared" si="375"/>
        <v/>
      </c>
      <c r="R3491" s="37" t="str">
        <f t="shared" si="376"/>
        <v/>
      </c>
      <c r="S3491" s="37" t="str">
        <f t="shared" si="377"/>
        <v/>
      </c>
      <c r="T3491" s="38" t="str">
        <f t="shared" si="378"/>
        <v/>
      </c>
      <c r="U3491" s="37" t="str">
        <f t="shared" si="379"/>
        <v/>
      </c>
    </row>
    <row r="3492" spans="2:21" ht="17.25">
      <c r="B3492" s="156"/>
      <c r="C3492" s="156"/>
      <c r="D3492" s="157"/>
      <c r="E3492" s="155"/>
      <c r="F3492" s="151"/>
      <c r="G3492" s="152"/>
      <c r="H3492" s="153"/>
      <c r="I3492" s="154"/>
      <c r="J3492" s="154"/>
      <c r="K3492" s="30" t="str">
        <f>IF(H3492="","",IF($C$30="간이법","",FPR(H3492,I3492,J3492)))</f>
        <v/>
      </c>
      <c r="L3492" s="30" t="str">
        <f>IF(H3492="","",IF($C$30="상세법",FPV(H3492,K3492),IF(H3492="EI",4,IF(H3492="EO",5.2,IF(H3492="EQ",3.9,IF(H3492="ILF",7.5,IF(H3492="EIF",5.4)))))))</f>
        <v/>
      </c>
      <c r="M3492" s="30" t="str">
        <f t="shared" si="373"/>
        <v/>
      </c>
      <c r="N3492" s="134"/>
      <c r="O3492" s="29"/>
      <c r="P3492" s="37" t="str">
        <f t="shared" si="374"/>
        <v/>
      </c>
      <c r="Q3492" s="38" t="str">
        <f t="shared" si="375"/>
        <v/>
      </c>
      <c r="R3492" s="37" t="str">
        <f t="shared" si="376"/>
        <v/>
      </c>
      <c r="S3492" s="37" t="str">
        <f t="shared" si="377"/>
        <v/>
      </c>
      <c r="T3492" s="38" t="str">
        <f t="shared" si="378"/>
        <v/>
      </c>
      <c r="U3492" s="37" t="str">
        <f t="shared" si="379"/>
        <v/>
      </c>
    </row>
    <row r="3493" spans="2:21" ht="17.25">
      <c r="B3493" s="156"/>
      <c r="C3493" s="156"/>
      <c r="D3493" s="157"/>
      <c r="E3493" s="155"/>
      <c r="F3493" s="151"/>
      <c r="G3493" s="152"/>
      <c r="H3493" s="153"/>
      <c r="I3493" s="154"/>
      <c r="J3493" s="154"/>
      <c r="K3493" s="30" t="str">
        <f>IF(H3493="","",IF($C$30="간이법","",FPR(H3493,I3493,J3493)))</f>
        <v/>
      </c>
      <c r="L3493" s="30" t="str">
        <f>IF(H3493="","",IF($C$30="상세법",FPV(H3493,K3493),IF(H3493="EI",4,IF(H3493="EO",5.2,IF(H3493="EQ",3.9,IF(H3493="ILF",7.5,IF(H3493="EIF",5.4)))))))</f>
        <v/>
      </c>
      <c r="M3493" s="30" t="str">
        <f t="shared" si="373"/>
        <v/>
      </c>
      <c r="N3493" s="134"/>
      <c r="O3493" s="29"/>
      <c r="P3493" s="37" t="str">
        <f t="shared" si="374"/>
        <v/>
      </c>
      <c r="Q3493" s="38" t="str">
        <f t="shared" si="375"/>
        <v/>
      </c>
      <c r="R3493" s="37" t="str">
        <f t="shared" si="376"/>
        <v/>
      </c>
      <c r="S3493" s="37" t="str">
        <f t="shared" si="377"/>
        <v/>
      </c>
      <c r="T3493" s="38" t="str">
        <f t="shared" si="378"/>
        <v/>
      </c>
      <c r="U3493" s="37" t="str">
        <f t="shared" si="379"/>
        <v/>
      </c>
    </row>
    <row r="3494" spans="2:21" ht="17.25">
      <c r="B3494" s="156"/>
      <c r="C3494" s="156"/>
      <c r="D3494" s="157"/>
      <c r="E3494" s="155"/>
      <c r="F3494" s="151"/>
      <c r="G3494" s="152"/>
      <c r="H3494" s="153"/>
      <c r="I3494" s="154"/>
      <c r="J3494" s="154"/>
      <c r="K3494" s="30" t="str">
        <f>IF(H3494="","",IF($C$30="간이법","",FPR(H3494,I3494,J3494)))</f>
        <v/>
      </c>
      <c r="L3494" s="30" t="str">
        <f>IF(H3494="","",IF($C$30="상세법",FPV(H3494,K3494),IF(H3494="EI",4,IF(H3494="EO",5.2,IF(H3494="EQ",3.9,IF(H3494="ILF",7.5,IF(H3494="EIF",5.4)))))))</f>
        <v/>
      </c>
      <c r="M3494" s="30" t="str">
        <f t="shared" si="373"/>
        <v/>
      </c>
      <c r="N3494" s="134"/>
      <c r="O3494" s="29"/>
      <c r="P3494" s="37" t="str">
        <f t="shared" si="374"/>
        <v/>
      </c>
      <c r="Q3494" s="38" t="str">
        <f t="shared" si="375"/>
        <v/>
      </c>
      <c r="R3494" s="37" t="str">
        <f t="shared" si="376"/>
        <v/>
      </c>
      <c r="S3494" s="37" t="str">
        <f t="shared" si="377"/>
        <v/>
      </c>
      <c r="T3494" s="38" t="str">
        <f t="shared" si="378"/>
        <v/>
      </c>
      <c r="U3494" s="37" t="str">
        <f t="shared" si="379"/>
        <v/>
      </c>
    </row>
    <row r="3495" spans="2:21" ht="17.25">
      <c r="B3495" s="156"/>
      <c r="C3495" s="156"/>
      <c r="D3495" s="157"/>
      <c r="E3495" s="155"/>
      <c r="F3495" s="151"/>
      <c r="G3495" s="152"/>
      <c r="H3495" s="153"/>
      <c r="I3495" s="154"/>
      <c r="J3495" s="154"/>
      <c r="K3495" s="30" t="str">
        <f>IF(H3495="","",IF($C$30="간이법","",FPR(H3495,I3495,J3495)))</f>
        <v/>
      </c>
      <c r="L3495" s="30" t="str">
        <f>IF(H3495="","",IF($C$30="상세법",FPV(H3495,K3495),IF(H3495="EI",4,IF(H3495="EO",5.2,IF(H3495="EQ",3.9,IF(H3495="ILF",7.5,IF(H3495="EIF",5.4)))))))</f>
        <v/>
      </c>
      <c r="M3495" s="30" t="str">
        <f t="shared" si="373"/>
        <v/>
      </c>
      <c r="N3495" s="134"/>
      <c r="O3495" s="29"/>
      <c r="P3495" s="37" t="str">
        <f t="shared" si="374"/>
        <v/>
      </c>
      <c r="Q3495" s="38" t="str">
        <f t="shared" si="375"/>
        <v/>
      </c>
      <c r="R3495" s="37" t="str">
        <f t="shared" si="376"/>
        <v/>
      </c>
      <c r="S3495" s="37" t="str">
        <f t="shared" si="377"/>
        <v/>
      </c>
      <c r="T3495" s="38" t="str">
        <f t="shared" si="378"/>
        <v/>
      </c>
      <c r="U3495" s="37" t="str">
        <f t="shared" si="379"/>
        <v/>
      </c>
    </row>
    <row r="3496" spans="2:21" ht="17.25">
      <c r="B3496" s="156"/>
      <c r="C3496" s="156"/>
      <c r="D3496" s="157"/>
      <c r="E3496" s="155"/>
      <c r="F3496" s="151"/>
      <c r="G3496" s="152"/>
      <c r="H3496" s="153"/>
      <c r="I3496" s="154"/>
      <c r="J3496" s="154"/>
      <c r="K3496" s="30" t="str">
        <f>IF(H3496="","",IF($C$30="간이법","",FPR(H3496,I3496,J3496)))</f>
        <v/>
      </c>
      <c r="L3496" s="30" t="str">
        <f>IF(H3496="","",IF($C$30="상세법",FPV(H3496,K3496),IF(H3496="EI",4,IF(H3496="EO",5.2,IF(H3496="EQ",3.9,IF(H3496="ILF",7.5,IF(H3496="EIF",5.4)))))))</f>
        <v/>
      </c>
      <c r="M3496" s="30" t="str">
        <f t="shared" si="373"/>
        <v/>
      </c>
      <c r="N3496" s="134"/>
      <c r="O3496" s="29"/>
      <c r="P3496" s="37" t="str">
        <f t="shared" si="374"/>
        <v/>
      </c>
      <c r="Q3496" s="38" t="str">
        <f t="shared" si="375"/>
        <v/>
      </c>
      <c r="R3496" s="37" t="str">
        <f t="shared" si="376"/>
        <v/>
      </c>
      <c r="S3496" s="37" t="str">
        <f t="shared" si="377"/>
        <v/>
      </c>
      <c r="T3496" s="38" t="str">
        <f t="shared" si="378"/>
        <v/>
      </c>
      <c r="U3496" s="37" t="str">
        <f t="shared" si="379"/>
        <v/>
      </c>
    </row>
    <row r="3497" spans="2:21" ht="17.25">
      <c r="B3497" s="156"/>
      <c r="C3497" s="156"/>
      <c r="D3497" s="157"/>
      <c r="E3497" s="155"/>
      <c r="F3497" s="151"/>
      <c r="G3497" s="152"/>
      <c r="H3497" s="153"/>
      <c r="I3497" s="154"/>
      <c r="J3497" s="154"/>
      <c r="K3497" s="30" t="str">
        <f>IF(H3497="","",IF($C$30="간이법","",FPR(H3497,I3497,J3497)))</f>
        <v/>
      </c>
      <c r="L3497" s="30" t="str">
        <f>IF(H3497="","",IF($C$30="상세법",FPV(H3497,K3497),IF(H3497="EI",4,IF(H3497="EO",5.2,IF(H3497="EQ",3.9,IF(H3497="ILF",7.5,IF(H3497="EIF",5.4)))))))</f>
        <v/>
      </c>
      <c r="M3497" s="30" t="str">
        <f t="shared" si="373"/>
        <v/>
      </c>
      <c r="N3497" s="134"/>
      <c r="O3497" s="29"/>
      <c r="P3497" s="37" t="str">
        <f t="shared" si="374"/>
        <v/>
      </c>
      <c r="Q3497" s="38" t="str">
        <f t="shared" si="375"/>
        <v/>
      </c>
      <c r="R3497" s="37" t="str">
        <f t="shared" si="376"/>
        <v/>
      </c>
      <c r="S3497" s="37" t="str">
        <f t="shared" si="377"/>
        <v/>
      </c>
      <c r="T3497" s="38" t="str">
        <f t="shared" si="378"/>
        <v/>
      </c>
      <c r="U3497" s="37" t="str">
        <f t="shared" si="379"/>
        <v/>
      </c>
    </row>
    <row r="3498" spans="2:21" ht="17.25">
      <c r="B3498" s="156"/>
      <c r="C3498" s="156"/>
      <c r="D3498" s="157"/>
      <c r="E3498" s="155"/>
      <c r="F3498" s="151"/>
      <c r="G3498" s="152"/>
      <c r="H3498" s="153"/>
      <c r="I3498" s="154"/>
      <c r="J3498" s="154"/>
      <c r="K3498" s="30" t="str">
        <f>IF(H3498="","",IF($C$30="간이법","",FPR(H3498,I3498,J3498)))</f>
        <v/>
      </c>
      <c r="L3498" s="30" t="str">
        <f>IF(H3498="","",IF($C$30="상세법",FPV(H3498,K3498),IF(H3498="EI",4,IF(H3498="EO",5.2,IF(H3498="EQ",3.9,IF(H3498="ILF",7.5,IF(H3498="EIF",5.4)))))))</f>
        <v/>
      </c>
      <c r="M3498" s="30" t="str">
        <f t="shared" si="373"/>
        <v/>
      </c>
      <c r="N3498" s="134"/>
      <c r="O3498" s="29"/>
      <c r="P3498" s="37" t="str">
        <f t="shared" si="374"/>
        <v/>
      </c>
      <c r="Q3498" s="38" t="str">
        <f t="shared" si="375"/>
        <v/>
      </c>
      <c r="R3498" s="37" t="str">
        <f t="shared" si="376"/>
        <v/>
      </c>
      <c r="S3498" s="37" t="str">
        <f t="shared" si="377"/>
        <v/>
      </c>
      <c r="T3498" s="38" t="str">
        <f t="shared" si="378"/>
        <v/>
      </c>
      <c r="U3498" s="37" t="str">
        <f t="shared" si="379"/>
        <v/>
      </c>
    </row>
    <row r="3499" spans="2:21" ht="17.25">
      <c r="B3499" s="156"/>
      <c r="C3499" s="156"/>
      <c r="D3499" s="157"/>
      <c r="E3499" s="155"/>
      <c r="F3499" s="151"/>
      <c r="G3499" s="152"/>
      <c r="H3499" s="153"/>
      <c r="I3499" s="154"/>
      <c r="J3499" s="154"/>
      <c r="K3499" s="30" t="str">
        <f>IF(H3499="","",IF($C$30="간이법","",FPR(H3499,I3499,J3499)))</f>
        <v/>
      </c>
      <c r="L3499" s="30" t="str">
        <f>IF(H3499="","",IF($C$30="상세법",FPV(H3499,K3499),IF(H3499="EI",4,IF(H3499="EO",5.2,IF(H3499="EQ",3.9,IF(H3499="ILF",7.5,IF(H3499="EIF",5.4)))))))</f>
        <v/>
      </c>
      <c r="M3499" s="30" t="str">
        <f t="shared" si="373"/>
        <v/>
      </c>
      <c r="N3499" s="134"/>
      <c r="O3499" s="29"/>
      <c r="P3499" s="37" t="str">
        <f t="shared" si="374"/>
        <v/>
      </c>
      <c r="Q3499" s="38" t="str">
        <f t="shared" si="375"/>
        <v/>
      </c>
      <c r="R3499" s="37" t="str">
        <f t="shared" si="376"/>
        <v/>
      </c>
      <c r="S3499" s="37" t="str">
        <f t="shared" si="377"/>
        <v/>
      </c>
      <c r="T3499" s="38" t="str">
        <f t="shared" si="378"/>
        <v/>
      </c>
      <c r="U3499" s="37" t="str">
        <f t="shared" si="379"/>
        <v/>
      </c>
    </row>
    <row r="3500" spans="2:21" ht="17.25">
      <c r="B3500" s="156"/>
      <c r="C3500" s="156"/>
      <c r="D3500" s="157"/>
      <c r="E3500" s="155"/>
      <c r="F3500" s="151"/>
      <c r="G3500" s="152"/>
      <c r="H3500" s="153"/>
      <c r="I3500" s="154"/>
      <c r="J3500" s="154"/>
      <c r="K3500" s="30" t="str">
        <f>IF(H3500="","",IF($C$30="간이법","",FPR(H3500,I3500,J3500)))</f>
        <v/>
      </c>
      <c r="L3500" s="30" t="str">
        <f>IF(H3500="","",IF($C$30="상세법",FPV(H3500,K3500),IF(H3500="EI",4,IF(H3500="EO",5.2,IF(H3500="EQ",3.9,IF(H3500="ILF",7.5,IF(H3500="EIF",5.4)))))))</f>
        <v/>
      </c>
      <c r="M3500" s="30" t="str">
        <f t="shared" si="373"/>
        <v/>
      </c>
      <c r="N3500" s="134"/>
      <c r="O3500" s="29"/>
      <c r="P3500" s="37" t="str">
        <f t="shared" si="374"/>
        <v/>
      </c>
      <c r="Q3500" s="38" t="str">
        <f t="shared" si="375"/>
        <v/>
      </c>
      <c r="R3500" s="37" t="str">
        <f t="shared" si="376"/>
        <v/>
      </c>
      <c r="S3500" s="37" t="str">
        <f t="shared" si="377"/>
        <v/>
      </c>
      <c r="T3500" s="38" t="str">
        <f t="shared" si="378"/>
        <v/>
      </c>
      <c r="U3500" s="37" t="str">
        <f t="shared" si="379"/>
        <v/>
      </c>
    </row>
    <row r="3501" spans="2:21" ht="17.25">
      <c r="B3501" s="156"/>
      <c r="C3501" s="156"/>
      <c r="D3501" s="157"/>
      <c r="E3501" s="155"/>
      <c r="F3501" s="151"/>
      <c r="G3501" s="152"/>
      <c r="H3501" s="153"/>
      <c r="I3501" s="154"/>
      <c r="J3501" s="154"/>
      <c r="K3501" s="30" t="str">
        <f>IF(H3501="","",IF($C$30="간이법","",FPR(H3501,I3501,J3501)))</f>
        <v/>
      </c>
      <c r="L3501" s="30" t="str">
        <f>IF(H3501="","",IF($C$30="상세법",FPV(H3501,K3501),IF(H3501="EI",4,IF(H3501="EO",5.2,IF(H3501="EQ",3.9,IF(H3501="ILF",7.5,IF(H3501="EIF",5.4)))))))</f>
        <v/>
      </c>
      <c r="M3501" s="30" t="str">
        <f t="shared" si="373"/>
        <v/>
      </c>
      <c r="N3501" s="134"/>
      <c r="O3501" s="29"/>
      <c r="P3501" s="37" t="str">
        <f t="shared" si="374"/>
        <v/>
      </c>
      <c r="Q3501" s="38" t="str">
        <f t="shared" si="375"/>
        <v/>
      </c>
      <c r="R3501" s="37" t="str">
        <f t="shared" si="376"/>
        <v/>
      </c>
      <c r="S3501" s="37" t="str">
        <f t="shared" si="377"/>
        <v/>
      </c>
      <c r="T3501" s="38" t="str">
        <f t="shared" si="378"/>
        <v/>
      </c>
      <c r="U3501" s="37" t="str">
        <f t="shared" si="379"/>
        <v/>
      </c>
    </row>
    <row r="3502" spans="2:21" ht="17.25">
      <c r="B3502" s="156"/>
      <c r="C3502" s="156"/>
      <c r="D3502" s="157"/>
      <c r="E3502" s="155"/>
      <c r="F3502" s="151"/>
      <c r="G3502" s="152"/>
      <c r="H3502" s="153"/>
      <c r="I3502" s="154"/>
      <c r="J3502" s="154"/>
      <c r="K3502" s="30" t="str">
        <f>IF(H3502="","",IF($C$30="간이법","",FPR(H3502,I3502,J3502)))</f>
        <v/>
      </c>
      <c r="L3502" s="30" t="str">
        <f>IF(H3502="","",IF($C$30="상세법",FPV(H3502,K3502),IF(H3502="EI",4,IF(H3502="EO",5.2,IF(H3502="EQ",3.9,IF(H3502="ILF",7.5,IF(H3502="EIF",5.4)))))))</f>
        <v/>
      </c>
      <c r="M3502" s="30" t="str">
        <f t="shared" si="373"/>
        <v/>
      </c>
      <c r="N3502" s="134"/>
      <c r="O3502" s="29"/>
      <c r="P3502" s="37" t="str">
        <f t="shared" si="374"/>
        <v/>
      </c>
      <c r="Q3502" s="38" t="str">
        <f t="shared" si="375"/>
        <v/>
      </c>
      <c r="R3502" s="37" t="str">
        <f t="shared" si="376"/>
        <v/>
      </c>
      <c r="S3502" s="37" t="str">
        <f t="shared" si="377"/>
        <v/>
      </c>
      <c r="T3502" s="38" t="str">
        <f t="shared" si="378"/>
        <v/>
      </c>
      <c r="U3502" s="37" t="str">
        <f t="shared" si="379"/>
        <v/>
      </c>
    </row>
    <row r="3503" spans="2:21" ht="17.25">
      <c r="B3503" s="156"/>
      <c r="C3503" s="156"/>
      <c r="D3503" s="157"/>
      <c r="E3503" s="155"/>
      <c r="F3503" s="151"/>
      <c r="G3503" s="152"/>
      <c r="H3503" s="153"/>
      <c r="I3503" s="154"/>
      <c r="J3503" s="154"/>
      <c r="K3503" s="30" t="str">
        <f>IF(H3503="","",IF($C$30="간이법","",FPR(H3503,I3503,J3503)))</f>
        <v/>
      </c>
      <c r="L3503" s="30" t="str">
        <f>IF(H3503="","",IF($C$30="상세법",FPV(H3503,K3503),IF(H3503="EI",4,IF(H3503="EO",5.2,IF(H3503="EQ",3.9,IF(H3503="ILF",7.5,IF(H3503="EIF",5.4)))))))</f>
        <v/>
      </c>
      <c r="M3503" s="30" t="str">
        <f t="shared" si="373"/>
        <v/>
      </c>
      <c r="N3503" s="134"/>
      <c r="O3503" s="29"/>
      <c r="P3503" s="37" t="str">
        <f t="shared" si="374"/>
        <v/>
      </c>
      <c r="Q3503" s="38" t="str">
        <f t="shared" si="375"/>
        <v/>
      </c>
      <c r="R3503" s="37" t="str">
        <f t="shared" si="376"/>
        <v/>
      </c>
      <c r="S3503" s="37" t="str">
        <f t="shared" si="377"/>
        <v/>
      </c>
      <c r="T3503" s="38" t="str">
        <f t="shared" si="378"/>
        <v/>
      </c>
      <c r="U3503" s="37" t="str">
        <f t="shared" si="379"/>
        <v/>
      </c>
    </row>
    <row r="3504" spans="2:21" ht="17.25">
      <c r="B3504" s="156"/>
      <c r="C3504" s="156"/>
      <c r="D3504" s="157"/>
      <c r="E3504" s="155"/>
      <c r="F3504" s="151"/>
      <c r="G3504" s="152"/>
      <c r="H3504" s="153"/>
      <c r="I3504" s="154"/>
      <c r="J3504" s="154"/>
      <c r="K3504" s="30" t="str">
        <f>IF(H3504="","",IF($C$30="간이법","",FPR(H3504,I3504,J3504)))</f>
        <v/>
      </c>
      <c r="L3504" s="30" t="str">
        <f>IF(H3504="","",IF($C$30="상세법",FPV(H3504,K3504),IF(H3504="EI",4,IF(H3504="EO",5.2,IF(H3504="EQ",3.9,IF(H3504="ILF",7.5,IF(H3504="EIF",5.4)))))))</f>
        <v/>
      </c>
      <c r="M3504" s="30" t="str">
        <f t="shared" si="373"/>
        <v/>
      </c>
      <c r="N3504" s="134"/>
      <c r="O3504" s="29"/>
      <c r="P3504" s="37" t="str">
        <f t="shared" si="374"/>
        <v/>
      </c>
      <c r="Q3504" s="38" t="str">
        <f t="shared" si="375"/>
        <v/>
      </c>
      <c r="R3504" s="37" t="str">
        <f t="shared" si="376"/>
        <v/>
      </c>
      <c r="S3504" s="37" t="str">
        <f t="shared" si="377"/>
        <v/>
      </c>
      <c r="T3504" s="38" t="str">
        <f t="shared" si="378"/>
        <v/>
      </c>
      <c r="U3504" s="37" t="str">
        <f t="shared" si="379"/>
        <v/>
      </c>
    </row>
    <row r="3505" spans="2:21" ht="17.25">
      <c r="B3505" s="156"/>
      <c r="C3505" s="156"/>
      <c r="D3505" s="157"/>
      <c r="E3505" s="155"/>
      <c r="F3505" s="151"/>
      <c r="G3505" s="152"/>
      <c r="H3505" s="153"/>
      <c r="I3505" s="154"/>
      <c r="J3505" s="154"/>
      <c r="K3505" s="30" t="str">
        <f>IF(H3505="","",IF($C$30="간이법","",FPR(H3505,I3505,J3505)))</f>
        <v/>
      </c>
      <c r="L3505" s="30" t="str">
        <f>IF(H3505="","",IF($C$30="상세법",FPV(H3505,K3505),IF(H3505="EI",4,IF(H3505="EO",5.2,IF(H3505="EQ",3.9,IF(H3505="ILF",7.5,IF(H3505="EIF",5.4)))))))</f>
        <v/>
      </c>
      <c r="M3505" s="30" t="str">
        <f t="shared" si="373"/>
        <v/>
      </c>
      <c r="N3505" s="134"/>
      <c r="O3505" s="29"/>
      <c r="P3505" s="37" t="str">
        <f t="shared" si="374"/>
        <v/>
      </c>
      <c r="Q3505" s="38" t="str">
        <f t="shared" si="375"/>
        <v/>
      </c>
      <c r="R3505" s="37" t="str">
        <f t="shared" si="376"/>
        <v/>
      </c>
      <c r="S3505" s="37" t="str">
        <f t="shared" si="377"/>
        <v/>
      </c>
      <c r="T3505" s="38" t="str">
        <f t="shared" si="378"/>
        <v/>
      </c>
      <c r="U3505" s="37" t="str">
        <f t="shared" si="379"/>
        <v/>
      </c>
    </row>
    <row r="3506" spans="2:21" ht="17.25">
      <c r="B3506" s="156"/>
      <c r="C3506" s="156"/>
      <c r="D3506" s="157"/>
      <c r="E3506" s="155"/>
      <c r="F3506" s="151"/>
      <c r="G3506" s="152"/>
      <c r="H3506" s="153"/>
      <c r="I3506" s="154"/>
      <c r="J3506" s="154"/>
      <c r="K3506" s="30" t="str">
        <f>IF(H3506="","",IF($C$30="간이법","",FPR(H3506,I3506,J3506)))</f>
        <v/>
      </c>
      <c r="L3506" s="30" t="str">
        <f>IF(H3506="","",IF($C$30="상세법",FPV(H3506,K3506),IF(H3506="EI",4,IF(H3506="EO",5.2,IF(H3506="EQ",3.9,IF(H3506="ILF",7.5,IF(H3506="EIF",5.4)))))))</f>
        <v/>
      </c>
      <c r="M3506" s="30" t="str">
        <f t="shared" si="373"/>
        <v/>
      </c>
      <c r="N3506" s="134"/>
      <c r="O3506" s="29"/>
      <c r="P3506" s="37" t="str">
        <f t="shared" si="374"/>
        <v/>
      </c>
      <c r="Q3506" s="38" t="str">
        <f t="shared" si="375"/>
        <v/>
      </c>
      <c r="R3506" s="37" t="str">
        <f t="shared" si="376"/>
        <v/>
      </c>
      <c r="S3506" s="37" t="str">
        <f t="shared" si="377"/>
        <v/>
      </c>
      <c r="T3506" s="38" t="str">
        <f t="shared" si="378"/>
        <v/>
      </c>
      <c r="U3506" s="37" t="str">
        <f t="shared" si="379"/>
        <v/>
      </c>
    </row>
    <row r="3507" spans="2:21" ht="17.25">
      <c r="B3507" s="156"/>
      <c r="C3507" s="156"/>
      <c r="D3507" s="157"/>
      <c r="E3507" s="155"/>
      <c r="F3507" s="151"/>
      <c r="G3507" s="152"/>
      <c r="H3507" s="153"/>
      <c r="I3507" s="154"/>
      <c r="J3507" s="154"/>
      <c r="K3507" s="30" t="str">
        <f>IF(H3507="","",IF($C$30="간이법","",FPR(H3507,I3507,J3507)))</f>
        <v/>
      </c>
      <c r="L3507" s="30" t="str">
        <f>IF(H3507="","",IF($C$30="상세법",FPV(H3507,K3507),IF(H3507="EI",4,IF(H3507="EO",5.2,IF(H3507="EQ",3.9,IF(H3507="ILF",7.5,IF(H3507="EIF",5.4)))))))</f>
        <v/>
      </c>
      <c r="M3507" s="30" t="str">
        <f t="shared" si="373"/>
        <v/>
      </c>
      <c r="N3507" s="134"/>
      <c r="O3507" s="29"/>
      <c r="P3507" s="37" t="str">
        <f t="shared" si="374"/>
        <v/>
      </c>
      <c r="Q3507" s="38" t="str">
        <f t="shared" si="375"/>
        <v/>
      </c>
      <c r="R3507" s="37" t="str">
        <f t="shared" si="376"/>
        <v/>
      </c>
      <c r="S3507" s="37" t="str">
        <f t="shared" si="377"/>
        <v/>
      </c>
      <c r="T3507" s="38" t="str">
        <f t="shared" si="378"/>
        <v/>
      </c>
      <c r="U3507" s="37" t="str">
        <f t="shared" si="379"/>
        <v/>
      </c>
    </row>
    <row r="3508" spans="2:21" ht="17.25">
      <c r="B3508" s="156"/>
      <c r="C3508" s="156"/>
      <c r="D3508" s="157"/>
      <c r="E3508" s="155"/>
      <c r="F3508" s="151"/>
      <c r="G3508" s="152"/>
      <c r="H3508" s="153"/>
      <c r="I3508" s="154"/>
      <c r="J3508" s="154"/>
      <c r="K3508" s="30" t="str">
        <f>IF(H3508="","",IF($C$30="간이법","",FPR(H3508,I3508,J3508)))</f>
        <v/>
      </c>
      <c r="L3508" s="30" t="str">
        <f>IF(H3508="","",IF($C$30="상세법",FPV(H3508,K3508),IF(H3508="EI",4,IF(H3508="EO",5.2,IF(H3508="EQ",3.9,IF(H3508="ILF",7.5,IF(H3508="EIF",5.4)))))))</f>
        <v/>
      </c>
      <c r="M3508" s="30" t="str">
        <f t="shared" si="373"/>
        <v/>
      </c>
      <c r="N3508" s="134"/>
      <c r="O3508" s="29"/>
      <c r="P3508" s="37" t="str">
        <f t="shared" si="374"/>
        <v/>
      </c>
      <c r="Q3508" s="38" t="str">
        <f t="shared" si="375"/>
        <v/>
      </c>
      <c r="R3508" s="37" t="str">
        <f t="shared" si="376"/>
        <v/>
      </c>
      <c r="S3508" s="37" t="str">
        <f t="shared" si="377"/>
        <v/>
      </c>
      <c r="T3508" s="38" t="str">
        <f t="shared" si="378"/>
        <v/>
      </c>
      <c r="U3508" s="37" t="str">
        <f t="shared" si="379"/>
        <v/>
      </c>
    </row>
    <row r="3509" spans="2:21" ht="17.25">
      <c r="B3509" s="156"/>
      <c r="C3509" s="156"/>
      <c r="D3509" s="157"/>
      <c r="E3509" s="155"/>
      <c r="F3509" s="151"/>
      <c r="G3509" s="152"/>
      <c r="H3509" s="153"/>
      <c r="I3509" s="154"/>
      <c r="J3509" s="154"/>
      <c r="K3509" s="30" t="str">
        <f>IF(H3509="","",IF($C$30="간이법","",FPR(H3509,I3509,J3509)))</f>
        <v/>
      </c>
      <c r="L3509" s="30" t="str">
        <f>IF(H3509="","",IF($C$30="상세법",FPV(H3509,K3509),IF(H3509="EI",4,IF(H3509="EO",5.2,IF(H3509="EQ",3.9,IF(H3509="ILF",7.5,IF(H3509="EIF",5.4)))))))</f>
        <v/>
      </c>
      <c r="M3509" s="30" t="str">
        <f t="shared" si="373"/>
        <v/>
      </c>
      <c r="N3509" s="134"/>
      <c r="O3509" s="29"/>
      <c r="P3509" s="37" t="str">
        <f t="shared" si="374"/>
        <v/>
      </c>
      <c r="Q3509" s="38" t="str">
        <f t="shared" si="375"/>
        <v/>
      </c>
      <c r="R3509" s="37" t="str">
        <f t="shared" si="376"/>
        <v/>
      </c>
      <c r="S3509" s="37" t="str">
        <f t="shared" si="377"/>
        <v/>
      </c>
      <c r="T3509" s="38" t="str">
        <f t="shared" si="378"/>
        <v/>
      </c>
      <c r="U3509" s="37" t="str">
        <f t="shared" si="379"/>
        <v/>
      </c>
    </row>
    <row r="3510" spans="2:21" ht="17.25">
      <c r="B3510" s="156"/>
      <c r="C3510" s="156"/>
      <c r="D3510" s="157"/>
      <c r="E3510" s="155"/>
      <c r="F3510" s="151"/>
      <c r="G3510" s="152"/>
      <c r="H3510" s="153"/>
      <c r="I3510" s="154"/>
      <c r="J3510" s="154"/>
      <c r="K3510" s="30" t="str">
        <f>IF(H3510="","",IF($C$30="간이법","",FPR(H3510,I3510,J3510)))</f>
        <v/>
      </c>
      <c r="L3510" s="30" t="str">
        <f>IF(H3510="","",IF($C$30="상세법",FPV(H3510,K3510),IF(H3510="EI",4,IF(H3510="EO",5.2,IF(H3510="EQ",3.9,IF(H3510="ILF",7.5,IF(H3510="EIF",5.4)))))))</f>
        <v/>
      </c>
      <c r="M3510" s="30" t="str">
        <f t="shared" si="373"/>
        <v/>
      </c>
      <c r="N3510" s="134"/>
      <c r="O3510" s="29"/>
      <c r="P3510" s="37" t="str">
        <f t="shared" si="374"/>
        <v/>
      </c>
      <c r="Q3510" s="38" t="str">
        <f t="shared" si="375"/>
        <v/>
      </c>
      <c r="R3510" s="37" t="str">
        <f t="shared" si="376"/>
        <v/>
      </c>
      <c r="S3510" s="37" t="str">
        <f t="shared" si="377"/>
        <v/>
      </c>
      <c r="T3510" s="38" t="str">
        <f t="shared" si="378"/>
        <v/>
      </c>
      <c r="U3510" s="37" t="str">
        <f t="shared" si="379"/>
        <v/>
      </c>
    </row>
    <row r="3511" spans="2:21" ht="17.25">
      <c r="B3511" s="156"/>
      <c r="C3511" s="156"/>
      <c r="D3511" s="157"/>
      <c r="E3511" s="155"/>
      <c r="F3511" s="151"/>
      <c r="G3511" s="152"/>
      <c r="H3511" s="153"/>
      <c r="I3511" s="154"/>
      <c r="J3511" s="154"/>
      <c r="K3511" s="30" t="str">
        <f>IF(H3511="","",IF($C$30="간이법","",FPR(H3511,I3511,J3511)))</f>
        <v/>
      </c>
      <c r="L3511" s="30" t="str">
        <f>IF(H3511="","",IF($C$30="상세법",FPV(H3511,K3511),IF(H3511="EI",4,IF(H3511="EO",5.2,IF(H3511="EQ",3.9,IF(H3511="ILF",7.5,IF(H3511="EIF",5.4)))))))</f>
        <v/>
      </c>
      <c r="M3511" s="30" t="str">
        <f t="shared" si="373"/>
        <v/>
      </c>
      <c r="N3511" s="134"/>
      <c r="O3511" s="29"/>
      <c r="P3511" s="37" t="str">
        <f t="shared" si="374"/>
        <v/>
      </c>
      <c r="Q3511" s="38" t="str">
        <f t="shared" si="375"/>
        <v/>
      </c>
      <c r="R3511" s="37" t="str">
        <f t="shared" si="376"/>
        <v/>
      </c>
      <c r="S3511" s="37" t="str">
        <f t="shared" si="377"/>
        <v/>
      </c>
      <c r="T3511" s="38" t="str">
        <f t="shared" si="378"/>
        <v/>
      </c>
      <c r="U3511" s="37" t="str">
        <f t="shared" si="379"/>
        <v/>
      </c>
    </row>
    <row r="3512" spans="2:21" ht="17.25">
      <c r="B3512" s="156"/>
      <c r="C3512" s="156"/>
      <c r="D3512" s="157"/>
      <c r="E3512" s="155"/>
      <c r="F3512" s="151"/>
      <c r="G3512" s="152"/>
      <c r="H3512" s="153"/>
      <c r="I3512" s="154"/>
      <c r="J3512" s="154"/>
      <c r="K3512" s="30" t="str">
        <f>IF(H3512="","",IF($C$30="간이법","",FPR(H3512,I3512,J3512)))</f>
        <v/>
      </c>
      <c r="L3512" s="30" t="str">
        <f>IF(H3512="","",IF($C$30="상세법",FPV(H3512,K3512),IF(H3512="EI",4,IF(H3512="EO",5.2,IF(H3512="EQ",3.9,IF(H3512="ILF",7.5,IF(H3512="EIF",5.4)))))))</f>
        <v/>
      </c>
      <c r="M3512" s="30" t="str">
        <f t="shared" si="373"/>
        <v/>
      </c>
      <c r="N3512" s="134"/>
      <c r="O3512" s="29"/>
      <c r="P3512" s="37" t="str">
        <f t="shared" si="374"/>
        <v/>
      </c>
      <c r="Q3512" s="38" t="str">
        <f t="shared" si="375"/>
        <v/>
      </c>
      <c r="R3512" s="37" t="str">
        <f t="shared" si="376"/>
        <v/>
      </c>
      <c r="S3512" s="37" t="str">
        <f t="shared" si="377"/>
        <v/>
      </c>
      <c r="T3512" s="38" t="str">
        <f t="shared" si="378"/>
        <v/>
      </c>
      <c r="U3512" s="37" t="str">
        <f t="shared" si="379"/>
        <v/>
      </c>
    </row>
    <row r="3513" spans="2:21" ht="17.25">
      <c r="B3513" s="156"/>
      <c r="C3513" s="156"/>
      <c r="D3513" s="157"/>
      <c r="E3513" s="155"/>
      <c r="F3513" s="151"/>
      <c r="G3513" s="152"/>
      <c r="H3513" s="153"/>
      <c r="I3513" s="154"/>
      <c r="J3513" s="154"/>
      <c r="K3513" s="30" t="str">
        <f>IF(H3513="","",IF($C$30="간이법","",FPR(H3513,I3513,J3513)))</f>
        <v/>
      </c>
      <c r="L3513" s="30" t="str">
        <f>IF(H3513="","",IF($C$30="상세법",FPV(H3513,K3513),IF(H3513="EI",4,IF(H3513="EO",5.2,IF(H3513="EQ",3.9,IF(H3513="ILF",7.5,IF(H3513="EIF",5.4)))))))</f>
        <v/>
      </c>
      <c r="M3513" s="30" t="str">
        <f t="shared" si="373"/>
        <v/>
      </c>
      <c r="N3513" s="134"/>
      <c r="O3513" s="29"/>
      <c r="P3513" s="37" t="str">
        <f t="shared" si="374"/>
        <v/>
      </c>
      <c r="Q3513" s="38" t="str">
        <f t="shared" si="375"/>
        <v/>
      </c>
      <c r="R3513" s="37" t="str">
        <f t="shared" si="376"/>
        <v/>
      </c>
      <c r="S3513" s="37" t="str">
        <f t="shared" si="377"/>
        <v/>
      </c>
      <c r="T3513" s="38" t="str">
        <f t="shared" si="378"/>
        <v/>
      </c>
      <c r="U3513" s="37" t="str">
        <f t="shared" si="379"/>
        <v/>
      </c>
    </row>
    <row r="3514" spans="2:21" ht="17.25">
      <c r="B3514" s="156"/>
      <c r="C3514" s="156"/>
      <c r="D3514" s="157"/>
      <c r="E3514" s="155"/>
      <c r="F3514" s="151"/>
      <c r="G3514" s="152"/>
      <c r="H3514" s="153"/>
      <c r="I3514" s="154"/>
      <c r="J3514" s="154"/>
      <c r="K3514" s="30" t="str">
        <f>IF(H3514="","",IF($C$30="간이법","",FPR(H3514,I3514,J3514)))</f>
        <v/>
      </c>
      <c r="L3514" s="30" t="str">
        <f>IF(H3514="","",IF($C$30="상세법",FPV(H3514,K3514),IF(H3514="EI",4,IF(H3514="EO",5.2,IF(H3514="EQ",3.9,IF(H3514="ILF",7.5,IF(H3514="EIF",5.4)))))))</f>
        <v/>
      </c>
      <c r="M3514" s="30" t="str">
        <f t="shared" si="373"/>
        <v/>
      </c>
      <c r="N3514" s="134"/>
      <c r="O3514" s="29"/>
      <c r="P3514" s="37" t="str">
        <f t="shared" si="374"/>
        <v/>
      </c>
      <c r="Q3514" s="38" t="str">
        <f t="shared" si="375"/>
        <v/>
      </c>
      <c r="R3514" s="37" t="str">
        <f t="shared" si="376"/>
        <v/>
      </c>
      <c r="S3514" s="37" t="str">
        <f t="shared" si="377"/>
        <v/>
      </c>
      <c r="T3514" s="38" t="str">
        <f t="shared" si="378"/>
        <v/>
      </c>
      <c r="U3514" s="37" t="str">
        <f t="shared" si="379"/>
        <v/>
      </c>
    </row>
    <row r="3515" spans="2:21" ht="17.25">
      <c r="B3515" s="156"/>
      <c r="C3515" s="156"/>
      <c r="D3515" s="157"/>
      <c r="E3515" s="155"/>
      <c r="F3515" s="151"/>
      <c r="G3515" s="152"/>
      <c r="H3515" s="153"/>
      <c r="I3515" s="154"/>
      <c r="J3515" s="154"/>
      <c r="K3515" s="30" t="str">
        <f>IF(H3515="","",IF($C$30="간이법","",FPR(H3515,I3515,J3515)))</f>
        <v/>
      </c>
      <c r="L3515" s="30" t="str">
        <f>IF(H3515="","",IF($C$30="상세법",FPV(H3515,K3515),IF(H3515="EI",4,IF(H3515="EO",5.2,IF(H3515="EQ",3.9,IF(H3515="ILF",7.5,IF(H3515="EIF",5.4)))))))</f>
        <v/>
      </c>
      <c r="M3515" s="30" t="str">
        <f t="shared" si="373"/>
        <v/>
      </c>
      <c r="N3515" s="134"/>
      <c r="O3515" s="29"/>
      <c r="P3515" s="37" t="str">
        <f t="shared" si="374"/>
        <v/>
      </c>
      <c r="Q3515" s="38" t="str">
        <f t="shared" si="375"/>
        <v/>
      </c>
      <c r="R3515" s="37" t="str">
        <f t="shared" si="376"/>
        <v/>
      </c>
      <c r="S3515" s="37" t="str">
        <f t="shared" si="377"/>
        <v/>
      </c>
      <c r="T3515" s="38" t="str">
        <f t="shared" si="378"/>
        <v/>
      </c>
      <c r="U3515" s="37" t="str">
        <f t="shared" si="379"/>
        <v/>
      </c>
    </row>
    <row r="3516" spans="2:21" ht="17.25">
      <c r="B3516" s="156"/>
      <c r="C3516" s="156"/>
      <c r="D3516" s="157"/>
      <c r="E3516" s="155"/>
      <c r="F3516" s="151"/>
      <c r="G3516" s="152"/>
      <c r="H3516" s="153"/>
      <c r="I3516" s="154"/>
      <c r="J3516" s="154"/>
      <c r="K3516" s="30" t="str">
        <f>IF(H3516="","",IF($C$30="간이법","",FPR(H3516,I3516,J3516)))</f>
        <v/>
      </c>
      <c r="L3516" s="30" t="str">
        <f>IF(H3516="","",IF($C$30="상세법",FPV(H3516,K3516),IF(H3516="EI",4,IF(H3516="EO",5.2,IF(H3516="EQ",3.9,IF(H3516="ILF",7.5,IF(H3516="EIF",5.4)))))))</f>
        <v/>
      </c>
      <c r="M3516" s="30" t="str">
        <f t="shared" ref="M3516:M3579" si="380">IF(OR(G3516="",$E$36="(선택)",$E$40="(선택)",$E$41="(선택)",F3516="신규 개발",F3516="수정 없이 재사용"),"",(IF(F3516="수정 후 재사용",IF($E$50&lt;=0.5,L3516*($E$36+$E$50*100*(1+0.02*($E$40*$E$41)))/100,L3516*($E$36+$E$50*100+($E$40*$E$41))/100))))</f>
        <v/>
      </c>
      <c r="N3516" s="134"/>
      <c r="O3516" s="29"/>
      <c r="P3516" s="37" t="str">
        <f t="shared" ref="P3516:P3579" si="381">IF(F3516="수정 후 재사용",IF(H3516="ILF",G3516,IF(H3516="EIF",G3516,"")),"")</f>
        <v/>
      </c>
      <c r="Q3516" s="38" t="str">
        <f t="shared" ref="Q3516:Q3579" si="382">IF(P3516&lt;&gt;"",IF(H3516="ILF", L3516/$E$46,IF(H3516="EIF", L3516/$E$46,"")),"")</f>
        <v/>
      </c>
      <c r="R3516" s="37" t="str">
        <f t="shared" ref="R3516:R3579" si="383">IF(P3516&lt;&gt;"",P3516*Q3516,"")</f>
        <v/>
      </c>
      <c r="S3516" s="37" t="str">
        <f t="shared" ref="S3516:S3579" si="384">IF(F3516="수정 후 재사용",IF(H3516="EI",G3516,IF(H3516="EO",G3516,IF(H3516="EQ",G3516,""))),"")</f>
        <v/>
      </c>
      <c r="T3516" s="38" t="str">
        <f t="shared" ref="T3516:T3579" si="385">IF(S3516&lt;&gt;"",IF(H3516="EI",L3516/$E$47,IF(H3516="EO",L3516/$E$47,IF(H3516="EQ",L3516/$E$47,""))),"")</f>
        <v/>
      </c>
      <c r="U3516" s="37" t="str">
        <f t="shared" ref="U3516:U3579" si="386">IF(S3516&lt;&gt;"",S3516*T3516,"")</f>
        <v/>
      </c>
    </row>
    <row r="3517" spans="2:21" ht="17.25">
      <c r="B3517" s="156"/>
      <c r="C3517" s="156"/>
      <c r="D3517" s="157"/>
      <c r="E3517" s="155"/>
      <c r="F3517" s="151"/>
      <c r="G3517" s="152"/>
      <c r="H3517" s="153"/>
      <c r="I3517" s="154"/>
      <c r="J3517" s="154"/>
      <c r="K3517" s="30" t="str">
        <f>IF(H3517="","",IF($C$30="간이법","",FPR(H3517,I3517,J3517)))</f>
        <v/>
      </c>
      <c r="L3517" s="30" t="str">
        <f>IF(H3517="","",IF($C$30="상세법",FPV(H3517,K3517),IF(H3517="EI",4,IF(H3517="EO",5.2,IF(H3517="EQ",3.9,IF(H3517="ILF",7.5,IF(H3517="EIF",5.4)))))))</f>
        <v/>
      </c>
      <c r="M3517" s="30" t="str">
        <f t="shared" si="380"/>
        <v/>
      </c>
      <c r="N3517" s="134"/>
      <c r="O3517" s="29"/>
      <c r="P3517" s="37" t="str">
        <f t="shared" si="381"/>
        <v/>
      </c>
      <c r="Q3517" s="38" t="str">
        <f t="shared" si="382"/>
        <v/>
      </c>
      <c r="R3517" s="37" t="str">
        <f t="shared" si="383"/>
        <v/>
      </c>
      <c r="S3517" s="37" t="str">
        <f t="shared" si="384"/>
        <v/>
      </c>
      <c r="T3517" s="38" t="str">
        <f t="shared" si="385"/>
        <v/>
      </c>
      <c r="U3517" s="37" t="str">
        <f t="shared" si="386"/>
        <v/>
      </c>
    </row>
    <row r="3518" spans="2:21" ht="17.25">
      <c r="B3518" s="156"/>
      <c r="C3518" s="156"/>
      <c r="D3518" s="157"/>
      <c r="E3518" s="155"/>
      <c r="F3518" s="151"/>
      <c r="G3518" s="152"/>
      <c r="H3518" s="153"/>
      <c r="I3518" s="154"/>
      <c r="J3518" s="154"/>
      <c r="K3518" s="30" t="str">
        <f>IF(H3518="","",IF($C$30="간이법","",FPR(H3518,I3518,J3518)))</f>
        <v/>
      </c>
      <c r="L3518" s="30" t="str">
        <f>IF(H3518="","",IF($C$30="상세법",FPV(H3518,K3518),IF(H3518="EI",4,IF(H3518="EO",5.2,IF(H3518="EQ",3.9,IF(H3518="ILF",7.5,IF(H3518="EIF",5.4)))))))</f>
        <v/>
      </c>
      <c r="M3518" s="30" t="str">
        <f t="shared" si="380"/>
        <v/>
      </c>
      <c r="N3518" s="134"/>
      <c r="O3518" s="29"/>
      <c r="P3518" s="37" t="str">
        <f t="shared" si="381"/>
        <v/>
      </c>
      <c r="Q3518" s="38" t="str">
        <f t="shared" si="382"/>
        <v/>
      </c>
      <c r="R3518" s="37" t="str">
        <f t="shared" si="383"/>
        <v/>
      </c>
      <c r="S3518" s="37" t="str">
        <f t="shared" si="384"/>
        <v/>
      </c>
      <c r="T3518" s="38" t="str">
        <f t="shared" si="385"/>
        <v/>
      </c>
      <c r="U3518" s="37" t="str">
        <f t="shared" si="386"/>
        <v/>
      </c>
    </row>
    <row r="3519" spans="2:21" ht="17.25">
      <c r="B3519" s="156"/>
      <c r="C3519" s="156"/>
      <c r="D3519" s="157"/>
      <c r="E3519" s="155"/>
      <c r="F3519" s="151"/>
      <c r="G3519" s="152"/>
      <c r="H3519" s="153"/>
      <c r="I3519" s="154"/>
      <c r="J3519" s="154"/>
      <c r="K3519" s="30" t="str">
        <f>IF(H3519="","",IF($C$30="간이법","",FPR(H3519,I3519,J3519)))</f>
        <v/>
      </c>
      <c r="L3519" s="30" t="str">
        <f>IF(H3519="","",IF($C$30="상세법",FPV(H3519,K3519),IF(H3519="EI",4,IF(H3519="EO",5.2,IF(H3519="EQ",3.9,IF(H3519="ILF",7.5,IF(H3519="EIF",5.4)))))))</f>
        <v/>
      </c>
      <c r="M3519" s="30" t="str">
        <f t="shared" si="380"/>
        <v/>
      </c>
      <c r="N3519" s="134"/>
      <c r="O3519" s="29"/>
      <c r="P3519" s="37" t="str">
        <f t="shared" si="381"/>
        <v/>
      </c>
      <c r="Q3519" s="38" t="str">
        <f t="shared" si="382"/>
        <v/>
      </c>
      <c r="R3519" s="37" t="str">
        <f t="shared" si="383"/>
        <v/>
      </c>
      <c r="S3519" s="37" t="str">
        <f t="shared" si="384"/>
        <v/>
      </c>
      <c r="T3519" s="38" t="str">
        <f t="shared" si="385"/>
        <v/>
      </c>
      <c r="U3519" s="37" t="str">
        <f t="shared" si="386"/>
        <v/>
      </c>
    </row>
    <row r="3520" spans="2:21" ht="17.25">
      <c r="B3520" s="156"/>
      <c r="C3520" s="156"/>
      <c r="D3520" s="157"/>
      <c r="E3520" s="155"/>
      <c r="F3520" s="151"/>
      <c r="G3520" s="152"/>
      <c r="H3520" s="153"/>
      <c r="I3520" s="154"/>
      <c r="J3520" s="154"/>
      <c r="K3520" s="30" t="str">
        <f>IF(H3520="","",IF($C$30="간이법","",FPR(H3520,I3520,J3520)))</f>
        <v/>
      </c>
      <c r="L3520" s="30" t="str">
        <f>IF(H3520="","",IF($C$30="상세법",FPV(H3520,K3520),IF(H3520="EI",4,IF(H3520="EO",5.2,IF(H3520="EQ",3.9,IF(H3520="ILF",7.5,IF(H3520="EIF",5.4)))))))</f>
        <v/>
      </c>
      <c r="M3520" s="30" t="str">
        <f t="shared" si="380"/>
        <v/>
      </c>
      <c r="N3520" s="134"/>
      <c r="O3520" s="29"/>
      <c r="P3520" s="37" t="str">
        <f t="shared" si="381"/>
        <v/>
      </c>
      <c r="Q3520" s="38" t="str">
        <f t="shared" si="382"/>
        <v/>
      </c>
      <c r="R3520" s="37" t="str">
        <f t="shared" si="383"/>
        <v/>
      </c>
      <c r="S3520" s="37" t="str">
        <f t="shared" si="384"/>
        <v/>
      </c>
      <c r="T3520" s="38" t="str">
        <f t="shared" si="385"/>
        <v/>
      </c>
      <c r="U3520" s="37" t="str">
        <f t="shared" si="386"/>
        <v/>
      </c>
    </row>
    <row r="3521" spans="2:21" ht="17.25">
      <c r="B3521" s="156"/>
      <c r="C3521" s="156"/>
      <c r="D3521" s="157"/>
      <c r="E3521" s="155"/>
      <c r="F3521" s="151"/>
      <c r="G3521" s="152"/>
      <c r="H3521" s="153"/>
      <c r="I3521" s="154"/>
      <c r="J3521" s="154"/>
      <c r="K3521" s="30" t="str">
        <f>IF(H3521="","",IF($C$30="간이법","",FPR(H3521,I3521,J3521)))</f>
        <v/>
      </c>
      <c r="L3521" s="30" t="str">
        <f>IF(H3521="","",IF($C$30="상세법",FPV(H3521,K3521),IF(H3521="EI",4,IF(H3521="EO",5.2,IF(H3521="EQ",3.9,IF(H3521="ILF",7.5,IF(H3521="EIF",5.4)))))))</f>
        <v/>
      </c>
      <c r="M3521" s="30" t="str">
        <f t="shared" si="380"/>
        <v/>
      </c>
      <c r="N3521" s="134"/>
      <c r="O3521" s="29"/>
      <c r="P3521" s="37" t="str">
        <f t="shared" si="381"/>
        <v/>
      </c>
      <c r="Q3521" s="38" t="str">
        <f t="shared" si="382"/>
        <v/>
      </c>
      <c r="R3521" s="37" t="str">
        <f t="shared" si="383"/>
        <v/>
      </c>
      <c r="S3521" s="37" t="str">
        <f t="shared" si="384"/>
        <v/>
      </c>
      <c r="T3521" s="38" t="str">
        <f t="shared" si="385"/>
        <v/>
      </c>
      <c r="U3521" s="37" t="str">
        <f t="shared" si="386"/>
        <v/>
      </c>
    </row>
    <row r="3522" spans="2:21" ht="17.25">
      <c r="B3522" s="156"/>
      <c r="C3522" s="156"/>
      <c r="D3522" s="157"/>
      <c r="E3522" s="155"/>
      <c r="F3522" s="151"/>
      <c r="G3522" s="152"/>
      <c r="H3522" s="153"/>
      <c r="I3522" s="154"/>
      <c r="J3522" s="154"/>
      <c r="K3522" s="30" t="str">
        <f>IF(H3522="","",IF($C$30="간이법","",FPR(H3522,I3522,J3522)))</f>
        <v/>
      </c>
      <c r="L3522" s="30" t="str">
        <f>IF(H3522="","",IF($C$30="상세법",FPV(H3522,K3522),IF(H3522="EI",4,IF(H3522="EO",5.2,IF(H3522="EQ",3.9,IF(H3522="ILF",7.5,IF(H3522="EIF",5.4)))))))</f>
        <v/>
      </c>
      <c r="M3522" s="30" t="str">
        <f t="shared" si="380"/>
        <v/>
      </c>
      <c r="N3522" s="134"/>
      <c r="O3522" s="29"/>
      <c r="P3522" s="37" t="str">
        <f t="shared" si="381"/>
        <v/>
      </c>
      <c r="Q3522" s="38" t="str">
        <f t="shared" si="382"/>
        <v/>
      </c>
      <c r="R3522" s="37" t="str">
        <f t="shared" si="383"/>
        <v/>
      </c>
      <c r="S3522" s="37" t="str">
        <f t="shared" si="384"/>
        <v/>
      </c>
      <c r="T3522" s="38" t="str">
        <f t="shared" si="385"/>
        <v/>
      </c>
      <c r="U3522" s="37" t="str">
        <f t="shared" si="386"/>
        <v/>
      </c>
    </row>
    <row r="3523" spans="2:21" ht="17.25">
      <c r="B3523" s="156"/>
      <c r="C3523" s="156"/>
      <c r="D3523" s="157"/>
      <c r="E3523" s="155"/>
      <c r="F3523" s="151"/>
      <c r="G3523" s="152"/>
      <c r="H3523" s="153"/>
      <c r="I3523" s="154"/>
      <c r="J3523" s="154"/>
      <c r="K3523" s="30" t="str">
        <f>IF(H3523="","",IF($C$30="간이법","",FPR(H3523,I3523,J3523)))</f>
        <v/>
      </c>
      <c r="L3523" s="30" t="str">
        <f>IF(H3523="","",IF($C$30="상세법",FPV(H3523,K3523),IF(H3523="EI",4,IF(H3523="EO",5.2,IF(H3523="EQ",3.9,IF(H3523="ILF",7.5,IF(H3523="EIF",5.4)))))))</f>
        <v/>
      </c>
      <c r="M3523" s="30" t="str">
        <f t="shared" si="380"/>
        <v/>
      </c>
      <c r="N3523" s="134"/>
      <c r="O3523" s="29"/>
      <c r="P3523" s="37" t="str">
        <f t="shared" si="381"/>
        <v/>
      </c>
      <c r="Q3523" s="38" t="str">
        <f t="shared" si="382"/>
        <v/>
      </c>
      <c r="R3523" s="37" t="str">
        <f t="shared" si="383"/>
        <v/>
      </c>
      <c r="S3523" s="37" t="str">
        <f t="shared" si="384"/>
        <v/>
      </c>
      <c r="T3523" s="38" t="str">
        <f t="shared" si="385"/>
        <v/>
      </c>
      <c r="U3523" s="37" t="str">
        <f t="shared" si="386"/>
        <v/>
      </c>
    </row>
    <row r="3524" spans="2:21" ht="17.25">
      <c r="B3524" s="156"/>
      <c r="C3524" s="156"/>
      <c r="D3524" s="157"/>
      <c r="E3524" s="155"/>
      <c r="F3524" s="151"/>
      <c r="G3524" s="152"/>
      <c r="H3524" s="153"/>
      <c r="I3524" s="154"/>
      <c r="J3524" s="154"/>
      <c r="K3524" s="30" t="str">
        <f>IF(H3524="","",IF($C$30="간이법","",FPR(H3524,I3524,J3524)))</f>
        <v/>
      </c>
      <c r="L3524" s="30" t="str">
        <f>IF(H3524="","",IF($C$30="상세법",FPV(H3524,K3524),IF(H3524="EI",4,IF(H3524="EO",5.2,IF(H3524="EQ",3.9,IF(H3524="ILF",7.5,IF(H3524="EIF",5.4)))))))</f>
        <v/>
      </c>
      <c r="M3524" s="30" t="str">
        <f t="shared" si="380"/>
        <v/>
      </c>
      <c r="N3524" s="134"/>
      <c r="O3524" s="29"/>
      <c r="P3524" s="37" t="str">
        <f t="shared" si="381"/>
        <v/>
      </c>
      <c r="Q3524" s="38" t="str">
        <f t="shared" si="382"/>
        <v/>
      </c>
      <c r="R3524" s="37" t="str">
        <f t="shared" si="383"/>
        <v/>
      </c>
      <c r="S3524" s="37" t="str">
        <f t="shared" si="384"/>
        <v/>
      </c>
      <c r="T3524" s="38" t="str">
        <f t="shared" si="385"/>
        <v/>
      </c>
      <c r="U3524" s="37" t="str">
        <f t="shared" si="386"/>
        <v/>
      </c>
    </row>
    <row r="3525" spans="2:21" ht="17.25">
      <c r="B3525" s="156"/>
      <c r="C3525" s="156"/>
      <c r="D3525" s="157"/>
      <c r="E3525" s="155"/>
      <c r="F3525" s="151"/>
      <c r="G3525" s="152"/>
      <c r="H3525" s="153"/>
      <c r="I3525" s="154"/>
      <c r="J3525" s="154"/>
      <c r="K3525" s="30" t="str">
        <f>IF(H3525="","",IF($C$30="간이법","",FPR(H3525,I3525,J3525)))</f>
        <v/>
      </c>
      <c r="L3525" s="30" t="str">
        <f>IF(H3525="","",IF($C$30="상세법",FPV(H3525,K3525),IF(H3525="EI",4,IF(H3525="EO",5.2,IF(H3525="EQ",3.9,IF(H3525="ILF",7.5,IF(H3525="EIF",5.4)))))))</f>
        <v/>
      </c>
      <c r="M3525" s="30" t="str">
        <f t="shared" si="380"/>
        <v/>
      </c>
      <c r="N3525" s="134"/>
      <c r="O3525" s="29"/>
      <c r="P3525" s="37" t="str">
        <f t="shared" si="381"/>
        <v/>
      </c>
      <c r="Q3525" s="38" t="str">
        <f t="shared" si="382"/>
        <v/>
      </c>
      <c r="R3525" s="37" t="str">
        <f t="shared" si="383"/>
        <v/>
      </c>
      <c r="S3525" s="37" t="str">
        <f t="shared" si="384"/>
        <v/>
      </c>
      <c r="T3525" s="38" t="str">
        <f t="shared" si="385"/>
        <v/>
      </c>
      <c r="U3525" s="37" t="str">
        <f t="shared" si="386"/>
        <v/>
      </c>
    </row>
    <row r="3526" spans="2:21" ht="17.25">
      <c r="B3526" s="156"/>
      <c r="C3526" s="156"/>
      <c r="D3526" s="157"/>
      <c r="E3526" s="155"/>
      <c r="F3526" s="151"/>
      <c r="G3526" s="152"/>
      <c r="H3526" s="153"/>
      <c r="I3526" s="154"/>
      <c r="J3526" s="154"/>
      <c r="K3526" s="30" t="str">
        <f>IF(H3526="","",IF($C$30="간이법","",FPR(H3526,I3526,J3526)))</f>
        <v/>
      </c>
      <c r="L3526" s="30" t="str">
        <f>IF(H3526="","",IF($C$30="상세법",FPV(H3526,K3526),IF(H3526="EI",4,IF(H3526="EO",5.2,IF(H3526="EQ",3.9,IF(H3526="ILF",7.5,IF(H3526="EIF",5.4)))))))</f>
        <v/>
      </c>
      <c r="M3526" s="30" t="str">
        <f t="shared" si="380"/>
        <v/>
      </c>
      <c r="N3526" s="134"/>
      <c r="O3526" s="29"/>
      <c r="P3526" s="37" t="str">
        <f t="shared" si="381"/>
        <v/>
      </c>
      <c r="Q3526" s="38" t="str">
        <f t="shared" si="382"/>
        <v/>
      </c>
      <c r="R3526" s="37" t="str">
        <f t="shared" si="383"/>
        <v/>
      </c>
      <c r="S3526" s="37" t="str">
        <f t="shared" si="384"/>
        <v/>
      </c>
      <c r="T3526" s="38" t="str">
        <f t="shared" si="385"/>
        <v/>
      </c>
      <c r="U3526" s="37" t="str">
        <f t="shared" si="386"/>
        <v/>
      </c>
    </row>
    <row r="3527" spans="2:21" ht="17.25">
      <c r="B3527" s="156"/>
      <c r="C3527" s="156"/>
      <c r="D3527" s="157"/>
      <c r="E3527" s="155"/>
      <c r="F3527" s="151"/>
      <c r="G3527" s="152"/>
      <c r="H3527" s="153"/>
      <c r="I3527" s="154"/>
      <c r="J3527" s="154"/>
      <c r="K3527" s="30" t="str">
        <f>IF(H3527="","",IF($C$30="간이법","",FPR(H3527,I3527,J3527)))</f>
        <v/>
      </c>
      <c r="L3527" s="30" t="str">
        <f>IF(H3527="","",IF($C$30="상세법",FPV(H3527,K3527),IF(H3527="EI",4,IF(H3527="EO",5.2,IF(H3527="EQ",3.9,IF(H3527="ILF",7.5,IF(H3527="EIF",5.4)))))))</f>
        <v/>
      </c>
      <c r="M3527" s="30" t="str">
        <f t="shared" si="380"/>
        <v/>
      </c>
      <c r="N3527" s="134"/>
      <c r="O3527" s="29"/>
      <c r="P3527" s="37" t="str">
        <f t="shared" si="381"/>
        <v/>
      </c>
      <c r="Q3527" s="38" t="str">
        <f t="shared" si="382"/>
        <v/>
      </c>
      <c r="R3527" s="37" t="str">
        <f t="shared" si="383"/>
        <v/>
      </c>
      <c r="S3527" s="37" t="str">
        <f t="shared" si="384"/>
        <v/>
      </c>
      <c r="T3527" s="38" t="str">
        <f t="shared" si="385"/>
        <v/>
      </c>
      <c r="U3527" s="37" t="str">
        <f t="shared" si="386"/>
        <v/>
      </c>
    </row>
    <row r="3528" spans="2:21" ht="17.25">
      <c r="B3528" s="156"/>
      <c r="C3528" s="156"/>
      <c r="D3528" s="157"/>
      <c r="E3528" s="155"/>
      <c r="F3528" s="151"/>
      <c r="G3528" s="152"/>
      <c r="H3528" s="153"/>
      <c r="I3528" s="154"/>
      <c r="J3528" s="154"/>
      <c r="K3528" s="30" t="str">
        <f>IF(H3528="","",IF($C$30="간이법","",FPR(H3528,I3528,J3528)))</f>
        <v/>
      </c>
      <c r="L3528" s="30" t="str">
        <f>IF(H3528="","",IF($C$30="상세법",FPV(H3528,K3528),IF(H3528="EI",4,IF(H3528="EO",5.2,IF(H3528="EQ",3.9,IF(H3528="ILF",7.5,IF(H3528="EIF",5.4)))))))</f>
        <v/>
      </c>
      <c r="M3528" s="30" t="str">
        <f t="shared" si="380"/>
        <v/>
      </c>
      <c r="N3528" s="134"/>
      <c r="O3528" s="29"/>
      <c r="P3528" s="37" t="str">
        <f t="shared" si="381"/>
        <v/>
      </c>
      <c r="Q3528" s="38" t="str">
        <f t="shared" si="382"/>
        <v/>
      </c>
      <c r="R3528" s="37" t="str">
        <f t="shared" si="383"/>
        <v/>
      </c>
      <c r="S3528" s="37" t="str">
        <f t="shared" si="384"/>
        <v/>
      </c>
      <c r="T3528" s="38" t="str">
        <f t="shared" si="385"/>
        <v/>
      </c>
      <c r="U3528" s="37" t="str">
        <f t="shared" si="386"/>
        <v/>
      </c>
    </row>
    <row r="3529" spans="2:21" ht="17.25">
      <c r="B3529" s="156"/>
      <c r="C3529" s="156"/>
      <c r="D3529" s="157"/>
      <c r="E3529" s="155"/>
      <c r="F3529" s="151"/>
      <c r="G3529" s="152"/>
      <c r="H3529" s="153"/>
      <c r="I3529" s="154"/>
      <c r="J3529" s="154"/>
      <c r="K3529" s="30" t="str">
        <f>IF(H3529="","",IF($C$30="간이법","",FPR(H3529,I3529,J3529)))</f>
        <v/>
      </c>
      <c r="L3529" s="30" t="str">
        <f>IF(H3529="","",IF($C$30="상세법",FPV(H3529,K3529),IF(H3529="EI",4,IF(H3529="EO",5.2,IF(H3529="EQ",3.9,IF(H3529="ILF",7.5,IF(H3529="EIF",5.4)))))))</f>
        <v/>
      </c>
      <c r="M3529" s="30" t="str">
        <f t="shared" si="380"/>
        <v/>
      </c>
      <c r="N3529" s="134"/>
      <c r="O3529" s="29"/>
      <c r="P3529" s="37" t="str">
        <f t="shared" si="381"/>
        <v/>
      </c>
      <c r="Q3529" s="38" t="str">
        <f t="shared" si="382"/>
        <v/>
      </c>
      <c r="R3529" s="37" t="str">
        <f t="shared" si="383"/>
        <v/>
      </c>
      <c r="S3529" s="37" t="str">
        <f t="shared" si="384"/>
        <v/>
      </c>
      <c r="T3529" s="38" t="str">
        <f t="shared" si="385"/>
        <v/>
      </c>
      <c r="U3529" s="37" t="str">
        <f t="shared" si="386"/>
        <v/>
      </c>
    </row>
    <row r="3530" spans="2:21" ht="17.25">
      <c r="B3530" s="156"/>
      <c r="C3530" s="156"/>
      <c r="D3530" s="157"/>
      <c r="E3530" s="155"/>
      <c r="F3530" s="151"/>
      <c r="G3530" s="152"/>
      <c r="H3530" s="153"/>
      <c r="I3530" s="154"/>
      <c r="J3530" s="154"/>
      <c r="K3530" s="30" t="str">
        <f>IF(H3530="","",IF($C$30="간이법","",FPR(H3530,I3530,J3530)))</f>
        <v/>
      </c>
      <c r="L3530" s="30" t="str">
        <f>IF(H3530="","",IF($C$30="상세법",FPV(H3530,K3530),IF(H3530="EI",4,IF(H3530="EO",5.2,IF(H3530="EQ",3.9,IF(H3530="ILF",7.5,IF(H3530="EIF",5.4)))))))</f>
        <v/>
      </c>
      <c r="M3530" s="30" t="str">
        <f t="shared" si="380"/>
        <v/>
      </c>
      <c r="N3530" s="134"/>
      <c r="O3530" s="29"/>
      <c r="P3530" s="37" t="str">
        <f t="shared" si="381"/>
        <v/>
      </c>
      <c r="Q3530" s="38" t="str">
        <f t="shared" si="382"/>
        <v/>
      </c>
      <c r="R3530" s="37" t="str">
        <f t="shared" si="383"/>
        <v/>
      </c>
      <c r="S3530" s="37" t="str">
        <f t="shared" si="384"/>
        <v/>
      </c>
      <c r="T3530" s="38" t="str">
        <f t="shared" si="385"/>
        <v/>
      </c>
      <c r="U3530" s="37" t="str">
        <f t="shared" si="386"/>
        <v/>
      </c>
    </row>
    <row r="3531" spans="2:21" ht="17.25">
      <c r="B3531" s="156"/>
      <c r="C3531" s="156"/>
      <c r="D3531" s="157"/>
      <c r="E3531" s="155"/>
      <c r="F3531" s="151"/>
      <c r="G3531" s="152"/>
      <c r="H3531" s="153"/>
      <c r="I3531" s="154"/>
      <c r="J3531" s="154"/>
      <c r="K3531" s="30" t="str">
        <f>IF(H3531="","",IF($C$30="간이법","",FPR(H3531,I3531,J3531)))</f>
        <v/>
      </c>
      <c r="L3531" s="30" t="str">
        <f>IF(H3531="","",IF($C$30="상세법",FPV(H3531,K3531),IF(H3531="EI",4,IF(H3531="EO",5.2,IF(H3531="EQ",3.9,IF(H3531="ILF",7.5,IF(H3531="EIF",5.4)))))))</f>
        <v/>
      </c>
      <c r="M3531" s="30" t="str">
        <f t="shared" si="380"/>
        <v/>
      </c>
      <c r="N3531" s="134"/>
      <c r="O3531" s="29"/>
      <c r="P3531" s="37" t="str">
        <f t="shared" si="381"/>
        <v/>
      </c>
      <c r="Q3531" s="38" t="str">
        <f t="shared" si="382"/>
        <v/>
      </c>
      <c r="R3531" s="37" t="str">
        <f t="shared" si="383"/>
        <v/>
      </c>
      <c r="S3531" s="37" t="str">
        <f t="shared" si="384"/>
        <v/>
      </c>
      <c r="T3531" s="38" t="str">
        <f t="shared" si="385"/>
        <v/>
      </c>
      <c r="U3531" s="37" t="str">
        <f t="shared" si="386"/>
        <v/>
      </c>
    </row>
    <row r="3532" spans="2:21" ht="17.25">
      <c r="B3532" s="156"/>
      <c r="C3532" s="156"/>
      <c r="D3532" s="157"/>
      <c r="E3532" s="155"/>
      <c r="F3532" s="151"/>
      <c r="G3532" s="152"/>
      <c r="H3532" s="153"/>
      <c r="I3532" s="154"/>
      <c r="J3532" s="154"/>
      <c r="K3532" s="30" t="str">
        <f>IF(H3532="","",IF($C$30="간이법","",FPR(H3532,I3532,J3532)))</f>
        <v/>
      </c>
      <c r="L3532" s="30" t="str">
        <f>IF(H3532="","",IF($C$30="상세법",FPV(H3532,K3532),IF(H3532="EI",4,IF(H3532="EO",5.2,IF(H3532="EQ",3.9,IF(H3532="ILF",7.5,IF(H3532="EIF",5.4)))))))</f>
        <v/>
      </c>
      <c r="M3532" s="30" t="str">
        <f t="shared" si="380"/>
        <v/>
      </c>
      <c r="N3532" s="134"/>
      <c r="O3532" s="29"/>
      <c r="P3532" s="37" t="str">
        <f t="shared" si="381"/>
        <v/>
      </c>
      <c r="Q3532" s="38" t="str">
        <f t="shared" si="382"/>
        <v/>
      </c>
      <c r="R3532" s="37" t="str">
        <f t="shared" si="383"/>
        <v/>
      </c>
      <c r="S3532" s="37" t="str">
        <f t="shared" si="384"/>
        <v/>
      </c>
      <c r="T3532" s="38" t="str">
        <f t="shared" si="385"/>
        <v/>
      </c>
      <c r="U3532" s="37" t="str">
        <f t="shared" si="386"/>
        <v/>
      </c>
    </row>
    <row r="3533" spans="2:21" ht="17.25">
      <c r="B3533" s="156"/>
      <c r="C3533" s="156"/>
      <c r="D3533" s="157"/>
      <c r="E3533" s="155"/>
      <c r="F3533" s="151"/>
      <c r="G3533" s="152"/>
      <c r="H3533" s="153"/>
      <c r="I3533" s="154"/>
      <c r="J3533" s="154"/>
      <c r="K3533" s="30" t="str">
        <f>IF(H3533="","",IF($C$30="간이법","",FPR(H3533,I3533,J3533)))</f>
        <v/>
      </c>
      <c r="L3533" s="30" t="str">
        <f>IF(H3533="","",IF($C$30="상세법",FPV(H3533,K3533),IF(H3533="EI",4,IF(H3533="EO",5.2,IF(H3533="EQ",3.9,IF(H3533="ILF",7.5,IF(H3533="EIF",5.4)))))))</f>
        <v/>
      </c>
      <c r="M3533" s="30" t="str">
        <f t="shared" si="380"/>
        <v/>
      </c>
      <c r="N3533" s="134"/>
      <c r="O3533" s="29"/>
      <c r="P3533" s="37" t="str">
        <f t="shared" si="381"/>
        <v/>
      </c>
      <c r="Q3533" s="38" t="str">
        <f t="shared" si="382"/>
        <v/>
      </c>
      <c r="R3533" s="37" t="str">
        <f t="shared" si="383"/>
        <v/>
      </c>
      <c r="S3533" s="37" t="str">
        <f t="shared" si="384"/>
        <v/>
      </c>
      <c r="T3533" s="38" t="str">
        <f t="shared" si="385"/>
        <v/>
      </c>
      <c r="U3533" s="37" t="str">
        <f t="shared" si="386"/>
        <v/>
      </c>
    </row>
    <row r="3534" spans="2:21" ht="17.25">
      <c r="B3534" s="156"/>
      <c r="C3534" s="156"/>
      <c r="D3534" s="157"/>
      <c r="E3534" s="155"/>
      <c r="F3534" s="151"/>
      <c r="G3534" s="152"/>
      <c r="H3534" s="153"/>
      <c r="I3534" s="154"/>
      <c r="J3534" s="154"/>
      <c r="K3534" s="30" t="str">
        <f>IF(H3534="","",IF($C$30="간이법","",FPR(H3534,I3534,J3534)))</f>
        <v/>
      </c>
      <c r="L3534" s="30" t="str">
        <f>IF(H3534="","",IF($C$30="상세법",FPV(H3534,K3534),IF(H3534="EI",4,IF(H3534="EO",5.2,IF(H3534="EQ",3.9,IF(H3534="ILF",7.5,IF(H3534="EIF",5.4)))))))</f>
        <v/>
      </c>
      <c r="M3534" s="30" t="str">
        <f t="shared" si="380"/>
        <v/>
      </c>
      <c r="N3534" s="134"/>
      <c r="O3534" s="29"/>
      <c r="P3534" s="37" t="str">
        <f t="shared" si="381"/>
        <v/>
      </c>
      <c r="Q3534" s="38" t="str">
        <f t="shared" si="382"/>
        <v/>
      </c>
      <c r="R3534" s="37" t="str">
        <f t="shared" si="383"/>
        <v/>
      </c>
      <c r="S3534" s="37" t="str">
        <f t="shared" si="384"/>
        <v/>
      </c>
      <c r="T3534" s="38" t="str">
        <f t="shared" si="385"/>
        <v/>
      </c>
      <c r="U3534" s="37" t="str">
        <f t="shared" si="386"/>
        <v/>
      </c>
    </row>
    <row r="3535" spans="2:21" ht="17.25">
      <c r="B3535" s="156"/>
      <c r="C3535" s="156"/>
      <c r="D3535" s="157"/>
      <c r="E3535" s="155"/>
      <c r="F3535" s="151"/>
      <c r="G3535" s="152"/>
      <c r="H3535" s="153"/>
      <c r="I3535" s="154"/>
      <c r="J3535" s="154"/>
      <c r="K3535" s="30" t="str">
        <f>IF(H3535="","",IF($C$30="간이법","",FPR(H3535,I3535,J3535)))</f>
        <v/>
      </c>
      <c r="L3535" s="30" t="str">
        <f>IF(H3535="","",IF($C$30="상세법",FPV(H3535,K3535),IF(H3535="EI",4,IF(H3535="EO",5.2,IF(H3535="EQ",3.9,IF(H3535="ILF",7.5,IF(H3535="EIF",5.4)))))))</f>
        <v/>
      </c>
      <c r="M3535" s="30" t="str">
        <f t="shared" si="380"/>
        <v/>
      </c>
      <c r="N3535" s="134"/>
      <c r="O3535" s="29"/>
      <c r="P3535" s="37" t="str">
        <f t="shared" si="381"/>
        <v/>
      </c>
      <c r="Q3535" s="38" t="str">
        <f t="shared" si="382"/>
        <v/>
      </c>
      <c r="R3535" s="37" t="str">
        <f t="shared" si="383"/>
        <v/>
      </c>
      <c r="S3535" s="37" t="str">
        <f t="shared" si="384"/>
        <v/>
      </c>
      <c r="T3535" s="38" t="str">
        <f t="shared" si="385"/>
        <v/>
      </c>
      <c r="U3535" s="37" t="str">
        <f t="shared" si="386"/>
        <v/>
      </c>
    </row>
    <row r="3536" spans="2:21" ht="17.25">
      <c r="B3536" s="156"/>
      <c r="C3536" s="156"/>
      <c r="D3536" s="157"/>
      <c r="E3536" s="155"/>
      <c r="F3536" s="151"/>
      <c r="G3536" s="152"/>
      <c r="H3536" s="153"/>
      <c r="I3536" s="154"/>
      <c r="J3536" s="154"/>
      <c r="K3536" s="30" t="str">
        <f>IF(H3536="","",IF($C$30="간이법","",FPR(H3536,I3536,J3536)))</f>
        <v/>
      </c>
      <c r="L3536" s="30" t="str">
        <f>IF(H3536="","",IF($C$30="상세법",FPV(H3536,K3536),IF(H3536="EI",4,IF(H3536="EO",5.2,IF(H3536="EQ",3.9,IF(H3536="ILF",7.5,IF(H3536="EIF",5.4)))))))</f>
        <v/>
      </c>
      <c r="M3536" s="30" t="str">
        <f t="shared" si="380"/>
        <v/>
      </c>
      <c r="N3536" s="134"/>
      <c r="O3536" s="29"/>
      <c r="P3536" s="37" t="str">
        <f t="shared" si="381"/>
        <v/>
      </c>
      <c r="Q3536" s="38" t="str">
        <f t="shared" si="382"/>
        <v/>
      </c>
      <c r="R3536" s="37" t="str">
        <f t="shared" si="383"/>
        <v/>
      </c>
      <c r="S3536" s="37" t="str">
        <f t="shared" si="384"/>
        <v/>
      </c>
      <c r="T3536" s="38" t="str">
        <f t="shared" si="385"/>
        <v/>
      </c>
      <c r="U3536" s="37" t="str">
        <f t="shared" si="386"/>
        <v/>
      </c>
    </row>
    <row r="3537" spans="2:21" ht="17.25">
      <c r="B3537" s="156"/>
      <c r="C3537" s="156"/>
      <c r="D3537" s="157"/>
      <c r="E3537" s="155"/>
      <c r="F3537" s="151"/>
      <c r="G3537" s="152"/>
      <c r="H3537" s="153"/>
      <c r="I3537" s="154"/>
      <c r="J3537" s="154"/>
      <c r="K3537" s="30" t="str">
        <f>IF(H3537="","",IF($C$30="간이법","",FPR(H3537,I3537,J3537)))</f>
        <v/>
      </c>
      <c r="L3537" s="30" t="str">
        <f>IF(H3537="","",IF($C$30="상세법",FPV(H3537,K3537),IF(H3537="EI",4,IF(H3537="EO",5.2,IF(H3537="EQ",3.9,IF(H3537="ILF",7.5,IF(H3537="EIF",5.4)))))))</f>
        <v/>
      </c>
      <c r="M3537" s="30" t="str">
        <f t="shared" si="380"/>
        <v/>
      </c>
      <c r="N3537" s="134"/>
      <c r="O3537" s="29"/>
      <c r="P3537" s="37" t="str">
        <f t="shared" si="381"/>
        <v/>
      </c>
      <c r="Q3537" s="38" t="str">
        <f t="shared" si="382"/>
        <v/>
      </c>
      <c r="R3537" s="37" t="str">
        <f t="shared" si="383"/>
        <v/>
      </c>
      <c r="S3537" s="37" t="str">
        <f t="shared" si="384"/>
        <v/>
      </c>
      <c r="T3537" s="38" t="str">
        <f t="shared" si="385"/>
        <v/>
      </c>
      <c r="U3537" s="37" t="str">
        <f t="shared" si="386"/>
        <v/>
      </c>
    </row>
    <row r="3538" spans="2:21" ht="17.25">
      <c r="B3538" s="156"/>
      <c r="C3538" s="156"/>
      <c r="D3538" s="157"/>
      <c r="E3538" s="155"/>
      <c r="F3538" s="151"/>
      <c r="G3538" s="152"/>
      <c r="H3538" s="153"/>
      <c r="I3538" s="154"/>
      <c r="J3538" s="154"/>
      <c r="K3538" s="30" t="str">
        <f>IF(H3538="","",IF($C$30="간이법","",FPR(H3538,I3538,J3538)))</f>
        <v/>
      </c>
      <c r="L3538" s="30" t="str">
        <f>IF(H3538="","",IF($C$30="상세법",FPV(H3538,K3538),IF(H3538="EI",4,IF(H3538="EO",5.2,IF(H3538="EQ",3.9,IF(H3538="ILF",7.5,IF(H3538="EIF",5.4)))))))</f>
        <v/>
      </c>
      <c r="M3538" s="30" t="str">
        <f t="shared" si="380"/>
        <v/>
      </c>
      <c r="N3538" s="134"/>
      <c r="O3538" s="29"/>
      <c r="P3538" s="37" t="str">
        <f t="shared" si="381"/>
        <v/>
      </c>
      <c r="Q3538" s="38" t="str">
        <f t="shared" si="382"/>
        <v/>
      </c>
      <c r="R3538" s="37" t="str">
        <f t="shared" si="383"/>
        <v/>
      </c>
      <c r="S3538" s="37" t="str">
        <f t="shared" si="384"/>
        <v/>
      </c>
      <c r="T3538" s="38" t="str">
        <f t="shared" si="385"/>
        <v/>
      </c>
      <c r="U3538" s="37" t="str">
        <f t="shared" si="386"/>
        <v/>
      </c>
    </row>
    <row r="3539" spans="2:21" ht="17.25">
      <c r="B3539" s="156"/>
      <c r="C3539" s="156"/>
      <c r="D3539" s="157"/>
      <c r="E3539" s="155"/>
      <c r="F3539" s="151"/>
      <c r="G3539" s="152"/>
      <c r="H3539" s="153"/>
      <c r="I3539" s="154"/>
      <c r="J3539" s="154"/>
      <c r="K3539" s="30" t="str">
        <f>IF(H3539="","",IF($C$30="간이법","",FPR(H3539,I3539,J3539)))</f>
        <v/>
      </c>
      <c r="L3539" s="30" t="str">
        <f>IF(H3539="","",IF($C$30="상세법",FPV(H3539,K3539),IF(H3539="EI",4,IF(H3539="EO",5.2,IF(H3539="EQ",3.9,IF(H3539="ILF",7.5,IF(H3539="EIF",5.4)))))))</f>
        <v/>
      </c>
      <c r="M3539" s="30" t="str">
        <f t="shared" si="380"/>
        <v/>
      </c>
      <c r="N3539" s="134"/>
      <c r="O3539" s="29"/>
      <c r="P3539" s="37" t="str">
        <f t="shared" si="381"/>
        <v/>
      </c>
      <c r="Q3539" s="38" t="str">
        <f t="shared" si="382"/>
        <v/>
      </c>
      <c r="R3539" s="37" t="str">
        <f t="shared" si="383"/>
        <v/>
      </c>
      <c r="S3539" s="37" t="str">
        <f t="shared" si="384"/>
        <v/>
      </c>
      <c r="T3539" s="38" t="str">
        <f t="shared" si="385"/>
        <v/>
      </c>
      <c r="U3539" s="37" t="str">
        <f t="shared" si="386"/>
        <v/>
      </c>
    </row>
    <row r="3540" spans="2:21" ht="17.25">
      <c r="B3540" s="156"/>
      <c r="C3540" s="156"/>
      <c r="D3540" s="157"/>
      <c r="E3540" s="155"/>
      <c r="F3540" s="151"/>
      <c r="G3540" s="152"/>
      <c r="H3540" s="153"/>
      <c r="I3540" s="154"/>
      <c r="J3540" s="154"/>
      <c r="K3540" s="30" t="str">
        <f>IF(H3540="","",IF($C$30="간이법","",FPR(H3540,I3540,J3540)))</f>
        <v/>
      </c>
      <c r="L3540" s="30" t="str">
        <f>IF(H3540="","",IF($C$30="상세법",FPV(H3540,K3540),IF(H3540="EI",4,IF(H3540="EO",5.2,IF(H3540="EQ",3.9,IF(H3540="ILF",7.5,IF(H3540="EIF",5.4)))))))</f>
        <v/>
      </c>
      <c r="M3540" s="30" t="str">
        <f t="shared" si="380"/>
        <v/>
      </c>
      <c r="N3540" s="134"/>
      <c r="O3540" s="29"/>
      <c r="P3540" s="37" t="str">
        <f t="shared" si="381"/>
        <v/>
      </c>
      <c r="Q3540" s="38" t="str">
        <f t="shared" si="382"/>
        <v/>
      </c>
      <c r="R3540" s="37" t="str">
        <f t="shared" si="383"/>
        <v/>
      </c>
      <c r="S3540" s="37" t="str">
        <f t="shared" si="384"/>
        <v/>
      </c>
      <c r="T3540" s="38" t="str">
        <f t="shared" si="385"/>
        <v/>
      </c>
      <c r="U3540" s="37" t="str">
        <f t="shared" si="386"/>
        <v/>
      </c>
    </row>
    <row r="3541" spans="2:21" ht="17.25">
      <c r="B3541" s="156"/>
      <c r="C3541" s="156"/>
      <c r="D3541" s="157"/>
      <c r="E3541" s="155"/>
      <c r="F3541" s="151"/>
      <c r="G3541" s="152"/>
      <c r="H3541" s="153"/>
      <c r="I3541" s="154"/>
      <c r="J3541" s="154"/>
      <c r="K3541" s="30" t="str">
        <f>IF(H3541="","",IF($C$30="간이법","",FPR(H3541,I3541,J3541)))</f>
        <v/>
      </c>
      <c r="L3541" s="30" t="str">
        <f>IF(H3541="","",IF($C$30="상세법",FPV(H3541,K3541),IF(H3541="EI",4,IF(H3541="EO",5.2,IF(H3541="EQ",3.9,IF(H3541="ILF",7.5,IF(H3541="EIF",5.4)))))))</f>
        <v/>
      </c>
      <c r="M3541" s="30" t="str">
        <f t="shared" si="380"/>
        <v/>
      </c>
      <c r="N3541" s="134"/>
      <c r="O3541" s="29"/>
      <c r="P3541" s="37" t="str">
        <f t="shared" si="381"/>
        <v/>
      </c>
      <c r="Q3541" s="38" t="str">
        <f t="shared" si="382"/>
        <v/>
      </c>
      <c r="R3541" s="37" t="str">
        <f t="shared" si="383"/>
        <v/>
      </c>
      <c r="S3541" s="37" t="str">
        <f t="shared" si="384"/>
        <v/>
      </c>
      <c r="T3541" s="38" t="str">
        <f t="shared" si="385"/>
        <v/>
      </c>
      <c r="U3541" s="37" t="str">
        <f t="shared" si="386"/>
        <v/>
      </c>
    </row>
    <row r="3542" spans="2:21" ht="17.25">
      <c r="B3542" s="156"/>
      <c r="C3542" s="156"/>
      <c r="D3542" s="157"/>
      <c r="E3542" s="155"/>
      <c r="F3542" s="151"/>
      <c r="G3542" s="152"/>
      <c r="H3542" s="153"/>
      <c r="I3542" s="154"/>
      <c r="J3542" s="154"/>
      <c r="K3542" s="30" t="str">
        <f>IF(H3542="","",IF($C$30="간이법","",FPR(H3542,I3542,J3542)))</f>
        <v/>
      </c>
      <c r="L3542" s="30" t="str">
        <f>IF(H3542="","",IF($C$30="상세법",FPV(H3542,K3542),IF(H3542="EI",4,IF(H3542="EO",5.2,IF(H3542="EQ",3.9,IF(H3542="ILF",7.5,IF(H3542="EIF",5.4)))))))</f>
        <v/>
      </c>
      <c r="M3542" s="30" t="str">
        <f t="shared" si="380"/>
        <v/>
      </c>
      <c r="N3542" s="134"/>
      <c r="O3542" s="29"/>
      <c r="P3542" s="37" t="str">
        <f t="shared" si="381"/>
        <v/>
      </c>
      <c r="Q3542" s="38" t="str">
        <f t="shared" si="382"/>
        <v/>
      </c>
      <c r="R3542" s="37" t="str">
        <f t="shared" si="383"/>
        <v/>
      </c>
      <c r="S3542" s="37" t="str">
        <f t="shared" si="384"/>
        <v/>
      </c>
      <c r="T3542" s="38" t="str">
        <f t="shared" si="385"/>
        <v/>
      </c>
      <c r="U3542" s="37" t="str">
        <f t="shared" si="386"/>
        <v/>
      </c>
    </row>
    <row r="3543" spans="2:21" ht="17.25">
      <c r="B3543" s="156"/>
      <c r="C3543" s="156"/>
      <c r="D3543" s="157"/>
      <c r="E3543" s="155"/>
      <c r="F3543" s="151"/>
      <c r="G3543" s="152"/>
      <c r="H3543" s="153"/>
      <c r="I3543" s="154"/>
      <c r="J3543" s="154"/>
      <c r="K3543" s="30" t="str">
        <f>IF(H3543="","",IF($C$30="간이법","",FPR(H3543,I3543,J3543)))</f>
        <v/>
      </c>
      <c r="L3543" s="30" t="str">
        <f>IF(H3543="","",IF($C$30="상세법",FPV(H3543,K3543),IF(H3543="EI",4,IF(H3543="EO",5.2,IF(H3543="EQ",3.9,IF(H3543="ILF",7.5,IF(H3543="EIF",5.4)))))))</f>
        <v/>
      </c>
      <c r="M3543" s="30" t="str">
        <f t="shared" si="380"/>
        <v/>
      </c>
      <c r="N3543" s="134"/>
      <c r="O3543" s="29"/>
      <c r="P3543" s="37" t="str">
        <f t="shared" si="381"/>
        <v/>
      </c>
      <c r="Q3543" s="38" t="str">
        <f t="shared" si="382"/>
        <v/>
      </c>
      <c r="R3543" s="37" t="str">
        <f t="shared" si="383"/>
        <v/>
      </c>
      <c r="S3543" s="37" t="str">
        <f t="shared" si="384"/>
        <v/>
      </c>
      <c r="T3543" s="38" t="str">
        <f t="shared" si="385"/>
        <v/>
      </c>
      <c r="U3543" s="37" t="str">
        <f t="shared" si="386"/>
        <v/>
      </c>
    </row>
    <row r="3544" spans="2:21" ht="17.25">
      <c r="B3544" s="156"/>
      <c r="C3544" s="156"/>
      <c r="D3544" s="157"/>
      <c r="E3544" s="155"/>
      <c r="F3544" s="151"/>
      <c r="G3544" s="152"/>
      <c r="H3544" s="153"/>
      <c r="I3544" s="154"/>
      <c r="J3544" s="154"/>
      <c r="K3544" s="30" t="str">
        <f>IF(H3544="","",IF($C$30="간이법","",FPR(H3544,I3544,J3544)))</f>
        <v/>
      </c>
      <c r="L3544" s="30" t="str">
        <f>IF(H3544="","",IF($C$30="상세법",FPV(H3544,K3544),IF(H3544="EI",4,IF(H3544="EO",5.2,IF(H3544="EQ",3.9,IF(H3544="ILF",7.5,IF(H3544="EIF",5.4)))))))</f>
        <v/>
      </c>
      <c r="M3544" s="30" t="str">
        <f t="shared" si="380"/>
        <v/>
      </c>
      <c r="N3544" s="134"/>
      <c r="O3544" s="29"/>
      <c r="P3544" s="37" t="str">
        <f t="shared" si="381"/>
        <v/>
      </c>
      <c r="Q3544" s="38" t="str">
        <f t="shared" si="382"/>
        <v/>
      </c>
      <c r="R3544" s="37" t="str">
        <f t="shared" si="383"/>
        <v/>
      </c>
      <c r="S3544" s="37" t="str">
        <f t="shared" si="384"/>
        <v/>
      </c>
      <c r="T3544" s="38" t="str">
        <f t="shared" si="385"/>
        <v/>
      </c>
      <c r="U3544" s="37" t="str">
        <f t="shared" si="386"/>
        <v/>
      </c>
    </row>
    <row r="3545" spans="2:21" ht="17.25">
      <c r="B3545" s="156"/>
      <c r="C3545" s="156"/>
      <c r="D3545" s="157"/>
      <c r="E3545" s="155"/>
      <c r="F3545" s="151"/>
      <c r="G3545" s="152"/>
      <c r="H3545" s="153"/>
      <c r="I3545" s="154"/>
      <c r="J3545" s="154"/>
      <c r="K3545" s="30" t="str">
        <f>IF(H3545="","",IF($C$30="간이법","",FPR(H3545,I3545,J3545)))</f>
        <v/>
      </c>
      <c r="L3545" s="30" t="str">
        <f>IF(H3545="","",IF($C$30="상세법",FPV(H3545,K3545),IF(H3545="EI",4,IF(H3545="EO",5.2,IF(H3545="EQ",3.9,IF(H3545="ILF",7.5,IF(H3545="EIF",5.4)))))))</f>
        <v/>
      </c>
      <c r="M3545" s="30" t="str">
        <f t="shared" si="380"/>
        <v/>
      </c>
      <c r="N3545" s="134"/>
      <c r="O3545" s="29"/>
      <c r="P3545" s="37" t="str">
        <f t="shared" si="381"/>
        <v/>
      </c>
      <c r="Q3545" s="38" t="str">
        <f t="shared" si="382"/>
        <v/>
      </c>
      <c r="R3545" s="37" t="str">
        <f t="shared" si="383"/>
        <v/>
      </c>
      <c r="S3545" s="37" t="str">
        <f t="shared" si="384"/>
        <v/>
      </c>
      <c r="T3545" s="38" t="str">
        <f t="shared" si="385"/>
        <v/>
      </c>
      <c r="U3545" s="37" t="str">
        <f t="shared" si="386"/>
        <v/>
      </c>
    </row>
    <row r="3546" spans="2:21" ht="17.25">
      <c r="B3546" s="156"/>
      <c r="C3546" s="156"/>
      <c r="D3546" s="157"/>
      <c r="E3546" s="155"/>
      <c r="F3546" s="151"/>
      <c r="G3546" s="152"/>
      <c r="H3546" s="153"/>
      <c r="I3546" s="154"/>
      <c r="J3546" s="154"/>
      <c r="K3546" s="30" t="str">
        <f>IF(H3546="","",IF($C$30="간이법","",FPR(H3546,I3546,J3546)))</f>
        <v/>
      </c>
      <c r="L3546" s="30" t="str">
        <f>IF(H3546="","",IF($C$30="상세법",FPV(H3546,K3546),IF(H3546="EI",4,IF(H3546="EO",5.2,IF(H3546="EQ",3.9,IF(H3546="ILF",7.5,IF(H3546="EIF",5.4)))))))</f>
        <v/>
      </c>
      <c r="M3546" s="30" t="str">
        <f t="shared" si="380"/>
        <v/>
      </c>
      <c r="N3546" s="134"/>
      <c r="O3546" s="29"/>
      <c r="P3546" s="37" t="str">
        <f t="shared" si="381"/>
        <v/>
      </c>
      <c r="Q3546" s="38" t="str">
        <f t="shared" si="382"/>
        <v/>
      </c>
      <c r="R3546" s="37" t="str">
        <f t="shared" si="383"/>
        <v/>
      </c>
      <c r="S3546" s="37" t="str">
        <f t="shared" si="384"/>
        <v/>
      </c>
      <c r="T3546" s="38" t="str">
        <f t="shared" si="385"/>
        <v/>
      </c>
      <c r="U3546" s="37" t="str">
        <f t="shared" si="386"/>
        <v/>
      </c>
    </row>
    <row r="3547" spans="2:21" ht="17.25">
      <c r="B3547" s="156"/>
      <c r="C3547" s="156"/>
      <c r="D3547" s="157"/>
      <c r="E3547" s="155"/>
      <c r="F3547" s="151"/>
      <c r="G3547" s="152"/>
      <c r="H3547" s="153"/>
      <c r="I3547" s="154"/>
      <c r="J3547" s="154"/>
      <c r="K3547" s="30" t="str">
        <f>IF(H3547="","",IF($C$30="간이법","",FPR(H3547,I3547,J3547)))</f>
        <v/>
      </c>
      <c r="L3547" s="30" t="str">
        <f>IF(H3547="","",IF($C$30="상세법",FPV(H3547,K3547),IF(H3547="EI",4,IF(H3547="EO",5.2,IF(H3547="EQ",3.9,IF(H3547="ILF",7.5,IF(H3547="EIF",5.4)))))))</f>
        <v/>
      </c>
      <c r="M3547" s="30" t="str">
        <f t="shared" si="380"/>
        <v/>
      </c>
      <c r="N3547" s="134"/>
      <c r="O3547" s="29"/>
      <c r="P3547" s="37" t="str">
        <f t="shared" si="381"/>
        <v/>
      </c>
      <c r="Q3547" s="38" t="str">
        <f t="shared" si="382"/>
        <v/>
      </c>
      <c r="R3547" s="37" t="str">
        <f t="shared" si="383"/>
        <v/>
      </c>
      <c r="S3547" s="37" t="str">
        <f t="shared" si="384"/>
        <v/>
      </c>
      <c r="T3547" s="38" t="str">
        <f t="shared" si="385"/>
        <v/>
      </c>
      <c r="U3547" s="37" t="str">
        <f t="shared" si="386"/>
        <v/>
      </c>
    </row>
    <row r="3548" spans="2:21" ht="17.25">
      <c r="B3548" s="156"/>
      <c r="C3548" s="156"/>
      <c r="D3548" s="157"/>
      <c r="E3548" s="155"/>
      <c r="F3548" s="151"/>
      <c r="G3548" s="152"/>
      <c r="H3548" s="153"/>
      <c r="I3548" s="154"/>
      <c r="J3548" s="154"/>
      <c r="K3548" s="30" t="str">
        <f>IF(H3548="","",IF($C$30="간이법","",FPR(H3548,I3548,J3548)))</f>
        <v/>
      </c>
      <c r="L3548" s="30" t="str">
        <f>IF(H3548="","",IF($C$30="상세법",FPV(H3548,K3548),IF(H3548="EI",4,IF(H3548="EO",5.2,IF(H3548="EQ",3.9,IF(H3548="ILF",7.5,IF(H3548="EIF",5.4)))))))</f>
        <v/>
      </c>
      <c r="M3548" s="30" t="str">
        <f t="shared" si="380"/>
        <v/>
      </c>
      <c r="N3548" s="134"/>
      <c r="O3548" s="29"/>
      <c r="P3548" s="37" t="str">
        <f t="shared" si="381"/>
        <v/>
      </c>
      <c r="Q3548" s="38" t="str">
        <f t="shared" si="382"/>
        <v/>
      </c>
      <c r="R3548" s="37" t="str">
        <f t="shared" si="383"/>
        <v/>
      </c>
      <c r="S3548" s="37" t="str">
        <f t="shared" si="384"/>
        <v/>
      </c>
      <c r="T3548" s="38" t="str">
        <f t="shared" si="385"/>
        <v/>
      </c>
      <c r="U3548" s="37" t="str">
        <f t="shared" si="386"/>
        <v/>
      </c>
    </row>
    <row r="3549" spans="2:21" ht="17.25">
      <c r="B3549" s="156"/>
      <c r="C3549" s="156"/>
      <c r="D3549" s="157"/>
      <c r="E3549" s="155"/>
      <c r="F3549" s="151"/>
      <c r="G3549" s="152"/>
      <c r="H3549" s="153"/>
      <c r="I3549" s="154"/>
      <c r="J3549" s="154"/>
      <c r="K3549" s="30" t="str">
        <f>IF(H3549="","",IF($C$30="간이법","",FPR(H3549,I3549,J3549)))</f>
        <v/>
      </c>
      <c r="L3549" s="30" t="str">
        <f>IF(H3549="","",IF($C$30="상세법",FPV(H3549,K3549),IF(H3549="EI",4,IF(H3549="EO",5.2,IF(H3549="EQ",3.9,IF(H3549="ILF",7.5,IF(H3549="EIF",5.4)))))))</f>
        <v/>
      </c>
      <c r="M3549" s="30" t="str">
        <f t="shared" si="380"/>
        <v/>
      </c>
      <c r="N3549" s="134"/>
      <c r="O3549" s="29"/>
      <c r="P3549" s="37" t="str">
        <f t="shared" si="381"/>
        <v/>
      </c>
      <c r="Q3549" s="38" t="str">
        <f t="shared" si="382"/>
        <v/>
      </c>
      <c r="R3549" s="37" t="str">
        <f t="shared" si="383"/>
        <v/>
      </c>
      <c r="S3549" s="37" t="str">
        <f t="shared" si="384"/>
        <v/>
      </c>
      <c r="T3549" s="38" t="str">
        <f t="shared" si="385"/>
        <v/>
      </c>
      <c r="U3549" s="37" t="str">
        <f t="shared" si="386"/>
        <v/>
      </c>
    </row>
    <row r="3550" spans="2:21" ht="17.25">
      <c r="B3550" s="156"/>
      <c r="C3550" s="156"/>
      <c r="D3550" s="157"/>
      <c r="E3550" s="155"/>
      <c r="F3550" s="151"/>
      <c r="G3550" s="152"/>
      <c r="H3550" s="153"/>
      <c r="I3550" s="154"/>
      <c r="J3550" s="154"/>
      <c r="K3550" s="30" t="str">
        <f>IF(H3550="","",IF($C$30="간이법","",FPR(H3550,I3550,J3550)))</f>
        <v/>
      </c>
      <c r="L3550" s="30" t="str">
        <f>IF(H3550="","",IF($C$30="상세법",FPV(H3550,K3550),IF(H3550="EI",4,IF(H3550="EO",5.2,IF(H3550="EQ",3.9,IF(H3550="ILF",7.5,IF(H3550="EIF",5.4)))))))</f>
        <v/>
      </c>
      <c r="M3550" s="30" t="str">
        <f t="shared" si="380"/>
        <v/>
      </c>
      <c r="N3550" s="134"/>
      <c r="O3550" s="29"/>
      <c r="P3550" s="37" t="str">
        <f t="shared" si="381"/>
        <v/>
      </c>
      <c r="Q3550" s="38" t="str">
        <f t="shared" si="382"/>
        <v/>
      </c>
      <c r="R3550" s="37" t="str">
        <f t="shared" si="383"/>
        <v/>
      </c>
      <c r="S3550" s="37" t="str">
        <f t="shared" si="384"/>
        <v/>
      </c>
      <c r="T3550" s="38" t="str">
        <f t="shared" si="385"/>
        <v/>
      </c>
      <c r="U3550" s="37" t="str">
        <f t="shared" si="386"/>
        <v/>
      </c>
    </row>
    <row r="3551" spans="2:21" ht="17.25">
      <c r="B3551" s="156"/>
      <c r="C3551" s="156"/>
      <c r="D3551" s="157"/>
      <c r="E3551" s="155"/>
      <c r="F3551" s="151"/>
      <c r="G3551" s="152"/>
      <c r="H3551" s="153"/>
      <c r="I3551" s="154"/>
      <c r="J3551" s="154"/>
      <c r="K3551" s="30" t="str">
        <f>IF(H3551="","",IF($C$30="간이법","",FPR(H3551,I3551,J3551)))</f>
        <v/>
      </c>
      <c r="L3551" s="30" t="str">
        <f>IF(H3551="","",IF($C$30="상세법",FPV(H3551,K3551),IF(H3551="EI",4,IF(H3551="EO",5.2,IF(H3551="EQ",3.9,IF(H3551="ILF",7.5,IF(H3551="EIF",5.4)))))))</f>
        <v/>
      </c>
      <c r="M3551" s="30" t="str">
        <f t="shared" si="380"/>
        <v/>
      </c>
      <c r="N3551" s="134"/>
      <c r="O3551" s="29"/>
      <c r="P3551" s="37" t="str">
        <f t="shared" si="381"/>
        <v/>
      </c>
      <c r="Q3551" s="38" t="str">
        <f t="shared" si="382"/>
        <v/>
      </c>
      <c r="R3551" s="37" t="str">
        <f t="shared" si="383"/>
        <v/>
      </c>
      <c r="S3551" s="37" t="str">
        <f t="shared" si="384"/>
        <v/>
      </c>
      <c r="T3551" s="38" t="str">
        <f t="shared" si="385"/>
        <v/>
      </c>
      <c r="U3551" s="37" t="str">
        <f t="shared" si="386"/>
        <v/>
      </c>
    </row>
    <row r="3552" spans="2:21" ht="17.25">
      <c r="B3552" s="156"/>
      <c r="C3552" s="156"/>
      <c r="D3552" s="157"/>
      <c r="E3552" s="155"/>
      <c r="F3552" s="151"/>
      <c r="G3552" s="152"/>
      <c r="H3552" s="153"/>
      <c r="I3552" s="154"/>
      <c r="J3552" s="154"/>
      <c r="K3552" s="30" t="str">
        <f>IF(H3552="","",IF($C$30="간이법","",FPR(H3552,I3552,J3552)))</f>
        <v/>
      </c>
      <c r="L3552" s="30" t="str">
        <f>IF(H3552="","",IF($C$30="상세법",FPV(H3552,K3552),IF(H3552="EI",4,IF(H3552="EO",5.2,IF(H3552="EQ",3.9,IF(H3552="ILF",7.5,IF(H3552="EIF",5.4)))))))</f>
        <v/>
      </c>
      <c r="M3552" s="30" t="str">
        <f t="shared" si="380"/>
        <v/>
      </c>
      <c r="N3552" s="134"/>
      <c r="O3552" s="29"/>
      <c r="P3552" s="37" t="str">
        <f t="shared" si="381"/>
        <v/>
      </c>
      <c r="Q3552" s="38" t="str">
        <f t="shared" si="382"/>
        <v/>
      </c>
      <c r="R3552" s="37" t="str">
        <f t="shared" si="383"/>
        <v/>
      </c>
      <c r="S3552" s="37" t="str">
        <f t="shared" si="384"/>
        <v/>
      </c>
      <c r="T3552" s="38" t="str">
        <f t="shared" si="385"/>
        <v/>
      </c>
      <c r="U3552" s="37" t="str">
        <f t="shared" si="386"/>
        <v/>
      </c>
    </row>
    <row r="3553" spans="2:21" ht="17.25">
      <c r="B3553" s="156"/>
      <c r="C3553" s="156"/>
      <c r="D3553" s="157"/>
      <c r="E3553" s="155"/>
      <c r="F3553" s="151"/>
      <c r="G3553" s="152"/>
      <c r="H3553" s="153"/>
      <c r="I3553" s="154"/>
      <c r="J3553" s="154"/>
      <c r="K3553" s="30" t="str">
        <f>IF(H3553="","",IF($C$30="간이법","",FPR(H3553,I3553,J3553)))</f>
        <v/>
      </c>
      <c r="L3553" s="30" t="str">
        <f>IF(H3553="","",IF($C$30="상세법",FPV(H3553,K3553),IF(H3553="EI",4,IF(H3553="EO",5.2,IF(H3553="EQ",3.9,IF(H3553="ILF",7.5,IF(H3553="EIF",5.4)))))))</f>
        <v/>
      </c>
      <c r="M3553" s="30" t="str">
        <f t="shared" si="380"/>
        <v/>
      </c>
      <c r="N3553" s="134"/>
      <c r="O3553" s="29"/>
      <c r="P3553" s="37" t="str">
        <f t="shared" si="381"/>
        <v/>
      </c>
      <c r="Q3553" s="38" t="str">
        <f t="shared" si="382"/>
        <v/>
      </c>
      <c r="R3553" s="37" t="str">
        <f t="shared" si="383"/>
        <v/>
      </c>
      <c r="S3553" s="37" t="str">
        <f t="shared" si="384"/>
        <v/>
      </c>
      <c r="T3553" s="38" t="str">
        <f t="shared" si="385"/>
        <v/>
      </c>
      <c r="U3553" s="37" t="str">
        <f t="shared" si="386"/>
        <v/>
      </c>
    </row>
    <row r="3554" spans="2:21" ht="17.25">
      <c r="B3554" s="156"/>
      <c r="C3554" s="156"/>
      <c r="D3554" s="157"/>
      <c r="E3554" s="155"/>
      <c r="F3554" s="151"/>
      <c r="G3554" s="152"/>
      <c r="H3554" s="153"/>
      <c r="I3554" s="154"/>
      <c r="J3554" s="154"/>
      <c r="K3554" s="30" t="str">
        <f>IF(H3554="","",IF($C$30="간이법","",FPR(H3554,I3554,J3554)))</f>
        <v/>
      </c>
      <c r="L3554" s="30" t="str">
        <f>IF(H3554="","",IF($C$30="상세법",FPV(H3554,K3554),IF(H3554="EI",4,IF(H3554="EO",5.2,IF(H3554="EQ",3.9,IF(H3554="ILF",7.5,IF(H3554="EIF",5.4)))))))</f>
        <v/>
      </c>
      <c r="M3554" s="30" t="str">
        <f t="shared" si="380"/>
        <v/>
      </c>
      <c r="N3554" s="134"/>
      <c r="O3554" s="29"/>
      <c r="P3554" s="37" t="str">
        <f t="shared" si="381"/>
        <v/>
      </c>
      <c r="Q3554" s="38" t="str">
        <f t="shared" si="382"/>
        <v/>
      </c>
      <c r="R3554" s="37" t="str">
        <f t="shared" si="383"/>
        <v/>
      </c>
      <c r="S3554" s="37" t="str">
        <f t="shared" si="384"/>
        <v/>
      </c>
      <c r="T3554" s="38" t="str">
        <f t="shared" si="385"/>
        <v/>
      </c>
      <c r="U3554" s="37" t="str">
        <f t="shared" si="386"/>
        <v/>
      </c>
    </row>
    <row r="3555" spans="2:21" ht="17.25">
      <c r="B3555" s="156"/>
      <c r="C3555" s="156"/>
      <c r="D3555" s="157"/>
      <c r="E3555" s="155"/>
      <c r="F3555" s="151"/>
      <c r="G3555" s="152"/>
      <c r="H3555" s="153"/>
      <c r="I3555" s="154"/>
      <c r="J3555" s="154"/>
      <c r="K3555" s="30" t="str">
        <f>IF(H3555="","",IF($C$30="간이법","",FPR(H3555,I3555,J3555)))</f>
        <v/>
      </c>
      <c r="L3555" s="30" t="str">
        <f>IF(H3555="","",IF($C$30="상세법",FPV(H3555,K3555),IF(H3555="EI",4,IF(H3555="EO",5.2,IF(H3555="EQ",3.9,IF(H3555="ILF",7.5,IF(H3555="EIF",5.4)))))))</f>
        <v/>
      </c>
      <c r="M3555" s="30" t="str">
        <f t="shared" si="380"/>
        <v/>
      </c>
      <c r="N3555" s="134"/>
      <c r="O3555" s="29"/>
      <c r="P3555" s="37" t="str">
        <f t="shared" si="381"/>
        <v/>
      </c>
      <c r="Q3555" s="38" t="str">
        <f t="shared" si="382"/>
        <v/>
      </c>
      <c r="R3555" s="37" t="str">
        <f t="shared" si="383"/>
        <v/>
      </c>
      <c r="S3555" s="37" t="str">
        <f t="shared" si="384"/>
        <v/>
      </c>
      <c r="T3555" s="38" t="str">
        <f t="shared" si="385"/>
        <v/>
      </c>
      <c r="U3555" s="37" t="str">
        <f t="shared" si="386"/>
        <v/>
      </c>
    </row>
    <row r="3556" spans="2:21" ht="17.25">
      <c r="B3556" s="156"/>
      <c r="C3556" s="156"/>
      <c r="D3556" s="157"/>
      <c r="E3556" s="155"/>
      <c r="F3556" s="151"/>
      <c r="G3556" s="152"/>
      <c r="H3556" s="153"/>
      <c r="I3556" s="154"/>
      <c r="J3556" s="154"/>
      <c r="K3556" s="30" t="str">
        <f>IF(H3556="","",IF($C$30="간이법","",FPR(H3556,I3556,J3556)))</f>
        <v/>
      </c>
      <c r="L3556" s="30" t="str">
        <f>IF(H3556="","",IF($C$30="상세법",FPV(H3556,K3556),IF(H3556="EI",4,IF(H3556="EO",5.2,IF(H3556="EQ",3.9,IF(H3556="ILF",7.5,IF(H3556="EIF",5.4)))))))</f>
        <v/>
      </c>
      <c r="M3556" s="30" t="str">
        <f t="shared" si="380"/>
        <v/>
      </c>
      <c r="N3556" s="134"/>
      <c r="O3556" s="29"/>
      <c r="P3556" s="37" t="str">
        <f t="shared" si="381"/>
        <v/>
      </c>
      <c r="Q3556" s="38" t="str">
        <f t="shared" si="382"/>
        <v/>
      </c>
      <c r="R3556" s="37" t="str">
        <f t="shared" si="383"/>
        <v/>
      </c>
      <c r="S3556" s="37" t="str">
        <f t="shared" si="384"/>
        <v/>
      </c>
      <c r="T3556" s="38" t="str">
        <f t="shared" si="385"/>
        <v/>
      </c>
      <c r="U3556" s="37" t="str">
        <f t="shared" si="386"/>
        <v/>
      </c>
    </row>
    <row r="3557" spans="2:21" ht="17.25">
      <c r="B3557" s="156"/>
      <c r="C3557" s="156"/>
      <c r="D3557" s="157"/>
      <c r="E3557" s="155"/>
      <c r="F3557" s="151"/>
      <c r="G3557" s="152"/>
      <c r="H3557" s="153"/>
      <c r="I3557" s="154"/>
      <c r="J3557" s="154"/>
      <c r="K3557" s="30" t="str">
        <f>IF(H3557="","",IF($C$30="간이법","",FPR(H3557,I3557,J3557)))</f>
        <v/>
      </c>
      <c r="L3557" s="30" t="str">
        <f>IF(H3557="","",IF($C$30="상세법",FPV(H3557,K3557),IF(H3557="EI",4,IF(H3557="EO",5.2,IF(H3557="EQ",3.9,IF(H3557="ILF",7.5,IF(H3557="EIF",5.4)))))))</f>
        <v/>
      </c>
      <c r="M3557" s="30" t="str">
        <f t="shared" si="380"/>
        <v/>
      </c>
      <c r="N3557" s="134"/>
      <c r="O3557" s="29"/>
      <c r="P3557" s="37" t="str">
        <f t="shared" si="381"/>
        <v/>
      </c>
      <c r="Q3557" s="38" t="str">
        <f t="shared" si="382"/>
        <v/>
      </c>
      <c r="R3557" s="37" t="str">
        <f t="shared" si="383"/>
        <v/>
      </c>
      <c r="S3557" s="37" t="str">
        <f t="shared" si="384"/>
        <v/>
      </c>
      <c r="T3557" s="38" t="str">
        <f t="shared" si="385"/>
        <v/>
      </c>
      <c r="U3557" s="37" t="str">
        <f t="shared" si="386"/>
        <v/>
      </c>
    </row>
    <row r="3558" spans="2:21" ht="17.25">
      <c r="B3558" s="156"/>
      <c r="C3558" s="156"/>
      <c r="D3558" s="157"/>
      <c r="E3558" s="155"/>
      <c r="F3558" s="151"/>
      <c r="G3558" s="152"/>
      <c r="H3558" s="153"/>
      <c r="I3558" s="154"/>
      <c r="J3558" s="154"/>
      <c r="K3558" s="30" t="str">
        <f>IF(H3558="","",IF($C$30="간이법","",FPR(H3558,I3558,J3558)))</f>
        <v/>
      </c>
      <c r="L3558" s="30" t="str">
        <f>IF(H3558="","",IF($C$30="상세법",FPV(H3558,K3558),IF(H3558="EI",4,IF(H3558="EO",5.2,IF(H3558="EQ",3.9,IF(H3558="ILF",7.5,IF(H3558="EIF",5.4)))))))</f>
        <v/>
      </c>
      <c r="M3558" s="30" t="str">
        <f t="shared" si="380"/>
        <v/>
      </c>
      <c r="N3558" s="134"/>
      <c r="O3558" s="29"/>
      <c r="P3558" s="37" t="str">
        <f t="shared" si="381"/>
        <v/>
      </c>
      <c r="Q3558" s="38" t="str">
        <f t="shared" si="382"/>
        <v/>
      </c>
      <c r="R3558" s="37" t="str">
        <f t="shared" si="383"/>
        <v/>
      </c>
      <c r="S3558" s="37" t="str">
        <f t="shared" si="384"/>
        <v/>
      </c>
      <c r="T3558" s="38" t="str">
        <f t="shared" si="385"/>
        <v/>
      </c>
      <c r="U3558" s="37" t="str">
        <f t="shared" si="386"/>
        <v/>
      </c>
    </row>
    <row r="3559" spans="2:21" ht="17.25">
      <c r="B3559" s="156"/>
      <c r="C3559" s="156"/>
      <c r="D3559" s="157"/>
      <c r="E3559" s="155"/>
      <c r="F3559" s="151"/>
      <c r="G3559" s="152"/>
      <c r="H3559" s="153"/>
      <c r="I3559" s="154"/>
      <c r="J3559" s="154"/>
      <c r="K3559" s="30" t="str">
        <f>IF(H3559="","",IF($C$30="간이법","",FPR(H3559,I3559,J3559)))</f>
        <v/>
      </c>
      <c r="L3559" s="30" t="str">
        <f>IF(H3559="","",IF($C$30="상세법",FPV(H3559,K3559),IF(H3559="EI",4,IF(H3559="EO",5.2,IF(H3559="EQ",3.9,IF(H3559="ILF",7.5,IF(H3559="EIF",5.4)))))))</f>
        <v/>
      </c>
      <c r="M3559" s="30" t="str">
        <f t="shared" si="380"/>
        <v/>
      </c>
      <c r="N3559" s="134"/>
      <c r="O3559" s="29"/>
      <c r="P3559" s="37" t="str">
        <f t="shared" si="381"/>
        <v/>
      </c>
      <c r="Q3559" s="38" t="str">
        <f t="shared" si="382"/>
        <v/>
      </c>
      <c r="R3559" s="37" t="str">
        <f t="shared" si="383"/>
        <v/>
      </c>
      <c r="S3559" s="37" t="str">
        <f t="shared" si="384"/>
        <v/>
      </c>
      <c r="T3559" s="38" t="str">
        <f t="shared" si="385"/>
        <v/>
      </c>
      <c r="U3559" s="37" t="str">
        <f t="shared" si="386"/>
        <v/>
      </c>
    </row>
    <row r="3560" spans="2:21" ht="17.25">
      <c r="B3560" s="156"/>
      <c r="C3560" s="156"/>
      <c r="D3560" s="157"/>
      <c r="E3560" s="155"/>
      <c r="F3560" s="151"/>
      <c r="G3560" s="152"/>
      <c r="H3560" s="153"/>
      <c r="I3560" s="154"/>
      <c r="J3560" s="154"/>
      <c r="K3560" s="30" t="str">
        <f>IF(H3560="","",IF($C$30="간이법","",FPR(H3560,I3560,J3560)))</f>
        <v/>
      </c>
      <c r="L3560" s="30" t="str">
        <f>IF(H3560="","",IF($C$30="상세법",FPV(H3560,K3560),IF(H3560="EI",4,IF(H3560="EO",5.2,IF(H3560="EQ",3.9,IF(H3560="ILF",7.5,IF(H3560="EIF",5.4)))))))</f>
        <v/>
      </c>
      <c r="M3560" s="30" t="str">
        <f t="shared" si="380"/>
        <v/>
      </c>
      <c r="N3560" s="134"/>
      <c r="O3560" s="29"/>
      <c r="P3560" s="37" t="str">
        <f t="shared" si="381"/>
        <v/>
      </c>
      <c r="Q3560" s="38" t="str">
        <f t="shared" si="382"/>
        <v/>
      </c>
      <c r="R3560" s="37" t="str">
        <f t="shared" si="383"/>
        <v/>
      </c>
      <c r="S3560" s="37" t="str">
        <f t="shared" si="384"/>
        <v/>
      </c>
      <c r="T3560" s="38" t="str">
        <f t="shared" si="385"/>
        <v/>
      </c>
      <c r="U3560" s="37" t="str">
        <f t="shared" si="386"/>
        <v/>
      </c>
    </row>
    <row r="3561" spans="2:21" ht="17.25">
      <c r="B3561" s="156"/>
      <c r="C3561" s="156"/>
      <c r="D3561" s="157"/>
      <c r="E3561" s="155"/>
      <c r="F3561" s="151"/>
      <c r="G3561" s="152"/>
      <c r="H3561" s="153"/>
      <c r="I3561" s="154"/>
      <c r="J3561" s="154"/>
      <c r="K3561" s="30" t="str">
        <f>IF(H3561="","",IF($C$30="간이법","",FPR(H3561,I3561,J3561)))</f>
        <v/>
      </c>
      <c r="L3561" s="30" t="str">
        <f>IF(H3561="","",IF($C$30="상세법",FPV(H3561,K3561),IF(H3561="EI",4,IF(H3561="EO",5.2,IF(H3561="EQ",3.9,IF(H3561="ILF",7.5,IF(H3561="EIF",5.4)))))))</f>
        <v/>
      </c>
      <c r="M3561" s="30" t="str">
        <f t="shared" si="380"/>
        <v/>
      </c>
      <c r="N3561" s="134"/>
      <c r="O3561" s="29"/>
      <c r="P3561" s="37" t="str">
        <f t="shared" si="381"/>
        <v/>
      </c>
      <c r="Q3561" s="38" t="str">
        <f t="shared" si="382"/>
        <v/>
      </c>
      <c r="R3561" s="37" t="str">
        <f t="shared" si="383"/>
        <v/>
      </c>
      <c r="S3561" s="37" t="str">
        <f t="shared" si="384"/>
        <v/>
      </c>
      <c r="T3561" s="38" t="str">
        <f t="shared" si="385"/>
        <v/>
      </c>
      <c r="U3561" s="37" t="str">
        <f t="shared" si="386"/>
        <v/>
      </c>
    </row>
    <row r="3562" spans="2:21" ht="17.25">
      <c r="B3562" s="156"/>
      <c r="C3562" s="156"/>
      <c r="D3562" s="157"/>
      <c r="E3562" s="155"/>
      <c r="F3562" s="151"/>
      <c r="G3562" s="152"/>
      <c r="H3562" s="153"/>
      <c r="I3562" s="154"/>
      <c r="J3562" s="154"/>
      <c r="K3562" s="30" t="str">
        <f>IF(H3562="","",IF($C$30="간이법","",FPR(H3562,I3562,J3562)))</f>
        <v/>
      </c>
      <c r="L3562" s="30" t="str">
        <f>IF(H3562="","",IF($C$30="상세법",FPV(H3562,K3562),IF(H3562="EI",4,IF(H3562="EO",5.2,IF(H3562="EQ",3.9,IF(H3562="ILF",7.5,IF(H3562="EIF",5.4)))))))</f>
        <v/>
      </c>
      <c r="M3562" s="30" t="str">
        <f t="shared" si="380"/>
        <v/>
      </c>
      <c r="N3562" s="134"/>
      <c r="O3562" s="29"/>
      <c r="P3562" s="37" t="str">
        <f t="shared" si="381"/>
        <v/>
      </c>
      <c r="Q3562" s="38" t="str">
        <f t="shared" si="382"/>
        <v/>
      </c>
      <c r="R3562" s="37" t="str">
        <f t="shared" si="383"/>
        <v/>
      </c>
      <c r="S3562" s="37" t="str">
        <f t="shared" si="384"/>
        <v/>
      </c>
      <c r="T3562" s="38" t="str">
        <f t="shared" si="385"/>
        <v/>
      </c>
      <c r="U3562" s="37" t="str">
        <f t="shared" si="386"/>
        <v/>
      </c>
    </row>
    <row r="3563" spans="2:21" ht="17.25">
      <c r="B3563" s="156"/>
      <c r="C3563" s="156"/>
      <c r="D3563" s="157"/>
      <c r="E3563" s="155"/>
      <c r="F3563" s="151"/>
      <c r="G3563" s="152"/>
      <c r="H3563" s="153"/>
      <c r="I3563" s="154"/>
      <c r="J3563" s="154"/>
      <c r="K3563" s="30" t="str">
        <f>IF(H3563="","",IF($C$30="간이법","",FPR(H3563,I3563,J3563)))</f>
        <v/>
      </c>
      <c r="L3563" s="30" t="str">
        <f>IF(H3563="","",IF($C$30="상세법",FPV(H3563,K3563),IF(H3563="EI",4,IF(H3563="EO",5.2,IF(H3563="EQ",3.9,IF(H3563="ILF",7.5,IF(H3563="EIF",5.4)))))))</f>
        <v/>
      </c>
      <c r="M3563" s="30" t="str">
        <f t="shared" si="380"/>
        <v/>
      </c>
      <c r="N3563" s="134"/>
      <c r="O3563" s="29"/>
      <c r="P3563" s="37" t="str">
        <f t="shared" si="381"/>
        <v/>
      </c>
      <c r="Q3563" s="38" t="str">
        <f t="shared" si="382"/>
        <v/>
      </c>
      <c r="R3563" s="37" t="str">
        <f t="shared" si="383"/>
        <v/>
      </c>
      <c r="S3563" s="37" t="str">
        <f t="shared" si="384"/>
        <v/>
      </c>
      <c r="T3563" s="38" t="str">
        <f t="shared" si="385"/>
        <v/>
      </c>
      <c r="U3563" s="37" t="str">
        <f t="shared" si="386"/>
        <v/>
      </c>
    </row>
    <row r="3564" spans="2:21" ht="17.25">
      <c r="B3564" s="156"/>
      <c r="C3564" s="156"/>
      <c r="D3564" s="157"/>
      <c r="E3564" s="155"/>
      <c r="F3564" s="151"/>
      <c r="G3564" s="152"/>
      <c r="H3564" s="153"/>
      <c r="I3564" s="154"/>
      <c r="J3564" s="154"/>
      <c r="K3564" s="30" t="str">
        <f>IF(H3564="","",IF($C$30="간이법","",FPR(H3564,I3564,J3564)))</f>
        <v/>
      </c>
      <c r="L3564" s="30" t="str">
        <f>IF(H3564="","",IF($C$30="상세법",FPV(H3564,K3564),IF(H3564="EI",4,IF(H3564="EO",5.2,IF(H3564="EQ",3.9,IF(H3564="ILF",7.5,IF(H3564="EIF",5.4)))))))</f>
        <v/>
      </c>
      <c r="M3564" s="30" t="str">
        <f t="shared" si="380"/>
        <v/>
      </c>
      <c r="N3564" s="134"/>
      <c r="O3564" s="29"/>
      <c r="P3564" s="37" t="str">
        <f t="shared" si="381"/>
        <v/>
      </c>
      <c r="Q3564" s="38" t="str">
        <f t="shared" si="382"/>
        <v/>
      </c>
      <c r="R3564" s="37" t="str">
        <f t="shared" si="383"/>
        <v/>
      </c>
      <c r="S3564" s="37" t="str">
        <f t="shared" si="384"/>
        <v/>
      </c>
      <c r="T3564" s="38" t="str">
        <f t="shared" si="385"/>
        <v/>
      </c>
      <c r="U3564" s="37" t="str">
        <f t="shared" si="386"/>
        <v/>
      </c>
    </row>
    <row r="3565" spans="2:21" ht="17.25">
      <c r="B3565" s="156"/>
      <c r="C3565" s="156"/>
      <c r="D3565" s="157"/>
      <c r="E3565" s="155"/>
      <c r="F3565" s="151"/>
      <c r="G3565" s="152"/>
      <c r="H3565" s="153"/>
      <c r="I3565" s="154"/>
      <c r="J3565" s="154"/>
      <c r="K3565" s="30" t="str">
        <f>IF(H3565="","",IF($C$30="간이법","",FPR(H3565,I3565,J3565)))</f>
        <v/>
      </c>
      <c r="L3565" s="30" t="str">
        <f>IF(H3565="","",IF($C$30="상세법",FPV(H3565,K3565),IF(H3565="EI",4,IF(H3565="EO",5.2,IF(H3565="EQ",3.9,IF(H3565="ILF",7.5,IF(H3565="EIF",5.4)))))))</f>
        <v/>
      </c>
      <c r="M3565" s="30" t="str">
        <f t="shared" si="380"/>
        <v/>
      </c>
      <c r="N3565" s="134"/>
      <c r="O3565" s="29"/>
      <c r="P3565" s="37" t="str">
        <f t="shared" si="381"/>
        <v/>
      </c>
      <c r="Q3565" s="38" t="str">
        <f t="shared" si="382"/>
        <v/>
      </c>
      <c r="R3565" s="37" t="str">
        <f t="shared" si="383"/>
        <v/>
      </c>
      <c r="S3565" s="37" t="str">
        <f t="shared" si="384"/>
        <v/>
      </c>
      <c r="T3565" s="38" t="str">
        <f t="shared" si="385"/>
        <v/>
      </c>
      <c r="U3565" s="37" t="str">
        <f t="shared" si="386"/>
        <v/>
      </c>
    </row>
    <row r="3566" spans="2:21" ht="17.25">
      <c r="B3566" s="156"/>
      <c r="C3566" s="156"/>
      <c r="D3566" s="157"/>
      <c r="E3566" s="155"/>
      <c r="F3566" s="151"/>
      <c r="G3566" s="152"/>
      <c r="H3566" s="153"/>
      <c r="I3566" s="154"/>
      <c r="J3566" s="154"/>
      <c r="K3566" s="30" t="str">
        <f>IF(H3566="","",IF($C$30="간이법","",FPR(H3566,I3566,J3566)))</f>
        <v/>
      </c>
      <c r="L3566" s="30" t="str">
        <f>IF(H3566="","",IF($C$30="상세법",FPV(H3566,K3566),IF(H3566="EI",4,IF(H3566="EO",5.2,IF(H3566="EQ",3.9,IF(H3566="ILF",7.5,IF(H3566="EIF",5.4)))))))</f>
        <v/>
      </c>
      <c r="M3566" s="30" t="str">
        <f t="shared" si="380"/>
        <v/>
      </c>
      <c r="N3566" s="134"/>
      <c r="O3566" s="29"/>
      <c r="P3566" s="37" t="str">
        <f t="shared" si="381"/>
        <v/>
      </c>
      <c r="Q3566" s="38" t="str">
        <f t="shared" si="382"/>
        <v/>
      </c>
      <c r="R3566" s="37" t="str">
        <f t="shared" si="383"/>
        <v/>
      </c>
      <c r="S3566" s="37" t="str">
        <f t="shared" si="384"/>
        <v/>
      </c>
      <c r="T3566" s="38" t="str">
        <f t="shared" si="385"/>
        <v/>
      </c>
      <c r="U3566" s="37" t="str">
        <f t="shared" si="386"/>
        <v/>
      </c>
    </row>
    <row r="3567" spans="2:21" ht="17.25">
      <c r="B3567" s="156"/>
      <c r="C3567" s="156"/>
      <c r="D3567" s="157"/>
      <c r="E3567" s="155"/>
      <c r="F3567" s="151"/>
      <c r="G3567" s="152"/>
      <c r="H3567" s="153"/>
      <c r="I3567" s="154"/>
      <c r="J3567" s="154"/>
      <c r="K3567" s="30" t="str">
        <f>IF(H3567="","",IF($C$30="간이법","",FPR(H3567,I3567,J3567)))</f>
        <v/>
      </c>
      <c r="L3567" s="30" t="str">
        <f>IF(H3567="","",IF($C$30="상세법",FPV(H3567,K3567),IF(H3567="EI",4,IF(H3567="EO",5.2,IF(H3567="EQ",3.9,IF(H3567="ILF",7.5,IF(H3567="EIF",5.4)))))))</f>
        <v/>
      </c>
      <c r="M3567" s="30" t="str">
        <f t="shared" si="380"/>
        <v/>
      </c>
      <c r="N3567" s="134"/>
      <c r="O3567" s="29"/>
      <c r="P3567" s="37" t="str">
        <f t="shared" si="381"/>
        <v/>
      </c>
      <c r="Q3567" s="38" t="str">
        <f t="shared" si="382"/>
        <v/>
      </c>
      <c r="R3567" s="37" t="str">
        <f t="shared" si="383"/>
        <v/>
      </c>
      <c r="S3567" s="37" t="str">
        <f t="shared" si="384"/>
        <v/>
      </c>
      <c r="T3567" s="38" t="str">
        <f t="shared" si="385"/>
        <v/>
      </c>
      <c r="U3567" s="37" t="str">
        <f t="shared" si="386"/>
        <v/>
      </c>
    </row>
    <row r="3568" spans="2:21" ht="17.25">
      <c r="B3568" s="156"/>
      <c r="C3568" s="156"/>
      <c r="D3568" s="157"/>
      <c r="E3568" s="155"/>
      <c r="F3568" s="151"/>
      <c r="G3568" s="152"/>
      <c r="H3568" s="153"/>
      <c r="I3568" s="154"/>
      <c r="J3568" s="154"/>
      <c r="K3568" s="30" t="str">
        <f>IF(H3568="","",IF($C$30="간이법","",FPR(H3568,I3568,J3568)))</f>
        <v/>
      </c>
      <c r="L3568" s="30" t="str">
        <f>IF(H3568="","",IF($C$30="상세법",FPV(H3568,K3568),IF(H3568="EI",4,IF(H3568="EO",5.2,IF(H3568="EQ",3.9,IF(H3568="ILF",7.5,IF(H3568="EIF",5.4)))))))</f>
        <v/>
      </c>
      <c r="M3568" s="30" t="str">
        <f t="shared" si="380"/>
        <v/>
      </c>
      <c r="N3568" s="134"/>
      <c r="O3568" s="29"/>
      <c r="P3568" s="37" t="str">
        <f t="shared" si="381"/>
        <v/>
      </c>
      <c r="Q3568" s="38" t="str">
        <f t="shared" si="382"/>
        <v/>
      </c>
      <c r="R3568" s="37" t="str">
        <f t="shared" si="383"/>
        <v/>
      </c>
      <c r="S3568" s="37" t="str">
        <f t="shared" si="384"/>
        <v/>
      </c>
      <c r="T3568" s="38" t="str">
        <f t="shared" si="385"/>
        <v/>
      </c>
      <c r="U3568" s="37" t="str">
        <f t="shared" si="386"/>
        <v/>
      </c>
    </row>
    <row r="3569" spans="2:21" ht="17.25">
      <c r="B3569" s="156"/>
      <c r="C3569" s="156"/>
      <c r="D3569" s="157"/>
      <c r="E3569" s="155"/>
      <c r="F3569" s="151"/>
      <c r="G3569" s="152"/>
      <c r="H3569" s="153"/>
      <c r="I3569" s="154"/>
      <c r="J3569" s="154"/>
      <c r="K3569" s="30" t="str">
        <f>IF(H3569="","",IF($C$30="간이법","",FPR(H3569,I3569,J3569)))</f>
        <v/>
      </c>
      <c r="L3569" s="30" t="str">
        <f>IF(H3569="","",IF($C$30="상세법",FPV(H3569,K3569),IF(H3569="EI",4,IF(H3569="EO",5.2,IF(H3569="EQ",3.9,IF(H3569="ILF",7.5,IF(H3569="EIF",5.4)))))))</f>
        <v/>
      </c>
      <c r="M3569" s="30" t="str">
        <f t="shared" si="380"/>
        <v/>
      </c>
      <c r="N3569" s="134"/>
      <c r="O3569" s="29"/>
      <c r="P3569" s="37" t="str">
        <f t="shared" si="381"/>
        <v/>
      </c>
      <c r="Q3569" s="38" t="str">
        <f t="shared" si="382"/>
        <v/>
      </c>
      <c r="R3569" s="37" t="str">
        <f t="shared" si="383"/>
        <v/>
      </c>
      <c r="S3569" s="37" t="str">
        <f t="shared" si="384"/>
        <v/>
      </c>
      <c r="T3569" s="38" t="str">
        <f t="shared" si="385"/>
        <v/>
      </c>
      <c r="U3569" s="37" t="str">
        <f t="shared" si="386"/>
        <v/>
      </c>
    </row>
    <row r="3570" spans="2:21" ht="17.25">
      <c r="B3570" s="156"/>
      <c r="C3570" s="156"/>
      <c r="D3570" s="157"/>
      <c r="E3570" s="155"/>
      <c r="F3570" s="151"/>
      <c r="G3570" s="152"/>
      <c r="H3570" s="153"/>
      <c r="I3570" s="154"/>
      <c r="J3570" s="154"/>
      <c r="K3570" s="30" t="str">
        <f>IF(H3570="","",IF($C$30="간이법","",FPR(H3570,I3570,J3570)))</f>
        <v/>
      </c>
      <c r="L3570" s="30" t="str">
        <f>IF(H3570="","",IF($C$30="상세법",FPV(H3570,K3570),IF(H3570="EI",4,IF(H3570="EO",5.2,IF(H3570="EQ",3.9,IF(H3570="ILF",7.5,IF(H3570="EIF",5.4)))))))</f>
        <v/>
      </c>
      <c r="M3570" s="30" t="str">
        <f t="shared" si="380"/>
        <v/>
      </c>
      <c r="N3570" s="134"/>
      <c r="O3570" s="29"/>
      <c r="P3570" s="37" t="str">
        <f t="shared" si="381"/>
        <v/>
      </c>
      <c r="Q3570" s="38" t="str">
        <f t="shared" si="382"/>
        <v/>
      </c>
      <c r="R3570" s="37" t="str">
        <f t="shared" si="383"/>
        <v/>
      </c>
      <c r="S3570" s="37" t="str">
        <f t="shared" si="384"/>
        <v/>
      </c>
      <c r="T3570" s="38" t="str">
        <f t="shared" si="385"/>
        <v/>
      </c>
      <c r="U3570" s="37" t="str">
        <f t="shared" si="386"/>
        <v/>
      </c>
    </row>
    <row r="3571" spans="2:21" ht="17.25">
      <c r="B3571" s="156"/>
      <c r="C3571" s="156"/>
      <c r="D3571" s="157"/>
      <c r="E3571" s="155"/>
      <c r="F3571" s="151"/>
      <c r="G3571" s="152"/>
      <c r="H3571" s="153"/>
      <c r="I3571" s="154"/>
      <c r="J3571" s="154"/>
      <c r="K3571" s="30" t="str">
        <f>IF(H3571="","",IF($C$30="간이법","",FPR(H3571,I3571,J3571)))</f>
        <v/>
      </c>
      <c r="L3571" s="30" t="str">
        <f>IF(H3571="","",IF($C$30="상세법",FPV(H3571,K3571),IF(H3571="EI",4,IF(H3571="EO",5.2,IF(H3571="EQ",3.9,IF(H3571="ILF",7.5,IF(H3571="EIF",5.4)))))))</f>
        <v/>
      </c>
      <c r="M3571" s="30" t="str">
        <f t="shared" si="380"/>
        <v/>
      </c>
      <c r="N3571" s="134"/>
      <c r="O3571" s="29"/>
      <c r="P3571" s="37" t="str">
        <f t="shared" si="381"/>
        <v/>
      </c>
      <c r="Q3571" s="38" t="str">
        <f t="shared" si="382"/>
        <v/>
      </c>
      <c r="R3571" s="37" t="str">
        <f t="shared" si="383"/>
        <v/>
      </c>
      <c r="S3571" s="37" t="str">
        <f t="shared" si="384"/>
        <v/>
      </c>
      <c r="T3571" s="38" t="str">
        <f t="shared" si="385"/>
        <v/>
      </c>
      <c r="U3571" s="37" t="str">
        <f t="shared" si="386"/>
        <v/>
      </c>
    </row>
    <row r="3572" spans="2:21" ht="17.25">
      <c r="B3572" s="156"/>
      <c r="C3572" s="156"/>
      <c r="D3572" s="157"/>
      <c r="E3572" s="155"/>
      <c r="F3572" s="151"/>
      <c r="G3572" s="152"/>
      <c r="H3572" s="153"/>
      <c r="I3572" s="154"/>
      <c r="J3572" s="154"/>
      <c r="K3572" s="30" t="str">
        <f>IF(H3572="","",IF($C$30="간이법","",FPR(H3572,I3572,J3572)))</f>
        <v/>
      </c>
      <c r="L3572" s="30" t="str">
        <f>IF(H3572="","",IF($C$30="상세법",FPV(H3572,K3572),IF(H3572="EI",4,IF(H3572="EO",5.2,IF(H3572="EQ",3.9,IF(H3572="ILF",7.5,IF(H3572="EIF",5.4)))))))</f>
        <v/>
      </c>
      <c r="M3572" s="30" t="str">
        <f t="shared" si="380"/>
        <v/>
      </c>
      <c r="N3572" s="134"/>
      <c r="O3572" s="29"/>
      <c r="P3572" s="37" t="str">
        <f t="shared" si="381"/>
        <v/>
      </c>
      <c r="Q3572" s="38" t="str">
        <f t="shared" si="382"/>
        <v/>
      </c>
      <c r="R3572" s="37" t="str">
        <f t="shared" si="383"/>
        <v/>
      </c>
      <c r="S3572" s="37" t="str">
        <f t="shared" si="384"/>
        <v/>
      </c>
      <c r="T3572" s="38" t="str">
        <f t="shared" si="385"/>
        <v/>
      </c>
      <c r="U3572" s="37" t="str">
        <f t="shared" si="386"/>
        <v/>
      </c>
    </row>
    <row r="3573" spans="2:21" ht="17.25">
      <c r="B3573" s="156"/>
      <c r="C3573" s="156"/>
      <c r="D3573" s="157"/>
      <c r="E3573" s="155"/>
      <c r="F3573" s="151"/>
      <c r="G3573" s="152"/>
      <c r="H3573" s="153"/>
      <c r="I3573" s="154"/>
      <c r="J3573" s="154"/>
      <c r="K3573" s="30" t="str">
        <f>IF(H3573="","",IF($C$30="간이법","",FPR(H3573,I3573,J3573)))</f>
        <v/>
      </c>
      <c r="L3573" s="30" t="str">
        <f>IF(H3573="","",IF($C$30="상세법",FPV(H3573,K3573),IF(H3573="EI",4,IF(H3573="EO",5.2,IF(H3573="EQ",3.9,IF(H3573="ILF",7.5,IF(H3573="EIF",5.4)))))))</f>
        <v/>
      </c>
      <c r="M3573" s="30" t="str">
        <f t="shared" si="380"/>
        <v/>
      </c>
      <c r="N3573" s="134"/>
      <c r="O3573" s="29"/>
      <c r="P3573" s="37" t="str">
        <f t="shared" si="381"/>
        <v/>
      </c>
      <c r="Q3573" s="38" t="str">
        <f t="shared" si="382"/>
        <v/>
      </c>
      <c r="R3573" s="37" t="str">
        <f t="shared" si="383"/>
        <v/>
      </c>
      <c r="S3573" s="37" t="str">
        <f t="shared" si="384"/>
        <v/>
      </c>
      <c r="T3573" s="38" t="str">
        <f t="shared" si="385"/>
        <v/>
      </c>
      <c r="U3573" s="37" t="str">
        <f t="shared" si="386"/>
        <v/>
      </c>
    </row>
    <row r="3574" spans="2:21" ht="17.25">
      <c r="B3574" s="156"/>
      <c r="C3574" s="156"/>
      <c r="D3574" s="157"/>
      <c r="E3574" s="155"/>
      <c r="F3574" s="151"/>
      <c r="G3574" s="152"/>
      <c r="H3574" s="153"/>
      <c r="I3574" s="154"/>
      <c r="J3574" s="154"/>
      <c r="K3574" s="30" t="str">
        <f>IF(H3574="","",IF($C$30="간이법","",FPR(H3574,I3574,J3574)))</f>
        <v/>
      </c>
      <c r="L3574" s="30" t="str">
        <f>IF(H3574="","",IF($C$30="상세법",FPV(H3574,K3574),IF(H3574="EI",4,IF(H3574="EO",5.2,IF(H3574="EQ",3.9,IF(H3574="ILF",7.5,IF(H3574="EIF",5.4)))))))</f>
        <v/>
      </c>
      <c r="M3574" s="30" t="str">
        <f t="shared" si="380"/>
        <v/>
      </c>
      <c r="N3574" s="134"/>
      <c r="O3574" s="29"/>
      <c r="P3574" s="37" t="str">
        <f t="shared" si="381"/>
        <v/>
      </c>
      <c r="Q3574" s="38" t="str">
        <f t="shared" si="382"/>
        <v/>
      </c>
      <c r="R3574" s="37" t="str">
        <f t="shared" si="383"/>
        <v/>
      </c>
      <c r="S3574" s="37" t="str">
        <f t="shared" si="384"/>
        <v/>
      </c>
      <c r="T3574" s="38" t="str">
        <f t="shared" si="385"/>
        <v/>
      </c>
      <c r="U3574" s="37" t="str">
        <f t="shared" si="386"/>
        <v/>
      </c>
    </row>
    <row r="3575" spans="2:21" ht="17.25">
      <c r="B3575" s="156"/>
      <c r="C3575" s="156"/>
      <c r="D3575" s="157"/>
      <c r="E3575" s="155"/>
      <c r="F3575" s="151"/>
      <c r="G3575" s="152"/>
      <c r="H3575" s="153"/>
      <c r="I3575" s="154"/>
      <c r="J3575" s="154"/>
      <c r="K3575" s="30" t="str">
        <f>IF(H3575="","",IF($C$30="간이법","",FPR(H3575,I3575,J3575)))</f>
        <v/>
      </c>
      <c r="L3575" s="30" t="str">
        <f>IF(H3575="","",IF($C$30="상세법",FPV(H3575,K3575),IF(H3575="EI",4,IF(H3575="EO",5.2,IF(H3575="EQ",3.9,IF(H3575="ILF",7.5,IF(H3575="EIF",5.4)))))))</f>
        <v/>
      </c>
      <c r="M3575" s="30" t="str">
        <f t="shared" si="380"/>
        <v/>
      </c>
      <c r="N3575" s="134"/>
      <c r="O3575" s="29"/>
      <c r="P3575" s="37" t="str">
        <f t="shared" si="381"/>
        <v/>
      </c>
      <c r="Q3575" s="38" t="str">
        <f t="shared" si="382"/>
        <v/>
      </c>
      <c r="R3575" s="37" t="str">
        <f t="shared" si="383"/>
        <v/>
      </c>
      <c r="S3575" s="37" t="str">
        <f t="shared" si="384"/>
        <v/>
      </c>
      <c r="T3575" s="38" t="str">
        <f t="shared" si="385"/>
        <v/>
      </c>
      <c r="U3575" s="37" t="str">
        <f t="shared" si="386"/>
        <v/>
      </c>
    </row>
    <row r="3576" spans="2:21" ht="17.25">
      <c r="B3576" s="156"/>
      <c r="C3576" s="156"/>
      <c r="D3576" s="157"/>
      <c r="E3576" s="155"/>
      <c r="F3576" s="151"/>
      <c r="G3576" s="152"/>
      <c r="H3576" s="153"/>
      <c r="I3576" s="154"/>
      <c r="J3576" s="154"/>
      <c r="K3576" s="30" t="str">
        <f>IF(H3576="","",IF($C$30="간이법","",FPR(H3576,I3576,J3576)))</f>
        <v/>
      </c>
      <c r="L3576" s="30" t="str">
        <f>IF(H3576="","",IF($C$30="상세법",FPV(H3576,K3576),IF(H3576="EI",4,IF(H3576="EO",5.2,IF(H3576="EQ",3.9,IF(H3576="ILF",7.5,IF(H3576="EIF",5.4)))))))</f>
        <v/>
      </c>
      <c r="M3576" s="30" t="str">
        <f t="shared" si="380"/>
        <v/>
      </c>
      <c r="N3576" s="134"/>
      <c r="O3576" s="29"/>
      <c r="P3576" s="37" t="str">
        <f t="shared" si="381"/>
        <v/>
      </c>
      <c r="Q3576" s="38" t="str">
        <f t="shared" si="382"/>
        <v/>
      </c>
      <c r="R3576" s="37" t="str">
        <f t="shared" si="383"/>
        <v/>
      </c>
      <c r="S3576" s="37" t="str">
        <f t="shared" si="384"/>
        <v/>
      </c>
      <c r="T3576" s="38" t="str">
        <f t="shared" si="385"/>
        <v/>
      </c>
      <c r="U3576" s="37" t="str">
        <f t="shared" si="386"/>
        <v/>
      </c>
    </row>
    <row r="3577" spans="2:21" ht="17.25">
      <c r="B3577" s="156"/>
      <c r="C3577" s="156"/>
      <c r="D3577" s="157"/>
      <c r="E3577" s="155"/>
      <c r="F3577" s="151"/>
      <c r="G3577" s="152"/>
      <c r="H3577" s="153"/>
      <c r="I3577" s="154"/>
      <c r="J3577" s="154"/>
      <c r="K3577" s="30" t="str">
        <f>IF(H3577="","",IF($C$30="간이법","",FPR(H3577,I3577,J3577)))</f>
        <v/>
      </c>
      <c r="L3577" s="30" t="str">
        <f>IF(H3577="","",IF($C$30="상세법",FPV(H3577,K3577),IF(H3577="EI",4,IF(H3577="EO",5.2,IF(H3577="EQ",3.9,IF(H3577="ILF",7.5,IF(H3577="EIF",5.4)))))))</f>
        <v/>
      </c>
      <c r="M3577" s="30" t="str">
        <f t="shared" si="380"/>
        <v/>
      </c>
      <c r="N3577" s="134"/>
      <c r="O3577" s="29"/>
      <c r="P3577" s="37" t="str">
        <f t="shared" si="381"/>
        <v/>
      </c>
      <c r="Q3577" s="38" t="str">
        <f t="shared" si="382"/>
        <v/>
      </c>
      <c r="R3577" s="37" t="str">
        <f t="shared" si="383"/>
        <v/>
      </c>
      <c r="S3577" s="37" t="str">
        <f t="shared" si="384"/>
        <v/>
      </c>
      <c r="T3577" s="38" t="str">
        <f t="shared" si="385"/>
        <v/>
      </c>
      <c r="U3577" s="37" t="str">
        <f t="shared" si="386"/>
        <v/>
      </c>
    </row>
    <row r="3578" spans="2:21" ht="17.25">
      <c r="B3578" s="156"/>
      <c r="C3578" s="156"/>
      <c r="D3578" s="157"/>
      <c r="E3578" s="155"/>
      <c r="F3578" s="151"/>
      <c r="G3578" s="152"/>
      <c r="H3578" s="153"/>
      <c r="I3578" s="154"/>
      <c r="J3578" s="154"/>
      <c r="K3578" s="30" t="str">
        <f>IF(H3578="","",IF($C$30="간이법","",FPR(H3578,I3578,J3578)))</f>
        <v/>
      </c>
      <c r="L3578" s="30" t="str">
        <f>IF(H3578="","",IF($C$30="상세법",FPV(H3578,K3578),IF(H3578="EI",4,IF(H3578="EO",5.2,IF(H3578="EQ",3.9,IF(H3578="ILF",7.5,IF(H3578="EIF",5.4)))))))</f>
        <v/>
      </c>
      <c r="M3578" s="30" t="str">
        <f t="shared" si="380"/>
        <v/>
      </c>
      <c r="N3578" s="134"/>
      <c r="O3578" s="29"/>
      <c r="P3578" s="37" t="str">
        <f t="shared" si="381"/>
        <v/>
      </c>
      <c r="Q3578" s="38" t="str">
        <f t="shared" si="382"/>
        <v/>
      </c>
      <c r="R3578" s="37" t="str">
        <f t="shared" si="383"/>
        <v/>
      </c>
      <c r="S3578" s="37" t="str">
        <f t="shared" si="384"/>
        <v/>
      </c>
      <c r="T3578" s="38" t="str">
        <f t="shared" si="385"/>
        <v/>
      </c>
      <c r="U3578" s="37" t="str">
        <f t="shared" si="386"/>
        <v/>
      </c>
    </row>
    <row r="3579" spans="2:21" ht="17.25">
      <c r="B3579" s="156"/>
      <c r="C3579" s="156"/>
      <c r="D3579" s="157"/>
      <c r="E3579" s="155"/>
      <c r="F3579" s="151"/>
      <c r="G3579" s="152"/>
      <c r="H3579" s="153"/>
      <c r="I3579" s="154"/>
      <c r="J3579" s="154"/>
      <c r="K3579" s="30" t="str">
        <f>IF(H3579="","",IF($C$30="간이법","",FPR(H3579,I3579,J3579)))</f>
        <v/>
      </c>
      <c r="L3579" s="30" t="str">
        <f>IF(H3579="","",IF($C$30="상세법",FPV(H3579,K3579),IF(H3579="EI",4,IF(H3579="EO",5.2,IF(H3579="EQ",3.9,IF(H3579="ILF",7.5,IF(H3579="EIF",5.4)))))))</f>
        <v/>
      </c>
      <c r="M3579" s="30" t="str">
        <f t="shared" si="380"/>
        <v/>
      </c>
      <c r="N3579" s="134"/>
      <c r="O3579" s="29"/>
      <c r="P3579" s="37" t="str">
        <f t="shared" si="381"/>
        <v/>
      </c>
      <c r="Q3579" s="38" t="str">
        <f t="shared" si="382"/>
        <v/>
      </c>
      <c r="R3579" s="37" t="str">
        <f t="shared" si="383"/>
        <v/>
      </c>
      <c r="S3579" s="37" t="str">
        <f t="shared" si="384"/>
        <v/>
      </c>
      <c r="T3579" s="38" t="str">
        <f t="shared" si="385"/>
        <v/>
      </c>
      <c r="U3579" s="37" t="str">
        <f t="shared" si="386"/>
        <v/>
      </c>
    </row>
    <row r="3580" spans="2:21" ht="17.25">
      <c r="B3580" s="156"/>
      <c r="C3580" s="156"/>
      <c r="D3580" s="157"/>
      <c r="E3580" s="155"/>
      <c r="F3580" s="151"/>
      <c r="G3580" s="152"/>
      <c r="H3580" s="153"/>
      <c r="I3580" s="154"/>
      <c r="J3580" s="154"/>
      <c r="K3580" s="30" t="str">
        <f>IF(H3580="","",IF($C$30="간이법","",FPR(H3580,I3580,J3580)))</f>
        <v/>
      </c>
      <c r="L3580" s="30" t="str">
        <f>IF(H3580="","",IF($C$30="상세법",FPV(H3580,K3580),IF(H3580="EI",4,IF(H3580="EO",5.2,IF(H3580="EQ",3.9,IF(H3580="ILF",7.5,IF(H3580="EIF",5.4)))))))</f>
        <v/>
      </c>
      <c r="M3580" s="30" t="str">
        <f t="shared" ref="M3580:M3643" si="387">IF(OR(G3580="",$E$36="(선택)",$E$40="(선택)",$E$41="(선택)",F3580="신규 개발",F3580="수정 없이 재사용"),"",(IF(F3580="수정 후 재사용",IF($E$50&lt;=0.5,L3580*($E$36+$E$50*100*(1+0.02*($E$40*$E$41)))/100,L3580*($E$36+$E$50*100+($E$40*$E$41))/100))))</f>
        <v/>
      </c>
      <c r="N3580" s="134"/>
      <c r="O3580" s="29"/>
      <c r="P3580" s="37" t="str">
        <f t="shared" ref="P3580:P3643" si="388">IF(F3580="수정 후 재사용",IF(H3580="ILF",G3580,IF(H3580="EIF",G3580,"")),"")</f>
        <v/>
      </c>
      <c r="Q3580" s="38" t="str">
        <f t="shared" ref="Q3580:Q3643" si="389">IF(P3580&lt;&gt;"",IF(H3580="ILF", L3580/$E$46,IF(H3580="EIF", L3580/$E$46,"")),"")</f>
        <v/>
      </c>
      <c r="R3580" s="37" t="str">
        <f t="shared" ref="R3580:R3643" si="390">IF(P3580&lt;&gt;"",P3580*Q3580,"")</f>
        <v/>
      </c>
      <c r="S3580" s="37" t="str">
        <f t="shared" ref="S3580:S3643" si="391">IF(F3580="수정 후 재사용",IF(H3580="EI",G3580,IF(H3580="EO",G3580,IF(H3580="EQ",G3580,""))),"")</f>
        <v/>
      </c>
      <c r="T3580" s="38" t="str">
        <f t="shared" ref="T3580:T3643" si="392">IF(S3580&lt;&gt;"",IF(H3580="EI",L3580/$E$47,IF(H3580="EO",L3580/$E$47,IF(H3580="EQ",L3580/$E$47,""))),"")</f>
        <v/>
      </c>
      <c r="U3580" s="37" t="str">
        <f t="shared" ref="U3580:U3643" si="393">IF(S3580&lt;&gt;"",S3580*T3580,"")</f>
        <v/>
      </c>
    </row>
    <row r="3581" spans="2:21" ht="17.25">
      <c r="B3581" s="156"/>
      <c r="C3581" s="156"/>
      <c r="D3581" s="157"/>
      <c r="E3581" s="155"/>
      <c r="F3581" s="151"/>
      <c r="G3581" s="152"/>
      <c r="H3581" s="153"/>
      <c r="I3581" s="154"/>
      <c r="J3581" s="154"/>
      <c r="K3581" s="30" t="str">
        <f>IF(H3581="","",IF($C$30="간이법","",FPR(H3581,I3581,J3581)))</f>
        <v/>
      </c>
      <c r="L3581" s="30" t="str">
        <f>IF(H3581="","",IF($C$30="상세법",FPV(H3581,K3581),IF(H3581="EI",4,IF(H3581="EO",5.2,IF(H3581="EQ",3.9,IF(H3581="ILF",7.5,IF(H3581="EIF",5.4)))))))</f>
        <v/>
      </c>
      <c r="M3581" s="30" t="str">
        <f t="shared" si="387"/>
        <v/>
      </c>
      <c r="N3581" s="134"/>
      <c r="O3581" s="29"/>
      <c r="P3581" s="37" t="str">
        <f t="shared" si="388"/>
        <v/>
      </c>
      <c r="Q3581" s="38" t="str">
        <f t="shared" si="389"/>
        <v/>
      </c>
      <c r="R3581" s="37" t="str">
        <f t="shared" si="390"/>
        <v/>
      </c>
      <c r="S3581" s="37" t="str">
        <f t="shared" si="391"/>
        <v/>
      </c>
      <c r="T3581" s="38" t="str">
        <f t="shared" si="392"/>
        <v/>
      </c>
      <c r="U3581" s="37" t="str">
        <f t="shared" si="393"/>
        <v/>
      </c>
    </row>
    <row r="3582" spans="2:21" ht="17.25">
      <c r="B3582" s="156"/>
      <c r="C3582" s="156"/>
      <c r="D3582" s="157"/>
      <c r="E3582" s="155"/>
      <c r="F3582" s="151"/>
      <c r="G3582" s="152"/>
      <c r="H3582" s="153"/>
      <c r="I3582" s="154"/>
      <c r="J3582" s="154"/>
      <c r="K3582" s="30" t="str">
        <f>IF(H3582="","",IF($C$30="간이법","",FPR(H3582,I3582,J3582)))</f>
        <v/>
      </c>
      <c r="L3582" s="30" t="str">
        <f>IF(H3582="","",IF($C$30="상세법",FPV(H3582,K3582),IF(H3582="EI",4,IF(H3582="EO",5.2,IF(H3582="EQ",3.9,IF(H3582="ILF",7.5,IF(H3582="EIF",5.4)))))))</f>
        <v/>
      </c>
      <c r="M3582" s="30" t="str">
        <f t="shared" si="387"/>
        <v/>
      </c>
      <c r="N3582" s="134"/>
      <c r="O3582" s="29"/>
      <c r="P3582" s="37" t="str">
        <f t="shared" si="388"/>
        <v/>
      </c>
      <c r="Q3582" s="38" t="str">
        <f t="shared" si="389"/>
        <v/>
      </c>
      <c r="R3582" s="37" t="str">
        <f t="shared" si="390"/>
        <v/>
      </c>
      <c r="S3582" s="37" t="str">
        <f t="shared" si="391"/>
        <v/>
      </c>
      <c r="T3582" s="38" t="str">
        <f t="shared" si="392"/>
        <v/>
      </c>
      <c r="U3582" s="37" t="str">
        <f t="shared" si="393"/>
        <v/>
      </c>
    </row>
    <row r="3583" spans="2:21" ht="17.25">
      <c r="B3583" s="156"/>
      <c r="C3583" s="156"/>
      <c r="D3583" s="157"/>
      <c r="E3583" s="155"/>
      <c r="F3583" s="151"/>
      <c r="G3583" s="152"/>
      <c r="H3583" s="153"/>
      <c r="I3583" s="154"/>
      <c r="J3583" s="154"/>
      <c r="K3583" s="30" t="str">
        <f>IF(H3583="","",IF($C$30="간이법","",FPR(H3583,I3583,J3583)))</f>
        <v/>
      </c>
      <c r="L3583" s="30" t="str">
        <f>IF(H3583="","",IF($C$30="상세법",FPV(H3583,K3583),IF(H3583="EI",4,IF(H3583="EO",5.2,IF(H3583="EQ",3.9,IF(H3583="ILF",7.5,IF(H3583="EIF",5.4)))))))</f>
        <v/>
      </c>
      <c r="M3583" s="30" t="str">
        <f t="shared" si="387"/>
        <v/>
      </c>
      <c r="N3583" s="134"/>
      <c r="O3583" s="29"/>
      <c r="P3583" s="37" t="str">
        <f t="shared" si="388"/>
        <v/>
      </c>
      <c r="Q3583" s="38" t="str">
        <f t="shared" si="389"/>
        <v/>
      </c>
      <c r="R3583" s="37" t="str">
        <f t="shared" si="390"/>
        <v/>
      </c>
      <c r="S3583" s="37" t="str">
        <f t="shared" si="391"/>
        <v/>
      </c>
      <c r="T3583" s="38" t="str">
        <f t="shared" si="392"/>
        <v/>
      </c>
      <c r="U3583" s="37" t="str">
        <f t="shared" si="393"/>
        <v/>
      </c>
    </row>
    <row r="3584" spans="2:21" ht="17.25">
      <c r="B3584" s="156"/>
      <c r="C3584" s="156"/>
      <c r="D3584" s="157"/>
      <c r="E3584" s="155"/>
      <c r="F3584" s="151"/>
      <c r="G3584" s="152"/>
      <c r="H3584" s="153"/>
      <c r="I3584" s="154"/>
      <c r="J3584" s="154"/>
      <c r="K3584" s="30" t="str">
        <f>IF(H3584="","",IF($C$30="간이법","",FPR(H3584,I3584,J3584)))</f>
        <v/>
      </c>
      <c r="L3584" s="30" t="str">
        <f>IF(H3584="","",IF($C$30="상세법",FPV(H3584,K3584),IF(H3584="EI",4,IF(H3584="EO",5.2,IF(H3584="EQ",3.9,IF(H3584="ILF",7.5,IF(H3584="EIF",5.4)))))))</f>
        <v/>
      </c>
      <c r="M3584" s="30" t="str">
        <f t="shared" si="387"/>
        <v/>
      </c>
      <c r="N3584" s="134"/>
      <c r="O3584" s="29"/>
      <c r="P3584" s="37" t="str">
        <f t="shared" si="388"/>
        <v/>
      </c>
      <c r="Q3584" s="38" t="str">
        <f t="shared" si="389"/>
        <v/>
      </c>
      <c r="R3584" s="37" t="str">
        <f t="shared" si="390"/>
        <v/>
      </c>
      <c r="S3584" s="37" t="str">
        <f t="shared" si="391"/>
        <v/>
      </c>
      <c r="T3584" s="38" t="str">
        <f t="shared" si="392"/>
        <v/>
      </c>
      <c r="U3584" s="37" t="str">
        <f t="shared" si="393"/>
        <v/>
      </c>
    </row>
    <row r="3585" spans="2:21" ht="17.25">
      <c r="B3585" s="156"/>
      <c r="C3585" s="156"/>
      <c r="D3585" s="157"/>
      <c r="E3585" s="155"/>
      <c r="F3585" s="151"/>
      <c r="G3585" s="152"/>
      <c r="H3585" s="153"/>
      <c r="I3585" s="154"/>
      <c r="J3585" s="154"/>
      <c r="K3585" s="30" t="str">
        <f>IF(H3585="","",IF($C$30="간이법","",FPR(H3585,I3585,J3585)))</f>
        <v/>
      </c>
      <c r="L3585" s="30" t="str">
        <f>IF(H3585="","",IF($C$30="상세법",FPV(H3585,K3585),IF(H3585="EI",4,IF(H3585="EO",5.2,IF(H3585="EQ",3.9,IF(H3585="ILF",7.5,IF(H3585="EIF",5.4)))))))</f>
        <v/>
      </c>
      <c r="M3585" s="30" t="str">
        <f t="shared" si="387"/>
        <v/>
      </c>
      <c r="N3585" s="134"/>
      <c r="O3585" s="29"/>
      <c r="P3585" s="37" t="str">
        <f t="shared" si="388"/>
        <v/>
      </c>
      <c r="Q3585" s="38" t="str">
        <f t="shared" si="389"/>
        <v/>
      </c>
      <c r="R3585" s="37" t="str">
        <f t="shared" si="390"/>
        <v/>
      </c>
      <c r="S3585" s="37" t="str">
        <f t="shared" si="391"/>
        <v/>
      </c>
      <c r="T3585" s="38" t="str">
        <f t="shared" si="392"/>
        <v/>
      </c>
      <c r="U3585" s="37" t="str">
        <f t="shared" si="393"/>
        <v/>
      </c>
    </row>
    <row r="3586" spans="2:21" ht="17.25">
      <c r="B3586" s="156"/>
      <c r="C3586" s="156"/>
      <c r="D3586" s="157"/>
      <c r="E3586" s="155"/>
      <c r="F3586" s="151"/>
      <c r="G3586" s="152"/>
      <c r="H3586" s="153"/>
      <c r="I3586" s="154"/>
      <c r="J3586" s="154"/>
      <c r="K3586" s="30" t="str">
        <f>IF(H3586="","",IF($C$30="간이법","",FPR(H3586,I3586,J3586)))</f>
        <v/>
      </c>
      <c r="L3586" s="30" t="str">
        <f>IF(H3586="","",IF($C$30="상세법",FPV(H3586,K3586),IF(H3586="EI",4,IF(H3586="EO",5.2,IF(H3586="EQ",3.9,IF(H3586="ILF",7.5,IF(H3586="EIF",5.4)))))))</f>
        <v/>
      </c>
      <c r="M3586" s="30" t="str">
        <f t="shared" si="387"/>
        <v/>
      </c>
      <c r="N3586" s="134"/>
      <c r="O3586" s="29"/>
      <c r="P3586" s="37" t="str">
        <f t="shared" si="388"/>
        <v/>
      </c>
      <c r="Q3586" s="38" t="str">
        <f t="shared" si="389"/>
        <v/>
      </c>
      <c r="R3586" s="37" t="str">
        <f t="shared" si="390"/>
        <v/>
      </c>
      <c r="S3586" s="37" t="str">
        <f t="shared" si="391"/>
        <v/>
      </c>
      <c r="T3586" s="38" t="str">
        <f t="shared" si="392"/>
        <v/>
      </c>
      <c r="U3586" s="37" t="str">
        <f t="shared" si="393"/>
        <v/>
      </c>
    </row>
    <row r="3587" spans="2:21" ht="17.25">
      <c r="B3587" s="156"/>
      <c r="C3587" s="156"/>
      <c r="D3587" s="157"/>
      <c r="E3587" s="155"/>
      <c r="F3587" s="151"/>
      <c r="G3587" s="152"/>
      <c r="H3587" s="153"/>
      <c r="I3587" s="154"/>
      <c r="J3587" s="154"/>
      <c r="K3587" s="30" t="str">
        <f>IF(H3587="","",IF($C$30="간이법","",FPR(H3587,I3587,J3587)))</f>
        <v/>
      </c>
      <c r="L3587" s="30" t="str">
        <f>IF(H3587="","",IF($C$30="상세법",FPV(H3587,K3587),IF(H3587="EI",4,IF(H3587="EO",5.2,IF(H3587="EQ",3.9,IF(H3587="ILF",7.5,IF(H3587="EIF",5.4)))))))</f>
        <v/>
      </c>
      <c r="M3587" s="30" t="str">
        <f t="shared" si="387"/>
        <v/>
      </c>
      <c r="N3587" s="134"/>
      <c r="O3587" s="29"/>
      <c r="P3587" s="37" t="str">
        <f t="shared" si="388"/>
        <v/>
      </c>
      <c r="Q3587" s="38" t="str">
        <f t="shared" si="389"/>
        <v/>
      </c>
      <c r="R3587" s="37" t="str">
        <f t="shared" si="390"/>
        <v/>
      </c>
      <c r="S3587" s="37" t="str">
        <f t="shared" si="391"/>
        <v/>
      </c>
      <c r="T3587" s="38" t="str">
        <f t="shared" si="392"/>
        <v/>
      </c>
      <c r="U3587" s="37" t="str">
        <f t="shared" si="393"/>
        <v/>
      </c>
    </row>
    <row r="3588" spans="2:21" ht="17.25">
      <c r="B3588" s="156"/>
      <c r="C3588" s="156"/>
      <c r="D3588" s="157"/>
      <c r="E3588" s="155"/>
      <c r="F3588" s="151"/>
      <c r="G3588" s="152"/>
      <c r="H3588" s="153"/>
      <c r="I3588" s="154"/>
      <c r="J3588" s="154"/>
      <c r="K3588" s="30" t="str">
        <f>IF(H3588="","",IF($C$30="간이법","",FPR(H3588,I3588,J3588)))</f>
        <v/>
      </c>
      <c r="L3588" s="30" t="str">
        <f>IF(H3588="","",IF($C$30="상세법",FPV(H3588,K3588),IF(H3588="EI",4,IF(H3588="EO",5.2,IF(H3588="EQ",3.9,IF(H3588="ILF",7.5,IF(H3588="EIF",5.4)))))))</f>
        <v/>
      </c>
      <c r="M3588" s="30" t="str">
        <f t="shared" si="387"/>
        <v/>
      </c>
      <c r="N3588" s="134"/>
      <c r="O3588" s="29"/>
      <c r="P3588" s="37" t="str">
        <f t="shared" si="388"/>
        <v/>
      </c>
      <c r="Q3588" s="38" t="str">
        <f t="shared" si="389"/>
        <v/>
      </c>
      <c r="R3588" s="37" t="str">
        <f t="shared" si="390"/>
        <v/>
      </c>
      <c r="S3588" s="37" t="str">
        <f t="shared" si="391"/>
        <v/>
      </c>
      <c r="T3588" s="38" t="str">
        <f t="shared" si="392"/>
        <v/>
      </c>
      <c r="U3588" s="37" t="str">
        <f t="shared" si="393"/>
        <v/>
      </c>
    </row>
    <row r="3589" spans="2:21" ht="17.25">
      <c r="B3589" s="156"/>
      <c r="C3589" s="156"/>
      <c r="D3589" s="157"/>
      <c r="E3589" s="155"/>
      <c r="F3589" s="151"/>
      <c r="G3589" s="152"/>
      <c r="H3589" s="153"/>
      <c r="I3589" s="154"/>
      <c r="J3589" s="154"/>
      <c r="K3589" s="30" t="str">
        <f>IF(H3589="","",IF($C$30="간이법","",FPR(H3589,I3589,J3589)))</f>
        <v/>
      </c>
      <c r="L3589" s="30" t="str">
        <f>IF(H3589="","",IF($C$30="상세법",FPV(H3589,K3589),IF(H3589="EI",4,IF(H3589="EO",5.2,IF(H3589="EQ",3.9,IF(H3589="ILF",7.5,IF(H3589="EIF",5.4)))))))</f>
        <v/>
      </c>
      <c r="M3589" s="30" t="str">
        <f t="shared" si="387"/>
        <v/>
      </c>
      <c r="N3589" s="134"/>
      <c r="O3589" s="29"/>
      <c r="P3589" s="37" t="str">
        <f t="shared" si="388"/>
        <v/>
      </c>
      <c r="Q3589" s="38" t="str">
        <f t="shared" si="389"/>
        <v/>
      </c>
      <c r="R3589" s="37" t="str">
        <f t="shared" si="390"/>
        <v/>
      </c>
      <c r="S3589" s="37" t="str">
        <f t="shared" si="391"/>
        <v/>
      </c>
      <c r="T3589" s="38" t="str">
        <f t="shared" si="392"/>
        <v/>
      </c>
      <c r="U3589" s="37" t="str">
        <f t="shared" si="393"/>
        <v/>
      </c>
    </row>
    <row r="3590" spans="2:21" ht="17.25">
      <c r="B3590" s="156"/>
      <c r="C3590" s="156"/>
      <c r="D3590" s="157"/>
      <c r="E3590" s="155"/>
      <c r="F3590" s="151"/>
      <c r="G3590" s="152"/>
      <c r="H3590" s="153"/>
      <c r="I3590" s="154"/>
      <c r="J3590" s="154"/>
      <c r="K3590" s="30" t="str">
        <f>IF(H3590="","",IF($C$30="간이법","",FPR(H3590,I3590,J3590)))</f>
        <v/>
      </c>
      <c r="L3590" s="30" t="str">
        <f>IF(H3590="","",IF($C$30="상세법",FPV(H3590,K3590),IF(H3590="EI",4,IF(H3590="EO",5.2,IF(H3590="EQ",3.9,IF(H3590="ILF",7.5,IF(H3590="EIF",5.4)))))))</f>
        <v/>
      </c>
      <c r="M3590" s="30" t="str">
        <f t="shared" si="387"/>
        <v/>
      </c>
      <c r="N3590" s="134"/>
      <c r="O3590" s="29"/>
      <c r="P3590" s="37" t="str">
        <f t="shared" si="388"/>
        <v/>
      </c>
      <c r="Q3590" s="38" t="str">
        <f t="shared" si="389"/>
        <v/>
      </c>
      <c r="R3590" s="37" t="str">
        <f t="shared" si="390"/>
        <v/>
      </c>
      <c r="S3590" s="37" t="str">
        <f t="shared" si="391"/>
        <v/>
      </c>
      <c r="T3590" s="38" t="str">
        <f t="shared" si="392"/>
        <v/>
      </c>
      <c r="U3590" s="37" t="str">
        <f t="shared" si="393"/>
        <v/>
      </c>
    </row>
    <row r="3591" spans="2:21" ht="17.25">
      <c r="B3591" s="156"/>
      <c r="C3591" s="156"/>
      <c r="D3591" s="157"/>
      <c r="E3591" s="155"/>
      <c r="F3591" s="151"/>
      <c r="G3591" s="152"/>
      <c r="H3591" s="153"/>
      <c r="I3591" s="154"/>
      <c r="J3591" s="154"/>
      <c r="K3591" s="30" t="str">
        <f>IF(H3591="","",IF($C$30="간이법","",FPR(H3591,I3591,J3591)))</f>
        <v/>
      </c>
      <c r="L3591" s="30" t="str">
        <f>IF(H3591="","",IF($C$30="상세법",FPV(H3591,K3591),IF(H3591="EI",4,IF(H3591="EO",5.2,IF(H3591="EQ",3.9,IF(H3591="ILF",7.5,IF(H3591="EIF",5.4)))))))</f>
        <v/>
      </c>
      <c r="M3591" s="30" t="str">
        <f t="shared" si="387"/>
        <v/>
      </c>
      <c r="N3591" s="134"/>
      <c r="O3591" s="29"/>
      <c r="P3591" s="37" t="str">
        <f t="shared" si="388"/>
        <v/>
      </c>
      <c r="Q3591" s="38" t="str">
        <f t="shared" si="389"/>
        <v/>
      </c>
      <c r="R3591" s="37" t="str">
        <f t="shared" si="390"/>
        <v/>
      </c>
      <c r="S3591" s="37" t="str">
        <f t="shared" si="391"/>
        <v/>
      </c>
      <c r="T3591" s="38" t="str">
        <f t="shared" si="392"/>
        <v/>
      </c>
      <c r="U3591" s="37" t="str">
        <f t="shared" si="393"/>
        <v/>
      </c>
    </row>
    <row r="3592" spans="2:21" ht="17.25">
      <c r="B3592" s="156"/>
      <c r="C3592" s="156"/>
      <c r="D3592" s="157"/>
      <c r="E3592" s="155"/>
      <c r="F3592" s="151"/>
      <c r="G3592" s="152"/>
      <c r="H3592" s="153"/>
      <c r="I3592" s="154"/>
      <c r="J3592" s="154"/>
      <c r="K3592" s="30" t="str">
        <f>IF(H3592="","",IF($C$30="간이법","",FPR(H3592,I3592,J3592)))</f>
        <v/>
      </c>
      <c r="L3592" s="30" t="str">
        <f>IF(H3592="","",IF($C$30="상세법",FPV(H3592,K3592),IF(H3592="EI",4,IF(H3592="EO",5.2,IF(H3592="EQ",3.9,IF(H3592="ILF",7.5,IF(H3592="EIF",5.4)))))))</f>
        <v/>
      </c>
      <c r="M3592" s="30" t="str">
        <f t="shared" si="387"/>
        <v/>
      </c>
      <c r="N3592" s="134"/>
      <c r="O3592" s="29"/>
      <c r="P3592" s="37" t="str">
        <f t="shared" si="388"/>
        <v/>
      </c>
      <c r="Q3592" s="38" t="str">
        <f t="shared" si="389"/>
        <v/>
      </c>
      <c r="R3592" s="37" t="str">
        <f t="shared" si="390"/>
        <v/>
      </c>
      <c r="S3592" s="37" t="str">
        <f t="shared" si="391"/>
        <v/>
      </c>
      <c r="T3592" s="38" t="str">
        <f t="shared" si="392"/>
        <v/>
      </c>
      <c r="U3592" s="37" t="str">
        <f t="shared" si="393"/>
        <v/>
      </c>
    </row>
    <row r="3593" spans="2:21" ht="17.25">
      <c r="B3593" s="156"/>
      <c r="C3593" s="156"/>
      <c r="D3593" s="157"/>
      <c r="E3593" s="155"/>
      <c r="F3593" s="151"/>
      <c r="G3593" s="152"/>
      <c r="H3593" s="153"/>
      <c r="I3593" s="154"/>
      <c r="J3593" s="154"/>
      <c r="K3593" s="30" t="str">
        <f>IF(H3593="","",IF($C$30="간이법","",FPR(H3593,I3593,J3593)))</f>
        <v/>
      </c>
      <c r="L3593" s="30" t="str">
        <f>IF(H3593="","",IF($C$30="상세법",FPV(H3593,K3593),IF(H3593="EI",4,IF(H3593="EO",5.2,IF(H3593="EQ",3.9,IF(H3593="ILF",7.5,IF(H3593="EIF",5.4)))))))</f>
        <v/>
      </c>
      <c r="M3593" s="30" t="str">
        <f t="shared" si="387"/>
        <v/>
      </c>
      <c r="N3593" s="134"/>
      <c r="O3593" s="29"/>
      <c r="P3593" s="37" t="str">
        <f t="shared" si="388"/>
        <v/>
      </c>
      <c r="Q3593" s="38" t="str">
        <f t="shared" si="389"/>
        <v/>
      </c>
      <c r="R3593" s="37" t="str">
        <f t="shared" si="390"/>
        <v/>
      </c>
      <c r="S3593" s="37" t="str">
        <f t="shared" si="391"/>
        <v/>
      </c>
      <c r="T3593" s="38" t="str">
        <f t="shared" si="392"/>
        <v/>
      </c>
      <c r="U3593" s="37" t="str">
        <f t="shared" si="393"/>
        <v/>
      </c>
    </row>
    <row r="3594" spans="2:21" ht="17.25">
      <c r="B3594" s="156"/>
      <c r="C3594" s="156"/>
      <c r="D3594" s="157"/>
      <c r="E3594" s="155"/>
      <c r="F3594" s="151"/>
      <c r="G3594" s="152"/>
      <c r="H3594" s="153"/>
      <c r="I3594" s="154"/>
      <c r="J3594" s="154"/>
      <c r="K3594" s="30" t="str">
        <f>IF(H3594="","",IF($C$30="간이법","",FPR(H3594,I3594,J3594)))</f>
        <v/>
      </c>
      <c r="L3594" s="30" t="str">
        <f>IF(H3594="","",IF($C$30="상세법",FPV(H3594,K3594),IF(H3594="EI",4,IF(H3594="EO",5.2,IF(H3594="EQ",3.9,IF(H3594="ILF",7.5,IF(H3594="EIF",5.4)))))))</f>
        <v/>
      </c>
      <c r="M3594" s="30" t="str">
        <f t="shared" si="387"/>
        <v/>
      </c>
      <c r="N3594" s="134"/>
      <c r="O3594" s="29"/>
      <c r="P3594" s="37" t="str">
        <f t="shared" si="388"/>
        <v/>
      </c>
      <c r="Q3594" s="38" t="str">
        <f t="shared" si="389"/>
        <v/>
      </c>
      <c r="R3594" s="37" t="str">
        <f t="shared" si="390"/>
        <v/>
      </c>
      <c r="S3594" s="37" t="str">
        <f t="shared" si="391"/>
        <v/>
      </c>
      <c r="T3594" s="38" t="str">
        <f t="shared" si="392"/>
        <v/>
      </c>
      <c r="U3594" s="37" t="str">
        <f t="shared" si="393"/>
        <v/>
      </c>
    </row>
    <row r="3595" spans="2:21" ht="17.25">
      <c r="B3595" s="156"/>
      <c r="C3595" s="156"/>
      <c r="D3595" s="157"/>
      <c r="E3595" s="155"/>
      <c r="F3595" s="151"/>
      <c r="G3595" s="152"/>
      <c r="H3595" s="153"/>
      <c r="I3595" s="154"/>
      <c r="J3595" s="154"/>
      <c r="K3595" s="30" t="str">
        <f>IF(H3595="","",IF($C$30="간이법","",FPR(H3595,I3595,J3595)))</f>
        <v/>
      </c>
      <c r="L3595" s="30" t="str">
        <f>IF(H3595="","",IF($C$30="상세법",FPV(H3595,K3595),IF(H3595="EI",4,IF(H3595="EO",5.2,IF(H3595="EQ",3.9,IF(H3595="ILF",7.5,IF(H3595="EIF",5.4)))))))</f>
        <v/>
      </c>
      <c r="M3595" s="30" t="str">
        <f t="shared" si="387"/>
        <v/>
      </c>
      <c r="N3595" s="134"/>
      <c r="O3595" s="29"/>
      <c r="P3595" s="37" t="str">
        <f t="shared" si="388"/>
        <v/>
      </c>
      <c r="Q3595" s="38" t="str">
        <f t="shared" si="389"/>
        <v/>
      </c>
      <c r="R3595" s="37" t="str">
        <f t="shared" si="390"/>
        <v/>
      </c>
      <c r="S3595" s="37" t="str">
        <f t="shared" si="391"/>
        <v/>
      </c>
      <c r="T3595" s="38" t="str">
        <f t="shared" si="392"/>
        <v/>
      </c>
      <c r="U3595" s="37" t="str">
        <f t="shared" si="393"/>
        <v/>
      </c>
    </row>
    <row r="3596" spans="2:21" ht="17.25">
      <c r="B3596" s="156"/>
      <c r="C3596" s="156"/>
      <c r="D3596" s="157"/>
      <c r="E3596" s="155"/>
      <c r="F3596" s="151"/>
      <c r="G3596" s="152"/>
      <c r="H3596" s="153"/>
      <c r="I3596" s="154"/>
      <c r="J3596" s="154"/>
      <c r="K3596" s="30" t="str">
        <f>IF(H3596="","",IF($C$30="간이법","",FPR(H3596,I3596,J3596)))</f>
        <v/>
      </c>
      <c r="L3596" s="30" t="str">
        <f>IF(H3596="","",IF($C$30="상세법",FPV(H3596,K3596),IF(H3596="EI",4,IF(H3596="EO",5.2,IF(H3596="EQ",3.9,IF(H3596="ILF",7.5,IF(H3596="EIF",5.4)))))))</f>
        <v/>
      </c>
      <c r="M3596" s="30" t="str">
        <f t="shared" si="387"/>
        <v/>
      </c>
      <c r="N3596" s="134"/>
      <c r="O3596" s="29"/>
      <c r="P3596" s="37" t="str">
        <f t="shared" si="388"/>
        <v/>
      </c>
      <c r="Q3596" s="38" t="str">
        <f t="shared" si="389"/>
        <v/>
      </c>
      <c r="R3596" s="37" t="str">
        <f t="shared" si="390"/>
        <v/>
      </c>
      <c r="S3596" s="37" t="str">
        <f t="shared" si="391"/>
        <v/>
      </c>
      <c r="T3596" s="38" t="str">
        <f t="shared" si="392"/>
        <v/>
      </c>
      <c r="U3596" s="37" t="str">
        <f t="shared" si="393"/>
        <v/>
      </c>
    </row>
    <row r="3597" spans="2:21" ht="17.25">
      <c r="B3597" s="156"/>
      <c r="C3597" s="156"/>
      <c r="D3597" s="157"/>
      <c r="E3597" s="155"/>
      <c r="F3597" s="151"/>
      <c r="G3597" s="152"/>
      <c r="H3597" s="153"/>
      <c r="I3597" s="154"/>
      <c r="J3597" s="154"/>
      <c r="K3597" s="30" t="str">
        <f>IF(H3597="","",IF($C$30="간이법","",FPR(H3597,I3597,J3597)))</f>
        <v/>
      </c>
      <c r="L3597" s="30" t="str">
        <f>IF(H3597="","",IF($C$30="상세법",FPV(H3597,K3597),IF(H3597="EI",4,IF(H3597="EO",5.2,IF(H3597="EQ",3.9,IF(H3597="ILF",7.5,IF(H3597="EIF",5.4)))))))</f>
        <v/>
      </c>
      <c r="M3597" s="30" t="str">
        <f t="shared" si="387"/>
        <v/>
      </c>
      <c r="N3597" s="134"/>
      <c r="O3597" s="29"/>
      <c r="P3597" s="37" t="str">
        <f t="shared" si="388"/>
        <v/>
      </c>
      <c r="Q3597" s="38" t="str">
        <f t="shared" si="389"/>
        <v/>
      </c>
      <c r="R3597" s="37" t="str">
        <f t="shared" si="390"/>
        <v/>
      </c>
      <c r="S3597" s="37" t="str">
        <f t="shared" si="391"/>
        <v/>
      </c>
      <c r="T3597" s="38" t="str">
        <f t="shared" si="392"/>
        <v/>
      </c>
      <c r="U3597" s="37" t="str">
        <f t="shared" si="393"/>
        <v/>
      </c>
    </row>
    <row r="3598" spans="2:21" ht="17.25">
      <c r="B3598" s="156"/>
      <c r="C3598" s="156"/>
      <c r="D3598" s="157"/>
      <c r="E3598" s="155"/>
      <c r="F3598" s="151"/>
      <c r="G3598" s="152"/>
      <c r="H3598" s="153"/>
      <c r="I3598" s="154"/>
      <c r="J3598" s="154"/>
      <c r="K3598" s="30" t="str">
        <f>IF(H3598="","",IF($C$30="간이법","",FPR(H3598,I3598,J3598)))</f>
        <v/>
      </c>
      <c r="L3598" s="30" t="str">
        <f>IF(H3598="","",IF($C$30="상세법",FPV(H3598,K3598),IF(H3598="EI",4,IF(H3598="EO",5.2,IF(H3598="EQ",3.9,IF(H3598="ILF",7.5,IF(H3598="EIF",5.4)))))))</f>
        <v/>
      </c>
      <c r="M3598" s="30" t="str">
        <f t="shared" si="387"/>
        <v/>
      </c>
      <c r="N3598" s="134"/>
      <c r="O3598" s="29"/>
      <c r="P3598" s="37" t="str">
        <f t="shared" si="388"/>
        <v/>
      </c>
      <c r="Q3598" s="38" t="str">
        <f t="shared" si="389"/>
        <v/>
      </c>
      <c r="R3598" s="37" t="str">
        <f t="shared" si="390"/>
        <v/>
      </c>
      <c r="S3598" s="37" t="str">
        <f t="shared" si="391"/>
        <v/>
      </c>
      <c r="T3598" s="38" t="str">
        <f t="shared" si="392"/>
        <v/>
      </c>
      <c r="U3598" s="37" t="str">
        <f t="shared" si="393"/>
        <v/>
      </c>
    </row>
    <row r="3599" spans="2:21" ht="17.25">
      <c r="B3599" s="156"/>
      <c r="C3599" s="156"/>
      <c r="D3599" s="157"/>
      <c r="E3599" s="155"/>
      <c r="F3599" s="151"/>
      <c r="G3599" s="152"/>
      <c r="H3599" s="153"/>
      <c r="I3599" s="154"/>
      <c r="J3599" s="154"/>
      <c r="K3599" s="30" t="str">
        <f>IF(H3599="","",IF($C$30="간이법","",FPR(H3599,I3599,J3599)))</f>
        <v/>
      </c>
      <c r="L3599" s="30" t="str">
        <f>IF(H3599="","",IF($C$30="상세법",FPV(H3599,K3599),IF(H3599="EI",4,IF(H3599="EO",5.2,IF(H3599="EQ",3.9,IF(H3599="ILF",7.5,IF(H3599="EIF",5.4)))))))</f>
        <v/>
      </c>
      <c r="M3599" s="30" t="str">
        <f t="shared" si="387"/>
        <v/>
      </c>
      <c r="N3599" s="134"/>
      <c r="O3599" s="29"/>
      <c r="P3599" s="37" t="str">
        <f t="shared" si="388"/>
        <v/>
      </c>
      <c r="Q3599" s="38" t="str">
        <f t="shared" si="389"/>
        <v/>
      </c>
      <c r="R3599" s="37" t="str">
        <f t="shared" si="390"/>
        <v/>
      </c>
      <c r="S3599" s="37" t="str">
        <f t="shared" si="391"/>
        <v/>
      </c>
      <c r="T3599" s="38" t="str">
        <f t="shared" si="392"/>
        <v/>
      </c>
      <c r="U3599" s="37" t="str">
        <f t="shared" si="393"/>
        <v/>
      </c>
    </row>
    <row r="3600" spans="2:21" ht="17.25">
      <c r="B3600" s="156"/>
      <c r="C3600" s="156"/>
      <c r="D3600" s="157"/>
      <c r="E3600" s="155"/>
      <c r="F3600" s="151"/>
      <c r="G3600" s="152"/>
      <c r="H3600" s="153"/>
      <c r="I3600" s="154"/>
      <c r="J3600" s="154"/>
      <c r="K3600" s="30" t="str">
        <f>IF(H3600="","",IF($C$30="간이법","",FPR(H3600,I3600,J3600)))</f>
        <v/>
      </c>
      <c r="L3600" s="30" t="str">
        <f>IF(H3600="","",IF($C$30="상세법",FPV(H3600,K3600),IF(H3600="EI",4,IF(H3600="EO",5.2,IF(H3600="EQ",3.9,IF(H3600="ILF",7.5,IF(H3600="EIF",5.4)))))))</f>
        <v/>
      </c>
      <c r="M3600" s="30" t="str">
        <f t="shared" si="387"/>
        <v/>
      </c>
      <c r="N3600" s="134"/>
      <c r="O3600" s="29"/>
      <c r="P3600" s="37" t="str">
        <f t="shared" si="388"/>
        <v/>
      </c>
      <c r="Q3600" s="38" t="str">
        <f t="shared" si="389"/>
        <v/>
      </c>
      <c r="R3600" s="37" t="str">
        <f t="shared" si="390"/>
        <v/>
      </c>
      <c r="S3600" s="37" t="str">
        <f t="shared" si="391"/>
        <v/>
      </c>
      <c r="T3600" s="38" t="str">
        <f t="shared" si="392"/>
        <v/>
      </c>
      <c r="U3600" s="37" t="str">
        <f t="shared" si="393"/>
        <v/>
      </c>
    </row>
    <row r="3601" spans="2:21" ht="17.25">
      <c r="B3601" s="156"/>
      <c r="C3601" s="156"/>
      <c r="D3601" s="157"/>
      <c r="E3601" s="155"/>
      <c r="F3601" s="151"/>
      <c r="G3601" s="152"/>
      <c r="H3601" s="153"/>
      <c r="I3601" s="154"/>
      <c r="J3601" s="154"/>
      <c r="K3601" s="30" t="str">
        <f>IF(H3601="","",IF($C$30="간이법","",FPR(H3601,I3601,J3601)))</f>
        <v/>
      </c>
      <c r="L3601" s="30" t="str">
        <f>IF(H3601="","",IF($C$30="상세법",FPV(H3601,K3601),IF(H3601="EI",4,IF(H3601="EO",5.2,IF(H3601="EQ",3.9,IF(H3601="ILF",7.5,IF(H3601="EIF",5.4)))))))</f>
        <v/>
      </c>
      <c r="M3601" s="30" t="str">
        <f t="shared" si="387"/>
        <v/>
      </c>
      <c r="N3601" s="134"/>
      <c r="O3601" s="29"/>
      <c r="P3601" s="37" t="str">
        <f t="shared" si="388"/>
        <v/>
      </c>
      <c r="Q3601" s="38" t="str">
        <f t="shared" si="389"/>
        <v/>
      </c>
      <c r="R3601" s="37" t="str">
        <f t="shared" si="390"/>
        <v/>
      </c>
      <c r="S3601" s="37" t="str">
        <f t="shared" si="391"/>
        <v/>
      </c>
      <c r="T3601" s="38" t="str">
        <f t="shared" si="392"/>
        <v/>
      </c>
      <c r="U3601" s="37" t="str">
        <f t="shared" si="393"/>
        <v/>
      </c>
    </row>
    <row r="3602" spans="2:21" ht="17.25">
      <c r="B3602" s="156"/>
      <c r="C3602" s="156"/>
      <c r="D3602" s="157"/>
      <c r="E3602" s="155"/>
      <c r="F3602" s="151"/>
      <c r="G3602" s="152"/>
      <c r="H3602" s="153"/>
      <c r="I3602" s="154"/>
      <c r="J3602" s="154"/>
      <c r="K3602" s="30" t="str">
        <f>IF(H3602="","",IF($C$30="간이법","",FPR(H3602,I3602,J3602)))</f>
        <v/>
      </c>
      <c r="L3602" s="30" t="str">
        <f>IF(H3602="","",IF($C$30="상세법",FPV(H3602,K3602),IF(H3602="EI",4,IF(H3602="EO",5.2,IF(H3602="EQ",3.9,IF(H3602="ILF",7.5,IF(H3602="EIF",5.4)))))))</f>
        <v/>
      </c>
      <c r="M3602" s="30" t="str">
        <f t="shared" si="387"/>
        <v/>
      </c>
      <c r="N3602" s="134"/>
      <c r="O3602" s="29"/>
      <c r="P3602" s="37" t="str">
        <f t="shared" si="388"/>
        <v/>
      </c>
      <c r="Q3602" s="38" t="str">
        <f t="shared" si="389"/>
        <v/>
      </c>
      <c r="R3602" s="37" t="str">
        <f t="shared" si="390"/>
        <v/>
      </c>
      <c r="S3602" s="37" t="str">
        <f t="shared" si="391"/>
        <v/>
      </c>
      <c r="T3602" s="38" t="str">
        <f t="shared" si="392"/>
        <v/>
      </c>
      <c r="U3602" s="37" t="str">
        <f t="shared" si="393"/>
        <v/>
      </c>
    </row>
    <row r="3603" spans="2:21" ht="17.25">
      <c r="B3603" s="156"/>
      <c r="C3603" s="156"/>
      <c r="D3603" s="157"/>
      <c r="E3603" s="155"/>
      <c r="F3603" s="151"/>
      <c r="G3603" s="152"/>
      <c r="H3603" s="153"/>
      <c r="I3603" s="154"/>
      <c r="J3603" s="154"/>
      <c r="K3603" s="30" t="str">
        <f>IF(H3603="","",IF($C$30="간이법","",FPR(H3603,I3603,J3603)))</f>
        <v/>
      </c>
      <c r="L3603" s="30" t="str">
        <f>IF(H3603="","",IF($C$30="상세법",FPV(H3603,K3603),IF(H3603="EI",4,IF(H3603="EO",5.2,IF(H3603="EQ",3.9,IF(H3603="ILF",7.5,IF(H3603="EIF",5.4)))))))</f>
        <v/>
      </c>
      <c r="M3603" s="30" t="str">
        <f t="shared" si="387"/>
        <v/>
      </c>
      <c r="N3603" s="134"/>
      <c r="O3603" s="29"/>
      <c r="P3603" s="37" t="str">
        <f t="shared" si="388"/>
        <v/>
      </c>
      <c r="Q3603" s="38" t="str">
        <f t="shared" si="389"/>
        <v/>
      </c>
      <c r="R3603" s="37" t="str">
        <f t="shared" si="390"/>
        <v/>
      </c>
      <c r="S3603" s="37" t="str">
        <f t="shared" si="391"/>
        <v/>
      </c>
      <c r="T3603" s="38" t="str">
        <f t="shared" si="392"/>
        <v/>
      </c>
      <c r="U3603" s="37" t="str">
        <f t="shared" si="393"/>
        <v/>
      </c>
    </row>
    <row r="3604" spans="2:21" ht="17.25">
      <c r="B3604" s="156"/>
      <c r="C3604" s="156"/>
      <c r="D3604" s="157"/>
      <c r="E3604" s="155"/>
      <c r="F3604" s="151"/>
      <c r="G3604" s="152"/>
      <c r="H3604" s="153"/>
      <c r="I3604" s="154"/>
      <c r="J3604" s="154"/>
      <c r="K3604" s="30" t="str">
        <f>IF(H3604="","",IF($C$30="간이법","",FPR(H3604,I3604,J3604)))</f>
        <v/>
      </c>
      <c r="L3604" s="30" t="str">
        <f>IF(H3604="","",IF($C$30="상세법",FPV(H3604,K3604),IF(H3604="EI",4,IF(H3604="EO",5.2,IF(H3604="EQ",3.9,IF(H3604="ILF",7.5,IF(H3604="EIF",5.4)))))))</f>
        <v/>
      </c>
      <c r="M3604" s="30" t="str">
        <f t="shared" si="387"/>
        <v/>
      </c>
      <c r="N3604" s="134"/>
      <c r="O3604" s="29"/>
      <c r="P3604" s="37" t="str">
        <f t="shared" si="388"/>
        <v/>
      </c>
      <c r="Q3604" s="38" t="str">
        <f t="shared" si="389"/>
        <v/>
      </c>
      <c r="R3604" s="37" t="str">
        <f t="shared" si="390"/>
        <v/>
      </c>
      <c r="S3604" s="37" t="str">
        <f t="shared" si="391"/>
        <v/>
      </c>
      <c r="T3604" s="38" t="str">
        <f t="shared" si="392"/>
        <v/>
      </c>
      <c r="U3604" s="37" t="str">
        <f t="shared" si="393"/>
        <v/>
      </c>
    </row>
    <row r="3605" spans="2:21" ht="17.25">
      <c r="B3605" s="156"/>
      <c r="C3605" s="156"/>
      <c r="D3605" s="157"/>
      <c r="E3605" s="155"/>
      <c r="F3605" s="151"/>
      <c r="G3605" s="152"/>
      <c r="H3605" s="153"/>
      <c r="I3605" s="154"/>
      <c r="J3605" s="154"/>
      <c r="K3605" s="30" t="str">
        <f>IF(H3605="","",IF($C$30="간이법","",FPR(H3605,I3605,J3605)))</f>
        <v/>
      </c>
      <c r="L3605" s="30" t="str">
        <f>IF(H3605="","",IF($C$30="상세법",FPV(H3605,K3605),IF(H3605="EI",4,IF(H3605="EO",5.2,IF(H3605="EQ",3.9,IF(H3605="ILF",7.5,IF(H3605="EIF",5.4)))))))</f>
        <v/>
      </c>
      <c r="M3605" s="30" t="str">
        <f t="shared" si="387"/>
        <v/>
      </c>
      <c r="N3605" s="134"/>
      <c r="O3605" s="29"/>
      <c r="P3605" s="37" t="str">
        <f t="shared" si="388"/>
        <v/>
      </c>
      <c r="Q3605" s="38" t="str">
        <f t="shared" si="389"/>
        <v/>
      </c>
      <c r="R3605" s="37" t="str">
        <f t="shared" si="390"/>
        <v/>
      </c>
      <c r="S3605" s="37" t="str">
        <f t="shared" si="391"/>
        <v/>
      </c>
      <c r="T3605" s="38" t="str">
        <f t="shared" si="392"/>
        <v/>
      </c>
      <c r="U3605" s="37" t="str">
        <f t="shared" si="393"/>
        <v/>
      </c>
    </row>
    <row r="3606" spans="2:21" ht="17.25">
      <c r="B3606" s="156"/>
      <c r="C3606" s="156"/>
      <c r="D3606" s="157"/>
      <c r="E3606" s="155"/>
      <c r="F3606" s="151"/>
      <c r="G3606" s="152"/>
      <c r="H3606" s="153"/>
      <c r="I3606" s="154"/>
      <c r="J3606" s="154"/>
      <c r="K3606" s="30" t="str">
        <f>IF(H3606="","",IF($C$30="간이법","",FPR(H3606,I3606,J3606)))</f>
        <v/>
      </c>
      <c r="L3606" s="30" t="str">
        <f>IF(H3606="","",IF($C$30="상세법",FPV(H3606,K3606),IF(H3606="EI",4,IF(H3606="EO",5.2,IF(H3606="EQ",3.9,IF(H3606="ILF",7.5,IF(H3606="EIF",5.4)))))))</f>
        <v/>
      </c>
      <c r="M3606" s="30" t="str">
        <f t="shared" si="387"/>
        <v/>
      </c>
      <c r="N3606" s="134"/>
      <c r="O3606" s="29"/>
      <c r="P3606" s="37" t="str">
        <f t="shared" si="388"/>
        <v/>
      </c>
      <c r="Q3606" s="38" t="str">
        <f t="shared" si="389"/>
        <v/>
      </c>
      <c r="R3606" s="37" t="str">
        <f t="shared" si="390"/>
        <v/>
      </c>
      <c r="S3606" s="37" t="str">
        <f t="shared" si="391"/>
        <v/>
      </c>
      <c r="T3606" s="38" t="str">
        <f t="shared" si="392"/>
        <v/>
      </c>
      <c r="U3606" s="37" t="str">
        <f t="shared" si="393"/>
        <v/>
      </c>
    </row>
    <row r="3607" spans="2:21" ht="17.25">
      <c r="B3607" s="156"/>
      <c r="C3607" s="156"/>
      <c r="D3607" s="157"/>
      <c r="E3607" s="155"/>
      <c r="F3607" s="151"/>
      <c r="G3607" s="152"/>
      <c r="H3607" s="153"/>
      <c r="I3607" s="154"/>
      <c r="J3607" s="154"/>
      <c r="K3607" s="30" t="str">
        <f>IF(H3607="","",IF($C$30="간이법","",FPR(H3607,I3607,J3607)))</f>
        <v/>
      </c>
      <c r="L3607" s="30" t="str">
        <f>IF(H3607="","",IF($C$30="상세법",FPV(H3607,K3607),IF(H3607="EI",4,IF(H3607="EO",5.2,IF(H3607="EQ",3.9,IF(H3607="ILF",7.5,IF(H3607="EIF",5.4)))))))</f>
        <v/>
      </c>
      <c r="M3607" s="30" t="str">
        <f t="shared" si="387"/>
        <v/>
      </c>
      <c r="N3607" s="134"/>
      <c r="O3607" s="29"/>
      <c r="P3607" s="37" t="str">
        <f t="shared" si="388"/>
        <v/>
      </c>
      <c r="Q3607" s="38" t="str">
        <f t="shared" si="389"/>
        <v/>
      </c>
      <c r="R3607" s="37" t="str">
        <f t="shared" si="390"/>
        <v/>
      </c>
      <c r="S3607" s="37" t="str">
        <f t="shared" si="391"/>
        <v/>
      </c>
      <c r="T3607" s="38" t="str">
        <f t="shared" si="392"/>
        <v/>
      </c>
      <c r="U3607" s="37" t="str">
        <f t="shared" si="393"/>
        <v/>
      </c>
    </row>
    <row r="3608" spans="2:21" ht="17.25">
      <c r="B3608" s="156"/>
      <c r="C3608" s="156"/>
      <c r="D3608" s="157"/>
      <c r="E3608" s="155"/>
      <c r="F3608" s="151"/>
      <c r="G3608" s="152"/>
      <c r="H3608" s="153"/>
      <c r="I3608" s="154"/>
      <c r="J3608" s="154"/>
      <c r="K3608" s="30" t="str">
        <f>IF(H3608="","",IF($C$30="간이법","",FPR(H3608,I3608,J3608)))</f>
        <v/>
      </c>
      <c r="L3608" s="30" t="str">
        <f>IF(H3608="","",IF($C$30="상세법",FPV(H3608,K3608),IF(H3608="EI",4,IF(H3608="EO",5.2,IF(H3608="EQ",3.9,IF(H3608="ILF",7.5,IF(H3608="EIF",5.4)))))))</f>
        <v/>
      </c>
      <c r="M3608" s="30" t="str">
        <f t="shared" si="387"/>
        <v/>
      </c>
      <c r="N3608" s="134"/>
      <c r="O3608" s="29"/>
      <c r="P3608" s="37" t="str">
        <f t="shared" si="388"/>
        <v/>
      </c>
      <c r="Q3608" s="38" t="str">
        <f t="shared" si="389"/>
        <v/>
      </c>
      <c r="R3608" s="37" t="str">
        <f t="shared" si="390"/>
        <v/>
      </c>
      <c r="S3608" s="37" t="str">
        <f t="shared" si="391"/>
        <v/>
      </c>
      <c r="T3608" s="38" t="str">
        <f t="shared" si="392"/>
        <v/>
      </c>
      <c r="U3608" s="37" t="str">
        <f t="shared" si="393"/>
        <v/>
      </c>
    </row>
    <row r="3609" spans="2:21" ht="17.25">
      <c r="B3609" s="156"/>
      <c r="C3609" s="156"/>
      <c r="D3609" s="157"/>
      <c r="E3609" s="155"/>
      <c r="F3609" s="151"/>
      <c r="G3609" s="152"/>
      <c r="H3609" s="153"/>
      <c r="I3609" s="154"/>
      <c r="J3609" s="154"/>
      <c r="K3609" s="30" t="str">
        <f>IF(H3609="","",IF($C$30="간이법","",FPR(H3609,I3609,J3609)))</f>
        <v/>
      </c>
      <c r="L3609" s="30" t="str">
        <f>IF(H3609="","",IF($C$30="상세법",FPV(H3609,K3609),IF(H3609="EI",4,IF(H3609="EO",5.2,IF(H3609="EQ",3.9,IF(H3609="ILF",7.5,IF(H3609="EIF",5.4)))))))</f>
        <v/>
      </c>
      <c r="M3609" s="30" t="str">
        <f t="shared" si="387"/>
        <v/>
      </c>
      <c r="N3609" s="134"/>
      <c r="O3609" s="29"/>
      <c r="P3609" s="37" t="str">
        <f t="shared" si="388"/>
        <v/>
      </c>
      <c r="Q3609" s="38" t="str">
        <f t="shared" si="389"/>
        <v/>
      </c>
      <c r="R3609" s="37" t="str">
        <f t="shared" si="390"/>
        <v/>
      </c>
      <c r="S3609" s="37" t="str">
        <f t="shared" si="391"/>
        <v/>
      </c>
      <c r="T3609" s="38" t="str">
        <f t="shared" si="392"/>
        <v/>
      </c>
      <c r="U3609" s="37" t="str">
        <f t="shared" si="393"/>
        <v/>
      </c>
    </row>
    <row r="3610" spans="2:21" ht="17.25">
      <c r="B3610" s="156"/>
      <c r="C3610" s="156"/>
      <c r="D3610" s="157"/>
      <c r="E3610" s="155"/>
      <c r="F3610" s="151"/>
      <c r="G3610" s="152"/>
      <c r="H3610" s="153"/>
      <c r="I3610" s="154"/>
      <c r="J3610" s="154"/>
      <c r="K3610" s="30" t="str">
        <f>IF(H3610="","",IF($C$30="간이법","",FPR(H3610,I3610,J3610)))</f>
        <v/>
      </c>
      <c r="L3610" s="30" t="str">
        <f>IF(H3610="","",IF($C$30="상세법",FPV(H3610,K3610),IF(H3610="EI",4,IF(H3610="EO",5.2,IF(H3610="EQ",3.9,IF(H3610="ILF",7.5,IF(H3610="EIF",5.4)))))))</f>
        <v/>
      </c>
      <c r="M3610" s="30" t="str">
        <f t="shared" si="387"/>
        <v/>
      </c>
      <c r="N3610" s="134"/>
      <c r="O3610" s="29"/>
      <c r="P3610" s="37" t="str">
        <f t="shared" si="388"/>
        <v/>
      </c>
      <c r="Q3610" s="38" t="str">
        <f t="shared" si="389"/>
        <v/>
      </c>
      <c r="R3610" s="37" t="str">
        <f t="shared" si="390"/>
        <v/>
      </c>
      <c r="S3610" s="37" t="str">
        <f t="shared" si="391"/>
        <v/>
      </c>
      <c r="T3610" s="38" t="str">
        <f t="shared" si="392"/>
        <v/>
      </c>
      <c r="U3610" s="37" t="str">
        <f t="shared" si="393"/>
        <v/>
      </c>
    </row>
    <row r="3611" spans="2:21" ht="17.25">
      <c r="B3611" s="156"/>
      <c r="C3611" s="156"/>
      <c r="D3611" s="157"/>
      <c r="E3611" s="155"/>
      <c r="F3611" s="151"/>
      <c r="G3611" s="152"/>
      <c r="H3611" s="153"/>
      <c r="I3611" s="154"/>
      <c r="J3611" s="154"/>
      <c r="K3611" s="30" t="str">
        <f>IF(H3611="","",IF($C$30="간이법","",FPR(H3611,I3611,J3611)))</f>
        <v/>
      </c>
      <c r="L3611" s="30" t="str">
        <f>IF(H3611="","",IF($C$30="상세법",FPV(H3611,K3611),IF(H3611="EI",4,IF(H3611="EO",5.2,IF(H3611="EQ",3.9,IF(H3611="ILF",7.5,IF(H3611="EIF",5.4)))))))</f>
        <v/>
      </c>
      <c r="M3611" s="30" t="str">
        <f t="shared" si="387"/>
        <v/>
      </c>
      <c r="N3611" s="134"/>
      <c r="O3611" s="29"/>
      <c r="P3611" s="37" t="str">
        <f t="shared" si="388"/>
        <v/>
      </c>
      <c r="Q3611" s="38" t="str">
        <f t="shared" si="389"/>
        <v/>
      </c>
      <c r="R3611" s="37" t="str">
        <f t="shared" si="390"/>
        <v/>
      </c>
      <c r="S3611" s="37" t="str">
        <f t="shared" si="391"/>
        <v/>
      </c>
      <c r="T3611" s="38" t="str">
        <f t="shared" si="392"/>
        <v/>
      </c>
      <c r="U3611" s="37" t="str">
        <f t="shared" si="393"/>
        <v/>
      </c>
    </row>
    <row r="3612" spans="2:21" ht="17.25">
      <c r="B3612" s="156"/>
      <c r="C3612" s="156"/>
      <c r="D3612" s="157"/>
      <c r="E3612" s="155"/>
      <c r="F3612" s="151"/>
      <c r="G3612" s="152"/>
      <c r="H3612" s="153"/>
      <c r="I3612" s="154"/>
      <c r="J3612" s="154"/>
      <c r="K3612" s="30" t="str">
        <f>IF(H3612="","",IF($C$30="간이법","",FPR(H3612,I3612,J3612)))</f>
        <v/>
      </c>
      <c r="L3612" s="30" t="str">
        <f>IF(H3612="","",IF($C$30="상세법",FPV(H3612,K3612),IF(H3612="EI",4,IF(H3612="EO",5.2,IF(H3612="EQ",3.9,IF(H3612="ILF",7.5,IF(H3612="EIF",5.4)))))))</f>
        <v/>
      </c>
      <c r="M3612" s="30" t="str">
        <f t="shared" si="387"/>
        <v/>
      </c>
      <c r="N3612" s="134"/>
      <c r="O3612" s="29"/>
      <c r="P3612" s="37" t="str">
        <f t="shared" si="388"/>
        <v/>
      </c>
      <c r="Q3612" s="38" t="str">
        <f t="shared" si="389"/>
        <v/>
      </c>
      <c r="R3612" s="37" t="str">
        <f t="shared" si="390"/>
        <v/>
      </c>
      <c r="S3612" s="37" t="str">
        <f t="shared" si="391"/>
        <v/>
      </c>
      <c r="T3612" s="38" t="str">
        <f t="shared" si="392"/>
        <v/>
      </c>
      <c r="U3612" s="37" t="str">
        <f t="shared" si="393"/>
        <v/>
      </c>
    </row>
    <row r="3613" spans="2:21" ht="17.25">
      <c r="B3613" s="156"/>
      <c r="C3613" s="156"/>
      <c r="D3613" s="157"/>
      <c r="E3613" s="155"/>
      <c r="F3613" s="151"/>
      <c r="G3613" s="152"/>
      <c r="H3613" s="153"/>
      <c r="I3613" s="154"/>
      <c r="J3613" s="154"/>
      <c r="K3613" s="30" t="str">
        <f>IF(H3613="","",IF($C$30="간이법","",FPR(H3613,I3613,J3613)))</f>
        <v/>
      </c>
      <c r="L3613" s="30" t="str">
        <f>IF(H3613="","",IF($C$30="상세법",FPV(H3613,K3613),IF(H3613="EI",4,IF(H3613="EO",5.2,IF(H3613="EQ",3.9,IF(H3613="ILF",7.5,IF(H3613="EIF",5.4)))))))</f>
        <v/>
      </c>
      <c r="M3613" s="30" t="str">
        <f t="shared" si="387"/>
        <v/>
      </c>
      <c r="N3613" s="134"/>
      <c r="O3613" s="29"/>
      <c r="P3613" s="37" t="str">
        <f t="shared" si="388"/>
        <v/>
      </c>
      <c r="Q3613" s="38" t="str">
        <f t="shared" si="389"/>
        <v/>
      </c>
      <c r="R3613" s="37" t="str">
        <f t="shared" si="390"/>
        <v/>
      </c>
      <c r="S3613" s="37" t="str">
        <f t="shared" si="391"/>
        <v/>
      </c>
      <c r="T3613" s="38" t="str">
        <f t="shared" si="392"/>
        <v/>
      </c>
      <c r="U3613" s="37" t="str">
        <f t="shared" si="393"/>
        <v/>
      </c>
    </row>
    <row r="3614" spans="2:21" ht="17.25">
      <c r="B3614" s="156"/>
      <c r="C3614" s="156"/>
      <c r="D3614" s="157"/>
      <c r="E3614" s="155"/>
      <c r="F3614" s="151"/>
      <c r="G3614" s="152"/>
      <c r="H3614" s="153"/>
      <c r="I3614" s="154"/>
      <c r="J3614" s="154"/>
      <c r="K3614" s="30" t="str">
        <f>IF(H3614="","",IF($C$30="간이법","",FPR(H3614,I3614,J3614)))</f>
        <v/>
      </c>
      <c r="L3614" s="30" t="str">
        <f>IF(H3614="","",IF($C$30="상세법",FPV(H3614,K3614),IF(H3614="EI",4,IF(H3614="EO",5.2,IF(H3614="EQ",3.9,IF(H3614="ILF",7.5,IF(H3614="EIF",5.4)))))))</f>
        <v/>
      </c>
      <c r="M3614" s="30" t="str">
        <f t="shared" si="387"/>
        <v/>
      </c>
      <c r="N3614" s="134"/>
      <c r="O3614" s="29"/>
      <c r="P3614" s="37" t="str">
        <f t="shared" si="388"/>
        <v/>
      </c>
      <c r="Q3614" s="38" t="str">
        <f t="shared" si="389"/>
        <v/>
      </c>
      <c r="R3614" s="37" t="str">
        <f t="shared" si="390"/>
        <v/>
      </c>
      <c r="S3614" s="37" t="str">
        <f t="shared" si="391"/>
        <v/>
      </c>
      <c r="T3614" s="38" t="str">
        <f t="shared" si="392"/>
        <v/>
      </c>
      <c r="U3614" s="37" t="str">
        <f t="shared" si="393"/>
        <v/>
      </c>
    </row>
    <row r="3615" spans="2:21" ht="17.25">
      <c r="B3615" s="156"/>
      <c r="C3615" s="156"/>
      <c r="D3615" s="157"/>
      <c r="E3615" s="155"/>
      <c r="F3615" s="151"/>
      <c r="G3615" s="152"/>
      <c r="H3615" s="153"/>
      <c r="I3615" s="154"/>
      <c r="J3615" s="154"/>
      <c r="K3615" s="30" t="str">
        <f>IF(H3615="","",IF($C$30="간이법","",FPR(H3615,I3615,J3615)))</f>
        <v/>
      </c>
      <c r="L3615" s="30" t="str">
        <f>IF(H3615="","",IF($C$30="상세법",FPV(H3615,K3615),IF(H3615="EI",4,IF(H3615="EO",5.2,IF(H3615="EQ",3.9,IF(H3615="ILF",7.5,IF(H3615="EIF",5.4)))))))</f>
        <v/>
      </c>
      <c r="M3615" s="30" t="str">
        <f t="shared" si="387"/>
        <v/>
      </c>
      <c r="N3615" s="134"/>
      <c r="O3615" s="29"/>
      <c r="P3615" s="37" t="str">
        <f t="shared" si="388"/>
        <v/>
      </c>
      <c r="Q3615" s="38" t="str">
        <f t="shared" si="389"/>
        <v/>
      </c>
      <c r="R3615" s="37" t="str">
        <f t="shared" si="390"/>
        <v/>
      </c>
      <c r="S3615" s="37" t="str">
        <f t="shared" si="391"/>
        <v/>
      </c>
      <c r="T3615" s="38" t="str">
        <f t="shared" si="392"/>
        <v/>
      </c>
      <c r="U3615" s="37" t="str">
        <f t="shared" si="393"/>
        <v/>
      </c>
    </row>
    <row r="3616" spans="2:21" ht="17.25">
      <c r="B3616" s="156"/>
      <c r="C3616" s="156"/>
      <c r="D3616" s="157"/>
      <c r="E3616" s="155"/>
      <c r="F3616" s="151"/>
      <c r="G3616" s="152"/>
      <c r="H3616" s="153"/>
      <c r="I3616" s="154"/>
      <c r="J3616" s="154"/>
      <c r="K3616" s="30" t="str">
        <f>IF(H3616="","",IF($C$30="간이법","",FPR(H3616,I3616,J3616)))</f>
        <v/>
      </c>
      <c r="L3616" s="30" t="str">
        <f>IF(H3616="","",IF($C$30="상세법",FPV(H3616,K3616),IF(H3616="EI",4,IF(H3616="EO",5.2,IF(H3616="EQ",3.9,IF(H3616="ILF",7.5,IF(H3616="EIF",5.4)))))))</f>
        <v/>
      </c>
      <c r="M3616" s="30" t="str">
        <f t="shared" si="387"/>
        <v/>
      </c>
      <c r="N3616" s="134"/>
      <c r="O3616" s="29"/>
      <c r="P3616" s="37" t="str">
        <f t="shared" si="388"/>
        <v/>
      </c>
      <c r="Q3616" s="38" t="str">
        <f t="shared" si="389"/>
        <v/>
      </c>
      <c r="R3616" s="37" t="str">
        <f t="shared" si="390"/>
        <v/>
      </c>
      <c r="S3616" s="37" t="str">
        <f t="shared" si="391"/>
        <v/>
      </c>
      <c r="T3616" s="38" t="str">
        <f t="shared" si="392"/>
        <v/>
      </c>
      <c r="U3616" s="37" t="str">
        <f t="shared" si="393"/>
        <v/>
      </c>
    </row>
    <row r="3617" spans="2:21" ht="17.25">
      <c r="B3617" s="156"/>
      <c r="C3617" s="156"/>
      <c r="D3617" s="157"/>
      <c r="E3617" s="155"/>
      <c r="F3617" s="151"/>
      <c r="G3617" s="152"/>
      <c r="H3617" s="153"/>
      <c r="I3617" s="154"/>
      <c r="J3617" s="154"/>
      <c r="K3617" s="30" t="str">
        <f>IF(H3617="","",IF($C$30="간이법","",FPR(H3617,I3617,J3617)))</f>
        <v/>
      </c>
      <c r="L3617" s="30" t="str">
        <f>IF(H3617="","",IF($C$30="상세법",FPV(H3617,K3617),IF(H3617="EI",4,IF(H3617="EO",5.2,IF(H3617="EQ",3.9,IF(H3617="ILF",7.5,IF(H3617="EIF",5.4)))))))</f>
        <v/>
      </c>
      <c r="M3617" s="30" t="str">
        <f t="shared" si="387"/>
        <v/>
      </c>
      <c r="N3617" s="134"/>
      <c r="O3617" s="29"/>
      <c r="P3617" s="37" t="str">
        <f t="shared" si="388"/>
        <v/>
      </c>
      <c r="Q3617" s="38" t="str">
        <f t="shared" si="389"/>
        <v/>
      </c>
      <c r="R3617" s="37" t="str">
        <f t="shared" si="390"/>
        <v/>
      </c>
      <c r="S3617" s="37" t="str">
        <f t="shared" si="391"/>
        <v/>
      </c>
      <c r="T3617" s="38" t="str">
        <f t="shared" si="392"/>
        <v/>
      </c>
      <c r="U3617" s="37" t="str">
        <f t="shared" si="393"/>
        <v/>
      </c>
    </row>
    <row r="3618" spans="2:21" ht="17.25">
      <c r="B3618" s="156"/>
      <c r="C3618" s="156"/>
      <c r="D3618" s="157"/>
      <c r="E3618" s="155"/>
      <c r="F3618" s="151"/>
      <c r="G3618" s="152"/>
      <c r="H3618" s="153"/>
      <c r="I3618" s="154"/>
      <c r="J3618" s="154"/>
      <c r="K3618" s="30" t="str">
        <f>IF(H3618="","",IF($C$30="간이법","",FPR(H3618,I3618,J3618)))</f>
        <v/>
      </c>
      <c r="L3618" s="30" t="str">
        <f>IF(H3618="","",IF($C$30="상세법",FPV(H3618,K3618),IF(H3618="EI",4,IF(H3618="EO",5.2,IF(H3618="EQ",3.9,IF(H3618="ILF",7.5,IF(H3618="EIF",5.4)))))))</f>
        <v/>
      </c>
      <c r="M3618" s="30" t="str">
        <f t="shared" si="387"/>
        <v/>
      </c>
      <c r="N3618" s="134"/>
      <c r="O3618" s="29"/>
      <c r="P3618" s="37" t="str">
        <f t="shared" si="388"/>
        <v/>
      </c>
      <c r="Q3618" s="38" t="str">
        <f t="shared" si="389"/>
        <v/>
      </c>
      <c r="R3618" s="37" t="str">
        <f t="shared" si="390"/>
        <v/>
      </c>
      <c r="S3618" s="37" t="str">
        <f t="shared" si="391"/>
        <v/>
      </c>
      <c r="T3618" s="38" t="str">
        <f t="shared" si="392"/>
        <v/>
      </c>
      <c r="U3618" s="37" t="str">
        <f t="shared" si="393"/>
        <v/>
      </c>
    </row>
    <row r="3619" spans="2:21" ht="17.25">
      <c r="B3619" s="156"/>
      <c r="C3619" s="156"/>
      <c r="D3619" s="157"/>
      <c r="E3619" s="155"/>
      <c r="F3619" s="151"/>
      <c r="G3619" s="152"/>
      <c r="H3619" s="153"/>
      <c r="I3619" s="154"/>
      <c r="J3619" s="154"/>
      <c r="K3619" s="30" t="str">
        <f>IF(H3619="","",IF($C$30="간이법","",FPR(H3619,I3619,J3619)))</f>
        <v/>
      </c>
      <c r="L3619" s="30" t="str">
        <f>IF(H3619="","",IF($C$30="상세법",FPV(H3619,K3619),IF(H3619="EI",4,IF(H3619="EO",5.2,IF(H3619="EQ",3.9,IF(H3619="ILF",7.5,IF(H3619="EIF",5.4)))))))</f>
        <v/>
      </c>
      <c r="M3619" s="30" t="str">
        <f t="shared" si="387"/>
        <v/>
      </c>
      <c r="N3619" s="134"/>
      <c r="O3619" s="29"/>
      <c r="P3619" s="37" t="str">
        <f t="shared" si="388"/>
        <v/>
      </c>
      <c r="Q3619" s="38" t="str">
        <f t="shared" si="389"/>
        <v/>
      </c>
      <c r="R3619" s="37" t="str">
        <f t="shared" si="390"/>
        <v/>
      </c>
      <c r="S3619" s="37" t="str">
        <f t="shared" si="391"/>
        <v/>
      </c>
      <c r="T3619" s="38" t="str">
        <f t="shared" si="392"/>
        <v/>
      </c>
      <c r="U3619" s="37" t="str">
        <f t="shared" si="393"/>
        <v/>
      </c>
    </row>
    <row r="3620" spans="2:21" ht="17.25">
      <c r="B3620" s="156"/>
      <c r="C3620" s="156"/>
      <c r="D3620" s="157"/>
      <c r="E3620" s="155"/>
      <c r="F3620" s="151"/>
      <c r="G3620" s="152"/>
      <c r="H3620" s="153"/>
      <c r="I3620" s="154"/>
      <c r="J3620" s="154"/>
      <c r="K3620" s="30" t="str">
        <f>IF(H3620="","",IF($C$30="간이법","",FPR(H3620,I3620,J3620)))</f>
        <v/>
      </c>
      <c r="L3620" s="30" t="str">
        <f>IF(H3620="","",IF($C$30="상세법",FPV(H3620,K3620),IF(H3620="EI",4,IF(H3620="EO",5.2,IF(H3620="EQ",3.9,IF(H3620="ILF",7.5,IF(H3620="EIF",5.4)))))))</f>
        <v/>
      </c>
      <c r="M3620" s="30" t="str">
        <f t="shared" si="387"/>
        <v/>
      </c>
      <c r="N3620" s="134"/>
      <c r="O3620" s="29"/>
      <c r="P3620" s="37" t="str">
        <f t="shared" si="388"/>
        <v/>
      </c>
      <c r="Q3620" s="38" t="str">
        <f t="shared" si="389"/>
        <v/>
      </c>
      <c r="R3620" s="37" t="str">
        <f t="shared" si="390"/>
        <v/>
      </c>
      <c r="S3620" s="37" t="str">
        <f t="shared" si="391"/>
        <v/>
      </c>
      <c r="T3620" s="38" t="str">
        <f t="shared" si="392"/>
        <v/>
      </c>
      <c r="U3620" s="37" t="str">
        <f t="shared" si="393"/>
        <v/>
      </c>
    </row>
    <row r="3621" spans="2:21" ht="17.25">
      <c r="B3621" s="156"/>
      <c r="C3621" s="156"/>
      <c r="D3621" s="157"/>
      <c r="E3621" s="155"/>
      <c r="F3621" s="151"/>
      <c r="G3621" s="152"/>
      <c r="H3621" s="153"/>
      <c r="I3621" s="154"/>
      <c r="J3621" s="154"/>
      <c r="K3621" s="30" t="str">
        <f>IF(H3621="","",IF($C$30="간이법","",FPR(H3621,I3621,J3621)))</f>
        <v/>
      </c>
      <c r="L3621" s="30" t="str">
        <f>IF(H3621="","",IF($C$30="상세법",FPV(H3621,K3621),IF(H3621="EI",4,IF(H3621="EO",5.2,IF(H3621="EQ",3.9,IF(H3621="ILF",7.5,IF(H3621="EIF",5.4)))))))</f>
        <v/>
      </c>
      <c r="M3621" s="30" t="str">
        <f t="shared" si="387"/>
        <v/>
      </c>
      <c r="N3621" s="134"/>
      <c r="O3621" s="29"/>
      <c r="P3621" s="37" t="str">
        <f t="shared" si="388"/>
        <v/>
      </c>
      <c r="Q3621" s="38" t="str">
        <f t="shared" si="389"/>
        <v/>
      </c>
      <c r="R3621" s="37" t="str">
        <f t="shared" si="390"/>
        <v/>
      </c>
      <c r="S3621" s="37" t="str">
        <f t="shared" si="391"/>
        <v/>
      </c>
      <c r="T3621" s="38" t="str">
        <f t="shared" si="392"/>
        <v/>
      </c>
      <c r="U3621" s="37" t="str">
        <f t="shared" si="393"/>
        <v/>
      </c>
    </row>
    <row r="3622" spans="2:21" ht="17.25">
      <c r="B3622" s="156"/>
      <c r="C3622" s="156"/>
      <c r="D3622" s="157"/>
      <c r="E3622" s="155"/>
      <c r="F3622" s="151"/>
      <c r="G3622" s="152"/>
      <c r="H3622" s="153"/>
      <c r="I3622" s="154"/>
      <c r="J3622" s="154"/>
      <c r="K3622" s="30" t="str">
        <f>IF(H3622="","",IF($C$30="간이법","",FPR(H3622,I3622,J3622)))</f>
        <v/>
      </c>
      <c r="L3622" s="30" t="str">
        <f>IF(H3622="","",IF($C$30="상세법",FPV(H3622,K3622),IF(H3622="EI",4,IF(H3622="EO",5.2,IF(H3622="EQ",3.9,IF(H3622="ILF",7.5,IF(H3622="EIF",5.4)))))))</f>
        <v/>
      </c>
      <c r="M3622" s="30" t="str">
        <f t="shared" si="387"/>
        <v/>
      </c>
      <c r="N3622" s="134"/>
      <c r="O3622" s="29"/>
      <c r="P3622" s="37" t="str">
        <f t="shared" si="388"/>
        <v/>
      </c>
      <c r="Q3622" s="38" t="str">
        <f t="shared" si="389"/>
        <v/>
      </c>
      <c r="R3622" s="37" t="str">
        <f t="shared" si="390"/>
        <v/>
      </c>
      <c r="S3622" s="37" t="str">
        <f t="shared" si="391"/>
        <v/>
      </c>
      <c r="T3622" s="38" t="str">
        <f t="shared" si="392"/>
        <v/>
      </c>
      <c r="U3622" s="37" t="str">
        <f t="shared" si="393"/>
        <v/>
      </c>
    </row>
    <row r="3623" spans="2:21" ht="17.25">
      <c r="B3623" s="156"/>
      <c r="C3623" s="156"/>
      <c r="D3623" s="157"/>
      <c r="E3623" s="155"/>
      <c r="F3623" s="151"/>
      <c r="G3623" s="152"/>
      <c r="H3623" s="153"/>
      <c r="I3623" s="154"/>
      <c r="J3623" s="154"/>
      <c r="K3623" s="30" t="str">
        <f>IF(H3623="","",IF($C$30="간이법","",FPR(H3623,I3623,J3623)))</f>
        <v/>
      </c>
      <c r="L3623" s="30" t="str">
        <f>IF(H3623="","",IF($C$30="상세법",FPV(H3623,K3623),IF(H3623="EI",4,IF(H3623="EO",5.2,IF(H3623="EQ",3.9,IF(H3623="ILF",7.5,IF(H3623="EIF",5.4)))))))</f>
        <v/>
      </c>
      <c r="M3623" s="30" t="str">
        <f t="shared" si="387"/>
        <v/>
      </c>
      <c r="N3623" s="134"/>
      <c r="O3623" s="29"/>
      <c r="P3623" s="37" t="str">
        <f t="shared" si="388"/>
        <v/>
      </c>
      <c r="Q3623" s="38" t="str">
        <f t="shared" si="389"/>
        <v/>
      </c>
      <c r="R3623" s="37" t="str">
        <f t="shared" si="390"/>
        <v/>
      </c>
      <c r="S3623" s="37" t="str">
        <f t="shared" si="391"/>
        <v/>
      </c>
      <c r="T3623" s="38" t="str">
        <f t="shared" si="392"/>
        <v/>
      </c>
      <c r="U3623" s="37" t="str">
        <f t="shared" si="393"/>
        <v/>
      </c>
    </row>
    <row r="3624" spans="2:21" ht="17.25">
      <c r="B3624" s="156"/>
      <c r="C3624" s="156"/>
      <c r="D3624" s="157"/>
      <c r="E3624" s="155"/>
      <c r="F3624" s="151"/>
      <c r="G3624" s="152"/>
      <c r="H3624" s="153"/>
      <c r="I3624" s="154"/>
      <c r="J3624" s="154"/>
      <c r="K3624" s="30" t="str">
        <f>IF(H3624="","",IF($C$30="간이법","",FPR(H3624,I3624,J3624)))</f>
        <v/>
      </c>
      <c r="L3624" s="30" t="str">
        <f>IF(H3624="","",IF($C$30="상세법",FPV(H3624,K3624),IF(H3624="EI",4,IF(H3624="EO",5.2,IF(H3624="EQ",3.9,IF(H3624="ILF",7.5,IF(H3624="EIF",5.4)))))))</f>
        <v/>
      </c>
      <c r="M3624" s="30" t="str">
        <f t="shared" si="387"/>
        <v/>
      </c>
      <c r="N3624" s="134"/>
      <c r="O3624" s="29"/>
      <c r="P3624" s="37" t="str">
        <f t="shared" si="388"/>
        <v/>
      </c>
      <c r="Q3624" s="38" t="str">
        <f t="shared" si="389"/>
        <v/>
      </c>
      <c r="R3624" s="37" t="str">
        <f t="shared" si="390"/>
        <v/>
      </c>
      <c r="S3624" s="37" t="str">
        <f t="shared" si="391"/>
        <v/>
      </c>
      <c r="T3624" s="38" t="str">
        <f t="shared" si="392"/>
        <v/>
      </c>
      <c r="U3624" s="37" t="str">
        <f t="shared" si="393"/>
        <v/>
      </c>
    </row>
    <row r="3625" spans="2:21" ht="17.25">
      <c r="B3625" s="156"/>
      <c r="C3625" s="156"/>
      <c r="D3625" s="157"/>
      <c r="E3625" s="155"/>
      <c r="F3625" s="151"/>
      <c r="G3625" s="152"/>
      <c r="H3625" s="153"/>
      <c r="I3625" s="154"/>
      <c r="J3625" s="154"/>
      <c r="K3625" s="30" t="str">
        <f>IF(H3625="","",IF($C$30="간이법","",FPR(H3625,I3625,J3625)))</f>
        <v/>
      </c>
      <c r="L3625" s="30" t="str">
        <f>IF(H3625="","",IF($C$30="상세법",FPV(H3625,K3625),IF(H3625="EI",4,IF(H3625="EO",5.2,IF(H3625="EQ",3.9,IF(H3625="ILF",7.5,IF(H3625="EIF",5.4)))))))</f>
        <v/>
      </c>
      <c r="M3625" s="30" t="str">
        <f t="shared" si="387"/>
        <v/>
      </c>
      <c r="N3625" s="134"/>
      <c r="O3625" s="29"/>
      <c r="P3625" s="37" t="str">
        <f t="shared" si="388"/>
        <v/>
      </c>
      <c r="Q3625" s="38" t="str">
        <f t="shared" si="389"/>
        <v/>
      </c>
      <c r="R3625" s="37" t="str">
        <f t="shared" si="390"/>
        <v/>
      </c>
      <c r="S3625" s="37" t="str">
        <f t="shared" si="391"/>
        <v/>
      </c>
      <c r="T3625" s="38" t="str">
        <f t="shared" si="392"/>
        <v/>
      </c>
      <c r="U3625" s="37" t="str">
        <f t="shared" si="393"/>
        <v/>
      </c>
    </row>
    <row r="3626" spans="2:21" ht="17.25">
      <c r="B3626" s="156"/>
      <c r="C3626" s="156"/>
      <c r="D3626" s="157"/>
      <c r="E3626" s="155"/>
      <c r="F3626" s="151"/>
      <c r="G3626" s="152"/>
      <c r="H3626" s="153"/>
      <c r="I3626" s="154"/>
      <c r="J3626" s="154"/>
      <c r="K3626" s="30" t="str">
        <f>IF(H3626="","",IF($C$30="간이법","",FPR(H3626,I3626,J3626)))</f>
        <v/>
      </c>
      <c r="L3626" s="30" t="str">
        <f>IF(H3626="","",IF($C$30="상세법",FPV(H3626,K3626),IF(H3626="EI",4,IF(H3626="EO",5.2,IF(H3626="EQ",3.9,IF(H3626="ILF",7.5,IF(H3626="EIF",5.4)))))))</f>
        <v/>
      </c>
      <c r="M3626" s="30" t="str">
        <f t="shared" si="387"/>
        <v/>
      </c>
      <c r="N3626" s="134"/>
      <c r="O3626" s="29"/>
      <c r="P3626" s="37" t="str">
        <f t="shared" si="388"/>
        <v/>
      </c>
      <c r="Q3626" s="38" t="str">
        <f t="shared" si="389"/>
        <v/>
      </c>
      <c r="R3626" s="37" t="str">
        <f t="shared" si="390"/>
        <v/>
      </c>
      <c r="S3626" s="37" t="str">
        <f t="shared" si="391"/>
        <v/>
      </c>
      <c r="T3626" s="38" t="str">
        <f t="shared" si="392"/>
        <v/>
      </c>
      <c r="U3626" s="37" t="str">
        <f t="shared" si="393"/>
        <v/>
      </c>
    </row>
    <row r="3627" spans="2:21" ht="17.25">
      <c r="B3627" s="156"/>
      <c r="C3627" s="156"/>
      <c r="D3627" s="157"/>
      <c r="E3627" s="155"/>
      <c r="F3627" s="151"/>
      <c r="G3627" s="152"/>
      <c r="H3627" s="153"/>
      <c r="I3627" s="154"/>
      <c r="J3627" s="154"/>
      <c r="K3627" s="30" t="str">
        <f>IF(H3627="","",IF($C$30="간이법","",FPR(H3627,I3627,J3627)))</f>
        <v/>
      </c>
      <c r="L3627" s="30" t="str">
        <f>IF(H3627="","",IF($C$30="상세법",FPV(H3627,K3627),IF(H3627="EI",4,IF(H3627="EO",5.2,IF(H3627="EQ",3.9,IF(H3627="ILF",7.5,IF(H3627="EIF",5.4)))))))</f>
        <v/>
      </c>
      <c r="M3627" s="30" t="str">
        <f t="shared" si="387"/>
        <v/>
      </c>
      <c r="N3627" s="134"/>
      <c r="O3627" s="29"/>
      <c r="P3627" s="37" t="str">
        <f t="shared" si="388"/>
        <v/>
      </c>
      <c r="Q3627" s="38" t="str">
        <f t="shared" si="389"/>
        <v/>
      </c>
      <c r="R3627" s="37" t="str">
        <f t="shared" si="390"/>
        <v/>
      </c>
      <c r="S3627" s="37" t="str">
        <f t="shared" si="391"/>
        <v/>
      </c>
      <c r="T3627" s="38" t="str">
        <f t="shared" si="392"/>
        <v/>
      </c>
      <c r="U3627" s="37" t="str">
        <f t="shared" si="393"/>
        <v/>
      </c>
    </row>
    <row r="3628" spans="2:21" ht="17.25">
      <c r="B3628" s="156"/>
      <c r="C3628" s="156"/>
      <c r="D3628" s="157"/>
      <c r="E3628" s="155"/>
      <c r="F3628" s="151"/>
      <c r="G3628" s="152"/>
      <c r="H3628" s="153"/>
      <c r="I3628" s="154"/>
      <c r="J3628" s="154"/>
      <c r="K3628" s="30" t="str">
        <f>IF(H3628="","",IF($C$30="간이법","",FPR(H3628,I3628,J3628)))</f>
        <v/>
      </c>
      <c r="L3628" s="30" t="str">
        <f>IF(H3628="","",IF($C$30="상세법",FPV(H3628,K3628),IF(H3628="EI",4,IF(H3628="EO",5.2,IF(H3628="EQ",3.9,IF(H3628="ILF",7.5,IF(H3628="EIF",5.4)))))))</f>
        <v/>
      </c>
      <c r="M3628" s="30" t="str">
        <f t="shared" si="387"/>
        <v/>
      </c>
      <c r="N3628" s="134"/>
      <c r="O3628" s="29"/>
      <c r="P3628" s="37" t="str">
        <f t="shared" si="388"/>
        <v/>
      </c>
      <c r="Q3628" s="38" t="str">
        <f t="shared" si="389"/>
        <v/>
      </c>
      <c r="R3628" s="37" t="str">
        <f t="shared" si="390"/>
        <v/>
      </c>
      <c r="S3628" s="37" t="str">
        <f t="shared" si="391"/>
        <v/>
      </c>
      <c r="T3628" s="38" t="str">
        <f t="shared" si="392"/>
        <v/>
      </c>
      <c r="U3628" s="37" t="str">
        <f t="shared" si="393"/>
        <v/>
      </c>
    </row>
    <row r="3629" spans="2:21" ht="17.25">
      <c r="B3629" s="156"/>
      <c r="C3629" s="156"/>
      <c r="D3629" s="157"/>
      <c r="E3629" s="155"/>
      <c r="F3629" s="151"/>
      <c r="G3629" s="152"/>
      <c r="H3629" s="153"/>
      <c r="I3629" s="154"/>
      <c r="J3629" s="154"/>
      <c r="K3629" s="30" t="str">
        <f>IF(H3629="","",IF($C$30="간이법","",FPR(H3629,I3629,J3629)))</f>
        <v/>
      </c>
      <c r="L3629" s="30" t="str">
        <f>IF(H3629="","",IF($C$30="상세법",FPV(H3629,K3629),IF(H3629="EI",4,IF(H3629="EO",5.2,IF(H3629="EQ",3.9,IF(H3629="ILF",7.5,IF(H3629="EIF",5.4)))))))</f>
        <v/>
      </c>
      <c r="M3629" s="30" t="str">
        <f t="shared" si="387"/>
        <v/>
      </c>
      <c r="N3629" s="134"/>
      <c r="O3629" s="29"/>
      <c r="P3629" s="37" t="str">
        <f t="shared" si="388"/>
        <v/>
      </c>
      <c r="Q3629" s="38" t="str">
        <f t="shared" si="389"/>
        <v/>
      </c>
      <c r="R3629" s="37" t="str">
        <f t="shared" si="390"/>
        <v/>
      </c>
      <c r="S3629" s="37" t="str">
        <f t="shared" si="391"/>
        <v/>
      </c>
      <c r="T3629" s="38" t="str">
        <f t="shared" si="392"/>
        <v/>
      </c>
      <c r="U3629" s="37" t="str">
        <f t="shared" si="393"/>
        <v/>
      </c>
    </row>
    <row r="3630" spans="2:21" ht="17.25">
      <c r="B3630" s="156"/>
      <c r="C3630" s="156"/>
      <c r="D3630" s="157"/>
      <c r="E3630" s="155"/>
      <c r="F3630" s="151"/>
      <c r="G3630" s="152"/>
      <c r="H3630" s="153"/>
      <c r="I3630" s="154"/>
      <c r="J3630" s="154"/>
      <c r="K3630" s="30" t="str">
        <f>IF(H3630="","",IF($C$30="간이법","",FPR(H3630,I3630,J3630)))</f>
        <v/>
      </c>
      <c r="L3630" s="30" t="str">
        <f>IF(H3630="","",IF($C$30="상세법",FPV(H3630,K3630),IF(H3630="EI",4,IF(H3630="EO",5.2,IF(H3630="EQ",3.9,IF(H3630="ILF",7.5,IF(H3630="EIF",5.4)))))))</f>
        <v/>
      </c>
      <c r="M3630" s="30" t="str">
        <f t="shared" si="387"/>
        <v/>
      </c>
      <c r="N3630" s="134"/>
      <c r="O3630" s="29"/>
      <c r="P3630" s="37" t="str">
        <f t="shared" si="388"/>
        <v/>
      </c>
      <c r="Q3630" s="38" t="str">
        <f t="shared" si="389"/>
        <v/>
      </c>
      <c r="R3630" s="37" t="str">
        <f t="shared" si="390"/>
        <v/>
      </c>
      <c r="S3630" s="37" t="str">
        <f t="shared" si="391"/>
        <v/>
      </c>
      <c r="T3630" s="38" t="str">
        <f t="shared" si="392"/>
        <v/>
      </c>
      <c r="U3630" s="37" t="str">
        <f t="shared" si="393"/>
        <v/>
      </c>
    </row>
    <row r="3631" spans="2:21" ht="17.25">
      <c r="B3631" s="156"/>
      <c r="C3631" s="156"/>
      <c r="D3631" s="157"/>
      <c r="E3631" s="155"/>
      <c r="F3631" s="151"/>
      <c r="G3631" s="152"/>
      <c r="H3631" s="153"/>
      <c r="I3631" s="154"/>
      <c r="J3631" s="154"/>
      <c r="K3631" s="30" t="str">
        <f>IF(H3631="","",IF($C$30="간이법","",FPR(H3631,I3631,J3631)))</f>
        <v/>
      </c>
      <c r="L3631" s="30" t="str">
        <f>IF(H3631="","",IF($C$30="상세법",FPV(H3631,K3631),IF(H3631="EI",4,IF(H3631="EO",5.2,IF(H3631="EQ",3.9,IF(H3631="ILF",7.5,IF(H3631="EIF",5.4)))))))</f>
        <v/>
      </c>
      <c r="M3631" s="30" t="str">
        <f t="shared" si="387"/>
        <v/>
      </c>
      <c r="N3631" s="134"/>
      <c r="O3631" s="29"/>
      <c r="P3631" s="37" t="str">
        <f t="shared" si="388"/>
        <v/>
      </c>
      <c r="Q3631" s="38" t="str">
        <f t="shared" si="389"/>
        <v/>
      </c>
      <c r="R3631" s="37" t="str">
        <f t="shared" si="390"/>
        <v/>
      </c>
      <c r="S3631" s="37" t="str">
        <f t="shared" si="391"/>
        <v/>
      </c>
      <c r="T3631" s="38" t="str">
        <f t="shared" si="392"/>
        <v/>
      </c>
      <c r="U3631" s="37" t="str">
        <f t="shared" si="393"/>
        <v/>
      </c>
    </row>
    <row r="3632" spans="2:21" ht="17.25">
      <c r="B3632" s="156"/>
      <c r="C3632" s="156"/>
      <c r="D3632" s="157"/>
      <c r="E3632" s="155"/>
      <c r="F3632" s="151"/>
      <c r="G3632" s="152"/>
      <c r="H3632" s="153"/>
      <c r="I3632" s="154"/>
      <c r="J3632" s="154"/>
      <c r="K3632" s="30" t="str">
        <f>IF(H3632="","",IF($C$30="간이법","",FPR(H3632,I3632,J3632)))</f>
        <v/>
      </c>
      <c r="L3632" s="30" t="str">
        <f>IF(H3632="","",IF($C$30="상세법",FPV(H3632,K3632),IF(H3632="EI",4,IF(H3632="EO",5.2,IF(H3632="EQ",3.9,IF(H3632="ILF",7.5,IF(H3632="EIF",5.4)))))))</f>
        <v/>
      </c>
      <c r="M3632" s="30" t="str">
        <f t="shared" si="387"/>
        <v/>
      </c>
      <c r="N3632" s="134"/>
      <c r="O3632" s="29"/>
      <c r="P3632" s="37" t="str">
        <f t="shared" si="388"/>
        <v/>
      </c>
      <c r="Q3632" s="38" t="str">
        <f t="shared" si="389"/>
        <v/>
      </c>
      <c r="R3632" s="37" t="str">
        <f t="shared" si="390"/>
        <v/>
      </c>
      <c r="S3632" s="37" t="str">
        <f t="shared" si="391"/>
        <v/>
      </c>
      <c r="T3632" s="38" t="str">
        <f t="shared" si="392"/>
        <v/>
      </c>
      <c r="U3632" s="37" t="str">
        <f t="shared" si="393"/>
        <v/>
      </c>
    </row>
    <row r="3633" spans="2:21" ht="17.25">
      <c r="B3633" s="156"/>
      <c r="C3633" s="156"/>
      <c r="D3633" s="157"/>
      <c r="E3633" s="155"/>
      <c r="F3633" s="151"/>
      <c r="G3633" s="152"/>
      <c r="H3633" s="153"/>
      <c r="I3633" s="154"/>
      <c r="J3633" s="154"/>
      <c r="K3633" s="30" t="str">
        <f>IF(H3633="","",IF($C$30="간이법","",FPR(H3633,I3633,J3633)))</f>
        <v/>
      </c>
      <c r="L3633" s="30" t="str">
        <f>IF(H3633="","",IF($C$30="상세법",FPV(H3633,K3633),IF(H3633="EI",4,IF(H3633="EO",5.2,IF(H3633="EQ",3.9,IF(H3633="ILF",7.5,IF(H3633="EIF",5.4)))))))</f>
        <v/>
      </c>
      <c r="M3633" s="30" t="str">
        <f t="shared" si="387"/>
        <v/>
      </c>
      <c r="N3633" s="134"/>
      <c r="O3633" s="29"/>
      <c r="P3633" s="37" t="str">
        <f t="shared" si="388"/>
        <v/>
      </c>
      <c r="Q3633" s="38" t="str">
        <f t="shared" si="389"/>
        <v/>
      </c>
      <c r="R3633" s="37" t="str">
        <f t="shared" si="390"/>
        <v/>
      </c>
      <c r="S3633" s="37" t="str">
        <f t="shared" si="391"/>
        <v/>
      </c>
      <c r="T3633" s="38" t="str">
        <f t="shared" si="392"/>
        <v/>
      </c>
      <c r="U3633" s="37" t="str">
        <f t="shared" si="393"/>
        <v/>
      </c>
    </row>
    <row r="3634" spans="2:21" ht="17.25">
      <c r="B3634" s="156"/>
      <c r="C3634" s="156"/>
      <c r="D3634" s="157"/>
      <c r="E3634" s="155"/>
      <c r="F3634" s="151"/>
      <c r="G3634" s="152"/>
      <c r="H3634" s="153"/>
      <c r="I3634" s="154"/>
      <c r="J3634" s="154"/>
      <c r="K3634" s="30" t="str">
        <f>IF(H3634="","",IF($C$30="간이법","",FPR(H3634,I3634,J3634)))</f>
        <v/>
      </c>
      <c r="L3634" s="30" t="str">
        <f>IF(H3634="","",IF($C$30="상세법",FPV(H3634,K3634),IF(H3634="EI",4,IF(H3634="EO",5.2,IF(H3634="EQ",3.9,IF(H3634="ILF",7.5,IF(H3634="EIF",5.4)))))))</f>
        <v/>
      </c>
      <c r="M3634" s="30" t="str">
        <f t="shared" si="387"/>
        <v/>
      </c>
      <c r="N3634" s="134"/>
      <c r="O3634" s="29"/>
      <c r="P3634" s="37" t="str">
        <f t="shared" si="388"/>
        <v/>
      </c>
      <c r="Q3634" s="38" t="str">
        <f t="shared" si="389"/>
        <v/>
      </c>
      <c r="R3634" s="37" t="str">
        <f t="shared" si="390"/>
        <v/>
      </c>
      <c r="S3634" s="37" t="str">
        <f t="shared" si="391"/>
        <v/>
      </c>
      <c r="T3634" s="38" t="str">
        <f t="shared" si="392"/>
        <v/>
      </c>
      <c r="U3634" s="37" t="str">
        <f t="shared" si="393"/>
        <v/>
      </c>
    </row>
    <row r="3635" spans="2:21" ht="17.25">
      <c r="B3635" s="156"/>
      <c r="C3635" s="156"/>
      <c r="D3635" s="157"/>
      <c r="E3635" s="155"/>
      <c r="F3635" s="151"/>
      <c r="G3635" s="152"/>
      <c r="H3635" s="153"/>
      <c r="I3635" s="154"/>
      <c r="J3635" s="154"/>
      <c r="K3635" s="30" t="str">
        <f>IF(H3635="","",IF($C$30="간이법","",FPR(H3635,I3635,J3635)))</f>
        <v/>
      </c>
      <c r="L3635" s="30" t="str">
        <f>IF(H3635="","",IF($C$30="상세법",FPV(H3635,K3635),IF(H3635="EI",4,IF(H3635="EO",5.2,IF(H3635="EQ",3.9,IF(H3635="ILF",7.5,IF(H3635="EIF",5.4)))))))</f>
        <v/>
      </c>
      <c r="M3635" s="30" t="str">
        <f t="shared" si="387"/>
        <v/>
      </c>
      <c r="N3635" s="134"/>
      <c r="O3635" s="29"/>
      <c r="P3635" s="37" t="str">
        <f t="shared" si="388"/>
        <v/>
      </c>
      <c r="Q3635" s="38" t="str">
        <f t="shared" si="389"/>
        <v/>
      </c>
      <c r="R3635" s="37" t="str">
        <f t="shared" si="390"/>
        <v/>
      </c>
      <c r="S3635" s="37" t="str">
        <f t="shared" si="391"/>
        <v/>
      </c>
      <c r="T3635" s="38" t="str">
        <f t="shared" si="392"/>
        <v/>
      </c>
      <c r="U3635" s="37" t="str">
        <f t="shared" si="393"/>
        <v/>
      </c>
    </row>
    <row r="3636" spans="2:21" ht="17.25">
      <c r="B3636" s="156"/>
      <c r="C3636" s="156"/>
      <c r="D3636" s="157"/>
      <c r="E3636" s="155"/>
      <c r="F3636" s="151"/>
      <c r="G3636" s="152"/>
      <c r="H3636" s="153"/>
      <c r="I3636" s="154"/>
      <c r="J3636" s="154"/>
      <c r="K3636" s="30" t="str">
        <f>IF(H3636="","",IF($C$30="간이법","",FPR(H3636,I3636,J3636)))</f>
        <v/>
      </c>
      <c r="L3636" s="30" t="str">
        <f>IF(H3636="","",IF($C$30="상세법",FPV(H3636,K3636),IF(H3636="EI",4,IF(H3636="EO",5.2,IF(H3636="EQ",3.9,IF(H3636="ILF",7.5,IF(H3636="EIF",5.4)))))))</f>
        <v/>
      </c>
      <c r="M3636" s="30" t="str">
        <f t="shared" si="387"/>
        <v/>
      </c>
      <c r="N3636" s="134"/>
      <c r="O3636" s="29"/>
      <c r="P3636" s="37" t="str">
        <f t="shared" si="388"/>
        <v/>
      </c>
      <c r="Q3636" s="38" t="str">
        <f t="shared" si="389"/>
        <v/>
      </c>
      <c r="R3636" s="37" t="str">
        <f t="shared" si="390"/>
        <v/>
      </c>
      <c r="S3636" s="37" t="str">
        <f t="shared" si="391"/>
        <v/>
      </c>
      <c r="T3636" s="38" t="str">
        <f t="shared" si="392"/>
        <v/>
      </c>
      <c r="U3636" s="37" t="str">
        <f t="shared" si="393"/>
        <v/>
      </c>
    </row>
    <row r="3637" spans="2:21" ht="17.25">
      <c r="B3637" s="156"/>
      <c r="C3637" s="156"/>
      <c r="D3637" s="157"/>
      <c r="E3637" s="155"/>
      <c r="F3637" s="151"/>
      <c r="G3637" s="152"/>
      <c r="H3637" s="153"/>
      <c r="I3637" s="154"/>
      <c r="J3637" s="154"/>
      <c r="K3637" s="30" t="str">
        <f>IF(H3637="","",IF($C$30="간이법","",FPR(H3637,I3637,J3637)))</f>
        <v/>
      </c>
      <c r="L3637" s="30" t="str">
        <f>IF(H3637="","",IF($C$30="상세법",FPV(H3637,K3637),IF(H3637="EI",4,IF(H3637="EO",5.2,IF(H3637="EQ",3.9,IF(H3637="ILF",7.5,IF(H3637="EIF",5.4)))))))</f>
        <v/>
      </c>
      <c r="M3637" s="30" t="str">
        <f t="shared" si="387"/>
        <v/>
      </c>
      <c r="N3637" s="134"/>
      <c r="O3637" s="29"/>
      <c r="P3637" s="37" t="str">
        <f t="shared" si="388"/>
        <v/>
      </c>
      <c r="Q3637" s="38" t="str">
        <f t="shared" si="389"/>
        <v/>
      </c>
      <c r="R3637" s="37" t="str">
        <f t="shared" si="390"/>
        <v/>
      </c>
      <c r="S3637" s="37" t="str">
        <f t="shared" si="391"/>
        <v/>
      </c>
      <c r="T3637" s="38" t="str">
        <f t="shared" si="392"/>
        <v/>
      </c>
      <c r="U3637" s="37" t="str">
        <f t="shared" si="393"/>
        <v/>
      </c>
    </row>
    <row r="3638" spans="2:21" ht="17.25">
      <c r="B3638" s="156"/>
      <c r="C3638" s="156"/>
      <c r="D3638" s="157"/>
      <c r="E3638" s="155"/>
      <c r="F3638" s="151"/>
      <c r="G3638" s="152"/>
      <c r="H3638" s="153"/>
      <c r="I3638" s="154"/>
      <c r="J3638" s="154"/>
      <c r="K3638" s="30" t="str">
        <f>IF(H3638="","",IF($C$30="간이법","",FPR(H3638,I3638,J3638)))</f>
        <v/>
      </c>
      <c r="L3638" s="30" t="str">
        <f>IF(H3638="","",IF($C$30="상세법",FPV(H3638,K3638),IF(H3638="EI",4,IF(H3638="EO",5.2,IF(H3638="EQ",3.9,IF(H3638="ILF",7.5,IF(H3638="EIF",5.4)))))))</f>
        <v/>
      </c>
      <c r="M3638" s="30" t="str">
        <f t="shared" si="387"/>
        <v/>
      </c>
      <c r="N3638" s="134"/>
      <c r="O3638" s="29"/>
      <c r="P3638" s="37" t="str">
        <f t="shared" si="388"/>
        <v/>
      </c>
      <c r="Q3638" s="38" t="str">
        <f t="shared" si="389"/>
        <v/>
      </c>
      <c r="R3638" s="37" t="str">
        <f t="shared" si="390"/>
        <v/>
      </c>
      <c r="S3638" s="37" t="str">
        <f t="shared" si="391"/>
        <v/>
      </c>
      <c r="T3638" s="38" t="str">
        <f t="shared" si="392"/>
        <v/>
      </c>
      <c r="U3638" s="37" t="str">
        <f t="shared" si="393"/>
        <v/>
      </c>
    </row>
    <row r="3639" spans="2:21" ht="17.25">
      <c r="B3639" s="156"/>
      <c r="C3639" s="156"/>
      <c r="D3639" s="157"/>
      <c r="E3639" s="155"/>
      <c r="F3639" s="151"/>
      <c r="G3639" s="152"/>
      <c r="H3639" s="153"/>
      <c r="I3639" s="154"/>
      <c r="J3639" s="154"/>
      <c r="K3639" s="30" t="str">
        <f>IF(H3639="","",IF($C$30="간이법","",FPR(H3639,I3639,J3639)))</f>
        <v/>
      </c>
      <c r="L3639" s="30" t="str">
        <f>IF(H3639="","",IF($C$30="상세법",FPV(H3639,K3639),IF(H3639="EI",4,IF(H3639="EO",5.2,IF(H3639="EQ",3.9,IF(H3639="ILF",7.5,IF(H3639="EIF",5.4)))))))</f>
        <v/>
      </c>
      <c r="M3639" s="30" t="str">
        <f t="shared" si="387"/>
        <v/>
      </c>
      <c r="N3639" s="134"/>
      <c r="O3639" s="29"/>
      <c r="P3639" s="37" t="str">
        <f t="shared" si="388"/>
        <v/>
      </c>
      <c r="Q3639" s="38" t="str">
        <f t="shared" si="389"/>
        <v/>
      </c>
      <c r="R3639" s="37" t="str">
        <f t="shared" si="390"/>
        <v/>
      </c>
      <c r="S3639" s="37" t="str">
        <f t="shared" si="391"/>
        <v/>
      </c>
      <c r="T3639" s="38" t="str">
        <f t="shared" si="392"/>
        <v/>
      </c>
      <c r="U3639" s="37" t="str">
        <f t="shared" si="393"/>
        <v/>
      </c>
    </row>
    <row r="3640" spans="2:21" ht="17.25">
      <c r="B3640" s="156"/>
      <c r="C3640" s="156"/>
      <c r="D3640" s="157"/>
      <c r="E3640" s="155"/>
      <c r="F3640" s="151"/>
      <c r="G3640" s="152"/>
      <c r="H3640" s="153"/>
      <c r="I3640" s="154"/>
      <c r="J3640" s="154"/>
      <c r="K3640" s="30" t="str">
        <f>IF(H3640="","",IF($C$30="간이법","",FPR(H3640,I3640,J3640)))</f>
        <v/>
      </c>
      <c r="L3640" s="30" t="str">
        <f>IF(H3640="","",IF($C$30="상세법",FPV(H3640,K3640),IF(H3640="EI",4,IF(H3640="EO",5.2,IF(H3640="EQ",3.9,IF(H3640="ILF",7.5,IF(H3640="EIF",5.4)))))))</f>
        <v/>
      </c>
      <c r="M3640" s="30" t="str">
        <f t="shared" si="387"/>
        <v/>
      </c>
      <c r="N3640" s="134"/>
      <c r="O3640" s="29"/>
      <c r="P3640" s="37" t="str">
        <f t="shared" si="388"/>
        <v/>
      </c>
      <c r="Q3640" s="38" t="str">
        <f t="shared" si="389"/>
        <v/>
      </c>
      <c r="R3640" s="37" t="str">
        <f t="shared" si="390"/>
        <v/>
      </c>
      <c r="S3640" s="37" t="str">
        <f t="shared" si="391"/>
        <v/>
      </c>
      <c r="T3640" s="38" t="str">
        <f t="shared" si="392"/>
        <v/>
      </c>
      <c r="U3640" s="37" t="str">
        <f t="shared" si="393"/>
        <v/>
      </c>
    </row>
    <row r="3641" spans="2:21" ht="17.25">
      <c r="B3641" s="156"/>
      <c r="C3641" s="156"/>
      <c r="D3641" s="157"/>
      <c r="E3641" s="155"/>
      <c r="F3641" s="151"/>
      <c r="G3641" s="152"/>
      <c r="H3641" s="153"/>
      <c r="I3641" s="154"/>
      <c r="J3641" s="154"/>
      <c r="K3641" s="30" t="str">
        <f>IF(H3641="","",IF($C$30="간이법","",FPR(H3641,I3641,J3641)))</f>
        <v/>
      </c>
      <c r="L3641" s="30" t="str">
        <f>IF(H3641="","",IF($C$30="상세법",FPV(H3641,K3641),IF(H3641="EI",4,IF(H3641="EO",5.2,IF(H3641="EQ",3.9,IF(H3641="ILF",7.5,IF(H3641="EIF",5.4)))))))</f>
        <v/>
      </c>
      <c r="M3641" s="30" t="str">
        <f t="shared" si="387"/>
        <v/>
      </c>
      <c r="N3641" s="134"/>
      <c r="O3641" s="29"/>
      <c r="P3641" s="37" t="str">
        <f t="shared" si="388"/>
        <v/>
      </c>
      <c r="Q3641" s="38" t="str">
        <f t="shared" si="389"/>
        <v/>
      </c>
      <c r="R3641" s="37" t="str">
        <f t="shared" si="390"/>
        <v/>
      </c>
      <c r="S3641" s="37" t="str">
        <f t="shared" si="391"/>
        <v/>
      </c>
      <c r="T3641" s="38" t="str">
        <f t="shared" si="392"/>
        <v/>
      </c>
      <c r="U3641" s="37" t="str">
        <f t="shared" si="393"/>
        <v/>
      </c>
    </row>
    <row r="3642" spans="2:21" ht="17.25">
      <c r="B3642" s="156"/>
      <c r="C3642" s="156"/>
      <c r="D3642" s="157"/>
      <c r="E3642" s="155"/>
      <c r="F3642" s="151"/>
      <c r="G3642" s="152"/>
      <c r="H3642" s="153"/>
      <c r="I3642" s="154"/>
      <c r="J3642" s="154"/>
      <c r="K3642" s="30" t="str">
        <f>IF(H3642="","",IF($C$30="간이법","",FPR(H3642,I3642,J3642)))</f>
        <v/>
      </c>
      <c r="L3642" s="30" t="str">
        <f>IF(H3642="","",IF($C$30="상세법",FPV(H3642,K3642),IF(H3642="EI",4,IF(H3642="EO",5.2,IF(H3642="EQ",3.9,IF(H3642="ILF",7.5,IF(H3642="EIF",5.4)))))))</f>
        <v/>
      </c>
      <c r="M3642" s="30" t="str">
        <f t="shared" si="387"/>
        <v/>
      </c>
      <c r="N3642" s="134"/>
      <c r="O3642" s="29"/>
      <c r="P3642" s="37" t="str">
        <f t="shared" si="388"/>
        <v/>
      </c>
      <c r="Q3642" s="38" t="str">
        <f t="shared" si="389"/>
        <v/>
      </c>
      <c r="R3642" s="37" t="str">
        <f t="shared" si="390"/>
        <v/>
      </c>
      <c r="S3642" s="37" t="str">
        <f t="shared" si="391"/>
        <v/>
      </c>
      <c r="T3642" s="38" t="str">
        <f t="shared" si="392"/>
        <v/>
      </c>
      <c r="U3642" s="37" t="str">
        <f t="shared" si="393"/>
        <v/>
      </c>
    </row>
    <row r="3643" spans="2:21" ht="17.25">
      <c r="B3643" s="156"/>
      <c r="C3643" s="156"/>
      <c r="D3643" s="157"/>
      <c r="E3643" s="155"/>
      <c r="F3643" s="151"/>
      <c r="G3643" s="152"/>
      <c r="H3643" s="153"/>
      <c r="I3643" s="154"/>
      <c r="J3643" s="154"/>
      <c r="K3643" s="30" t="str">
        <f>IF(H3643="","",IF($C$30="간이법","",FPR(H3643,I3643,J3643)))</f>
        <v/>
      </c>
      <c r="L3643" s="30" t="str">
        <f>IF(H3643="","",IF($C$30="상세법",FPV(H3643,K3643),IF(H3643="EI",4,IF(H3643="EO",5.2,IF(H3643="EQ",3.9,IF(H3643="ILF",7.5,IF(H3643="EIF",5.4)))))))</f>
        <v/>
      </c>
      <c r="M3643" s="30" t="str">
        <f t="shared" si="387"/>
        <v/>
      </c>
      <c r="N3643" s="134"/>
      <c r="O3643" s="29"/>
      <c r="P3643" s="37" t="str">
        <f t="shared" si="388"/>
        <v/>
      </c>
      <c r="Q3643" s="38" t="str">
        <f t="shared" si="389"/>
        <v/>
      </c>
      <c r="R3643" s="37" t="str">
        <f t="shared" si="390"/>
        <v/>
      </c>
      <c r="S3643" s="37" t="str">
        <f t="shared" si="391"/>
        <v/>
      </c>
      <c r="T3643" s="38" t="str">
        <f t="shared" si="392"/>
        <v/>
      </c>
      <c r="U3643" s="37" t="str">
        <f t="shared" si="393"/>
        <v/>
      </c>
    </row>
    <row r="3644" spans="2:21" ht="17.25">
      <c r="B3644" s="156"/>
      <c r="C3644" s="156"/>
      <c r="D3644" s="157"/>
      <c r="E3644" s="155"/>
      <c r="F3644" s="151"/>
      <c r="G3644" s="152"/>
      <c r="H3644" s="153"/>
      <c r="I3644" s="154"/>
      <c r="J3644" s="154"/>
      <c r="K3644" s="30" t="str">
        <f>IF(H3644="","",IF($C$30="간이법","",FPR(H3644,I3644,J3644)))</f>
        <v/>
      </c>
      <c r="L3644" s="30" t="str">
        <f>IF(H3644="","",IF($C$30="상세법",FPV(H3644,K3644),IF(H3644="EI",4,IF(H3644="EO",5.2,IF(H3644="EQ",3.9,IF(H3644="ILF",7.5,IF(H3644="EIF",5.4)))))))</f>
        <v/>
      </c>
      <c r="M3644" s="30" t="str">
        <f t="shared" ref="M3644:M3707" si="394">IF(OR(G3644="",$E$36="(선택)",$E$40="(선택)",$E$41="(선택)",F3644="신규 개발",F3644="수정 없이 재사용"),"",(IF(F3644="수정 후 재사용",IF($E$50&lt;=0.5,L3644*($E$36+$E$50*100*(1+0.02*($E$40*$E$41)))/100,L3644*($E$36+$E$50*100+($E$40*$E$41))/100))))</f>
        <v/>
      </c>
      <c r="N3644" s="134"/>
      <c r="O3644" s="29"/>
      <c r="P3644" s="37" t="str">
        <f t="shared" ref="P3644:P3707" si="395">IF(F3644="수정 후 재사용",IF(H3644="ILF",G3644,IF(H3644="EIF",G3644,"")),"")</f>
        <v/>
      </c>
      <c r="Q3644" s="38" t="str">
        <f t="shared" ref="Q3644:Q3707" si="396">IF(P3644&lt;&gt;"",IF(H3644="ILF", L3644/$E$46,IF(H3644="EIF", L3644/$E$46,"")),"")</f>
        <v/>
      </c>
      <c r="R3644" s="37" t="str">
        <f t="shared" ref="R3644:R3707" si="397">IF(P3644&lt;&gt;"",P3644*Q3644,"")</f>
        <v/>
      </c>
      <c r="S3644" s="37" t="str">
        <f t="shared" ref="S3644:S3707" si="398">IF(F3644="수정 후 재사용",IF(H3644="EI",G3644,IF(H3644="EO",G3644,IF(H3644="EQ",G3644,""))),"")</f>
        <v/>
      </c>
      <c r="T3644" s="38" t="str">
        <f t="shared" ref="T3644:T3707" si="399">IF(S3644&lt;&gt;"",IF(H3644="EI",L3644/$E$47,IF(H3644="EO",L3644/$E$47,IF(H3644="EQ",L3644/$E$47,""))),"")</f>
        <v/>
      </c>
      <c r="U3644" s="37" t="str">
        <f t="shared" ref="U3644:U3707" si="400">IF(S3644&lt;&gt;"",S3644*T3644,"")</f>
        <v/>
      </c>
    </row>
    <row r="3645" spans="2:21" ht="17.25">
      <c r="B3645" s="156"/>
      <c r="C3645" s="156"/>
      <c r="D3645" s="157"/>
      <c r="E3645" s="155"/>
      <c r="F3645" s="151"/>
      <c r="G3645" s="152"/>
      <c r="H3645" s="153"/>
      <c r="I3645" s="154"/>
      <c r="J3645" s="154"/>
      <c r="K3645" s="30" t="str">
        <f>IF(H3645="","",IF($C$30="간이법","",FPR(H3645,I3645,J3645)))</f>
        <v/>
      </c>
      <c r="L3645" s="30" t="str">
        <f>IF(H3645="","",IF($C$30="상세법",FPV(H3645,K3645),IF(H3645="EI",4,IF(H3645="EO",5.2,IF(H3645="EQ",3.9,IF(H3645="ILF",7.5,IF(H3645="EIF",5.4)))))))</f>
        <v/>
      </c>
      <c r="M3645" s="30" t="str">
        <f t="shared" si="394"/>
        <v/>
      </c>
      <c r="N3645" s="134"/>
      <c r="O3645" s="29"/>
      <c r="P3645" s="37" t="str">
        <f t="shared" si="395"/>
        <v/>
      </c>
      <c r="Q3645" s="38" t="str">
        <f t="shared" si="396"/>
        <v/>
      </c>
      <c r="R3645" s="37" t="str">
        <f t="shared" si="397"/>
        <v/>
      </c>
      <c r="S3645" s="37" t="str">
        <f t="shared" si="398"/>
        <v/>
      </c>
      <c r="T3645" s="38" t="str">
        <f t="shared" si="399"/>
        <v/>
      </c>
      <c r="U3645" s="37" t="str">
        <f t="shared" si="400"/>
        <v/>
      </c>
    </row>
    <row r="3646" spans="2:21" ht="17.25">
      <c r="B3646" s="156"/>
      <c r="C3646" s="156"/>
      <c r="D3646" s="157"/>
      <c r="E3646" s="155"/>
      <c r="F3646" s="151"/>
      <c r="G3646" s="152"/>
      <c r="H3646" s="153"/>
      <c r="I3646" s="154"/>
      <c r="J3646" s="154"/>
      <c r="K3646" s="30" t="str">
        <f>IF(H3646="","",IF($C$30="간이법","",FPR(H3646,I3646,J3646)))</f>
        <v/>
      </c>
      <c r="L3646" s="30" t="str">
        <f>IF(H3646="","",IF($C$30="상세법",FPV(H3646,K3646),IF(H3646="EI",4,IF(H3646="EO",5.2,IF(H3646="EQ",3.9,IF(H3646="ILF",7.5,IF(H3646="EIF",5.4)))))))</f>
        <v/>
      </c>
      <c r="M3646" s="30" t="str">
        <f t="shared" si="394"/>
        <v/>
      </c>
      <c r="N3646" s="134"/>
      <c r="O3646" s="29"/>
      <c r="P3646" s="37" t="str">
        <f t="shared" si="395"/>
        <v/>
      </c>
      <c r="Q3646" s="38" t="str">
        <f t="shared" si="396"/>
        <v/>
      </c>
      <c r="R3646" s="37" t="str">
        <f t="shared" si="397"/>
        <v/>
      </c>
      <c r="S3646" s="37" t="str">
        <f t="shared" si="398"/>
        <v/>
      </c>
      <c r="T3646" s="38" t="str">
        <f t="shared" si="399"/>
        <v/>
      </c>
      <c r="U3646" s="37" t="str">
        <f t="shared" si="400"/>
        <v/>
      </c>
    </row>
    <row r="3647" spans="2:21" ht="17.25">
      <c r="B3647" s="156"/>
      <c r="C3647" s="156"/>
      <c r="D3647" s="157"/>
      <c r="E3647" s="155"/>
      <c r="F3647" s="151"/>
      <c r="G3647" s="152"/>
      <c r="H3647" s="153"/>
      <c r="I3647" s="154"/>
      <c r="J3647" s="154"/>
      <c r="K3647" s="30" t="str">
        <f>IF(H3647="","",IF($C$30="간이법","",FPR(H3647,I3647,J3647)))</f>
        <v/>
      </c>
      <c r="L3647" s="30" t="str">
        <f>IF(H3647="","",IF($C$30="상세법",FPV(H3647,K3647),IF(H3647="EI",4,IF(H3647="EO",5.2,IF(H3647="EQ",3.9,IF(H3647="ILF",7.5,IF(H3647="EIF",5.4)))))))</f>
        <v/>
      </c>
      <c r="M3647" s="30" t="str">
        <f t="shared" si="394"/>
        <v/>
      </c>
      <c r="N3647" s="134"/>
      <c r="O3647" s="29"/>
      <c r="P3647" s="37" t="str">
        <f t="shared" si="395"/>
        <v/>
      </c>
      <c r="Q3647" s="38" t="str">
        <f t="shared" si="396"/>
        <v/>
      </c>
      <c r="R3647" s="37" t="str">
        <f t="shared" si="397"/>
        <v/>
      </c>
      <c r="S3647" s="37" t="str">
        <f t="shared" si="398"/>
        <v/>
      </c>
      <c r="T3647" s="38" t="str">
        <f t="shared" si="399"/>
        <v/>
      </c>
      <c r="U3647" s="37" t="str">
        <f t="shared" si="400"/>
        <v/>
      </c>
    </row>
    <row r="3648" spans="2:21" ht="17.25">
      <c r="B3648" s="156"/>
      <c r="C3648" s="156"/>
      <c r="D3648" s="157"/>
      <c r="E3648" s="155"/>
      <c r="F3648" s="151"/>
      <c r="G3648" s="152"/>
      <c r="H3648" s="153"/>
      <c r="I3648" s="154"/>
      <c r="J3648" s="154"/>
      <c r="K3648" s="30" t="str">
        <f>IF(H3648="","",IF($C$30="간이법","",FPR(H3648,I3648,J3648)))</f>
        <v/>
      </c>
      <c r="L3648" s="30" t="str">
        <f>IF(H3648="","",IF($C$30="상세법",FPV(H3648,K3648),IF(H3648="EI",4,IF(H3648="EO",5.2,IF(H3648="EQ",3.9,IF(H3648="ILF",7.5,IF(H3648="EIF",5.4)))))))</f>
        <v/>
      </c>
      <c r="M3648" s="30" t="str">
        <f t="shared" si="394"/>
        <v/>
      </c>
      <c r="N3648" s="134"/>
      <c r="O3648" s="29"/>
      <c r="P3648" s="37" t="str">
        <f t="shared" si="395"/>
        <v/>
      </c>
      <c r="Q3648" s="38" t="str">
        <f t="shared" si="396"/>
        <v/>
      </c>
      <c r="R3648" s="37" t="str">
        <f t="shared" si="397"/>
        <v/>
      </c>
      <c r="S3648" s="37" t="str">
        <f t="shared" si="398"/>
        <v/>
      </c>
      <c r="T3648" s="38" t="str">
        <f t="shared" si="399"/>
        <v/>
      </c>
      <c r="U3648" s="37" t="str">
        <f t="shared" si="400"/>
        <v/>
      </c>
    </row>
    <row r="3649" spans="2:21" ht="17.25">
      <c r="B3649" s="156"/>
      <c r="C3649" s="156"/>
      <c r="D3649" s="157"/>
      <c r="E3649" s="155"/>
      <c r="F3649" s="151"/>
      <c r="G3649" s="152"/>
      <c r="H3649" s="153"/>
      <c r="I3649" s="154"/>
      <c r="J3649" s="154"/>
      <c r="K3649" s="30" t="str">
        <f>IF(H3649="","",IF($C$30="간이법","",FPR(H3649,I3649,J3649)))</f>
        <v/>
      </c>
      <c r="L3649" s="30" t="str">
        <f>IF(H3649="","",IF($C$30="상세법",FPV(H3649,K3649),IF(H3649="EI",4,IF(H3649="EO",5.2,IF(H3649="EQ",3.9,IF(H3649="ILF",7.5,IF(H3649="EIF",5.4)))))))</f>
        <v/>
      </c>
      <c r="M3649" s="30" t="str">
        <f t="shared" si="394"/>
        <v/>
      </c>
      <c r="N3649" s="134"/>
      <c r="O3649" s="29"/>
      <c r="P3649" s="37" t="str">
        <f t="shared" si="395"/>
        <v/>
      </c>
      <c r="Q3649" s="38" t="str">
        <f t="shared" si="396"/>
        <v/>
      </c>
      <c r="R3649" s="37" t="str">
        <f t="shared" si="397"/>
        <v/>
      </c>
      <c r="S3649" s="37" t="str">
        <f t="shared" si="398"/>
        <v/>
      </c>
      <c r="T3649" s="38" t="str">
        <f t="shared" si="399"/>
        <v/>
      </c>
      <c r="U3649" s="37" t="str">
        <f t="shared" si="400"/>
        <v/>
      </c>
    </row>
    <row r="3650" spans="2:21" ht="17.25">
      <c r="B3650" s="156"/>
      <c r="C3650" s="156"/>
      <c r="D3650" s="157"/>
      <c r="E3650" s="155"/>
      <c r="F3650" s="151"/>
      <c r="G3650" s="152"/>
      <c r="H3650" s="153"/>
      <c r="I3650" s="154"/>
      <c r="J3650" s="154"/>
      <c r="K3650" s="30" t="str">
        <f>IF(H3650="","",IF($C$30="간이법","",FPR(H3650,I3650,J3650)))</f>
        <v/>
      </c>
      <c r="L3650" s="30" t="str">
        <f>IF(H3650="","",IF($C$30="상세법",FPV(H3650,K3650),IF(H3650="EI",4,IF(H3650="EO",5.2,IF(H3650="EQ",3.9,IF(H3650="ILF",7.5,IF(H3650="EIF",5.4)))))))</f>
        <v/>
      </c>
      <c r="M3650" s="30" t="str">
        <f t="shared" si="394"/>
        <v/>
      </c>
      <c r="N3650" s="134"/>
      <c r="O3650" s="29"/>
      <c r="P3650" s="37" t="str">
        <f t="shared" si="395"/>
        <v/>
      </c>
      <c r="Q3650" s="38" t="str">
        <f t="shared" si="396"/>
        <v/>
      </c>
      <c r="R3650" s="37" t="str">
        <f t="shared" si="397"/>
        <v/>
      </c>
      <c r="S3650" s="37" t="str">
        <f t="shared" si="398"/>
        <v/>
      </c>
      <c r="T3650" s="38" t="str">
        <f t="shared" si="399"/>
        <v/>
      </c>
      <c r="U3650" s="37" t="str">
        <f t="shared" si="400"/>
        <v/>
      </c>
    </row>
    <row r="3651" spans="2:21" ht="17.25">
      <c r="B3651" s="156"/>
      <c r="C3651" s="156"/>
      <c r="D3651" s="157"/>
      <c r="E3651" s="155"/>
      <c r="F3651" s="151"/>
      <c r="G3651" s="152"/>
      <c r="H3651" s="153"/>
      <c r="I3651" s="154"/>
      <c r="J3651" s="154"/>
      <c r="K3651" s="30" t="str">
        <f>IF(H3651="","",IF($C$30="간이법","",FPR(H3651,I3651,J3651)))</f>
        <v/>
      </c>
      <c r="L3651" s="30" t="str">
        <f>IF(H3651="","",IF($C$30="상세법",FPV(H3651,K3651),IF(H3651="EI",4,IF(H3651="EO",5.2,IF(H3651="EQ",3.9,IF(H3651="ILF",7.5,IF(H3651="EIF",5.4)))))))</f>
        <v/>
      </c>
      <c r="M3651" s="30" t="str">
        <f t="shared" si="394"/>
        <v/>
      </c>
      <c r="N3651" s="134"/>
      <c r="O3651" s="29"/>
      <c r="P3651" s="37" t="str">
        <f t="shared" si="395"/>
        <v/>
      </c>
      <c r="Q3651" s="38" t="str">
        <f t="shared" si="396"/>
        <v/>
      </c>
      <c r="R3651" s="37" t="str">
        <f t="shared" si="397"/>
        <v/>
      </c>
      <c r="S3651" s="37" t="str">
        <f t="shared" si="398"/>
        <v/>
      </c>
      <c r="T3651" s="38" t="str">
        <f t="shared" si="399"/>
        <v/>
      </c>
      <c r="U3651" s="37" t="str">
        <f t="shared" si="400"/>
        <v/>
      </c>
    </row>
    <row r="3652" spans="2:21" ht="17.25">
      <c r="B3652" s="156"/>
      <c r="C3652" s="156"/>
      <c r="D3652" s="157"/>
      <c r="E3652" s="155"/>
      <c r="F3652" s="151"/>
      <c r="G3652" s="152"/>
      <c r="H3652" s="153"/>
      <c r="I3652" s="154"/>
      <c r="J3652" s="154"/>
      <c r="K3652" s="30" t="str">
        <f>IF(H3652="","",IF($C$30="간이법","",FPR(H3652,I3652,J3652)))</f>
        <v/>
      </c>
      <c r="L3652" s="30" t="str">
        <f>IF(H3652="","",IF($C$30="상세법",FPV(H3652,K3652),IF(H3652="EI",4,IF(H3652="EO",5.2,IF(H3652="EQ",3.9,IF(H3652="ILF",7.5,IF(H3652="EIF",5.4)))))))</f>
        <v/>
      </c>
      <c r="M3652" s="30" t="str">
        <f t="shared" si="394"/>
        <v/>
      </c>
      <c r="N3652" s="134"/>
      <c r="O3652" s="29"/>
      <c r="P3652" s="37" t="str">
        <f t="shared" si="395"/>
        <v/>
      </c>
      <c r="Q3652" s="38" t="str">
        <f t="shared" si="396"/>
        <v/>
      </c>
      <c r="R3652" s="37" t="str">
        <f t="shared" si="397"/>
        <v/>
      </c>
      <c r="S3652" s="37" t="str">
        <f t="shared" si="398"/>
        <v/>
      </c>
      <c r="T3652" s="38" t="str">
        <f t="shared" si="399"/>
        <v/>
      </c>
      <c r="U3652" s="37" t="str">
        <f t="shared" si="400"/>
        <v/>
      </c>
    </row>
    <row r="3653" spans="2:21" ht="17.25">
      <c r="B3653" s="156"/>
      <c r="C3653" s="156"/>
      <c r="D3653" s="157"/>
      <c r="E3653" s="155"/>
      <c r="F3653" s="151"/>
      <c r="G3653" s="152"/>
      <c r="H3653" s="153"/>
      <c r="I3653" s="154"/>
      <c r="J3653" s="154"/>
      <c r="K3653" s="30" t="str">
        <f>IF(H3653="","",IF($C$30="간이법","",FPR(H3653,I3653,J3653)))</f>
        <v/>
      </c>
      <c r="L3653" s="30" t="str">
        <f>IF(H3653="","",IF($C$30="상세법",FPV(H3653,K3653),IF(H3653="EI",4,IF(H3653="EO",5.2,IF(H3653="EQ",3.9,IF(H3653="ILF",7.5,IF(H3653="EIF",5.4)))))))</f>
        <v/>
      </c>
      <c r="M3653" s="30" t="str">
        <f t="shared" si="394"/>
        <v/>
      </c>
      <c r="N3653" s="134"/>
      <c r="O3653" s="29"/>
      <c r="P3653" s="37" t="str">
        <f t="shared" si="395"/>
        <v/>
      </c>
      <c r="Q3653" s="38" t="str">
        <f t="shared" si="396"/>
        <v/>
      </c>
      <c r="R3653" s="37" t="str">
        <f t="shared" si="397"/>
        <v/>
      </c>
      <c r="S3653" s="37" t="str">
        <f t="shared" si="398"/>
        <v/>
      </c>
      <c r="T3653" s="38" t="str">
        <f t="shared" si="399"/>
        <v/>
      </c>
      <c r="U3653" s="37" t="str">
        <f t="shared" si="400"/>
        <v/>
      </c>
    </row>
    <row r="3654" spans="2:21" ht="17.25">
      <c r="B3654" s="156"/>
      <c r="C3654" s="156"/>
      <c r="D3654" s="157"/>
      <c r="E3654" s="155"/>
      <c r="F3654" s="151"/>
      <c r="G3654" s="152"/>
      <c r="H3654" s="153"/>
      <c r="I3654" s="154"/>
      <c r="J3654" s="154"/>
      <c r="K3654" s="30" t="str">
        <f>IF(H3654="","",IF($C$30="간이법","",FPR(H3654,I3654,J3654)))</f>
        <v/>
      </c>
      <c r="L3654" s="30" t="str">
        <f>IF(H3654="","",IF($C$30="상세법",FPV(H3654,K3654),IF(H3654="EI",4,IF(H3654="EO",5.2,IF(H3654="EQ",3.9,IF(H3654="ILF",7.5,IF(H3654="EIF",5.4)))))))</f>
        <v/>
      </c>
      <c r="M3654" s="30" t="str">
        <f t="shared" si="394"/>
        <v/>
      </c>
      <c r="N3654" s="134"/>
      <c r="O3654" s="29"/>
      <c r="P3654" s="37" t="str">
        <f t="shared" si="395"/>
        <v/>
      </c>
      <c r="Q3654" s="38" t="str">
        <f t="shared" si="396"/>
        <v/>
      </c>
      <c r="R3654" s="37" t="str">
        <f t="shared" si="397"/>
        <v/>
      </c>
      <c r="S3654" s="37" t="str">
        <f t="shared" si="398"/>
        <v/>
      </c>
      <c r="T3654" s="38" t="str">
        <f t="shared" si="399"/>
        <v/>
      </c>
      <c r="U3654" s="37" t="str">
        <f t="shared" si="400"/>
        <v/>
      </c>
    </row>
    <row r="3655" spans="2:21" ht="17.25">
      <c r="B3655" s="156"/>
      <c r="C3655" s="156"/>
      <c r="D3655" s="157"/>
      <c r="E3655" s="155"/>
      <c r="F3655" s="151"/>
      <c r="G3655" s="152"/>
      <c r="H3655" s="153"/>
      <c r="I3655" s="154"/>
      <c r="J3655" s="154"/>
      <c r="K3655" s="30" t="str">
        <f>IF(H3655="","",IF($C$30="간이법","",FPR(H3655,I3655,J3655)))</f>
        <v/>
      </c>
      <c r="L3655" s="30" t="str">
        <f>IF(H3655="","",IF($C$30="상세법",FPV(H3655,K3655),IF(H3655="EI",4,IF(H3655="EO",5.2,IF(H3655="EQ",3.9,IF(H3655="ILF",7.5,IF(H3655="EIF",5.4)))))))</f>
        <v/>
      </c>
      <c r="M3655" s="30" t="str">
        <f t="shared" si="394"/>
        <v/>
      </c>
      <c r="N3655" s="134"/>
      <c r="O3655" s="29"/>
      <c r="P3655" s="37" t="str">
        <f t="shared" si="395"/>
        <v/>
      </c>
      <c r="Q3655" s="38" t="str">
        <f t="shared" si="396"/>
        <v/>
      </c>
      <c r="R3655" s="37" t="str">
        <f t="shared" si="397"/>
        <v/>
      </c>
      <c r="S3655" s="37" t="str">
        <f t="shared" si="398"/>
        <v/>
      </c>
      <c r="T3655" s="38" t="str">
        <f t="shared" si="399"/>
        <v/>
      </c>
      <c r="U3655" s="37" t="str">
        <f t="shared" si="400"/>
        <v/>
      </c>
    </row>
    <row r="3656" spans="2:21" ht="17.25">
      <c r="B3656" s="156"/>
      <c r="C3656" s="156"/>
      <c r="D3656" s="157"/>
      <c r="E3656" s="155"/>
      <c r="F3656" s="151"/>
      <c r="G3656" s="152"/>
      <c r="H3656" s="153"/>
      <c r="I3656" s="154"/>
      <c r="J3656" s="154"/>
      <c r="K3656" s="30" t="str">
        <f>IF(H3656="","",IF($C$30="간이법","",FPR(H3656,I3656,J3656)))</f>
        <v/>
      </c>
      <c r="L3656" s="30" t="str">
        <f>IF(H3656="","",IF($C$30="상세법",FPV(H3656,K3656),IF(H3656="EI",4,IF(H3656="EO",5.2,IF(H3656="EQ",3.9,IF(H3656="ILF",7.5,IF(H3656="EIF",5.4)))))))</f>
        <v/>
      </c>
      <c r="M3656" s="30" t="str">
        <f t="shared" si="394"/>
        <v/>
      </c>
      <c r="N3656" s="134"/>
      <c r="O3656" s="29"/>
      <c r="P3656" s="37" t="str">
        <f t="shared" si="395"/>
        <v/>
      </c>
      <c r="Q3656" s="38" t="str">
        <f t="shared" si="396"/>
        <v/>
      </c>
      <c r="R3656" s="37" t="str">
        <f t="shared" si="397"/>
        <v/>
      </c>
      <c r="S3656" s="37" t="str">
        <f t="shared" si="398"/>
        <v/>
      </c>
      <c r="T3656" s="38" t="str">
        <f t="shared" si="399"/>
        <v/>
      </c>
      <c r="U3656" s="37" t="str">
        <f t="shared" si="400"/>
        <v/>
      </c>
    </row>
    <row r="3657" spans="2:21" ht="17.25">
      <c r="B3657" s="156"/>
      <c r="C3657" s="156"/>
      <c r="D3657" s="157"/>
      <c r="E3657" s="155"/>
      <c r="F3657" s="151"/>
      <c r="G3657" s="152"/>
      <c r="H3657" s="153"/>
      <c r="I3657" s="154"/>
      <c r="J3657" s="154"/>
      <c r="K3657" s="30" t="str">
        <f>IF(H3657="","",IF($C$30="간이법","",FPR(H3657,I3657,J3657)))</f>
        <v/>
      </c>
      <c r="L3657" s="30" t="str">
        <f>IF(H3657="","",IF($C$30="상세법",FPV(H3657,K3657),IF(H3657="EI",4,IF(H3657="EO",5.2,IF(H3657="EQ",3.9,IF(H3657="ILF",7.5,IF(H3657="EIF",5.4)))))))</f>
        <v/>
      </c>
      <c r="M3657" s="30" t="str">
        <f t="shared" si="394"/>
        <v/>
      </c>
      <c r="N3657" s="134"/>
      <c r="O3657" s="29"/>
      <c r="P3657" s="37" t="str">
        <f t="shared" si="395"/>
        <v/>
      </c>
      <c r="Q3657" s="38" t="str">
        <f t="shared" si="396"/>
        <v/>
      </c>
      <c r="R3657" s="37" t="str">
        <f t="shared" si="397"/>
        <v/>
      </c>
      <c r="S3657" s="37" t="str">
        <f t="shared" si="398"/>
        <v/>
      </c>
      <c r="T3657" s="38" t="str">
        <f t="shared" si="399"/>
        <v/>
      </c>
      <c r="U3657" s="37" t="str">
        <f t="shared" si="400"/>
        <v/>
      </c>
    </row>
    <row r="3658" spans="2:21" ht="17.25">
      <c r="B3658" s="156"/>
      <c r="C3658" s="156"/>
      <c r="D3658" s="157"/>
      <c r="E3658" s="155"/>
      <c r="F3658" s="151"/>
      <c r="G3658" s="152"/>
      <c r="H3658" s="153"/>
      <c r="I3658" s="154"/>
      <c r="J3658" s="154"/>
      <c r="K3658" s="30" t="str">
        <f>IF(H3658="","",IF($C$30="간이법","",FPR(H3658,I3658,J3658)))</f>
        <v/>
      </c>
      <c r="L3658" s="30" t="str">
        <f>IF(H3658="","",IF($C$30="상세법",FPV(H3658,K3658),IF(H3658="EI",4,IF(H3658="EO",5.2,IF(H3658="EQ",3.9,IF(H3658="ILF",7.5,IF(H3658="EIF",5.4)))))))</f>
        <v/>
      </c>
      <c r="M3658" s="30" t="str">
        <f t="shared" si="394"/>
        <v/>
      </c>
      <c r="N3658" s="134"/>
      <c r="O3658" s="29"/>
      <c r="P3658" s="37" t="str">
        <f t="shared" si="395"/>
        <v/>
      </c>
      <c r="Q3658" s="38" t="str">
        <f t="shared" si="396"/>
        <v/>
      </c>
      <c r="R3658" s="37" t="str">
        <f t="shared" si="397"/>
        <v/>
      </c>
      <c r="S3658" s="37" t="str">
        <f t="shared" si="398"/>
        <v/>
      </c>
      <c r="T3658" s="38" t="str">
        <f t="shared" si="399"/>
        <v/>
      </c>
      <c r="U3658" s="37" t="str">
        <f t="shared" si="400"/>
        <v/>
      </c>
    </row>
    <row r="3659" spans="2:21" ht="17.25">
      <c r="B3659" s="156"/>
      <c r="C3659" s="156"/>
      <c r="D3659" s="157"/>
      <c r="E3659" s="155"/>
      <c r="F3659" s="151"/>
      <c r="G3659" s="152"/>
      <c r="H3659" s="153"/>
      <c r="I3659" s="154"/>
      <c r="J3659" s="154"/>
      <c r="K3659" s="30" t="str">
        <f>IF(H3659="","",IF($C$30="간이법","",FPR(H3659,I3659,J3659)))</f>
        <v/>
      </c>
      <c r="L3659" s="30" t="str">
        <f>IF(H3659="","",IF($C$30="상세법",FPV(H3659,K3659),IF(H3659="EI",4,IF(H3659="EO",5.2,IF(H3659="EQ",3.9,IF(H3659="ILF",7.5,IF(H3659="EIF",5.4)))))))</f>
        <v/>
      </c>
      <c r="M3659" s="30" t="str">
        <f t="shared" si="394"/>
        <v/>
      </c>
      <c r="N3659" s="134"/>
      <c r="O3659" s="29"/>
      <c r="P3659" s="37" t="str">
        <f t="shared" si="395"/>
        <v/>
      </c>
      <c r="Q3659" s="38" t="str">
        <f t="shared" si="396"/>
        <v/>
      </c>
      <c r="R3659" s="37" t="str">
        <f t="shared" si="397"/>
        <v/>
      </c>
      <c r="S3659" s="37" t="str">
        <f t="shared" si="398"/>
        <v/>
      </c>
      <c r="T3659" s="38" t="str">
        <f t="shared" si="399"/>
        <v/>
      </c>
      <c r="U3659" s="37" t="str">
        <f t="shared" si="400"/>
        <v/>
      </c>
    </row>
    <row r="3660" spans="2:21" ht="17.25">
      <c r="B3660" s="156"/>
      <c r="C3660" s="156"/>
      <c r="D3660" s="157"/>
      <c r="E3660" s="155"/>
      <c r="F3660" s="151"/>
      <c r="G3660" s="152"/>
      <c r="H3660" s="153"/>
      <c r="I3660" s="154"/>
      <c r="J3660" s="154"/>
      <c r="K3660" s="30" t="str">
        <f>IF(H3660="","",IF($C$30="간이법","",FPR(H3660,I3660,J3660)))</f>
        <v/>
      </c>
      <c r="L3660" s="30" t="str">
        <f>IF(H3660="","",IF($C$30="상세법",FPV(H3660,K3660),IF(H3660="EI",4,IF(H3660="EO",5.2,IF(H3660="EQ",3.9,IF(H3660="ILF",7.5,IF(H3660="EIF",5.4)))))))</f>
        <v/>
      </c>
      <c r="M3660" s="30" t="str">
        <f t="shared" si="394"/>
        <v/>
      </c>
      <c r="N3660" s="134"/>
      <c r="O3660" s="29"/>
      <c r="P3660" s="37" t="str">
        <f t="shared" si="395"/>
        <v/>
      </c>
      <c r="Q3660" s="38" t="str">
        <f t="shared" si="396"/>
        <v/>
      </c>
      <c r="R3660" s="37" t="str">
        <f t="shared" si="397"/>
        <v/>
      </c>
      <c r="S3660" s="37" t="str">
        <f t="shared" si="398"/>
        <v/>
      </c>
      <c r="T3660" s="38" t="str">
        <f t="shared" si="399"/>
        <v/>
      </c>
      <c r="U3660" s="37" t="str">
        <f t="shared" si="400"/>
        <v/>
      </c>
    </row>
    <row r="3661" spans="2:21" ht="17.25">
      <c r="B3661" s="156"/>
      <c r="C3661" s="156"/>
      <c r="D3661" s="157"/>
      <c r="E3661" s="155"/>
      <c r="F3661" s="151"/>
      <c r="G3661" s="152"/>
      <c r="H3661" s="153"/>
      <c r="I3661" s="154"/>
      <c r="J3661" s="154"/>
      <c r="K3661" s="30" t="str">
        <f>IF(H3661="","",IF($C$30="간이법","",FPR(H3661,I3661,J3661)))</f>
        <v/>
      </c>
      <c r="L3661" s="30" t="str">
        <f>IF(H3661="","",IF($C$30="상세법",FPV(H3661,K3661),IF(H3661="EI",4,IF(H3661="EO",5.2,IF(H3661="EQ",3.9,IF(H3661="ILF",7.5,IF(H3661="EIF",5.4)))))))</f>
        <v/>
      </c>
      <c r="M3661" s="30" t="str">
        <f t="shared" si="394"/>
        <v/>
      </c>
      <c r="N3661" s="134"/>
      <c r="O3661" s="29"/>
      <c r="P3661" s="37" t="str">
        <f t="shared" si="395"/>
        <v/>
      </c>
      <c r="Q3661" s="38" t="str">
        <f t="shared" si="396"/>
        <v/>
      </c>
      <c r="R3661" s="37" t="str">
        <f t="shared" si="397"/>
        <v/>
      </c>
      <c r="S3661" s="37" t="str">
        <f t="shared" si="398"/>
        <v/>
      </c>
      <c r="T3661" s="38" t="str">
        <f t="shared" si="399"/>
        <v/>
      </c>
      <c r="U3661" s="37" t="str">
        <f t="shared" si="400"/>
        <v/>
      </c>
    </row>
    <row r="3662" spans="2:21" ht="17.25">
      <c r="B3662" s="156"/>
      <c r="C3662" s="156"/>
      <c r="D3662" s="157"/>
      <c r="E3662" s="155"/>
      <c r="F3662" s="151"/>
      <c r="G3662" s="152"/>
      <c r="H3662" s="153"/>
      <c r="I3662" s="154"/>
      <c r="J3662" s="154"/>
      <c r="K3662" s="30" t="str">
        <f>IF(H3662="","",IF($C$30="간이법","",FPR(H3662,I3662,J3662)))</f>
        <v/>
      </c>
      <c r="L3662" s="30" t="str">
        <f>IF(H3662="","",IF($C$30="상세법",FPV(H3662,K3662),IF(H3662="EI",4,IF(H3662="EO",5.2,IF(H3662="EQ",3.9,IF(H3662="ILF",7.5,IF(H3662="EIF",5.4)))))))</f>
        <v/>
      </c>
      <c r="M3662" s="30" t="str">
        <f t="shared" si="394"/>
        <v/>
      </c>
      <c r="N3662" s="134"/>
      <c r="O3662" s="29"/>
      <c r="P3662" s="37" t="str">
        <f t="shared" si="395"/>
        <v/>
      </c>
      <c r="Q3662" s="38" t="str">
        <f t="shared" si="396"/>
        <v/>
      </c>
      <c r="R3662" s="37" t="str">
        <f t="shared" si="397"/>
        <v/>
      </c>
      <c r="S3662" s="37" t="str">
        <f t="shared" si="398"/>
        <v/>
      </c>
      <c r="T3662" s="38" t="str">
        <f t="shared" si="399"/>
        <v/>
      </c>
      <c r="U3662" s="37" t="str">
        <f t="shared" si="400"/>
        <v/>
      </c>
    </row>
    <row r="3663" spans="2:21" ht="17.25">
      <c r="B3663" s="156"/>
      <c r="C3663" s="156"/>
      <c r="D3663" s="157"/>
      <c r="E3663" s="155"/>
      <c r="F3663" s="151"/>
      <c r="G3663" s="152"/>
      <c r="H3663" s="153"/>
      <c r="I3663" s="154"/>
      <c r="J3663" s="154"/>
      <c r="K3663" s="30" t="str">
        <f>IF(H3663="","",IF($C$30="간이법","",FPR(H3663,I3663,J3663)))</f>
        <v/>
      </c>
      <c r="L3663" s="30" t="str">
        <f>IF(H3663="","",IF($C$30="상세법",FPV(H3663,K3663),IF(H3663="EI",4,IF(H3663="EO",5.2,IF(H3663="EQ",3.9,IF(H3663="ILF",7.5,IF(H3663="EIF",5.4)))))))</f>
        <v/>
      </c>
      <c r="M3663" s="30" t="str">
        <f t="shared" si="394"/>
        <v/>
      </c>
      <c r="N3663" s="134"/>
      <c r="O3663" s="29"/>
      <c r="P3663" s="37" t="str">
        <f t="shared" si="395"/>
        <v/>
      </c>
      <c r="Q3663" s="38" t="str">
        <f t="shared" si="396"/>
        <v/>
      </c>
      <c r="R3663" s="37" t="str">
        <f t="shared" si="397"/>
        <v/>
      </c>
      <c r="S3663" s="37" t="str">
        <f t="shared" si="398"/>
        <v/>
      </c>
      <c r="T3663" s="38" t="str">
        <f t="shared" si="399"/>
        <v/>
      </c>
      <c r="U3663" s="37" t="str">
        <f t="shared" si="400"/>
        <v/>
      </c>
    </row>
    <row r="3664" spans="2:21" ht="17.25">
      <c r="B3664" s="156"/>
      <c r="C3664" s="156"/>
      <c r="D3664" s="157"/>
      <c r="E3664" s="155"/>
      <c r="F3664" s="151"/>
      <c r="G3664" s="152"/>
      <c r="H3664" s="153"/>
      <c r="I3664" s="154"/>
      <c r="J3664" s="154"/>
      <c r="K3664" s="30" t="str">
        <f>IF(H3664="","",IF($C$30="간이법","",FPR(H3664,I3664,J3664)))</f>
        <v/>
      </c>
      <c r="L3664" s="30" t="str">
        <f>IF(H3664="","",IF($C$30="상세법",FPV(H3664,K3664),IF(H3664="EI",4,IF(H3664="EO",5.2,IF(H3664="EQ",3.9,IF(H3664="ILF",7.5,IF(H3664="EIF",5.4)))))))</f>
        <v/>
      </c>
      <c r="M3664" s="30" t="str">
        <f t="shared" si="394"/>
        <v/>
      </c>
      <c r="N3664" s="134"/>
      <c r="O3664" s="29"/>
      <c r="P3664" s="37" t="str">
        <f t="shared" si="395"/>
        <v/>
      </c>
      <c r="Q3664" s="38" t="str">
        <f t="shared" si="396"/>
        <v/>
      </c>
      <c r="R3664" s="37" t="str">
        <f t="shared" si="397"/>
        <v/>
      </c>
      <c r="S3664" s="37" t="str">
        <f t="shared" si="398"/>
        <v/>
      </c>
      <c r="T3664" s="38" t="str">
        <f t="shared" si="399"/>
        <v/>
      </c>
      <c r="U3664" s="37" t="str">
        <f t="shared" si="400"/>
        <v/>
      </c>
    </row>
    <row r="3665" spans="2:21" ht="17.25">
      <c r="B3665" s="156"/>
      <c r="C3665" s="156"/>
      <c r="D3665" s="157"/>
      <c r="E3665" s="155"/>
      <c r="F3665" s="151"/>
      <c r="G3665" s="152"/>
      <c r="H3665" s="153"/>
      <c r="I3665" s="154"/>
      <c r="J3665" s="154"/>
      <c r="K3665" s="30" t="str">
        <f>IF(H3665="","",IF($C$30="간이법","",FPR(H3665,I3665,J3665)))</f>
        <v/>
      </c>
      <c r="L3665" s="30" t="str">
        <f>IF(H3665="","",IF($C$30="상세법",FPV(H3665,K3665),IF(H3665="EI",4,IF(H3665="EO",5.2,IF(H3665="EQ",3.9,IF(H3665="ILF",7.5,IF(H3665="EIF",5.4)))))))</f>
        <v/>
      </c>
      <c r="M3665" s="30" t="str">
        <f t="shared" si="394"/>
        <v/>
      </c>
      <c r="N3665" s="134"/>
      <c r="O3665" s="29"/>
      <c r="P3665" s="37" t="str">
        <f t="shared" si="395"/>
        <v/>
      </c>
      <c r="Q3665" s="38" t="str">
        <f t="shared" si="396"/>
        <v/>
      </c>
      <c r="R3665" s="37" t="str">
        <f t="shared" si="397"/>
        <v/>
      </c>
      <c r="S3665" s="37" t="str">
        <f t="shared" si="398"/>
        <v/>
      </c>
      <c r="T3665" s="38" t="str">
        <f t="shared" si="399"/>
        <v/>
      </c>
      <c r="U3665" s="37" t="str">
        <f t="shared" si="400"/>
        <v/>
      </c>
    </row>
    <row r="3666" spans="2:21" ht="17.25">
      <c r="B3666" s="156"/>
      <c r="C3666" s="156"/>
      <c r="D3666" s="157"/>
      <c r="E3666" s="155"/>
      <c r="F3666" s="151"/>
      <c r="G3666" s="152"/>
      <c r="H3666" s="153"/>
      <c r="I3666" s="154"/>
      <c r="J3666" s="154"/>
      <c r="K3666" s="30" t="str">
        <f>IF(H3666="","",IF($C$30="간이법","",FPR(H3666,I3666,J3666)))</f>
        <v/>
      </c>
      <c r="L3666" s="30" t="str">
        <f>IF(H3666="","",IF($C$30="상세법",FPV(H3666,K3666),IF(H3666="EI",4,IF(H3666="EO",5.2,IF(H3666="EQ",3.9,IF(H3666="ILF",7.5,IF(H3666="EIF",5.4)))))))</f>
        <v/>
      </c>
      <c r="M3666" s="30" t="str">
        <f t="shared" si="394"/>
        <v/>
      </c>
      <c r="N3666" s="134"/>
      <c r="O3666" s="29"/>
      <c r="P3666" s="37" t="str">
        <f t="shared" si="395"/>
        <v/>
      </c>
      <c r="Q3666" s="38" t="str">
        <f t="shared" si="396"/>
        <v/>
      </c>
      <c r="R3666" s="37" t="str">
        <f t="shared" si="397"/>
        <v/>
      </c>
      <c r="S3666" s="37" t="str">
        <f t="shared" si="398"/>
        <v/>
      </c>
      <c r="T3666" s="38" t="str">
        <f t="shared" si="399"/>
        <v/>
      </c>
      <c r="U3666" s="37" t="str">
        <f t="shared" si="400"/>
        <v/>
      </c>
    </row>
    <row r="3667" spans="2:21" ht="17.25">
      <c r="B3667" s="156"/>
      <c r="C3667" s="156"/>
      <c r="D3667" s="157"/>
      <c r="E3667" s="155"/>
      <c r="F3667" s="151"/>
      <c r="G3667" s="152"/>
      <c r="H3667" s="153"/>
      <c r="I3667" s="154"/>
      <c r="J3667" s="154"/>
      <c r="K3667" s="30" t="str">
        <f>IF(H3667="","",IF($C$30="간이법","",FPR(H3667,I3667,J3667)))</f>
        <v/>
      </c>
      <c r="L3667" s="30" t="str">
        <f>IF(H3667="","",IF($C$30="상세법",FPV(H3667,K3667),IF(H3667="EI",4,IF(H3667="EO",5.2,IF(H3667="EQ",3.9,IF(H3667="ILF",7.5,IF(H3667="EIF",5.4)))))))</f>
        <v/>
      </c>
      <c r="M3667" s="30" t="str">
        <f t="shared" si="394"/>
        <v/>
      </c>
      <c r="N3667" s="134"/>
      <c r="O3667" s="29"/>
      <c r="P3667" s="37" t="str">
        <f t="shared" si="395"/>
        <v/>
      </c>
      <c r="Q3667" s="38" t="str">
        <f t="shared" si="396"/>
        <v/>
      </c>
      <c r="R3667" s="37" t="str">
        <f t="shared" si="397"/>
        <v/>
      </c>
      <c r="S3667" s="37" t="str">
        <f t="shared" si="398"/>
        <v/>
      </c>
      <c r="T3667" s="38" t="str">
        <f t="shared" si="399"/>
        <v/>
      </c>
      <c r="U3667" s="37" t="str">
        <f t="shared" si="400"/>
        <v/>
      </c>
    </row>
    <row r="3668" spans="2:21" ht="17.25">
      <c r="B3668" s="156"/>
      <c r="C3668" s="156"/>
      <c r="D3668" s="157"/>
      <c r="E3668" s="155"/>
      <c r="F3668" s="151"/>
      <c r="G3668" s="152"/>
      <c r="H3668" s="153"/>
      <c r="I3668" s="154"/>
      <c r="J3668" s="154"/>
      <c r="K3668" s="30" t="str">
        <f>IF(H3668="","",IF($C$30="간이법","",FPR(H3668,I3668,J3668)))</f>
        <v/>
      </c>
      <c r="L3668" s="30" t="str">
        <f>IF(H3668="","",IF($C$30="상세법",FPV(H3668,K3668),IF(H3668="EI",4,IF(H3668="EO",5.2,IF(H3668="EQ",3.9,IF(H3668="ILF",7.5,IF(H3668="EIF",5.4)))))))</f>
        <v/>
      </c>
      <c r="M3668" s="30" t="str">
        <f t="shared" si="394"/>
        <v/>
      </c>
      <c r="N3668" s="134"/>
      <c r="O3668" s="29"/>
      <c r="P3668" s="37" t="str">
        <f t="shared" si="395"/>
        <v/>
      </c>
      <c r="Q3668" s="38" t="str">
        <f t="shared" si="396"/>
        <v/>
      </c>
      <c r="R3668" s="37" t="str">
        <f t="shared" si="397"/>
        <v/>
      </c>
      <c r="S3668" s="37" t="str">
        <f t="shared" si="398"/>
        <v/>
      </c>
      <c r="T3668" s="38" t="str">
        <f t="shared" si="399"/>
        <v/>
      </c>
      <c r="U3668" s="37" t="str">
        <f t="shared" si="400"/>
        <v/>
      </c>
    </row>
    <row r="3669" spans="2:21" ht="17.25">
      <c r="B3669" s="156"/>
      <c r="C3669" s="156"/>
      <c r="D3669" s="157"/>
      <c r="E3669" s="155"/>
      <c r="F3669" s="151"/>
      <c r="G3669" s="152"/>
      <c r="H3669" s="153"/>
      <c r="I3669" s="154"/>
      <c r="J3669" s="154"/>
      <c r="K3669" s="30" t="str">
        <f>IF(H3669="","",IF($C$30="간이법","",FPR(H3669,I3669,J3669)))</f>
        <v/>
      </c>
      <c r="L3669" s="30" t="str">
        <f>IF(H3669="","",IF($C$30="상세법",FPV(H3669,K3669),IF(H3669="EI",4,IF(H3669="EO",5.2,IF(H3669="EQ",3.9,IF(H3669="ILF",7.5,IF(H3669="EIF",5.4)))))))</f>
        <v/>
      </c>
      <c r="M3669" s="30" t="str">
        <f t="shared" si="394"/>
        <v/>
      </c>
      <c r="N3669" s="134"/>
      <c r="O3669" s="29"/>
      <c r="P3669" s="37" t="str">
        <f t="shared" si="395"/>
        <v/>
      </c>
      <c r="Q3669" s="38" t="str">
        <f t="shared" si="396"/>
        <v/>
      </c>
      <c r="R3669" s="37" t="str">
        <f t="shared" si="397"/>
        <v/>
      </c>
      <c r="S3669" s="37" t="str">
        <f t="shared" si="398"/>
        <v/>
      </c>
      <c r="T3669" s="38" t="str">
        <f t="shared" si="399"/>
        <v/>
      </c>
      <c r="U3669" s="37" t="str">
        <f t="shared" si="400"/>
        <v/>
      </c>
    </row>
    <row r="3670" spans="2:21" ht="17.25">
      <c r="B3670" s="156"/>
      <c r="C3670" s="156"/>
      <c r="D3670" s="157"/>
      <c r="E3670" s="155"/>
      <c r="F3670" s="151"/>
      <c r="G3670" s="152"/>
      <c r="H3670" s="153"/>
      <c r="I3670" s="154"/>
      <c r="J3670" s="154"/>
      <c r="K3670" s="30" t="str">
        <f>IF(H3670="","",IF($C$30="간이법","",FPR(H3670,I3670,J3670)))</f>
        <v/>
      </c>
      <c r="L3670" s="30" t="str">
        <f>IF(H3670="","",IF($C$30="상세법",FPV(H3670,K3670),IF(H3670="EI",4,IF(H3670="EO",5.2,IF(H3670="EQ",3.9,IF(H3670="ILF",7.5,IF(H3670="EIF",5.4)))))))</f>
        <v/>
      </c>
      <c r="M3670" s="30" t="str">
        <f t="shared" si="394"/>
        <v/>
      </c>
      <c r="N3670" s="134"/>
      <c r="O3670" s="29"/>
      <c r="P3670" s="37" t="str">
        <f t="shared" si="395"/>
        <v/>
      </c>
      <c r="Q3670" s="38" t="str">
        <f t="shared" si="396"/>
        <v/>
      </c>
      <c r="R3670" s="37" t="str">
        <f t="shared" si="397"/>
        <v/>
      </c>
      <c r="S3670" s="37" t="str">
        <f t="shared" si="398"/>
        <v/>
      </c>
      <c r="T3670" s="38" t="str">
        <f t="shared" si="399"/>
        <v/>
      </c>
      <c r="U3670" s="37" t="str">
        <f t="shared" si="400"/>
        <v/>
      </c>
    </row>
    <row r="3671" spans="2:21" ht="17.25">
      <c r="B3671" s="156"/>
      <c r="C3671" s="156"/>
      <c r="D3671" s="157"/>
      <c r="E3671" s="155"/>
      <c r="F3671" s="151"/>
      <c r="G3671" s="152"/>
      <c r="H3671" s="153"/>
      <c r="I3671" s="154"/>
      <c r="J3671" s="154"/>
      <c r="K3671" s="30" t="str">
        <f>IF(H3671="","",IF($C$30="간이법","",FPR(H3671,I3671,J3671)))</f>
        <v/>
      </c>
      <c r="L3671" s="30" t="str">
        <f>IF(H3671="","",IF($C$30="상세법",FPV(H3671,K3671),IF(H3671="EI",4,IF(H3671="EO",5.2,IF(H3671="EQ",3.9,IF(H3671="ILF",7.5,IF(H3671="EIF",5.4)))))))</f>
        <v/>
      </c>
      <c r="M3671" s="30" t="str">
        <f t="shared" si="394"/>
        <v/>
      </c>
      <c r="N3671" s="134"/>
      <c r="O3671" s="29"/>
      <c r="P3671" s="37" t="str">
        <f t="shared" si="395"/>
        <v/>
      </c>
      <c r="Q3671" s="38" t="str">
        <f t="shared" si="396"/>
        <v/>
      </c>
      <c r="R3671" s="37" t="str">
        <f t="shared" si="397"/>
        <v/>
      </c>
      <c r="S3671" s="37" t="str">
        <f t="shared" si="398"/>
        <v/>
      </c>
      <c r="T3671" s="38" t="str">
        <f t="shared" si="399"/>
        <v/>
      </c>
      <c r="U3671" s="37" t="str">
        <f t="shared" si="400"/>
        <v/>
      </c>
    </row>
    <row r="3672" spans="2:21" ht="17.25">
      <c r="B3672" s="156"/>
      <c r="C3672" s="156"/>
      <c r="D3672" s="157"/>
      <c r="E3672" s="155"/>
      <c r="F3672" s="151"/>
      <c r="G3672" s="152"/>
      <c r="H3672" s="153"/>
      <c r="I3672" s="154"/>
      <c r="J3672" s="154"/>
      <c r="K3672" s="30" t="str">
        <f>IF(H3672="","",IF($C$30="간이법","",FPR(H3672,I3672,J3672)))</f>
        <v/>
      </c>
      <c r="L3672" s="30" t="str">
        <f>IF(H3672="","",IF($C$30="상세법",FPV(H3672,K3672),IF(H3672="EI",4,IF(H3672="EO",5.2,IF(H3672="EQ",3.9,IF(H3672="ILF",7.5,IF(H3672="EIF",5.4)))))))</f>
        <v/>
      </c>
      <c r="M3672" s="30" t="str">
        <f t="shared" si="394"/>
        <v/>
      </c>
      <c r="N3672" s="134"/>
      <c r="O3672" s="29"/>
      <c r="P3672" s="37" t="str">
        <f t="shared" si="395"/>
        <v/>
      </c>
      <c r="Q3672" s="38" t="str">
        <f t="shared" si="396"/>
        <v/>
      </c>
      <c r="R3672" s="37" t="str">
        <f t="shared" si="397"/>
        <v/>
      </c>
      <c r="S3672" s="37" t="str">
        <f t="shared" si="398"/>
        <v/>
      </c>
      <c r="T3672" s="38" t="str">
        <f t="shared" si="399"/>
        <v/>
      </c>
      <c r="U3672" s="37" t="str">
        <f t="shared" si="400"/>
        <v/>
      </c>
    </row>
    <row r="3673" spans="2:21" ht="17.25">
      <c r="B3673" s="156"/>
      <c r="C3673" s="156"/>
      <c r="D3673" s="157"/>
      <c r="E3673" s="155"/>
      <c r="F3673" s="151"/>
      <c r="G3673" s="152"/>
      <c r="H3673" s="153"/>
      <c r="I3673" s="154"/>
      <c r="J3673" s="154"/>
      <c r="K3673" s="30" t="str">
        <f>IF(H3673="","",IF($C$30="간이법","",FPR(H3673,I3673,J3673)))</f>
        <v/>
      </c>
      <c r="L3673" s="30" t="str">
        <f>IF(H3673="","",IF($C$30="상세법",FPV(H3673,K3673),IF(H3673="EI",4,IF(H3673="EO",5.2,IF(H3673="EQ",3.9,IF(H3673="ILF",7.5,IF(H3673="EIF",5.4)))))))</f>
        <v/>
      </c>
      <c r="M3673" s="30" t="str">
        <f t="shared" si="394"/>
        <v/>
      </c>
      <c r="N3673" s="134"/>
      <c r="O3673" s="29"/>
      <c r="P3673" s="37" t="str">
        <f t="shared" si="395"/>
        <v/>
      </c>
      <c r="Q3673" s="38" t="str">
        <f t="shared" si="396"/>
        <v/>
      </c>
      <c r="R3673" s="37" t="str">
        <f t="shared" si="397"/>
        <v/>
      </c>
      <c r="S3673" s="37" t="str">
        <f t="shared" si="398"/>
        <v/>
      </c>
      <c r="T3673" s="38" t="str">
        <f t="shared" si="399"/>
        <v/>
      </c>
      <c r="U3673" s="37" t="str">
        <f t="shared" si="400"/>
        <v/>
      </c>
    </row>
    <row r="3674" spans="2:21" ht="17.25">
      <c r="B3674" s="156"/>
      <c r="C3674" s="156"/>
      <c r="D3674" s="157"/>
      <c r="E3674" s="155"/>
      <c r="F3674" s="151"/>
      <c r="G3674" s="152"/>
      <c r="H3674" s="153"/>
      <c r="I3674" s="154"/>
      <c r="J3674" s="154"/>
      <c r="K3674" s="30" t="str">
        <f>IF(H3674="","",IF($C$30="간이법","",FPR(H3674,I3674,J3674)))</f>
        <v/>
      </c>
      <c r="L3674" s="30" t="str">
        <f>IF(H3674="","",IF($C$30="상세법",FPV(H3674,K3674),IF(H3674="EI",4,IF(H3674="EO",5.2,IF(H3674="EQ",3.9,IF(H3674="ILF",7.5,IF(H3674="EIF",5.4)))))))</f>
        <v/>
      </c>
      <c r="M3674" s="30" t="str">
        <f t="shared" si="394"/>
        <v/>
      </c>
      <c r="N3674" s="134"/>
      <c r="O3674" s="29"/>
      <c r="P3674" s="37" t="str">
        <f t="shared" si="395"/>
        <v/>
      </c>
      <c r="Q3674" s="38" t="str">
        <f t="shared" si="396"/>
        <v/>
      </c>
      <c r="R3674" s="37" t="str">
        <f t="shared" si="397"/>
        <v/>
      </c>
      <c r="S3674" s="37" t="str">
        <f t="shared" si="398"/>
        <v/>
      </c>
      <c r="T3674" s="38" t="str">
        <f t="shared" si="399"/>
        <v/>
      </c>
      <c r="U3674" s="37" t="str">
        <f t="shared" si="400"/>
        <v/>
      </c>
    </row>
    <row r="3675" spans="2:21" ht="17.25">
      <c r="B3675" s="156"/>
      <c r="C3675" s="156"/>
      <c r="D3675" s="157"/>
      <c r="E3675" s="155"/>
      <c r="F3675" s="151"/>
      <c r="G3675" s="152"/>
      <c r="H3675" s="153"/>
      <c r="I3675" s="154"/>
      <c r="J3675" s="154"/>
      <c r="K3675" s="30" t="str">
        <f>IF(H3675="","",IF($C$30="간이법","",FPR(H3675,I3675,J3675)))</f>
        <v/>
      </c>
      <c r="L3675" s="30" t="str">
        <f>IF(H3675="","",IF($C$30="상세법",FPV(H3675,K3675),IF(H3675="EI",4,IF(H3675="EO",5.2,IF(H3675="EQ",3.9,IF(H3675="ILF",7.5,IF(H3675="EIF",5.4)))))))</f>
        <v/>
      </c>
      <c r="M3675" s="30" t="str">
        <f t="shared" si="394"/>
        <v/>
      </c>
      <c r="N3675" s="134"/>
      <c r="O3675" s="29"/>
      <c r="P3675" s="37" t="str">
        <f t="shared" si="395"/>
        <v/>
      </c>
      <c r="Q3675" s="38" t="str">
        <f t="shared" si="396"/>
        <v/>
      </c>
      <c r="R3675" s="37" t="str">
        <f t="shared" si="397"/>
        <v/>
      </c>
      <c r="S3675" s="37" t="str">
        <f t="shared" si="398"/>
        <v/>
      </c>
      <c r="T3675" s="38" t="str">
        <f t="shared" si="399"/>
        <v/>
      </c>
      <c r="U3675" s="37" t="str">
        <f t="shared" si="400"/>
        <v/>
      </c>
    </row>
    <row r="3676" spans="2:21" ht="17.25">
      <c r="B3676" s="156"/>
      <c r="C3676" s="156"/>
      <c r="D3676" s="157"/>
      <c r="E3676" s="155"/>
      <c r="F3676" s="151"/>
      <c r="G3676" s="152"/>
      <c r="H3676" s="153"/>
      <c r="I3676" s="154"/>
      <c r="J3676" s="154"/>
      <c r="K3676" s="30" t="str">
        <f>IF(H3676="","",IF($C$30="간이법","",FPR(H3676,I3676,J3676)))</f>
        <v/>
      </c>
      <c r="L3676" s="30" t="str">
        <f>IF(H3676="","",IF($C$30="상세법",FPV(H3676,K3676),IF(H3676="EI",4,IF(H3676="EO",5.2,IF(H3676="EQ",3.9,IF(H3676="ILF",7.5,IF(H3676="EIF",5.4)))))))</f>
        <v/>
      </c>
      <c r="M3676" s="30" t="str">
        <f t="shared" si="394"/>
        <v/>
      </c>
      <c r="N3676" s="134"/>
      <c r="O3676" s="29"/>
      <c r="P3676" s="37" t="str">
        <f t="shared" si="395"/>
        <v/>
      </c>
      <c r="Q3676" s="38" t="str">
        <f t="shared" si="396"/>
        <v/>
      </c>
      <c r="R3676" s="37" t="str">
        <f t="shared" si="397"/>
        <v/>
      </c>
      <c r="S3676" s="37" t="str">
        <f t="shared" si="398"/>
        <v/>
      </c>
      <c r="T3676" s="38" t="str">
        <f t="shared" si="399"/>
        <v/>
      </c>
      <c r="U3676" s="37" t="str">
        <f t="shared" si="400"/>
        <v/>
      </c>
    </row>
    <row r="3677" spans="2:21" ht="17.25">
      <c r="B3677" s="156"/>
      <c r="C3677" s="156"/>
      <c r="D3677" s="157"/>
      <c r="E3677" s="155"/>
      <c r="F3677" s="151"/>
      <c r="G3677" s="152"/>
      <c r="H3677" s="153"/>
      <c r="I3677" s="154"/>
      <c r="J3677" s="154"/>
      <c r="K3677" s="30" t="str">
        <f>IF(H3677="","",IF($C$30="간이법","",FPR(H3677,I3677,J3677)))</f>
        <v/>
      </c>
      <c r="L3677" s="30" t="str">
        <f>IF(H3677="","",IF($C$30="상세법",FPV(H3677,K3677),IF(H3677="EI",4,IF(H3677="EO",5.2,IF(H3677="EQ",3.9,IF(H3677="ILF",7.5,IF(H3677="EIF",5.4)))))))</f>
        <v/>
      </c>
      <c r="M3677" s="30" t="str">
        <f t="shared" si="394"/>
        <v/>
      </c>
      <c r="N3677" s="134"/>
      <c r="O3677" s="29"/>
      <c r="P3677" s="37" t="str">
        <f t="shared" si="395"/>
        <v/>
      </c>
      <c r="Q3677" s="38" t="str">
        <f t="shared" si="396"/>
        <v/>
      </c>
      <c r="R3677" s="37" t="str">
        <f t="shared" si="397"/>
        <v/>
      </c>
      <c r="S3677" s="37" t="str">
        <f t="shared" si="398"/>
        <v/>
      </c>
      <c r="T3677" s="38" t="str">
        <f t="shared" si="399"/>
        <v/>
      </c>
      <c r="U3677" s="37" t="str">
        <f t="shared" si="400"/>
        <v/>
      </c>
    </row>
    <row r="3678" spans="2:21" ht="17.25">
      <c r="B3678" s="156"/>
      <c r="C3678" s="156"/>
      <c r="D3678" s="157"/>
      <c r="E3678" s="155"/>
      <c r="F3678" s="151"/>
      <c r="G3678" s="152"/>
      <c r="H3678" s="153"/>
      <c r="I3678" s="154"/>
      <c r="J3678" s="154"/>
      <c r="K3678" s="30" t="str">
        <f>IF(H3678="","",IF($C$30="간이법","",FPR(H3678,I3678,J3678)))</f>
        <v/>
      </c>
      <c r="L3678" s="30" t="str">
        <f>IF(H3678="","",IF($C$30="상세법",FPV(H3678,K3678),IF(H3678="EI",4,IF(H3678="EO",5.2,IF(H3678="EQ",3.9,IF(H3678="ILF",7.5,IF(H3678="EIF",5.4)))))))</f>
        <v/>
      </c>
      <c r="M3678" s="30" t="str">
        <f t="shared" si="394"/>
        <v/>
      </c>
      <c r="N3678" s="134"/>
      <c r="O3678" s="29"/>
      <c r="P3678" s="37" t="str">
        <f t="shared" si="395"/>
        <v/>
      </c>
      <c r="Q3678" s="38" t="str">
        <f t="shared" si="396"/>
        <v/>
      </c>
      <c r="R3678" s="37" t="str">
        <f t="shared" si="397"/>
        <v/>
      </c>
      <c r="S3678" s="37" t="str">
        <f t="shared" si="398"/>
        <v/>
      </c>
      <c r="T3678" s="38" t="str">
        <f t="shared" si="399"/>
        <v/>
      </c>
      <c r="U3678" s="37" t="str">
        <f t="shared" si="400"/>
        <v/>
      </c>
    </row>
    <row r="3679" spans="2:21" ht="17.25">
      <c r="B3679" s="156"/>
      <c r="C3679" s="156"/>
      <c r="D3679" s="157"/>
      <c r="E3679" s="155"/>
      <c r="F3679" s="151"/>
      <c r="G3679" s="152"/>
      <c r="H3679" s="153"/>
      <c r="I3679" s="154"/>
      <c r="J3679" s="154"/>
      <c r="K3679" s="30" t="str">
        <f>IF(H3679="","",IF($C$30="간이법","",FPR(H3679,I3679,J3679)))</f>
        <v/>
      </c>
      <c r="L3679" s="30" t="str">
        <f>IF(H3679="","",IF($C$30="상세법",FPV(H3679,K3679),IF(H3679="EI",4,IF(H3679="EO",5.2,IF(H3679="EQ",3.9,IF(H3679="ILF",7.5,IF(H3679="EIF",5.4)))))))</f>
        <v/>
      </c>
      <c r="M3679" s="30" t="str">
        <f t="shared" si="394"/>
        <v/>
      </c>
      <c r="N3679" s="134"/>
      <c r="O3679" s="29"/>
      <c r="P3679" s="37" t="str">
        <f t="shared" si="395"/>
        <v/>
      </c>
      <c r="Q3679" s="38" t="str">
        <f t="shared" si="396"/>
        <v/>
      </c>
      <c r="R3679" s="37" t="str">
        <f t="shared" si="397"/>
        <v/>
      </c>
      <c r="S3679" s="37" t="str">
        <f t="shared" si="398"/>
        <v/>
      </c>
      <c r="T3679" s="38" t="str">
        <f t="shared" si="399"/>
        <v/>
      </c>
      <c r="U3679" s="37" t="str">
        <f t="shared" si="400"/>
        <v/>
      </c>
    </row>
    <row r="3680" spans="2:21" ht="17.25">
      <c r="B3680" s="156"/>
      <c r="C3680" s="156"/>
      <c r="D3680" s="157"/>
      <c r="E3680" s="155"/>
      <c r="F3680" s="151"/>
      <c r="G3680" s="152"/>
      <c r="H3680" s="153"/>
      <c r="I3680" s="154"/>
      <c r="J3680" s="154"/>
      <c r="K3680" s="30" t="str">
        <f>IF(H3680="","",IF($C$30="간이법","",FPR(H3680,I3680,J3680)))</f>
        <v/>
      </c>
      <c r="L3680" s="30" t="str">
        <f>IF(H3680="","",IF($C$30="상세법",FPV(H3680,K3680),IF(H3680="EI",4,IF(H3680="EO",5.2,IF(H3680="EQ",3.9,IF(H3680="ILF",7.5,IF(H3680="EIF",5.4)))))))</f>
        <v/>
      </c>
      <c r="M3680" s="30" t="str">
        <f t="shared" si="394"/>
        <v/>
      </c>
      <c r="N3680" s="134"/>
      <c r="O3680" s="29"/>
      <c r="P3680" s="37" t="str">
        <f t="shared" si="395"/>
        <v/>
      </c>
      <c r="Q3680" s="38" t="str">
        <f t="shared" si="396"/>
        <v/>
      </c>
      <c r="R3680" s="37" t="str">
        <f t="shared" si="397"/>
        <v/>
      </c>
      <c r="S3680" s="37" t="str">
        <f t="shared" si="398"/>
        <v/>
      </c>
      <c r="T3680" s="38" t="str">
        <f t="shared" si="399"/>
        <v/>
      </c>
      <c r="U3680" s="37" t="str">
        <f t="shared" si="400"/>
        <v/>
      </c>
    </row>
    <row r="3681" spans="2:21" ht="17.25">
      <c r="B3681" s="156"/>
      <c r="C3681" s="156"/>
      <c r="D3681" s="157"/>
      <c r="E3681" s="155"/>
      <c r="F3681" s="151"/>
      <c r="G3681" s="152"/>
      <c r="H3681" s="153"/>
      <c r="I3681" s="154"/>
      <c r="J3681" s="154"/>
      <c r="K3681" s="30" t="str">
        <f>IF(H3681="","",IF($C$30="간이법","",FPR(H3681,I3681,J3681)))</f>
        <v/>
      </c>
      <c r="L3681" s="30" t="str">
        <f>IF(H3681="","",IF($C$30="상세법",FPV(H3681,K3681),IF(H3681="EI",4,IF(H3681="EO",5.2,IF(H3681="EQ",3.9,IF(H3681="ILF",7.5,IF(H3681="EIF",5.4)))))))</f>
        <v/>
      </c>
      <c r="M3681" s="30" t="str">
        <f t="shared" si="394"/>
        <v/>
      </c>
      <c r="N3681" s="134"/>
      <c r="O3681" s="29"/>
      <c r="P3681" s="37" t="str">
        <f t="shared" si="395"/>
        <v/>
      </c>
      <c r="Q3681" s="38" t="str">
        <f t="shared" si="396"/>
        <v/>
      </c>
      <c r="R3681" s="37" t="str">
        <f t="shared" si="397"/>
        <v/>
      </c>
      <c r="S3681" s="37" t="str">
        <f t="shared" si="398"/>
        <v/>
      </c>
      <c r="T3681" s="38" t="str">
        <f t="shared" si="399"/>
        <v/>
      </c>
      <c r="U3681" s="37" t="str">
        <f t="shared" si="400"/>
        <v/>
      </c>
    </row>
    <row r="3682" spans="2:21" ht="17.25">
      <c r="B3682" s="156"/>
      <c r="C3682" s="156"/>
      <c r="D3682" s="157"/>
      <c r="E3682" s="155"/>
      <c r="F3682" s="151"/>
      <c r="G3682" s="152"/>
      <c r="H3682" s="153"/>
      <c r="I3682" s="154"/>
      <c r="J3682" s="154"/>
      <c r="K3682" s="30" t="str">
        <f>IF(H3682="","",IF($C$30="간이법","",FPR(H3682,I3682,J3682)))</f>
        <v/>
      </c>
      <c r="L3682" s="30" t="str">
        <f>IF(H3682="","",IF($C$30="상세법",FPV(H3682,K3682),IF(H3682="EI",4,IF(H3682="EO",5.2,IF(H3682="EQ",3.9,IF(H3682="ILF",7.5,IF(H3682="EIF",5.4)))))))</f>
        <v/>
      </c>
      <c r="M3682" s="30" t="str">
        <f t="shared" si="394"/>
        <v/>
      </c>
      <c r="N3682" s="134"/>
      <c r="O3682" s="29"/>
      <c r="P3682" s="37" t="str">
        <f t="shared" si="395"/>
        <v/>
      </c>
      <c r="Q3682" s="38" t="str">
        <f t="shared" si="396"/>
        <v/>
      </c>
      <c r="R3682" s="37" t="str">
        <f t="shared" si="397"/>
        <v/>
      </c>
      <c r="S3682" s="37" t="str">
        <f t="shared" si="398"/>
        <v/>
      </c>
      <c r="T3682" s="38" t="str">
        <f t="shared" si="399"/>
        <v/>
      </c>
      <c r="U3682" s="37" t="str">
        <f t="shared" si="400"/>
        <v/>
      </c>
    </row>
    <row r="3683" spans="2:21" ht="17.25">
      <c r="B3683" s="156"/>
      <c r="C3683" s="156"/>
      <c r="D3683" s="157"/>
      <c r="E3683" s="155"/>
      <c r="F3683" s="151"/>
      <c r="G3683" s="152"/>
      <c r="H3683" s="153"/>
      <c r="I3683" s="154"/>
      <c r="J3683" s="154"/>
      <c r="K3683" s="30" t="str">
        <f>IF(H3683="","",IF($C$30="간이법","",FPR(H3683,I3683,J3683)))</f>
        <v/>
      </c>
      <c r="L3683" s="30" t="str">
        <f>IF(H3683="","",IF($C$30="상세법",FPV(H3683,K3683),IF(H3683="EI",4,IF(H3683="EO",5.2,IF(H3683="EQ",3.9,IF(H3683="ILF",7.5,IF(H3683="EIF",5.4)))))))</f>
        <v/>
      </c>
      <c r="M3683" s="30" t="str">
        <f t="shared" si="394"/>
        <v/>
      </c>
      <c r="N3683" s="134"/>
      <c r="O3683" s="29"/>
      <c r="P3683" s="37" t="str">
        <f t="shared" si="395"/>
        <v/>
      </c>
      <c r="Q3683" s="38" t="str">
        <f t="shared" si="396"/>
        <v/>
      </c>
      <c r="R3683" s="37" t="str">
        <f t="shared" si="397"/>
        <v/>
      </c>
      <c r="S3683" s="37" t="str">
        <f t="shared" si="398"/>
        <v/>
      </c>
      <c r="T3683" s="38" t="str">
        <f t="shared" si="399"/>
        <v/>
      </c>
      <c r="U3683" s="37" t="str">
        <f t="shared" si="400"/>
        <v/>
      </c>
    </row>
    <row r="3684" spans="2:21" ht="17.25">
      <c r="B3684" s="156"/>
      <c r="C3684" s="156"/>
      <c r="D3684" s="157"/>
      <c r="E3684" s="155"/>
      <c r="F3684" s="151"/>
      <c r="G3684" s="152"/>
      <c r="H3684" s="153"/>
      <c r="I3684" s="154"/>
      <c r="J3684" s="154"/>
      <c r="K3684" s="30" t="str">
        <f>IF(H3684="","",IF($C$30="간이법","",FPR(H3684,I3684,J3684)))</f>
        <v/>
      </c>
      <c r="L3684" s="30" t="str">
        <f>IF(H3684="","",IF($C$30="상세법",FPV(H3684,K3684),IF(H3684="EI",4,IF(H3684="EO",5.2,IF(H3684="EQ",3.9,IF(H3684="ILF",7.5,IF(H3684="EIF",5.4)))))))</f>
        <v/>
      </c>
      <c r="M3684" s="30" t="str">
        <f t="shared" si="394"/>
        <v/>
      </c>
      <c r="N3684" s="134"/>
      <c r="O3684" s="29"/>
      <c r="P3684" s="37" t="str">
        <f t="shared" si="395"/>
        <v/>
      </c>
      <c r="Q3684" s="38" t="str">
        <f t="shared" si="396"/>
        <v/>
      </c>
      <c r="R3684" s="37" t="str">
        <f t="shared" si="397"/>
        <v/>
      </c>
      <c r="S3684" s="37" t="str">
        <f t="shared" si="398"/>
        <v/>
      </c>
      <c r="T3684" s="38" t="str">
        <f t="shared" si="399"/>
        <v/>
      </c>
      <c r="U3684" s="37" t="str">
        <f t="shared" si="400"/>
        <v/>
      </c>
    </row>
    <row r="3685" spans="2:21" ht="17.25">
      <c r="B3685" s="156"/>
      <c r="C3685" s="156"/>
      <c r="D3685" s="157"/>
      <c r="E3685" s="155"/>
      <c r="F3685" s="151"/>
      <c r="G3685" s="152"/>
      <c r="H3685" s="153"/>
      <c r="I3685" s="154"/>
      <c r="J3685" s="154"/>
      <c r="K3685" s="30" t="str">
        <f>IF(H3685="","",IF($C$30="간이법","",FPR(H3685,I3685,J3685)))</f>
        <v/>
      </c>
      <c r="L3685" s="30" t="str">
        <f>IF(H3685="","",IF($C$30="상세법",FPV(H3685,K3685),IF(H3685="EI",4,IF(H3685="EO",5.2,IF(H3685="EQ",3.9,IF(H3685="ILF",7.5,IF(H3685="EIF",5.4)))))))</f>
        <v/>
      </c>
      <c r="M3685" s="30" t="str">
        <f t="shared" si="394"/>
        <v/>
      </c>
      <c r="N3685" s="134"/>
      <c r="O3685" s="29"/>
      <c r="P3685" s="37" t="str">
        <f t="shared" si="395"/>
        <v/>
      </c>
      <c r="Q3685" s="38" t="str">
        <f t="shared" si="396"/>
        <v/>
      </c>
      <c r="R3685" s="37" t="str">
        <f t="shared" si="397"/>
        <v/>
      </c>
      <c r="S3685" s="37" t="str">
        <f t="shared" si="398"/>
        <v/>
      </c>
      <c r="T3685" s="38" t="str">
        <f t="shared" si="399"/>
        <v/>
      </c>
      <c r="U3685" s="37" t="str">
        <f t="shared" si="400"/>
        <v/>
      </c>
    </row>
    <row r="3686" spans="2:21" ht="17.25">
      <c r="B3686" s="156"/>
      <c r="C3686" s="156"/>
      <c r="D3686" s="157"/>
      <c r="E3686" s="155"/>
      <c r="F3686" s="151"/>
      <c r="G3686" s="152"/>
      <c r="H3686" s="153"/>
      <c r="I3686" s="154"/>
      <c r="J3686" s="154"/>
      <c r="K3686" s="30" t="str">
        <f>IF(H3686="","",IF($C$30="간이법","",FPR(H3686,I3686,J3686)))</f>
        <v/>
      </c>
      <c r="L3686" s="30" t="str">
        <f>IF(H3686="","",IF($C$30="상세법",FPV(H3686,K3686),IF(H3686="EI",4,IF(H3686="EO",5.2,IF(H3686="EQ",3.9,IF(H3686="ILF",7.5,IF(H3686="EIF",5.4)))))))</f>
        <v/>
      </c>
      <c r="M3686" s="30" t="str">
        <f t="shared" si="394"/>
        <v/>
      </c>
      <c r="N3686" s="134"/>
      <c r="O3686" s="29"/>
      <c r="P3686" s="37" t="str">
        <f t="shared" si="395"/>
        <v/>
      </c>
      <c r="Q3686" s="38" t="str">
        <f t="shared" si="396"/>
        <v/>
      </c>
      <c r="R3686" s="37" t="str">
        <f t="shared" si="397"/>
        <v/>
      </c>
      <c r="S3686" s="37" t="str">
        <f t="shared" si="398"/>
        <v/>
      </c>
      <c r="T3686" s="38" t="str">
        <f t="shared" si="399"/>
        <v/>
      </c>
      <c r="U3686" s="37" t="str">
        <f t="shared" si="400"/>
        <v/>
      </c>
    </row>
    <row r="3687" spans="2:21" ht="17.25">
      <c r="B3687" s="156"/>
      <c r="C3687" s="156"/>
      <c r="D3687" s="157"/>
      <c r="E3687" s="155"/>
      <c r="F3687" s="151"/>
      <c r="G3687" s="152"/>
      <c r="H3687" s="153"/>
      <c r="I3687" s="154"/>
      <c r="J3687" s="154"/>
      <c r="K3687" s="30" t="str">
        <f>IF(H3687="","",IF($C$30="간이법","",FPR(H3687,I3687,J3687)))</f>
        <v/>
      </c>
      <c r="L3687" s="30" t="str">
        <f>IF(H3687="","",IF($C$30="상세법",FPV(H3687,K3687),IF(H3687="EI",4,IF(H3687="EO",5.2,IF(H3687="EQ",3.9,IF(H3687="ILF",7.5,IF(H3687="EIF",5.4)))))))</f>
        <v/>
      </c>
      <c r="M3687" s="30" t="str">
        <f t="shared" si="394"/>
        <v/>
      </c>
      <c r="N3687" s="134"/>
      <c r="O3687" s="29"/>
      <c r="P3687" s="37" t="str">
        <f t="shared" si="395"/>
        <v/>
      </c>
      <c r="Q3687" s="38" t="str">
        <f t="shared" si="396"/>
        <v/>
      </c>
      <c r="R3687" s="37" t="str">
        <f t="shared" si="397"/>
        <v/>
      </c>
      <c r="S3687" s="37" t="str">
        <f t="shared" si="398"/>
        <v/>
      </c>
      <c r="T3687" s="38" t="str">
        <f t="shared" si="399"/>
        <v/>
      </c>
      <c r="U3687" s="37" t="str">
        <f t="shared" si="400"/>
        <v/>
      </c>
    </row>
    <row r="3688" spans="2:21" ht="17.25">
      <c r="B3688" s="156"/>
      <c r="C3688" s="156"/>
      <c r="D3688" s="157"/>
      <c r="E3688" s="155"/>
      <c r="F3688" s="151"/>
      <c r="G3688" s="152"/>
      <c r="H3688" s="153"/>
      <c r="I3688" s="154"/>
      <c r="J3688" s="154"/>
      <c r="K3688" s="30" t="str">
        <f>IF(H3688="","",IF($C$30="간이법","",FPR(H3688,I3688,J3688)))</f>
        <v/>
      </c>
      <c r="L3688" s="30" t="str">
        <f>IF(H3688="","",IF($C$30="상세법",FPV(H3688,K3688),IF(H3688="EI",4,IF(H3688="EO",5.2,IF(H3688="EQ",3.9,IF(H3688="ILF",7.5,IF(H3688="EIF",5.4)))))))</f>
        <v/>
      </c>
      <c r="M3688" s="30" t="str">
        <f t="shared" si="394"/>
        <v/>
      </c>
      <c r="N3688" s="134"/>
      <c r="O3688" s="29"/>
      <c r="P3688" s="37" t="str">
        <f t="shared" si="395"/>
        <v/>
      </c>
      <c r="Q3688" s="38" t="str">
        <f t="shared" si="396"/>
        <v/>
      </c>
      <c r="R3688" s="37" t="str">
        <f t="shared" si="397"/>
        <v/>
      </c>
      <c r="S3688" s="37" t="str">
        <f t="shared" si="398"/>
        <v/>
      </c>
      <c r="T3688" s="38" t="str">
        <f t="shared" si="399"/>
        <v/>
      </c>
      <c r="U3688" s="37" t="str">
        <f t="shared" si="400"/>
        <v/>
      </c>
    </row>
    <row r="3689" spans="2:21" ht="17.25">
      <c r="B3689" s="156"/>
      <c r="C3689" s="156"/>
      <c r="D3689" s="157"/>
      <c r="E3689" s="155"/>
      <c r="F3689" s="151"/>
      <c r="G3689" s="152"/>
      <c r="H3689" s="153"/>
      <c r="I3689" s="154"/>
      <c r="J3689" s="154"/>
      <c r="K3689" s="30" t="str">
        <f>IF(H3689="","",IF($C$30="간이법","",FPR(H3689,I3689,J3689)))</f>
        <v/>
      </c>
      <c r="L3689" s="30" t="str">
        <f>IF(H3689="","",IF($C$30="상세법",FPV(H3689,K3689),IF(H3689="EI",4,IF(H3689="EO",5.2,IF(H3689="EQ",3.9,IF(H3689="ILF",7.5,IF(H3689="EIF",5.4)))))))</f>
        <v/>
      </c>
      <c r="M3689" s="30" t="str">
        <f t="shared" si="394"/>
        <v/>
      </c>
      <c r="N3689" s="134"/>
      <c r="O3689" s="29"/>
      <c r="P3689" s="37" t="str">
        <f t="shared" si="395"/>
        <v/>
      </c>
      <c r="Q3689" s="38" t="str">
        <f t="shared" si="396"/>
        <v/>
      </c>
      <c r="R3689" s="37" t="str">
        <f t="shared" si="397"/>
        <v/>
      </c>
      <c r="S3689" s="37" t="str">
        <f t="shared" si="398"/>
        <v/>
      </c>
      <c r="T3689" s="38" t="str">
        <f t="shared" si="399"/>
        <v/>
      </c>
      <c r="U3689" s="37" t="str">
        <f t="shared" si="400"/>
        <v/>
      </c>
    </row>
    <row r="3690" spans="2:21" ht="17.25">
      <c r="B3690" s="156"/>
      <c r="C3690" s="156"/>
      <c r="D3690" s="157"/>
      <c r="E3690" s="155"/>
      <c r="F3690" s="151"/>
      <c r="G3690" s="152"/>
      <c r="H3690" s="153"/>
      <c r="I3690" s="154"/>
      <c r="J3690" s="154"/>
      <c r="K3690" s="30" t="str">
        <f>IF(H3690="","",IF($C$30="간이법","",FPR(H3690,I3690,J3690)))</f>
        <v/>
      </c>
      <c r="L3690" s="30" t="str">
        <f>IF(H3690="","",IF($C$30="상세법",FPV(H3690,K3690),IF(H3690="EI",4,IF(H3690="EO",5.2,IF(H3690="EQ",3.9,IF(H3690="ILF",7.5,IF(H3690="EIF",5.4)))))))</f>
        <v/>
      </c>
      <c r="M3690" s="30" t="str">
        <f t="shared" si="394"/>
        <v/>
      </c>
      <c r="N3690" s="134"/>
      <c r="O3690" s="29"/>
      <c r="P3690" s="37" t="str">
        <f t="shared" si="395"/>
        <v/>
      </c>
      <c r="Q3690" s="38" t="str">
        <f t="shared" si="396"/>
        <v/>
      </c>
      <c r="R3690" s="37" t="str">
        <f t="shared" si="397"/>
        <v/>
      </c>
      <c r="S3690" s="37" t="str">
        <f t="shared" si="398"/>
        <v/>
      </c>
      <c r="T3690" s="38" t="str">
        <f t="shared" si="399"/>
        <v/>
      </c>
      <c r="U3690" s="37" t="str">
        <f t="shared" si="400"/>
        <v/>
      </c>
    </row>
    <row r="3691" spans="2:21" ht="17.25">
      <c r="B3691" s="156"/>
      <c r="C3691" s="156"/>
      <c r="D3691" s="157"/>
      <c r="E3691" s="155"/>
      <c r="F3691" s="151"/>
      <c r="G3691" s="152"/>
      <c r="H3691" s="153"/>
      <c r="I3691" s="154"/>
      <c r="J3691" s="154"/>
      <c r="K3691" s="30" t="str">
        <f>IF(H3691="","",IF($C$30="간이법","",FPR(H3691,I3691,J3691)))</f>
        <v/>
      </c>
      <c r="L3691" s="30" t="str">
        <f>IF(H3691="","",IF($C$30="상세법",FPV(H3691,K3691),IF(H3691="EI",4,IF(H3691="EO",5.2,IF(H3691="EQ",3.9,IF(H3691="ILF",7.5,IF(H3691="EIF",5.4)))))))</f>
        <v/>
      </c>
      <c r="M3691" s="30" t="str">
        <f t="shared" si="394"/>
        <v/>
      </c>
      <c r="N3691" s="134"/>
      <c r="O3691" s="29"/>
      <c r="P3691" s="37" t="str">
        <f t="shared" si="395"/>
        <v/>
      </c>
      <c r="Q3691" s="38" t="str">
        <f t="shared" si="396"/>
        <v/>
      </c>
      <c r="R3691" s="37" t="str">
        <f t="shared" si="397"/>
        <v/>
      </c>
      <c r="S3691" s="37" t="str">
        <f t="shared" si="398"/>
        <v/>
      </c>
      <c r="T3691" s="38" t="str">
        <f t="shared" si="399"/>
        <v/>
      </c>
      <c r="U3691" s="37" t="str">
        <f t="shared" si="400"/>
        <v/>
      </c>
    </row>
    <row r="3692" spans="2:21" ht="17.25">
      <c r="B3692" s="156"/>
      <c r="C3692" s="156"/>
      <c r="D3692" s="157"/>
      <c r="E3692" s="155"/>
      <c r="F3692" s="151"/>
      <c r="G3692" s="152"/>
      <c r="H3692" s="153"/>
      <c r="I3692" s="154"/>
      <c r="J3692" s="154"/>
      <c r="K3692" s="30" t="str">
        <f>IF(H3692="","",IF($C$30="간이법","",FPR(H3692,I3692,J3692)))</f>
        <v/>
      </c>
      <c r="L3692" s="30" t="str">
        <f>IF(H3692="","",IF($C$30="상세법",FPV(H3692,K3692),IF(H3692="EI",4,IF(H3692="EO",5.2,IF(H3692="EQ",3.9,IF(H3692="ILF",7.5,IF(H3692="EIF",5.4)))))))</f>
        <v/>
      </c>
      <c r="M3692" s="30" t="str">
        <f t="shared" si="394"/>
        <v/>
      </c>
      <c r="N3692" s="134"/>
      <c r="O3692" s="29"/>
      <c r="P3692" s="37" t="str">
        <f t="shared" si="395"/>
        <v/>
      </c>
      <c r="Q3692" s="38" t="str">
        <f t="shared" si="396"/>
        <v/>
      </c>
      <c r="R3692" s="37" t="str">
        <f t="shared" si="397"/>
        <v/>
      </c>
      <c r="S3692" s="37" t="str">
        <f t="shared" si="398"/>
        <v/>
      </c>
      <c r="T3692" s="38" t="str">
        <f t="shared" si="399"/>
        <v/>
      </c>
      <c r="U3692" s="37" t="str">
        <f t="shared" si="400"/>
        <v/>
      </c>
    </row>
    <row r="3693" spans="2:21" ht="17.25">
      <c r="B3693" s="156"/>
      <c r="C3693" s="156"/>
      <c r="D3693" s="157"/>
      <c r="E3693" s="155"/>
      <c r="F3693" s="151"/>
      <c r="G3693" s="152"/>
      <c r="H3693" s="153"/>
      <c r="I3693" s="154"/>
      <c r="J3693" s="154"/>
      <c r="K3693" s="30" t="str">
        <f>IF(H3693="","",IF($C$30="간이법","",FPR(H3693,I3693,J3693)))</f>
        <v/>
      </c>
      <c r="L3693" s="30" t="str">
        <f>IF(H3693="","",IF($C$30="상세법",FPV(H3693,K3693),IF(H3693="EI",4,IF(H3693="EO",5.2,IF(H3693="EQ",3.9,IF(H3693="ILF",7.5,IF(H3693="EIF",5.4)))))))</f>
        <v/>
      </c>
      <c r="M3693" s="30" t="str">
        <f t="shared" si="394"/>
        <v/>
      </c>
      <c r="N3693" s="134"/>
      <c r="O3693" s="29"/>
      <c r="P3693" s="37" t="str">
        <f t="shared" si="395"/>
        <v/>
      </c>
      <c r="Q3693" s="38" t="str">
        <f t="shared" si="396"/>
        <v/>
      </c>
      <c r="R3693" s="37" t="str">
        <f t="shared" si="397"/>
        <v/>
      </c>
      <c r="S3693" s="37" t="str">
        <f t="shared" si="398"/>
        <v/>
      </c>
      <c r="T3693" s="38" t="str">
        <f t="shared" si="399"/>
        <v/>
      </c>
      <c r="U3693" s="37" t="str">
        <f t="shared" si="400"/>
        <v/>
      </c>
    </row>
    <row r="3694" spans="2:21" ht="17.25">
      <c r="B3694" s="156"/>
      <c r="C3694" s="156"/>
      <c r="D3694" s="157"/>
      <c r="E3694" s="155"/>
      <c r="F3694" s="151"/>
      <c r="G3694" s="152"/>
      <c r="H3694" s="153"/>
      <c r="I3694" s="154"/>
      <c r="J3694" s="154"/>
      <c r="K3694" s="30" t="str">
        <f>IF(H3694="","",IF($C$30="간이법","",FPR(H3694,I3694,J3694)))</f>
        <v/>
      </c>
      <c r="L3694" s="30" t="str">
        <f>IF(H3694="","",IF($C$30="상세법",FPV(H3694,K3694),IF(H3694="EI",4,IF(H3694="EO",5.2,IF(H3694="EQ",3.9,IF(H3694="ILF",7.5,IF(H3694="EIF",5.4)))))))</f>
        <v/>
      </c>
      <c r="M3694" s="30" t="str">
        <f t="shared" si="394"/>
        <v/>
      </c>
      <c r="N3694" s="134"/>
      <c r="O3694" s="29"/>
      <c r="P3694" s="37" t="str">
        <f t="shared" si="395"/>
        <v/>
      </c>
      <c r="Q3694" s="38" t="str">
        <f t="shared" si="396"/>
        <v/>
      </c>
      <c r="R3694" s="37" t="str">
        <f t="shared" si="397"/>
        <v/>
      </c>
      <c r="S3694" s="37" t="str">
        <f t="shared" si="398"/>
        <v/>
      </c>
      <c r="T3694" s="38" t="str">
        <f t="shared" si="399"/>
        <v/>
      </c>
      <c r="U3694" s="37" t="str">
        <f t="shared" si="400"/>
        <v/>
      </c>
    </row>
    <row r="3695" spans="2:21" ht="17.25">
      <c r="B3695" s="156"/>
      <c r="C3695" s="156"/>
      <c r="D3695" s="157"/>
      <c r="E3695" s="155"/>
      <c r="F3695" s="151"/>
      <c r="G3695" s="152"/>
      <c r="H3695" s="153"/>
      <c r="I3695" s="154"/>
      <c r="J3695" s="154"/>
      <c r="K3695" s="30" t="str">
        <f>IF(H3695="","",IF($C$30="간이법","",FPR(H3695,I3695,J3695)))</f>
        <v/>
      </c>
      <c r="L3695" s="30" t="str">
        <f>IF(H3695="","",IF($C$30="상세법",FPV(H3695,K3695),IF(H3695="EI",4,IF(H3695="EO",5.2,IF(H3695="EQ",3.9,IF(H3695="ILF",7.5,IF(H3695="EIF",5.4)))))))</f>
        <v/>
      </c>
      <c r="M3695" s="30" t="str">
        <f t="shared" si="394"/>
        <v/>
      </c>
      <c r="N3695" s="134"/>
      <c r="O3695" s="29"/>
      <c r="P3695" s="37" t="str">
        <f t="shared" si="395"/>
        <v/>
      </c>
      <c r="Q3695" s="38" t="str">
        <f t="shared" si="396"/>
        <v/>
      </c>
      <c r="R3695" s="37" t="str">
        <f t="shared" si="397"/>
        <v/>
      </c>
      <c r="S3695" s="37" t="str">
        <f t="shared" si="398"/>
        <v/>
      </c>
      <c r="T3695" s="38" t="str">
        <f t="shared" si="399"/>
        <v/>
      </c>
      <c r="U3695" s="37" t="str">
        <f t="shared" si="400"/>
        <v/>
      </c>
    </row>
    <row r="3696" spans="2:21" ht="17.25">
      <c r="B3696" s="156"/>
      <c r="C3696" s="156"/>
      <c r="D3696" s="157"/>
      <c r="E3696" s="155"/>
      <c r="F3696" s="151"/>
      <c r="G3696" s="152"/>
      <c r="H3696" s="153"/>
      <c r="I3696" s="154"/>
      <c r="J3696" s="154"/>
      <c r="K3696" s="30" t="str">
        <f>IF(H3696="","",IF($C$30="간이법","",FPR(H3696,I3696,J3696)))</f>
        <v/>
      </c>
      <c r="L3696" s="30" t="str">
        <f>IF(H3696="","",IF($C$30="상세법",FPV(H3696,K3696),IF(H3696="EI",4,IF(H3696="EO",5.2,IF(H3696="EQ",3.9,IF(H3696="ILF",7.5,IF(H3696="EIF",5.4)))))))</f>
        <v/>
      </c>
      <c r="M3696" s="30" t="str">
        <f t="shared" si="394"/>
        <v/>
      </c>
      <c r="N3696" s="134"/>
      <c r="O3696" s="29"/>
      <c r="P3696" s="37" t="str">
        <f t="shared" si="395"/>
        <v/>
      </c>
      <c r="Q3696" s="38" t="str">
        <f t="shared" si="396"/>
        <v/>
      </c>
      <c r="R3696" s="37" t="str">
        <f t="shared" si="397"/>
        <v/>
      </c>
      <c r="S3696" s="37" t="str">
        <f t="shared" si="398"/>
        <v/>
      </c>
      <c r="T3696" s="38" t="str">
        <f t="shared" si="399"/>
        <v/>
      </c>
      <c r="U3696" s="37" t="str">
        <f t="shared" si="400"/>
        <v/>
      </c>
    </row>
    <row r="3697" spans="2:21" ht="17.25">
      <c r="B3697" s="156"/>
      <c r="C3697" s="156"/>
      <c r="D3697" s="157"/>
      <c r="E3697" s="155"/>
      <c r="F3697" s="151"/>
      <c r="G3697" s="152"/>
      <c r="H3697" s="153"/>
      <c r="I3697" s="154"/>
      <c r="J3697" s="154"/>
      <c r="K3697" s="30" t="str">
        <f>IF(H3697="","",IF($C$30="간이법","",FPR(H3697,I3697,J3697)))</f>
        <v/>
      </c>
      <c r="L3697" s="30" t="str">
        <f>IF(H3697="","",IF($C$30="상세법",FPV(H3697,K3697),IF(H3697="EI",4,IF(H3697="EO",5.2,IF(H3697="EQ",3.9,IF(H3697="ILF",7.5,IF(H3697="EIF",5.4)))))))</f>
        <v/>
      </c>
      <c r="M3697" s="30" t="str">
        <f t="shared" si="394"/>
        <v/>
      </c>
      <c r="N3697" s="134"/>
      <c r="O3697" s="29"/>
      <c r="P3697" s="37" t="str">
        <f t="shared" si="395"/>
        <v/>
      </c>
      <c r="Q3697" s="38" t="str">
        <f t="shared" si="396"/>
        <v/>
      </c>
      <c r="R3697" s="37" t="str">
        <f t="shared" si="397"/>
        <v/>
      </c>
      <c r="S3697" s="37" t="str">
        <f t="shared" si="398"/>
        <v/>
      </c>
      <c r="T3697" s="38" t="str">
        <f t="shared" si="399"/>
        <v/>
      </c>
      <c r="U3697" s="37" t="str">
        <f t="shared" si="400"/>
        <v/>
      </c>
    </row>
    <row r="3698" spans="2:21" ht="17.25">
      <c r="B3698" s="156"/>
      <c r="C3698" s="156"/>
      <c r="D3698" s="157"/>
      <c r="E3698" s="155"/>
      <c r="F3698" s="151"/>
      <c r="G3698" s="152"/>
      <c r="H3698" s="153"/>
      <c r="I3698" s="154"/>
      <c r="J3698" s="154"/>
      <c r="K3698" s="30" t="str">
        <f>IF(H3698="","",IF($C$30="간이법","",FPR(H3698,I3698,J3698)))</f>
        <v/>
      </c>
      <c r="L3698" s="30" t="str">
        <f>IF(H3698="","",IF($C$30="상세법",FPV(H3698,K3698),IF(H3698="EI",4,IF(H3698="EO",5.2,IF(H3698="EQ",3.9,IF(H3698="ILF",7.5,IF(H3698="EIF",5.4)))))))</f>
        <v/>
      </c>
      <c r="M3698" s="30" t="str">
        <f t="shared" si="394"/>
        <v/>
      </c>
      <c r="N3698" s="134"/>
      <c r="O3698" s="29"/>
      <c r="P3698" s="37" t="str">
        <f t="shared" si="395"/>
        <v/>
      </c>
      <c r="Q3698" s="38" t="str">
        <f t="shared" si="396"/>
        <v/>
      </c>
      <c r="R3698" s="37" t="str">
        <f t="shared" si="397"/>
        <v/>
      </c>
      <c r="S3698" s="37" t="str">
        <f t="shared" si="398"/>
        <v/>
      </c>
      <c r="T3698" s="38" t="str">
        <f t="shared" si="399"/>
        <v/>
      </c>
      <c r="U3698" s="37" t="str">
        <f t="shared" si="400"/>
        <v/>
      </c>
    </row>
    <row r="3699" spans="2:21" ht="17.25">
      <c r="B3699" s="156"/>
      <c r="C3699" s="156"/>
      <c r="D3699" s="157"/>
      <c r="E3699" s="155"/>
      <c r="F3699" s="151"/>
      <c r="G3699" s="152"/>
      <c r="H3699" s="153"/>
      <c r="I3699" s="154"/>
      <c r="J3699" s="154"/>
      <c r="K3699" s="30" t="str">
        <f>IF(H3699="","",IF($C$30="간이법","",FPR(H3699,I3699,J3699)))</f>
        <v/>
      </c>
      <c r="L3699" s="30" t="str">
        <f>IF(H3699="","",IF($C$30="상세법",FPV(H3699,K3699),IF(H3699="EI",4,IF(H3699="EO",5.2,IF(H3699="EQ",3.9,IF(H3699="ILF",7.5,IF(H3699="EIF",5.4)))))))</f>
        <v/>
      </c>
      <c r="M3699" s="30" t="str">
        <f t="shared" si="394"/>
        <v/>
      </c>
      <c r="N3699" s="134"/>
      <c r="O3699" s="29"/>
      <c r="P3699" s="37" t="str">
        <f t="shared" si="395"/>
        <v/>
      </c>
      <c r="Q3699" s="38" t="str">
        <f t="shared" si="396"/>
        <v/>
      </c>
      <c r="R3699" s="37" t="str">
        <f t="shared" si="397"/>
        <v/>
      </c>
      <c r="S3699" s="37" t="str">
        <f t="shared" si="398"/>
        <v/>
      </c>
      <c r="T3699" s="38" t="str">
        <f t="shared" si="399"/>
        <v/>
      </c>
      <c r="U3699" s="37" t="str">
        <f t="shared" si="400"/>
        <v/>
      </c>
    </row>
    <row r="3700" spans="2:21" ht="17.25">
      <c r="B3700" s="156"/>
      <c r="C3700" s="156"/>
      <c r="D3700" s="157"/>
      <c r="E3700" s="155"/>
      <c r="F3700" s="151"/>
      <c r="G3700" s="152"/>
      <c r="H3700" s="153"/>
      <c r="I3700" s="154"/>
      <c r="J3700" s="154"/>
      <c r="K3700" s="30" t="str">
        <f>IF(H3700="","",IF($C$30="간이법","",FPR(H3700,I3700,J3700)))</f>
        <v/>
      </c>
      <c r="L3700" s="30" t="str">
        <f>IF(H3700="","",IF($C$30="상세법",FPV(H3700,K3700),IF(H3700="EI",4,IF(H3700="EO",5.2,IF(H3700="EQ",3.9,IF(H3700="ILF",7.5,IF(H3700="EIF",5.4)))))))</f>
        <v/>
      </c>
      <c r="M3700" s="30" t="str">
        <f t="shared" si="394"/>
        <v/>
      </c>
      <c r="N3700" s="134"/>
      <c r="O3700" s="29"/>
      <c r="P3700" s="37" t="str">
        <f t="shared" si="395"/>
        <v/>
      </c>
      <c r="Q3700" s="38" t="str">
        <f t="shared" si="396"/>
        <v/>
      </c>
      <c r="R3700" s="37" t="str">
        <f t="shared" si="397"/>
        <v/>
      </c>
      <c r="S3700" s="37" t="str">
        <f t="shared" si="398"/>
        <v/>
      </c>
      <c r="T3700" s="38" t="str">
        <f t="shared" si="399"/>
        <v/>
      </c>
      <c r="U3700" s="37" t="str">
        <f t="shared" si="400"/>
        <v/>
      </c>
    </row>
    <row r="3701" spans="2:21" ht="17.25">
      <c r="B3701" s="156"/>
      <c r="C3701" s="156"/>
      <c r="D3701" s="157"/>
      <c r="E3701" s="155"/>
      <c r="F3701" s="151"/>
      <c r="G3701" s="152"/>
      <c r="H3701" s="153"/>
      <c r="I3701" s="154"/>
      <c r="J3701" s="154"/>
      <c r="K3701" s="30" t="str">
        <f>IF(H3701="","",IF($C$30="간이법","",FPR(H3701,I3701,J3701)))</f>
        <v/>
      </c>
      <c r="L3701" s="30" t="str">
        <f>IF(H3701="","",IF($C$30="상세법",FPV(H3701,K3701),IF(H3701="EI",4,IF(H3701="EO",5.2,IF(H3701="EQ",3.9,IF(H3701="ILF",7.5,IF(H3701="EIF",5.4)))))))</f>
        <v/>
      </c>
      <c r="M3701" s="30" t="str">
        <f t="shared" si="394"/>
        <v/>
      </c>
      <c r="N3701" s="134"/>
      <c r="O3701" s="29"/>
      <c r="P3701" s="37" t="str">
        <f t="shared" si="395"/>
        <v/>
      </c>
      <c r="Q3701" s="38" t="str">
        <f t="shared" si="396"/>
        <v/>
      </c>
      <c r="R3701" s="37" t="str">
        <f t="shared" si="397"/>
        <v/>
      </c>
      <c r="S3701" s="37" t="str">
        <f t="shared" si="398"/>
        <v/>
      </c>
      <c r="T3701" s="38" t="str">
        <f t="shared" si="399"/>
        <v/>
      </c>
      <c r="U3701" s="37" t="str">
        <f t="shared" si="400"/>
        <v/>
      </c>
    </row>
    <row r="3702" spans="2:21" ht="17.25">
      <c r="B3702" s="156"/>
      <c r="C3702" s="156"/>
      <c r="D3702" s="157"/>
      <c r="E3702" s="155"/>
      <c r="F3702" s="151"/>
      <c r="G3702" s="152"/>
      <c r="H3702" s="153"/>
      <c r="I3702" s="154"/>
      <c r="J3702" s="154"/>
      <c r="K3702" s="30" t="str">
        <f>IF(H3702="","",IF($C$30="간이법","",FPR(H3702,I3702,J3702)))</f>
        <v/>
      </c>
      <c r="L3702" s="30" t="str">
        <f>IF(H3702="","",IF($C$30="상세법",FPV(H3702,K3702),IF(H3702="EI",4,IF(H3702="EO",5.2,IF(H3702="EQ",3.9,IF(H3702="ILF",7.5,IF(H3702="EIF",5.4)))))))</f>
        <v/>
      </c>
      <c r="M3702" s="30" t="str">
        <f t="shared" si="394"/>
        <v/>
      </c>
      <c r="N3702" s="134"/>
      <c r="O3702" s="29"/>
      <c r="P3702" s="37" t="str">
        <f t="shared" si="395"/>
        <v/>
      </c>
      <c r="Q3702" s="38" t="str">
        <f t="shared" si="396"/>
        <v/>
      </c>
      <c r="R3702" s="37" t="str">
        <f t="shared" si="397"/>
        <v/>
      </c>
      <c r="S3702" s="37" t="str">
        <f t="shared" si="398"/>
        <v/>
      </c>
      <c r="T3702" s="38" t="str">
        <f t="shared" si="399"/>
        <v/>
      </c>
      <c r="U3702" s="37" t="str">
        <f t="shared" si="400"/>
        <v/>
      </c>
    </row>
    <row r="3703" spans="2:21" ht="17.25">
      <c r="B3703" s="156"/>
      <c r="C3703" s="156"/>
      <c r="D3703" s="157"/>
      <c r="E3703" s="155"/>
      <c r="F3703" s="151"/>
      <c r="G3703" s="152"/>
      <c r="H3703" s="153"/>
      <c r="I3703" s="154"/>
      <c r="J3703" s="154"/>
      <c r="K3703" s="30" t="str">
        <f>IF(H3703="","",IF($C$30="간이법","",FPR(H3703,I3703,J3703)))</f>
        <v/>
      </c>
      <c r="L3703" s="30" t="str">
        <f>IF(H3703="","",IF($C$30="상세법",FPV(H3703,K3703),IF(H3703="EI",4,IF(H3703="EO",5.2,IF(H3703="EQ",3.9,IF(H3703="ILF",7.5,IF(H3703="EIF",5.4)))))))</f>
        <v/>
      </c>
      <c r="M3703" s="30" t="str">
        <f t="shared" si="394"/>
        <v/>
      </c>
      <c r="N3703" s="134"/>
      <c r="O3703" s="29"/>
      <c r="P3703" s="37" t="str">
        <f t="shared" si="395"/>
        <v/>
      </c>
      <c r="Q3703" s="38" t="str">
        <f t="shared" si="396"/>
        <v/>
      </c>
      <c r="R3703" s="37" t="str">
        <f t="shared" si="397"/>
        <v/>
      </c>
      <c r="S3703" s="37" t="str">
        <f t="shared" si="398"/>
        <v/>
      </c>
      <c r="T3703" s="38" t="str">
        <f t="shared" si="399"/>
        <v/>
      </c>
      <c r="U3703" s="37" t="str">
        <f t="shared" si="400"/>
        <v/>
      </c>
    </row>
    <row r="3704" spans="2:21" ht="17.25">
      <c r="B3704" s="156"/>
      <c r="C3704" s="156"/>
      <c r="D3704" s="157"/>
      <c r="E3704" s="155"/>
      <c r="F3704" s="151"/>
      <c r="G3704" s="152"/>
      <c r="H3704" s="153"/>
      <c r="I3704" s="154"/>
      <c r="J3704" s="154"/>
      <c r="K3704" s="30" t="str">
        <f>IF(H3704="","",IF($C$30="간이법","",FPR(H3704,I3704,J3704)))</f>
        <v/>
      </c>
      <c r="L3704" s="30" t="str">
        <f>IF(H3704="","",IF($C$30="상세법",FPV(H3704,K3704),IF(H3704="EI",4,IF(H3704="EO",5.2,IF(H3704="EQ",3.9,IF(H3704="ILF",7.5,IF(H3704="EIF",5.4)))))))</f>
        <v/>
      </c>
      <c r="M3704" s="30" t="str">
        <f t="shared" si="394"/>
        <v/>
      </c>
      <c r="N3704" s="134"/>
      <c r="O3704" s="29"/>
      <c r="P3704" s="37" t="str">
        <f t="shared" si="395"/>
        <v/>
      </c>
      <c r="Q3704" s="38" t="str">
        <f t="shared" si="396"/>
        <v/>
      </c>
      <c r="R3704" s="37" t="str">
        <f t="shared" si="397"/>
        <v/>
      </c>
      <c r="S3704" s="37" t="str">
        <f t="shared" si="398"/>
        <v/>
      </c>
      <c r="T3704" s="38" t="str">
        <f t="shared" si="399"/>
        <v/>
      </c>
      <c r="U3704" s="37" t="str">
        <f t="shared" si="400"/>
        <v/>
      </c>
    </row>
    <row r="3705" spans="2:21" ht="17.25">
      <c r="B3705" s="156"/>
      <c r="C3705" s="156"/>
      <c r="D3705" s="157"/>
      <c r="E3705" s="155"/>
      <c r="F3705" s="151"/>
      <c r="G3705" s="152"/>
      <c r="H3705" s="153"/>
      <c r="I3705" s="154"/>
      <c r="J3705" s="154"/>
      <c r="K3705" s="30" t="str">
        <f>IF(H3705="","",IF($C$30="간이법","",FPR(H3705,I3705,J3705)))</f>
        <v/>
      </c>
      <c r="L3705" s="30" t="str">
        <f>IF(H3705="","",IF($C$30="상세법",FPV(H3705,K3705),IF(H3705="EI",4,IF(H3705="EO",5.2,IF(H3705="EQ",3.9,IF(H3705="ILF",7.5,IF(H3705="EIF",5.4)))))))</f>
        <v/>
      </c>
      <c r="M3705" s="30" t="str">
        <f t="shared" si="394"/>
        <v/>
      </c>
      <c r="N3705" s="134"/>
      <c r="O3705" s="29"/>
      <c r="P3705" s="37" t="str">
        <f t="shared" si="395"/>
        <v/>
      </c>
      <c r="Q3705" s="38" t="str">
        <f t="shared" si="396"/>
        <v/>
      </c>
      <c r="R3705" s="37" t="str">
        <f t="shared" si="397"/>
        <v/>
      </c>
      <c r="S3705" s="37" t="str">
        <f t="shared" si="398"/>
        <v/>
      </c>
      <c r="T3705" s="38" t="str">
        <f t="shared" si="399"/>
        <v/>
      </c>
      <c r="U3705" s="37" t="str">
        <f t="shared" si="400"/>
        <v/>
      </c>
    </row>
    <row r="3706" spans="2:21" ht="17.25">
      <c r="B3706" s="156"/>
      <c r="C3706" s="156"/>
      <c r="D3706" s="157"/>
      <c r="E3706" s="155"/>
      <c r="F3706" s="151"/>
      <c r="G3706" s="152"/>
      <c r="H3706" s="153"/>
      <c r="I3706" s="154"/>
      <c r="J3706" s="154"/>
      <c r="K3706" s="30" t="str">
        <f>IF(H3706="","",IF($C$30="간이법","",FPR(H3706,I3706,J3706)))</f>
        <v/>
      </c>
      <c r="L3706" s="30" t="str">
        <f>IF(H3706="","",IF($C$30="상세법",FPV(H3706,K3706),IF(H3706="EI",4,IF(H3706="EO",5.2,IF(H3706="EQ",3.9,IF(H3706="ILF",7.5,IF(H3706="EIF",5.4)))))))</f>
        <v/>
      </c>
      <c r="M3706" s="30" t="str">
        <f t="shared" si="394"/>
        <v/>
      </c>
      <c r="N3706" s="134"/>
      <c r="O3706" s="29"/>
      <c r="P3706" s="37" t="str">
        <f t="shared" si="395"/>
        <v/>
      </c>
      <c r="Q3706" s="38" t="str">
        <f t="shared" si="396"/>
        <v/>
      </c>
      <c r="R3706" s="37" t="str">
        <f t="shared" si="397"/>
        <v/>
      </c>
      <c r="S3706" s="37" t="str">
        <f t="shared" si="398"/>
        <v/>
      </c>
      <c r="T3706" s="38" t="str">
        <f t="shared" si="399"/>
        <v/>
      </c>
      <c r="U3706" s="37" t="str">
        <f t="shared" si="400"/>
        <v/>
      </c>
    </row>
    <row r="3707" spans="2:21" ht="17.25">
      <c r="B3707" s="156"/>
      <c r="C3707" s="156"/>
      <c r="D3707" s="157"/>
      <c r="E3707" s="155"/>
      <c r="F3707" s="151"/>
      <c r="G3707" s="152"/>
      <c r="H3707" s="153"/>
      <c r="I3707" s="154"/>
      <c r="J3707" s="154"/>
      <c r="K3707" s="30" t="str">
        <f>IF(H3707="","",IF($C$30="간이법","",FPR(H3707,I3707,J3707)))</f>
        <v/>
      </c>
      <c r="L3707" s="30" t="str">
        <f>IF(H3707="","",IF($C$30="상세법",FPV(H3707,K3707),IF(H3707="EI",4,IF(H3707="EO",5.2,IF(H3707="EQ",3.9,IF(H3707="ILF",7.5,IF(H3707="EIF",5.4)))))))</f>
        <v/>
      </c>
      <c r="M3707" s="30" t="str">
        <f t="shared" si="394"/>
        <v/>
      </c>
      <c r="N3707" s="134"/>
      <c r="O3707" s="29"/>
      <c r="P3707" s="37" t="str">
        <f t="shared" si="395"/>
        <v/>
      </c>
      <c r="Q3707" s="38" t="str">
        <f t="shared" si="396"/>
        <v/>
      </c>
      <c r="R3707" s="37" t="str">
        <f t="shared" si="397"/>
        <v/>
      </c>
      <c r="S3707" s="37" t="str">
        <f t="shared" si="398"/>
        <v/>
      </c>
      <c r="T3707" s="38" t="str">
        <f t="shared" si="399"/>
        <v/>
      </c>
      <c r="U3707" s="37" t="str">
        <f t="shared" si="400"/>
        <v/>
      </c>
    </row>
    <row r="3708" spans="2:21" ht="17.25">
      <c r="B3708" s="156"/>
      <c r="C3708" s="156"/>
      <c r="D3708" s="157"/>
      <c r="E3708" s="155"/>
      <c r="F3708" s="151"/>
      <c r="G3708" s="152"/>
      <c r="H3708" s="153"/>
      <c r="I3708" s="154"/>
      <c r="J3708" s="154"/>
      <c r="K3708" s="30" t="str">
        <f>IF(H3708="","",IF($C$30="간이법","",FPR(H3708,I3708,J3708)))</f>
        <v/>
      </c>
      <c r="L3708" s="30" t="str">
        <f>IF(H3708="","",IF($C$30="상세법",FPV(H3708,K3708),IF(H3708="EI",4,IF(H3708="EO",5.2,IF(H3708="EQ",3.9,IF(H3708="ILF",7.5,IF(H3708="EIF",5.4)))))))</f>
        <v/>
      </c>
      <c r="M3708" s="30" t="str">
        <f t="shared" ref="M3708:M3771" si="401">IF(OR(G3708="",$E$36="(선택)",$E$40="(선택)",$E$41="(선택)",F3708="신규 개발",F3708="수정 없이 재사용"),"",(IF(F3708="수정 후 재사용",IF($E$50&lt;=0.5,L3708*($E$36+$E$50*100*(1+0.02*($E$40*$E$41)))/100,L3708*($E$36+$E$50*100+($E$40*$E$41))/100))))</f>
        <v/>
      </c>
      <c r="N3708" s="134"/>
      <c r="O3708" s="29"/>
      <c r="P3708" s="37" t="str">
        <f t="shared" ref="P3708:P3771" si="402">IF(F3708="수정 후 재사용",IF(H3708="ILF",G3708,IF(H3708="EIF",G3708,"")),"")</f>
        <v/>
      </c>
      <c r="Q3708" s="38" t="str">
        <f t="shared" ref="Q3708:Q3771" si="403">IF(P3708&lt;&gt;"",IF(H3708="ILF", L3708/$E$46,IF(H3708="EIF", L3708/$E$46,"")),"")</f>
        <v/>
      </c>
      <c r="R3708" s="37" t="str">
        <f t="shared" ref="R3708:R3771" si="404">IF(P3708&lt;&gt;"",P3708*Q3708,"")</f>
        <v/>
      </c>
      <c r="S3708" s="37" t="str">
        <f t="shared" ref="S3708:S3771" si="405">IF(F3708="수정 후 재사용",IF(H3708="EI",G3708,IF(H3708="EO",G3708,IF(H3708="EQ",G3708,""))),"")</f>
        <v/>
      </c>
      <c r="T3708" s="38" t="str">
        <f t="shared" ref="T3708:T3771" si="406">IF(S3708&lt;&gt;"",IF(H3708="EI",L3708/$E$47,IF(H3708="EO",L3708/$E$47,IF(H3708="EQ",L3708/$E$47,""))),"")</f>
        <v/>
      </c>
      <c r="U3708" s="37" t="str">
        <f t="shared" ref="U3708:U3771" si="407">IF(S3708&lt;&gt;"",S3708*T3708,"")</f>
        <v/>
      </c>
    </row>
    <row r="3709" spans="2:21" ht="17.25">
      <c r="B3709" s="156"/>
      <c r="C3709" s="156"/>
      <c r="D3709" s="157"/>
      <c r="E3709" s="155"/>
      <c r="F3709" s="151"/>
      <c r="G3709" s="152"/>
      <c r="H3709" s="153"/>
      <c r="I3709" s="154"/>
      <c r="J3709" s="154"/>
      <c r="K3709" s="30" t="str">
        <f>IF(H3709="","",IF($C$30="간이법","",FPR(H3709,I3709,J3709)))</f>
        <v/>
      </c>
      <c r="L3709" s="30" t="str">
        <f>IF(H3709="","",IF($C$30="상세법",FPV(H3709,K3709),IF(H3709="EI",4,IF(H3709="EO",5.2,IF(H3709="EQ",3.9,IF(H3709="ILF",7.5,IF(H3709="EIF",5.4)))))))</f>
        <v/>
      </c>
      <c r="M3709" s="30" t="str">
        <f t="shared" si="401"/>
        <v/>
      </c>
      <c r="N3709" s="134"/>
      <c r="O3709" s="29"/>
      <c r="P3709" s="37" t="str">
        <f t="shared" si="402"/>
        <v/>
      </c>
      <c r="Q3709" s="38" t="str">
        <f t="shared" si="403"/>
        <v/>
      </c>
      <c r="R3709" s="37" t="str">
        <f t="shared" si="404"/>
        <v/>
      </c>
      <c r="S3709" s="37" t="str">
        <f t="shared" si="405"/>
        <v/>
      </c>
      <c r="T3709" s="38" t="str">
        <f t="shared" si="406"/>
        <v/>
      </c>
      <c r="U3709" s="37" t="str">
        <f t="shared" si="407"/>
        <v/>
      </c>
    </row>
    <row r="3710" spans="2:21" ht="17.25">
      <c r="B3710" s="156"/>
      <c r="C3710" s="156"/>
      <c r="D3710" s="157"/>
      <c r="E3710" s="155"/>
      <c r="F3710" s="151"/>
      <c r="G3710" s="152"/>
      <c r="H3710" s="153"/>
      <c r="I3710" s="154"/>
      <c r="J3710" s="154"/>
      <c r="K3710" s="30" t="str">
        <f>IF(H3710="","",IF($C$30="간이법","",FPR(H3710,I3710,J3710)))</f>
        <v/>
      </c>
      <c r="L3710" s="30" t="str">
        <f>IF(H3710="","",IF($C$30="상세법",FPV(H3710,K3710),IF(H3710="EI",4,IF(H3710="EO",5.2,IF(H3710="EQ",3.9,IF(H3710="ILF",7.5,IF(H3710="EIF",5.4)))))))</f>
        <v/>
      </c>
      <c r="M3710" s="30" t="str">
        <f t="shared" si="401"/>
        <v/>
      </c>
      <c r="N3710" s="134"/>
      <c r="O3710" s="29"/>
      <c r="P3710" s="37" t="str">
        <f t="shared" si="402"/>
        <v/>
      </c>
      <c r="Q3710" s="38" t="str">
        <f t="shared" si="403"/>
        <v/>
      </c>
      <c r="R3710" s="37" t="str">
        <f t="shared" si="404"/>
        <v/>
      </c>
      <c r="S3710" s="37" t="str">
        <f t="shared" si="405"/>
        <v/>
      </c>
      <c r="T3710" s="38" t="str">
        <f t="shared" si="406"/>
        <v/>
      </c>
      <c r="U3710" s="37" t="str">
        <f t="shared" si="407"/>
        <v/>
      </c>
    </row>
    <row r="3711" spans="2:21" ht="17.25">
      <c r="B3711" s="156"/>
      <c r="C3711" s="156"/>
      <c r="D3711" s="157"/>
      <c r="E3711" s="155"/>
      <c r="F3711" s="151"/>
      <c r="G3711" s="152"/>
      <c r="H3711" s="153"/>
      <c r="I3711" s="154"/>
      <c r="J3711" s="154"/>
      <c r="K3711" s="30" t="str">
        <f>IF(H3711="","",IF($C$30="간이법","",FPR(H3711,I3711,J3711)))</f>
        <v/>
      </c>
      <c r="L3711" s="30" t="str">
        <f>IF(H3711="","",IF($C$30="상세법",FPV(H3711,K3711),IF(H3711="EI",4,IF(H3711="EO",5.2,IF(H3711="EQ",3.9,IF(H3711="ILF",7.5,IF(H3711="EIF",5.4)))))))</f>
        <v/>
      </c>
      <c r="M3711" s="30" t="str">
        <f t="shared" si="401"/>
        <v/>
      </c>
      <c r="N3711" s="134"/>
      <c r="O3711" s="29"/>
      <c r="P3711" s="37" t="str">
        <f t="shared" si="402"/>
        <v/>
      </c>
      <c r="Q3711" s="38" t="str">
        <f t="shared" si="403"/>
        <v/>
      </c>
      <c r="R3711" s="37" t="str">
        <f t="shared" si="404"/>
        <v/>
      </c>
      <c r="S3711" s="37" t="str">
        <f t="shared" si="405"/>
        <v/>
      </c>
      <c r="T3711" s="38" t="str">
        <f t="shared" si="406"/>
        <v/>
      </c>
      <c r="U3711" s="37" t="str">
        <f t="shared" si="407"/>
        <v/>
      </c>
    </row>
    <row r="3712" spans="2:21" ht="17.25">
      <c r="B3712" s="156"/>
      <c r="C3712" s="156"/>
      <c r="D3712" s="157"/>
      <c r="E3712" s="155"/>
      <c r="F3712" s="151"/>
      <c r="G3712" s="152"/>
      <c r="H3712" s="153"/>
      <c r="I3712" s="154"/>
      <c r="J3712" s="154"/>
      <c r="K3712" s="30" t="str">
        <f>IF(H3712="","",IF($C$30="간이법","",FPR(H3712,I3712,J3712)))</f>
        <v/>
      </c>
      <c r="L3712" s="30" t="str">
        <f>IF(H3712="","",IF($C$30="상세법",FPV(H3712,K3712),IF(H3712="EI",4,IF(H3712="EO",5.2,IF(H3712="EQ",3.9,IF(H3712="ILF",7.5,IF(H3712="EIF",5.4)))))))</f>
        <v/>
      </c>
      <c r="M3712" s="30" t="str">
        <f t="shared" si="401"/>
        <v/>
      </c>
      <c r="N3712" s="134"/>
      <c r="O3712" s="29"/>
      <c r="P3712" s="37" t="str">
        <f t="shared" si="402"/>
        <v/>
      </c>
      <c r="Q3712" s="38" t="str">
        <f t="shared" si="403"/>
        <v/>
      </c>
      <c r="R3712" s="37" t="str">
        <f t="shared" si="404"/>
        <v/>
      </c>
      <c r="S3712" s="37" t="str">
        <f t="shared" si="405"/>
        <v/>
      </c>
      <c r="T3712" s="38" t="str">
        <f t="shared" si="406"/>
        <v/>
      </c>
      <c r="U3712" s="37" t="str">
        <f t="shared" si="407"/>
        <v/>
      </c>
    </row>
    <row r="3713" spans="2:21" ht="17.25">
      <c r="B3713" s="156"/>
      <c r="C3713" s="156"/>
      <c r="D3713" s="157"/>
      <c r="E3713" s="155"/>
      <c r="F3713" s="151"/>
      <c r="G3713" s="152"/>
      <c r="H3713" s="153"/>
      <c r="I3713" s="154"/>
      <c r="J3713" s="154"/>
      <c r="K3713" s="30" t="str">
        <f>IF(H3713="","",IF($C$30="간이법","",FPR(H3713,I3713,J3713)))</f>
        <v/>
      </c>
      <c r="L3713" s="30" t="str">
        <f>IF(H3713="","",IF($C$30="상세법",FPV(H3713,K3713),IF(H3713="EI",4,IF(H3713="EO",5.2,IF(H3713="EQ",3.9,IF(H3713="ILF",7.5,IF(H3713="EIF",5.4)))))))</f>
        <v/>
      </c>
      <c r="M3713" s="30" t="str">
        <f t="shared" si="401"/>
        <v/>
      </c>
      <c r="N3713" s="134"/>
      <c r="O3713" s="29"/>
      <c r="P3713" s="37" t="str">
        <f t="shared" si="402"/>
        <v/>
      </c>
      <c r="Q3713" s="38" t="str">
        <f t="shared" si="403"/>
        <v/>
      </c>
      <c r="R3713" s="37" t="str">
        <f t="shared" si="404"/>
        <v/>
      </c>
      <c r="S3713" s="37" t="str">
        <f t="shared" si="405"/>
        <v/>
      </c>
      <c r="T3713" s="38" t="str">
        <f t="shared" si="406"/>
        <v/>
      </c>
      <c r="U3713" s="37" t="str">
        <f t="shared" si="407"/>
        <v/>
      </c>
    </row>
    <row r="3714" spans="2:21" ht="17.25">
      <c r="B3714" s="156"/>
      <c r="C3714" s="156"/>
      <c r="D3714" s="157"/>
      <c r="E3714" s="155"/>
      <c r="F3714" s="151"/>
      <c r="G3714" s="152"/>
      <c r="H3714" s="153"/>
      <c r="I3714" s="154"/>
      <c r="J3714" s="154"/>
      <c r="K3714" s="30" t="str">
        <f>IF(H3714="","",IF($C$30="간이법","",FPR(H3714,I3714,J3714)))</f>
        <v/>
      </c>
      <c r="L3714" s="30" t="str">
        <f>IF(H3714="","",IF($C$30="상세법",FPV(H3714,K3714),IF(H3714="EI",4,IF(H3714="EO",5.2,IF(H3714="EQ",3.9,IF(H3714="ILF",7.5,IF(H3714="EIF",5.4)))))))</f>
        <v/>
      </c>
      <c r="M3714" s="30" t="str">
        <f t="shared" si="401"/>
        <v/>
      </c>
      <c r="N3714" s="134"/>
      <c r="O3714" s="29"/>
      <c r="P3714" s="37" t="str">
        <f t="shared" si="402"/>
        <v/>
      </c>
      <c r="Q3714" s="38" t="str">
        <f t="shared" si="403"/>
        <v/>
      </c>
      <c r="R3714" s="37" t="str">
        <f t="shared" si="404"/>
        <v/>
      </c>
      <c r="S3714" s="37" t="str">
        <f t="shared" si="405"/>
        <v/>
      </c>
      <c r="T3714" s="38" t="str">
        <f t="shared" si="406"/>
        <v/>
      </c>
      <c r="U3714" s="37" t="str">
        <f t="shared" si="407"/>
        <v/>
      </c>
    </row>
    <row r="3715" spans="2:21" ht="17.25">
      <c r="B3715" s="156"/>
      <c r="C3715" s="156"/>
      <c r="D3715" s="157"/>
      <c r="E3715" s="155"/>
      <c r="F3715" s="151"/>
      <c r="G3715" s="152"/>
      <c r="H3715" s="153"/>
      <c r="I3715" s="154"/>
      <c r="J3715" s="154"/>
      <c r="K3715" s="30" t="str">
        <f>IF(H3715="","",IF($C$30="간이법","",FPR(H3715,I3715,J3715)))</f>
        <v/>
      </c>
      <c r="L3715" s="30" t="str">
        <f>IF(H3715="","",IF($C$30="상세법",FPV(H3715,K3715),IF(H3715="EI",4,IF(H3715="EO",5.2,IF(H3715="EQ",3.9,IF(H3715="ILF",7.5,IF(H3715="EIF",5.4)))))))</f>
        <v/>
      </c>
      <c r="M3715" s="30" t="str">
        <f t="shared" si="401"/>
        <v/>
      </c>
      <c r="N3715" s="134"/>
      <c r="O3715" s="29"/>
      <c r="P3715" s="37" t="str">
        <f t="shared" si="402"/>
        <v/>
      </c>
      <c r="Q3715" s="38" t="str">
        <f t="shared" si="403"/>
        <v/>
      </c>
      <c r="R3715" s="37" t="str">
        <f t="shared" si="404"/>
        <v/>
      </c>
      <c r="S3715" s="37" t="str">
        <f t="shared" si="405"/>
        <v/>
      </c>
      <c r="T3715" s="38" t="str">
        <f t="shared" si="406"/>
        <v/>
      </c>
      <c r="U3715" s="37" t="str">
        <f t="shared" si="407"/>
        <v/>
      </c>
    </row>
    <row r="3716" spans="2:21" ht="17.25">
      <c r="B3716" s="156"/>
      <c r="C3716" s="156"/>
      <c r="D3716" s="157"/>
      <c r="E3716" s="155"/>
      <c r="F3716" s="151"/>
      <c r="G3716" s="152"/>
      <c r="H3716" s="153"/>
      <c r="I3716" s="154"/>
      <c r="J3716" s="154"/>
      <c r="K3716" s="30" t="str">
        <f>IF(H3716="","",IF($C$30="간이법","",FPR(H3716,I3716,J3716)))</f>
        <v/>
      </c>
      <c r="L3716" s="30" t="str">
        <f>IF(H3716="","",IF($C$30="상세법",FPV(H3716,K3716),IF(H3716="EI",4,IF(H3716="EO",5.2,IF(H3716="EQ",3.9,IF(H3716="ILF",7.5,IF(H3716="EIF",5.4)))))))</f>
        <v/>
      </c>
      <c r="M3716" s="30" t="str">
        <f t="shared" si="401"/>
        <v/>
      </c>
      <c r="N3716" s="134"/>
      <c r="O3716" s="29"/>
      <c r="P3716" s="37" t="str">
        <f t="shared" si="402"/>
        <v/>
      </c>
      <c r="Q3716" s="38" t="str">
        <f t="shared" si="403"/>
        <v/>
      </c>
      <c r="R3716" s="37" t="str">
        <f t="shared" si="404"/>
        <v/>
      </c>
      <c r="S3716" s="37" t="str">
        <f t="shared" si="405"/>
        <v/>
      </c>
      <c r="T3716" s="38" t="str">
        <f t="shared" si="406"/>
        <v/>
      </c>
      <c r="U3716" s="37" t="str">
        <f t="shared" si="407"/>
        <v/>
      </c>
    </row>
    <row r="3717" spans="2:21" ht="17.25">
      <c r="B3717" s="156"/>
      <c r="C3717" s="156"/>
      <c r="D3717" s="157"/>
      <c r="E3717" s="155"/>
      <c r="F3717" s="151"/>
      <c r="G3717" s="152"/>
      <c r="H3717" s="153"/>
      <c r="I3717" s="154"/>
      <c r="J3717" s="154"/>
      <c r="K3717" s="30" t="str">
        <f>IF(H3717="","",IF($C$30="간이법","",FPR(H3717,I3717,J3717)))</f>
        <v/>
      </c>
      <c r="L3717" s="30" t="str">
        <f>IF(H3717="","",IF($C$30="상세법",FPV(H3717,K3717),IF(H3717="EI",4,IF(H3717="EO",5.2,IF(H3717="EQ",3.9,IF(H3717="ILF",7.5,IF(H3717="EIF",5.4)))))))</f>
        <v/>
      </c>
      <c r="M3717" s="30" t="str">
        <f t="shared" si="401"/>
        <v/>
      </c>
      <c r="N3717" s="134"/>
      <c r="O3717" s="29"/>
      <c r="P3717" s="37" t="str">
        <f t="shared" si="402"/>
        <v/>
      </c>
      <c r="Q3717" s="38" t="str">
        <f t="shared" si="403"/>
        <v/>
      </c>
      <c r="R3717" s="37" t="str">
        <f t="shared" si="404"/>
        <v/>
      </c>
      <c r="S3717" s="37" t="str">
        <f t="shared" si="405"/>
        <v/>
      </c>
      <c r="T3717" s="38" t="str">
        <f t="shared" si="406"/>
        <v/>
      </c>
      <c r="U3717" s="37" t="str">
        <f t="shared" si="407"/>
        <v/>
      </c>
    </row>
    <row r="3718" spans="2:21" ht="17.25">
      <c r="B3718" s="156"/>
      <c r="C3718" s="156"/>
      <c r="D3718" s="157"/>
      <c r="E3718" s="155"/>
      <c r="F3718" s="151"/>
      <c r="G3718" s="152"/>
      <c r="H3718" s="153"/>
      <c r="I3718" s="154"/>
      <c r="J3718" s="154"/>
      <c r="K3718" s="30" t="str">
        <f>IF(H3718="","",IF($C$30="간이법","",FPR(H3718,I3718,J3718)))</f>
        <v/>
      </c>
      <c r="L3718" s="30" t="str">
        <f>IF(H3718="","",IF($C$30="상세법",FPV(H3718,K3718),IF(H3718="EI",4,IF(H3718="EO",5.2,IF(H3718="EQ",3.9,IF(H3718="ILF",7.5,IF(H3718="EIF",5.4)))))))</f>
        <v/>
      </c>
      <c r="M3718" s="30" t="str">
        <f t="shared" si="401"/>
        <v/>
      </c>
      <c r="N3718" s="134"/>
      <c r="O3718" s="29"/>
      <c r="P3718" s="37" t="str">
        <f t="shared" si="402"/>
        <v/>
      </c>
      <c r="Q3718" s="38" t="str">
        <f t="shared" si="403"/>
        <v/>
      </c>
      <c r="R3718" s="37" t="str">
        <f t="shared" si="404"/>
        <v/>
      </c>
      <c r="S3718" s="37" t="str">
        <f t="shared" si="405"/>
        <v/>
      </c>
      <c r="T3718" s="38" t="str">
        <f t="shared" si="406"/>
        <v/>
      </c>
      <c r="U3718" s="37" t="str">
        <f t="shared" si="407"/>
        <v/>
      </c>
    </row>
    <row r="3719" spans="2:21" ht="17.25">
      <c r="B3719" s="156"/>
      <c r="C3719" s="156"/>
      <c r="D3719" s="157"/>
      <c r="E3719" s="155"/>
      <c r="F3719" s="151"/>
      <c r="G3719" s="152"/>
      <c r="H3719" s="153"/>
      <c r="I3719" s="154"/>
      <c r="J3719" s="154"/>
      <c r="K3719" s="30" t="str">
        <f>IF(H3719="","",IF($C$30="간이법","",FPR(H3719,I3719,J3719)))</f>
        <v/>
      </c>
      <c r="L3719" s="30" t="str">
        <f>IF(H3719="","",IF($C$30="상세법",FPV(H3719,K3719),IF(H3719="EI",4,IF(H3719="EO",5.2,IF(H3719="EQ",3.9,IF(H3719="ILF",7.5,IF(H3719="EIF",5.4)))))))</f>
        <v/>
      </c>
      <c r="M3719" s="30" t="str">
        <f t="shared" si="401"/>
        <v/>
      </c>
      <c r="N3719" s="134"/>
      <c r="O3719" s="29"/>
      <c r="P3719" s="37" t="str">
        <f t="shared" si="402"/>
        <v/>
      </c>
      <c r="Q3719" s="38" t="str">
        <f t="shared" si="403"/>
        <v/>
      </c>
      <c r="R3719" s="37" t="str">
        <f t="shared" si="404"/>
        <v/>
      </c>
      <c r="S3719" s="37" t="str">
        <f t="shared" si="405"/>
        <v/>
      </c>
      <c r="T3719" s="38" t="str">
        <f t="shared" si="406"/>
        <v/>
      </c>
      <c r="U3719" s="37" t="str">
        <f t="shared" si="407"/>
        <v/>
      </c>
    </row>
    <row r="3720" spans="2:21" ht="17.25">
      <c r="B3720" s="156"/>
      <c r="C3720" s="156"/>
      <c r="D3720" s="157"/>
      <c r="E3720" s="155"/>
      <c r="F3720" s="151"/>
      <c r="G3720" s="152"/>
      <c r="H3720" s="153"/>
      <c r="I3720" s="154"/>
      <c r="J3720" s="154"/>
      <c r="K3720" s="30" t="str">
        <f>IF(H3720="","",IF($C$30="간이법","",FPR(H3720,I3720,J3720)))</f>
        <v/>
      </c>
      <c r="L3720" s="30" t="str">
        <f>IF(H3720="","",IF($C$30="상세법",FPV(H3720,K3720),IF(H3720="EI",4,IF(H3720="EO",5.2,IF(H3720="EQ",3.9,IF(H3720="ILF",7.5,IF(H3720="EIF",5.4)))))))</f>
        <v/>
      </c>
      <c r="M3720" s="30" t="str">
        <f t="shared" si="401"/>
        <v/>
      </c>
      <c r="N3720" s="134"/>
      <c r="O3720" s="29"/>
      <c r="P3720" s="37" t="str">
        <f t="shared" si="402"/>
        <v/>
      </c>
      <c r="Q3720" s="38" t="str">
        <f t="shared" si="403"/>
        <v/>
      </c>
      <c r="R3720" s="37" t="str">
        <f t="shared" si="404"/>
        <v/>
      </c>
      <c r="S3720" s="37" t="str">
        <f t="shared" si="405"/>
        <v/>
      </c>
      <c r="T3720" s="38" t="str">
        <f t="shared" si="406"/>
        <v/>
      </c>
      <c r="U3720" s="37" t="str">
        <f t="shared" si="407"/>
        <v/>
      </c>
    </row>
    <row r="3721" spans="2:21" ht="17.25">
      <c r="B3721" s="156"/>
      <c r="C3721" s="156"/>
      <c r="D3721" s="157"/>
      <c r="E3721" s="155"/>
      <c r="F3721" s="151"/>
      <c r="G3721" s="152"/>
      <c r="H3721" s="153"/>
      <c r="I3721" s="154"/>
      <c r="J3721" s="154"/>
      <c r="K3721" s="30" t="str">
        <f>IF(H3721="","",IF($C$30="간이법","",FPR(H3721,I3721,J3721)))</f>
        <v/>
      </c>
      <c r="L3721" s="30" t="str">
        <f>IF(H3721="","",IF($C$30="상세법",FPV(H3721,K3721),IF(H3721="EI",4,IF(H3721="EO",5.2,IF(H3721="EQ",3.9,IF(H3721="ILF",7.5,IF(H3721="EIF",5.4)))))))</f>
        <v/>
      </c>
      <c r="M3721" s="30" t="str">
        <f t="shared" si="401"/>
        <v/>
      </c>
      <c r="N3721" s="134"/>
      <c r="O3721" s="29"/>
      <c r="P3721" s="37" t="str">
        <f t="shared" si="402"/>
        <v/>
      </c>
      <c r="Q3721" s="38" t="str">
        <f t="shared" si="403"/>
        <v/>
      </c>
      <c r="R3721" s="37" t="str">
        <f t="shared" si="404"/>
        <v/>
      </c>
      <c r="S3721" s="37" t="str">
        <f t="shared" si="405"/>
        <v/>
      </c>
      <c r="T3721" s="38" t="str">
        <f t="shared" si="406"/>
        <v/>
      </c>
      <c r="U3721" s="37" t="str">
        <f t="shared" si="407"/>
        <v/>
      </c>
    </row>
    <row r="3722" spans="2:21" ht="17.25">
      <c r="B3722" s="156"/>
      <c r="C3722" s="156"/>
      <c r="D3722" s="157"/>
      <c r="E3722" s="155"/>
      <c r="F3722" s="151"/>
      <c r="G3722" s="152"/>
      <c r="H3722" s="153"/>
      <c r="I3722" s="154"/>
      <c r="J3722" s="154"/>
      <c r="K3722" s="30" t="str">
        <f>IF(H3722="","",IF($C$30="간이법","",FPR(H3722,I3722,J3722)))</f>
        <v/>
      </c>
      <c r="L3722" s="30" t="str">
        <f>IF(H3722="","",IF($C$30="상세법",FPV(H3722,K3722),IF(H3722="EI",4,IF(H3722="EO",5.2,IF(H3722="EQ",3.9,IF(H3722="ILF",7.5,IF(H3722="EIF",5.4)))))))</f>
        <v/>
      </c>
      <c r="M3722" s="30" t="str">
        <f t="shared" si="401"/>
        <v/>
      </c>
      <c r="N3722" s="134"/>
      <c r="O3722" s="29"/>
      <c r="P3722" s="37" t="str">
        <f t="shared" si="402"/>
        <v/>
      </c>
      <c r="Q3722" s="38" t="str">
        <f t="shared" si="403"/>
        <v/>
      </c>
      <c r="R3722" s="37" t="str">
        <f t="shared" si="404"/>
        <v/>
      </c>
      <c r="S3722" s="37" t="str">
        <f t="shared" si="405"/>
        <v/>
      </c>
      <c r="T3722" s="38" t="str">
        <f t="shared" si="406"/>
        <v/>
      </c>
      <c r="U3722" s="37" t="str">
        <f t="shared" si="407"/>
        <v/>
      </c>
    </row>
    <row r="3723" spans="2:21" ht="17.25">
      <c r="B3723" s="156"/>
      <c r="C3723" s="156"/>
      <c r="D3723" s="157"/>
      <c r="E3723" s="155"/>
      <c r="F3723" s="151"/>
      <c r="G3723" s="152"/>
      <c r="H3723" s="153"/>
      <c r="I3723" s="154"/>
      <c r="J3723" s="154"/>
      <c r="K3723" s="30" t="str">
        <f>IF(H3723="","",IF($C$30="간이법","",FPR(H3723,I3723,J3723)))</f>
        <v/>
      </c>
      <c r="L3723" s="30" t="str">
        <f>IF(H3723="","",IF($C$30="상세법",FPV(H3723,K3723),IF(H3723="EI",4,IF(H3723="EO",5.2,IF(H3723="EQ",3.9,IF(H3723="ILF",7.5,IF(H3723="EIF",5.4)))))))</f>
        <v/>
      </c>
      <c r="M3723" s="30" t="str">
        <f t="shared" si="401"/>
        <v/>
      </c>
      <c r="N3723" s="134"/>
      <c r="O3723" s="29"/>
      <c r="P3723" s="37" t="str">
        <f t="shared" si="402"/>
        <v/>
      </c>
      <c r="Q3723" s="38" t="str">
        <f t="shared" si="403"/>
        <v/>
      </c>
      <c r="R3723" s="37" t="str">
        <f t="shared" si="404"/>
        <v/>
      </c>
      <c r="S3723" s="37" t="str">
        <f t="shared" si="405"/>
        <v/>
      </c>
      <c r="T3723" s="38" t="str">
        <f t="shared" si="406"/>
        <v/>
      </c>
      <c r="U3723" s="37" t="str">
        <f t="shared" si="407"/>
        <v/>
      </c>
    </row>
    <row r="3724" spans="2:21" ht="17.25">
      <c r="B3724" s="156"/>
      <c r="C3724" s="156"/>
      <c r="D3724" s="157"/>
      <c r="E3724" s="155"/>
      <c r="F3724" s="151"/>
      <c r="G3724" s="152"/>
      <c r="H3724" s="153"/>
      <c r="I3724" s="154"/>
      <c r="J3724" s="154"/>
      <c r="K3724" s="30" t="str">
        <f>IF(H3724="","",IF($C$30="간이법","",FPR(H3724,I3724,J3724)))</f>
        <v/>
      </c>
      <c r="L3724" s="30" t="str">
        <f>IF(H3724="","",IF($C$30="상세법",FPV(H3724,K3724),IF(H3724="EI",4,IF(H3724="EO",5.2,IF(H3724="EQ",3.9,IF(H3724="ILF",7.5,IF(H3724="EIF",5.4)))))))</f>
        <v/>
      </c>
      <c r="M3724" s="30" t="str">
        <f t="shared" si="401"/>
        <v/>
      </c>
      <c r="N3724" s="134"/>
      <c r="O3724" s="29"/>
      <c r="P3724" s="37" t="str">
        <f t="shared" si="402"/>
        <v/>
      </c>
      <c r="Q3724" s="38" t="str">
        <f t="shared" si="403"/>
        <v/>
      </c>
      <c r="R3724" s="37" t="str">
        <f t="shared" si="404"/>
        <v/>
      </c>
      <c r="S3724" s="37" t="str">
        <f t="shared" si="405"/>
        <v/>
      </c>
      <c r="T3724" s="38" t="str">
        <f t="shared" si="406"/>
        <v/>
      </c>
      <c r="U3724" s="37" t="str">
        <f t="shared" si="407"/>
        <v/>
      </c>
    </row>
    <row r="3725" spans="2:21" ht="17.25">
      <c r="B3725" s="156"/>
      <c r="C3725" s="156"/>
      <c r="D3725" s="157"/>
      <c r="E3725" s="155"/>
      <c r="F3725" s="151"/>
      <c r="G3725" s="152"/>
      <c r="H3725" s="153"/>
      <c r="I3725" s="154"/>
      <c r="J3725" s="154"/>
      <c r="K3725" s="30" t="str">
        <f>IF(H3725="","",IF($C$30="간이법","",FPR(H3725,I3725,J3725)))</f>
        <v/>
      </c>
      <c r="L3725" s="30" t="str">
        <f>IF(H3725="","",IF($C$30="상세법",FPV(H3725,K3725),IF(H3725="EI",4,IF(H3725="EO",5.2,IF(H3725="EQ",3.9,IF(H3725="ILF",7.5,IF(H3725="EIF",5.4)))))))</f>
        <v/>
      </c>
      <c r="M3725" s="30" t="str">
        <f t="shared" si="401"/>
        <v/>
      </c>
      <c r="N3725" s="134"/>
      <c r="O3725" s="29"/>
      <c r="P3725" s="37" t="str">
        <f t="shared" si="402"/>
        <v/>
      </c>
      <c r="Q3725" s="38" t="str">
        <f t="shared" si="403"/>
        <v/>
      </c>
      <c r="R3725" s="37" t="str">
        <f t="shared" si="404"/>
        <v/>
      </c>
      <c r="S3725" s="37" t="str">
        <f t="shared" si="405"/>
        <v/>
      </c>
      <c r="T3725" s="38" t="str">
        <f t="shared" si="406"/>
        <v/>
      </c>
      <c r="U3725" s="37" t="str">
        <f t="shared" si="407"/>
        <v/>
      </c>
    </row>
    <row r="3726" spans="2:21" ht="17.25">
      <c r="B3726" s="156"/>
      <c r="C3726" s="156"/>
      <c r="D3726" s="157"/>
      <c r="E3726" s="155"/>
      <c r="F3726" s="151"/>
      <c r="G3726" s="152"/>
      <c r="H3726" s="153"/>
      <c r="I3726" s="154"/>
      <c r="J3726" s="154"/>
      <c r="K3726" s="30" t="str">
        <f>IF(H3726="","",IF($C$30="간이법","",FPR(H3726,I3726,J3726)))</f>
        <v/>
      </c>
      <c r="L3726" s="30" t="str">
        <f>IF(H3726="","",IF($C$30="상세법",FPV(H3726,K3726),IF(H3726="EI",4,IF(H3726="EO",5.2,IF(H3726="EQ",3.9,IF(H3726="ILF",7.5,IF(H3726="EIF",5.4)))))))</f>
        <v/>
      </c>
      <c r="M3726" s="30" t="str">
        <f t="shared" si="401"/>
        <v/>
      </c>
      <c r="N3726" s="134"/>
      <c r="O3726" s="29"/>
      <c r="P3726" s="37" t="str">
        <f t="shared" si="402"/>
        <v/>
      </c>
      <c r="Q3726" s="38" t="str">
        <f t="shared" si="403"/>
        <v/>
      </c>
      <c r="R3726" s="37" t="str">
        <f t="shared" si="404"/>
        <v/>
      </c>
      <c r="S3726" s="37" t="str">
        <f t="shared" si="405"/>
        <v/>
      </c>
      <c r="T3726" s="38" t="str">
        <f t="shared" si="406"/>
        <v/>
      </c>
      <c r="U3726" s="37" t="str">
        <f t="shared" si="407"/>
        <v/>
      </c>
    </row>
    <row r="3727" spans="2:21" ht="17.25">
      <c r="B3727" s="156"/>
      <c r="C3727" s="156"/>
      <c r="D3727" s="157"/>
      <c r="E3727" s="155"/>
      <c r="F3727" s="151"/>
      <c r="G3727" s="152"/>
      <c r="H3727" s="153"/>
      <c r="I3727" s="154"/>
      <c r="J3727" s="154"/>
      <c r="K3727" s="30" t="str">
        <f>IF(H3727="","",IF($C$30="간이법","",FPR(H3727,I3727,J3727)))</f>
        <v/>
      </c>
      <c r="L3727" s="30" t="str">
        <f>IF(H3727="","",IF($C$30="상세법",FPV(H3727,K3727),IF(H3727="EI",4,IF(H3727="EO",5.2,IF(H3727="EQ",3.9,IF(H3727="ILF",7.5,IF(H3727="EIF",5.4)))))))</f>
        <v/>
      </c>
      <c r="M3727" s="30" t="str">
        <f t="shared" si="401"/>
        <v/>
      </c>
      <c r="N3727" s="134"/>
      <c r="O3727" s="29"/>
      <c r="P3727" s="37" t="str">
        <f t="shared" si="402"/>
        <v/>
      </c>
      <c r="Q3727" s="38" t="str">
        <f t="shared" si="403"/>
        <v/>
      </c>
      <c r="R3727" s="37" t="str">
        <f t="shared" si="404"/>
        <v/>
      </c>
      <c r="S3727" s="37" t="str">
        <f t="shared" si="405"/>
        <v/>
      </c>
      <c r="T3727" s="38" t="str">
        <f t="shared" si="406"/>
        <v/>
      </c>
      <c r="U3727" s="37" t="str">
        <f t="shared" si="407"/>
        <v/>
      </c>
    </row>
    <row r="3728" spans="2:21" ht="17.25">
      <c r="B3728" s="156"/>
      <c r="C3728" s="156"/>
      <c r="D3728" s="157"/>
      <c r="E3728" s="155"/>
      <c r="F3728" s="151"/>
      <c r="G3728" s="152"/>
      <c r="H3728" s="153"/>
      <c r="I3728" s="154"/>
      <c r="J3728" s="154"/>
      <c r="K3728" s="30" t="str">
        <f>IF(H3728="","",IF($C$30="간이법","",FPR(H3728,I3728,J3728)))</f>
        <v/>
      </c>
      <c r="L3728" s="30" t="str">
        <f>IF(H3728="","",IF($C$30="상세법",FPV(H3728,K3728),IF(H3728="EI",4,IF(H3728="EO",5.2,IF(H3728="EQ",3.9,IF(H3728="ILF",7.5,IF(H3728="EIF",5.4)))))))</f>
        <v/>
      </c>
      <c r="M3728" s="30" t="str">
        <f t="shared" si="401"/>
        <v/>
      </c>
      <c r="N3728" s="134"/>
      <c r="O3728" s="29"/>
      <c r="P3728" s="37" t="str">
        <f t="shared" si="402"/>
        <v/>
      </c>
      <c r="Q3728" s="38" t="str">
        <f t="shared" si="403"/>
        <v/>
      </c>
      <c r="R3728" s="37" t="str">
        <f t="shared" si="404"/>
        <v/>
      </c>
      <c r="S3728" s="37" t="str">
        <f t="shared" si="405"/>
        <v/>
      </c>
      <c r="T3728" s="38" t="str">
        <f t="shared" si="406"/>
        <v/>
      </c>
      <c r="U3728" s="37" t="str">
        <f t="shared" si="407"/>
        <v/>
      </c>
    </row>
    <row r="3729" spans="2:21" ht="17.25">
      <c r="B3729" s="156"/>
      <c r="C3729" s="156"/>
      <c r="D3729" s="157"/>
      <c r="E3729" s="155"/>
      <c r="F3729" s="151"/>
      <c r="G3729" s="152"/>
      <c r="H3729" s="153"/>
      <c r="I3729" s="154"/>
      <c r="J3729" s="154"/>
      <c r="K3729" s="30" t="str">
        <f>IF(H3729="","",IF($C$30="간이법","",FPR(H3729,I3729,J3729)))</f>
        <v/>
      </c>
      <c r="L3729" s="30" t="str">
        <f>IF(H3729="","",IF($C$30="상세법",FPV(H3729,K3729),IF(H3729="EI",4,IF(H3729="EO",5.2,IF(H3729="EQ",3.9,IF(H3729="ILF",7.5,IF(H3729="EIF",5.4)))))))</f>
        <v/>
      </c>
      <c r="M3729" s="30" t="str">
        <f t="shared" si="401"/>
        <v/>
      </c>
      <c r="N3729" s="134"/>
      <c r="O3729" s="29"/>
      <c r="P3729" s="37" t="str">
        <f t="shared" si="402"/>
        <v/>
      </c>
      <c r="Q3729" s="38" t="str">
        <f t="shared" si="403"/>
        <v/>
      </c>
      <c r="R3729" s="37" t="str">
        <f t="shared" si="404"/>
        <v/>
      </c>
      <c r="S3729" s="37" t="str">
        <f t="shared" si="405"/>
        <v/>
      </c>
      <c r="T3729" s="38" t="str">
        <f t="shared" si="406"/>
        <v/>
      </c>
      <c r="U3729" s="37" t="str">
        <f t="shared" si="407"/>
        <v/>
      </c>
    </row>
    <row r="3730" spans="2:21" ht="17.25">
      <c r="B3730" s="156"/>
      <c r="C3730" s="156"/>
      <c r="D3730" s="157"/>
      <c r="E3730" s="155"/>
      <c r="F3730" s="151"/>
      <c r="G3730" s="152"/>
      <c r="H3730" s="153"/>
      <c r="I3730" s="154"/>
      <c r="J3730" s="154"/>
      <c r="K3730" s="30" t="str">
        <f>IF(H3730="","",IF($C$30="간이법","",FPR(H3730,I3730,J3730)))</f>
        <v/>
      </c>
      <c r="L3730" s="30" t="str">
        <f>IF(H3730="","",IF($C$30="상세법",FPV(H3730,K3730),IF(H3730="EI",4,IF(H3730="EO",5.2,IF(H3730="EQ",3.9,IF(H3730="ILF",7.5,IF(H3730="EIF",5.4)))))))</f>
        <v/>
      </c>
      <c r="M3730" s="30" t="str">
        <f t="shared" si="401"/>
        <v/>
      </c>
      <c r="N3730" s="134"/>
      <c r="O3730" s="29"/>
      <c r="P3730" s="37" t="str">
        <f t="shared" si="402"/>
        <v/>
      </c>
      <c r="Q3730" s="38" t="str">
        <f t="shared" si="403"/>
        <v/>
      </c>
      <c r="R3730" s="37" t="str">
        <f t="shared" si="404"/>
        <v/>
      </c>
      <c r="S3730" s="37" t="str">
        <f t="shared" si="405"/>
        <v/>
      </c>
      <c r="T3730" s="38" t="str">
        <f t="shared" si="406"/>
        <v/>
      </c>
      <c r="U3730" s="37" t="str">
        <f t="shared" si="407"/>
        <v/>
      </c>
    </row>
    <row r="3731" spans="2:21" ht="17.25">
      <c r="B3731" s="156"/>
      <c r="C3731" s="156"/>
      <c r="D3731" s="157"/>
      <c r="E3731" s="155"/>
      <c r="F3731" s="151"/>
      <c r="G3731" s="152"/>
      <c r="H3731" s="153"/>
      <c r="I3731" s="154"/>
      <c r="J3731" s="154"/>
      <c r="K3731" s="30" t="str">
        <f>IF(H3731="","",IF($C$30="간이법","",FPR(H3731,I3731,J3731)))</f>
        <v/>
      </c>
      <c r="L3731" s="30" t="str">
        <f>IF(H3731="","",IF($C$30="상세법",FPV(H3731,K3731),IF(H3731="EI",4,IF(H3731="EO",5.2,IF(H3731="EQ",3.9,IF(H3731="ILF",7.5,IF(H3731="EIF",5.4)))))))</f>
        <v/>
      </c>
      <c r="M3731" s="30" t="str">
        <f t="shared" si="401"/>
        <v/>
      </c>
      <c r="N3731" s="134"/>
      <c r="O3731" s="29"/>
      <c r="P3731" s="37" t="str">
        <f t="shared" si="402"/>
        <v/>
      </c>
      <c r="Q3731" s="38" t="str">
        <f t="shared" si="403"/>
        <v/>
      </c>
      <c r="R3731" s="37" t="str">
        <f t="shared" si="404"/>
        <v/>
      </c>
      <c r="S3731" s="37" t="str">
        <f t="shared" si="405"/>
        <v/>
      </c>
      <c r="T3731" s="38" t="str">
        <f t="shared" si="406"/>
        <v/>
      </c>
      <c r="U3731" s="37" t="str">
        <f t="shared" si="407"/>
        <v/>
      </c>
    </row>
    <row r="3732" spans="2:21" ht="17.25">
      <c r="B3732" s="156"/>
      <c r="C3732" s="156"/>
      <c r="D3732" s="157"/>
      <c r="E3732" s="155"/>
      <c r="F3732" s="151"/>
      <c r="G3732" s="152"/>
      <c r="H3732" s="153"/>
      <c r="I3732" s="154"/>
      <c r="J3732" s="154"/>
      <c r="K3732" s="30" t="str">
        <f>IF(H3732="","",IF($C$30="간이법","",FPR(H3732,I3732,J3732)))</f>
        <v/>
      </c>
      <c r="L3732" s="30" t="str">
        <f>IF(H3732="","",IF($C$30="상세법",FPV(H3732,K3732),IF(H3732="EI",4,IF(H3732="EO",5.2,IF(H3732="EQ",3.9,IF(H3732="ILF",7.5,IF(H3732="EIF",5.4)))))))</f>
        <v/>
      </c>
      <c r="M3732" s="30" t="str">
        <f t="shared" si="401"/>
        <v/>
      </c>
      <c r="N3732" s="134"/>
      <c r="O3732" s="29"/>
      <c r="P3732" s="37" t="str">
        <f t="shared" si="402"/>
        <v/>
      </c>
      <c r="Q3732" s="38" t="str">
        <f t="shared" si="403"/>
        <v/>
      </c>
      <c r="R3732" s="37" t="str">
        <f t="shared" si="404"/>
        <v/>
      </c>
      <c r="S3732" s="37" t="str">
        <f t="shared" si="405"/>
        <v/>
      </c>
      <c r="T3732" s="38" t="str">
        <f t="shared" si="406"/>
        <v/>
      </c>
      <c r="U3732" s="37" t="str">
        <f t="shared" si="407"/>
        <v/>
      </c>
    </row>
    <row r="3733" spans="2:21" ht="17.25">
      <c r="B3733" s="156"/>
      <c r="C3733" s="156"/>
      <c r="D3733" s="157"/>
      <c r="E3733" s="155"/>
      <c r="F3733" s="151"/>
      <c r="G3733" s="152"/>
      <c r="H3733" s="153"/>
      <c r="I3733" s="154"/>
      <c r="J3733" s="154"/>
      <c r="K3733" s="30" t="str">
        <f>IF(H3733="","",IF($C$30="간이법","",FPR(H3733,I3733,J3733)))</f>
        <v/>
      </c>
      <c r="L3733" s="30" t="str">
        <f>IF(H3733="","",IF($C$30="상세법",FPV(H3733,K3733),IF(H3733="EI",4,IF(H3733="EO",5.2,IF(H3733="EQ",3.9,IF(H3733="ILF",7.5,IF(H3733="EIF",5.4)))))))</f>
        <v/>
      </c>
      <c r="M3733" s="30" t="str">
        <f t="shared" si="401"/>
        <v/>
      </c>
      <c r="N3733" s="134"/>
      <c r="O3733" s="29"/>
      <c r="P3733" s="37" t="str">
        <f t="shared" si="402"/>
        <v/>
      </c>
      <c r="Q3733" s="38" t="str">
        <f t="shared" si="403"/>
        <v/>
      </c>
      <c r="R3733" s="37" t="str">
        <f t="shared" si="404"/>
        <v/>
      </c>
      <c r="S3733" s="37" t="str">
        <f t="shared" si="405"/>
        <v/>
      </c>
      <c r="T3733" s="38" t="str">
        <f t="shared" si="406"/>
        <v/>
      </c>
      <c r="U3733" s="37" t="str">
        <f t="shared" si="407"/>
        <v/>
      </c>
    </row>
    <row r="3734" spans="2:21" ht="17.25">
      <c r="B3734" s="156"/>
      <c r="C3734" s="156"/>
      <c r="D3734" s="157"/>
      <c r="E3734" s="155"/>
      <c r="F3734" s="151"/>
      <c r="G3734" s="152"/>
      <c r="H3734" s="153"/>
      <c r="I3734" s="154"/>
      <c r="J3734" s="154"/>
      <c r="K3734" s="30" t="str">
        <f>IF(H3734="","",IF($C$30="간이법","",FPR(H3734,I3734,J3734)))</f>
        <v/>
      </c>
      <c r="L3734" s="30" t="str">
        <f>IF(H3734="","",IF($C$30="상세법",FPV(H3734,K3734),IF(H3734="EI",4,IF(H3734="EO",5.2,IF(H3734="EQ",3.9,IF(H3734="ILF",7.5,IF(H3734="EIF",5.4)))))))</f>
        <v/>
      </c>
      <c r="M3734" s="30" t="str">
        <f t="shared" si="401"/>
        <v/>
      </c>
      <c r="N3734" s="134"/>
      <c r="O3734" s="29"/>
      <c r="P3734" s="37" t="str">
        <f t="shared" si="402"/>
        <v/>
      </c>
      <c r="Q3734" s="38" t="str">
        <f t="shared" si="403"/>
        <v/>
      </c>
      <c r="R3734" s="37" t="str">
        <f t="shared" si="404"/>
        <v/>
      </c>
      <c r="S3734" s="37" t="str">
        <f t="shared" si="405"/>
        <v/>
      </c>
      <c r="T3734" s="38" t="str">
        <f t="shared" si="406"/>
        <v/>
      </c>
      <c r="U3734" s="37" t="str">
        <f t="shared" si="407"/>
        <v/>
      </c>
    </row>
    <row r="3735" spans="2:21" ht="17.25">
      <c r="B3735" s="156"/>
      <c r="C3735" s="156"/>
      <c r="D3735" s="157"/>
      <c r="E3735" s="155"/>
      <c r="F3735" s="151"/>
      <c r="G3735" s="152"/>
      <c r="H3735" s="153"/>
      <c r="I3735" s="154"/>
      <c r="J3735" s="154"/>
      <c r="K3735" s="30" t="str">
        <f>IF(H3735="","",IF($C$30="간이법","",FPR(H3735,I3735,J3735)))</f>
        <v/>
      </c>
      <c r="L3735" s="30" t="str">
        <f>IF(H3735="","",IF($C$30="상세법",FPV(H3735,K3735),IF(H3735="EI",4,IF(H3735="EO",5.2,IF(H3735="EQ",3.9,IF(H3735="ILF",7.5,IF(H3735="EIF",5.4)))))))</f>
        <v/>
      </c>
      <c r="M3735" s="30" t="str">
        <f t="shared" si="401"/>
        <v/>
      </c>
      <c r="N3735" s="134"/>
      <c r="O3735" s="29"/>
      <c r="P3735" s="37" t="str">
        <f t="shared" si="402"/>
        <v/>
      </c>
      <c r="Q3735" s="38" t="str">
        <f t="shared" si="403"/>
        <v/>
      </c>
      <c r="R3735" s="37" t="str">
        <f t="shared" si="404"/>
        <v/>
      </c>
      <c r="S3735" s="37" t="str">
        <f t="shared" si="405"/>
        <v/>
      </c>
      <c r="T3735" s="38" t="str">
        <f t="shared" si="406"/>
        <v/>
      </c>
      <c r="U3735" s="37" t="str">
        <f t="shared" si="407"/>
        <v/>
      </c>
    </row>
    <row r="3736" spans="2:21" ht="17.25">
      <c r="B3736" s="156"/>
      <c r="C3736" s="156"/>
      <c r="D3736" s="157"/>
      <c r="E3736" s="155"/>
      <c r="F3736" s="151"/>
      <c r="G3736" s="152"/>
      <c r="H3736" s="153"/>
      <c r="I3736" s="154"/>
      <c r="J3736" s="154"/>
      <c r="K3736" s="30" t="str">
        <f>IF(H3736="","",IF($C$30="간이법","",FPR(H3736,I3736,J3736)))</f>
        <v/>
      </c>
      <c r="L3736" s="30" t="str">
        <f>IF(H3736="","",IF($C$30="상세법",FPV(H3736,K3736),IF(H3736="EI",4,IF(H3736="EO",5.2,IF(H3736="EQ",3.9,IF(H3736="ILF",7.5,IF(H3736="EIF",5.4)))))))</f>
        <v/>
      </c>
      <c r="M3736" s="30" t="str">
        <f t="shared" si="401"/>
        <v/>
      </c>
      <c r="N3736" s="134"/>
      <c r="O3736" s="29"/>
      <c r="P3736" s="37" t="str">
        <f t="shared" si="402"/>
        <v/>
      </c>
      <c r="Q3736" s="38" t="str">
        <f t="shared" si="403"/>
        <v/>
      </c>
      <c r="R3736" s="37" t="str">
        <f t="shared" si="404"/>
        <v/>
      </c>
      <c r="S3736" s="37" t="str">
        <f t="shared" si="405"/>
        <v/>
      </c>
      <c r="T3736" s="38" t="str">
        <f t="shared" si="406"/>
        <v/>
      </c>
      <c r="U3736" s="37" t="str">
        <f t="shared" si="407"/>
        <v/>
      </c>
    </row>
    <row r="3737" spans="2:21" ht="17.25">
      <c r="B3737" s="156"/>
      <c r="C3737" s="156"/>
      <c r="D3737" s="157"/>
      <c r="E3737" s="155"/>
      <c r="F3737" s="151"/>
      <c r="G3737" s="152"/>
      <c r="H3737" s="153"/>
      <c r="I3737" s="154"/>
      <c r="J3737" s="154"/>
      <c r="K3737" s="30" t="str">
        <f>IF(H3737="","",IF($C$30="간이법","",FPR(H3737,I3737,J3737)))</f>
        <v/>
      </c>
      <c r="L3737" s="30" t="str">
        <f>IF(H3737="","",IF($C$30="상세법",FPV(H3737,K3737),IF(H3737="EI",4,IF(H3737="EO",5.2,IF(H3737="EQ",3.9,IF(H3737="ILF",7.5,IF(H3737="EIF",5.4)))))))</f>
        <v/>
      </c>
      <c r="M3737" s="30" t="str">
        <f t="shared" si="401"/>
        <v/>
      </c>
      <c r="N3737" s="134"/>
      <c r="O3737" s="29"/>
      <c r="P3737" s="37" t="str">
        <f t="shared" si="402"/>
        <v/>
      </c>
      <c r="Q3737" s="38" t="str">
        <f t="shared" si="403"/>
        <v/>
      </c>
      <c r="R3737" s="37" t="str">
        <f t="shared" si="404"/>
        <v/>
      </c>
      <c r="S3737" s="37" t="str">
        <f t="shared" si="405"/>
        <v/>
      </c>
      <c r="T3737" s="38" t="str">
        <f t="shared" si="406"/>
        <v/>
      </c>
      <c r="U3737" s="37" t="str">
        <f t="shared" si="407"/>
        <v/>
      </c>
    </row>
    <row r="3738" spans="2:21" ht="17.25">
      <c r="B3738" s="156"/>
      <c r="C3738" s="156"/>
      <c r="D3738" s="157"/>
      <c r="E3738" s="155"/>
      <c r="F3738" s="151"/>
      <c r="G3738" s="152"/>
      <c r="H3738" s="153"/>
      <c r="I3738" s="154"/>
      <c r="J3738" s="154"/>
      <c r="K3738" s="30" t="str">
        <f>IF(H3738="","",IF($C$30="간이법","",FPR(H3738,I3738,J3738)))</f>
        <v/>
      </c>
      <c r="L3738" s="30" t="str">
        <f>IF(H3738="","",IF($C$30="상세법",FPV(H3738,K3738),IF(H3738="EI",4,IF(H3738="EO",5.2,IF(H3738="EQ",3.9,IF(H3738="ILF",7.5,IF(H3738="EIF",5.4)))))))</f>
        <v/>
      </c>
      <c r="M3738" s="30" t="str">
        <f t="shared" si="401"/>
        <v/>
      </c>
      <c r="N3738" s="134"/>
      <c r="O3738" s="29"/>
      <c r="P3738" s="37" t="str">
        <f t="shared" si="402"/>
        <v/>
      </c>
      <c r="Q3738" s="38" t="str">
        <f t="shared" si="403"/>
        <v/>
      </c>
      <c r="R3738" s="37" t="str">
        <f t="shared" si="404"/>
        <v/>
      </c>
      <c r="S3738" s="37" t="str">
        <f t="shared" si="405"/>
        <v/>
      </c>
      <c r="T3738" s="38" t="str">
        <f t="shared" si="406"/>
        <v/>
      </c>
      <c r="U3738" s="37" t="str">
        <f t="shared" si="407"/>
        <v/>
      </c>
    </row>
    <row r="3739" spans="2:21" ht="17.25">
      <c r="B3739" s="156"/>
      <c r="C3739" s="156"/>
      <c r="D3739" s="157"/>
      <c r="E3739" s="155"/>
      <c r="F3739" s="151"/>
      <c r="G3739" s="152"/>
      <c r="H3739" s="153"/>
      <c r="I3739" s="154"/>
      <c r="J3739" s="154"/>
      <c r="K3739" s="30" t="str">
        <f>IF(H3739="","",IF($C$30="간이법","",FPR(H3739,I3739,J3739)))</f>
        <v/>
      </c>
      <c r="L3739" s="30" t="str">
        <f>IF(H3739="","",IF($C$30="상세법",FPV(H3739,K3739),IF(H3739="EI",4,IF(H3739="EO",5.2,IF(H3739="EQ",3.9,IF(H3739="ILF",7.5,IF(H3739="EIF",5.4)))))))</f>
        <v/>
      </c>
      <c r="M3739" s="30" t="str">
        <f t="shared" si="401"/>
        <v/>
      </c>
      <c r="N3739" s="134"/>
      <c r="O3739" s="29"/>
      <c r="P3739" s="37" t="str">
        <f t="shared" si="402"/>
        <v/>
      </c>
      <c r="Q3739" s="38" t="str">
        <f t="shared" si="403"/>
        <v/>
      </c>
      <c r="R3739" s="37" t="str">
        <f t="shared" si="404"/>
        <v/>
      </c>
      <c r="S3739" s="37" t="str">
        <f t="shared" si="405"/>
        <v/>
      </c>
      <c r="T3739" s="38" t="str">
        <f t="shared" si="406"/>
        <v/>
      </c>
      <c r="U3739" s="37" t="str">
        <f t="shared" si="407"/>
        <v/>
      </c>
    </row>
    <row r="3740" spans="2:21" ht="17.25">
      <c r="B3740" s="156"/>
      <c r="C3740" s="156"/>
      <c r="D3740" s="157"/>
      <c r="E3740" s="155"/>
      <c r="F3740" s="151"/>
      <c r="G3740" s="152"/>
      <c r="H3740" s="153"/>
      <c r="I3740" s="154"/>
      <c r="J3740" s="154"/>
      <c r="K3740" s="30" t="str">
        <f>IF(H3740="","",IF($C$30="간이법","",FPR(H3740,I3740,J3740)))</f>
        <v/>
      </c>
      <c r="L3740" s="30" t="str">
        <f>IF(H3740="","",IF($C$30="상세법",FPV(H3740,K3740),IF(H3740="EI",4,IF(H3740="EO",5.2,IF(H3740="EQ",3.9,IF(H3740="ILF",7.5,IF(H3740="EIF",5.4)))))))</f>
        <v/>
      </c>
      <c r="M3740" s="30" t="str">
        <f t="shared" si="401"/>
        <v/>
      </c>
      <c r="N3740" s="134"/>
      <c r="O3740" s="29"/>
      <c r="P3740" s="37" t="str">
        <f t="shared" si="402"/>
        <v/>
      </c>
      <c r="Q3740" s="38" t="str">
        <f t="shared" si="403"/>
        <v/>
      </c>
      <c r="R3740" s="37" t="str">
        <f t="shared" si="404"/>
        <v/>
      </c>
      <c r="S3740" s="37" t="str">
        <f t="shared" si="405"/>
        <v/>
      </c>
      <c r="T3740" s="38" t="str">
        <f t="shared" si="406"/>
        <v/>
      </c>
      <c r="U3740" s="37" t="str">
        <f t="shared" si="407"/>
        <v/>
      </c>
    </row>
    <row r="3741" spans="2:21" ht="17.25">
      <c r="B3741" s="156"/>
      <c r="C3741" s="156"/>
      <c r="D3741" s="157"/>
      <c r="E3741" s="155"/>
      <c r="F3741" s="151"/>
      <c r="G3741" s="152"/>
      <c r="H3741" s="153"/>
      <c r="I3741" s="154"/>
      <c r="J3741" s="154"/>
      <c r="K3741" s="30" t="str">
        <f>IF(H3741="","",IF($C$30="간이법","",FPR(H3741,I3741,J3741)))</f>
        <v/>
      </c>
      <c r="L3741" s="30" t="str">
        <f>IF(H3741="","",IF($C$30="상세법",FPV(H3741,K3741),IF(H3741="EI",4,IF(H3741="EO",5.2,IF(H3741="EQ",3.9,IF(H3741="ILF",7.5,IF(H3741="EIF",5.4)))))))</f>
        <v/>
      </c>
      <c r="M3741" s="30" t="str">
        <f t="shared" si="401"/>
        <v/>
      </c>
      <c r="N3741" s="134"/>
      <c r="O3741" s="29"/>
      <c r="P3741" s="37" t="str">
        <f t="shared" si="402"/>
        <v/>
      </c>
      <c r="Q3741" s="38" t="str">
        <f t="shared" si="403"/>
        <v/>
      </c>
      <c r="R3741" s="37" t="str">
        <f t="shared" si="404"/>
        <v/>
      </c>
      <c r="S3741" s="37" t="str">
        <f t="shared" si="405"/>
        <v/>
      </c>
      <c r="T3741" s="38" t="str">
        <f t="shared" si="406"/>
        <v/>
      </c>
      <c r="U3741" s="37" t="str">
        <f t="shared" si="407"/>
        <v/>
      </c>
    </row>
    <row r="3742" spans="2:21" ht="17.25">
      <c r="B3742" s="156"/>
      <c r="C3742" s="156"/>
      <c r="D3742" s="157"/>
      <c r="E3742" s="155"/>
      <c r="F3742" s="151"/>
      <c r="G3742" s="152"/>
      <c r="H3742" s="153"/>
      <c r="I3742" s="154"/>
      <c r="J3742" s="154"/>
      <c r="K3742" s="30" t="str">
        <f>IF(H3742="","",IF($C$30="간이법","",FPR(H3742,I3742,J3742)))</f>
        <v/>
      </c>
      <c r="L3742" s="30" t="str">
        <f>IF(H3742="","",IF($C$30="상세법",FPV(H3742,K3742),IF(H3742="EI",4,IF(H3742="EO",5.2,IF(H3742="EQ",3.9,IF(H3742="ILF",7.5,IF(H3742="EIF",5.4)))))))</f>
        <v/>
      </c>
      <c r="M3742" s="30" t="str">
        <f t="shared" si="401"/>
        <v/>
      </c>
      <c r="N3742" s="134"/>
      <c r="O3742" s="29"/>
      <c r="P3742" s="37" t="str">
        <f t="shared" si="402"/>
        <v/>
      </c>
      <c r="Q3742" s="38" t="str">
        <f t="shared" si="403"/>
        <v/>
      </c>
      <c r="R3742" s="37" t="str">
        <f t="shared" si="404"/>
        <v/>
      </c>
      <c r="S3742" s="37" t="str">
        <f t="shared" si="405"/>
        <v/>
      </c>
      <c r="T3742" s="38" t="str">
        <f t="shared" si="406"/>
        <v/>
      </c>
      <c r="U3742" s="37" t="str">
        <f t="shared" si="407"/>
        <v/>
      </c>
    </row>
    <row r="3743" spans="2:21" ht="17.25">
      <c r="B3743" s="156"/>
      <c r="C3743" s="156"/>
      <c r="D3743" s="157"/>
      <c r="E3743" s="155"/>
      <c r="F3743" s="151"/>
      <c r="G3743" s="152"/>
      <c r="H3743" s="153"/>
      <c r="I3743" s="154"/>
      <c r="J3743" s="154"/>
      <c r="K3743" s="30" t="str">
        <f>IF(H3743="","",IF($C$30="간이법","",FPR(H3743,I3743,J3743)))</f>
        <v/>
      </c>
      <c r="L3743" s="30" t="str">
        <f>IF(H3743="","",IF($C$30="상세법",FPV(H3743,K3743),IF(H3743="EI",4,IF(H3743="EO",5.2,IF(H3743="EQ",3.9,IF(H3743="ILF",7.5,IF(H3743="EIF",5.4)))))))</f>
        <v/>
      </c>
      <c r="M3743" s="30" t="str">
        <f t="shared" si="401"/>
        <v/>
      </c>
      <c r="N3743" s="134"/>
      <c r="O3743" s="29"/>
      <c r="P3743" s="37" t="str">
        <f t="shared" si="402"/>
        <v/>
      </c>
      <c r="Q3743" s="38" t="str">
        <f t="shared" si="403"/>
        <v/>
      </c>
      <c r="R3743" s="37" t="str">
        <f t="shared" si="404"/>
        <v/>
      </c>
      <c r="S3743" s="37" t="str">
        <f t="shared" si="405"/>
        <v/>
      </c>
      <c r="T3743" s="38" t="str">
        <f t="shared" si="406"/>
        <v/>
      </c>
      <c r="U3743" s="37" t="str">
        <f t="shared" si="407"/>
        <v/>
      </c>
    </row>
    <row r="3744" spans="2:21" ht="17.25">
      <c r="B3744" s="156"/>
      <c r="C3744" s="156"/>
      <c r="D3744" s="157"/>
      <c r="E3744" s="155"/>
      <c r="F3744" s="151"/>
      <c r="G3744" s="152"/>
      <c r="H3744" s="153"/>
      <c r="I3744" s="154"/>
      <c r="J3744" s="154"/>
      <c r="K3744" s="30" t="str">
        <f>IF(H3744="","",IF($C$30="간이법","",FPR(H3744,I3744,J3744)))</f>
        <v/>
      </c>
      <c r="L3744" s="30" t="str">
        <f>IF(H3744="","",IF($C$30="상세법",FPV(H3744,K3744),IF(H3744="EI",4,IF(H3744="EO",5.2,IF(H3744="EQ",3.9,IF(H3744="ILF",7.5,IF(H3744="EIF",5.4)))))))</f>
        <v/>
      </c>
      <c r="M3744" s="30" t="str">
        <f t="shared" si="401"/>
        <v/>
      </c>
      <c r="N3744" s="134"/>
      <c r="O3744" s="29"/>
      <c r="P3744" s="37" t="str">
        <f t="shared" si="402"/>
        <v/>
      </c>
      <c r="Q3744" s="38" t="str">
        <f t="shared" si="403"/>
        <v/>
      </c>
      <c r="R3744" s="37" t="str">
        <f t="shared" si="404"/>
        <v/>
      </c>
      <c r="S3744" s="37" t="str">
        <f t="shared" si="405"/>
        <v/>
      </c>
      <c r="T3744" s="38" t="str">
        <f t="shared" si="406"/>
        <v/>
      </c>
      <c r="U3744" s="37" t="str">
        <f t="shared" si="407"/>
        <v/>
      </c>
    </row>
    <row r="3745" spans="2:21" ht="17.25">
      <c r="B3745" s="156"/>
      <c r="C3745" s="156"/>
      <c r="D3745" s="157"/>
      <c r="E3745" s="155"/>
      <c r="F3745" s="151"/>
      <c r="G3745" s="152"/>
      <c r="H3745" s="153"/>
      <c r="I3745" s="154"/>
      <c r="J3745" s="154"/>
      <c r="K3745" s="30" t="str">
        <f>IF(H3745="","",IF($C$30="간이법","",FPR(H3745,I3745,J3745)))</f>
        <v/>
      </c>
      <c r="L3745" s="30" t="str">
        <f>IF(H3745="","",IF($C$30="상세법",FPV(H3745,K3745),IF(H3745="EI",4,IF(H3745="EO",5.2,IF(H3745="EQ",3.9,IF(H3745="ILF",7.5,IF(H3745="EIF",5.4)))))))</f>
        <v/>
      </c>
      <c r="M3745" s="30" t="str">
        <f t="shared" si="401"/>
        <v/>
      </c>
      <c r="N3745" s="134"/>
      <c r="O3745" s="29"/>
      <c r="P3745" s="37" t="str">
        <f t="shared" si="402"/>
        <v/>
      </c>
      <c r="Q3745" s="38" t="str">
        <f t="shared" si="403"/>
        <v/>
      </c>
      <c r="R3745" s="37" t="str">
        <f t="shared" si="404"/>
        <v/>
      </c>
      <c r="S3745" s="37" t="str">
        <f t="shared" si="405"/>
        <v/>
      </c>
      <c r="T3745" s="38" t="str">
        <f t="shared" si="406"/>
        <v/>
      </c>
      <c r="U3745" s="37" t="str">
        <f t="shared" si="407"/>
        <v/>
      </c>
    </row>
    <row r="3746" spans="2:21" ht="17.25">
      <c r="B3746" s="156"/>
      <c r="C3746" s="156"/>
      <c r="D3746" s="157"/>
      <c r="E3746" s="155"/>
      <c r="F3746" s="151"/>
      <c r="G3746" s="152"/>
      <c r="H3746" s="153"/>
      <c r="I3746" s="154"/>
      <c r="J3746" s="154"/>
      <c r="K3746" s="30" t="str">
        <f>IF(H3746="","",IF($C$30="간이법","",FPR(H3746,I3746,J3746)))</f>
        <v/>
      </c>
      <c r="L3746" s="30" t="str">
        <f>IF(H3746="","",IF($C$30="상세법",FPV(H3746,K3746),IF(H3746="EI",4,IF(H3746="EO",5.2,IF(H3746="EQ",3.9,IF(H3746="ILF",7.5,IF(H3746="EIF",5.4)))))))</f>
        <v/>
      </c>
      <c r="M3746" s="30" t="str">
        <f t="shared" si="401"/>
        <v/>
      </c>
      <c r="N3746" s="134"/>
      <c r="O3746" s="29"/>
      <c r="P3746" s="37" t="str">
        <f t="shared" si="402"/>
        <v/>
      </c>
      <c r="Q3746" s="38" t="str">
        <f t="shared" si="403"/>
        <v/>
      </c>
      <c r="R3746" s="37" t="str">
        <f t="shared" si="404"/>
        <v/>
      </c>
      <c r="S3746" s="37" t="str">
        <f t="shared" si="405"/>
        <v/>
      </c>
      <c r="T3746" s="38" t="str">
        <f t="shared" si="406"/>
        <v/>
      </c>
      <c r="U3746" s="37" t="str">
        <f t="shared" si="407"/>
        <v/>
      </c>
    </row>
    <row r="3747" spans="2:21" ht="17.25">
      <c r="B3747" s="156"/>
      <c r="C3747" s="156"/>
      <c r="D3747" s="157"/>
      <c r="E3747" s="155"/>
      <c r="F3747" s="151"/>
      <c r="G3747" s="152"/>
      <c r="H3747" s="153"/>
      <c r="I3747" s="154"/>
      <c r="J3747" s="154"/>
      <c r="K3747" s="30" t="str">
        <f>IF(H3747="","",IF($C$30="간이법","",FPR(H3747,I3747,J3747)))</f>
        <v/>
      </c>
      <c r="L3747" s="30" t="str">
        <f>IF(H3747="","",IF($C$30="상세법",FPV(H3747,K3747),IF(H3747="EI",4,IF(H3747="EO",5.2,IF(H3747="EQ",3.9,IF(H3747="ILF",7.5,IF(H3747="EIF",5.4)))))))</f>
        <v/>
      </c>
      <c r="M3747" s="30" t="str">
        <f t="shared" si="401"/>
        <v/>
      </c>
      <c r="N3747" s="134"/>
      <c r="O3747" s="29"/>
      <c r="P3747" s="37" t="str">
        <f t="shared" si="402"/>
        <v/>
      </c>
      <c r="Q3747" s="38" t="str">
        <f t="shared" si="403"/>
        <v/>
      </c>
      <c r="R3747" s="37" t="str">
        <f t="shared" si="404"/>
        <v/>
      </c>
      <c r="S3747" s="37" t="str">
        <f t="shared" si="405"/>
        <v/>
      </c>
      <c r="T3747" s="38" t="str">
        <f t="shared" si="406"/>
        <v/>
      </c>
      <c r="U3747" s="37" t="str">
        <f t="shared" si="407"/>
        <v/>
      </c>
    </row>
    <row r="3748" spans="2:21" ht="17.25">
      <c r="B3748" s="156"/>
      <c r="C3748" s="156"/>
      <c r="D3748" s="157"/>
      <c r="E3748" s="155"/>
      <c r="F3748" s="151"/>
      <c r="G3748" s="152"/>
      <c r="H3748" s="153"/>
      <c r="I3748" s="154"/>
      <c r="J3748" s="154"/>
      <c r="K3748" s="30" t="str">
        <f>IF(H3748="","",IF($C$30="간이법","",FPR(H3748,I3748,J3748)))</f>
        <v/>
      </c>
      <c r="L3748" s="30" t="str">
        <f>IF(H3748="","",IF($C$30="상세법",FPV(H3748,K3748),IF(H3748="EI",4,IF(H3748="EO",5.2,IF(H3748="EQ",3.9,IF(H3748="ILF",7.5,IF(H3748="EIF",5.4)))))))</f>
        <v/>
      </c>
      <c r="M3748" s="30" t="str">
        <f t="shared" si="401"/>
        <v/>
      </c>
      <c r="N3748" s="134"/>
      <c r="O3748" s="29"/>
      <c r="P3748" s="37" t="str">
        <f t="shared" si="402"/>
        <v/>
      </c>
      <c r="Q3748" s="38" t="str">
        <f t="shared" si="403"/>
        <v/>
      </c>
      <c r="R3748" s="37" t="str">
        <f t="shared" si="404"/>
        <v/>
      </c>
      <c r="S3748" s="37" t="str">
        <f t="shared" si="405"/>
        <v/>
      </c>
      <c r="T3748" s="38" t="str">
        <f t="shared" si="406"/>
        <v/>
      </c>
      <c r="U3748" s="37" t="str">
        <f t="shared" si="407"/>
        <v/>
      </c>
    </row>
    <row r="3749" spans="2:21" ht="17.25">
      <c r="B3749" s="156"/>
      <c r="C3749" s="156"/>
      <c r="D3749" s="157"/>
      <c r="E3749" s="155"/>
      <c r="F3749" s="151"/>
      <c r="G3749" s="152"/>
      <c r="H3749" s="153"/>
      <c r="I3749" s="154"/>
      <c r="J3749" s="154"/>
      <c r="K3749" s="30" t="str">
        <f>IF(H3749="","",IF($C$30="간이법","",FPR(H3749,I3749,J3749)))</f>
        <v/>
      </c>
      <c r="L3749" s="30" t="str">
        <f>IF(H3749="","",IF($C$30="상세법",FPV(H3749,K3749),IF(H3749="EI",4,IF(H3749="EO",5.2,IF(H3749="EQ",3.9,IF(H3749="ILF",7.5,IF(H3749="EIF",5.4)))))))</f>
        <v/>
      </c>
      <c r="M3749" s="30" t="str">
        <f t="shared" si="401"/>
        <v/>
      </c>
      <c r="N3749" s="134"/>
      <c r="O3749" s="29"/>
      <c r="P3749" s="37" t="str">
        <f t="shared" si="402"/>
        <v/>
      </c>
      <c r="Q3749" s="38" t="str">
        <f t="shared" si="403"/>
        <v/>
      </c>
      <c r="R3749" s="37" t="str">
        <f t="shared" si="404"/>
        <v/>
      </c>
      <c r="S3749" s="37" t="str">
        <f t="shared" si="405"/>
        <v/>
      </c>
      <c r="T3749" s="38" t="str">
        <f t="shared" si="406"/>
        <v/>
      </c>
      <c r="U3749" s="37" t="str">
        <f t="shared" si="407"/>
        <v/>
      </c>
    </row>
    <row r="3750" spans="2:21" ht="17.25">
      <c r="B3750" s="156"/>
      <c r="C3750" s="156"/>
      <c r="D3750" s="157"/>
      <c r="E3750" s="155"/>
      <c r="F3750" s="151"/>
      <c r="G3750" s="152"/>
      <c r="H3750" s="153"/>
      <c r="I3750" s="154"/>
      <c r="J3750" s="154"/>
      <c r="K3750" s="30" t="str">
        <f>IF(H3750="","",IF($C$30="간이법","",FPR(H3750,I3750,J3750)))</f>
        <v/>
      </c>
      <c r="L3750" s="30" t="str">
        <f>IF(H3750="","",IF($C$30="상세법",FPV(H3750,K3750),IF(H3750="EI",4,IF(H3750="EO",5.2,IF(H3750="EQ",3.9,IF(H3750="ILF",7.5,IF(H3750="EIF",5.4)))))))</f>
        <v/>
      </c>
      <c r="M3750" s="30" t="str">
        <f t="shared" si="401"/>
        <v/>
      </c>
      <c r="N3750" s="134"/>
      <c r="O3750" s="29"/>
      <c r="P3750" s="37" t="str">
        <f t="shared" si="402"/>
        <v/>
      </c>
      <c r="Q3750" s="38" t="str">
        <f t="shared" si="403"/>
        <v/>
      </c>
      <c r="R3750" s="37" t="str">
        <f t="shared" si="404"/>
        <v/>
      </c>
      <c r="S3750" s="37" t="str">
        <f t="shared" si="405"/>
        <v/>
      </c>
      <c r="T3750" s="38" t="str">
        <f t="shared" si="406"/>
        <v/>
      </c>
      <c r="U3750" s="37" t="str">
        <f t="shared" si="407"/>
        <v/>
      </c>
    </row>
    <row r="3751" spans="2:21" ht="17.25">
      <c r="B3751" s="156"/>
      <c r="C3751" s="156"/>
      <c r="D3751" s="157"/>
      <c r="E3751" s="155"/>
      <c r="F3751" s="151"/>
      <c r="G3751" s="152"/>
      <c r="H3751" s="153"/>
      <c r="I3751" s="154"/>
      <c r="J3751" s="154"/>
      <c r="K3751" s="30" t="str">
        <f>IF(H3751="","",IF($C$30="간이법","",FPR(H3751,I3751,J3751)))</f>
        <v/>
      </c>
      <c r="L3751" s="30" t="str">
        <f>IF(H3751="","",IF($C$30="상세법",FPV(H3751,K3751),IF(H3751="EI",4,IF(H3751="EO",5.2,IF(H3751="EQ",3.9,IF(H3751="ILF",7.5,IF(H3751="EIF",5.4)))))))</f>
        <v/>
      </c>
      <c r="M3751" s="30" t="str">
        <f t="shared" si="401"/>
        <v/>
      </c>
      <c r="N3751" s="134"/>
      <c r="O3751" s="29"/>
      <c r="P3751" s="37" t="str">
        <f t="shared" si="402"/>
        <v/>
      </c>
      <c r="Q3751" s="38" t="str">
        <f t="shared" si="403"/>
        <v/>
      </c>
      <c r="R3751" s="37" t="str">
        <f t="shared" si="404"/>
        <v/>
      </c>
      <c r="S3751" s="37" t="str">
        <f t="shared" si="405"/>
        <v/>
      </c>
      <c r="T3751" s="38" t="str">
        <f t="shared" si="406"/>
        <v/>
      </c>
      <c r="U3751" s="37" t="str">
        <f t="shared" si="407"/>
        <v/>
      </c>
    </row>
    <row r="3752" spans="2:21" ht="17.25">
      <c r="B3752" s="156"/>
      <c r="C3752" s="156"/>
      <c r="D3752" s="157"/>
      <c r="E3752" s="155"/>
      <c r="F3752" s="151"/>
      <c r="G3752" s="152"/>
      <c r="H3752" s="153"/>
      <c r="I3752" s="154"/>
      <c r="J3752" s="154"/>
      <c r="K3752" s="30" t="str">
        <f>IF(H3752="","",IF($C$30="간이법","",FPR(H3752,I3752,J3752)))</f>
        <v/>
      </c>
      <c r="L3752" s="30" t="str">
        <f>IF(H3752="","",IF($C$30="상세법",FPV(H3752,K3752),IF(H3752="EI",4,IF(H3752="EO",5.2,IF(H3752="EQ",3.9,IF(H3752="ILF",7.5,IF(H3752="EIF",5.4)))))))</f>
        <v/>
      </c>
      <c r="M3752" s="30" t="str">
        <f t="shared" si="401"/>
        <v/>
      </c>
      <c r="N3752" s="134"/>
      <c r="O3752" s="29"/>
      <c r="P3752" s="37" t="str">
        <f t="shared" si="402"/>
        <v/>
      </c>
      <c r="Q3752" s="38" t="str">
        <f t="shared" si="403"/>
        <v/>
      </c>
      <c r="R3752" s="37" t="str">
        <f t="shared" si="404"/>
        <v/>
      </c>
      <c r="S3752" s="37" t="str">
        <f t="shared" si="405"/>
        <v/>
      </c>
      <c r="T3752" s="38" t="str">
        <f t="shared" si="406"/>
        <v/>
      </c>
      <c r="U3752" s="37" t="str">
        <f t="shared" si="407"/>
        <v/>
      </c>
    </row>
    <row r="3753" spans="2:21" ht="17.25">
      <c r="B3753" s="156"/>
      <c r="C3753" s="156"/>
      <c r="D3753" s="157"/>
      <c r="E3753" s="155"/>
      <c r="F3753" s="151"/>
      <c r="G3753" s="152"/>
      <c r="H3753" s="153"/>
      <c r="I3753" s="154"/>
      <c r="J3753" s="154"/>
      <c r="K3753" s="30" t="str">
        <f>IF(H3753="","",IF($C$30="간이법","",FPR(H3753,I3753,J3753)))</f>
        <v/>
      </c>
      <c r="L3753" s="30" t="str">
        <f>IF(H3753="","",IF($C$30="상세법",FPV(H3753,K3753),IF(H3753="EI",4,IF(H3753="EO",5.2,IF(H3753="EQ",3.9,IF(H3753="ILF",7.5,IF(H3753="EIF",5.4)))))))</f>
        <v/>
      </c>
      <c r="M3753" s="30" t="str">
        <f t="shared" si="401"/>
        <v/>
      </c>
      <c r="N3753" s="134"/>
      <c r="O3753" s="29"/>
      <c r="P3753" s="37" t="str">
        <f t="shared" si="402"/>
        <v/>
      </c>
      <c r="Q3753" s="38" t="str">
        <f t="shared" si="403"/>
        <v/>
      </c>
      <c r="R3753" s="37" t="str">
        <f t="shared" si="404"/>
        <v/>
      </c>
      <c r="S3753" s="37" t="str">
        <f t="shared" si="405"/>
        <v/>
      </c>
      <c r="T3753" s="38" t="str">
        <f t="shared" si="406"/>
        <v/>
      </c>
      <c r="U3753" s="37" t="str">
        <f t="shared" si="407"/>
        <v/>
      </c>
    </row>
    <row r="3754" spans="2:21" ht="17.25">
      <c r="B3754" s="156"/>
      <c r="C3754" s="156"/>
      <c r="D3754" s="157"/>
      <c r="E3754" s="155"/>
      <c r="F3754" s="151"/>
      <c r="G3754" s="152"/>
      <c r="H3754" s="153"/>
      <c r="I3754" s="154"/>
      <c r="J3754" s="154"/>
      <c r="K3754" s="30" t="str">
        <f>IF(H3754="","",IF($C$30="간이법","",FPR(H3754,I3754,J3754)))</f>
        <v/>
      </c>
      <c r="L3754" s="30" t="str">
        <f>IF(H3754="","",IF($C$30="상세법",FPV(H3754,K3754),IF(H3754="EI",4,IF(H3754="EO",5.2,IF(H3754="EQ",3.9,IF(H3754="ILF",7.5,IF(H3754="EIF",5.4)))))))</f>
        <v/>
      </c>
      <c r="M3754" s="30" t="str">
        <f t="shared" si="401"/>
        <v/>
      </c>
      <c r="N3754" s="134"/>
      <c r="O3754" s="29"/>
      <c r="P3754" s="37" t="str">
        <f t="shared" si="402"/>
        <v/>
      </c>
      <c r="Q3754" s="38" t="str">
        <f t="shared" si="403"/>
        <v/>
      </c>
      <c r="R3754" s="37" t="str">
        <f t="shared" si="404"/>
        <v/>
      </c>
      <c r="S3754" s="37" t="str">
        <f t="shared" si="405"/>
        <v/>
      </c>
      <c r="T3754" s="38" t="str">
        <f t="shared" si="406"/>
        <v/>
      </c>
      <c r="U3754" s="37" t="str">
        <f t="shared" si="407"/>
        <v/>
      </c>
    </row>
    <row r="3755" spans="2:21" ht="17.25">
      <c r="B3755" s="156"/>
      <c r="C3755" s="156"/>
      <c r="D3755" s="157"/>
      <c r="E3755" s="155"/>
      <c r="F3755" s="151"/>
      <c r="G3755" s="152"/>
      <c r="H3755" s="153"/>
      <c r="I3755" s="154"/>
      <c r="J3755" s="154"/>
      <c r="K3755" s="30" t="str">
        <f>IF(H3755="","",IF($C$30="간이법","",FPR(H3755,I3755,J3755)))</f>
        <v/>
      </c>
      <c r="L3755" s="30" t="str">
        <f>IF(H3755="","",IF($C$30="상세법",FPV(H3755,K3755),IF(H3755="EI",4,IF(H3755="EO",5.2,IF(H3755="EQ",3.9,IF(H3755="ILF",7.5,IF(H3755="EIF",5.4)))))))</f>
        <v/>
      </c>
      <c r="M3755" s="30" t="str">
        <f t="shared" si="401"/>
        <v/>
      </c>
      <c r="N3755" s="134"/>
      <c r="O3755" s="29"/>
      <c r="P3755" s="37" t="str">
        <f t="shared" si="402"/>
        <v/>
      </c>
      <c r="Q3755" s="38" t="str">
        <f t="shared" si="403"/>
        <v/>
      </c>
      <c r="R3755" s="37" t="str">
        <f t="shared" si="404"/>
        <v/>
      </c>
      <c r="S3755" s="37" t="str">
        <f t="shared" si="405"/>
        <v/>
      </c>
      <c r="T3755" s="38" t="str">
        <f t="shared" si="406"/>
        <v/>
      </c>
      <c r="U3755" s="37" t="str">
        <f t="shared" si="407"/>
        <v/>
      </c>
    </row>
    <row r="3756" spans="2:21" ht="17.25">
      <c r="B3756" s="156"/>
      <c r="C3756" s="156"/>
      <c r="D3756" s="157"/>
      <c r="E3756" s="155"/>
      <c r="F3756" s="151"/>
      <c r="G3756" s="152"/>
      <c r="H3756" s="153"/>
      <c r="I3756" s="154"/>
      <c r="J3756" s="154"/>
      <c r="K3756" s="30" t="str">
        <f>IF(H3756="","",IF($C$30="간이법","",FPR(H3756,I3756,J3756)))</f>
        <v/>
      </c>
      <c r="L3756" s="30" t="str">
        <f>IF(H3756="","",IF($C$30="상세법",FPV(H3756,K3756),IF(H3756="EI",4,IF(H3756="EO",5.2,IF(H3756="EQ",3.9,IF(H3756="ILF",7.5,IF(H3756="EIF",5.4)))))))</f>
        <v/>
      </c>
      <c r="M3756" s="30" t="str">
        <f t="shared" si="401"/>
        <v/>
      </c>
      <c r="N3756" s="134"/>
      <c r="O3756" s="29"/>
      <c r="P3756" s="37" t="str">
        <f t="shared" si="402"/>
        <v/>
      </c>
      <c r="Q3756" s="38" t="str">
        <f t="shared" si="403"/>
        <v/>
      </c>
      <c r="R3756" s="37" t="str">
        <f t="shared" si="404"/>
        <v/>
      </c>
      <c r="S3756" s="37" t="str">
        <f t="shared" si="405"/>
        <v/>
      </c>
      <c r="T3756" s="38" t="str">
        <f t="shared" si="406"/>
        <v/>
      </c>
      <c r="U3756" s="37" t="str">
        <f t="shared" si="407"/>
        <v/>
      </c>
    </row>
    <row r="3757" spans="2:21" ht="17.25">
      <c r="B3757" s="156"/>
      <c r="C3757" s="156"/>
      <c r="D3757" s="157"/>
      <c r="E3757" s="155"/>
      <c r="F3757" s="151"/>
      <c r="G3757" s="152"/>
      <c r="H3757" s="153"/>
      <c r="I3757" s="154"/>
      <c r="J3757" s="154"/>
      <c r="K3757" s="30" t="str">
        <f>IF(H3757="","",IF($C$30="간이법","",FPR(H3757,I3757,J3757)))</f>
        <v/>
      </c>
      <c r="L3757" s="30" t="str">
        <f>IF(H3757="","",IF($C$30="상세법",FPV(H3757,K3757),IF(H3757="EI",4,IF(H3757="EO",5.2,IF(H3757="EQ",3.9,IF(H3757="ILF",7.5,IF(H3757="EIF",5.4)))))))</f>
        <v/>
      </c>
      <c r="M3757" s="30" t="str">
        <f t="shared" si="401"/>
        <v/>
      </c>
      <c r="N3757" s="134"/>
      <c r="O3757" s="29"/>
      <c r="P3757" s="37" t="str">
        <f t="shared" si="402"/>
        <v/>
      </c>
      <c r="Q3757" s="38" t="str">
        <f t="shared" si="403"/>
        <v/>
      </c>
      <c r="R3757" s="37" t="str">
        <f t="shared" si="404"/>
        <v/>
      </c>
      <c r="S3757" s="37" t="str">
        <f t="shared" si="405"/>
        <v/>
      </c>
      <c r="T3757" s="38" t="str">
        <f t="shared" si="406"/>
        <v/>
      </c>
      <c r="U3757" s="37" t="str">
        <f t="shared" si="407"/>
        <v/>
      </c>
    </row>
    <row r="3758" spans="2:21" ht="17.25">
      <c r="B3758" s="156"/>
      <c r="C3758" s="156"/>
      <c r="D3758" s="157"/>
      <c r="E3758" s="155"/>
      <c r="F3758" s="151"/>
      <c r="G3758" s="152"/>
      <c r="H3758" s="153"/>
      <c r="I3758" s="154"/>
      <c r="J3758" s="154"/>
      <c r="K3758" s="30" t="str">
        <f>IF(H3758="","",IF($C$30="간이법","",FPR(H3758,I3758,J3758)))</f>
        <v/>
      </c>
      <c r="L3758" s="30" t="str">
        <f>IF(H3758="","",IF($C$30="상세법",FPV(H3758,K3758),IF(H3758="EI",4,IF(H3758="EO",5.2,IF(H3758="EQ",3.9,IF(H3758="ILF",7.5,IF(H3758="EIF",5.4)))))))</f>
        <v/>
      </c>
      <c r="M3758" s="30" t="str">
        <f t="shared" si="401"/>
        <v/>
      </c>
      <c r="N3758" s="134"/>
      <c r="O3758" s="29"/>
      <c r="P3758" s="37" t="str">
        <f t="shared" si="402"/>
        <v/>
      </c>
      <c r="Q3758" s="38" t="str">
        <f t="shared" si="403"/>
        <v/>
      </c>
      <c r="R3758" s="37" t="str">
        <f t="shared" si="404"/>
        <v/>
      </c>
      <c r="S3758" s="37" t="str">
        <f t="shared" si="405"/>
        <v/>
      </c>
      <c r="T3758" s="38" t="str">
        <f t="shared" si="406"/>
        <v/>
      </c>
      <c r="U3758" s="37" t="str">
        <f t="shared" si="407"/>
        <v/>
      </c>
    </row>
    <row r="3759" spans="2:21" ht="17.25">
      <c r="B3759" s="156"/>
      <c r="C3759" s="156"/>
      <c r="D3759" s="157"/>
      <c r="E3759" s="155"/>
      <c r="F3759" s="151"/>
      <c r="G3759" s="152"/>
      <c r="H3759" s="153"/>
      <c r="I3759" s="154"/>
      <c r="J3759" s="154"/>
      <c r="K3759" s="30" t="str">
        <f>IF(H3759="","",IF($C$30="간이법","",FPR(H3759,I3759,J3759)))</f>
        <v/>
      </c>
      <c r="L3759" s="30" t="str">
        <f>IF(H3759="","",IF($C$30="상세법",FPV(H3759,K3759),IF(H3759="EI",4,IF(H3759="EO",5.2,IF(H3759="EQ",3.9,IF(H3759="ILF",7.5,IF(H3759="EIF",5.4)))))))</f>
        <v/>
      </c>
      <c r="M3759" s="30" t="str">
        <f t="shared" si="401"/>
        <v/>
      </c>
      <c r="N3759" s="134"/>
      <c r="O3759" s="29"/>
      <c r="P3759" s="37" t="str">
        <f t="shared" si="402"/>
        <v/>
      </c>
      <c r="Q3759" s="38" t="str">
        <f t="shared" si="403"/>
        <v/>
      </c>
      <c r="R3759" s="37" t="str">
        <f t="shared" si="404"/>
        <v/>
      </c>
      <c r="S3759" s="37" t="str">
        <f t="shared" si="405"/>
        <v/>
      </c>
      <c r="T3759" s="38" t="str">
        <f t="shared" si="406"/>
        <v/>
      </c>
      <c r="U3759" s="37" t="str">
        <f t="shared" si="407"/>
        <v/>
      </c>
    </row>
    <row r="3760" spans="2:21" ht="17.25">
      <c r="B3760" s="156"/>
      <c r="C3760" s="156"/>
      <c r="D3760" s="157"/>
      <c r="E3760" s="155"/>
      <c r="F3760" s="151"/>
      <c r="G3760" s="152"/>
      <c r="H3760" s="153"/>
      <c r="I3760" s="154"/>
      <c r="J3760" s="154"/>
      <c r="K3760" s="30" t="str">
        <f>IF(H3760="","",IF($C$30="간이법","",FPR(H3760,I3760,J3760)))</f>
        <v/>
      </c>
      <c r="L3760" s="30" t="str">
        <f>IF(H3760="","",IF($C$30="상세법",FPV(H3760,K3760),IF(H3760="EI",4,IF(H3760="EO",5.2,IF(H3760="EQ",3.9,IF(H3760="ILF",7.5,IF(H3760="EIF",5.4)))))))</f>
        <v/>
      </c>
      <c r="M3760" s="30" t="str">
        <f t="shared" si="401"/>
        <v/>
      </c>
      <c r="N3760" s="134"/>
      <c r="O3760" s="29"/>
      <c r="P3760" s="37" t="str">
        <f t="shared" si="402"/>
        <v/>
      </c>
      <c r="Q3760" s="38" t="str">
        <f t="shared" si="403"/>
        <v/>
      </c>
      <c r="R3760" s="37" t="str">
        <f t="shared" si="404"/>
        <v/>
      </c>
      <c r="S3760" s="37" t="str">
        <f t="shared" si="405"/>
        <v/>
      </c>
      <c r="T3760" s="38" t="str">
        <f t="shared" si="406"/>
        <v/>
      </c>
      <c r="U3760" s="37" t="str">
        <f t="shared" si="407"/>
        <v/>
      </c>
    </row>
    <row r="3761" spans="2:21" ht="17.25">
      <c r="B3761" s="156"/>
      <c r="C3761" s="156"/>
      <c r="D3761" s="157"/>
      <c r="E3761" s="155"/>
      <c r="F3761" s="151"/>
      <c r="G3761" s="152"/>
      <c r="H3761" s="153"/>
      <c r="I3761" s="154"/>
      <c r="J3761" s="154"/>
      <c r="K3761" s="30" t="str">
        <f>IF(H3761="","",IF($C$30="간이법","",FPR(H3761,I3761,J3761)))</f>
        <v/>
      </c>
      <c r="L3761" s="30" t="str">
        <f>IF(H3761="","",IF($C$30="상세법",FPV(H3761,K3761),IF(H3761="EI",4,IF(H3761="EO",5.2,IF(H3761="EQ",3.9,IF(H3761="ILF",7.5,IF(H3761="EIF",5.4)))))))</f>
        <v/>
      </c>
      <c r="M3761" s="30" t="str">
        <f t="shared" si="401"/>
        <v/>
      </c>
      <c r="N3761" s="134"/>
      <c r="O3761" s="29"/>
      <c r="P3761" s="37" t="str">
        <f t="shared" si="402"/>
        <v/>
      </c>
      <c r="Q3761" s="38" t="str">
        <f t="shared" si="403"/>
        <v/>
      </c>
      <c r="R3761" s="37" t="str">
        <f t="shared" si="404"/>
        <v/>
      </c>
      <c r="S3761" s="37" t="str">
        <f t="shared" si="405"/>
        <v/>
      </c>
      <c r="T3761" s="38" t="str">
        <f t="shared" si="406"/>
        <v/>
      </c>
      <c r="U3761" s="37" t="str">
        <f t="shared" si="407"/>
        <v/>
      </c>
    </row>
    <row r="3762" spans="2:21" ht="17.25">
      <c r="B3762" s="156"/>
      <c r="C3762" s="156"/>
      <c r="D3762" s="157"/>
      <c r="E3762" s="155"/>
      <c r="F3762" s="151"/>
      <c r="G3762" s="152"/>
      <c r="H3762" s="153"/>
      <c r="I3762" s="154"/>
      <c r="J3762" s="154"/>
      <c r="K3762" s="30" t="str">
        <f>IF(H3762="","",IF($C$30="간이법","",FPR(H3762,I3762,J3762)))</f>
        <v/>
      </c>
      <c r="L3762" s="30" t="str">
        <f>IF(H3762="","",IF($C$30="상세법",FPV(H3762,K3762),IF(H3762="EI",4,IF(H3762="EO",5.2,IF(H3762="EQ",3.9,IF(H3762="ILF",7.5,IF(H3762="EIF",5.4)))))))</f>
        <v/>
      </c>
      <c r="M3762" s="30" t="str">
        <f t="shared" si="401"/>
        <v/>
      </c>
      <c r="N3762" s="134"/>
      <c r="O3762" s="29"/>
      <c r="P3762" s="37" t="str">
        <f t="shared" si="402"/>
        <v/>
      </c>
      <c r="Q3762" s="38" t="str">
        <f t="shared" si="403"/>
        <v/>
      </c>
      <c r="R3762" s="37" t="str">
        <f t="shared" si="404"/>
        <v/>
      </c>
      <c r="S3762" s="37" t="str">
        <f t="shared" si="405"/>
        <v/>
      </c>
      <c r="T3762" s="38" t="str">
        <f t="shared" si="406"/>
        <v/>
      </c>
      <c r="U3762" s="37" t="str">
        <f t="shared" si="407"/>
        <v/>
      </c>
    </row>
    <row r="3763" spans="2:21" ht="17.25">
      <c r="B3763" s="156"/>
      <c r="C3763" s="156"/>
      <c r="D3763" s="157"/>
      <c r="E3763" s="155"/>
      <c r="F3763" s="151"/>
      <c r="G3763" s="152"/>
      <c r="H3763" s="153"/>
      <c r="I3763" s="154"/>
      <c r="J3763" s="154"/>
      <c r="K3763" s="30" t="str">
        <f>IF(H3763="","",IF($C$30="간이법","",FPR(H3763,I3763,J3763)))</f>
        <v/>
      </c>
      <c r="L3763" s="30" t="str">
        <f>IF(H3763="","",IF($C$30="상세법",FPV(H3763,K3763),IF(H3763="EI",4,IF(H3763="EO",5.2,IF(H3763="EQ",3.9,IF(H3763="ILF",7.5,IF(H3763="EIF",5.4)))))))</f>
        <v/>
      </c>
      <c r="M3763" s="30" t="str">
        <f t="shared" si="401"/>
        <v/>
      </c>
      <c r="N3763" s="134"/>
      <c r="O3763" s="29"/>
      <c r="P3763" s="37" t="str">
        <f t="shared" si="402"/>
        <v/>
      </c>
      <c r="Q3763" s="38" t="str">
        <f t="shared" si="403"/>
        <v/>
      </c>
      <c r="R3763" s="37" t="str">
        <f t="shared" si="404"/>
        <v/>
      </c>
      <c r="S3763" s="37" t="str">
        <f t="shared" si="405"/>
        <v/>
      </c>
      <c r="T3763" s="38" t="str">
        <f t="shared" si="406"/>
        <v/>
      </c>
      <c r="U3763" s="37" t="str">
        <f t="shared" si="407"/>
        <v/>
      </c>
    </row>
    <row r="3764" spans="2:21" ht="17.25">
      <c r="B3764" s="156"/>
      <c r="C3764" s="156"/>
      <c r="D3764" s="157"/>
      <c r="E3764" s="155"/>
      <c r="F3764" s="151"/>
      <c r="G3764" s="152"/>
      <c r="H3764" s="153"/>
      <c r="I3764" s="154"/>
      <c r="J3764" s="154"/>
      <c r="K3764" s="30" t="str">
        <f>IF(H3764="","",IF($C$30="간이법","",FPR(H3764,I3764,J3764)))</f>
        <v/>
      </c>
      <c r="L3764" s="30" t="str">
        <f>IF(H3764="","",IF($C$30="상세법",FPV(H3764,K3764),IF(H3764="EI",4,IF(H3764="EO",5.2,IF(H3764="EQ",3.9,IF(H3764="ILF",7.5,IF(H3764="EIF",5.4)))))))</f>
        <v/>
      </c>
      <c r="M3764" s="30" t="str">
        <f t="shared" si="401"/>
        <v/>
      </c>
      <c r="N3764" s="134"/>
      <c r="O3764" s="29"/>
      <c r="P3764" s="37" t="str">
        <f t="shared" si="402"/>
        <v/>
      </c>
      <c r="Q3764" s="38" t="str">
        <f t="shared" si="403"/>
        <v/>
      </c>
      <c r="R3764" s="37" t="str">
        <f t="shared" si="404"/>
        <v/>
      </c>
      <c r="S3764" s="37" t="str">
        <f t="shared" si="405"/>
        <v/>
      </c>
      <c r="T3764" s="38" t="str">
        <f t="shared" si="406"/>
        <v/>
      </c>
      <c r="U3764" s="37" t="str">
        <f t="shared" si="407"/>
        <v/>
      </c>
    </row>
    <row r="3765" spans="2:21" ht="17.25">
      <c r="B3765" s="156"/>
      <c r="C3765" s="156"/>
      <c r="D3765" s="157"/>
      <c r="E3765" s="155"/>
      <c r="F3765" s="151"/>
      <c r="G3765" s="152"/>
      <c r="H3765" s="153"/>
      <c r="I3765" s="154"/>
      <c r="J3765" s="154"/>
      <c r="K3765" s="30" t="str">
        <f>IF(H3765="","",IF($C$30="간이법","",FPR(H3765,I3765,J3765)))</f>
        <v/>
      </c>
      <c r="L3765" s="30" t="str">
        <f>IF(H3765="","",IF($C$30="상세법",FPV(H3765,K3765),IF(H3765="EI",4,IF(H3765="EO",5.2,IF(H3765="EQ",3.9,IF(H3765="ILF",7.5,IF(H3765="EIF",5.4)))))))</f>
        <v/>
      </c>
      <c r="M3765" s="30" t="str">
        <f t="shared" si="401"/>
        <v/>
      </c>
      <c r="N3765" s="134"/>
      <c r="O3765" s="29"/>
      <c r="P3765" s="37" t="str">
        <f t="shared" si="402"/>
        <v/>
      </c>
      <c r="Q3765" s="38" t="str">
        <f t="shared" si="403"/>
        <v/>
      </c>
      <c r="R3765" s="37" t="str">
        <f t="shared" si="404"/>
        <v/>
      </c>
      <c r="S3765" s="37" t="str">
        <f t="shared" si="405"/>
        <v/>
      </c>
      <c r="T3765" s="38" t="str">
        <f t="shared" si="406"/>
        <v/>
      </c>
      <c r="U3765" s="37" t="str">
        <f t="shared" si="407"/>
        <v/>
      </c>
    </row>
    <row r="3766" spans="2:21" ht="17.25">
      <c r="B3766" s="156"/>
      <c r="C3766" s="156"/>
      <c r="D3766" s="157"/>
      <c r="E3766" s="155"/>
      <c r="F3766" s="151"/>
      <c r="G3766" s="152"/>
      <c r="H3766" s="153"/>
      <c r="I3766" s="154"/>
      <c r="J3766" s="154"/>
      <c r="K3766" s="30" t="str">
        <f>IF(H3766="","",IF($C$30="간이법","",FPR(H3766,I3766,J3766)))</f>
        <v/>
      </c>
      <c r="L3766" s="30" t="str">
        <f>IF(H3766="","",IF($C$30="상세법",FPV(H3766,K3766),IF(H3766="EI",4,IF(H3766="EO",5.2,IF(H3766="EQ",3.9,IF(H3766="ILF",7.5,IF(H3766="EIF",5.4)))))))</f>
        <v/>
      </c>
      <c r="M3766" s="30" t="str">
        <f t="shared" si="401"/>
        <v/>
      </c>
      <c r="N3766" s="134"/>
      <c r="O3766" s="29"/>
      <c r="P3766" s="37" t="str">
        <f t="shared" si="402"/>
        <v/>
      </c>
      <c r="Q3766" s="38" t="str">
        <f t="shared" si="403"/>
        <v/>
      </c>
      <c r="R3766" s="37" t="str">
        <f t="shared" si="404"/>
        <v/>
      </c>
      <c r="S3766" s="37" t="str">
        <f t="shared" si="405"/>
        <v/>
      </c>
      <c r="T3766" s="38" t="str">
        <f t="shared" si="406"/>
        <v/>
      </c>
      <c r="U3766" s="37" t="str">
        <f t="shared" si="407"/>
        <v/>
      </c>
    </row>
    <row r="3767" spans="2:21" ht="17.25">
      <c r="B3767" s="156"/>
      <c r="C3767" s="156"/>
      <c r="D3767" s="157"/>
      <c r="E3767" s="155"/>
      <c r="F3767" s="151"/>
      <c r="G3767" s="152"/>
      <c r="H3767" s="153"/>
      <c r="I3767" s="154"/>
      <c r="J3767" s="154"/>
      <c r="K3767" s="30" t="str">
        <f>IF(H3767="","",IF($C$30="간이법","",FPR(H3767,I3767,J3767)))</f>
        <v/>
      </c>
      <c r="L3767" s="30" t="str">
        <f>IF(H3767="","",IF($C$30="상세법",FPV(H3767,K3767),IF(H3767="EI",4,IF(H3767="EO",5.2,IF(H3767="EQ",3.9,IF(H3767="ILF",7.5,IF(H3767="EIF",5.4)))))))</f>
        <v/>
      </c>
      <c r="M3767" s="30" t="str">
        <f t="shared" si="401"/>
        <v/>
      </c>
      <c r="N3767" s="134"/>
      <c r="O3767" s="29"/>
      <c r="P3767" s="37" t="str">
        <f t="shared" si="402"/>
        <v/>
      </c>
      <c r="Q3767" s="38" t="str">
        <f t="shared" si="403"/>
        <v/>
      </c>
      <c r="R3767" s="37" t="str">
        <f t="shared" si="404"/>
        <v/>
      </c>
      <c r="S3767" s="37" t="str">
        <f t="shared" si="405"/>
        <v/>
      </c>
      <c r="T3767" s="38" t="str">
        <f t="shared" si="406"/>
        <v/>
      </c>
      <c r="U3767" s="37" t="str">
        <f t="shared" si="407"/>
        <v/>
      </c>
    </row>
    <row r="3768" spans="2:21" ht="17.25">
      <c r="B3768" s="156"/>
      <c r="C3768" s="156"/>
      <c r="D3768" s="157"/>
      <c r="E3768" s="155"/>
      <c r="F3768" s="151"/>
      <c r="G3768" s="152"/>
      <c r="H3768" s="153"/>
      <c r="I3768" s="154"/>
      <c r="J3768" s="154"/>
      <c r="K3768" s="30" t="str">
        <f>IF(H3768="","",IF($C$30="간이법","",FPR(H3768,I3768,J3768)))</f>
        <v/>
      </c>
      <c r="L3768" s="30" t="str">
        <f>IF(H3768="","",IF($C$30="상세법",FPV(H3768,K3768),IF(H3768="EI",4,IF(H3768="EO",5.2,IF(H3768="EQ",3.9,IF(H3768="ILF",7.5,IF(H3768="EIF",5.4)))))))</f>
        <v/>
      </c>
      <c r="M3768" s="30" t="str">
        <f t="shared" si="401"/>
        <v/>
      </c>
      <c r="N3768" s="134"/>
      <c r="O3768" s="29"/>
      <c r="P3768" s="37" t="str">
        <f t="shared" si="402"/>
        <v/>
      </c>
      <c r="Q3768" s="38" t="str">
        <f t="shared" si="403"/>
        <v/>
      </c>
      <c r="R3768" s="37" t="str">
        <f t="shared" si="404"/>
        <v/>
      </c>
      <c r="S3768" s="37" t="str">
        <f t="shared" si="405"/>
        <v/>
      </c>
      <c r="T3768" s="38" t="str">
        <f t="shared" si="406"/>
        <v/>
      </c>
      <c r="U3768" s="37" t="str">
        <f t="shared" si="407"/>
        <v/>
      </c>
    </row>
    <row r="3769" spans="2:21" ht="17.25">
      <c r="B3769" s="156"/>
      <c r="C3769" s="156"/>
      <c r="D3769" s="157"/>
      <c r="E3769" s="155"/>
      <c r="F3769" s="151"/>
      <c r="G3769" s="152"/>
      <c r="H3769" s="153"/>
      <c r="I3769" s="154"/>
      <c r="J3769" s="154"/>
      <c r="K3769" s="30" t="str">
        <f>IF(H3769="","",IF($C$30="간이법","",FPR(H3769,I3769,J3769)))</f>
        <v/>
      </c>
      <c r="L3769" s="30" t="str">
        <f>IF(H3769="","",IF($C$30="상세법",FPV(H3769,K3769),IF(H3769="EI",4,IF(H3769="EO",5.2,IF(H3769="EQ",3.9,IF(H3769="ILF",7.5,IF(H3769="EIF",5.4)))))))</f>
        <v/>
      </c>
      <c r="M3769" s="30" t="str">
        <f t="shared" si="401"/>
        <v/>
      </c>
      <c r="N3769" s="134"/>
      <c r="O3769" s="29"/>
      <c r="P3769" s="37" t="str">
        <f t="shared" si="402"/>
        <v/>
      </c>
      <c r="Q3769" s="38" t="str">
        <f t="shared" si="403"/>
        <v/>
      </c>
      <c r="R3769" s="37" t="str">
        <f t="shared" si="404"/>
        <v/>
      </c>
      <c r="S3769" s="37" t="str">
        <f t="shared" si="405"/>
        <v/>
      </c>
      <c r="T3769" s="38" t="str">
        <f t="shared" si="406"/>
        <v/>
      </c>
      <c r="U3769" s="37" t="str">
        <f t="shared" si="407"/>
        <v/>
      </c>
    </row>
    <row r="3770" spans="2:21" ht="17.25">
      <c r="B3770" s="156"/>
      <c r="C3770" s="156"/>
      <c r="D3770" s="157"/>
      <c r="E3770" s="155"/>
      <c r="F3770" s="151"/>
      <c r="G3770" s="152"/>
      <c r="H3770" s="153"/>
      <c r="I3770" s="154"/>
      <c r="J3770" s="154"/>
      <c r="K3770" s="30" t="str">
        <f>IF(H3770="","",IF($C$30="간이법","",FPR(H3770,I3770,J3770)))</f>
        <v/>
      </c>
      <c r="L3770" s="30" t="str">
        <f>IF(H3770="","",IF($C$30="상세법",FPV(H3770,K3770),IF(H3770="EI",4,IF(H3770="EO",5.2,IF(H3770="EQ",3.9,IF(H3770="ILF",7.5,IF(H3770="EIF",5.4)))))))</f>
        <v/>
      </c>
      <c r="M3770" s="30" t="str">
        <f t="shared" si="401"/>
        <v/>
      </c>
      <c r="N3770" s="134"/>
      <c r="O3770" s="29"/>
      <c r="P3770" s="37" t="str">
        <f t="shared" si="402"/>
        <v/>
      </c>
      <c r="Q3770" s="38" t="str">
        <f t="shared" si="403"/>
        <v/>
      </c>
      <c r="R3770" s="37" t="str">
        <f t="shared" si="404"/>
        <v/>
      </c>
      <c r="S3770" s="37" t="str">
        <f t="shared" si="405"/>
        <v/>
      </c>
      <c r="T3770" s="38" t="str">
        <f t="shared" si="406"/>
        <v/>
      </c>
      <c r="U3770" s="37" t="str">
        <f t="shared" si="407"/>
        <v/>
      </c>
    </row>
    <row r="3771" spans="2:21" ht="17.25">
      <c r="B3771" s="156"/>
      <c r="C3771" s="156"/>
      <c r="D3771" s="157"/>
      <c r="E3771" s="155"/>
      <c r="F3771" s="151"/>
      <c r="G3771" s="152"/>
      <c r="H3771" s="153"/>
      <c r="I3771" s="154"/>
      <c r="J3771" s="154"/>
      <c r="K3771" s="30" t="str">
        <f>IF(H3771="","",IF($C$30="간이법","",FPR(H3771,I3771,J3771)))</f>
        <v/>
      </c>
      <c r="L3771" s="30" t="str">
        <f>IF(H3771="","",IF($C$30="상세법",FPV(H3771,K3771),IF(H3771="EI",4,IF(H3771="EO",5.2,IF(H3771="EQ",3.9,IF(H3771="ILF",7.5,IF(H3771="EIF",5.4)))))))</f>
        <v/>
      </c>
      <c r="M3771" s="30" t="str">
        <f t="shared" si="401"/>
        <v/>
      </c>
      <c r="N3771" s="134"/>
      <c r="O3771" s="29"/>
      <c r="P3771" s="37" t="str">
        <f t="shared" si="402"/>
        <v/>
      </c>
      <c r="Q3771" s="38" t="str">
        <f t="shared" si="403"/>
        <v/>
      </c>
      <c r="R3771" s="37" t="str">
        <f t="shared" si="404"/>
        <v/>
      </c>
      <c r="S3771" s="37" t="str">
        <f t="shared" si="405"/>
        <v/>
      </c>
      <c r="T3771" s="38" t="str">
        <f t="shared" si="406"/>
        <v/>
      </c>
      <c r="U3771" s="37" t="str">
        <f t="shared" si="407"/>
        <v/>
      </c>
    </row>
    <row r="3772" spans="2:21" ht="17.25">
      <c r="B3772" s="156"/>
      <c r="C3772" s="156"/>
      <c r="D3772" s="157"/>
      <c r="E3772" s="155"/>
      <c r="F3772" s="151"/>
      <c r="G3772" s="152"/>
      <c r="H3772" s="153"/>
      <c r="I3772" s="154"/>
      <c r="J3772" s="154"/>
      <c r="K3772" s="30" t="str">
        <f>IF(H3772="","",IF($C$30="간이법","",FPR(H3772,I3772,J3772)))</f>
        <v/>
      </c>
      <c r="L3772" s="30" t="str">
        <f>IF(H3772="","",IF($C$30="상세법",FPV(H3772,K3772),IF(H3772="EI",4,IF(H3772="EO",5.2,IF(H3772="EQ",3.9,IF(H3772="ILF",7.5,IF(H3772="EIF",5.4)))))))</f>
        <v/>
      </c>
      <c r="M3772" s="30" t="str">
        <f t="shared" ref="M3772:M3835" si="408">IF(OR(G3772="",$E$36="(선택)",$E$40="(선택)",$E$41="(선택)",F3772="신규 개발",F3772="수정 없이 재사용"),"",(IF(F3772="수정 후 재사용",IF($E$50&lt;=0.5,L3772*($E$36+$E$50*100*(1+0.02*($E$40*$E$41)))/100,L3772*($E$36+$E$50*100+($E$40*$E$41))/100))))</f>
        <v/>
      </c>
      <c r="N3772" s="134"/>
      <c r="O3772" s="29"/>
      <c r="P3772" s="37" t="str">
        <f t="shared" ref="P3772:P3835" si="409">IF(F3772="수정 후 재사용",IF(H3772="ILF",G3772,IF(H3772="EIF",G3772,"")),"")</f>
        <v/>
      </c>
      <c r="Q3772" s="38" t="str">
        <f t="shared" ref="Q3772:Q3835" si="410">IF(P3772&lt;&gt;"",IF(H3772="ILF", L3772/$E$46,IF(H3772="EIF", L3772/$E$46,"")),"")</f>
        <v/>
      </c>
      <c r="R3772" s="37" t="str">
        <f t="shared" ref="R3772:R3835" si="411">IF(P3772&lt;&gt;"",P3772*Q3772,"")</f>
        <v/>
      </c>
      <c r="S3772" s="37" t="str">
        <f t="shared" ref="S3772:S3835" si="412">IF(F3772="수정 후 재사용",IF(H3772="EI",G3772,IF(H3772="EO",G3772,IF(H3772="EQ",G3772,""))),"")</f>
        <v/>
      </c>
      <c r="T3772" s="38" t="str">
        <f t="shared" ref="T3772:T3835" si="413">IF(S3772&lt;&gt;"",IF(H3772="EI",L3772/$E$47,IF(H3772="EO",L3772/$E$47,IF(H3772="EQ",L3772/$E$47,""))),"")</f>
        <v/>
      </c>
      <c r="U3772" s="37" t="str">
        <f t="shared" ref="U3772:U3835" si="414">IF(S3772&lt;&gt;"",S3772*T3772,"")</f>
        <v/>
      </c>
    </row>
    <row r="3773" spans="2:21" ht="17.25">
      <c r="B3773" s="156"/>
      <c r="C3773" s="156"/>
      <c r="D3773" s="157"/>
      <c r="E3773" s="155"/>
      <c r="F3773" s="151"/>
      <c r="G3773" s="152"/>
      <c r="H3773" s="153"/>
      <c r="I3773" s="154"/>
      <c r="J3773" s="154"/>
      <c r="K3773" s="30" t="str">
        <f>IF(H3773="","",IF($C$30="간이법","",FPR(H3773,I3773,J3773)))</f>
        <v/>
      </c>
      <c r="L3773" s="30" t="str">
        <f>IF(H3773="","",IF($C$30="상세법",FPV(H3773,K3773),IF(H3773="EI",4,IF(H3773="EO",5.2,IF(H3773="EQ",3.9,IF(H3773="ILF",7.5,IF(H3773="EIF",5.4)))))))</f>
        <v/>
      </c>
      <c r="M3773" s="30" t="str">
        <f t="shared" si="408"/>
        <v/>
      </c>
      <c r="N3773" s="134"/>
      <c r="O3773" s="29"/>
      <c r="P3773" s="37" t="str">
        <f t="shared" si="409"/>
        <v/>
      </c>
      <c r="Q3773" s="38" t="str">
        <f t="shared" si="410"/>
        <v/>
      </c>
      <c r="R3773" s="37" t="str">
        <f t="shared" si="411"/>
        <v/>
      </c>
      <c r="S3773" s="37" t="str">
        <f t="shared" si="412"/>
        <v/>
      </c>
      <c r="T3773" s="38" t="str">
        <f t="shared" si="413"/>
        <v/>
      </c>
      <c r="U3773" s="37" t="str">
        <f t="shared" si="414"/>
        <v/>
      </c>
    </row>
    <row r="3774" spans="2:21" ht="17.25">
      <c r="B3774" s="156"/>
      <c r="C3774" s="156"/>
      <c r="D3774" s="157"/>
      <c r="E3774" s="155"/>
      <c r="F3774" s="151"/>
      <c r="G3774" s="152"/>
      <c r="H3774" s="153"/>
      <c r="I3774" s="154"/>
      <c r="J3774" s="154"/>
      <c r="K3774" s="30" t="str">
        <f>IF(H3774="","",IF($C$30="간이법","",FPR(H3774,I3774,J3774)))</f>
        <v/>
      </c>
      <c r="L3774" s="30" t="str">
        <f>IF(H3774="","",IF($C$30="상세법",FPV(H3774,K3774),IF(H3774="EI",4,IF(H3774="EO",5.2,IF(H3774="EQ",3.9,IF(H3774="ILF",7.5,IF(H3774="EIF",5.4)))))))</f>
        <v/>
      </c>
      <c r="M3774" s="30" t="str">
        <f t="shared" si="408"/>
        <v/>
      </c>
      <c r="N3774" s="134"/>
      <c r="O3774" s="29"/>
      <c r="P3774" s="37" t="str">
        <f t="shared" si="409"/>
        <v/>
      </c>
      <c r="Q3774" s="38" t="str">
        <f t="shared" si="410"/>
        <v/>
      </c>
      <c r="R3774" s="37" t="str">
        <f t="shared" si="411"/>
        <v/>
      </c>
      <c r="S3774" s="37" t="str">
        <f t="shared" si="412"/>
        <v/>
      </c>
      <c r="T3774" s="38" t="str">
        <f t="shared" si="413"/>
        <v/>
      </c>
      <c r="U3774" s="37" t="str">
        <f t="shared" si="414"/>
        <v/>
      </c>
    </row>
    <row r="3775" spans="2:21" ht="17.25">
      <c r="B3775" s="156"/>
      <c r="C3775" s="156"/>
      <c r="D3775" s="157"/>
      <c r="E3775" s="155"/>
      <c r="F3775" s="151"/>
      <c r="G3775" s="152"/>
      <c r="H3775" s="153"/>
      <c r="I3775" s="154"/>
      <c r="J3775" s="154"/>
      <c r="K3775" s="30" t="str">
        <f>IF(H3775="","",IF($C$30="간이법","",FPR(H3775,I3775,J3775)))</f>
        <v/>
      </c>
      <c r="L3775" s="30" t="str">
        <f>IF(H3775="","",IF($C$30="상세법",FPV(H3775,K3775),IF(H3775="EI",4,IF(H3775="EO",5.2,IF(H3775="EQ",3.9,IF(H3775="ILF",7.5,IF(H3775="EIF",5.4)))))))</f>
        <v/>
      </c>
      <c r="M3775" s="30" t="str">
        <f t="shared" si="408"/>
        <v/>
      </c>
      <c r="N3775" s="134"/>
      <c r="O3775" s="29"/>
      <c r="P3775" s="37" t="str">
        <f t="shared" si="409"/>
        <v/>
      </c>
      <c r="Q3775" s="38" t="str">
        <f t="shared" si="410"/>
        <v/>
      </c>
      <c r="R3775" s="37" t="str">
        <f t="shared" si="411"/>
        <v/>
      </c>
      <c r="S3775" s="37" t="str">
        <f t="shared" si="412"/>
        <v/>
      </c>
      <c r="T3775" s="38" t="str">
        <f t="shared" si="413"/>
        <v/>
      </c>
      <c r="U3775" s="37" t="str">
        <f t="shared" si="414"/>
        <v/>
      </c>
    </row>
    <row r="3776" spans="2:21" ht="17.25">
      <c r="B3776" s="156"/>
      <c r="C3776" s="156"/>
      <c r="D3776" s="157"/>
      <c r="E3776" s="155"/>
      <c r="F3776" s="151"/>
      <c r="G3776" s="152"/>
      <c r="H3776" s="153"/>
      <c r="I3776" s="154"/>
      <c r="J3776" s="154"/>
      <c r="K3776" s="30" t="str">
        <f>IF(H3776="","",IF($C$30="간이법","",FPR(H3776,I3776,J3776)))</f>
        <v/>
      </c>
      <c r="L3776" s="30" t="str">
        <f>IF(H3776="","",IF($C$30="상세법",FPV(H3776,K3776),IF(H3776="EI",4,IF(H3776="EO",5.2,IF(H3776="EQ",3.9,IF(H3776="ILF",7.5,IF(H3776="EIF",5.4)))))))</f>
        <v/>
      </c>
      <c r="M3776" s="30" t="str">
        <f t="shared" si="408"/>
        <v/>
      </c>
      <c r="N3776" s="134"/>
      <c r="O3776" s="29"/>
      <c r="P3776" s="37" t="str">
        <f t="shared" si="409"/>
        <v/>
      </c>
      <c r="Q3776" s="38" t="str">
        <f t="shared" si="410"/>
        <v/>
      </c>
      <c r="R3776" s="37" t="str">
        <f t="shared" si="411"/>
        <v/>
      </c>
      <c r="S3776" s="37" t="str">
        <f t="shared" si="412"/>
        <v/>
      </c>
      <c r="T3776" s="38" t="str">
        <f t="shared" si="413"/>
        <v/>
      </c>
      <c r="U3776" s="37" t="str">
        <f t="shared" si="414"/>
        <v/>
      </c>
    </row>
    <row r="3777" spans="2:21" ht="17.25">
      <c r="B3777" s="156"/>
      <c r="C3777" s="156"/>
      <c r="D3777" s="157"/>
      <c r="E3777" s="155"/>
      <c r="F3777" s="151"/>
      <c r="G3777" s="152"/>
      <c r="H3777" s="153"/>
      <c r="I3777" s="154"/>
      <c r="J3777" s="154"/>
      <c r="K3777" s="30" t="str">
        <f>IF(H3777="","",IF($C$30="간이법","",FPR(H3777,I3777,J3777)))</f>
        <v/>
      </c>
      <c r="L3777" s="30" t="str">
        <f>IF(H3777="","",IF($C$30="상세법",FPV(H3777,K3777),IF(H3777="EI",4,IF(H3777="EO",5.2,IF(H3777="EQ",3.9,IF(H3777="ILF",7.5,IF(H3777="EIF",5.4)))))))</f>
        <v/>
      </c>
      <c r="M3777" s="30" t="str">
        <f t="shared" si="408"/>
        <v/>
      </c>
      <c r="N3777" s="134"/>
      <c r="O3777" s="29"/>
      <c r="P3777" s="37" t="str">
        <f t="shared" si="409"/>
        <v/>
      </c>
      <c r="Q3777" s="38" t="str">
        <f t="shared" si="410"/>
        <v/>
      </c>
      <c r="R3777" s="37" t="str">
        <f t="shared" si="411"/>
        <v/>
      </c>
      <c r="S3777" s="37" t="str">
        <f t="shared" si="412"/>
        <v/>
      </c>
      <c r="T3777" s="38" t="str">
        <f t="shared" si="413"/>
        <v/>
      </c>
      <c r="U3777" s="37" t="str">
        <f t="shared" si="414"/>
        <v/>
      </c>
    </row>
    <row r="3778" spans="2:21" ht="17.25">
      <c r="B3778" s="156"/>
      <c r="C3778" s="156"/>
      <c r="D3778" s="157"/>
      <c r="E3778" s="155"/>
      <c r="F3778" s="151"/>
      <c r="G3778" s="152"/>
      <c r="H3778" s="153"/>
      <c r="I3778" s="154"/>
      <c r="J3778" s="154"/>
      <c r="K3778" s="30" t="str">
        <f>IF(H3778="","",IF($C$30="간이법","",FPR(H3778,I3778,J3778)))</f>
        <v/>
      </c>
      <c r="L3778" s="30" t="str">
        <f>IF(H3778="","",IF($C$30="상세법",FPV(H3778,K3778),IF(H3778="EI",4,IF(H3778="EO",5.2,IF(H3778="EQ",3.9,IF(H3778="ILF",7.5,IF(H3778="EIF",5.4)))))))</f>
        <v/>
      </c>
      <c r="M3778" s="30" t="str">
        <f t="shared" si="408"/>
        <v/>
      </c>
      <c r="N3778" s="134"/>
      <c r="O3778" s="29"/>
      <c r="P3778" s="37" t="str">
        <f t="shared" si="409"/>
        <v/>
      </c>
      <c r="Q3778" s="38" t="str">
        <f t="shared" si="410"/>
        <v/>
      </c>
      <c r="R3778" s="37" t="str">
        <f t="shared" si="411"/>
        <v/>
      </c>
      <c r="S3778" s="37" t="str">
        <f t="shared" si="412"/>
        <v/>
      </c>
      <c r="T3778" s="38" t="str">
        <f t="shared" si="413"/>
        <v/>
      </c>
      <c r="U3778" s="37" t="str">
        <f t="shared" si="414"/>
        <v/>
      </c>
    </row>
    <row r="3779" spans="2:21" ht="17.25">
      <c r="B3779" s="156"/>
      <c r="C3779" s="156"/>
      <c r="D3779" s="157"/>
      <c r="E3779" s="155"/>
      <c r="F3779" s="151"/>
      <c r="G3779" s="152"/>
      <c r="H3779" s="153"/>
      <c r="I3779" s="154"/>
      <c r="J3779" s="154"/>
      <c r="K3779" s="30" t="str">
        <f>IF(H3779="","",IF($C$30="간이법","",FPR(H3779,I3779,J3779)))</f>
        <v/>
      </c>
      <c r="L3779" s="30" t="str">
        <f>IF(H3779="","",IF($C$30="상세법",FPV(H3779,K3779),IF(H3779="EI",4,IF(H3779="EO",5.2,IF(H3779="EQ",3.9,IF(H3779="ILF",7.5,IF(H3779="EIF",5.4)))))))</f>
        <v/>
      </c>
      <c r="M3779" s="30" t="str">
        <f t="shared" si="408"/>
        <v/>
      </c>
      <c r="N3779" s="134"/>
      <c r="O3779" s="29"/>
      <c r="P3779" s="37" t="str">
        <f t="shared" si="409"/>
        <v/>
      </c>
      <c r="Q3779" s="38" t="str">
        <f t="shared" si="410"/>
        <v/>
      </c>
      <c r="R3779" s="37" t="str">
        <f t="shared" si="411"/>
        <v/>
      </c>
      <c r="S3779" s="37" t="str">
        <f t="shared" si="412"/>
        <v/>
      </c>
      <c r="T3779" s="38" t="str">
        <f t="shared" si="413"/>
        <v/>
      </c>
      <c r="U3779" s="37" t="str">
        <f t="shared" si="414"/>
        <v/>
      </c>
    </row>
    <row r="3780" spans="2:21" ht="17.25">
      <c r="B3780" s="156"/>
      <c r="C3780" s="156"/>
      <c r="D3780" s="157"/>
      <c r="E3780" s="155"/>
      <c r="F3780" s="151"/>
      <c r="G3780" s="152"/>
      <c r="H3780" s="153"/>
      <c r="I3780" s="154"/>
      <c r="J3780" s="154"/>
      <c r="K3780" s="30" t="str">
        <f>IF(H3780="","",IF($C$30="간이법","",FPR(H3780,I3780,J3780)))</f>
        <v/>
      </c>
      <c r="L3780" s="30" t="str">
        <f>IF(H3780="","",IF($C$30="상세법",FPV(H3780,K3780),IF(H3780="EI",4,IF(H3780="EO",5.2,IF(H3780="EQ",3.9,IF(H3780="ILF",7.5,IF(H3780="EIF",5.4)))))))</f>
        <v/>
      </c>
      <c r="M3780" s="30" t="str">
        <f t="shared" si="408"/>
        <v/>
      </c>
      <c r="N3780" s="134"/>
      <c r="O3780" s="29"/>
      <c r="P3780" s="37" t="str">
        <f t="shared" si="409"/>
        <v/>
      </c>
      <c r="Q3780" s="38" t="str">
        <f t="shared" si="410"/>
        <v/>
      </c>
      <c r="R3780" s="37" t="str">
        <f t="shared" si="411"/>
        <v/>
      </c>
      <c r="S3780" s="37" t="str">
        <f t="shared" si="412"/>
        <v/>
      </c>
      <c r="T3780" s="38" t="str">
        <f t="shared" si="413"/>
        <v/>
      </c>
      <c r="U3780" s="37" t="str">
        <f t="shared" si="414"/>
        <v/>
      </c>
    </row>
    <row r="3781" spans="2:21" ht="17.25">
      <c r="B3781" s="156"/>
      <c r="C3781" s="156"/>
      <c r="D3781" s="157"/>
      <c r="E3781" s="155"/>
      <c r="F3781" s="151"/>
      <c r="G3781" s="152"/>
      <c r="H3781" s="153"/>
      <c r="I3781" s="154"/>
      <c r="J3781" s="154"/>
      <c r="K3781" s="30" t="str">
        <f>IF(H3781="","",IF($C$30="간이법","",FPR(H3781,I3781,J3781)))</f>
        <v/>
      </c>
      <c r="L3781" s="30" t="str">
        <f>IF(H3781="","",IF($C$30="상세법",FPV(H3781,K3781),IF(H3781="EI",4,IF(H3781="EO",5.2,IF(H3781="EQ",3.9,IF(H3781="ILF",7.5,IF(H3781="EIF",5.4)))))))</f>
        <v/>
      </c>
      <c r="M3781" s="30" t="str">
        <f t="shared" si="408"/>
        <v/>
      </c>
      <c r="N3781" s="134"/>
      <c r="O3781" s="29"/>
      <c r="P3781" s="37" t="str">
        <f t="shared" si="409"/>
        <v/>
      </c>
      <c r="Q3781" s="38" t="str">
        <f t="shared" si="410"/>
        <v/>
      </c>
      <c r="R3781" s="37" t="str">
        <f t="shared" si="411"/>
        <v/>
      </c>
      <c r="S3781" s="37" t="str">
        <f t="shared" si="412"/>
        <v/>
      </c>
      <c r="T3781" s="38" t="str">
        <f t="shared" si="413"/>
        <v/>
      </c>
      <c r="U3781" s="37" t="str">
        <f t="shared" si="414"/>
        <v/>
      </c>
    </row>
    <row r="3782" spans="2:21" ht="17.25">
      <c r="B3782" s="156"/>
      <c r="C3782" s="156"/>
      <c r="D3782" s="157"/>
      <c r="E3782" s="155"/>
      <c r="F3782" s="151"/>
      <c r="G3782" s="152"/>
      <c r="H3782" s="153"/>
      <c r="I3782" s="154"/>
      <c r="J3782" s="154"/>
      <c r="K3782" s="30" t="str">
        <f>IF(H3782="","",IF($C$30="간이법","",FPR(H3782,I3782,J3782)))</f>
        <v/>
      </c>
      <c r="L3782" s="30" t="str">
        <f>IF(H3782="","",IF($C$30="상세법",FPV(H3782,K3782),IF(H3782="EI",4,IF(H3782="EO",5.2,IF(H3782="EQ",3.9,IF(H3782="ILF",7.5,IF(H3782="EIF",5.4)))))))</f>
        <v/>
      </c>
      <c r="M3782" s="30" t="str">
        <f t="shared" si="408"/>
        <v/>
      </c>
      <c r="N3782" s="134"/>
      <c r="O3782" s="29"/>
      <c r="P3782" s="37" t="str">
        <f t="shared" si="409"/>
        <v/>
      </c>
      <c r="Q3782" s="38" t="str">
        <f t="shared" si="410"/>
        <v/>
      </c>
      <c r="R3782" s="37" t="str">
        <f t="shared" si="411"/>
        <v/>
      </c>
      <c r="S3782" s="37" t="str">
        <f t="shared" si="412"/>
        <v/>
      </c>
      <c r="T3782" s="38" t="str">
        <f t="shared" si="413"/>
        <v/>
      </c>
      <c r="U3782" s="37" t="str">
        <f t="shared" si="414"/>
        <v/>
      </c>
    </row>
    <row r="3783" spans="2:21" ht="17.25">
      <c r="B3783" s="156"/>
      <c r="C3783" s="156"/>
      <c r="D3783" s="157"/>
      <c r="E3783" s="155"/>
      <c r="F3783" s="151"/>
      <c r="G3783" s="152"/>
      <c r="H3783" s="153"/>
      <c r="I3783" s="154"/>
      <c r="J3783" s="154"/>
      <c r="K3783" s="30" t="str">
        <f>IF(H3783="","",IF($C$30="간이법","",FPR(H3783,I3783,J3783)))</f>
        <v/>
      </c>
      <c r="L3783" s="30" t="str">
        <f>IF(H3783="","",IF($C$30="상세법",FPV(H3783,K3783),IF(H3783="EI",4,IF(H3783="EO",5.2,IF(H3783="EQ",3.9,IF(H3783="ILF",7.5,IF(H3783="EIF",5.4)))))))</f>
        <v/>
      </c>
      <c r="M3783" s="30" t="str">
        <f t="shared" si="408"/>
        <v/>
      </c>
      <c r="N3783" s="134"/>
      <c r="O3783" s="29"/>
      <c r="P3783" s="37" t="str">
        <f t="shared" si="409"/>
        <v/>
      </c>
      <c r="Q3783" s="38" t="str">
        <f t="shared" si="410"/>
        <v/>
      </c>
      <c r="R3783" s="37" t="str">
        <f t="shared" si="411"/>
        <v/>
      </c>
      <c r="S3783" s="37" t="str">
        <f t="shared" si="412"/>
        <v/>
      </c>
      <c r="T3783" s="38" t="str">
        <f t="shared" si="413"/>
        <v/>
      </c>
      <c r="U3783" s="37" t="str">
        <f t="shared" si="414"/>
        <v/>
      </c>
    </row>
    <row r="3784" spans="2:21" ht="17.25">
      <c r="B3784" s="156"/>
      <c r="C3784" s="156"/>
      <c r="D3784" s="157"/>
      <c r="E3784" s="155"/>
      <c r="F3784" s="151"/>
      <c r="G3784" s="152"/>
      <c r="H3784" s="153"/>
      <c r="I3784" s="154"/>
      <c r="J3784" s="154"/>
      <c r="K3784" s="30" t="str">
        <f>IF(H3784="","",IF($C$30="간이법","",FPR(H3784,I3784,J3784)))</f>
        <v/>
      </c>
      <c r="L3784" s="30" t="str">
        <f>IF(H3784="","",IF($C$30="상세법",FPV(H3784,K3784),IF(H3784="EI",4,IF(H3784="EO",5.2,IF(H3784="EQ",3.9,IF(H3784="ILF",7.5,IF(H3784="EIF",5.4)))))))</f>
        <v/>
      </c>
      <c r="M3784" s="30" t="str">
        <f t="shared" si="408"/>
        <v/>
      </c>
      <c r="N3784" s="134"/>
      <c r="O3784" s="29"/>
      <c r="P3784" s="37" t="str">
        <f t="shared" si="409"/>
        <v/>
      </c>
      <c r="Q3784" s="38" t="str">
        <f t="shared" si="410"/>
        <v/>
      </c>
      <c r="R3784" s="37" t="str">
        <f t="shared" si="411"/>
        <v/>
      </c>
      <c r="S3784" s="37" t="str">
        <f t="shared" si="412"/>
        <v/>
      </c>
      <c r="T3784" s="38" t="str">
        <f t="shared" si="413"/>
        <v/>
      </c>
      <c r="U3784" s="37" t="str">
        <f t="shared" si="414"/>
        <v/>
      </c>
    </row>
    <row r="3785" spans="2:21" ht="17.25">
      <c r="B3785" s="156"/>
      <c r="C3785" s="156"/>
      <c r="D3785" s="157"/>
      <c r="E3785" s="155"/>
      <c r="F3785" s="151"/>
      <c r="G3785" s="152"/>
      <c r="H3785" s="153"/>
      <c r="I3785" s="154"/>
      <c r="J3785" s="154"/>
      <c r="K3785" s="30" t="str">
        <f>IF(H3785="","",IF($C$30="간이법","",FPR(H3785,I3785,J3785)))</f>
        <v/>
      </c>
      <c r="L3785" s="30" t="str">
        <f>IF(H3785="","",IF($C$30="상세법",FPV(H3785,K3785),IF(H3785="EI",4,IF(H3785="EO",5.2,IF(H3785="EQ",3.9,IF(H3785="ILF",7.5,IF(H3785="EIF",5.4)))))))</f>
        <v/>
      </c>
      <c r="M3785" s="30" t="str">
        <f t="shared" si="408"/>
        <v/>
      </c>
      <c r="N3785" s="134"/>
      <c r="O3785" s="29"/>
      <c r="P3785" s="37" t="str">
        <f t="shared" si="409"/>
        <v/>
      </c>
      <c r="Q3785" s="38" t="str">
        <f t="shared" si="410"/>
        <v/>
      </c>
      <c r="R3785" s="37" t="str">
        <f t="shared" si="411"/>
        <v/>
      </c>
      <c r="S3785" s="37" t="str">
        <f t="shared" si="412"/>
        <v/>
      </c>
      <c r="T3785" s="38" t="str">
        <f t="shared" si="413"/>
        <v/>
      </c>
      <c r="U3785" s="37" t="str">
        <f t="shared" si="414"/>
        <v/>
      </c>
    </row>
    <row r="3786" spans="2:21" ht="17.25">
      <c r="B3786" s="156"/>
      <c r="C3786" s="156"/>
      <c r="D3786" s="157"/>
      <c r="E3786" s="155"/>
      <c r="F3786" s="151"/>
      <c r="G3786" s="152"/>
      <c r="H3786" s="153"/>
      <c r="I3786" s="154"/>
      <c r="J3786" s="154"/>
      <c r="K3786" s="30" t="str">
        <f>IF(H3786="","",IF($C$30="간이법","",FPR(H3786,I3786,J3786)))</f>
        <v/>
      </c>
      <c r="L3786" s="30" t="str">
        <f>IF(H3786="","",IF($C$30="상세법",FPV(H3786,K3786),IF(H3786="EI",4,IF(H3786="EO",5.2,IF(H3786="EQ",3.9,IF(H3786="ILF",7.5,IF(H3786="EIF",5.4)))))))</f>
        <v/>
      </c>
      <c r="M3786" s="30" t="str">
        <f t="shared" si="408"/>
        <v/>
      </c>
      <c r="N3786" s="134"/>
      <c r="O3786" s="29"/>
      <c r="P3786" s="37" t="str">
        <f t="shared" si="409"/>
        <v/>
      </c>
      <c r="Q3786" s="38" t="str">
        <f t="shared" si="410"/>
        <v/>
      </c>
      <c r="R3786" s="37" t="str">
        <f t="shared" si="411"/>
        <v/>
      </c>
      <c r="S3786" s="37" t="str">
        <f t="shared" si="412"/>
        <v/>
      </c>
      <c r="T3786" s="38" t="str">
        <f t="shared" si="413"/>
        <v/>
      </c>
      <c r="U3786" s="37" t="str">
        <f t="shared" si="414"/>
        <v/>
      </c>
    </row>
    <row r="3787" spans="2:21" ht="17.25">
      <c r="B3787" s="156"/>
      <c r="C3787" s="156"/>
      <c r="D3787" s="157"/>
      <c r="E3787" s="155"/>
      <c r="F3787" s="151"/>
      <c r="G3787" s="152"/>
      <c r="H3787" s="153"/>
      <c r="I3787" s="154"/>
      <c r="J3787" s="154"/>
      <c r="K3787" s="30" t="str">
        <f>IF(H3787="","",IF($C$30="간이법","",FPR(H3787,I3787,J3787)))</f>
        <v/>
      </c>
      <c r="L3787" s="30" t="str">
        <f>IF(H3787="","",IF($C$30="상세법",FPV(H3787,K3787),IF(H3787="EI",4,IF(H3787="EO",5.2,IF(H3787="EQ",3.9,IF(H3787="ILF",7.5,IF(H3787="EIF",5.4)))))))</f>
        <v/>
      </c>
      <c r="M3787" s="30" t="str">
        <f t="shared" si="408"/>
        <v/>
      </c>
      <c r="N3787" s="134"/>
      <c r="O3787" s="29"/>
      <c r="P3787" s="37" t="str">
        <f t="shared" si="409"/>
        <v/>
      </c>
      <c r="Q3787" s="38" t="str">
        <f t="shared" si="410"/>
        <v/>
      </c>
      <c r="R3787" s="37" t="str">
        <f t="shared" si="411"/>
        <v/>
      </c>
      <c r="S3787" s="37" t="str">
        <f t="shared" si="412"/>
        <v/>
      </c>
      <c r="T3787" s="38" t="str">
        <f t="shared" si="413"/>
        <v/>
      </c>
      <c r="U3787" s="37" t="str">
        <f t="shared" si="414"/>
        <v/>
      </c>
    </row>
    <row r="3788" spans="2:21" ht="17.25">
      <c r="B3788" s="156"/>
      <c r="C3788" s="156"/>
      <c r="D3788" s="157"/>
      <c r="E3788" s="155"/>
      <c r="F3788" s="151"/>
      <c r="G3788" s="152"/>
      <c r="H3788" s="153"/>
      <c r="I3788" s="154"/>
      <c r="J3788" s="154"/>
      <c r="K3788" s="30" t="str">
        <f>IF(H3788="","",IF($C$30="간이법","",FPR(H3788,I3788,J3788)))</f>
        <v/>
      </c>
      <c r="L3788" s="30" t="str">
        <f>IF(H3788="","",IF($C$30="상세법",FPV(H3788,K3788),IF(H3788="EI",4,IF(H3788="EO",5.2,IF(H3788="EQ",3.9,IF(H3788="ILF",7.5,IF(H3788="EIF",5.4)))))))</f>
        <v/>
      </c>
      <c r="M3788" s="30" t="str">
        <f t="shared" si="408"/>
        <v/>
      </c>
      <c r="N3788" s="134"/>
      <c r="O3788" s="29"/>
      <c r="P3788" s="37" t="str">
        <f t="shared" si="409"/>
        <v/>
      </c>
      <c r="Q3788" s="38" t="str">
        <f t="shared" si="410"/>
        <v/>
      </c>
      <c r="R3788" s="37" t="str">
        <f t="shared" si="411"/>
        <v/>
      </c>
      <c r="S3788" s="37" t="str">
        <f t="shared" si="412"/>
        <v/>
      </c>
      <c r="T3788" s="38" t="str">
        <f t="shared" si="413"/>
        <v/>
      </c>
      <c r="U3788" s="37" t="str">
        <f t="shared" si="414"/>
        <v/>
      </c>
    </row>
    <row r="3789" spans="2:21" ht="17.25">
      <c r="B3789" s="156"/>
      <c r="C3789" s="156"/>
      <c r="D3789" s="157"/>
      <c r="E3789" s="155"/>
      <c r="F3789" s="151"/>
      <c r="G3789" s="152"/>
      <c r="H3789" s="153"/>
      <c r="I3789" s="154"/>
      <c r="J3789" s="154"/>
      <c r="K3789" s="30" t="str">
        <f>IF(H3789="","",IF($C$30="간이법","",FPR(H3789,I3789,J3789)))</f>
        <v/>
      </c>
      <c r="L3789" s="30" t="str">
        <f>IF(H3789="","",IF($C$30="상세법",FPV(H3789,K3789),IF(H3789="EI",4,IF(H3789="EO",5.2,IF(H3789="EQ",3.9,IF(H3789="ILF",7.5,IF(H3789="EIF",5.4)))))))</f>
        <v/>
      </c>
      <c r="M3789" s="30" t="str">
        <f t="shared" si="408"/>
        <v/>
      </c>
      <c r="N3789" s="134"/>
      <c r="O3789" s="29"/>
      <c r="P3789" s="37" t="str">
        <f t="shared" si="409"/>
        <v/>
      </c>
      <c r="Q3789" s="38" t="str">
        <f t="shared" si="410"/>
        <v/>
      </c>
      <c r="R3789" s="37" t="str">
        <f t="shared" si="411"/>
        <v/>
      </c>
      <c r="S3789" s="37" t="str">
        <f t="shared" si="412"/>
        <v/>
      </c>
      <c r="T3789" s="38" t="str">
        <f t="shared" si="413"/>
        <v/>
      </c>
      <c r="U3789" s="37" t="str">
        <f t="shared" si="414"/>
        <v/>
      </c>
    </row>
    <row r="3790" spans="2:21" ht="17.25">
      <c r="B3790" s="156"/>
      <c r="C3790" s="156"/>
      <c r="D3790" s="157"/>
      <c r="E3790" s="155"/>
      <c r="F3790" s="151"/>
      <c r="G3790" s="152"/>
      <c r="H3790" s="153"/>
      <c r="I3790" s="154"/>
      <c r="J3790" s="154"/>
      <c r="K3790" s="30" t="str">
        <f>IF(H3790="","",IF($C$30="간이법","",FPR(H3790,I3790,J3790)))</f>
        <v/>
      </c>
      <c r="L3790" s="30" t="str">
        <f>IF(H3790="","",IF($C$30="상세법",FPV(H3790,K3790),IF(H3790="EI",4,IF(H3790="EO",5.2,IF(H3790="EQ",3.9,IF(H3790="ILF",7.5,IF(H3790="EIF",5.4)))))))</f>
        <v/>
      </c>
      <c r="M3790" s="30" t="str">
        <f t="shared" si="408"/>
        <v/>
      </c>
      <c r="N3790" s="134"/>
      <c r="O3790" s="29"/>
      <c r="P3790" s="37" t="str">
        <f t="shared" si="409"/>
        <v/>
      </c>
      <c r="Q3790" s="38" t="str">
        <f t="shared" si="410"/>
        <v/>
      </c>
      <c r="R3790" s="37" t="str">
        <f t="shared" si="411"/>
        <v/>
      </c>
      <c r="S3790" s="37" t="str">
        <f t="shared" si="412"/>
        <v/>
      </c>
      <c r="T3790" s="38" t="str">
        <f t="shared" si="413"/>
        <v/>
      </c>
      <c r="U3790" s="37" t="str">
        <f t="shared" si="414"/>
        <v/>
      </c>
    </row>
    <row r="3791" spans="2:21" ht="17.25">
      <c r="B3791" s="156"/>
      <c r="C3791" s="156"/>
      <c r="D3791" s="157"/>
      <c r="E3791" s="155"/>
      <c r="F3791" s="151"/>
      <c r="G3791" s="152"/>
      <c r="H3791" s="153"/>
      <c r="I3791" s="154"/>
      <c r="J3791" s="154"/>
      <c r="K3791" s="30" t="str">
        <f>IF(H3791="","",IF($C$30="간이법","",FPR(H3791,I3791,J3791)))</f>
        <v/>
      </c>
      <c r="L3791" s="30" t="str">
        <f>IF(H3791="","",IF($C$30="상세법",FPV(H3791,K3791),IF(H3791="EI",4,IF(H3791="EO",5.2,IF(H3791="EQ",3.9,IF(H3791="ILF",7.5,IF(H3791="EIF",5.4)))))))</f>
        <v/>
      </c>
      <c r="M3791" s="30" t="str">
        <f t="shared" si="408"/>
        <v/>
      </c>
      <c r="N3791" s="134"/>
      <c r="O3791" s="29"/>
      <c r="P3791" s="37" t="str">
        <f t="shared" si="409"/>
        <v/>
      </c>
      <c r="Q3791" s="38" t="str">
        <f t="shared" si="410"/>
        <v/>
      </c>
      <c r="R3791" s="37" t="str">
        <f t="shared" si="411"/>
        <v/>
      </c>
      <c r="S3791" s="37" t="str">
        <f t="shared" si="412"/>
        <v/>
      </c>
      <c r="T3791" s="38" t="str">
        <f t="shared" si="413"/>
        <v/>
      </c>
      <c r="U3791" s="37" t="str">
        <f t="shared" si="414"/>
        <v/>
      </c>
    </row>
    <row r="3792" spans="2:21" ht="17.25">
      <c r="B3792" s="156"/>
      <c r="C3792" s="156"/>
      <c r="D3792" s="157"/>
      <c r="E3792" s="155"/>
      <c r="F3792" s="151"/>
      <c r="G3792" s="152"/>
      <c r="H3792" s="153"/>
      <c r="I3792" s="154"/>
      <c r="J3792" s="154"/>
      <c r="K3792" s="30" t="str">
        <f>IF(H3792="","",IF($C$30="간이법","",FPR(H3792,I3792,J3792)))</f>
        <v/>
      </c>
      <c r="L3792" s="30" t="str">
        <f>IF(H3792="","",IF($C$30="상세법",FPV(H3792,K3792),IF(H3792="EI",4,IF(H3792="EO",5.2,IF(H3792="EQ",3.9,IF(H3792="ILF",7.5,IF(H3792="EIF",5.4)))))))</f>
        <v/>
      </c>
      <c r="M3792" s="30" t="str">
        <f t="shared" si="408"/>
        <v/>
      </c>
      <c r="N3792" s="134"/>
      <c r="O3792" s="29"/>
      <c r="P3792" s="37" t="str">
        <f t="shared" si="409"/>
        <v/>
      </c>
      <c r="Q3792" s="38" t="str">
        <f t="shared" si="410"/>
        <v/>
      </c>
      <c r="R3792" s="37" t="str">
        <f t="shared" si="411"/>
        <v/>
      </c>
      <c r="S3792" s="37" t="str">
        <f t="shared" si="412"/>
        <v/>
      </c>
      <c r="T3792" s="38" t="str">
        <f t="shared" si="413"/>
        <v/>
      </c>
      <c r="U3792" s="37" t="str">
        <f t="shared" si="414"/>
        <v/>
      </c>
    </row>
    <row r="3793" spans="2:21" ht="17.25">
      <c r="B3793" s="156"/>
      <c r="C3793" s="156"/>
      <c r="D3793" s="157"/>
      <c r="E3793" s="155"/>
      <c r="F3793" s="151"/>
      <c r="G3793" s="152"/>
      <c r="H3793" s="153"/>
      <c r="I3793" s="154"/>
      <c r="J3793" s="154"/>
      <c r="K3793" s="30" t="str">
        <f>IF(H3793="","",IF($C$30="간이법","",FPR(H3793,I3793,J3793)))</f>
        <v/>
      </c>
      <c r="L3793" s="30" t="str">
        <f>IF(H3793="","",IF($C$30="상세법",FPV(H3793,K3793),IF(H3793="EI",4,IF(H3793="EO",5.2,IF(H3793="EQ",3.9,IF(H3793="ILF",7.5,IF(H3793="EIF",5.4)))))))</f>
        <v/>
      </c>
      <c r="M3793" s="30" t="str">
        <f t="shared" si="408"/>
        <v/>
      </c>
      <c r="N3793" s="134"/>
      <c r="O3793" s="29"/>
      <c r="P3793" s="37" t="str">
        <f t="shared" si="409"/>
        <v/>
      </c>
      <c r="Q3793" s="38" t="str">
        <f t="shared" si="410"/>
        <v/>
      </c>
      <c r="R3793" s="37" t="str">
        <f t="shared" si="411"/>
        <v/>
      </c>
      <c r="S3793" s="37" t="str">
        <f t="shared" si="412"/>
        <v/>
      </c>
      <c r="T3793" s="38" t="str">
        <f t="shared" si="413"/>
        <v/>
      </c>
      <c r="U3793" s="37" t="str">
        <f t="shared" si="414"/>
        <v/>
      </c>
    </row>
    <row r="3794" spans="2:21" ht="17.25">
      <c r="B3794" s="156"/>
      <c r="C3794" s="156"/>
      <c r="D3794" s="157"/>
      <c r="E3794" s="155"/>
      <c r="F3794" s="151"/>
      <c r="G3794" s="152"/>
      <c r="H3794" s="153"/>
      <c r="I3794" s="154"/>
      <c r="J3794" s="154"/>
      <c r="K3794" s="30" t="str">
        <f>IF(H3794="","",IF($C$30="간이법","",FPR(H3794,I3794,J3794)))</f>
        <v/>
      </c>
      <c r="L3794" s="30" t="str">
        <f>IF(H3794="","",IF($C$30="상세법",FPV(H3794,K3794),IF(H3794="EI",4,IF(H3794="EO",5.2,IF(H3794="EQ",3.9,IF(H3794="ILF",7.5,IF(H3794="EIF",5.4)))))))</f>
        <v/>
      </c>
      <c r="M3794" s="30" t="str">
        <f t="shared" si="408"/>
        <v/>
      </c>
      <c r="N3794" s="134"/>
      <c r="O3794" s="29"/>
      <c r="P3794" s="37" t="str">
        <f t="shared" si="409"/>
        <v/>
      </c>
      <c r="Q3794" s="38" t="str">
        <f t="shared" si="410"/>
        <v/>
      </c>
      <c r="R3794" s="37" t="str">
        <f t="shared" si="411"/>
        <v/>
      </c>
      <c r="S3794" s="37" t="str">
        <f t="shared" si="412"/>
        <v/>
      </c>
      <c r="T3794" s="38" t="str">
        <f t="shared" si="413"/>
        <v/>
      </c>
      <c r="U3794" s="37" t="str">
        <f t="shared" si="414"/>
        <v/>
      </c>
    </row>
    <row r="3795" spans="2:21" ht="17.25">
      <c r="B3795" s="156"/>
      <c r="C3795" s="156"/>
      <c r="D3795" s="157"/>
      <c r="E3795" s="155"/>
      <c r="F3795" s="151"/>
      <c r="G3795" s="152"/>
      <c r="H3795" s="153"/>
      <c r="I3795" s="154"/>
      <c r="J3795" s="154"/>
      <c r="K3795" s="30" t="str">
        <f>IF(H3795="","",IF($C$30="간이법","",FPR(H3795,I3795,J3795)))</f>
        <v/>
      </c>
      <c r="L3795" s="30" t="str">
        <f>IF(H3795="","",IF($C$30="상세법",FPV(H3795,K3795),IF(H3795="EI",4,IF(H3795="EO",5.2,IF(H3795="EQ",3.9,IF(H3795="ILF",7.5,IF(H3795="EIF",5.4)))))))</f>
        <v/>
      </c>
      <c r="M3795" s="30" t="str">
        <f t="shared" si="408"/>
        <v/>
      </c>
      <c r="N3795" s="134"/>
      <c r="O3795" s="29"/>
      <c r="P3795" s="37" t="str">
        <f t="shared" si="409"/>
        <v/>
      </c>
      <c r="Q3795" s="38" t="str">
        <f t="shared" si="410"/>
        <v/>
      </c>
      <c r="R3795" s="37" t="str">
        <f t="shared" si="411"/>
        <v/>
      </c>
      <c r="S3795" s="37" t="str">
        <f t="shared" si="412"/>
        <v/>
      </c>
      <c r="T3795" s="38" t="str">
        <f t="shared" si="413"/>
        <v/>
      </c>
      <c r="U3795" s="37" t="str">
        <f t="shared" si="414"/>
        <v/>
      </c>
    </row>
    <row r="3796" spans="2:21" ht="17.25">
      <c r="B3796" s="156"/>
      <c r="C3796" s="156"/>
      <c r="D3796" s="157"/>
      <c r="E3796" s="155"/>
      <c r="F3796" s="151"/>
      <c r="G3796" s="152"/>
      <c r="H3796" s="153"/>
      <c r="I3796" s="154"/>
      <c r="J3796" s="154"/>
      <c r="K3796" s="30" t="str">
        <f>IF(H3796="","",IF($C$30="간이법","",FPR(H3796,I3796,J3796)))</f>
        <v/>
      </c>
      <c r="L3796" s="30" t="str">
        <f>IF(H3796="","",IF($C$30="상세법",FPV(H3796,K3796),IF(H3796="EI",4,IF(H3796="EO",5.2,IF(H3796="EQ",3.9,IF(H3796="ILF",7.5,IF(H3796="EIF",5.4)))))))</f>
        <v/>
      </c>
      <c r="M3796" s="30" t="str">
        <f t="shared" si="408"/>
        <v/>
      </c>
      <c r="N3796" s="134"/>
      <c r="O3796" s="29"/>
      <c r="P3796" s="37" t="str">
        <f t="shared" si="409"/>
        <v/>
      </c>
      <c r="Q3796" s="38" t="str">
        <f t="shared" si="410"/>
        <v/>
      </c>
      <c r="R3796" s="37" t="str">
        <f t="shared" si="411"/>
        <v/>
      </c>
      <c r="S3796" s="37" t="str">
        <f t="shared" si="412"/>
        <v/>
      </c>
      <c r="T3796" s="38" t="str">
        <f t="shared" si="413"/>
        <v/>
      </c>
      <c r="U3796" s="37" t="str">
        <f t="shared" si="414"/>
        <v/>
      </c>
    </row>
    <row r="3797" spans="2:21" ht="17.25">
      <c r="B3797" s="156"/>
      <c r="C3797" s="156"/>
      <c r="D3797" s="157"/>
      <c r="E3797" s="155"/>
      <c r="F3797" s="151"/>
      <c r="G3797" s="152"/>
      <c r="H3797" s="153"/>
      <c r="I3797" s="154"/>
      <c r="J3797" s="154"/>
      <c r="K3797" s="30" t="str">
        <f>IF(H3797="","",IF($C$30="간이법","",FPR(H3797,I3797,J3797)))</f>
        <v/>
      </c>
      <c r="L3797" s="30" t="str">
        <f>IF(H3797="","",IF($C$30="상세법",FPV(H3797,K3797),IF(H3797="EI",4,IF(H3797="EO",5.2,IF(H3797="EQ",3.9,IF(H3797="ILF",7.5,IF(H3797="EIF",5.4)))))))</f>
        <v/>
      </c>
      <c r="M3797" s="30" t="str">
        <f t="shared" si="408"/>
        <v/>
      </c>
      <c r="N3797" s="134"/>
      <c r="O3797" s="29"/>
      <c r="P3797" s="37" t="str">
        <f t="shared" si="409"/>
        <v/>
      </c>
      <c r="Q3797" s="38" t="str">
        <f t="shared" si="410"/>
        <v/>
      </c>
      <c r="R3797" s="37" t="str">
        <f t="shared" si="411"/>
        <v/>
      </c>
      <c r="S3797" s="37" t="str">
        <f t="shared" si="412"/>
        <v/>
      </c>
      <c r="T3797" s="38" t="str">
        <f t="shared" si="413"/>
        <v/>
      </c>
      <c r="U3797" s="37" t="str">
        <f t="shared" si="414"/>
        <v/>
      </c>
    </row>
    <row r="3798" spans="2:21" ht="17.25">
      <c r="B3798" s="156"/>
      <c r="C3798" s="156"/>
      <c r="D3798" s="157"/>
      <c r="E3798" s="155"/>
      <c r="F3798" s="151"/>
      <c r="G3798" s="152"/>
      <c r="H3798" s="153"/>
      <c r="I3798" s="154"/>
      <c r="J3798" s="154"/>
      <c r="K3798" s="30" t="str">
        <f>IF(H3798="","",IF($C$30="간이법","",FPR(H3798,I3798,J3798)))</f>
        <v/>
      </c>
      <c r="L3798" s="30" t="str">
        <f>IF(H3798="","",IF($C$30="상세법",FPV(H3798,K3798),IF(H3798="EI",4,IF(H3798="EO",5.2,IF(H3798="EQ",3.9,IF(H3798="ILF",7.5,IF(H3798="EIF",5.4)))))))</f>
        <v/>
      </c>
      <c r="M3798" s="30" t="str">
        <f t="shared" si="408"/>
        <v/>
      </c>
      <c r="N3798" s="134"/>
      <c r="O3798" s="29"/>
      <c r="P3798" s="37" t="str">
        <f t="shared" si="409"/>
        <v/>
      </c>
      <c r="Q3798" s="38" t="str">
        <f t="shared" si="410"/>
        <v/>
      </c>
      <c r="R3798" s="37" t="str">
        <f t="shared" si="411"/>
        <v/>
      </c>
      <c r="S3798" s="37" t="str">
        <f t="shared" si="412"/>
        <v/>
      </c>
      <c r="T3798" s="38" t="str">
        <f t="shared" si="413"/>
        <v/>
      </c>
      <c r="U3798" s="37" t="str">
        <f t="shared" si="414"/>
        <v/>
      </c>
    </row>
    <row r="3799" spans="2:21" ht="17.25">
      <c r="B3799" s="156"/>
      <c r="C3799" s="156"/>
      <c r="D3799" s="157"/>
      <c r="E3799" s="155"/>
      <c r="F3799" s="151"/>
      <c r="G3799" s="152"/>
      <c r="H3799" s="153"/>
      <c r="I3799" s="154"/>
      <c r="J3799" s="154"/>
      <c r="K3799" s="30" t="str">
        <f>IF(H3799="","",IF($C$30="간이법","",FPR(H3799,I3799,J3799)))</f>
        <v/>
      </c>
      <c r="L3799" s="30" t="str">
        <f>IF(H3799="","",IF($C$30="상세법",FPV(H3799,K3799),IF(H3799="EI",4,IF(H3799="EO",5.2,IF(H3799="EQ",3.9,IF(H3799="ILF",7.5,IF(H3799="EIF",5.4)))))))</f>
        <v/>
      </c>
      <c r="M3799" s="30" t="str">
        <f t="shared" si="408"/>
        <v/>
      </c>
      <c r="N3799" s="134"/>
      <c r="O3799" s="29"/>
      <c r="P3799" s="37" t="str">
        <f t="shared" si="409"/>
        <v/>
      </c>
      <c r="Q3799" s="38" t="str">
        <f t="shared" si="410"/>
        <v/>
      </c>
      <c r="R3799" s="37" t="str">
        <f t="shared" si="411"/>
        <v/>
      </c>
      <c r="S3799" s="37" t="str">
        <f t="shared" si="412"/>
        <v/>
      </c>
      <c r="T3799" s="38" t="str">
        <f t="shared" si="413"/>
        <v/>
      </c>
      <c r="U3799" s="37" t="str">
        <f t="shared" si="414"/>
        <v/>
      </c>
    </row>
    <row r="3800" spans="2:21" ht="17.25">
      <c r="B3800" s="156"/>
      <c r="C3800" s="156"/>
      <c r="D3800" s="157"/>
      <c r="E3800" s="155"/>
      <c r="F3800" s="151"/>
      <c r="G3800" s="152"/>
      <c r="H3800" s="153"/>
      <c r="I3800" s="154"/>
      <c r="J3800" s="154"/>
      <c r="K3800" s="30" t="str">
        <f>IF(H3800="","",IF($C$30="간이법","",FPR(H3800,I3800,J3800)))</f>
        <v/>
      </c>
      <c r="L3800" s="30" t="str">
        <f>IF(H3800="","",IF($C$30="상세법",FPV(H3800,K3800),IF(H3800="EI",4,IF(H3800="EO",5.2,IF(H3800="EQ",3.9,IF(H3800="ILF",7.5,IF(H3800="EIF",5.4)))))))</f>
        <v/>
      </c>
      <c r="M3800" s="30" t="str">
        <f t="shared" si="408"/>
        <v/>
      </c>
      <c r="N3800" s="134"/>
      <c r="O3800" s="29"/>
      <c r="P3800" s="37" t="str">
        <f t="shared" si="409"/>
        <v/>
      </c>
      <c r="Q3800" s="38" t="str">
        <f t="shared" si="410"/>
        <v/>
      </c>
      <c r="R3800" s="37" t="str">
        <f t="shared" si="411"/>
        <v/>
      </c>
      <c r="S3800" s="37" t="str">
        <f t="shared" si="412"/>
        <v/>
      </c>
      <c r="T3800" s="38" t="str">
        <f t="shared" si="413"/>
        <v/>
      </c>
      <c r="U3800" s="37" t="str">
        <f t="shared" si="414"/>
        <v/>
      </c>
    </row>
    <row r="3801" spans="2:21" ht="17.25">
      <c r="B3801" s="156"/>
      <c r="C3801" s="156"/>
      <c r="D3801" s="157"/>
      <c r="E3801" s="155"/>
      <c r="F3801" s="151"/>
      <c r="G3801" s="152"/>
      <c r="H3801" s="153"/>
      <c r="I3801" s="154"/>
      <c r="J3801" s="154"/>
      <c r="K3801" s="30" t="str">
        <f>IF(H3801="","",IF($C$30="간이법","",FPR(H3801,I3801,J3801)))</f>
        <v/>
      </c>
      <c r="L3801" s="30" t="str">
        <f>IF(H3801="","",IF($C$30="상세법",FPV(H3801,K3801),IF(H3801="EI",4,IF(H3801="EO",5.2,IF(H3801="EQ",3.9,IF(H3801="ILF",7.5,IF(H3801="EIF",5.4)))))))</f>
        <v/>
      </c>
      <c r="M3801" s="30" t="str">
        <f t="shared" si="408"/>
        <v/>
      </c>
      <c r="N3801" s="134"/>
      <c r="O3801" s="29"/>
      <c r="P3801" s="37" t="str">
        <f t="shared" si="409"/>
        <v/>
      </c>
      <c r="Q3801" s="38" t="str">
        <f t="shared" si="410"/>
        <v/>
      </c>
      <c r="R3801" s="37" t="str">
        <f t="shared" si="411"/>
        <v/>
      </c>
      <c r="S3801" s="37" t="str">
        <f t="shared" si="412"/>
        <v/>
      </c>
      <c r="T3801" s="38" t="str">
        <f t="shared" si="413"/>
        <v/>
      </c>
      <c r="U3801" s="37" t="str">
        <f t="shared" si="414"/>
        <v/>
      </c>
    </row>
    <row r="3802" spans="2:21" ht="17.25">
      <c r="B3802" s="156"/>
      <c r="C3802" s="156"/>
      <c r="D3802" s="157"/>
      <c r="E3802" s="155"/>
      <c r="F3802" s="151"/>
      <c r="G3802" s="152"/>
      <c r="H3802" s="153"/>
      <c r="I3802" s="154"/>
      <c r="J3802" s="154"/>
      <c r="K3802" s="30" t="str">
        <f>IF(H3802="","",IF($C$30="간이법","",FPR(H3802,I3802,J3802)))</f>
        <v/>
      </c>
      <c r="L3802" s="30" t="str">
        <f>IF(H3802="","",IF($C$30="상세법",FPV(H3802,K3802),IF(H3802="EI",4,IF(H3802="EO",5.2,IF(H3802="EQ",3.9,IF(H3802="ILF",7.5,IF(H3802="EIF",5.4)))))))</f>
        <v/>
      </c>
      <c r="M3802" s="30" t="str">
        <f t="shared" si="408"/>
        <v/>
      </c>
      <c r="N3802" s="134"/>
      <c r="O3802" s="29"/>
      <c r="P3802" s="37" t="str">
        <f t="shared" si="409"/>
        <v/>
      </c>
      <c r="Q3802" s="38" t="str">
        <f t="shared" si="410"/>
        <v/>
      </c>
      <c r="R3802" s="37" t="str">
        <f t="shared" si="411"/>
        <v/>
      </c>
      <c r="S3802" s="37" t="str">
        <f t="shared" si="412"/>
        <v/>
      </c>
      <c r="T3802" s="38" t="str">
        <f t="shared" si="413"/>
        <v/>
      </c>
      <c r="U3802" s="37" t="str">
        <f t="shared" si="414"/>
        <v/>
      </c>
    </row>
    <row r="3803" spans="2:21" ht="17.25">
      <c r="B3803" s="156"/>
      <c r="C3803" s="156"/>
      <c r="D3803" s="157"/>
      <c r="E3803" s="155"/>
      <c r="F3803" s="151"/>
      <c r="G3803" s="152"/>
      <c r="H3803" s="153"/>
      <c r="I3803" s="154"/>
      <c r="J3803" s="154"/>
      <c r="K3803" s="30" t="str">
        <f>IF(H3803="","",IF($C$30="간이법","",FPR(H3803,I3803,J3803)))</f>
        <v/>
      </c>
      <c r="L3803" s="30" t="str">
        <f>IF(H3803="","",IF($C$30="상세법",FPV(H3803,K3803),IF(H3803="EI",4,IF(H3803="EO",5.2,IF(H3803="EQ",3.9,IF(H3803="ILF",7.5,IF(H3803="EIF",5.4)))))))</f>
        <v/>
      </c>
      <c r="M3803" s="30" t="str">
        <f t="shared" si="408"/>
        <v/>
      </c>
      <c r="N3803" s="134"/>
      <c r="O3803" s="29"/>
      <c r="P3803" s="37" t="str">
        <f t="shared" si="409"/>
        <v/>
      </c>
      <c r="Q3803" s="38" t="str">
        <f t="shared" si="410"/>
        <v/>
      </c>
      <c r="R3803" s="37" t="str">
        <f t="shared" si="411"/>
        <v/>
      </c>
      <c r="S3803" s="37" t="str">
        <f t="shared" si="412"/>
        <v/>
      </c>
      <c r="T3803" s="38" t="str">
        <f t="shared" si="413"/>
        <v/>
      </c>
      <c r="U3803" s="37" t="str">
        <f t="shared" si="414"/>
        <v/>
      </c>
    </row>
    <row r="3804" spans="2:21" ht="17.25">
      <c r="B3804" s="156"/>
      <c r="C3804" s="156"/>
      <c r="D3804" s="157"/>
      <c r="E3804" s="155"/>
      <c r="F3804" s="151"/>
      <c r="G3804" s="152"/>
      <c r="H3804" s="153"/>
      <c r="I3804" s="154"/>
      <c r="J3804" s="154"/>
      <c r="K3804" s="30" t="str">
        <f>IF(H3804="","",IF($C$30="간이법","",FPR(H3804,I3804,J3804)))</f>
        <v/>
      </c>
      <c r="L3804" s="30" t="str">
        <f>IF(H3804="","",IF($C$30="상세법",FPV(H3804,K3804),IF(H3804="EI",4,IF(H3804="EO",5.2,IF(H3804="EQ",3.9,IF(H3804="ILF",7.5,IF(H3804="EIF",5.4)))))))</f>
        <v/>
      </c>
      <c r="M3804" s="30" t="str">
        <f t="shared" si="408"/>
        <v/>
      </c>
      <c r="N3804" s="134"/>
      <c r="O3804" s="29"/>
      <c r="P3804" s="37" t="str">
        <f t="shared" si="409"/>
        <v/>
      </c>
      <c r="Q3804" s="38" t="str">
        <f t="shared" si="410"/>
        <v/>
      </c>
      <c r="R3804" s="37" t="str">
        <f t="shared" si="411"/>
        <v/>
      </c>
      <c r="S3804" s="37" t="str">
        <f t="shared" si="412"/>
        <v/>
      </c>
      <c r="T3804" s="38" t="str">
        <f t="shared" si="413"/>
        <v/>
      </c>
      <c r="U3804" s="37" t="str">
        <f t="shared" si="414"/>
        <v/>
      </c>
    </row>
    <row r="3805" spans="2:21" ht="17.25">
      <c r="B3805" s="156"/>
      <c r="C3805" s="156"/>
      <c r="D3805" s="157"/>
      <c r="E3805" s="155"/>
      <c r="F3805" s="151"/>
      <c r="G3805" s="152"/>
      <c r="H3805" s="153"/>
      <c r="I3805" s="154"/>
      <c r="J3805" s="154"/>
      <c r="K3805" s="30" t="str">
        <f>IF(H3805="","",IF($C$30="간이법","",FPR(H3805,I3805,J3805)))</f>
        <v/>
      </c>
      <c r="L3805" s="30" t="str">
        <f>IF(H3805="","",IF($C$30="상세법",FPV(H3805,K3805),IF(H3805="EI",4,IF(H3805="EO",5.2,IF(H3805="EQ",3.9,IF(H3805="ILF",7.5,IF(H3805="EIF",5.4)))))))</f>
        <v/>
      </c>
      <c r="M3805" s="30" t="str">
        <f t="shared" si="408"/>
        <v/>
      </c>
      <c r="N3805" s="134"/>
      <c r="O3805" s="29"/>
      <c r="P3805" s="37" t="str">
        <f t="shared" si="409"/>
        <v/>
      </c>
      <c r="Q3805" s="38" t="str">
        <f t="shared" si="410"/>
        <v/>
      </c>
      <c r="R3805" s="37" t="str">
        <f t="shared" si="411"/>
        <v/>
      </c>
      <c r="S3805" s="37" t="str">
        <f t="shared" si="412"/>
        <v/>
      </c>
      <c r="T3805" s="38" t="str">
        <f t="shared" si="413"/>
        <v/>
      </c>
      <c r="U3805" s="37" t="str">
        <f t="shared" si="414"/>
        <v/>
      </c>
    </row>
    <row r="3806" spans="2:21" ht="17.25">
      <c r="B3806" s="156"/>
      <c r="C3806" s="156"/>
      <c r="D3806" s="157"/>
      <c r="E3806" s="155"/>
      <c r="F3806" s="151"/>
      <c r="G3806" s="152"/>
      <c r="H3806" s="153"/>
      <c r="I3806" s="154"/>
      <c r="J3806" s="154"/>
      <c r="K3806" s="30" t="str">
        <f>IF(H3806="","",IF($C$30="간이법","",FPR(H3806,I3806,J3806)))</f>
        <v/>
      </c>
      <c r="L3806" s="30" t="str">
        <f>IF(H3806="","",IF($C$30="상세법",FPV(H3806,K3806),IF(H3806="EI",4,IF(H3806="EO",5.2,IF(H3806="EQ",3.9,IF(H3806="ILF",7.5,IF(H3806="EIF",5.4)))))))</f>
        <v/>
      </c>
      <c r="M3806" s="30" t="str">
        <f t="shared" si="408"/>
        <v/>
      </c>
      <c r="N3806" s="134"/>
      <c r="O3806" s="29"/>
      <c r="P3806" s="37" t="str">
        <f t="shared" si="409"/>
        <v/>
      </c>
      <c r="Q3806" s="38" t="str">
        <f t="shared" si="410"/>
        <v/>
      </c>
      <c r="R3806" s="37" t="str">
        <f t="shared" si="411"/>
        <v/>
      </c>
      <c r="S3806" s="37" t="str">
        <f t="shared" si="412"/>
        <v/>
      </c>
      <c r="T3806" s="38" t="str">
        <f t="shared" si="413"/>
        <v/>
      </c>
      <c r="U3806" s="37" t="str">
        <f t="shared" si="414"/>
        <v/>
      </c>
    </row>
    <row r="3807" spans="2:21" ht="17.25">
      <c r="B3807" s="156"/>
      <c r="C3807" s="156"/>
      <c r="D3807" s="157"/>
      <c r="E3807" s="155"/>
      <c r="F3807" s="151"/>
      <c r="G3807" s="152"/>
      <c r="H3807" s="153"/>
      <c r="I3807" s="154"/>
      <c r="J3807" s="154"/>
      <c r="K3807" s="30" t="str">
        <f>IF(H3807="","",IF($C$30="간이법","",FPR(H3807,I3807,J3807)))</f>
        <v/>
      </c>
      <c r="L3807" s="30" t="str">
        <f>IF(H3807="","",IF($C$30="상세법",FPV(H3807,K3807),IF(H3807="EI",4,IF(H3807="EO",5.2,IF(H3807="EQ",3.9,IF(H3807="ILF",7.5,IF(H3807="EIF",5.4)))))))</f>
        <v/>
      </c>
      <c r="M3807" s="30" t="str">
        <f t="shared" si="408"/>
        <v/>
      </c>
      <c r="N3807" s="134"/>
      <c r="O3807" s="29"/>
      <c r="P3807" s="37" t="str">
        <f t="shared" si="409"/>
        <v/>
      </c>
      <c r="Q3807" s="38" t="str">
        <f t="shared" si="410"/>
        <v/>
      </c>
      <c r="R3807" s="37" t="str">
        <f t="shared" si="411"/>
        <v/>
      </c>
      <c r="S3807" s="37" t="str">
        <f t="shared" si="412"/>
        <v/>
      </c>
      <c r="T3807" s="38" t="str">
        <f t="shared" si="413"/>
        <v/>
      </c>
      <c r="U3807" s="37" t="str">
        <f t="shared" si="414"/>
        <v/>
      </c>
    </row>
    <row r="3808" spans="2:21" ht="17.25">
      <c r="B3808" s="156"/>
      <c r="C3808" s="156"/>
      <c r="D3808" s="157"/>
      <c r="E3808" s="155"/>
      <c r="F3808" s="151"/>
      <c r="G3808" s="152"/>
      <c r="H3808" s="153"/>
      <c r="I3808" s="154"/>
      <c r="J3808" s="154"/>
      <c r="K3808" s="30" t="str">
        <f>IF(H3808="","",IF($C$30="간이법","",FPR(H3808,I3808,J3808)))</f>
        <v/>
      </c>
      <c r="L3808" s="30" t="str">
        <f>IF(H3808="","",IF($C$30="상세법",FPV(H3808,K3808),IF(H3808="EI",4,IF(H3808="EO",5.2,IF(H3808="EQ",3.9,IF(H3808="ILF",7.5,IF(H3808="EIF",5.4)))))))</f>
        <v/>
      </c>
      <c r="M3808" s="30" t="str">
        <f t="shared" si="408"/>
        <v/>
      </c>
      <c r="N3808" s="134"/>
      <c r="O3808" s="29"/>
      <c r="P3808" s="37" t="str">
        <f t="shared" si="409"/>
        <v/>
      </c>
      <c r="Q3808" s="38" t="str">
        <f t="shared" si="410"/>
        <v/>
      </c>
      <c r="R3808" s="37" t="str">
        <f t="shared" si="411"/>
        <v/>
      </c>
      <c r="S3808" s="37" t="str">
        <f t="shared" si="412"/>
        <v/>
      </c>
      <c r="T3808" s="38" t="str">
        <f t="shared" si="413"/>
        <v/>
      </c>
      <c r="U3808" s="37" t="str">
        <f t="shared" si="414"/>
        <v/>
      </c>
    </row>
    <row r="3809" spans="2:21" ht="17.25">
      <c r="B3809" s="156"/>
      <c r="C3809" s="156"/>
      <c r="D3809" s="157"/>
      <c r="E3809" s="155"/>
      <c r="F3809" s="151"/>
      <c r="G3809" s="152"/>
      <c r="H3809" s="153"/>
      <c r="I3809" s="154"/>
      <c r="J3809" s="154"/>
      <c r="K3809" s="30" t="str">
        <f>IF(H3809="","",IF($C$30="간이법","",FPR(H3809,I3809,J3809)))</f>
        <v/>
      </c>
      <c r="L3809" s="30" t="str">
        <f>IF(H3809="","",IF($C$30="상세법",FPV(H3809,K3809),IF(H3809="EI",4,IF(H3809="EO",5.2,IF(H3809="EQ",3.9,IF(H3809="ILF",7.5,IF(H3809="EIF",5.4)))))))</f>
        <v/>
      </c>
      <c r="M3809" s="30" t="str">
        <f t="shared" si="408"/>
        <v/>
      </c>
      <c r="N3809" s="134"/>
      <c r="O3809" s="29"/>
      <c r="P3809" s="37" t="str">
        <f t="shared" si="409"/>
        <v/>
      </c>
      <c r="Q3809" s="38" t="str">
        <f t="shared" si="410"/>
        <v/>
      </c>
      <c r="R3809" s="37" t="str">
        <f t="shared" si="411"/>
        <v/>
      </c>
      <c r="S3809" s="37" t="str">
        <f t="shared" si="412"/>
        <v/>
      </c>
      <c r="T3809" s="38" t="str">
        <f t="shared" si="413"/>
        <v/>
      </c>
      <c r="U3809" s="37" t="str">
        <f t="shared" si="414"/>
        <v/>
      </c>
    </row>
    <row r="3810" spans="2:21" ht="17.25">
      <c r="B3810" s="156"/>
      <c r="C3810" s="156"/>
      <c r="D3810" s="157"/>
      <c r="E3810" s="155"/>
      <c r="F3810" s="151"/>
      <c r="G3810" s="152"/>
      <c r="H3810" s="153"/>
      <c r="I3810" s="154"/>
      <c r="J3810" s="154"/>
      <c r="K3810" s="30" t="str">
        <f>IF(H3810="","",IF($C$30="간이법","",FPR(H3810,I3810,J3810)))</f>
        <v/>
      </c>
      <c r="L3810" s="30" t="str">
        <f>IF(H3810="","",IF($C$30="상세법",FPV(H3810,K3810),IF(H3810="EI",4,IF(H3810="EO",5.2,IF(H3810="EQ",3.9,IF(H3810="ILF",7.5,IF(H3810="EIF",5.4)))))))</f>
        <v/>
      </c>
      <c r="M3810" s="30" t="str">
        <f t="shared" si="408"/>
        <v/>
      </c>
      <c r="N3810" s="134"/>
      <c r="O3810" s="29"/>
      <c r="P3810" s="37" t="str">
        <f t="shared" si="409"/>
        <v/>
      </c>
      <c r="Q3810" s="38" t="str">
        <f t="shared" si="410"/>
        <v/>
      </c>
      <c r="R3810" s="37" t="str">
        <f t="shared" si="411"/>
        <v/>
      </c>
      <c r="S3810" s="37" t="str">
        <f t="shared" si="412"/>
        <v/>
      </c>
      <c r="T3810" s="38" t="str">
        <f t="shared" si="413"/>
        <v/>
      </c>
      <c r="U3810" s="37" t="str">
        <f t="shared" si="414"/>
        <v/>
      </c>
    </row>
    <row r="3811" spans="2:21" ht="17.25">
      <c r="B3811" s="156"/>
      <c r="C3811" s="156"/>
      <c r="D3811" s="157"/>
      <c r="E3811" s="155"/>
      <c r="F3811" s="151"/>
      <c r="G3811" s="152"/>
      <c r="H3811" s="153"/>
      <c r="I3811" s="154"/>
      <c r="J3811" s="154"/>
      <c r="K3811" s="30" t="str">
        <f>IF(H3811="","",IF($C$30="간이법","",FPR(H3811,I3811,J3811)))</f>
        <v/>
      </c>
      <c r="L3811" s="30" t="str">
        <f>IF(H3811="","",IF($C$30="상세법",FPV(H3811,K3811),IF(H3811="EI",4,IF(H3811="EO",5.2,IF(H3811="EQ",3.9,IF(H3811="ILF",7.5,IF(H3811="EIF",5.4)))))))</f>
        <v/>
      </c>
      <c r="M3811" s="30" t="str">
        <f t="shared" si="408"/>
        <v/>
      </c>
      <c r="N3811" s="134"/>
      <c r="O3811" s="29"/>
      <c r="P3811" s="37" t="str">
        <f t="shared" si="409"/>
        <v/>
      </c>
      <c r="Q3811" s="38" t="str">
        <f t="shared" si="410"/>
        <v/>
      </c>
      <c r="R3811" s="37" t="str">
        <f t="shared" si="411"/>
        <v/>
      </c>
      <c r="S3811" s="37" t="str">
        <f t="shared" si="412"/>
        <v/>
      </c>
      <c r="T3811" s="38" t="str">
        <f t="shared" si="413"/>
        <v/>
      </c>
      <c r="U3811" s="37" t="str">
        <f t="shared" si="414"/>
        <v/>
      </c>
    </row>
    <row r="3812" spans="2:21" ht="17.25">
      <c r="B3812" s="156"/>
      <c r="C3812" s="156"/>
      <c r="D3812" s="157"/>
      <c r="E3812" s="155"/>
      <c r="F3812" s="151"/>
      <c r="G3812" s="152"/>
      <c r="H3812" s="153"/>
      <c r="I3812" s="154"/>
      <c r="J3812" s="154"/>
      <c r="K3812" s="30" t="str">
        <f>IF(H3812="","",IF($C$30="간이법","",FPR(H3812,I3812,J3812)))</f>
        <v/>
      </c>
      <c r="L3812" s="30" t="str">
        <f>IF(H3812="","",IF($C$30="상세법",FPV(H3812,K3812),IF(H3812="EI",4,IF(H3812="EO",5.2,IF(H3812="EQ",3.9,IF(H3812="ILF",7.5,IF(H3812="EIF",5.4)))))))</f>
        <v/>
      </c>
      <c r="M3812" s="30" t="str">
        <f t="shared" si="408"/>
        <v/>
      </c>
      <c r="N3812" s="134"/>
      <c r="O3812" s="29"/>
      <c r="P3812" s="37" t="str">
        <f t="shared" si="409"/>
        <v/>
      </c>
      <c r="Q3812" s="38" t="str">
        <f t="shared" si="410"/>
        <v/>
      </c>
      <c r="R3812" s="37" t="str">
        <f t="shared" si="411"/>
        <v/>
      </c>
      <c r="S3812" s="37" t="str">
        <f t="shared" si="412"/>
        <v/>
      </c>
      <c r="T3812" s="38" t="str">
        <f t="shared" si="413"/>
        <v/>
      </c>
      <c r="U3812" s="37" t="str">
        <f t="shared" si="414"/>
        <v/>
      </c>
    </row>
    <row r="3813" spans="2:21" ht="17.25">
      <c r="B3813" s="156"/>
      <c r="C3813" s="156"/>
      <c r="D3813" s="157"/>
      <c r="E3813" s="155"/>
      <c r="F3813" s="151"/>
      <c r="G3813" s="152"/>
      <c r="H3813" s="153"/>
      <c r="I3813" s="154"/>
      <c r="J3813" s="154"/>
      <c r="K3813" s="30" t="str">
        <f>IF(H3813="","",IF($C$30="간이법","",FPR(H3813,I3813,J3813)))</f>
        <v/>
      </c>
      <c r="L3813" s="30" t="str">
        <f>IF(H3813="","",IF($C$30="상세법",FPV(H3813,K3813),IF(H3813="EI",4,IF(H3813="EO",5.2,IF(H3813="EQ",3.9,IF(H3813="ILF",7.5,IF(H3813="EIF",5.4)))))))</f>
        <v/>
      </c>
      <c r="M3813" s="30" t="str">
        <f t="shared" si="408"/>
        <v/>
      </c>
      <c r="N3813" s="134"/>
      <c r="O3813" s="29"/>
      <c r="P3813" s="37" t="str">
        <f t="shared" si="409"/>
        <v/>
      </c>
      <c r="Q3813" s="38" t="str">
        <f t="shared" si="410"/>
        <v/>
      </c>
      <c r="R3813" s="37" t="str">
        <f t="shared" si="411"/>
        <v/>
      </c>
      <c r="S3813" s="37" t="str">
        <f t="shared" si="412"/>
        <v/>
      </c>
      <c r="T3813" s="38" t="str">
        <f t="shared" si="413"/>
        <v/>
      </c>
      <c r="U3813" s="37" t="str">
        <f t="shared" si="414"/>
        <v/>
      </c>
    </row>
    <row r="3814" spans="2:21" ht="17.25">
      <c r="B3814" s="156"/>
      <c r="C3814" s="156"/>
      <c r="D3814" s="157"/>
      <c r="E3814" s="155"/>
      <c r="F3814" s="151"/>
      <c r="G3814" s="152"/>
      <c r="H3814" s="153"/>
      <c r="I3814" s="154"/>
      <c r="J3814" s="154"/>
      <c r="K3814" s="30" t="str">
        <f>IF(H3814="","",IF($C$30="간이법","",FPR(H3814,I3814,J3814)))</f>
        <v/>
      </c>
      <c r="L3814" s="30" t="str">
        <f>IF(H3814="","",IF($C$30="상세법",FPV(H3814,K3814),IF(H3814="EI",4,IF(H3814="EO",5.2,IF(H3814="EQ",3.9,IF(H3814="ILF",7.5,IF(H3814="EIF",5.4)))))))</f>
        <v/>
      </c>
      <c r="M3814" s="30" t="str">
        <f t="shared" si="408"/>
        <v/>
      </c>
      <c r="N3814" s="134"/>
      <c r="O3814" s="29"/>
      <c r="P3814" s="37" t="str">
        <f t="shared" si="409"/>
        <v/>
      </c>
      <c r="Q3814" s="38" t="str">
        <f t="shared" si="410"/>
        <v/>
      </c>
      <c r="R3814" s="37" t="str">
        <f t="shared" si="411"/>
        <v/>
      </c>
      <c r="S3814" s="37" t="str">
        <f t="shared" si="412"/>
        <v/>
      </c>
      <c r="T3814" s="38" t="str">
        <f t="shared" si="413"/>
        <v/>
      </c>
      <c r="U3814" s="37" t="str">
        <f t="shared" si="414"/>
        <v/>
      </c>
    </row>
    <row r="3815" spans="2:21" ht="17.25">
      <c r="B3815" s="156"/>
      <c r="C3815" s="156"/>
      <c r="D3815" s="157"/>
      <c r="E3815" s="155"/>
      <c r="F3815" s="151"/>
      <c r="G3815" s="152"/>
      <c r="H3815" s="153"/>
      <c r="I3815" s="154"/>
      <c r="J3815" s="154"/>
      <c r="K3815" s="30" t="str">
        <f>IF(H3815="","",IF($C$30="간이법","",FPR(H3815,I3815,J3815)))</f>
        <v/>
      </c>
      <c r="L3815" s="30" t="str">
        <f>IF(H3815="","",IF($C$30="상세법",FPV(H3815,K3815),IF(H3815="EI",4,IF(H3815="EO",5.2,IF(H3815="EQ",3.9,IF(H3815="ILF",7.5,IF(H3815="EIF",5.4)))))))</f>
        <v/>
      </c>
      <c r="M3815" s="30" t="str">
        <f t="shared" si="408"/>
        <v/>
      </c>
      <c r="N3815" s="134"/>
      <c r="O3815" s="29"/>
      <c r="P3815" s="37" t="str">
        <f t="shared" si="409"/>
        <v/>
      </c>
      <c r="Q3815" s="38" t="str">
        <f t="shared" si="410"/>
        <v/>
      </c>
      <c r="R3815" s="37" t="str">
        <f t="shared" si="411"/>
        <v/>
      </c>
      <c r="S3815" s="37" t="str">
        <f t="shared" si="412"/>
        <v/>
      </c>
      <c r="T3815" s="38" t="str">
        <f t="shared" si="413"/>
        <v/>
      </c>
      <c r="U3815" s="37" t="str">
        <f t="shared" si="414"/>
        <v/>
      </c>
    </row>
    <row r="3816" spans="2:21" ht="17.25">
      <c r="B3816" s="156"/>
      <c r="C3816" s="156"/>
      <c r="D3816" s="157"/>
      <c r="E3816" s="155"/>
      <c r="F3816" s="151"/>
      <c r="G3816" s="152"/>
      <c r="H3816" s="153"/>
      <c r="I3816" s="154"/>
      <c r="J3816" s="154"/>
      <c r="K3816" s="30" t="str">
        <f>IF(H3816="","",IF($C$30="간이법","",FPR(H3816,I3816,J3816)))</f>
        <v/>
      </c>
      <c r="L3816" s="30" t="str">
        <f>IF(H3816="","",IF($C$30="상세법",FPV(H3816,K3816),IF(H3816="EI",4,IF(H3816="EO",5.2,IF(H3816="EQ",3.9,IF(H3816="ILF",7.5,IF(H3816="EIF",5.4)))))))</f>
        <v/>
      </c>
      <c r="M3816" s="30" t="str">
        <f t="shared" si="408"/>
        <v/>
      </c>
      <c r="N3816" s="134"/>
      <c r="O3816" s="29"/>
      <c r="P3816" s="37" t="str">
        <f t="shared" si="409"/>
        <v/>
      </c>
      <c r="Q3816" s="38" t="str">
        <f t="shared" si="410"/>
        <v/>
      </c>
      <c r="R3816" s="37" t="str">
        <f t="shared" si="411"/>
        <v/>
      </c>
      <c r="S3816" s="37" t="str">
        <f t="shared" si="412"/>
        <v/>
      </c>
      <c r="T3816" s="38" t="str">
        <f t="shared" si="413"/>
        <v/>
      </c>
      <c r="U3816" s="37" t="str">
        <f t="shared" si="414"/>
        <v/>
      </c>
    </row>
    <row r="3817" spans="2:21" ht="17.25">
      <c r="B3817" s="156"/>
      <c r="C3817" s="156"/>
      <c r="D3817" s="157"/>
      <c r="E3817" s="155"/>
      <c r="F3817" s="151"/>
      <c r="G3817" s="152"/>
      <c r="H3817" s="153"/>
      <c r="I3817" s="154"/>
      <c r="J3817" s="154"/>
      <c r="K3817" s="30" t="str">
        <f>IF(H3817="","",IF($C$30="간이법","",FPR(H3817,I3817,J3817)))</f>
        <v/>
      </c>
      <c r="L3817" s="30" t="str">
        <f>IF(H3817="","",IF($C$30="상세법",FPV(H3817,K3817),IF(H3817="EI",4,IF(H3817="EO",5.2,IF(H3817="EQ",3.9,IF(H3817="ILF",7.5,IF(H3817="EIF",5.4)))))))</f>
        <v/>
      </c>
      <c r="M3817" s="30" t="str">
        <f t="shared" si="408"/>
        <v/>
      </c>
      <c r="N3817" s="134"/>
      <c r="O3817" s="29"/>
      <c r="P3817" s="37" t="str">
        <f t="shared" si="409"/>
        <v/>
      </c>
      <c r="Q3817" s="38" t="str">
        <f t="shared" si="410"/>
        <v/>
      </c>
      <c r="R3817" s="37" t="str">
        <f t="shared" si="411"/>
        <v/>
      </c>
      <c r="S3817" s="37" t="str">
        <f t="shared" si="412"/>
        <v/>
      </c>
      <c r="T3817" s="38" t="str">
        <f t="shared" si="413"/>
        <v/>
      </c>
      <c r="U3817" s="37" t="str">
        <f t="shared" si="414"/>
        <v/>
      </c>
    </row>
    <row r="3818" spans="2:21" ht="17.25">
      <c r="B3818" s="156"/>
      <c r="C3818" s="156"/>
      <c r="D3818" s="157"/>
      <c r="E3818" s="155"/>
      <c r="F3818" s="151"/>
      <c r="G3818" s="152"/>
      <c r="H3818" s="153"/>
      <c r="I3818" s="154"/>
      <c r="J3818" s="154"/>
      <c r="K3818" s="30" t="str">
        <f>IF(H3818="","",IF($C$30="간이법","",FPR(H3818,I3818,J3818)))</f>
        <v/>
      </c>
      <c r="L3818" s="30" t="str">
        <f>IF(H3818="","",IF($C$30="상세법",FPV(H3818,K3818),IF(H3818="EI",4,IF(H3818="EO",5.2,IF(H3818="EQ",3.9,IF(H3818="ILF",7.5,IF(H3818="EIF",5.4)))))))</f>
        <v/>
      </c>
      <c r="M3818" s="30" t="str">
        <f t="shared" si="408"/>
        <v/>
      </c>
      <c r="N3818" s="134"/>
      <c r="O3818" s="29"/>
      <c r="P3818" s="37" t="str">
        <f t="shared" si="409"/>
        <v/>
      </c>
      <c r="Q3818" s="38" t="str">
        <f t="shared" si="410"/>
        <v/>
      </c>
      <c r="R3818" s="37" t="str">
        <f t="shared" si="411"/>
        <v/>
      </c>
      <c r="S3818" s="37" t="str">
        <f t="shared" si="412"/>
        <v/>
      </c>
      <c r="T3818" s="38" t="str">
        <f t="shared" si="413"/>
        <v/>
      </c>
      <c r="U3818" s="37" t="str">
        <f t="shared" si="414"/>
        <v/>
      </c>
    </row>
    <row r="3819" spans="2:21" ht="17.25">
      <c r="B3819" s="156"/>
      <c r="C3819" s="156"/>
      <c r="D3819" s="157"/>
      <c r="E3819" s="155"/>
      <c r="F3819" s="151"/>
      <c r="G3819" s="152"/>
      <c r="H3819" s="153"/>
      <c r="I3819" s="154"/>
      <c r="J3819" s="154"/>
      <c r="K3819" s="30" t="str">
        <f>IF(H3819="","",IF($C$30="간이법","",FPR(H3819,I3819,J3819)))</f>
        <v/>
      </c>
      <c r="L3819" s="30" t="str">
        <f>IF(H3819="","",IF($C$30="상세법",FPV(H3819,K3819),IF(H3819="EI",4,IF(H3819="EO",5.2,IF(H3819="EQ",3.9,IF(H3819="ILF",7.5,IF(H3819="EIF",5.4)))))))</f>
        <v/>
      </c>
      <c r="M3819" s="30" t="str">
        <f t="shared" si="408"/>
        <v/>
      </c>
      <c r="N3819" s="134"/>
      <c r="O3819" s="29"/>
      <c r="P3819" s="37" t="str">
        <f t="shared" si="409"/>
        <v/>
      </c>
      <c r="Q3819" s="38" t="str">
        <f t="shared" si="410"/>
        <v/>
      </c>
      <c r="R3819" s="37" t="str">
        <f t="shared" si="411"/>
        <v/>
      </c>
      <c r="S3819" s="37" t="str">
        <f t="shared" si="412"/>
        <v/>
      </c>
      <c r="T3819" s="38" t="str">
        <f t="shared" si="413"/>
        <v/>
      </c>
      <c r="U3819" s="37" t="str">
        <f t="shared" si="414"/>
        <v/>
      </c>
    </row>
    <row r="3820" spans="2:21" ht="17.25">
      <c r="B3820" s="156"/>
      <c r="C3820" s="156"/>
      <c r="D3820" s="157"/>
      <c r="E3820" s="155"/>
      <c r="F3820" s="151"/>
      <c r="G3820" s="152"/>
      <c r="H3820" s="153"/>
      <c r="I3820" s="154"/>
      <c r="J3820" s="154"/>
      <c r="K3820" s="30" t="str">
        <f>IF(H3820="","",IF($C$30="간이법","",FPR(H3820,I3820,J3820)))</f>
        <v/>
      </c>
      <c r="L3820" s="30" t="str">
        <f>IF(H3820="","",IF($C$30="상세법",FPV(H3820,K3820),IF(H3820="EI",4,IF(H3820="EO",5.2,IF(H3820="EQ",3.9,IF(H3820="ILF",7.5,IF(H3820="EIF",5.4)))))))</f>
        <v/>
      </c>
      <c r="M3820" s="30" t="str">
        <f t="shared" si="408"/>
        <v/>
      </c>
      <c r="N3820" s="134"/>
      <c r="O3820" s="29"/>
      <c r="P3820" s="37" t="str">
        <f t="shared" si="409"/>
        <v/>
      </c>
      <c r="Q3820" s="38" t="str">
        <f t="shared" si="410"/>
        <v/>
      </c>
      <c r="R3820" s="37" t="str">
        <f t="shared" si="411"/>
        <v/>
      </c>
      <c r="S3820" s="37" t="str">
        <f t="shared" si="412"/>
        <v/>
      </c>
      <c r="T3820" s="38" t="str">
        <f t="shared" si="413"/>
        <v/>
      </c>
      <c r="U3820" s="37" t="str">
        <f t="shared" si="414"/>
        <v/>
      </c>
    </row>
    <row r="3821" spans="2:21" ht="17.25">
      <c r="B3821" s="156"/>
      <c r="C3821" s="156"/>
      <c r="D3821" s="157"/>
      <c r="E3821" s="155"/>
      <c r="F3821" s="151"/>
      <c r="G3821" s="152"/>
      <c r="H3821" s="153"/>
      <c r="I3821" s="154"/>
      <c r="J3821" s="154"/>
      <c r="K3821" s="30" t="str">
        <f>IF(H3821="","",IF($C$30="간이법","",FPR(H3821,I3821,J3821)))</f>
        <v/>
      </c>
      <c r="L3821" s="30" t="str">
        <f>IF(H3821="","",IF($C$30="상세법",FPV(H3821,K3821),IF(H3821="EI",4,IF(H3821="EO",5.2,IF(H3821="EQ",3.9,IF(H3821="ILF",7.5,IF(H3821="EIF",5.4)))))))</f>
        <v/>
      </c>
      <c r="M3821" s="30" t="str">
        <f t="shared" si="408"/>
        <v/>
      </c>
      <c r="N3821" s="134"/>
      <c r="O3821" s="29"/>
      <c r="P3821" s="37" t="str">
        <f t="shared" si="409"/>
        <v/>
      </c>
      <c r="Q3821" s="38" t="str">
        <f t="shared" si="410"/>
        <v/>
      </c>
      <c r="R3821" s="37" t="str">
        <f t="shared" si="411"/>
        <v/>
      </c>
      <c r="S3821" s="37" t="str">
        <f t="shared" si="412"/>
        <v/>
      </c>
      <c r="T3821" s="38" t="str">
        <f t="shared" si="413"/>
        <v/>
      </c>
      <c r="U3821" s="37" t="str">
        <f t="shared" si="414"/>
        <v/>
      </c>
    </row>
    <row r="3822" spans="2:21" ht="17.25">
      <c r="B3822" s="156"/>
      <c r="C3822" s="156"/>
      <c r="D3822" s="157"/>
      <c r="E3822" s="155"/>
      <c r="F3822" s="151"/>
      <c r="G3822" s="152"/>
      <c r="H3822" s="153"/>
      <c r="I3822" s="154"/>
      <c r="J3822" s="154"/>
      <c r="K3822" s="30" t="str">
        <f>IF(H3822="","",IF($C$30="간이법","",FPR(H3822,I3822,J3822)))</f>
        <v/>
      </c>
      <c r="L3822" s="30" t="str">
        <f>IF(H3822="","",IF($C$30="상세법",FPV(H3822,K3822),IF(H3822="EI",4,IF(H3822="EO",5.2,IF(H3822="EQ",3.9,IF(H3822="ILF",7.5,IF(H3822="EIF",5.4)))))))</f>
        <v/>
      </c>
      <c r="M3822" s="30" t="str">
        <f t="shared" si="408"/>
        <v/>
      </c>
      <c r="N3822" s="134"/>
      <c r="O3822" s="29"/>
      <c r="P3822" s="37" t="str">
        <f t="shared" si="409"/>
        <v/>
      </c>
      <c r="Q3822" s="38" t="str">
        <f t="shared" si="410"/>
        <v/>
      </c>
      <c r="R3822" s="37" t="str">
        <f t="shared" si="411"/>
        <v/>
      </c>
      <c r="S3822" s="37" t="str">
        <f t="shared" si="412"/>
        <v/>
      </c>
      <c r="T3822" s="38" t="str">
        <f t="shared" si="413"/>
        <v/>
      </c>
      <c r="U3822" s="37" t="str">
        <f t="shared" si="414"/>
        <v/>
      </c>
    </row>
    <row r="3823" spans="2:21" ht="17.25">
      <c r="B3823" s="156"/>
      <c r="C3823" s="156"/>
      <c r="D3823" s="157"/>
      <c r="E3823" s="155"/>
      <c r="F3823" s="151"/>
      <c r="G3823" s="152"/>
      <c r="H3823" s="153"/>
      <c r="I3823" s="154"/>
      <c r="J3823" s="154"/>
      <c r="K3823" s="30" t="str">
        <f>IF(H3823="","",IF($C$30="간이법","",FPR(H3823,I3823,J3823)))</f>
        <v/>
      </c>
      <c r="L3823" s="30" t="str">
        <f>IF(H3823="","",IF($C$30="상세법",FPV(H3823,K3823),IF(H3823="EI",4,IF(H3823="EO",5.2,IF(H3823="EQ",3.9,IF(H3823="ILF",7.5,IF(H3823="EIF",5.4)))))))</f>
        <v/>
      </c>
      <c r="M3823" s="30" t="str">
        <f t="shared" si="408"/>
        <v/>
      </c>
      <c r="N3823" s="134"/>
      <c r="O3823" s="29"/>
      <c r="P3823" s="37" t="str">
        <f t="shared" si="409"/>
        <v/>
      </c>
      <c r="Q3823" s="38" t="str">
        <f t="shared" si="410"/>
        <v/>
      </c>
      <c r="R3823" s="37" t="str">
        <f t="shared" si="411"/>
        <v/>
      </c>
      <c r="S3823" s="37" t="str">
        <f t="shared" si="412"/>
        <v/>
      </c>
      <c r="T3823" s="38" t="str">
        <f t="shared" si="413"/>
        <v/>
      </c>
      <c r="U3823" s="37" t="str">
        <f t="shared" si="414"/>
        <v/>
      </c>
    </row>
    <row r="3824" spans="2:21" ht="17.25">
      <c r="B3824" s="156"/>
      <c r="C3824" s="156"/>
      <c r="D3824" s="157"/>
      <c r="E3824" s="155"/>
      <c r="F3824" s="151"/>
      <c r="G3824" s="152"/>
      <c r="H3824" s="153"/>
      <c r="I3824" s="154"/>
      <c r="J3824" s="154"/>
      <c r="K3824" s="30" t="str">
        <f>IF(H3824="","",IF($C$30="간이법","",FPR(H3824,I3824,J3824)))</f>
        <v/>
      </c>
      <c r="L3824" s="30" t="str">
        <f>IF(H3824="","",IF($C$30="상세법",FPV(H3824,K3824),IF(H3824="EI",4,IF(H3824="EO",5.2,IF(H3824="EQ",3.9,IF(H3824="ILF",7.5,IF(H3824="EIF",5.4)))))))</f>
        <v/>
      </c>
      <c r="M3824" s="30" t="str">
        <f t="shared" si="408"/>
        <v/>
      </c>
      <c r="N3824" s="134"/>
      <c r="O3824" s="29"/>
      <c r="P3824" s="37" t="str">
        <f t="shared" si="409"/>
        <v/>
      </c>
      <c r="Q3824" s="38" t="str">
        <f t="shared" si="410"/>
        <v/>
      </c>
      <c r="R3824" s="37" t="str">
        <f t="shared" si="411"/>
        <v/>
      </c>
      <c r="S3824" s="37" t="str">
        <f t="shared" si="412"/>
        <v/>
      </c>
      <c r="T3824" s="38" t="str">
        <f t="shared" si="413"/>
        <v/>
      </c>
      <c r="U3824" s="37" t="str">
        <f t="shared" si="414"/>
        <v/>
      </c>
    </row>
    <row r="3825" spans="2:21" ht="17.25">
      <c r="B3825" s="156"/>
      <c r="C3825" s="156"/>
      <c r="D3825" s="157"/>
      <c r="E3825" s="155"/>
      <c r="F3825" s="151"/>
      <c r="G3825" s="152"/>
      <c r="H3825" s="153"/>
      <c r="I3825" s="154"/>
      <c r="J3825" s="154"/>
      <c r="K3825" s="30" t="str">
        <f>IF(H3825="","",IF($C$30="간이법","",FPR(H3825,I3825,J3825)))</f>
        <v/>
      </c>
      <c r="L3825" s="30" t="str">
        <f>IF(H3825="","",IF($C$30="상세법",FPV(H3825,K3825),IF(H3825="EI",4,IF(H3825="EO",5.2,IF(H3825="EQ",3.9,IF(H3825="ILF",7.5,IF(H3825="EIF",5.4)))))))</f>
        <v/>
      </c>
      <c r="M3825" s="30" t="str">
        <f t="shared" si="408"/>
        <v/>
      </c>
      <c r="N3825" s="134"/>
      <c r="O3825" s="29"/>
      <c r="P3825" s="37" t="str">
        <f t="shared" si="409"/>
        <v/>
      </c>
      <c r="Q3825" s="38" t="str">
        <f t="shared" si="410"/>
        <v/>
      </c>
      <c r="R3825" s="37" t="str">
        <f t="shared" si="411"/>
        <v/>
      </c>
      <c r="S3825" s="37" t="str">
        <f t="shared" si="412"/>
        <v/>
      </c>
      <c r="T3825" s="38" t="str">
        <f t="shared" si="413"/>
        <v/>
      </c>
      <c r="U3825" s="37" t="str">
        <f t="shared" si="414"/>
        <v/>
      </c>
    </row>
    <row r="3826" spans="2:21" ht="17.25">
      <c r="B3826" s="156"/>
      <c r="C3826" s="156"/>
      <c r="D3826" s="157"/>
      <c r="E3826" s="155"/>
      <c r="F3826" s="151"/>
      <c r="G3826" s="152"/>
      <c r="H3826" s="153"/>
      <c r="I3826" s="154"/>
      <c r="J3826" s="154"/>
      <c r="K3826" s="30" t="str">
        <f>IF(H3826="","",IF($C$30="간이법","",FPR(H3826,I3826,J3826)))</f>
        <v/>
      </c>
      <c r="L3826" s="30" t="str">
        <f>IF(H3826="","",IF($C$30="상세법",FPV(H3826,K3826),IF(H3826="EI",4,IF(H3826="EO",5.2,IF(H3826="EQ",3.9,IF(H3826="ILF",7.5,IF(H3826="EIF",5.4)))))))</f>
        <v/>
      </c>
      <c r="M3826" s="30" t="str">
        <f t="shared" si="408"/>
        <v/>
      </c>
      <c r="N3826" s="134"/>
      <c r="O3826" s="29"/>
      <c r="P3826" s="37" t="str">
        <f t="shared" si="409"/>
        <v/>
      </c>
      <c r="Q3826" s="38" t="str">
        <f t="shared" si="410"/>
        <v/>
      </c>
      <c r="R3826" s="37" t="str">
        <f t="shared" si="411"/>
        <v/>
      </c>
      <c r="S3826" s="37" t="str">
        <f t="shared" si="412"/>
        <v/>
      </c>
      <c r="T3826" s="38" t="str">
        <f t="shared" si="413"/>
        <v/>
      </c>
      <c r="U3826" s="37" t="str">
        <f t="shared" si="414"/>
        <v/>
      </c>
    </row>
    <row r="3827" spans="2:21" ht="17.25">
      <c r="B3827" s="156"/>
      <c r="C3827" s="156"/>
      <c r="D3827" s="157"/>
      <c r="E3827" s="155"/>
      <c r="F3827" s="151"/>
      <c r="G3827" s="152"/>
      <c r="H3827" s="153"/>
      <c r="I3827" s="154"/>
      <c r="J3827" s="154"/>
      <c r="K3827" s="30" t="str">
        <f>IF(H3827="","",IF($C$30="간이법","",FPR(H3827,I3827,J3827)))</f>
        <v/>
      </c>
      <c r="L3827" s="30" t="str">
        <f>IF(H3827="","",IF($C$30="상세법",FPV(H3827,K3827),IF(H3827="EI",4,IF(H3827="EO",5.2,IF(H3827="EQ",3.9,IF(H3827="ILF",7.5,IF(H3827="EIF",5.4)))))))</f>
        <v/>
      </c>
      <c r="M3827" s="30" t="str">
        <f t="shared" si="408"/>
        <v/>
      </c>
      <c r="N3827" s="134"/>
      <c r="O3827" s="29"/>
      <c r="P3827" s="37" t="str">
        <f t="shared" si="409"/>
        <v/>
      </c>
      <c r="Q3827" s="38" t="str">
        <f t="shared" si="410"/>
        <v/>
      </c>
      <c r="R3827" s="37" t="str">
        <f t="shared" si="411"/>
        <v/>
      </c>
      <c r="S3827" s="37" t="str">
        <f t="shared" si="412"/>
        <v/>
      </c>
      <c r="T3827" s="38" t="str">
        <f t="shared" si="413"/>
        <v/>
      </c>
      <c r="U3827" s="37" t="str">
        <f t="shared" si="414"/>
        <v/>
      </c>
    </row>
    <row r="3828" spans="2:21" ht="17.25">
      <c r="B3828" s="156"/>
      <c r="C3828" s="156"/>
      <c r="D3828" s="157"/>
      <c r="E3828" s="155"/>
      <c r="F3828" s="151"/>
      <c r="G3828" s="152"/>
      <c r="H3828" s="153"/>
      <c r="I3828" s="154"/>
      <c r="J3828" s="154"/>
      <c r="K3828" s="30" t="str">
        <f>IF(H3828="","",IF($C$30="간이법","",FPR(H3828,I3828,J3828)))</f>
        <v/>
      </c>
      <c r="L3828" s="30" t="str">
        <f>IF(H3828="","",IF($C$30="상세법",FPV(H3828,K3828),IF(H3828="EI",4,IF(H3828="EO",5.2,IF(H3828="EQ",3.9,IF(H3828="ILF",7.5,IF(H3828="EIF",5.4)))))))</f>
        <v/>
      </c>
      <c r="M3828" s="30" t="str">
        <f t="shared" si="408"/>
        <v/>
      </c>
      <c r="N3828" s="134"/>
      <c r="O3828" s="29"/>
      <c r="P3828" s="37" t="str">
        <f t="shared" si="409"/>
        <v/>
      </c>
      <c r="Q3828" s="38" t="str">
        <f t="shared" si="410"/>
        <v/>
      </c>
      <c r="R3828" s="37" t="str">
        <f t="shared" si="411"/>
        <v/>
      </c>
      <c r="S3828" s="37" t="str">
        <f t="shared" si="412"/>
        <v/>
      </c>
      <c r="T3828" s="38" t="str">
        <f t="shared" si="413"/>
        <v/>
      </c>
      <c r="U3828" s="37" t="str">
        <f t="shared" si="414"/>
        <v/>
      </c>
    </row>
    <row r="3829" spans="2:21" ht="17.25">
      <c r="B3829" s="156"/>
      <c r="C3829" s="156"/>
      <c r="D3829" s="157"/>
      <c r="E3829" s="155"/>
      <c r="F3829" s="151"/>
      <c r="G3829" s="152"/>
      <c r="H3829" s="153"/>
      <c r="I3829" s="154"/>
      <c r="J3829" s="154"/>
      <c r="K3829" s="30" t="str">
        <f>IF(H3829="","",IF($C$30="간이법","",FPR(H3829,I3829,J3829)))</f>
        <v/>
      </c>
      <c r="L3829" s="30" t="str">
        <f>IF(H3829="","",IF($C$30="상세법",FPV(H3829,K3829),IF(H3829="EI",4,IF(H3829="EO",5.2,IF(H3829="EQ",3.9,IF(H3829="ILF",7.5,IF(H3829="EIF",5.4)))))))</f>
        <v/>
      </c>
      <c r="M3829" s="30" t="str">
        <f t="shared" si="408"/>
        <v/>
      </c>
      <c r="N3829" s="134"/>
      <c r="O3829" s="29"/>
      <c r="P3829" s="37" t="str">
        <f t="shared" si="409"/>
        <v/>
      </c>
      <c r="Q3829" s="38" t="str">
        <f t="shared" si="410"/>
        <v/>
      </c>
      <c r="R3829" s="37" t="str">
        <f t="shared" si="411"/>
        <v/>
      </c>
      <c r="S3829" s="37" t="str">
        <f t="shared" si="412"/>
        <v/>
      </c>
      <c r="T3829" s="38" t="str">
        <f t="shared" si="413"/>
        <v/>
      </c>
      <c r="U3829" s="37" t="str">
        <f t="shared" si="414"/>
        <v/>
      </c>
    </row>
    <row r="3830" spans="2:21" ht="17.25">
      <c r="B3830" s="156"/>
      <c r="C3830" s="156"/>
      <c r="D3830" s="157"/>
      <c r="E3830" s="155"/>
      <c r="F3830" s="151"/>
      <c r="G3830" s="152"/>
      <c r="H3830" s="153"/>
      <c r="I3830" s="154"/>
      <c r="J3830" s="154"/>
      <c r="K3830" s="30" t="str">
        <f>IF(H3830="","",IF($C$30="간이법","",FPR(H3830,I3830,J3830)))</f>
        <v/>
      </c>
      <c r="L3830" s="30" t="str">
        <f>IF(H3830="","",IF($C$30="상세법",FPV(H3830,K3830),IF(H3830="EI",4,IF(H3830="EO",5.2,IF(H3830="EQ",3.9,IF(H3830="ILF",7.5,IF(H3830="EIF",5.4)))))))</f>
        <v/>
      </c>
      <c r="M3830" s="30" t="str">
        <f t="shared" si="408"/>
        <v/>
      </c>
      <c r="N3830" s="134"/>
      <c r="O3830" s="29"/>
      <c r="P3830" s="37" t="str">
        <f t="shared" si="409"/>
        <v/>
      </c>
      <c r="Q3830" s="38" t="str">
        <f t="shared" si="410"/>
        <v/>
      </c>
      <c r="R3830" s="37" t="str">
        <f t="shared" si="411"/>
        <v/>
      </c>
      <c r="S3830" s="37" t="str">
        <f t="shared" si="412"/>
        <v/>
      </c>
      <c r="T3830" s="38" t="str">
        <f t="shared" si="413"/>
        <v/>
      </c>
      <c r="U3830" s="37" t="str">
        <f t="shared" si="414"/>
        <v/>
      </c>
    </row>
    <row r="3831" spans="2:21" ht="17.25">
      <c r="B3831" s="156"/>
      <c r="C3831" s="156"/>
      <c r="D3831" s="157"/>
      <c r="E3831" s="155"/>
      <c r="F3831" s="151"/>
      <c r="G3831" s="152"/>
      <c r="H3831" s="153"/>
      <c r="I3831" s="154"/>
      <c r="J3831" s="154"/>
      <c r="K3831" s="30" t="str">
        <f>IF(H3831="","",IF($C$30="간이법","",FPR(H3831,I3831,J3831)))</f>
        <v/>
      </c>
      <c r="L3831" s="30" t="str">
        <f>IF(H3831="","",IF($C$30="상세법",FPV(H3831,K3831),IF(H3831="EI",4,IF(H3831="EO",5.2,IF(H3831="EQ",3.9,IF(H3831="ILF",7.5,IF(H3831="EIF",5.4)))))))</f>
        <v/>
      </c>
      <c r="M3831" s="30" t="str">
        <f t="shared" si="408"/>
        <v/>
      </c>
      <c r="N3831" s="134"/>
      <c r="O3831" s="29"/>
      <c r="P3831" s="37" t="str">
        <f t="shared" si="409"/>
        <v/>
      </c>
      <c r="Q3831" s="38" t="str">
        <f t="shared" si="410"/>
        <v/>
      </c>
      <c r="R3831" s="37" t="str">
        <f t="shared" si="411"/>
        <v/>
      </c>
      <c r="S3831" s="37" t="str">
        <f t="shared" si="412"/>
        <v/>
      </c>
      <c r="T3831" s="38" t="str">
        <f t="shared" si="413"/>
        <v/>
      </c>
      <c r="U3831" s="37" t="str">
        <f t="shared" si="414"/>
        <v/>
      </c>
    </row>
    <row r="3832" spans="2:21" ht="17.25">
      <c r="B3832" s="156"/>
      <c r="C3832" s="156"/>
      <c r="D3832" s="157"/>
      <c r="E3832" s="155"/>
      <c r="F3832" s="151"/>
      <c r="G3832" s="152"/>
      <c r="H3832" s="153"/>
      <c r="I3832" s="154"/>
      <c r="J3832" s="154"/>
      <c r="K3832" s="30" t="str">
        <f>IF(H3832="","",IF($C$30="간이법","",FPR(H3832,I3832,J3832)))</f>
        <v/>
      </c>
      <c r="L3832" s="30" t="str">
        <f>IF(H3832="","",IF($C$30="상세법",FPV(H3832,K3832),IF(H3832="EI",4,IF(H3832="EO",5.2,IF(H3832="EQ",3.9,IF(H3832="ILF",7.5,IF(H3832="EIF",5.4)))))))</f>
        <v/>
      </c>
      <c r="M3832" s="30" t="str">
        <f t="shared" si="408"/>
        <v/>
      </c>
      <c r="N3832" s="134"/>
      <c r="O3832" s="29"/>
      <c r="P3832" s="37" t="str">
        <f t="shared" si="409"/>
        <v/>
      </c>
      <c r="Q3832" s="38" t="str">
        <f t="shared" si="410"/>
        <v/>
      </c>
      <c r="R3832" s="37" t="str">
        <f t="shared" si="411"/>
        <v/>
      </c>
      <c r="S3832" s="37" t="str">
        <f t="shared" si="412"/>
        <v/>
      </c>
      <c r="T3832" s="38" t="str">
        <f t="shared" si="413"/>
        <v/>
      </c>
      <c r="U3832" s="37" t="str">
        <f t="shared" si="414"/>
        <v/>
      </c>
    </row>
    <row r="3833" spans="2:21" ht="17.25">
      <c r="B3833" s="156"/>
      <c r="C3833" s="156"/>
      <c r="D3833" s="157"/>
      <c r="E3833" s="155"/>
      <c r="F3833" s="151"/>
      <c r="G3833" s="152"/>
      <c r="H3833" s="153"/>
      <c r="I3833" s="154"/>
      <c r="J3833" s="154"/>
      <c r="K3833" s="30" t="str">
        <f>IF(H3833="","",IF($C$30="간이법","",FPR(H3833,I3833,J3833)))</f>
        <v/>
      </c>
      <c r="L3833" s="30" t="str">
        <f>IF(H3833="","",IF($C$30="상세법",FPV(H3833,K3833),IF(H3833="EI",4,IF(H3833="EO",5.2,IF(H3833="EQ",3.9,IF(H3833="ILF",7.5,IF(H3833="EIF",5.4)))))))</f>
        <v/>
      </c>
      <c r="M3833" s="30" t="str">
        <f t="shared" si="408"/>
        <v/>
      </c>
      <c r="N3833" s="134"/>
      <c r="O3833" s="29"/>
      <c r="P3833" s="37" t="str">
        <f t="shared" si="409"/>
        <v/>
      </c>
      <c r="Q3833" s="38" t="str">
        <f t="shared" si="410"/>
        <v/>
      </c>
      <c r="R3833" s="37" t="str">
        <f t="shared" si="411"/>
        <v/>
      </c>
      <c r="S3833" s="37" t="str">
        <f t="shared" si="412"/>
        <v/>
      </c>
      <c r="T3833" s="38" t="str">
        <f t="shared" si="413"/>
        <v/>
      </c>
      <c r="U3833" s="37" t="str">
        <f t="shared" si="414"/>
        <v/>
      </c>
    </row>
    <row r="3834" spans="2:21" ht="17.25">
      <c r="B3834" s="156"/>
      <c r="C3834" s="156"/>
      <c r="D3834" s="157"/>
      <c r="E3834" s="155"/>
      <c r="F3834" s="151"/>
      <c r="G3834" s="152"/>
      <c r="H3834" s="153"/>
      <c r="I3834" s="154"/>
      <c r="J3834" s="154"/>
      <c r="K3834" s="30" t="str">
        <f>IF(H3834="","",IF($C$30="간이법","",FPR(H3834,I3834,J3834)))</f>
        <v/>
      </c>
      <c r="L3834" s="30" t="str">
        <f>IF(H3834="","",IF($C$30="상세법",FPV(H3834,K3834),IF(H3834="EI",4,IF(H3834="EO",5.2,IF(H3834="EQ",3.9,IF(H3834="ILF",7.5,IF(H3834="EIF",5.4)))))))</f>
        <v/>
      </c>
      <c r="M3834" s="30" t="str">
        <f t="shared" si="408"/>
        <v/>
      </c>
      <c r="N3834" s="134"/>
      <c r="O3834" s="29"/>
      <c r="P3834" s="37" t="str">
        <f t="shared" si="409"/>
        <v/>
      </c>
      <c r="Q3834" s="38" t="str">
        <f t="shared" si="410"/>
        <v/>
      </c>
      <c r="R3834" s="37" t="str">
        <f t="shared" si="411"/>
        <v/>
      </c>
      <c r="S3834" s="37" t="str">
        <f t="shared" si="412"/>
        <v/>
      </c>
      <c r="T3834" s="38" t="str">
        <f t="shared" si="413"/>
        <v/>
      </c>
      <c r="U3834" s="37" t="str">
        <f t="shared" si="414"/>
        <v/>
      </c>
    </row>
    <row r="3835" spans="2:21" ht="17.25">
      <c r="B3835" s="156"/>
      <c r="C3835" s="156"/>
      <c r="D3835" s="157"/>
      <c r="E3835" s="155"/>
      <c r="F3835" s="151"/>
      <c r="G3835" s="152"/>
      <c r="H3835" s="153"/>
      <c r="I3835" s="154"/>
      <c r="J3835" s="154"/>
      <c r="K3835" s="30" t="str">
        <f>IF(H3835="","",IF($C$30="간이법","",FPR(H3835,I3835,J3835)))</f>
        <v/>
      </c>
      <c r="L3835" s="30" t="str">
        <f>IF(H3835="","",IF($C$30="상세법",FPV(H3835,K3835),IF(H3835="EI",4,IF(H3835="EO",5.2,IF(H3835="EQ",3.9,IF(H3835="ILF",7.5,IF(H3835="EIF",5.4)))))))</f>
        <v/>
      </c>
      <c r="M3835" s="30" t="str">
        <f t="shared" si="408"/>
        <v/>
      </c>
      <c r="N3835" s="134"/>
      <c r="O3835" s="29"/>
      <c r="P3835" s="37" t="str">
        <f t="shared" si="409"/>
        <v/>
      </c>
      <c r="Q3835" s="38" t="str">
        <f t="shared" si="410"/>
        <v/>
      </c>
      <c r="R3835" s="37" t="str">
        <f t="shared" si="411"/>
        <v/>
      </c>
      <c r="S3835" s="37" t="str">
        <f t="shared" si="412"/>
        <v/>
      </c>
      <c r="T3835" s="38" t="str">
        <f t="shared" si="413"/>
        <v/>
      </c>
      <c r="U3835" s="37" t="str">
        <f t="shared" si="414"/>
        <v/>
      </c>
    </row>
    <row r="3836" spans="2:21" ht="17.25">
      <c r="B3836" s="156"/>
      <c r="C3836" s="156"/>
      <c r="D3836" s="157"/>
      <c r="E3836" s="155"/>
      <c r="F3836" s="151"/>
      <c r="G3836" s="152"/>
      <c r="H3836" s="153"/>
      <c r="I3836" s="154"/>
      <c r="J3836" s="154"/>
      <c r="K3836" s="30" t="str">
        <f>IF(H3836="","",IF($C$30="간이법","",FPR(H3836,I3836,J3836)))</f>
        <v/>
      </c>
      <c r="L3836" s="30" t="str">
        <f>IF(H3836="","",IF($C$30="상세법",FPV(H3836,K3836),IF(H3836="EI",4,IF(H3836="EO",5.2,IF(H3836="EQ",3.9,IF(H3836="ILF",7.5,IF(H3836="EIF",5.4)))))))</f>
        <v/>
      </c>
      <c r="M3836" s="30" t="str">
        <f t="shared" ref="M3836:M3899" si="415">IF(OR(G3836="",$E$36="(선택)",$E$40="(선택)",$E$41="(선택)",F3836="신규 개발",F3836="수정 없이 재사용"),"",(IF(F3836="수정 후 재사용",IF($E$50&lt;=0.5,L3836*($E$36+$E$50*100*(1+0.02*($E$40*$E$41)))/100,L3836*($E$36+$E$50*100+($E$40*$E$41))/100))))</f>
        <v/>
      </c>
      <c r="N3836" s="134"/>
      <c r="O3836" s="29"/>
      <c r="P3836" s="37" t="str">
        <f t="shared" ref="P3836:P3899" si="416">IF(F3836="수정 후 재사용",IF(H3836="ILF",G3836,IF(H3836="EIF",G3836,"")),"")</f>
        <v/>
      </c>
      <c r="Q3836" s="38" t="str">
        <f t="shared" ref="Q3836:Q3899" si="417">IF(P3836&lt;&gt;"",IF(H3836="ILF", L3836/$E$46,IF(H3836="EIF", L3836/$E$46,"")),"")</f>
        <v/>
      </c>
      <c r="R3836" s="37" t="str">
        <f t="shared" ref="R3836:R3899" si="418">IF(P3836&lt;&gt;"",P3836*Q3836,"")</f>
        <v/>
      </c>
      <c r="S3836" s="37" t="str">
        <f t="shared" ref="S3836:S3899" si="419">IF(F3836="수정 후 재사용",IF(H3836="EI",G3836,IF(H3836="EO",G3836,IF(H3836="EQ",G3836,""))),"")</f>
        <v/>
      </c>
      <c r="T3836" s="38" t="str">
        <f t="shared" ref="T3836:T3899" si="420">IF(S3836&lt;&gt;"",IF(H3836="EI",L3836/$E$47,IF(H3836="EO",L3836/$E$47,IF(H3836="EQ",L3836/$E$47,""))),"")</f>
        <v/>
      </c>
      <c r="U3836" s="37" t="str">
        <f t="shared" ref="U3836:U3899" si="421">IF(S3836&lt;&gt;"",S3836*T3836,"")</f>
        <v/>
      </c>
    </row>
    <row r="3837" spans="2:21" ht="17.25">
      <c r="B3837" s="156"/>
      <c r="C3837" s="156"/>
      <c r="D3837" s="157"/>
      <c r="E3837" s="155"/>
      <c r="F3837" s="151"/>
      <c r="G3837" s="152"/>
      <c r="H3837" s="153"/>
      <c r="I3837" s="154"/>
      <c r="J3837" s="154"/>
      <c r="K3837" s="30" t="str">
        <f>IF(H3837="","",IF($C$30="간이법","",FPR(H3837,I3837,J3837)))</f>
        <v/>
      </c>
      <c r="L3837" s="30" t="str">
        <f>IF(H3837="","",IF($C$30="상세법",FPV(H3837,K3837),IF(H3837="EI",4,IF(H3837="EO",5.2,IF(H3837="EQ",3.9,IF(H3837="ILF",7.5,IF(H3837="EIF",5.4)))))))</f>
        <v/>
      </c>
      <c r="M3837" s="30" t="str">
        <f t="shared" si="415"/>
        <v/>
      </c>
      <c r="N3837" s="134"/>
      <c r="O3837" s="29"/>
      <c r="P3837" s="37" t="str">
        <f t="shared" si="416"/>
        <v/>
      </c>
      <c r="Q3837" s="38" t="str">
        <f t="shared" si="417"/>
        <v/>
      </c>
      <c r="R3837" s="37" t="str">
        <f t="shared" si="418"/>
        <v/>
      </c>
      <c r="S3837" s="37" t="str">
        <f t="shared" si="419"/>
        <v/>
      </c>
      <c r="T3837" s="38" t="str">
        <f t="shared" si="420"/>
        <v/>
      </c>
      <c r="U3837" s="37" t="str">
        <f t="shared" si="421"/>
        <v/>
      </c>
    </row>
    <row r="3838" spans="2:21" ht="17.25">
      <c r="B3838" s="156"/>
      <c r="C3838" s="156"/>
      <c r="D3838" s="157"/>
      <c r="E3838" s="155"/>
      <c r="F3838" s="151"/>
      <c r="G3838" s="152"/>
      <c r="H3838" s="153"/>
      <c r="I3838" s="154"/>
      <c r="J3838" s="154"/>
      <c r="K3838" s="30" t="str">
        <f>IF(H3838="","",IF($C$30="간이법","",FPR(H3838,I3838,J3838)))</f>
        <v/>
      </c>
      <c r="L3838" s="30" t="str">
        <f>IF(H3838="","",IF($C$30="상세법",FPV(H3838,K3838),IF(H3838="EI",4,IF(H3838="EO",5.2,IF(H3838="EQ",3.9,IF(H3838="ILF",7.5,IF(H3838="EIF",5.4)))))))</f>
        <v/>
      </c>
      <c r="M3838" s="30" t="str">
        <f t="shared" si="415"/>
        <v/>
      </c>
      <c r="N3838" s="134"/>
      <c r="O3838" s="29"/>
      <c r="P3838" s="37" t="str">
        <f t="shared" si="416"/>
        <v/>
      </c>
      <c r="Q3838" s="38" t="str">
        <f t="shared" si="417"/>
        <v/>
      </c>
      <c r="R3838" s="37" t="str">
        <f t="shared" si="418"/>
        <v/>
      </c>
      <c r="S3838" s="37" t="str">
        <f t="shared" si="419"/>
        <v/>
      </c>
      <c r="T3838" s="38" t="str">
        <f t="shared" si="420"/>
        <v/>
      </c>
      <c r="U3838" s="37" t="str">
        <f t="shared" si="421"/>
        <v/>
      </c>
    </row>
    <row r="3839" spans="2:21" ht="17.25">
      <c r="B3839" s="156"/>
      <c r="C3839" s="156"/>
      <c r="D3839" s="157"/>
      <c r="E3839" s="155"/>
      <c r="F3839" s="151"/>
      <c r="G3839" s="152"/>
      <c r="H3839" s="153"/>
      <c r="I3839" s="154"/>
      <c r="J3839" s="154"/>
      <c r="K3839" s="30" t="str">
        <f>IF(H3839="","",IF($C$30="간이법","",FPR(H3839,I3839,J3839)))</f>
        <v/>
      </c>
      <c r="L3839" s="30" t="str">
        <f>IF(H3839="","",IF($C$30="상세법",FPV(H3839,K3839),IF(H3839="EI",4,IF(H3839="EO",5.2,IF(H3839="EQ",3.9,IF(H3839="ILF",7.5,IF(H3839="EIF",5.4)))))))</f>
        <v/>
      </c>
      <c r="M3839" s="30" t="str">
        <f t="shared" si="415"/>
        <v/>
      </c>
      <c r="N3839" s="134"/>
      <c r="O3839" s="29"/>
      <c r="P3839" s="37" t="str">
        <f t="shared" si="416"/>
        <v/>
      </c>
      <c r="Q3839" s="38" t="str">
        <f t="shared" si="417"/>
        <v/>
      </c>
      <c r="R3839" s="37" t="str">
        <f t="shared" si="418"/>
        <v/>
      </c>
      <c r="S3839" s="37" t="str">
        <f t="shared" si="419"/>
        <v/>
      </c>
      <c r="T3839" s="38" t="str">
        <f t="shared" si="420"/>
        <v/>
      </c>
      <c r="U3839" s="37" t="str">
        <f t="shared" si="421"/>
        <v/>
      </c>
    </row>
    <row r="3840" spans="2:21" ht="17.25">
      <c r="B3840" s="156"/>
      <c r="C3840" s="156"/>
      <c r="D3840" s="157"/>
      <c r="E3840" s="155"/>
      <c r="F3840" s="151"/>
      <c r="G3840" s="152"/>
      <c r="H3840" s="153"/>
      <c r="I3840" s="154"/>
      <c r="J3840" s="154"/>
      <c r="K3840" s="30" t="str">
        <f>IF(H3840="","",IF($C$30="간이법","",FPR(H3840,I3840,J3840)))</f>
        <v/>
      </c>
      <c r="L3840" s="30" t="str">
        <f>IF(H3840="","",IF($C$30="상세법",FPV(H3840,K3840),IF(H3840="EI",4,IF(H3840="EO",5.2,IF(H3840="EQ",3.9,IF(H3840="ILF",7.5,IF(H3840="EIF",5.4)))))))</f>
        <v/>
      </c>
      <c r="M3840" s="30" t="str">
        <f t="shared" si="415"/>
        <v/>
      </c>
      <c r="N3840" s="134"/>
      <c r="O3840" s="29"/>
      <c r="P3840" s="37" t="str">
        <f t="shared" si="416"/>
        <v/>
      </c>
      <c r="Q3840" s="38" t="str">
        <f t="shared" si="417"/>
        <v/>
      </c>
      <c r="R3840" s="37" t="str">
        <f t="shared" si="418"/>
        <v/>
      </c>
      <c r="S3840" s="37" t="str">
        <f t="shared" si="419"/>
        <v/>
      </c>
      <c r="T3840" s="38" t="str">
        <f t="shared" si="420"/>
        <v/>
      </c>
      <c r="U3840" s="37" t="str">
        <f t="shared" si="421"/>
        <v/>
      </c>
    </row>
    <row r="3841" spans="2:21" ht="17.25">
      <c r="B3841" s="156"/>
      <c r="C3841" s="156"/>
      <c r="D3841" s="157"/>
      <c r="E3841" s="155"/>
      <c r="F3841" s="151"/>
      <c r="G3841" s="152"/>
      <c r="H3841" s="153"/>
      <c r="I3841" s="154"/>
      <c r="J3841" s="154"/>
      <c r="K3841" s="30" t="str">
        <f>IF(H3841="","",IF($C$30="간이법","",FPR(H3841,I3841,J3841)))</f>
        <v/>
      </c>
      <c r="L3841" s="30" t="str">
        <f>IF(H3841="","",IF($C$30="상세법",FPV(H3841,K3841),IF(H3841="EI",4,IF(H3841="EO",5.2,IF(H3841="EQ",3.9,IF(H3841="ILF",7.5,IF(H3841="EIF",5.4)))))))</f>
        <v/>
      </c>
      <c r="M3841" s="30" t="str">
        <f t="shared" si="415"/>
        <v/>
      </c>
      <c r="N3841" s="134"/>
      <c r="O3841" s="29"/>
      <c r="P3841" s="37" t="str">
        <f t="shared" si="416"/>
        <v/>
      </c>
      <c r="Q3841" s="38" t="str">
        <f t="shared" si="417"/>
        <v/>
      </c>
      <c r="R3841" s="37" t="str">
        <f t="shared" si="418"/>
        <v/>
      </c>
      <c r="S3841" s="37" t="str">
        <f t="shared" si="419"/>
        <v/>
      </c>
      <c r="T3841" s="38" t="str">
        <f t="shared" si="420"/>
        <v/>
      </c>
      <c r="U3841" s="37" t="str">
        <f t="shared" si="421"/>
        <v/>
      </c>
    </row>
    <row r="3842" spans="2:21" ht="17.25">
      <c r="B3842" s="156"/>
      <c r="C3842" s="156"/>
      <c r="D3842" s="157"/>
      <c r="E3842" s="155"/>
      <c r="F3842" s="151"/>
      <c r="G3842" s="152"/>
      <c r="H3842" s="153"/>
      <c r="I3842" s="154"/>
      <c r="J3842" s="154"/>
      <c r="K3842" s="30" t="str">
        <f>IF(H3842="","",IF($C$30="간이법","",FPR(H3842,I3842,J3842)))</f>
        <v/>
      </c>
      <c r="L3842" s="30" t="str">
        <f>IF(H3842="","",IF($C$30="상세법",FPV(H3842,K3842),IF(H3842="EI",4,IF(H3842="EO",5.2,IF(H3842="EQ",3.9,IF(H3842="ILF",7.5,IF(H3842="EIF",5.4)))))))</f>
        <v/>
      </c>
      <c r="M3842" s="30" t="str">
        <f t="shared" si="415"/>
        <v/>
      </c>
      <c r="N3842" s="134"/>
      <c r="O3842" s="29"/>
      <c r="P3842" s="37" t="str">
        <f t="shared" si="416"/>
        <v/>
      </c>
      <c r="Q3842" s="38" t="str">
        <f t="shared" si="417"/>
        <v/>
      </c>
      <c r="R3842" s="37" t="str">
        <f t="shared" si="418"/>
        <v/>
      </c>
      <c r="S3842" s="37" t="str">
        <f t="shared" si="419"/>
        <v/>
      </c>
      <c r="T3842" s="38" t="str">
        <f t="shared" si="420"/>
        <v/>
      </c>
      <c r="U3842" s="37" t="str">
        <f t="shared" si="421"/>
        <v/>
      </c>
    </row>
    <row r="3843" spans="2:21" ht="17.25">
      <c r="B3843" s="156"/>
      <c r="C3843" s="156"/>
      <c r="D3843" s="157"/>
      <c r="E3843" s="155"/>
      <c r="F3843" s="151"/>
      <c r="G3843" s="152"/>
      <c r="H3843" s="153"/>
      <c r="I3843" s="154"/>
      <c r="J3843" s="154"/>
      <c r="K3843" s="30" t="str">
        <f>IF(H3843="","",IF($C$30="간이법","",FPR(H3843,I3843,J3843)))</f>
        <v/>
      </c>
      <c r="L3843" s="30" t="str">
        <f>IF(H3843="","",IF($C$30="상세법",FPV(H3843,K3843),IF(H3843="EI",4,IF(H3843="EO",5.2,IF(H3843="EQ",3.9,IF(H3843="ILF",7.5,IF(H3843="EIF",5.4)))))))</f>
        <v/>
      </c>
      <c r="M3843" s="30" t="str">
        <f t="shared" si="415"/>
        <v/>
      </c>
      <c r="N3843" s="134"/>
      <c r="O3843" s="29"/>
      <c r="P3843" s="37" t="str">
        <f t="shared" si="416"/>
        <v/>
      </c>
      <c r="Q3843" s="38" t="str">
        <f t="shared" si="417"/>
        <v/>
      </c>
      <c r="R3843" s="37" t="str">
        <f t="shared" si="418"/>
        <v/>
      </c>
      <c r="S3843" s="37" t="str">
        <f t="shared" si="419"/>
        <v/>
      </c>
      <c r="T3843" s="38" t="str">
        <f t="shared" si="420"/>
        <v/>
      </c>
      <c r="U3843" s="37" t="str">
        <f t="shared" si="421"/>
        <v/>
      </c>
    </row>
    <row r="3844" spans="2:21" ht="17.25">
      <c r="B3844" s="156"/>
      <c r="C3844" s="156"/>
      <c r="D3844" s="157"/>
      <c r="E3844" s="155"/>
      <c r="F3844" s="151"/>
      <c r="G3844" s="152"/>
      <c r="H3844" s="153"/>
      <c r="I3844" s="154"/>
      <c r="J3844" s="154"/>
      <c r="K3844" s="30" t="str">
        <f>IF(H3844="","",IF($C$30="간이법","",FPR(H3844,I3844,J3844)))</f>
        <v/>
      </c>
      <c r="L3844" s="30" t="str">
        <f>IF(H3844="","",IF($C$30="상세법",FPV(H3844,K3844),IF(H3844="EI",4,IF(H3844="EO",5.2,IF(H3844="EQ",3.9,IF(H3844="ILF",7.5,IF(H3844="EIF",5.4)))))))</f>
        <v/>
      </c>
      <c r="M3844" s="30" t="str">
        <f t="shared" si="415"/>
        <v/>
      </c>
      <c r="N3844" s="134"/>
      <c r="O3844" s="29"/>
      <c r="P3844" s="37" t="str">
        <f t="shared" si="416"/>
        <v/>
      </c>
      <c r="Q3844" s="38" t="str">
        <f t="shared" si="417"/>
        <v/>
      </c>
      <c r="R3844" s="37" t="str">
        <f t="shared" si="418"/>
        <v/>
      </c>
      <c r="S3844" s="37" t="str">
        <f t="shared" si="419"/>
        <v/>
      </c>
      <c r="T3844" s="38" t="str">
        <f t="shared" si="420"/>
        <v/>
      </c>
      <c r="U3844" s="37" t="str">
        <f t="shared" si="421"/>
        <v/>
      </c>
    </row>
    <row r="3845" spans="2:21" ht="17.25">
      <c r="B3845" s="156"/>
      <c r="C3845" s="156"/>
      <c r="D3845" s="157"/>
      <c r="E3845" s="155"/>
      <c r="F3845" s="151"/>
      <c r="G3845" s="152"/>
      <c r="H3845" s="153"/>
      <c r="I3845" s="154"/>
      <c r="J3845" s="154"/>
      <c r="K3845" s="30" t="str">
        <f>IF(H3845="","",IF($C$30="간이법","",FPR(H3845,I3845,J3845)))</f>
        <v/>
      </c>
      <c r="L3845" s="30" t="str">
        <f>IF(H3845="","",IF($C$30="상세법",FPV(H3845,K3845),IF(H3845="EI",4,IF(H3845="EO",5.2,IF(H3845="EQ",3.9,IF(H3845="ILF",7.5,IF(H3845="EIF",5.4)))))))</f>
        <v/>
      </c>
      <c r="M3845" s="30" t="str">
        <f t="shared" si="415"/>
        <v/>
      </c>
      <c r="N3845" s="134"/>
      <c r="O3845" s="29"/>
      <c r="P3845" s="37" t="str">
        <f t="shared" si="416"/>
        <v/>
      </c>
      <c r="Q3845" s="38" t="str">
        <f t="shared" si="417"/>
        <v/>
      </c>
      <c r="R3845" s="37" t="str">
        <f t="shared" si="418"/>
        <v/>
      </c>
      <c r="S3845" s="37" t="str">
        <f t="shared" si="419"/>
        <v/>
      </c>
      <c r="T3845" s="38" t="str">
        <f t="shared" si="420"/>
        <v/>
      </c>
      <c r="U3845" s="37" t="str">
        <f t="shared" si="421"/>
        <v/>
      </c>
    </row>
    <row r="3846" spans="2:21" ht="17.25">
      <c r="B3846" s="156"/>
      <c r="C3846" s="156"/>
      <c r="D3846" s="157"/>
      <c r="E3846" s="155"/>
      <c r="F3846" s="151"/>
      <c r="G3846" s="152"/>
      <c r="H3846" s="153"/>
      <c r="I3846" s="154"/>
      <c r="J3846" s="154"/>
      <c r="K3846" s="30" t="str">
        <f>IF(H3846="","",IF($C$30="간이법","",FPR(H3846,I3846,J3846)))</f>
        <v/>
      </c>
      <c r="L3846" s="30" t="str">
        <f>IF(H3846="","",IF($C$30="상세법",FPV(H3846,K3846),IF(H3846="EI",4,IF(H3846="EO",5.2,IF(H3846="EQ",3.9,IF(H3846="ILF",7.5,IF(H3846="EIF",5.4)))))))</f>
        <v/>
      </c>
      <c r="M3846" s="30" t="str">
        <f t="shared" si="415"/>
        <v/>
      </c>
      <c r="N3846" s="134"/>
      <c r="O3846" s="29"/>
      <c r="P3846" s="37" t="str">
        <f t="shared" si="416"/>
        <v/>
      </c>
      <c r="Q3846" s="38" t="str">
        <f t="shared" si="417"/>
        <v/>
      </c>
      <c r="R3846" s="37" t="str">
        <f t="shared" si="418"/>
        <v/>
      </c>
      <c r="S3846" s="37" t="str">
        <f t="shared" si="419"/>
        <v/>
      </c>
      <c r="T3846" s="38" t="str">
        <f t="shared" si="420"/>
        <v/>
      </c>
      <c r="U3846" s="37" t="str">
        <f t="shared" si="421"/>
        <v/>
      </c>
    </row>
    <row r="3847" spans="2:21" ht="17.25">
      <c r="B3847" s="156"/>
      <c r="C3847" s="156"/>
      <c r="D3847" s="157"/>
      <c r="E3847" s="155"/>
      <c r="F3847" s="151"/>
      <c r="G3847" s="152"/>
      <c r="H3847" s="153"/>
      <c r="I3847" s="154"/>
      <c r="J3847" s="154"/>
      <c r="K3847" s="30" t="str">
        <f>IF(H3847="","",IF($C$30="간이법","",FPR(H3847,I3847,J3847)))</f>
        <v/>
      </c>
      <c r="L3847" s="30" t="str">
        <f>IF(H3847="","",IF($C$30="상세법",FPV(H3847,K3847),IF(H3847="EI",4,IF(H3847="EO",5.2,IF(H3847="EQ",3.9,IF(H3847="ILF",7.5,IF(H3847="EIF",5.4)))))))</f>
        <v/>
      </c>
      <c r="M3847" s="30" t="str">
        <f t="shared" si="415"/>
        <v/>
      </c>
      <c r="N3847" s="134"/>
      <c r="O3847" s="29"/>
      <c r="P3847" s="37" t="str">
        <f t="shared" si="416"/>
        <v/>
      </c>
      <c r="Q3847" s="38" t="str">
        <f t="shared" si="417"/>
        <v/>
      </c>
      <c r="R3847" s="37" t="str">
        <f t="shared" si="418"/>
        <v/>
      </c>
      <c r="S3847" s="37" t="str">
        <f t="shared" si="419"/>
        <v/>
      </c>
      <c r="T3847" s="38" t="str">
        <f t="shared" si="420"/>
        <v/>
      </c>
      <c r="U3847" s="37" t="str">
        <f t="shared" si="421"/>
        <v/>
      </c>
    </row>
    <row r="3848" spans="2:21" ht="17.25">
      <c r="B3848" s="156"/>
      <c r="C3848" s="156"/>
      <c r="D3848" s="157"/>
      <c r="E3848" s="155"/>
      <c r="F3848" s="151"/>
      <c r="G3848" s="152"/>
      <c r="H3848" s="153"/>
      <c r="I3848" s="154"/>
      <c r="J3848" s="154"/>
      <c r="K3848" s="30" t="str">
        <f>IF(H3848="","",IF($C$30="간이법","",FPR(H3848,I3848,J3848)))</f>
        <v/>
      </c>
      <c r="L3848" s="30" t="str">
        <f>IF(H3848="","",IF($C$30="상세법",FPV(H3848,K3848),IF(H3848="EI",4,IF(H3848="EO",5.2,IF(H3848="EQ",3.9,IF(H3848="ILF",7.5,IF(H3848="EIF",5.4)))))))</f>
        <v/>
      </c>
      <c r="M3848" s="30" t="str">
        <f t="shared" si="415"/>
        <v/>
      </c>
      <c r="N3848" s="134"/>
      <c r="O3848" s="29"/>
      <c r="P3848" s="37" t="str">
        <f t="shared" si="416"/>
        <v/>
      </c>
      <c r="Q3848" s="38" t="str">
        <f t="shared" si="417"/>
        <v/>
      </c>
      <c r="R3848" s="37" t="str">
        <f t="shared" si="418"/>
        <v/>
      </c>
      <c r="S3848" s="37" t="str">
        <f t="shared" si="419"/>
        <v/>
      </c>
      <c r="T3848" s="38" t="str">
        <f t="shared" si="420"/>
        <v/>
      </c>
      <c r="U3848" s="37" t="str">
        <f t="shared" si="421"/>
        <v/>
      </c>
    </row>
    <row r="3849" spans="2:21" ht="17.25">
      <c r="B3849" s="156"/>
      <c r="C3849" s="156"/>
      <c r="D3849" s="157"/>
      <c r="E3849" s="155"/>
      <c r="F3849" s="151"/>
      <c r="G3849" s="152"/>
      <c r="H3849" s="153"/>
      <c r="I3849" s="154"/>
      <c r="J3849" s="154"/>
      <c r="K3849" s="30" t="str">
        <f>IF(H3849="","",IF($C$30="간이법","",FPR(H3849,I3849,J3849)))</f>
        <v/>
      </c>
      <c r="L3849" s="30" t="str">
        <f>IF(H3849="","",IF($C$30="상세법",FPV(H3849,K3849),IF(H3849="EI",4,IF(H3849="EO",5.2,IF(H3849="EQ",3.9,IF(H3849="ILF",7.5,IF(H3849="EIF",5.4)))))))</f>
        <v/>
      </c>
      <c r="M3849" s="30" t="str">
        <f t="shared" si="415"/>
        <v/>
      </c>
      <c r="N3849" s="134"/>
      <c r="O3849" s="29"/>
      <c r="P3849" s="37" t="str">
        <f t="shared" si="416"/>
        <v/>
      </c>
      <c r="Q3849" s="38" t="str">
        <f t="shared" si="417"/>
        <v/>
      </c>
      <c r="R3849" s="37" t="str">
        <f t="shared" si="418"/>
        <v/>
      </c>
      <c r="S3849" s="37" t="str">
        <f t="shared" si="419"/>
        <v/>
      </c>
      <c r="T3849" s="38" t="str">
        <f t="shared" si="420"/>
        <v/>
      </c>
      <c r="U3849" s="37" t="str">
        <f t="shared" si="421"/>
        <v/>
      </c>
    </row>
    <row r="3850" spans="2:21" ht="17.25">
      <c r="B3850" s="156"/>
      <c r="C3850" s="156"/>
      <c r="D3850" s="157"/>
      <c r="E3850" s="155"/>
      <c r="F3850" s="151"/>
      <c r="G3850" s="152"/>
      <c r="H3850" s="153"/>
      <c r="I3850" s="154"/>
      <c r="J3850" s="154"/>
      <c r="K3850" s="30" t="str">
        <f>IF(H3850="","",IF($C$30="간이법","",FPR(H3850,I3850,J3850)))</f>
        <v/>
      </c>
      <c r="L3850" s="30" t="str">
        <f>IF(H3850="","",IF($C$30="상세법",FPV(H3850,K3850),IF(H3850="EI",4,IF(H3850="EO",5.2,IF(H3850="EQ",3.9,IF(H3850="ILF",7.5,IF(H3850="EIF",5.4)))))))</f>
        <v/>
      </c>
      <c r="M3850" s="30" t="str">
        <f t="shared" si="415"/>
        <v/>
      </c>
      <c r="N3850" s="134"/>
      <c r="O3850" s="29"/>
      <c r="P3850" s="37" t="str">
        <f t="shared" si="416"/>
        <v/>
      </c>
      <c r="Q3850" s="38" t="str">
        <f t="shared" si="417"/>
        <v/>
      </c>
      <c r="R3850" s="37" t="str">
        <f t="shared" si="418"/>
        <v/>
      </c>
      <c r="S3850" s="37" t="str">
        <f t="shared" si="419"/>
        <v/>
      </c>
      <c r="T3850" s="38" t="str">
        <f t="shared" si="420"/>
        <v/>
      </c>
      <c r="U3850" s="37" t="str">
        <f t="shared" si="421"/>
        <v/>
      </c>
    </row>
    <row r="3851" spans="2:21" ht="17.25">
      <c r="B3851" s="156"/>
      <c r="C3851" s="156"/>
      <c r="D3851" s="157"/>
      <c r="E3851" s="155"/>
      <c r="F3851" s="151"/>
      <c r="G3851" s="152"/>
      <c r="H3851" s="153"/>
      <c r="I3851" s="154"/>
      <c r="J3851" s="154"/>
      <c r="K3851" s="30" t="str">
        <f>IF(H3851="","",IF($C$30="간이법","",FPR(H3851,I3851,J3851)))</f>
        <v/>
      </c>
      <c r="L3851" s="30" t="str">
        <f>IF(H3851="","",IF($C$30="상세법",FPV(H3851,K3851),IF(H3851="EI",4,IF(H3851="EO",5.2,IF(H3851="EQ",3.9,IF(H3851="ILF",7.5,IF(H3851="EIF",5.4)))))))</f>
        <v/>
      </c>
      <c r="M3851" s="30" t="str">
        <f t="shared" si="415"/>
        <v/>
      </c>
      <c r="N3851" s="134"/>
      <c r="O3851" s="29"/>
      <c r="P3851" s="37" t="str">
        <f t="shared" si="416"/>
        <v/>
      </c>
      <c r="Q3851" s="38" t="str">
        <f t="shared" si="417"/>
        <v/>
      </c>
      <c r="R3851" s="37" t="str">
        <f t="shared" si="418"/>
        <v/>
      </c>
      <c r="S3851" s="37" t="str">
        <f t="shared" si="419"/>
        <v/>
      </c>
      <c r="T3851" s="38" t="str">
        <f t="shared" si="420"/>
        <v/>
      </c>
      <c r="U3851" s="37" t="str">
        <f t="shared" si="421"/>
        <v/>
      </c>
    </row>
    <row r="3852" spans="2:21" ht="17.25">
      <c r="B3852" s="156"/>
      <c r="C3852" s="156"/>
      <c r="D3852" s="157"/>
      <c r="E3852" s="155"/>
      <c r="F3852" s="151"/>
      <c r="G3852" s="152"/>
      <c r="H3852" s="153"/>
      <c r="I3852" s="154"/>
      <c r="J3852" s="154"/>
      <c r="K3852" s="30" t="str">
        <f>IF(H3852="","",IF($C$30="간이법","",FPR(H3852,I3852,J3852)))</f>
        <v/>
      </c>
      <c r="L3852" s="30" t="str">
        <f>IF(H3852="","",IF($C$30="상세법",FPV(H3852,K3852),IF(H3852="EI",4,IF(H3852="EO",5.2,IF(H3852="EQ",3.9,IF(H3852="ILF",7.5,IF(H3852="EIF",5.4)))))))</f>
        <v/>
      </c>
      <c r="M3852" s="30" t="str">
        <f t="shared" si="415"/>
        <v/>
      </c>
      <c r="N3852" s="134"/>
      <c r="O3852" s="29"/>
      <c r="P3852" s="37" t="str">
        <f t="shared" si="416"/>
        <v/>
      </c>
      <c r="Q3852" s="38" t="str">
        <f t="shared" si="417"/>
        <v/>
      </c>
      <c r="R3852" s="37" t="str">
        <f t="shared" si="418"/>
        <v/>
      </c>
      <c r="S3852" s="37" t="str">
        <f t="shared" si="419"/>
        <v/>
      </c>
      <c r="T3852" s="38" t="str">
        <f t="shared" si="420"/>
        <v/>
      </c>
      <c r="U3852" s="37" t="str">
        <f t="shared" si="421"/>
        <v/>
      </c>
    </row>
    <row r="3853" spans="2:21" ht="17.25">
      <c r="B3853" s="156"/>
      <c r="C3853" s="156"/>
      <c r="D3853" s="157"/>
      <c r="E3853" s="155"/>
      <c r="F3853" s="151"/>
      <c r="G3853" s="152"/>
      <c r="H3853" s="153"/>
      <c r="I3853" s="154"/>
      <c r="J3853" s="154"/>
      <c r="K3853" s="30" t="str">
        <f>IF(H3853="","",IF($C$30="간이법","",FPR(H3853,I3853,J3853)))</f>
        <v/>
      </c>
      <c r="L3853" s="30" t="str">
        <f>IF(H3853="","",IF($C$30="상세법",FPV(H3853,K3853),IF(H3853="EI",4,IF(H3853="EO",5.2,IF(H3853="EQ",3.9,IF(H3853="ILF",7.5,IF(H3853="EIF",5.4)))))))</f>
        <v/>
      </c>
      <c r="M3853" s="30" t="str">
        <f t="shared" si="415"/>
        <v/>
      </c>
      <c r="N3853" s="134"/>
      <c r="O3853" s="29"/>
      <c r="P3853" s="37" t="str">
        <f t="shared" si="416"/>
        <v/>
      </c>
      <c r="Q3853" s="38" t="str">
        <f t="shared" si="417"/>
        <v/>
      </c>
      <c r="R3853" s="37" t="str">
        <f t="shared" si="418"/>
        <v/>
      </c>
      <c r="S3853" s="37" t="str">
        <f t="shared" si="419"/>
        <v/>
      </c>
      <c r="T3853" s="38" t="str">
        <f t="shared" si="420"/>
        <v/>
      </c>
      <c r="U3853" s="37" t="str">
        <f t="shared" si="421"/>
        <v/>
      </c>
    </row>
    <row r="3854" spans="2:21" ht="17.25">
      <c r="B3854" s="156"/>
      <c r="C3854" s="156"/>
      <c r="D3854" s="157"/>
      <c r="E3854" s="155"/>
      <c r="F3854" s="151"/>
      <c r="G3854" s="152"/>
      <c r="H3854" s="153"/>
      <c r="I3854" s="154"/>
      <c r="J3854" s="154"/>
      <c r="K3854" s="30" t="str">
        <f>IF(H3854="","",IF($C$30="간이법","",FPR(H3854,I3854,J3854)))</f>
        <v/>
      </c>
      <c r="L3854" s="30" t="str">
        <f>IF(H3854="","",IF($C$30="상세법",FPV(H3854,K3854),IF(H3854="EI",4,IF(H3854="EO",5.2,IF(H3854="EQ",3.9,IF(H3854="ILF",7.5,IF(H3854="EIF",5.4)))))))</f>
        <v/>
      </c>
      <c r="M3854" s="30" t="str">
        <f t="shared" si="415"/>
        <v/>
      </c>
      <c r="N3854" s="134"/>
      <c r="O3854" s="29"/>
      <c r="P3854" s="37" t="str">
        <f t="shared" si="416"/>
        <v/>
      </c>
      <c r="Q3854" s="38" t="str">
        <f t="shared" si="417"/>
        <v/>
      </c>
      <c r="R3854" s="37" t="str">
        <f t="shared" si="418"/>
        <v/>
      </c>
      <c r="S3854" s="37" t="str">
        <f t="shared" si="419"/>
        <v/>
      </c>
      <c r="T3854" s="38" t="str">
        <f t="shared" si="420"/>
        <v/>
      </c>
      <c r="U3854" s="37" t="str">
        <f t="shared" si="421"/>
        <v/>
      </c>
    </row>
    <row r="3855" spans="2:21" ht="17.25">
      <c r="B3855" s="156"/>
      <c r="C3855" s="156"/>
      <c r="D3855" s="157"/>
      <c r="E3855" s="155"/>
      <c r="F3855" s="151"/>
      <c r="G3855" s="152"/>
      <c r="H3855" s="153"/>
      <c r="I3855" s="154"/>
      <c r="J3855" s="154"/>
      <c r="K3855" s="30" t="str">
        <f>IF(H3855="","",IF($C$30="간이법","",FPR(H3855,I3855,J3855)))</f>
        <v/>
      </c>
      <c r="L3855" s="30" t="str">
        <f>IF(H3855="","",IF($C$30="상세법",FPV(H3855,K3855),IF(H3855="EI",4,IF(H3855="EO",5.2,IF(H3855="EQ",3.9,IF(H3855="ILF",7.5,IF(H3855="EIF",5.4)))))))</f>
        <v/>
      </c>
      <c r="M3855" s="30" t="str">
        <f t="shared" si="415"/>
        <v/>
      </c>
      <c r="N3855" s="134"/>
      <c r="O3855" s="29"/>
      <c r="P3855" s="37" t="str">
        <f t="shared" si="416"/>
        <v/>
      </c>
      <c r="Q3855" s="38" t="str">
        <f t="shared" si="417"/>
        <v/>
      </c>
      <c r="R3855" s="37" t="str">
        <f t="shared" si="418"/>
        <v/>
      </c>
      <c r="S3855" s="37" t="str">
        <f t="shared" si="419"/>
        <v/>
      </c>
      <c r="T3855" s="38" t="str">
        <f t="shared" si="420"/>
        <v/>
      </c>
      <c r="U3855" s="37" t="str">
        <f t="shared" si="421"/>
        <v/>
      </c>
    </row>
    <row r="3856" spans="2:21" ht="17.25">
      <c r="B3856" s="156"/>
      <c r="C3856" s="156"/>
      <c r="D3856" s="157"/>
      <c r="E3856" s="155"/>
      <c r="F3856" s="151"/>
      <c r="G3856" s="152"/>
      <c r="H3856" s="153"/>
      <c r="I3856" s="154"/>
      <c r="J3856" s="154"/>
      <c r="K3856" s="30" t="str">
        <f>IF(H3856="","",IF($C$30="간이법","",FPR(H3856,I3856,J3856)))</f>
        <v/>
      </c>
      <c r="L3856" s="30" t="str">
        <f>IF(H3856="","",IF($C$30="상세법",FPV(H3856,K3856),IF(H3856="EI",4,IF(H3856="EO",5.2,IF(H3856="EQ",3.9,IF(H3856="ILF",7.5,IF(H3856="EIF",5.4)))))))</f>
        <v/>
      </c>
      <c r="M3856" s="30" t="str">
        <f t="shared" si="415"/>
        <v/>
      </c>
      <c r="N3856" s="134"/>
      <c r="O3856" s="29"/>
      <c r="P3856" s="37" t="str">
        <f t="shared" si="416"/>
        <v/>
      </c>
      <c r="Q3856" s="38" t="str">
        <f t="shared" si="417"/>
        <v/>
      </c>
      <c r="R3856" s="37" t="str">
        <f t="shared" si="418"/>
        <v/>
      </c>
      <c r="S3856" s="37" t="str">
        <f t="shared" si="419"/>
        <v/>
      </c>
      <c r="T3856" s="38" t="str">
        <f t="shared" si="420"/>
        <v/>
      </c>
      <c r="U3856" s="37" t="str">
        <f t="shared" si="421"/>
        <v/>
      </c>
    </row>
    <row r="3857" spans="2:21" ht="17.25">
      <c r="B3857" s="156"/>
      <c r="C3857" s="156"/>
      <c r="D3857" s="157"/>
      <c r="E3857" s="155"/>
      <c r="F3857" s="151"/>
      <c r="G3857" s="152"/>
      <c r="H3857" s="153"/>
      <c r="I3857" s="154"/>
      <c r="J3857" s="154"/>
      <c r="K3857" s="30" t="str">
        <f>IF(H3857="","",IF($C$30="간이법","",FPR(H3857,I3857,J3857)))</f>
        <v/>
      </c>
      <c r="L3857" s="30" t="str">
        <f>IF(H3857="","",IF($C$30="상세법",FPV(H3857,K3857),IF(H3857="EI",4,IF(H3857="EO",5.2,IF(H3857="EQ",3.9,IF(H3857="ILF",7.5,IF(H3857="EIF",5.4)))))))</f>
        <v/>
      </c>
      <c r="M3857" s="30" t="str">
        <f t="shared" si="415"/>
        <v/>
      </c>
      <c r="N3857" s="134"/>
      <c r="O3857" s="29"/>
      <c r="P3857" s="37" t="str">
        <f t="shared" si="416"/>
        <v/>
      </c>
      <c r="Q3857" s="38" t="str">
        <f t="shared" si="417"/>
        <v/>
      </c>
      <c r="R3857" s="37" t="str">
        <f t="shared" si="418"/>
        <v/>
      </c>
      <c r="S3857" s="37" t="str">
        <f t="shared" si="419"/>
        <v/>
      </c>
      <c r="T3857" s="38" t="str">
        <f t="shared" si="420"/>
        <v/>
      </c>
      <c r="U3857" s="37" t="str">
        <f t="shared" si="421"/>
        <v/>
      </c>
    </row>
    <row r="3858" spans="2:21" ht="17.25">
      <c r="B3858" s="156"/>
      <c r="C3858" s="156"/>
      <c r="D3858" s="157"/>
      <c r="E3858" s="155"/>
      <c r="F3858" s="151"/>
      <c r="G3858" s="152"/>
      <c r="H3858" s="153"/>
      <c r="I3858" s="154"/>
      <c r="J3858" s="154"/>
      <c r="K3858" s="30" t="str">
        <f>IF(H3858="","",IF($C$30="간이법","",FPR(H3858,I3858,J3858)))</f>
        <v/>
      </c>
      <c r="L3858" s="30" t="str">
        <f>IF(H3858="","",IF($C$30="상세법",FPV(H3858,K3858),IF(H3858="EI",4,IF(H3858="EO",5.2,IF(H3858="EQ",3.9,IF(H3858="ILF",7.5,IF(H3858="EIF",5.4)))))))</f>
        <v/>
      </c>
      <c r="M3858" s="30" t="str">
        <f t="shared" si="415"/>
        <v/>
      </c>
      <c r="N3858" s="134"/>
      <c r="O3858" s="29"/>
      <c r="P3858" s="37" t="str">
        <f t="shared" si="416"/>
        <v/>
      </c>
      <c r="Q3858" s="38" t="str">
        <f t="shared" si="417"/>
        <v/>
      </c>
      <c r="R3858" s="37" t="str">
        <f t="shared" si="418"/>
        <v/>
      </c>
      <c r="S3858" s="37" t="str">
        <f t="shared" si="419"/>
        <v/>
      </c>
      <c r="T3858" s="38" t="str">
        <f t="shared" si="420"/>
        <v/>
      </c>
      <c r="U3858" s="37" t="str">
        <f t="shared" si="421"/>
        <v/>
      </c>
    </row>
    <row r="3859" spans="2:21" ht="17.25">
      <c r="B3859" s="156"/>
      <c r="C3859" s="156"/>
      <c r="D3859" s="157"/>
      <c r="E3859" s="155"/>
      <c r="F3859" s="151"/>
      <c r="G3859" s="152"/>
      <c r="H3859" s="153"/>
      <c r="I3859" s="154"/>
      <c r="J3859" s="154"/>
      <c r="K3859" s="30" t="str">
        <f>IF(H3859="","",IF($C$30="간이법","",FPR(H3859,I3859,J3859)))</f>
        <v/>
      </c>
      <c r="L3859" s="30" t="str">
        <f>IF(H3859="","",IF($C$30="상세법",FPV(H3859,K3859),IF(H3859="EI",4,IF(H3859="EO",5.2,IF(H3859="EQ",3.9,IF(H3859="ILF",7.5,IF(H3859="EIF",5.4)))))))</f>
        <v/>
      </c>
      <c r="M3859" s="30" t="str">
        <f t="shared" si="415"/>
        <v/>
      </c>
      <c r="N3859" s="134"/>
      <c r="O3859" s="29"/>
      <c r="P3859" s="37" t="str">
        <f t="shared" si="416"/>
        <v/>
      </c>
      <c r="Q3859" s="38" t="str">
        <f t="shared" si="417"/>
        <v/>
      </c>
      <c r="R3859" s="37" t="str">
        <f t="shared" si="418"/>
        <v/>
      </c>
      <c r="S3859" s="37" t="str">
        <f t="shared" si="419"/>
        <v/>
      </c>
      <c r="T3859" s="38" t="str">
        <f t="shared" si="420"/>
        <v/>
      </c>
      <c r="U3859" s="37" t="str">
        <f t="shared" si="421"/>
        <v/>
      </c>
    </row>
    <row r="3860" spans="2:21" ht="17.25">
      <c r="B3860" s="156"/>
      <c r="C3860" s="156"/>
      <c r="D3860" s="157"/>
      <c r="E3860" s="155"/>
      <c r="F3860" s="151"/>
      <c r="G3860" s="152"/>
      <c r="H3860" s="153"/>
      <c r="I3860" s="154"/>
      <c r="J3860" s="154"/>
      <c r="K3860" s="30" t="str">
        <f>IF(H3860="","",IF($C$30="간이법","",FPR(H3860,I3860,J3860)))</f>
        <v/>
      </c>
      <c r="L3860" s="30" t="str">
        <f>IF(H3860="","",IF($C$30="상세법",FPV(H3860,K3860),IF(H3860="EI",4,IF(H3860="EO",5.2,IF(H3860="EQ",3.9,IF(H3860="ILF",7.5,IF(H3860="EIF",5.4)))))))</f>
        <v/>
      </c>
      <c r="M3860" s="30" t="str">
        <f t="shared" si="415"/>
        <v/>
      </c>
      <c r="N3860" s="134"/>
      <c r="O3860" s="29"/>
      <c r="P3860" s="37" t="str">
        <f t="shared" si="416"/>
        <v/>
      </c>
      <c r="Q3860" s="38" t="str">
        <f t="shared" si="417"/>
        <v/>
      </c>
      <c r="R3860" s="37" t="str">
        <f t="shared" si="418"/>
        <v/>
      </c>
      <c r="S3860" s="37" t="str">
        <f t="shared" si="419"/>
        <v/>
      </c>
      <c r="T3860" s="38" t="str">
        <f t="shared" si="420"/>
        <v/>
      </c>
      <c r="U3860" s="37" t="str">
        <f t="shared" si="421"/>
        <v/>
      </c>
    </row>
    <row r="3861" spans="2:21" ht="17.25">
      <c r="B3861" s="156"/>
      <c r="C3861" s="156"/>
      <c r="D3861" s="157"/>
      <c r="E3861" s="155"/>
      <c r="F3861" s="151"/>
      <c r="G3861" s="152"/>
      <c r="H3861" s="153"/>
      <c r="I3861" s="154"/>
      <c r="J3861" s="154"/>
      <c r="K3861" s="30" t="str">
        <f>IF(H3861="","",IF($C$30="간이법","",FPR(H3861,I3861,J3861)))</f>
        <v/>
      </c>
      <c r="L3861" s="30" t="str">
        <f>IF(H3861="","",IF($C$30="상세법",FPV(H3861,K3861),IF(H3861="EI",4,IF(H3861="EO",5.2,IF(H3861="EQ",3.9,IF(H3861="ILF",7.5,IF(H3861="EIF",5.4)))))))</f>
        <v/>
      </c>
      <c r="M3861" s="30" t="str">
        <f t="shared" si="415"/>
        <v/>
      </c>
      <c r="N3861" s="134"/>
      <c r="O3861" s="29"/>
      <c r="P3861" s="37" t="str">
        <f t="shared" si="416"/>
        <v/>
      </c>
      <c r="Q3861" s="38" t="str">
        <f t="shared" si="417"/>
        <v/>
      </c>
      <c r="R3861" s="37" t="str">
        <f t="shared" si="418"/>
        <v/>
      </c>
      <c r="S3861" s="37" t="str">
        <f t="shared" si="419"/>
        <v/>
      </c>
      <c r="T3861" s="38" t="str">
        <f t="shared" si="420"/>
        <v/>
      </c>
      <c r="U3861" s="37" t="str">
        <f t="shared" si="421"/>
        <v/>
      </c>
    </row>
    <row r="3862" spans="2:21" ht="17.25">
      <c r="B3862" s="156"/>
      <c r="C3862" s="156"/>
      <c r="D3862" s="157"/>
      <c r="E3862" s="155"/>
      <c r="F3862" s="151"/>
      <c r="G3862" s="152"/>
      <c r="H3862" s="153"/>
      <c r="I3862" s="154"/>
      <c r="J3862" s="154"/>
      <c r="K3862" s="30" t="str">
        <f>IF(H3862="","",IF($C$30="간이법","",FPR(H3862,I3862,J3862)))</f>
        <v/>
      </c>
      <c r="L3862" s="30" t="str">
        <f>IF(H3862="","",IF($C$30="상세법",FPV(H3862,K3862),IF(H3862="EI",4,IF(H3862="EO",5.2,IF(H3862="EQ",3.9,IF(H3862="ILF",7.5,IF(H3862="EIF",5.4)))))))</f>
        <v/>
      </c>
      <c r="M3862" s="30" t="str">
        <f t="shared" si="415"/>
        <v/>
      </c>
      <c r="N3862" s="134"/>
      <c r="O3862" s="29"/>
      <c r="P3862" s="37" t="str">
        <f t="shared" si="416"/>
        <v/>
      </c>
      <c r="Q3862" s="38" t="str">
        <f t="shared" si="417"/>
        <v/>
      </c>
      <c r="R3862" s="37" t="str">
        <f t="shared" si="418"/>
        <v/>
      </c>
      <c r="S3862" s="37" t="str">
        <f t="shared" si="419"/>
        <v/>
      </c>
      <c r="T3862" s="38" t="str">
        <f t="shared" si="420"/>
        <v/>
      </c>
      <c r="U3862" s="37" t="str">
        <f t="shared" si="421"/>
        <v/>
      </c>
    </row>
    <row r="3863" spans="2:21" ht="17.25">
      <c r="B3863" s="156"/>
      <c r="C3863" s="156"/>
      <c r="D3863" s="157"/>
      <c r="E3863" s="155"/>
      <c r="F3863" s="151"/>
      <c r="G3863" s="152"/>
      <c r="H3863" s="153"/>
      <c r="I3863" s="154"/>
      <c r="J3863" s="154"/>
      <c r="K3863" s="30" t="str">
        <f>IF(H3863="","",IF($C$30="간이법","",FPR(H3863,I3863,J3863)))</f>
        <v/>
      </c>
      <c r="L3863" s="30" t="str">
        <f>IF(H3863="","",IF($C$30="상세법",FPV(H3863,K3863),IF(H3863="EI",4,IF(H3863="EO",5.2,IF(H3863="EQ",3.9,IF(H3863="ILF",7.5,IF(H3863="EIF",5.4)))))))</f>
        <v/>
      </c>
      <c r="M3863" s="30" t="str">
        <f t="shared" si="415"/>
        <v/>
      </c>
      <c r="N3863" s="134"/>
      <c r="O3863" s="29"/>
      <c r="P3863" s="37" t="str">
        <f t="shared" si="416"/>
        <v/>
      </c>
      <c r="Q3863" s="38" t="str">
        <f t="shared" si="417"/>
        <v/>
      </c>
      <c r="R3863" s="37" t="str">
        <f t="shared" si="418"/>
        <v/>
      </c>
      <c r="S3863" s="37" t="str">
        <f t="shared" si="419"/>
        <v/>
      </c>
      <c r="T3863" s="38" t="str">
        <f t="shared" si="420"/>
        <v/>
      </c>
      <c r="U3863" s="37" t="str">
        <f t="shared" si="421"/>
        <v/>
      </c>
    </row>
    <row r="3864" spans="2:21" ht="17.25">
      <c r="B3864" s="156"/>
      <c r="C3864" s="156"/>
      <c r="D3864" s="157"/>
      <c r="E3864" s="155"/>
      <c r="F3864" s="151"/>
      <c r="G3864" s="152"/>
      <c r="H3864" s="153"/>
      <c r="I3864" s="154"/>
      <c r="J3864" s="154"/>
      <c r="K3864" s="30" t="str">
        <f>IF(H3864="","",IF($C$30="간이법","",FPR(H3864,I3864,J3864)))</f>
        <v/>
      </c>
      <c r="L3864" s="30" t="str">
        <f>IF(H3864="","",IF($C$30="상세법",FPV(H3864,K3864),IF(H3864="EI",4,IF(H3864="EO",5.2,IF(H3864="EQ",3.9,IF(H3864="ILF",7.5,IF(H3864="EIF",5.4)))))))</f>
        <v/>
      </c>
      <c r="M3864" s="30" t="str">
        <f t="shared" si="415"/>
        <v/>
      </c>
      <c r="N3864" s="134"/>
      <c r="O3864" s="29"/>
      <c r="P3864" s="37" t="str">
        <f t="shared" si="416"/>
        <v/>
      </c>
      <c r="Q3864" s="38" t="str">
        <f t="shared" si="417"/>
        <v/>
      </c>
      <c r="R3864" s="37" t="str">
        <f t="shared" si="418"/>
        <v/>
      </c>
      <c r="S3864" s="37" t="str">
        <f t="shared" si="419"/>
        <v/>
      </c>
      <c r="T3864" s="38" t="str">
        <f t="shared" si="420"/>
        <v/>
      </c>
      <c r="U3864" s="37" t="str">
        <f t="shared" si="421"/>
        <v/>
      </c>
    </row>
    <row r="3865" spans="2:21" ht="17.25">
      <c r="B3865" s="156"/>
      <c r="C3865" s="156"/>
      <c r="D3865" s="157"/>
      <c r="E3865" s="155"/>
      <c r="F3865" s="151"/>
      <c r="G3865" s="152"/>
      <c r="H3865" s="153"/>
      <c r="I3865" s="154"/>
      <c r="J3865" s="154"/>
      <c r="K3865" s="30" t="str">
        <f>IF(H3865="","",IF($C$30="간이법","",FPR(H3865,I3865,J3865)))</f>
        <v/>
      </c>
      <c r="L3865" s="30" t="str">
        <f>IF(H3865="","",IF($C$30="상세법",FPV(H3865,K3865),IF(H3865="EI",4,IF(H3865="EO",5.2,IF(H3865="EQ",3.9,IF(H3865="ILF",7.5,IF(H3865="EIF",5.4)))))))</f>
        <v/>
      </c>
      <c r="M3865" s="30" t="str">
        <f t="shared" si="415"/>
        <v/>
      </c>
      <c r="N3865" s="134"/>
      <c r="O3865" s="29"/>
      <c r="P3865" s="37" t="str">
        <f t="shared" si="416"/>
        <v/>
      </c>
      <c r="Q3865" s="38" t="str">
        <f t="shared" si="417"/>
        <v/>
      </c>
      <c r="R3865" s="37" t="str">
        <f t="shared" si="418"/>
        <v/>
      </c>
      <c r="S3865" s="37" t="str">
        <f t="shared" si="419"/>
        <v/>
      </c>
      <c r="T3865" s="38" t="str">
        <f t="shared" si="420"/>
        <v/>
      </c>
      <c r="U3865" s="37" t="str">
        <f t="shared" si="421"/>
        <v/>
      </c>
    </row>
    <row r="3866" spans="2:21" ht="17.25">
      <c r="B3866" s="156"/>
      <c r="C3866" s="156"/>
      <c r="D3866" s="157"/>
      <c r="E3866" s="155"/>
      <c r="F3866" s="151"/>
      <c r="G3866" s="152"/>
      <c r="H3866" s="153"/>
      <c r="I3866" s="154"/>
      <c r="J3866" s="154"/>
      <c r="K3866" s="30" t="str">
        <f>IF(H3866="","",IF($C$30="간이법","",FPR(H3866,I3866,J3866)))</f>
        <v/>
      </c>
      <c r="L3866" s="30" t="str">
        <f>IF(H3866="","",IF($C$30="상세법",FPV(H3866,K3866),IF(H3866="EI",4,IF(H3866="EO",5.2,IF(H3866="EQ",3.9,IF(H3866="ILF",7.5,IF(H3866="EIF",5.4)))))))</f>
        <v/>
      </c>
      <c r="M3866" s="30" t="str">
        <f t="shared" si="415"/>
        <v/>
      </c>
      <c r="N3866" s="134"/>
      <c r="O3866" s="29"/>
      <c r="P3866" s="37" t="str">
        <f t="shared" si="416"/>
        <v/>
      </c>
      <c r="Q3866" s="38" t="str">
        <f t="shared" si="417"/>
        <v/>
      </c>
      <c r="R3866" s="37" t="str">
        <f t="shared" si="418"/>
        <v/>
      </c>
      <c r="S3866" s="37" t="str">
        <f t="shared" si="419"/>
        <v/>
      </c>
      <c r="T3866" s="38" t="str">
        <f t="shared" si="420"/>
        <v/>
      </c>
      <c r="U3866" s="37" t="str">
        <f t="shared" si="421"/>
        <v/>
      </c>
    </row>
    <row r="3867" spans="2:21" ht="17.25">
      <c r="B3867" s="156"/>
      <c r="C3867" s="156"/>
      <c r="D3867" s="157"/>
      <c r="E3867" s="155"/>
      <c r="F3867" s="151"/>
      <c r="G3867" s="152"/>
      <c r="H3867" s="153"/>
      <c r="I3867" s="154"/>
      <c r="J3867" s="154"/>
      <c r="K3867" s="30" t="str">
        <f>IF(H3867="","",IF($C$30="간이법","",FPR(H3867,I3867,J3867)))</f>
        <v/>
      </c>
      <c r="L3867" s="30" t="str">
        <f>IF(H3867="","",IF($C$30="상세법",FPV(H3867,K3867),IF(H3867="EI",4,IF(H3867="EO",5.2,IF(H3867="EQ",3.9,IF(H3867="ILF",7.5,IF(H3867="EIF",5.4)))))))</f>
        <v/>
      </c>
      <c r="M3867" s="30" t="str">
        <f t="shared" si="415"/>
        <v/>
      </c>
      <c r="N3867" s="134"/>
      <c r="O3867" s="29"/>
      <c r="P3867" s="37" t="str">
        <f t="shared" si="416"/>
        <v/>
      </c>
      <c r="Q3867" s="38" t="str">
        <f t="shared" si="417"/>
        <v/>
      </c>
      <c r="R3867" s="37" t="str">
        <f t="shared" si="418"/>
        <v/>
      </c>
      <c r="S3867" s="37" t="str">
        <f t="shared" si="419"/>
        <v/>
      </c>
      <c r="T3867" s="38" t="str">
        <f t="shared" si="420"/>
        <v/>
      </c>
      <c r="U3867" s="37" t="str">
        <f t="shared" si="421"/>
        <v/>
      </c>
    </row>
    <row r="3868" spans="2:21" ht="17.25">
      <c r="B3868" s="156"/>
      <c r="C3868" s="156"/>
      <c r="D3868" s="157"/>
      <c r="E3868" s="155"/>
      <c r="F3868" s="151"/>
      <c r="G3868" s="152"/>
      <c r="H3868" s="153"/>
      <c r="I3868" s="154"/>
      <c r="J3868" s="154"/>
      <c r="K3868" s="30" t="str">
        <f>IF(H3868="","",IF($C$30="간이법","",FPR(H3868,I3868,J3868)))</f>
        <v/>
      </c>
      <c r="L3868" s="30" t="str">
        <f>IF(H3868="","",IF($C$30="상세법",FPV(H3868,K3868),IF(H3868="EI",4,IF(H3868="EO",5.2,IF(H3868="EQ",3.9,IF(H3868="ILF",7.5,IF(H3868="EIF",5.4)))))))</f>
        <v/>
      </c>
      <c r="M3868" s="30" t="str">
        <f t="shared" si="415"/>
        <v/>
      </c>
      <c r="N3868" s="134"/>
      <c r="O3868" s="29"/>
      <c r="P3868" s="37" t="str">
        <f t="shared" si="416"/>
        <v/>
      </c>
      <c r="Q3868" s="38" t="str">
        <f t="shared" si="417"/>
        <v/>
      </c>
      <c r="R3868" s="37" t="str">
        <f t="shared" si="418"/>
        <v/>
      </c>
      <c r="S3868" s="37" t="str">
        <f t="shared" si="419"/>
        <v/>
      </c>
      <c r="T3868" s="38" t="str">
        <f t="shared" si="420"/>
        <v/>
      </c>
      <c r="U3868" s="37" t="str">
        <f t="shared" si="421"/>
        <v/>
      </c>
    </row>
    <row r="3869" spans="2:21" ht="17.25">
      <c r="B3869" s="156"/>
      <c r="C3869" s="156"/>
      <c r="D3869" s="157"/>
      <c r="E3869" s="155"/>
      <c r="F3869" s="151"/>
      <c r="G3869" s="152"/>
      <c r="H3869" s="153"/>
      <c r="I3869" s="154"/>
      <c r="J3869" s="154"/>
      <c r="K3869" s="30" t="str">
        <f>IF(H3869="","",IF($C$30="간이법","",FPR(H3869,I3869,J3869)))</f>
        <v/>
      </c>
      <c r="L3869" s="30" t="str">
        <f>IF(H3869="","",IF($C$30="상세법",FPV(H3869,K3869),IF(H3869="EI",4,IF(H3869="EO",5.2,IF(H3869="EQ",3.9,IF(H3869="ILF",7.5,IF(H3869="EIF",5.4)))))))</f>
        <v/>
      </c>
      <c r="M3869" s="30" t="str">
        <f t="shared" si="415"/>
        <v/>
      </c>
      <c r="N3869" s="134"/>
      <c r="O3869" s="29"/>
      <c r="P3869" s="37" t="str">
        <f t="shared" si="416"/>
        <v/>
      </c>
      <c r="Q3869" s="38" t="str">
        <f t="shared" si="417"/>
        <v/>
      </c>
      <c r="R3869" s="37" t="str">
        <f t="shared" si="418"/>
        <v/>
      </c>
      <c r="S3869" s="37" t="str">
        <f t="shared" si="419"/>
        <v/>
      </c>
      <c r="T3869" s="38" t="str">
        <f t="shared" si="420"/>
        <v/>
      </c>
      <c r="U3869" s="37" t="str">
        <f t="shared" si="421"/>
        <v/>
      </c>
    </row>
    <row r="3870" spans="2:21" ht="17.25">
      <c r="B3870" s="156"/>
      <c r="C3870" s="156"/>
      <c r="D3870" s="157"/>
      <c r="E3870" s="155"/>
      <c r="F3870" s="151"/>
      <c r="G3870" s="152"/>
      <c r="H3870" s="153"/>
      <c r="I3870" s="154"/>
      <c r="J3870" s="154"/>
      <c r="K3870" s="30" t="str">
        <f>IF(H3870="","",IF($C$30="간이법","",FPR(H3870,I3870,J3870)))</f>
        <v/>
      </c>
      <c r="L3870" s="30" t="str">
        <f>IF(H3870="","",IF($C$30="상세법",FPV(H3870,K3870),IF(H3870="EI",4,IF(H3870="EO",5.2,IF(H3870="EQ",3.9,IF(H3870="ILF",7.5,IF(H3870="EIF",5.4)))))))</f>
        <v/>
      </c>
      <c r="M3870" s="30" t="str">
        <f t="shared" si="415"/>
        <v/>
      </c>
      <c r="N3870" s="134"/>
      <c r="O3870" s="29"/>
      <c r="P3870" s="37" t="str">
        <f t="shared" si="416"/>
        <v/>
      </c>
      <c r="Q3870" s="38" t="str">
        <f t="shared" si="417"/>
        <v/>
      </c>
      <c r="R3870" s="37" t="str">
        <f t="shared" si="418"/>
        <v/>
      </c>
      <c r="S3870" s="37" t="str">
        <f t="shared" si="419"/>
        <v/>
      </c>
      <c r="T3870" s="38" t="str">
        <f t="shared" si="420"/>
        <v/>
      </c>
      <c r="U3870" s="37" t="str">
        <f t="shared" si="421"/>
        <v/>
      </c>
    </row>
    <row r="3871" spans="2:21" ht="17.25">
      <c r="B3871" s="156"/>
      <c r="C3871" s="156"/>
      <c r="D3871" s="157"/>
      <c r="E3871" s="155"/>
      <c r="F3871" s="151"/>
      <c r="G3871" s="152"/>
      <c r="H3871" s="153"/>
      <c r="I3871" s="154"/>
      <c r="J3871" s="154"/>
      <c r="K3871" s="30" t="str">
        <f>IF(H3871="","",IF($C$30="간이법","",FPR(H3871,I3871,J3871)))</f>
        <v/>
      </c>
      <c r="L3871" s="30" t="str">
        <f>IF(H3871="","",IF($C$30="상세법",FPV(H3871,K3871),IF(H3871="EI",4,IF(H3871="EO",5.2,IF(H3871="EQ",3.9,IF(H3871="ILF",7.5,IF(H3871="EIF",5.4)))))))</f>
        <v/>
      </c>
      <c r="M3871" s="30" t="str">
        <f t="shared" si="415"/>
        <v/>
      </c>
      <c r="N3871" s="134"/>
      <c r="O3871" s="29"/>
      <c r="P3871" s="37" t="str">
        <f t="shared" si="416"/>
        <v/>
      </c>
      <c r="Q3871" s="38" t="str">
        <f t="shared" si="417"/>
        <v/>
      </c>
      <c r="R3871" s="37" t="str">
        <f t="shared" si="418"/>
        <v/>
      </c>
      <c r="S3871" s="37" t="str">
        <f t="shared" si="419"/>
        <v/>
      </c>
      <c r="T3871" s="38" t="str">
        <f t="shared" si="420"/>
        <v/>
      </c>
      <c r="U3871" s="37" t="str">
        <f t="shared" si="421"/>
        <v/>
      </c>
    </row>
    <row r="3872" spans="2:21" ht="17.25">
      <c r="B3872" s="156"/>
      <c r="C3872" s="156"/>
      <c r="D3872" s="157"/>
      <c r="E3872" s="155"/>
      <c r="F3872" s="151"/>
      <c r="G3872" s="152"/>
      <c r="H3872" s="153"/>
      <c r="I3872" s="154"/>
      <c r="J3872" s="154"/>
      <c r="K3872" s="30" t="str">
        <f>IF(H3872="","",IF($C$30="간이법","",FPR(H3872,I3872,J3872)))</f>
        <v/>
      </c>
      <c r="L3872" s="30" t="str">
        <f>IF(H3872="","",IF($C$30="상세법",FPV(H3872,K3872),IF(H3872="EI",4,IF(H3872="EO",5.2,IF(H3872="EQ",3.9,IF(H3872="ILF",7.5,IF(H3872="EIF",5.4)))))))</f>
        <v/>
      </c>
      <c r="M3872" s="30" t="str">
        <f t="shared" si="415"/>
        <v/>
      </c>
      <c r="N3872" s="134"/>
      <c r="O3872" s="29"/>
      <c r="P3872" s="37" t="str">
        <f t="shared" si="416"/>
        <v/>
      </c>
      <c r="Q3872" s="38" t="str">
        <f t="shared" si="417"/>
        <v/>
      </c>
      <c r="R3872" s="37" t="str">
        <f t="shared" si="418"/>
        <v/>
      </c>
      <c r="S3872" s="37" t="str">
        <f t="shared" si="419"/>
        <v/>
      </c>
      <c r="T3872" s="38" t="str">
        <f t="shared" si="420"/>
        <v/>
      </c>
      <c r="U3872" s="37" t="str">
        <f t="shared" si="421"/>
        <v/>
      </c>
    </row>
    <row r="3873" spans="2:21" ht="17.25">
      <c r="B3873" s="156"/>
      <c r="C3873" s="156"/>
      <c r="D3873" s="157"/>
      <c r="E3873" s="155"/>
      <c r="F3873" s="151"/>
      <c r="G3873" s="152"/>
      <c r="H3873" s="153"/>
      <c r="I3873" s="154"/>
      <c r="J3873" s="154"/>
      <c r="K3873" s="30" t="str">
        <f>IF(H3873="","",IF($C$30="간이법","",FPR(H3873,I3873,J3873)))</f>
        <v/>
      </c>
      <c r="L3873" s="30" t="str">
        <f>IF(H3873="","",IF($C$30="상세법",FPV(H3873,K3873),IF(H3873="EI",4,IF(H3873="EO",5.2,IF(H3873="EQ",3.9,IF(H3873="ILF",7.5,IF(H3873="EIF",5.4)))))))</f>
        <v/>
      </c>
      <c r="M3873" s="30" t="str">
        <f t="shared" si="415"/>
        <v/>
      </c>
      <c r="N3873" s="134"/>
      <c r="O3873" s="29"/>
      <c r="P3873" s="37" t="str">
        <f t="shared" si="416"/>
        <v/>
      </c>
      <c r="Q3873" s="38" t="str">
        <f t="shared" si="417"/>
        <v/>
      </c>
      <c r="R3873" s="37" t="str">
        <f t="shared" si="418"/>
        <v/>
      </c>
      <c r="S3873" s="37" t="str">
        <f t="shared" si="419"/>
        <v/>
      </c>
      <c r="T3873" s="38" t="str">
        <f t="shared" si="420"/>
        <v/>
      </c>
      <c r="U3873" s="37" t="str">
        <f t="shared" si="421"/>
        <v/>
      </c>
    </row>
    <row r="3874" spans="2:21" ht="17.25">
      <c r="B3874" s="156"/>
      <c r="C3874" s="156"/>
      <c r="D3874" s="157"/>
      <c r="E3874" s="155"/>
      <c r="F3874" s="151"/>
      <c r="G3874" s="152"/>
      <c r="H3874" s="153"/>
      <c r="I3874" s="154"/>
      <c r="J3874" s="154"/>
      <c r="K3874" s="30" t="str">
        <f>IF(H3874="","",IF($C$30="간이법","",FPR(H3874,I3874,J3874)))</f>
        <v/>
      </c>
      <c r="L3874" s="30" t="str">
        <f>IF(H3874="","",IF($C$30="상세법",FPV(H3874,K3874),IF(H3874="EI",4,IF(H3874="EO",5.2,IF(H3874="EQ",3.9,IF(H3874="ILF",7.5,IF(H3874="EIF",5.4)))))))</f>
        <v/>
      </c>
      <c r="M3874" s="30" t="str">
        <f t="shared" si="415"/>
        <v/>
      </c>
      <c r="N3874" s="134"/>
      <c r="O3874" s="29"/>
      <c r="P3874" s="37" t="str">
        <f t="shared" si="416"/>
        <v/>
      </c>
      <c r="Q3874" s="38" t="str">
        <f t="shared" si="417"/>
        <v/>
      </c>
      <c r="R3874" s="37" t="str">
        <f t="shared" si="418"/>
        <v/>
      </c>
      <c r="S3874" s="37" t="str">
        <f t="shared" si="419"/>
        <v/>
      </c>
      <c r="T3874" s="38" t="str">
        <f t="shared" si="420"/>
        <v/>
      </c>
      <c r="U3874" s="37" t="str">
        <f t="shared" si="421"/>
        <v/>
      </c>
    </row>
    <row r="3875" spans="2:21" ht="17.25">
      <c r="B3875" s="156"/>
      <c r="C3875" s="156"/>
      <c r="D3875" s="157"/>
      <c r="E3875" s="155"/>
      <c r="F3875" s="151"/>
      <c r="G3875" s="152"/>
      <c r="H3875" s="153"/>
      <c r="I3875" s="154"/>
      <c r="J3875" s="154"/>
      <c r="K3875" s="30" t="str">
        <f>IF(H3875="","",IF($C$30="간이법","",FPR(H3875,I3875,J3875)))</f>
        <v/>
      </c>
      <c r="L3875" s="30" t="str">
        <f>IF(H3875="","",IF($C$30="상세법",FPV(H3875,K3875),IF(H3875="EI",4,IF(H3875="EO",5.2,IF(H3875="EQ",3.9,IF(H3875="ILF",7.5,IF(H3875="EIF",5.4)))))))</f>
        <v/>
      </c>
      <c r="M3875" s="30" t="str">
        <f t="shared" si="415"/>
        <v/>
      </c>
      <c r="N3875" s="134"/>
      <c r="O3875" s="29"/>
      <c r="P3875" s="37" t="str">
        <f t="shared" si="416"/>
        <v/>
      </c>
      <c r="Q3875" s="38" t="str">
        <f t="shared" si="417"/>
        <v/>
      </c>
      <c r="R3875" s="37" t="str">
        <f t="shared" si="418"/>
        <v/>
      </c>
      <c r="S3875" s="37" t="str">
        <f t="shared" si="419"/>
        <v/>
      </c>
      <c r="T3875" s="38" t="str">
        <f t="shared" si="420"/>
        <v/>
      </c>
      <c r="U3875" s="37" t="str">
        <f t="shared" si="421"/>
        <v/>
      </c>
    </row>
    <row r="3876" spans="2:21" ht="17.25">
      <c r="B3876" s="156"/>
      <c r="C3876" s="156"/>
      <c r="D3876" s="157"/>
      <c r="E3876" s="155"/>
      <c r="F3876" s="151"/>
      <c r="G3876" s="152"/>
      <c r="H3876" s="153"/>
      <c r="I3876" s="154"/>
      <c r="J3876" s="154"/>
      <c r="K3876" s="30" t="str">
        <f>IF(H3876="","",IF($C$30="간이법","",FPR(H3876,I3876,J3876)))</f>
        <v/>
      </c>
      <c r="L3876" s="30" t="str">
        <f>IF(H3876="","",IF($C$30="상세법",FPV(H3876,K3876),IF(H3876="EI",4,IF(H3876="EO",5.2,IF(H3876="EQ",3.9,IF(H3876="ILF",7.5,IF(H3876="EIF",5.4)))))))</f>
        <v/>
      </c>
      <c r="M3876" s="30" t="str">
        <f t="shared" si="415"/>
        <v/>
      </c>
      <c r="N3876" s="134"/>
      <c r="O3876" s="29"/>
      <c r="P3876" s="37" t="str">
        <f t="shared" si="416"/>
        <v/>
      </c>
      <c r="Q3876" s="38" t="str">
        <f t="shared" si="417"/>
        <v/>
      </c>
      <c r="R3876" s="37" t="str">
        <f t="shared" si="418"/>
        <v/>
      </c>
      <c r="S3876" s="37" t="str">
        <f t="shared" si="419"/>
        <v/>
      </c>
      <c r="T3876" s="38" t="str">
        <f t="shared" si="420"/>
        <v/>
      </c>
      <c r="U3876" s="37" t="str">
        <f t="shared" si="421"/>
        <v/>
      </c>
    </row>
    <row r="3877" spans="2:21" ht="17.25">
      <c r="B3877" s="156"/>
      <c r="C3877" s="156"/>
      <c r="D3877" s="157"/>
      <c r="E3877" s="155"/>
      <c r="F3877" s="151"/>
      <c r="G3877" s="152"/>
      <c r="H3877" s="153"/>
      <c r="I3877" s="154"/>
      <c r="J3877" s="154"/>
      <c r="K3877" s="30" t="str">
        <f>IF(H3877="","",IF($C$30="간이법","",FPR(H3877,I3877,J3877)))</f>
        <v/>
      </c>
      <c r="L3877" s="30" t="str">
        <f>IF(H3877="","",IF($C$30="상세법",FPV(H3877,K3877),IF(H3877="EI",4,IF(H3877="EO",5.2,IF(H3877="EQ",3.9,IF(H3877="ILF",7.5,IF(H3877="EIF",5.4)))))))</f>
        <v/>
      </c>
      <c r="M3877" s="30" t="str">
        <f t="shared" si="415"/>
        <v/>
      </c>
      <c r="N3877" s="134"/>
      <c r="O3877" s="29"/>
      <c r="P3877" s="37" t="str">
        <f t="shared" si="416"/>
        <v/>
      </c>
      <c r="Q3877" s="38" t="str">
        <f t="shared" si="417"/>
        <v/>
      </c>
      <c r="R3877" s="37" t="str">
        <f t="shared" si="418"/>
        <v/>
      </c>
      <c r="S3877" s="37" t="str">
        <f t="shared" si="419"/>
        <v/>
      </c>
      <c r="T3877" s="38" t="str">
        <f t="shared" si="420"/>
        <v/>
      </c>
      <c r="U3877" s="37" t="str">
        <f t="shared" si="421"/>
        <v/>
      </c>
    </row>
    <row r="3878" spans="2:21" ht="17.25">
      <c r="B3878" s="156"/>
      <c r="C3878" s="156"/>
      <c r="D3878" s="157"/>
      <c r="E3878" s="155"/>
      <c r="F3878" s="151"/>
      <c r="G3878" s="152"/>
      <c r="H3878" s="153"/>
      <c r="I3878" s="154"/>
      <c r="J3878" s="154"/>
      <c r="K3878" s="30" t="str">
        <f>IF(H3878="","",IF($C$30="간이법","",FPR(H3878,I3878,J3878)))</f>
        <v/>
      </c>
      <c r="L3878" s="30" t="str">
        <f>IF(H3878="","",IF($C$30="상세법",FPV(H3878,K3878),IF(H3878="EI",4,IF(H3878="EO",5.2,IF(H3878="EQ",3.9,IF(H3878="ILF",7.5,IF(H3878="EIF",5.4)))))))</f>
        <v/>
      </c>
      <c r="M3878" s="30" t="str">
        <f t="shared" si="415"/>
        <v/>
      </c>
      <c r="N3878" s="134"/>
      <c r="O3878" s="29"/>
      <c r="P3878" s="37" t="str">
        <f t="shared" si="416"/>
        <v/>
      </c>
      <c r="Q3878" s="38" t="str">
        <f t="shared" si="417"/>
        <v/>
      </c>
      <c r="R3878" s="37" t="str">
        <f t="shared" si="418"/>
        <v/>
      </c>
      <c r="S3878" s="37" t="str">
        <f t="shared" si="419"/>
        <v/>
      </c>
      <c r="T3878" s="38" t="str">
        <f t="shared" si="420"/>
        <v/>
      </c>
      <c r="U3878" s="37" t="str">
        <f t="shared" si="421"/>
        <v/>
      </c>
    </row>
    <row r="3879" spans="2:21" ht="17.25">
      <c r="B3879" s="156"/>
      <c r="C3879" s="156"/>
      <c r="D3879" s="157"/>
      <c r="E3879" s="155"/>
      <c r="F3879" s="151"/>
      <c r="G3879" s="152"/>
      <c r="H3879" s="153"/>
      <c r="I3879" s="154"/>
      <c r="J3879" s="154"/>
      <c r="K3879" s="30" t="str">
        <f>IF(H3879="","",IF($C$30="간이법","",FPR(H3879,I3879,J3879)))</f>
        <v/>
      </c>
      <c r="L3879" s="30" t="str">
        <f>IF(H3879="","",IF($C$30="상세법",FPV(H3879,K3879),IF(H3879="EI",4,IF(H3879="EO",5.2,IF(H3879="EQ",3.9,IF(H3879="ILF",7.5,IF(H3879="EIF",5.4)))))))</f>
        <v/>
      </c>
      <c r="M3879" s="30" t="str">
        <f t="shared" si="415"/>
        <v/>
      </c>
      <c r="N3879" s="134"/>
      <c r="O3879" s="29"/>
      <c r="P3879" s="37" t="str">
        <f t="shared" si="416"/>
        <v/>
      </c>
      <c r="Q3879" s="38" t="str">
        <f t="shared" si="417"/>
        <v/>
      </c>
      <c r="R3879" s="37" t="str">
        <f t="shared" si="418"/>
        <v/>
      </c>
      <c r="S3879" s="37" t="str">
        <f t="shared" si="419"/>
        <v/>
      </c>
      <c r="T3879" s="38" t="str">
        <f t="shared" si="420"/>
        <v/>
      </c>
      <c r="U3879" s="37" t="str">
        <f t="shared" si="421"/>
        <v/>
      </c>
    </row>
    <row r="3880" spans="2:21" ht="17.25">
      <c r="B3880" s="156"/>
      <c r="C3880" s="156"/>
      <c r="D3880" s="157"/>
      <c r="E3880" s="155"/>
      <c r="F3880" s="151"/>
      <c r="G3880" s="152"/>
      <c r="H3880" s="153"/>
      <c r="I3880" s="154"/>
      <c r="J3880" s="154"/>
      <c r="K3880" s="30" t="str">
        <f>IF(H3880="","",IF($C$30="간이법","",FPR(H3880,I3880,J3880)))</f>
        <v/>
      </c>
      <c r="L3880" s="30" t="str">
        <f>IF(H3880="","",IF($C$30="상세법",FPV(H3880,K3880),IF(H3880="EI",4,IF(H3880="EO",5.2,IF(H3880="EQ",3.9,IF(H3880="ILF",7.5,IF(H3880="EIF",5.4)))))))</f>
        <v/>
      </c>
      <c r="M3880" s="30" t="str">
        <f t="shared" si="415"/>
        <v/>
      </c>
      <c r="N3880" s="134"/>
      <c r="O3880" s="29"/>
      <c r="P3880" s="37" t="str">
        <f t="shared" si="416"/>
        <v/>
      </c>
      <c r="Q3880" s="38" t="str">
        <f t="shared" si="417"/>
        <v/>
      </c>
      <c r="R3880" s="37" t="str">
        <f t="shared" si="418"/>
        <v/>
      </c>
      <c r="S3880" s="37" t="str">
        <f t="shared" si="419"/>
        <v/>
      </c>
      <c r="T3880" s="38" t="str">
        <f t="shared" si="420"/>
        <v/>
      </c>
      <c r="U3880" s="37" t="str">
        <f t="shared" si="421"/>
        <v/>
      </c>
    </row>
    <row r="3881" spans="2:21" ht="17.25">
      <c r="B3881" s="156"/>
      <c r="C3881" s="156"/>
      <c r="D3881" s="157"/>
      <c r="E3881" s="155"/>
      <c r="F3881" s="151"/>
      <c r="G3881" s="152"/>
      <c r="H3881" s="153"/>
      <c r="I3881" s="154"/>
      <c r="J3881" s="154"/>
      <c r="K3881" s="30" t="str">
        <f>IF(H3881="","",IF($C$30="간이법","",FPR(H3881,I3881,J3881)))</f>
        <v/>
      </c>
      <c r="L3881" s="30" t="str">
        <f>IF(H3881="","",IF($C$30="상세법",FPV(H3881,K3881),IF(H3881="EI",4,IF(H3881="EO",5.2,IF(H3881="EQ",3.9,IF(H3881="ILF",7.5,IF(H3881="EIF",5.4)))))))</f>
        <v/>
      </c>
      <c r="M3881" s="30" t="str">
        <f t="shared" si="415"/>
        <v/>
      </c>
      <c r="N3881" s="134"/>
      <c r="O3881" s="29"/>
      <c r="P3881" s="37" t="str">
        <f t="shared" si="416"/>
        <v/>
      </c>
      <c r="Q3881" s="38" t="str">
        <f t="shared" si="417"/>
        <v/>
      </c>
      <c r="R3881" s="37" t="str">
        <f t="shared" si="418"/>
        <v/>
      </c>
      <c r="S3881" s="37" t="str">
        <f t="shared" si="419"/>
        <v/>
      </c>
      <c r="T3881" s="38" t="str">
        <f t="shared" si="420"/>
        <v/>
      </c>
      <c r="U3881" s="37" t="str">
        <f t="shared" si="421"/>
        <v/>
      </c>
    </row>
    <row r="3882" spans="2:21" ht="17.25">
      <c r="B3882" s="156"/>
      <c r="C3882" s="156"/>
      <c r="D3882" s="157"/>
      <c r="E3882" s="155"/>
      <c r="F3882" s="151"/>
      <c r="G3882" s="152"/>
      <c r="H3882" s="153"/>
      <c r="I3882" s="154"/>
      <c r="J3882" s="154"/>
      <c r="K3882" s="30" t="str">
        <f>IF(H3882="","",IF($C$30="간이법","",FPR(H3882,I3882,J3882)))</f>
        <v/>
      </c>
      <c r="L3882" s="30" t="str">
        <f>IF(H3882="","",IF($C$30="상세법",FPV(H3882,K3882),IF(H3882="EI",4,IF(H3882="EO",5.2,IF(H3882="EQ",3.9,IF(H3882="ILF",7.5,IF(H3882="EIF",5.4)))))))</f>
        <v/>
      </c>
      <c r="M3882" s="30" t="str">
        <f t="shared" si="415"/>
        <v/>
      </c>
      <c r="N3882" s="134"/>
      <c r="O3882" s="29"/>
      <c r="P3882" s="37" t="str">
        <f t="shared" si="416"/>
        <v/>
      </c>
      <c r="Q3882" s="38" t="str">
        <f t="shared" si="417"/>
        <v/>
      </c>
      <c r="R3882" s="37" t="str">
        <f t="shared" si="418"/>
        <v/>
      </c>
      <c r="S3882" s="37" t="str">
        <f t="shared" si="419"/>
        <v/>
      </c>
      <c r="T3882" s="38" t="str">
        <f t="shared" si="420"/>
        <v/>
      </c>
      <c r="U3882" s="37" t="str">
        <f t="shared" si="421"/>
        <v/>
      </c>
    </row>
    <row r="3883" spans="2:21" ht="17.25">
      <c r="B3883" s="156"/>
      <c r="C3883" s="156"/>
      <c r="D3883" s="157"/>
      <c r="E3883" s="155"/>
      <c r="F3883" s="151"/>
      <c r="G3883" s="152"/>
      <c r="H3883" s="153"/>
      <c r="I3883" s="154"/>
      <c r="J3883" s="154"/>
      <c r="K3883" s="30" t="str">
        <f>IF(H3883="","",IF($C$30="간이법","",FPR(H3883,I3883,J3883)))</f>
        <v/>
      </c>
      <c r="L3883" s="30" t="str">
        <f>IF(H3883="","",IF($C$30="상세법",FPV(H3883,K3883),IF(H3883="EI",4,IF(H3883="EO",5.2,IF(H3883="EQ",3.9,IF(H3883="ILF",7.5,IF(H3883="EIF",5.4)))))))</f>
        <v/>
      </c>
      <c r="M3883" s="30" t="str">
        <f t="shared" si="415"/>
        <v/>
      </c>
      <c r="N3883" s="134"/>
      <c r="O3883" s="29"/>
      <c r="P3883" s="37" t="str">
        <f t="shared" si="416"/>
        <v/>
      </c>
      <c r="Q3883" s="38" t="str">
        <f t="shared" si="417"/>
        <v/>
      </c>
      <c r="R3883" s="37" t="str">
        <f t="shared" si="418"/>
        <v/>
      </c>
      <c r="S3883" s="37" t="str">
        <f t="shared" si="419"/>
        <v/>
      </c>
      <c r="T3883" s="38" t="str">
        <f t="shared" si="420"/>
        <v/>
      </c>
      <c r="U3883" s="37" t="str">
        <f t="shared" si="421"/>
        <v/>
      </c>
    </row>
    <row r="3884" spans="2:21" ht="17.25">
      <c r="B3884" s="156"/>
      <c r="C3884" s="156"/>
      <c r="D3884" s="157"/>
      <c r="E3884" s="155"/>
      <c r="F3884" s="151"/>
      <c r="G3884" s="152"/>
      <c r="H3884" s="153"/>
      <c r="I3884" s="154"/>
      <c r="J3884" s="154"/>
      <c r="K3884" s="30" t="str">
        <f>IF(H3884="","",IF($C$30="간이법","",FPR(H3884,I3884,J3884)))</f>
        <v/>
      </c>
      <c r="L3884" s="30" t="str">
        <f>IF(H3884="","",IF($C$30="상세법",FPV(H3884,K3884),IF(H3884="EI",4,IF(H3884="EO",5.2,IF(H3884="EQ",3.9,IF(H3884="ILF",7.5,IF(H3884="EIF",5.4)))))))</f>
        <v/>
      </c>
      <c r="M3884" s="30" t="str">
        <f t="shared" si="415"/>
        <v/>
      </c>
      <c r="N3884" s="134"/>
      <c r="O3884" s="29"/>
      <c r="P3884" s="37" t="str">
        <f t="shared" si="416"/>
        <v/>
      </c>
      <c r="Q3884" s="38" t="str">
        <f t="shared" si="417"/>
        <v/>
      </c>
      <c r="R3884" s="37" t="str">
        <f t="shared" si="418"/>
        <v/>
      </c>
      <c r="S3884" s="37" t="str">
        <f t="shared" si="419"/>
        <v/>
      </c>
      <c r="T3884" s="38" t="str">
        <f t="shared" si="420"/>
        <v/>
      </c>
      <c r="U3884" s="37" t="str">
        <f t="shared" si="421"/>
        <v/>
      </c>
    </row>
    <row r="3885" spans="2:21" ht="17.25">
      <c r="B3885" s="156"/>
      <c r="C3885" s="156"/>
      <c r="D3885" s="157"/>
      <c r="E3885" s="155"/>
      <c r="F3885" s="151"/>
      <c r="G3885" s="152"/>
      <c r="H3885" s="153"/>
      <c r="I3885" s="154"/>
      <c r="J3885" s="154"/>
      <c r="K3885" s="30" t="str">
        <f>IF(H3885="","",IF($C$30="간이법","",FPR(H3885,I3885,J3885)))</f>
        <v/>
      </c>
      <c r="L3885" s="30" t="str">
        <f>IF(H3885="","",IF($C$30="상세법",FPV(H3885,K3885),IF(H3885="EI",4,IF(H3885="EO",5.2,IF(H3885="EQ",3.9,IF(H3885="ILF",7.5,IF(H3885="EIF",5.4)))))))</f>
        <v/>
      </c>
      <c r="M3885" s="30" t="str">
        <f t="shared" si="415"/>
        <v/>
      </c>
      <c r="N3885" s="134"/>
      <c r="O3885" s="29"/>
      <c r="P3885" s="37" t="str">
        <f t="shared" si="416"/>
        <v/>
      </c>
      <c r="Q3885" s="38" t="str">
        <f t="shared" si="417"/>
        <v/>
      </c>
      <c r="R3885" s="37" t="str">
        <f t="shared" si="418"/>
        <v/>
      </c>
      <c r="S3885" s="37" t="str">
        <f t="shared" si="419"/>
        <v/>
      </c>
      <c r="T3885" s="38" t="str">
        <f t="shared" si="420"/>
        <v/>
      </c>
      <c r="U3885" s="37" t="str">
        <f t="shared" si="421"/>
        <v/>
      </c>
    </row>
    <row r="3886" spans="2:21" ht="17.25">
      <c r="B3886" s="156"/>
      <c r="C3886" s="156"/>
      <c r="D3886" s="157"/>
      <c r="E3886" s="155"/>
      <c r="F3886" s="151"/>
      <c r="G3886" s="152"/>
      <c r="H3886" s="153"/>
      <c r="I3886" s="154"/>
      <c r="J3886" s="154"/>
      <c r="K3886" s="30" t="str">
        <f>IF(H3886="","",IF($C$30="간이법","",FPR(H3886,I3886,J3886)))</f>
        <v/>
      </c>
      <c r="L3886" s="30" t="str">
        <f>IF(H3886="","",IF($C$30="상세법",FPV(H3886,K3886),IF(H3886="EI",4,IF(H3886="EO",5.2,IF(H3886="EQ",3.9,IF(H3886="ILF",7.5,IF(H3886="EIF",5.4)))))))</f>
        <v/>
      </c>
      <c r="M3886" s="30" t="str">
        <f t="shared" si="415"/>
        <v/>
      </c>
      <c r="N3886" s="134"/>
      <c r="O3886" s="29"/>
      <c r="P3886" s="37" t="str">
        <f t="shared" si="416"/>
        <v/>
      </c>
      <c r="Q3886" s="38" t="str">
        <f t="shared" si="417"/>
        <v/>
      </c>
      <c r="R3886" s="37" t="str">
        <f t="shared" si="418"/>
        <v/>
      </c>
      <c r="S3886" s="37" t="str">
        <f t="shared" si="419"/>
        <v/>
      </c>
      <c r="T3886" s="38" t="str">
        <f t="shared" si="420"/>
        <v/>
      </c>
      <c r="U3886" s="37" t="str">
        <f t="shared" si="421"/>
        <v/>
      </c>
    </row>
    <row r="3887" spans="2:21" ht="17.25">
      <c r="B3887" s="156"/>
      <c r="C3887" s="156"/>
      <c r="D3887" s="157"/>
      <c r="E3887" s="155"/>
      <c r="F3887" s="151"/>
      <c r="G3887" s="152"/>
      <c r="H3887" s="153"/>
      <c r="I3887" s="154"/>
      <c r="J3887" s="154"/>
      <c r="K3887" s="30" t="str">
        <f>IF(H3887="","",IF($C$30="간이법","",FPR(H3887,I3887,J3887)))</f>
        <v/>
      </c>
      <c r="L3887" s="30" t="str">
        <f>IF(H3887="","",IF($C$30="상세법",FPV(H3887,K3887),IF(H3887="EI",4,IF(H3887="EO",5.2,IF(H3887="EQ",3.9,IF(H3887="ILF",7.5,IF(H3887="EIF",5.4)))))))</f>
        <v/>
      </c>
      <c r="M3887" s="30" t="str">
        <f t="shared" si="415"/>
        <v/>
      </c>
      <c r="N3887" s="134"/>
      <c r="O3887" s="29"/>
      <c r="P3887" s="37" t="str">
        <f t="shared" si="416"/>
        <v/>
      </c>
      <c r="Q3887" s="38" t="str">
        <f t="shared" si="417"/>
        <v/>
      </c>
      <c r="R3887" s="37" t="str">
        <f t="shared" si="418"/>
        <v/>
      </c>
      <c r="S3887" s="37" t="str">
        <f t="shared" si="419"/>
        <v/>
      </c>
      <c r="T3887" s="38" t="str">
        <f t="shared" si="420"/>
        <v/>
      </c>
      <c r="U3887" s="37" t="str">
        <f t="shared" si="421"/>
        <v/>
      </c>
    </row>
    <row r="3888" spans="2:21" ht="17.25">
      <c r="B3888" s="156"/>
      <c r="C3888" s="156"/>
      <c r="D3888" s="157"/>
      <c r="E3888" s="155"/>
      <c r="F3888" s="151"/>
      <c r="G3888" s="152"/>
      <c r="H3888" s="153"/>
      <c r="I3888" s="154"/>
      <c r="J3888" s="154"/>
      <c r="K3888" s="30" t="str">
        <f>IF(H3888="","",IF($C$30="간이법","",FPR(H3888,I3888,J3888)))</f>
        <v/>
      </c>
      <c r="L3888" s="30" t="str">
        <f>IF(H3888="","",IF($C$30="상세법",FPV(H3888,K3888),IF(H3888="EI",4,IF(H3888="EO",5.2,IF(H3888="EQ",3.9,IF(H3888="ILF",7.5,IF(H3888="EIF",5.4)))))))</f>
        <v/>
      </c>
      <c r="M3888" s="30" t="str">
        <f t="shared" si="415"/>
        <v/>
      </c>
      <c r="N3888" s="134"/>
      <c r="O3888" s="29"/>
      <c r="P3888" s="37" t="str">
        <f t="shared" si="416"/>
        <v/>
      </c>
      <c r="Q3888" s="38" t="str">
        <f t="shared" si="417"/>
        <v/>
      </c>
      <c r="R3888" s="37" t="str">
        <f t="shared" si="418"/>
        <v/>
      </c>
      <c r="S3888" s="37" t="str">
        <f t="shared" si="419"/>
        <v/>
      </c>
      <c r="T3888" s="38" t="str">
        <f t="shared" si="420"/>
        <v/>
      </c>
      <c r="U3888" s="37" t="str">
        <f t="shared" si="421"/>
        <v/>
      </c>
    </row>
    <row r="3889" spans="2:21" ht="17.25">
      <c r="B3889" s="156"/>
      <c r="C3889" s="156"/>
      <c r="D3889" s="157"/>
      <c r="E3889" s="155"/>
      <c r="F3889" s="151"/>
      <c r="G3889" s="152"/>
      <c r="H3889" s="153"/>
      <c r="I3889" s="154"/>
      <c r="J3889" s="154"/>
      <c r="K3889" s="30" t="str">
        <f>IF(H3889="","",IF($C$30="간이법","",FPR(H3889,I3889,J3889)))</f>
        <v/>
      </c>
      <c r="L3889" s="30" t="str">
        <f>IF(H3889="","",IF($C$30="상세법",FPV(H3889,K3889),IF(H3889="EI",4,IF(H3889="EO",5.2,IF(H3889="EQ",3.9,IF(H3889="ILF",7.5,IF(H3889="EIF",5.4)))))))</f>
        <v/>
      </c>
      <c r="M3889" s="30" t="str">
        <f t="shared" si="415"/>
        <v/>
      </c>
      <c r="N3889" s="134"/>
      <c r="O3889" s="29"/>
      <c r="P3889" s="37" t="str">
        <f t="shared" si="416"/>
        <v/>
      </c>
      <c r="Q3889" s="38" t="str">
        <f t="shared" si="417"/>
        <v/>
      </c>
      <c r="R3889" s="37" t="str">
        <f t="shared" si="418"/>
        <v/>
      </c>
      <c r="S3889" s="37" t="str">
        <f t="shared" si="419"/>
        <v/>
      </c>
      <c r="T3889" s="38" t="str">
        <f t="shared" si="420"/>
        <v/>
      </c>
      <c r="U3889" s="37" t="str">
        <f t="shared" si="421"/>
        <v/>
      </c>
    </row>
    <row r="3890" spans="2:21" ht="17.25">
      <c r="B3890" s="156"/>
      <c r="C3890" s="156"/>
      <c r="D3890" s="157"/>
      <c r="E3890" s="155"/>
      <c r="F3890" s="151"/>
      <c r="G3890" s="152"/>
      <c r="H3890" s="153"/>
      <c r="I3890" s="154"/>
      <c r="J3890" s="154"/>
      <c r="K3890" s="30" t="str">
        <f>IF(H3890="","",IF($C$30="간이법","",FPR(H3890,I3890,J3890)))</f>
        <v/>
      </c>
      <c r="L3890" s="30" t="str">
        <f>IF(H3890="","",IF($C$30="상세법",FPV(H3890,K3890),IF(H3890="EI",4,IF(H3890="EO",5.2,IF(H3890="EQ",3.9,IF(H3890="ILF",7.5,IF(H3890="EIF",5.4)))))))</f>
        <v/>
      </c>
      <c r="M3890" s="30" t="str">
        <f t="shared" si="415"/>
        <v/>
      </c>
      <c r="N3890" s="134"/>
      <c r="O3890" s="29"/>
      <c r="P3890" s="37" t="str">
        <f t="shared" si="416"/>
        <v/>
      </c>
      <c r="Q3890" s="38" t="str">
        <f t="shared" si="417"/>
        <v/>
      </c>
      <c r="R3890" s="37" t="str">
        <f t="shared" si="418"/>
        <v/>
      </c>
      <c r="S3890" s="37" t="str">
        <f t="shared" si="419"/>
        <v/>
      </c>
      <c r="T3890" s="38" t="str">
        <f t="shared" si="420"/>
        <v/>
      </c>
      <c r="U3890" s="37" t="str">
        <f t="shared" si="421"/>
        <v/>
      </c>
    </row>
    <row r="3891" spans="2:21" ht="17.25">
      <c r="B3891" s="156"/>
      <c r="C3891" s="156"/>
      <c r="D3891" s="157"/>
      <c r="E3891" s="155"/>
      <c r="F3891" s="151"/>
      <c r="G3891" s="152"/>
      <c r="H3891" s="153"/>
      <c r="I3891" s="154"/>
      <c r="J3891" s="154"/>
      <c r="K3891" s="30" t="str">
        <f>IF(H3891="","",IF($C$30="간이법","",FPR(H3891,I3891,J3891)))</f>
        <v/>
      </c>
      <c r="L3891" s="30" t="str">
        <f>IF(H3891="","",IF($C$30="상세법",FPV(H3891,K3891),IF(H3891="EI",4,IF(H3891="EO",5.2,IF(H3891="EQ",3.9,IF(H3891="ILF",7.5,IF(H3891="EIF",5.4)))))))</f>
        <v/>
      </c>
      <c r="M3891" s="30" t="str">
        <f t="shared" si="415"/>
        <v/>
      </c>
      <c r="N3891" s="134"/>
      <c r="O3891" s="29"/>
      <c r="P3891" s="37" t="str">
        <f t="shared" si="416"/>
        <v/>
      </c>
      <c r="Q3891" s="38" t="str">
        <f t="shared" si="417"/>
        <v/>
      </c>
      <c r="R3891" s="37" t="str">
        <f t="shared" si="418"/>
        <v/>
      </c>
      <c r="S3891" s="37" t="str">
        <f t="shared" si="419"/>
        <v/>
      </c>
      <c r="T3891" s="38" t="str">
        <f t="shared" si="420"/>
        <v/>
      </c>
      <c r="U3891" s="37" t="str">
        <f t="shared" si="421"/>
        <v/>
      </c>
    </row>
    <row r="3892" spans="2:21" ht="17.25">
      <c r="B3892" s="156"/>
      <c r="C3892" s="156"/>
      <c r="D3892" s="157"/>
      <c r="E3892" s="155"/>
      <c r="F3892" s="151"/>
      <c r="G3892" s="152"/>
      <c r="H3892" s="153"/>
      <c r="I3892" s="154"/>
      <c r="J3892" s="154"/>
      <c r="K3892" s="30" t="str">
        <f>IF(H3892="","",IF($C$30="간이법","",FPR(H3892,I3892,J3892)))</f>
        <v/>
      </c>
      <c r="L3892" s="30" t="str">
        <f>IF(H3892="","",IF($C$30="상세법",FPV(H3892,K3892),IF(H3892="EI",4,IF(H3892="EO",5.2,IF(H3892="EQ",3.9,IF(H3892="ILF",7.5,IF(H3892="EIF",5.4)))))))</f>
        <v/>
      </c>
      <c r="M3892" s="30" t="str">
        <f t="shared" si="415"/>
        <v/>
      </c>
      <c r="N3892" s="134"/>
      <c r="O3892" s="29"/>
      <c r="P3892" s="37" t="str">
        <f t="shared" si="416"/>
        <v/>
      </c>
      <c r="Q3892" s="38" t="str">
        <f t="shared" si="417"/>
        <v/>
      </c>
      <c r="R3892" s="37" t="str">
        <f t="shared" si="418"/>
        <v/>
      </c>
      <c r="S3892" s="37" t="str">
        <f t="shared" si="419"/>
        <v/>
      </c>
      <c r="T3892" s="38" t="str">
        <f t="shared" si="420"/>
        <v/>
      </c>
      <c r="U3892" s="37" t="str">
        <f t="shared" si="421"/>
        <v/>
      </c>
    </row>
    <row r="3893" spans="2:21" ht="17.25">
      <c r="B3893" s="156"/>
      <c r="C3893" s="156"/>
      <c r="D3893" s="157"/>
      <c r="E3893" s="155"/>
      <c r="F3893" s="151"/>
      <c r="G3893" s="152"/>
      <c r="H3893" s="153"/>
      <c r="I3893" s="154"/>
      <c r="J3893" s="154"/>
      <c r="K3893" s="30" t="str">
        <f>IF(H3893="","",IF($C$30="간이법","",FPR(H3893,I3893,J3893)))</f>
        <v/>
      </c>
      <c r="L3893" s="30" t="str">
        <f>IF(H3893="","",IF($C$30="상세법",FPV(H3893,K3893),IF(H3893="EI",4,IF(H3893="EO",5.2,IF(H3893="EQ",3.9,IF(H3893="ILF",7.5,IF(H3893="EIF",5.4)))))))</f>
        <v/>
      </c>
      <c r="M3893" s="30" t="str">
        <f t="shared" si="415"/>
        <v/>
      </c>
      <c r="N3893" s="134"/>
      <c r="O3893" s="29"/>
      <c r="P3893" s="37" t="str">
        <f t="shared" si="416"/>
        <v/>
      </c>
      <c r="Q3893" s="38" t="str">
        <f t="shared" si="417"/>
        <v/>
      </c>
      <c r="R3893" s="37" t="str">
        <f t="shared" si="418"/>
        <v/>
      </c>
      <c r="S3893" s="37" t="str">
        <f t="shared" si="419"/>
        <v/>
      </c>
      <c r="T3893" s="38" t="str">
        <f t="shared" si="420"/>
        <v/>
      </c>
      <c r="U3893" s="37" t="str">
        <f t="shared" si="421"/>
        <v/>
      </c>
    </row>
    <row r="3894" spans="2:21" ht="17.25">
      <c r="B3894" s="156"/>
      <c r="C3894" s="156"/>
      <c r="D3894" s="157"/>
      <c r="E3894" s="155"/>
      <c r="F3894" s="151"/>
      <c r="G3894" s="152"/>
      <c r="H3894" s="153"/>
      <c r="I3894" s="154"/>
      <c r="J3894" s="154"/>
      <c r="K3894" s="30" t="str">
        <f>IF(H3894="","",IF($C$30="간이법","",FPR(H3894,I3894,J3894)))</f>
        <v/>
      </c>
      <c r="L3894" s="30" t="str">
        <f>IF(H3894="","",IF($C$30="상세법",FPV(H3894,K3894),IF(H3894="EI",4,IF(H3894="EO",5.2,IF(H3894="EQ",3.9,IF(H3894="ILF",7.5,IF(H3894="EIF",5.4)))))))</f>
        <v/>
      </c>
      <c r="M3894" s="30" t="str">
        <f t="shared" si="415"/>
        <v/>
      </c>
      <c r="N3894" s="134"/>
      <c r="O3894" s="29"/>
      <c r="P3894" s="37" t="str">
        <f t="shared" si="416"/>
        <v/>
      </c>
      <c r="Q3894" s="38" t="str">
        <f t="shared" si="417"/>
        <v/>
      </c>
      <c r="R3894" s="37" t="str">
        <f t="shared" si="418"/>
        <v/>
      </c>
      <c r="S3894" s="37" t="str">
        <f t="shared" si="419"/>
        <v/>
      </c>
      <c r="T3894" s="38" t="str">
        <f t="shared" si="420"/>
        <v/>
      </c>
      <c r="U3894" s="37" t="str">
        <f t="shared" si="421"/>
        <v/>
      </c>
    </row>
    <row r="3895" spans="2:21" ht="17.25">
      <c r="B3895" s="156"/>
      <c r="C3895" s="156"/>
      <c r="D3895" s="157"/>
      <c r="E3895" s="155"/>
      <c r="F3895" s="151"/>
      <c r="G3895" s="152"/>
      <c r="H3895" s="153"/>
      <c r="I3895" s="154"/>
      <c r="J3895" s="154"/>
      <c r="K3895" s="30" t="str">
        <f>IF(H3895="","",IF($C$30="간이법","",FPR(H3895,I3895,J3895)))</f>
        <v/>
      </c>
      <c r="L3895" s="30" t="str">
        <f>IF(H3895="","",IF($C$30="상세법",FPV(H3895,K3895),IF(H3895="EI",4,IF(H3895="EO",5.2,IF(H3895="EQ",3.9,IF(H3895="ILF",7.5,IF(H3895="EIF",5.4)))))))</f>
        <v/>
      </c>
      <c r="M3895" s="30" t="str">
        <f t="shared" si="415"/>
        <v/>
      </c>
      <c r="N3895" s="134"/>
      <c r="O3895" s="29"/>
      <c r="P3895" s="37" t="str">
        <f t="shared" si="416"/>
        <v/>
      </c>
      <c r="Q3895" s="38" t="str">
        <f t="shared" si="417"/>
        <v/>
      </c>
      <c r="R3895" s="37" t="str">
        <f t="shared" si="418"/>
        <v/>
      </c>
      <c r="S3895" s="37" t="str">
        <f t="shared" si="419"/>
        <v/>
      </c>
      <c r="T3895" s="38" t="str">
        <f t="shared" si="420"/>
        <v/>
      </c>
      <c r="U3895" s="37" t="str">
        <f t="shared" si="421"/>
        <v/>
      </c>
    </row>
    <row r="3896" spans="2:21" ht="17.25">
      <c r="B3896" s="156"/>
      <c r="C3896" s="156"/>
      <c r="D3896" s="157"/>
      <c r="E3896" s="155"/>
      <c r="F3896" s="151"/>
      <c r="G3896" s="152"/>
      <c r="H3896" s="153"/>
      <c r="I3896" s="154"/>
      <c r="J3896" s="154"/>
      <c r="K3896" s="30" t="str">
        <f>IF(H3896="","",IF($C$30="간이법","",FPR(H3896,I3896,J3896)))</f>
        <v/>
      </c>
      <c r="L3896" s="30" t="str">
        <f>IF(H3896="","",IF($C$30="상세법",FPV(H3896,K3896),IF(H3896="EI",4,IF(H3896="EO",5.2,IF(H3896="EQ",3.9,IF(H3896="ILF",7.5,IF(H3896="EIF",5.4)))))))</f>
        <v/>
      </c>
      <c r="M3896" s="30" t="str">
        <f t="shared" si="415"/>
        <v/>
      </c>
      <c r="N3896" s="134"/>
      <c r="O3896" s="29"/>
      <c r="P3896" s="37" t="str">
        <f t="shared" si="416"/>
        <v/>
      </c>
      <c r="Q3896" s="38" t="str">
        <f t="shared" si="417"/>
        <v/>
      </c>
      <c r="R3896" s="37" t="str">
        <f t="shared" si="418"/>
        <v/>
      </c>
      <c r="S3896" s="37" t="str">
        <f t="shared" si="419"/>
        <v/>
      </c>
      <c r="T3896" s="38" t="str">
        <f t="shared" si="420"/>
        <v/>
      </c>
      <c r="U3896" s="37" t="str">
        <f t="shared" si="421"/>
        <v/>
      </c>
    </row>
    <row r="3897" spans="2:21" ht="17.25">
      <c r="B3897" s="156"/>
      <c r="C3897" s="156"/>
      <c r="D3897" s="157"/>
      <c r="E3897" s="155"/>
      <c r="F3897" s="151"/>
      <c r="G3897" s="152"/>
      <c r="H3897" s="153"/>
      <c r="I3897" s="154"/>
      <c r="J3897" s="154"/>
      <c r="K3897" s="30" t="str">
        <f>IF(H3897="","",IF($C$30="간이법","",FPR(H3897,I3897,J3897)))</f>
        <v/>
      </c>
      <c r="L3897" s="30" t="str">
        <f>IF(H3897="","",IF($C$30="상세법",FPV(H3897,K3897),IF(H3897="EI",4,IF(H3897="EO",5.2,IF(H3897="EQ",3.9,IF(H3897="ILF",7.5,IF(H3897="EIF",5.4)))))))</f>
        <v/>
      </c>
      <c r="M3897" s="30" t="str">
        <f t="shared" si="415"/>
        <v/>
      </c>
      <c r="N3897" s="134"/>
      <c r="O3897" s="29"/>
      <c r="P3897" s="37" t="str">
        <f t="shared" si="416"/>
        <v/>
      </c>
      <c r="Q3897" s="38" t="str">
        <f t="shared" si="417"/>
        <v/>
      </c>
      <c r="R3897" s="37" t="str">
        <f t="shared" si="418"/>
        <v/>
      </c>
      <c r="S3897" s="37" t="str">
        <f t="shared" si="419"/>
        <v/>
      </c>
      <c r="T3897" s="38" t="str">
        <f t="shared" si="420"/>
        <v/>
      </c>
      <c r="U3897" s="37" t="str">
        <f t="shared" si="421"/>
        <v/>
      </c>
    </row>
    <row r="3898" spans="2:21" ht="17.25">
      <c r="B3898" s="156"/>
      <c r="C3898" s="156"/>
      <c r="D3898" s="157"/>
      <c r="E3898" s="155"/>
      <c r="F3898" s="151"/>
      <c r="G3898" s="152"/>
      <c r="H3898" s="153"/>
      <c r="I3898" s="154"/>
      <c r="J3898" s="154"/>
      <c r="K3898" s="30" t="str">
        <f>IF(H3898="","",IF($C$30="간이법","",FPR(H3898,I3898,J3898)))</f>
        <v/>
      </c>
      <c r="L3898" s="30" t="str">
        <f>IF(H3898="","",IF($C$30="상세법",FPV(H3898,K3898),IF(H3898="EI",4,IF(H3898="EO",5.2,IF(H3898="EQ",3.9,IF(H3898="ILF",7.5,IF(H3898="EIF",5.4)))))))</f>
        <v/>
      </c>
      <c r="M3898" s="30" t="str">
        <f t="shared" si="415"/>
        <v/>
      </c>
      <c r="N3898" s="134"/>
      <c r="O3898" s="29"/>
      <c r="P3898" s="37" t="str">
        <f t="shared" si="416"/>
        <v/>
      </c>
      <c r="Q3898" s="38" t="str">
        <f t="shared" si="417"/>
        <v/>
      </c>
      <c r="R3898" s="37" t="str">
        <f t="shared" si="418"/>
        <v/>
      </c>
      <c r="S3898" s="37" t="str">
        <f t="shared" si="419"/>
        <v/>
      </c>
      <c r="T3898" s="38" t="str">
        <f t="shared" si="420"/>
        <v/>
      </c>
      <c r="U3898" s="37" t="str">
        <f t="shared" si="421"/>
        <v/>
      </c>
    </row>
    <row r="3899" spans="2:21" ht="17.25">
      <c r="B3899" s="156"/>
      <c r="C3899" s="156"/>
      <c r="D3899" s="157"/>
      <c r="E3899" s="155"/>
      <c r="F3899" s="151"/>
      <c r="G3899" s="152"/>
      <c r="H3899" s="153"/>
      <c r="I3899" s="154"/>
      <c r="J3899" s="154"/>
      <c r="K3899" s="30" t="str">
        <f>IF(H3899="","",IF($C$30="간이법","",FPR(H3899,I3899,J3899)))</f>
        <v/>
      </c>
      <c r="L3899" s="30" t="str">
        <f>IF(H3899="","",IF($C$30="상세법",FPV(H3899,K3899),IF(H3899="EI",4,IF(H3899="EO",5.2,IF(H3899="EQ",3.9,IF(H3899="ILF",7.5,IF(H3899="EIF",5.4)))))))</f>
        <v/>
      </c>
      <c r="M3899" s="30" t="str">
        <f t="shared" si="415"/>
        <v/>
      </c>
      <c r="N3899" s="134"/>
      <c r="O3899" s="29"/>
      <c r="P3899" s="37" t="str">
        <f t="shared" si="416"/>
        <v/>
      </c>
      <c r="Q3899" s="38" t="str">
        <f t="shared" si="417"/>
        <v/>
      </c>
      <c r="R3899" s="37" t="str">
        <f t="shared" si="418"/>
        <v/>
      </c>
      <c r="S3899" s="37" t="str">
        <f t="shared" si="419"/>
        <v/>
      </c>
      <c r="T3899" s="38" t="str">
        <f t="shared" si="420"/>
        <v/>
      </c>
      <c r="U3899" s="37" t="str">
        <f t="shared" si="421"/>
        <v/>
      </c>
    </row>
    <row r="3900" spans="2:21" ht="17.25">
      <c r="B3900" s="156"/>
      <c r="C3900" s="156"/>
      <c r="D3900" s="157"/>
      <c r="E3900" s="155"/>
      <c r="F3900" s="151"/>
      <c r="G3900" s="152"/>
      <c r="H3900" s="153"/>
      <c r="I3900" s="154"/>
      <c r="J3900" s="154"/>
      <c r="K3900" s="30" t="str">
        <f>IF(H3900="","",IF($C$30="간이법","",FPR(H3900,I3900,J3900)))</f>
        <v/>
      </c>
      <c r="L3900" s="30" t="str">
        <f>IF(H3900="","",IF($C$30="상세법",FPV(H3900,K3900),IF(H3900="EI",4,IF(H3900="EO",5.2,IF(H3900="EQ",3.9,IF(H3900="ILF",7.5,IF(H3900="EIF",5.4)))))))</f>
        <v/>
      </c>
      <c r="M3900" s="30" t="str">
        <f t="shared" ref="M3900:M3963" si="422">IF(OR(G3900="",$E$36="(선택)",$E$40="(선택)",$E$41="(선택)",F3900="신규 개발",F3900="수정 없이 재사용"),"",(IF(F3900="수정 후 재사용",IF($E$50&lt;=0.5,L3900*($E$36+$E$50*100*(1+0.02*($E$40*$E$41)))/100,L3900*($E$36+$E$50*100+($E$40*$E$41))/100))))</f>
        <v/>
      </c>
      <c r="N3900" s="134"/>
      <c r="O3900" s="29"/>
      <c r="P3900" s="37" t="str">
        <f t="shared" ref="P3900:P3963" si="423">IF(F3900="수정 후 재사용",IF(H3900="ILF",G3900,IF(H3900="EIF",G3900,"")),"")</f>
        <v/>
      </c>
      <c r="Q3900" s="38" t="str">
        <f t="shared" ref="Q3900:Q3963" si="424">IF(P3900&lt;&gt;"",IF(H3900="ILF", L3900/$E$46,IF(H3900="EIF", L3900/$E$46,"")),"")</f>
        <v/>
      </c>
      <c r="R3900" s="37" t="str">
        <f t="shared" ref="R3900:R3963" si="425">IF(P3900&lt;&gt;"",P3900*Q3900,"")</f>
        <v/>
      </c>
      <c r="S3900" s="37" t="str">
        <f t="shared" ref="S3900:S3963" si="426">IF(F3900="수정 후 재사용",IF(H3900="EI",G3900,IF(H3900="EO",G3900,IF(H3900="EQ",G3900,""))),"")</f>
        <v/>
      </c>
      <c r="T3900" s="38" t="str">
        <f t="shared" ref="T3900:T3963" si="427">IF(S3900&lt;&gt;"",IF(H3900="EI",L3900/$E$47,IF(H3900="EO",L3900/$E$47,IF(H3900="EQ",L3900/$E$47,""))),"")</f>
        <v/>
      </c>
      <c r="U3900" s="37" t="str">
        <f t="shared" ref="U3900:U3963" si="428">IF(S3900&lt;&gt;"",S3900*T3900,"")</f>
        <v/>
      </c>
    </row>
    <row r="3901" spans="2:21" ht="17.25">
      <c r="B3901" s="156"/>
      <c r="C3901" s="156"/>
      <c r="D3901" s="157"/>
      <c r="E3901" s="155"/>
      <c r="F3901" s="151"/>
      <c r="G3901" s="152"/>
      <c r="H3901" s="153"/>
      <c r="I3901" s="154"/>
      <c r="J3901" s="154"/>
      <c r="K3901" s="30" t="str">
        <f>IF(H3901="","",IF($C$30="간이법","",FPR(H3901,I3901,J3901)))</f>
        <v/>
      </c>
      <c r="L3901" s="30" t="str">
        <f>IF(H3901="","",IF($C$30="상세법",FPV(H3901,K3901),IF(H3901="EI",4,IF(H3901="EO",5.2,IF(H3901="EQ",3.9,IF(H3901="ILF",7.5,IF(H3901="EIF",5.4)))))))</f>
        <v/>
      </c>
      <c r="M3901" s="30" t="str">
        <f t="shared" si="422"/>
        <v/>
      </c>
      <c r="N3901" s="134"/>
      <c r="O3901" s="29"/>
      <c r="P3901" s="37" t="str">
        <f t="shared" si="423"/>
        <v/>
      </c>
      <c r="Q3901" s="38" t="str">
        <f t="shared" si="424"/>
        <v/>
      </c>
      <c r="R3901" s="37" t="str">
        <f t="shared" si="425"/>
        <v/>
      </c>
      <c r="S3901" s="37" t="str">
        <f t="shared" si="426"/>
        <v/>
      </c>
      <c r="T3901" s="38" t="str">
        <f t="shared" si="427"/>
        <v/>
      </c>
      <c r="U3901" s="37" t="str">
        <f t="shared" si="428"/>
        <v/>
      </c>
    </row>
    <row r="3902" spans="2:21" ht="17.25">
      <c r="B3902" s="156"/>
      <c r="C3902" s="156"/>
      <c r="D3902" s="157"/>
      <c r="E3902" s="155"/>
      <c r="F3902" s="151"/>
      <c r="G3902" s="152"/>
      <c r="H3902" s="153"/>
      <c r="I3902" s="154"/>
      <c r="J3902" s="154"/>
      <c r="K3902" s="30" t="str">
        <f>IF(H3902="","",IF($C$30="간이법","",FPR(H3902,I3902,J3902)))</f>
        <v/>
      </c>
      <c r="L3902" s="30" t="str">
        <f>IF(H3902="","",IF($C$30="상세법",FPV(H3902,K3902),IF(H3902="EI",4,IF(H3902="EO",5.2,IF(H3902="EQ",3.9,IF(H3902="ILF",7.5,IF(H3902="EIF",5.4)))))))</f>
        <v/>
      </c>
      <c r="M3902" s="30" t="str">
        <f t="shared" si="422"/>
        <v/>
      </c>
      <c r="N3902" s="134"/>
      <c r="O3902" s="29"/>
      <c r="P3902" s="37" t="str">
        <f t="shared" si="423"/>
        <v/>
      </c>
      <c r="Q3902" s="38" t="str">
        <f t="shared" si="424"/>
        <v/>
      </c>
      <c r="R3902" s="37" t="str">
        <f t="shared" si="425"/>
        <v/>
      </c>
      <c r="S3902" s="37" t="str">
        <f t="shared" si="426"/>
        <v/>
      </c>
      <c r="T3902" s="38" t="str">
        <f t="shared" si="427"/>
        <v/>
      </c>
      <c r="U3902" s="37" t="str">
        <f t="shared" si="428"/>
        <v/>
      </c>
    </row>
    <row r="3903" spans="2:21" ht="17.25">
      <c r="B3903" s="156"/>
      <c r="C3903" s="156"/>
      <c r="D3903" s="157"/>
      <c r="E3903" s="155"/>
      <c r="F3903" s="151"/>
      <c r="G3903" s="152"/>
      <c r="H3903" s="153"/>
      <c r="I3903" s="154"/>
      <c r="J3903" s="154"/>
      <c r="K3903" s="30" t="str">
        <f>IF(H3903="","",IF($C$30="간이법","",FPR(H3903,I3903,J3903)))</f>
        <v/>
      </c>
      <c r="L3903" s="30" t="str">
        <f>IF(H3903="","",IF($C$30="상세법",FPV(H3903,K3903),IF(H3903="EI",4,IF(H3903="EO",5.2,IF(H3903="EQ",3.9,IF(H3903="ILF",7.5,IF(H3903="EIF",5.4)))))))</f>
        <v/>
      </c>
      <c r="M3903" s="30" t="str">
        <f t="shared" si="422"/>
        <v/>
      </c>
      <c r="N3903" s="134"/>
      <c r="O3903" s="29"/>
      <c r="P3903" s="37" t="str">
        <f t="shared" si="423"/>
        <v/>
      </c>
      <c r="Q3903" s="38" t="str">
        <f t="shared" si="424"/>
        <v/>
      </c>
      <c r="R3903" s="37" t="str">
        <f t="shared" si="425"/>
        <v/>
      </c>
      <c r="S3903" s="37" t="str">
        <f t="shared" si="426"/>
        <v/>
      </c>
      <c r="T3903" s="38" t="str">
        <f t="shared" si="427"/>
        <v/>
      </c>
      <c r="U3903" s="37" t="str">
        <f t="shared" si="428"/>
        <v/>
      </c>
    </row>
    <row r="3904" spans="2:21" ht="17.25">
      <c r="B3904" s="156"/>
      <c r="C3904" s="156"/>
      <c r="D3904" s="157"/>
      <c r="E3904" s="155"/>
      <c r="F3904" s="151"/>
      <c r="G3904" s="152"/>
      <c r="H3904" s="153"/>
      <c r="I3904" s="154"/>
      <c r="J3904" s="154"/>
      <c r="K3904" s="30" t="str">
        <f>IF(H3904="","",IF($C$30="간이법","",FPR(H3904,I3904,J3904)))</f>
        <v/>
      </c>
      <c r="L3904" s="30" t="str">
        <f>IF(H3904="","",IF($C$30="상세법",FPV(H3904,K3904),IF(H3904="EI",4,IF(H3904="EO",5.2,IF(H3904="EQ",3.9,IF(H3904="ILF",7.5,IF(H3904="EIF",5.4)))))))</f>
        <v/>
      </c>
      <c r="M3904" s="30" t="str">
        <f t="shared" si="422"/>
        <v/>
      </c>
      <c r="N3904" s="134"/>
      <c r="O3904" s="29"/>
      <c r="P3904" s="37" t="str">
        <f t="shared" si="423"/>
        <v/>
      </c>
      <c r="Q3904" s="38" t="str">
        <f t="shared" si="424"/>
        <v/>
      </c>
      <c r="R3904" s="37" t="str">
        <f t="shared" si="425"/>
        <v/>
      </c>
      <c r="S3904" s="37" t="str">
        <f t="shared" si="426"/>
        <v/>
      </c>
      <c r="T3904" s="38" t="str">
        <f t="shared" si="427"/>
        <v/>
      </c>
      <c r="U3904" s="37" t="str">
        <f t="shared" si="428"/>
        <v/>
      </c>
    </row>
    <row r="3905" spans="2:21" ht="17.25">
      <c r="B3905" s="156"/>
      <c r="C3905" s="156"/>
      <c r="D3905" s="157"/>
      <c r="E3905" s="155"/>
      <c r="F3905" s="151"/>
      <c r="G3905" s="152"/>
      <c r="H3905" s="153"/>
      <c r="I3905" s="154"/>
      <c r="J3905" s="154"/>
      <c r="K3905" s="30" t="str">
        <f>IF(H3905="","",IF($C$30="간이법","",FPR(H3905,I3905,J3905)))</f>
        <v/>
      </c>
      <c r="L3905" s="30" t="str">
        <f>IF(H3905="","",IF($C$30="상세법",FPV(H3905,K3905),IF(H3905="EI",4,IF(H3905="EO",5.2,IF(H3905="EQ",3.9,IF(H3905="ILF",7.5,IF(H3905="EIF",5.4)))))))</f>
        <v/>
      </c>
      <c r="M3905" s="30" t="str">
        <f t="shared" si="422"/>
        <v/>
      </c>
      <c r="N3905" s="134"/>
      <c r="O3905" s="29"/>
      <c r="P3905" s="37" t="str">
        <f t="shared" si="423"/>
        <v/>
      </c>
      <c r="Q3905" s="38" t="str">
        <f t="shared" si="424"/>
        <v/>
      </c>
      <c r="R3905" s="37" t="str">
        <f t="shared" si="425"/>
        <v/>
      </c>
      <c r="S3905" s="37" t="str">
        <f t="shared" si="426"/>
        <v/>
      </c>
      <c r="T3905" s="38" t="str">
        <f t="shared" si="427"/>
        <v/>
      </c>
      <c r="U3905" s="37" t="str">
        <f t="shared" si="428"/>
        <v/>
      </c>
    </row>
    <row r="3906" spans="2:21" ht="17.25">
      <c r="B3906" s="156"/>
      <c r="C3906" s="156"/>
      <c r="D3906" s="157"/>
      <c r="E3906" s="155"/>
      <c r="F3906" s="151"/>
      <c r="G3906" s="152"/>
      <c r="H3906" s="153"/>
      <c r="I3906" s="154"/>
      <c r="J3906" s="154"/>
      <c r="K3906" s="30" t="str">
        <f>IF(H3906="","",IF($C$30="간이법","",FPR(H3906,I3906,J3906)))</f>
        <v/>
      </c>
      <c r="L3906" s="30" t="str">
        <f>IF(H3906="","",IF($C$30="상세법",FPV(H3906,K3906),IF(H3906="EI",4,IF(H3906="EO",5.2,IF(H3906="EQ",3.9,IF(H3906="ILF",7.5,IF(H3906="EIF",5.4)))))))</f>
        <v/>
      </c>
      <c r="M3906" s="30" t="str">
        <f t="shared" si="422"/>
        <v/>
      </c>
      <c r="N3906" s="134"/>
      <c r="O3906" s="29"/>
      <c r="P3906" s="37" t="str">
        <f t="shared" si="423"/>
        <v/>
      </c>
      <c r="Q3906" s="38" t="str">
        <f t="shared" si="424"/>
        <v/>
      </c>
      <c r="R3906" s="37" t="str">
        <f t="shared" si="425"/>
        <v/>
      </c>
      <c r="S3906" s="37" t="str">
        <f t="shared" si="426"/>
        <v/>
      </c>
      <c r="T3906" s="38" t="str">
        <f t="shared" si="427"/>
        <v/>
      </c>
      <c r="U3906" s="37" t="str">
        <f t="shared" si="428"/>
        <v/>
      </c>
    </row>
    <row r="3907" spans="2:21" ht="17.25">
      <c r="B3907" s="156"/>
      <c r="C3907" s="156"/>
      <c r="D3907" s="157"/>
      <c r="E3907" s="155"/>
      <c r="F3907" s="151"/>
      <c r="G3907" s="152"/>
      <c r="H3907" s="153"/>
      <c r="I3907" s="154"/>
      <c r="J3907" s="154"/>
      <c r="K3907" s="30" t="str">
        <f>IF(H3907="","",IF($C$30="간이법","",FPR(H3907,I3907,J3907)))</f>
        <v/>
      </c>
      <c r="L3907" s="30" t="str">
        <f>IF(H3907="","",IF($C$30="상세법",FPV(H3907,K3907),IF(H3907="EI",4,IF(H3907="EO",5.2,IF(H3907="EQ",3.9,IF(H3907="ILF",7.5,IF(H3907="EIF",5.4)))))))</f>
        <v/>
      </c>
      <c r="M3907" s="30" t="str">
        <f t="shared" si="422"/>
        <v/>
      </c>
      <c r="N3907" s="134"/>
      <c r="O3907" s="29"/>
      <c r="P3907" s="37" t="str">
        <f t="shared" si="423"/>
        <v/>
      </c>
      <c r="Q3907" s="38" t="str">
        <f t="shared" si="424"/>
        <v/>
      </c>
      <c r="R3907" s="37" t="str">
        <f t="shared" si="425"/>
        <v/>
      </c>
      <c r="S3907" s="37" t="str">
        <f t="shared" si="426"/>
        <v/>
      </c>
      <c r="T3907" s="38" t="str">
        <f t="shared" si="427"/>
        <v/>
      </c>
      <c r="U3907" s="37" t="str">
        <f t="shared" si="428"/>
        <v/>
      </c>
    </row>
    <row r="3908" spans="2:21" ht="17.25">
      <c r="B3908" s="156"/>
      <c r="C3908" s="156"/>
      <c r="D3908" s="157"/>
      <c r="E3908" s="155"/>
      <c r="F3908" s="151"/>
      <c r="G3908" s="152"/>
      <c r="H3908" s="153"/>
      <c r="I3908" s="154"/>
      <c r="J3908" s="154"/>
      <c r="K3908" s="30" t="str">
        <f>IF(H3908="","",IF($C$30="간이법","",FPR(H3908,I3908,J3908)))</f>
        <v/>
      </c>
      <c r="L3908" s="30" t="str">
        <f>IF(H3908="","",IF($C$30="상세법",FPV(H3908,K3908),IF(H3908="EI",4,IF(H3908="EO",5.2,IF(H3908="EQ",3.9,IF(H3908="ILF",7.5,IF(H3908="EIF",5.4)))))))</f>
        <v/>
      </c>
      <c r="M3908" s="30" t="str">
        <f t="shared" si="422"/>
        <v/>
      </c>
      <c r="N3908" s="134"/>
      <c r="O3908" s="29"/>
      <c r="P3908" s="37" t="str">
        <f t="shared" si="423"/>
        <v/>
      </c>
      <c r="Q3908" s="38" t="str">
        <f t="shared" si="424"/>
        <v/>
      </c>
      <c r="R3908" s="37" t="str">
        <f t="shared" si="425"/>
        <v/>
      </c>
      <c r="S3908" s="37" t="str">
        <f t="shared" si="426"/>
        <v/>
      </c>
      <c r="T3908" s="38" t="str">
        <f t="shared" si="427"/>
        <v/>
      </c>
      <c r="U3908" s="37" t="str">
        <f t="shared" si="428"/>
        <v/>
      </c>
    </row>
    <row r="3909" spans="2:21" ht="17.25">
      <c r="B3909" s="156"/>
      <c r="C3909" s="156"/>
      <c r="D3909" s="157"/>
      <c r="E3909" s="155"/>
      <c r="F3909" s="151"/>
      <c r="G3909" s="152"/>
      <c r="H3909" s="153"/>
      <c r="I3909" s="154"/>
      <c r="J3909" s="154"/>
      <c r="K3909" s="30" t="str">
        <f>IF(H3909="","",IF($C$30="간이법","",FPR(H3909,I3909,J3909)))</f>
        <v/>
      </c>
      <c r="L3909" s="30" t="str">
        <f>IF(H3909="","",IF($C$30="상세법",FPV(H3909,K3909),IF(H3909="EI",4,IF(H3909="EO",5.2,IF(H3909="EQ",3.9,IF(H3909="ILF",7.5,IF(H3909="EIF",5.4)))))))</f>
        <v/>
      </c>
      <c r="M3909" s="30" t="str">
        <f t="shared" si="422"/>
        <v/>
      </c>
      <c r="N3909" s="134"/>
      <c r="O3909" s="29"/>
      <c r="P3909" s="37" t="str">
        <f t="shared" si="423"/>
        <v/>
      </c>
      <c r="Q3909" s="38" t="str">
        <f t="shared" si="424"/>
        <v/>
      </c>
      <c r="R3909" s="37" t="str">
        <f t="shared" si="425"/>
        <v/>
      </c>
      <c r="S3909" s="37" t="str">
        <f t="shared" si="426"/>
        <v/>
      </c>
      <c r="T3909" s="38" t="str">
        <f t="shared" si="427"/>
        <v/>
      </c>
      <c r="U3909" s="37" t="str">
        <f t="shared" si="428"/>
        <v/>
      </c>
    </row>
    <row r="3910" spans="2:21" ht="17.25">
      <c r="B3910" s="156"/>
      <c r="C3910" s="156"/>
      <c r="D3910" s="157"/>
      <c r="E3910" s="155"/>
      <c r="F3910" s="151"/>
      <c r="G3910" s="152"/>
      <c r="H3910" s="153"/>
      <c r="I3910" s="154"/>
      <c r="J3910" s="154"/>
      <c r="K3910" s="30" t="str">
        <f>IF(H3910="","",IF($C$30="간이법","",FPR(H3910,I3910,J3910)))</f>
        <v/>
      </c>
      <c r="L3910" s="30" t="str">
        <f>IF(H3910="","",IF($C$30="상세법",FPV(H3910,K3910),IF(H3910="EI",4,IF(H3910="EO",5.2,IF(H3910="EQ",3.9,IF(H3910="ILF",7.5,IF(H3910="EIF",5.4)))))))</f>
        <v/>
      </c>
      <c r="M3910" s="30" t="str">
        <f t="shared" si="422"/>
        <v/>
      </c>
      <c r="N3910" s="134"/>
      <c r="O3910" s="29"/>
      <c r="P3910" s="37" t="str">
        <f t="shared" si="423"/>
        <v/>
      </c>
      <c r="Q3910" s="38" t="str">
        <f t="shared" si="424"/>
        <v/>
      </c>
      <c r="R3910" s="37" t="str">
        <f t="shared" si="425"/>
        <v/>
      </c>
      <c r="S3910" s="37" t="str">
        <f t="shared" si="426"/>
        <v/>
      </c>
      <c r="T3910" s="38" t="str">
        <f t="shared" si="427"/>
        <v/>
      </c>
      <c r="U3910" s="37" t="str">
        <f t="shared" si="428"/>
        <v/>
      </c>
    </row>
    <row r="3911" spans="2:21" ht="17.25">
      <c r="B3911" s="156"/>
      <c r="C3911" s="156"/>
      <c r="D3911" s="157"/>
      <c r="E3911" s="155"/>
      <c r="F3911" s="151"/>
      <c r="G3911" s="152"/>
      <c r="H3911" s="153"/>
      <c r="I3911" s="154"/>
      <c r="J3911" s="154"/>
      <c r="K3911" s="30" t="str">
        <f>IF(H3911="","",IF($C$30="간이법","",FPR(H3911,I3911,J3911)))</f>
        <v/>
      </c>
      <c r="L3911" s="30" t="str">
        <f>IF(H3911="","",IF($C$30="상세법",FPV(H3911,K3911),IF(H3911="EI",4,IF(H3911="EO",5.2,IF(H3911="EQ",3.9,IF(H3911="ILF",7.5,IF(H3911="EIF",5.4)))))))</f>
        <v/>
      </c>
      <c r="M3911" s="30" t="str">
        <f t="shared" si="422"/>
        <v/>
      </c>
      <c r="N3911" s="134"/>
      <c r="O3911" s="29"/>
      <c r="P3911" s="37" t="str">
        <f t="shared" si="423"/>
        <v/>
      </c>
      <c r="Q3911" s="38" t="str">
        <f t="shared" si="424"/>
        <v/>
      </c>
      <c r="R3911" s="37" t="str">
        <f t="shared" si="425"/>
        <v/>
      </c>
      <c r="S3911" s="37" t="str">
        <f t="shared" si="426"/>
        <v/>
      </c>
      <c r="T3911" s="38" t="str">
        <f t="shared" si="427"/>
        <v/>
      </c>
      <c r="U3911" s="37" t="str">
        <f t="shared" si="428"/>
        <v/>
      </c>
    </row>
    <row r="3912" spans="2:21" ht="17.25">
      <c r="B3912" s="156"/>
      <c r="C3912" s="156"/>
      <c r="D3912" s="157"/>
      <c r="E3912" s="155"/>
      <c r="F3912" s="151"/>
      <c r="G3912" s="152"/>
      <c r="H3912" s="153"/>
      <c r="I3912" s="154"/>
      <c r="J3912" s="154"/>
      <c r="K3912" s="30" t="str">
        <f>IF(H3912="","",IF($C$30="간이법","",FPR(H3912,I3912,J3912)))</f>
        <v/>
      </c>
      <c r="L3912" s="30" t="str">
        <f>IF(H3912="","",IF($C$30="상세법",FPV(H3912,K3912),IF(H3912="EI",4,IF(H3912="EO",5.2,IF(H3912="EQ",3.9,IF(H3912="ILF",7.5,IF(H3912="EIF",5.4)))))))</f>
        <v/>
      </c>
      <c r="M3912" s="30" t="str">
        <f t="shared" si="422"/>
        <v/>
      </c>
      <c r="N3912" s="134"/>
      <c r="O3912" s="29"/>
      <c r="P3912" s="37" t="str">
        <f t="shared" si="423"/>
        <v/>
      </c>
      <c r="Q3912" s="38" t="str">
        <f t="shared" si="424"/>
        <v/>
      </c>
      <c r="R3912" s="37" t="str">
        <f t="shared" si="425"/>
        <v/>
      </c>
      <c r="S3912" s="37" t="str">
        <f t="shared" si="426"/>
        <v/>
      </c>
      <c r="T3912" s="38" t="str">
        <f t="shared" si="427"/>
        <v/>
      </c>
      <c r="U3912" s="37" t="str">
        <f t="shared" si="428"/>
        <v/>
      </c>
    </row>
    <row r="3913" spans="2:21" ht="17.25">
      <c r="B3913" s="156"/>
      <c r="C3913" s="156"/>
      <c r="D3913" s="157"/>
      <c r="E3913" s="155"/>
      <c r="F3913" s="151"/>
      <c r="G3913" s="152"/>
      <c r="H3913" s="153"/>
      <c r="I3913" s="154"/>
      <c r="J3913" s="154"/>
      <c r="K3913" s="30" t="str">
        <f>IF(H3913="","",IF($C$30="간이법","",FPR(H3913,I3913,J3913)))</f>
        <v/>
      </c>
      <c r="L3913" s="30" t="str">
        <f>IF(H3913="","",IF($C$30="상세법",FPV(H3913,K3913),IF(H3913="EI",4,IF(H3913="EO",5.2,IF(H3913="EQ",3.9,IF(H3913="ILF",7.5,IF(H3913="EIF",5.4)))))))</f>
        <v/>
      </c>
      <c r="M3913" s="30" t="str">
        <f t="shared" si="422"/>
        <v/>
      </c>
      <c r="N3913" s="134"/>
      <c r="O3913" s="29"/>
      <c r="P3913" s="37" t="str">
        <f t="shared" si="423"/>
        <v/>
      </c>
      <c r="Q3913" s="38" t="str">
        <f t="shared" si="424"/>
        <v/>
      </c>
      <c r="R3913" s="37" t="str">
        <f t="shared" si="425"/>
        <v/>
      </c>
      <c r="S3913" s="37" t="str">
        <f t="shared" si="426"/>
        <v/>
      </c>
      <c r="T3913" s="38" t="str">
        <f t="shared" si="427"/>
        <v/>
      </c>
      <c r="U3913" s="37" t="str">
        <f t="shared" si="428"/>
        <v/>
      </c>
    </row>
    <row r="3914" spans="2:21" ht="17.25">
      <c r="B3914" s="156"/>
      <c r="C3914" s="156"/>
      <c r="D3914" s="157"/>
      <c r="E3914" s="155"/>
      <c r="F3914" s="151"/>
      <c r="G3914" s="152"/>
      <c r="H3914" s="153"/>
      <c r="I3914" s="154"/>
      <c r="J3914" s="154"/>
      <c r="K3914" s="30" t="str">
        <f>IF(H3914="","",IF($C$30="간이법","",FPR(H3914,I3914,J3914)))</f>
        <v/>
      </c>
      <c r="L3914" s="30" t="str">
        <f>IF(H3914="","",IF($C$30="상세법",FPV(H3914,K3914),IF(H3914="EI",4,IF(H3914="EO",5.2,IF(H3914="EQ",3.9,IF(H3914="ILF",7.5,IF(H3914="EIF",5.4)))))))</f>
        <v/>
      </c>
      <c r="M3914" s="30" t="str">
        <f t="shared" si="422"/>
        <v/>
      </c>
      <c r="N3914" s="134"/>
      <c r="O3914" s="29"/>
      <c r="P3914" s="37" t="str">
        <f t="shared" si="423"/>
        <v/>
      </c>
      <c r="Q3914" s="38" t="str">
        <f t="shared" si="424"/>
        <v/>
      </c>
      <c r="R3914" s="37" t="str">
        <f t="shared" si="425"/>
        <v/>
      </c>
      <c r="S3914" s="37" t="str">
        <f t="shared" si="426"/>
        <v/>
      </c>
      <c r="T3914" s="38" t="str">
        <f t="shared" si="427"/>
        <v/>
      </c>
      <c r="U3914" s="37" t="str">
        <f t="shared" si="428"/>
        <v/>
      </c>
    </row>
    <row r="3915" spans="2:21" ht="17.25">
      <c r="B3915" s="156"/>
      <c r="C3915" s="156"/>
      <c r="D3915" s="157"/>
      <c r="E3915" s="155"/>
      <c r="F3915" s="151"/>
      <c r="G3915" s="152"/>
      <c r="H3915" s="153"/>
      <c r="I3915" s="154"/>
      <c r="J3915" s="154"/>
      <c r="K3915" s="30" t="str">
        <f>IF(H3915="","",IF($C$30="간이법","",FPR(H3915,I3915,J3915)))</f>
        <v/>
      </c>
      <c r="L3915" s="30" t="str">
        <f>IF(H3915="","",IF($C$30="상세법",FPV(H3915,K3915),IF(H3915="EI",4,IF(H3915="EO",5.2,IF(H3915="EQ",3.9,IF(H3915="ILF",7.5,IF(H3915="EIF",5.4)))))))</f>
        <v/>
      </c>
      <c r="M3915" s="30" t="str">
        <f t="shared" si="422"/>
        <v/>
      </c>
      <c r="N3915" s="134"/>
      <c r="O3915" s="29"/>
      <c r="P3915" s="37" t="str">
        <f t="shared" si="423"/>
        <v/>
      </c>
      <c r="Q3915" s="38" t="str">
        <f t="shared" si="424"/>
        <v/>
      </c>
      <c r="R3915" s="37" t="str">
        <f t="shared" si="425"/>
        <v/>
      </c>
      <c r="S3915" s="37" t="str">
        <f t="shared" si="426"/>
        <v/>
      </c>
      <c r="T3915" s="38" t="str">
        <f t="shared" si="427"/>
        <v/>
      </c>
      <c r="U3915" s="37" t="str">
        <f t="shared" si="428"/>
        <v/>
      </c>
    </row>
    <row r="3916" spans="2:21" ht="17.25">
      <c r="B3916" s="156"/>
      <c r="C3916" s="156"/>
      <c r="D3916" s="157"/>
      <c r="E3916" s="155"/>
      <c r="F3916" s="151"/>
      <c r="G3916" s="152"/>
      <c r="H3916" s="153"/>
      <c r="I3916" s="154"/>
      <c r="J3916" s="154"/>
      <c r="K3916" s="30" t="str">
        <f>IF(H3916="","",IF($C$30="간이법","",FPR(H3916,I3916,J3916)))</f>
        <v/>
      </c>
      <c r="L3916" s="30" t="str">
        <f>IF(H3916="","",IF($C$30="상세법",FPV(H3916,K3916),IF(H3916="EI",4,IF(H3916="EO",5.2,IF(H3916="EQ",3.9,IF(H3916="ILF",7.5,IF(H3916="EIF",5.4)))))))</f>
        <v/>
      </c>
      <c r="M3916" s="30" t="str">
        <f t="shared" si="422"/>
        <v/>
      </c>
      <c r="N3916" s="134"/>
      <c r="O3916" s="29"/>
      <c r="P3916" s="37" t="str">
        <f t="shared" si="423"/>
        <v/>
      </c>
      <c r="Q3916" s="38" t="str">
        <f t="shared" si="424"/>
        <v/>
      </c>
      <c r="R3916" s="37" t="str">
        <f t="shared" si="425"/>
        <v/>
      </c>
      <c r="S3916" s="37" t="str">
        <f t="shared" si="426"/>
        <v/>
      </c>
      <c r="T3916" s="38" t="str">
        <f t="shared" si="427"/>
        <v/>
      </c>
      <c r="U3916" s="37" t="str">
        <f t="shared" si="428"/>
        <v/>
      </c>
    </row>
    <row r="3917" spans="2:21" ht="17.25">
      <c r="B3917" s="156"/>
      <c r="C3917" s="156"/>
      <c r="D3917" s="157"/>
      <c r="E3917" s="155"/>
      <c r="F3917" s="151"/>
      <c r="G3917" s="152"/>
      <c r="H3917" s="153"/>
      <c r="I3917" s="154"/>
      <c r="J3917" s="154"/>
      <c r="K3917" s="30" t="str">
        <f>IF(H3917="","",IF($C$30="간이법","",FPR(H3917,I3917,J3917)))</f>
        <v/>
      </c>
      <c r="L3917" s="30" t="str">
        <f>IF(H3917="","",IF($C$30="상세법",FPV(H3917,K3917),IF(H3917="EI",4,IF(H3917="EO",5.2,IF(H3917="EQ",3.9,IF(H3917="ILF",7.5,IF(H3917="EIF",5.4)))))))</f>
        <v/>
      </c>
      <c r="M3917" s="30" t="str">
        <f t="shared" si="422"/>
        <v/>
      </c>
      <c r="N3917" s="134"/>
      <c r="O3917" s="29"/>
      <c r="P3917" s="37" t="str">
        <f t="shared" si="423"/>
        <v/>
      </c>
      <c r="Q3917" s="38" t="str">
        <f t="shared" si="424"/>
        <v/>
      </c>
      <c r="R3917" s="37" t="str">
        <f t="shared" si="425"/>
        <v/>
      </c>
      <c r="S3917" s="37" t="str">
        <f t="shared" si="426"/>
        <v/>
      </c>
      <c r="T3917" s="38" t="str">
        <f t="shared" si="427"/>
        <v/>
      </c>
      <c r="U3917" s="37" t="str">
        <f t="shared" si="428"/>
        <v/>
      </c>
    </row>
    <row r="3918" spans="2:21" ht="17.25">
      <c r="B3918" s="156"/>
      <c r="C3918" s="156"/>
      <c r="D3918" s="157"/>
      <c r="E3918" s="155"/>
      <c r="F3918" s="151"/>
      <c r="G3918" s="152"/>
      <c r="H3918" s="153"/>
      <c r="I3918" s="154"/>
      <c r="J3918" s="154"/>
      <c r="K3918" s="30" t="str">
        <f>IF(H3918="","",IF($C$30="간이법","",FPR(H3918,I3918,J3918)))</f>
        <v/>
      </c>
      <c r="L3918" s="30" t="str">
        <f>IF(H3918="","",IF($C$30="상세법",FPV(H3918,K3918),IF(H3918="EI",4,IF(H3918="EO",5.2,IF(H3918="EQ",3.9,IF(H3918="ILF",7.5,IF(H3918="EIF",5.4)))))))</f>
        <v/>
      </c>
      <c r="M3918" s="30" t="str">
        <f t="shared" si="422"/>
        <v/>
      </c>
      <c r="N3918" s="134"/>
      <c r="O3918" s="29"/>
      <c r="P3918" s="37" t="str">
        <f t="shared" si="423"/>
        <v/>
      </c>
      <c r="Q3918" s="38" t="str">
        <f t="shared" si="424"/>
        <v/>
      </c>
      <c r="R3918" s="37" t="str">
        <f t="shared" si="425"/>
        <v/>
      </c>
      <c r="S3918" s="37" t="str">
        <f t="shared" si="426"/>
        <v/>
      </c>
      <c r="T3918" s="38" t="str">
        <f t="shared" si="427"/>
        <v/>
      </c>
      <c r="U3918" s="37" t="str">
        <f t="shared" si="428"/>
        <v/>
      </c>
    </row>
    <row r="3919" spans="2:21" ht="17.25">
      <c r="B3919" s="156"/>
      <c r="C3919" s="156"/>
      <c r="D3919" s="157"/>
      <c r="E3919" s="155"/>
      <c r="F3919" s="151"/>
      <c r="G3919" s="152"/>
      <c r="H3919" s="153"/>
      <c r="I3919" s="154"/>
      <c r="J3919" s="154"/>
      <c r="K3919" s="30" t="str">
        <f>IF(H3919="","",IF($C$30="간이법","",FPR(H3919,I3919,J3919)))</f>
        <v/>
      </c>
      <c r="L3919" s="30" t="str">
        <f>IF(H3919="","",IF($C$30="상세법",FPV(H3919,K3919),IF(H3919="EI",4,IF(H3919="EO",5.2,IF(H3919="EQ",3.9,IF(H3919="ILF",7.5,IF(H3919="EIF",5.4)))))))</f>
        <v/>
      </c>
      <c r="M3919" s="30" t="str">
        <f t="shared" si="422"/>
        <v/>
      </c>
      <c r="N3919" s="134"/>
      <c r="O3919" s="29"/>
      <c r="P3919" s="37" t="str">
        <f t="shared" si="423"/>
        <v/>
      </c>
      <c r="Q3919" s="38" t="str">
        <f t="shared" si="424"/>
        <v/>
      </c>
      <c r="R3919" s="37" t="str">
        <f t="shared" si="425"/>
        <v/>
      </c>
      <c r="S3919" s="37" t="str">
        <f t="shared" si="426"/>
        <v/>
      </c>
      <c r="T3919" s="38" t="str">
        <f t="shared" si="427"/>
        <v/>
      </c>
      <c r="U3919" s="37" t="str">
        <f t="shared" si="428"/>
        <v/>
      </c>
    </row>
    <row r="3920" spans="2:21" ht="17.25">
      <c r="B3920" s="156"/>
      <c r="C3920" s="156"/>
      <c r="D3920" s="157"/>
      <c r="E3920" s="155"/>
      <c r="F3920" s="151"/>
      <c r="G3920" s="152"/>
      <c r="H3920" s="153"/>
      <c r="I3920" s="154"/>
      <c r="J3920" s="154"/>
      <c r="K3920" s="30" t="str">
        <f>IF(H3920="","",IF($C$30="간이법","",FPR(H3920,I3920,J3920)))</f>
        <v/>
      </c>
      <c r="L3920" s="30" t="str">
        <f>IF(H3920="","",IF($C$30="상세법",FPV(H3920,K3920),IF(H3920="EI",4,IF(H3920="EO",5.2,IF(H3920="EQ",3.9,IF(H3920="ILF",7.5,IF(H3920="EIF",5.4)))))))</f>
        <v/>
      </c>
      <c r="M3920" s="30" t="str">
        <f t="shared" si="422"/>
        <v/>
      </c>
      <c r="N3920" s="134"/>
      <c r="O3920" s="29"/>
      <c r="P3920" s="37" t="str">
        <f t="shared" si="423"/>
        <v/>
      </c>
      <c r="Q3920" s="38" t="str">
        <f t="shared" si="424"/>
        <v/>
      </c>
      <c r="R3920" s="37" t="str">
        <f t="shared" si="425"/>
        <v/>
      </c>
      <c r="S3920" s="37" t="str">
        <f t="shared" si="426"/>
        <v/>
      </c>
      <c r="T3920" s="38" t="str">
        <f t="shared" si="427"/>
        <v/>
      </c>
      <c r="U3920" s="37" t="str">
        <f t="shared" si="428"/>
        <v/>
      </c>
    </row>
    <row r="3921" spans="2:21" ht="17.25">
      <c r="B3921" s="156"/>
      <c r="C3921" s="156"/>
      <c r="D3921" s="157"/>
      <c r="E3921" s="155"/>
      <c r="F3921" s="151"/>
      <c r="G3921" s="152"/>
      <c r="H3921" s="153"/>
      <c r="I3921" s="154"/>
      <c r="J3921" s="154"/>
      <c r="K3921" s="30" t="str">
        <f>IF(H3921="","",IF($C$30="간이법","",FPR(H3921,I3921,J3921)))</f>
        <v/>
      </c>
      <c r="L3921" s="30" t="str">
        <f>IF(H3921="","",IF($C$30="상세법",FPV(H3921,K3921),IF(H3921="EI",4,IF(H3921="EO",5.2,IF(H3921="EQ",3.9,IF(H3921="ILF",7.5,IF(H3921="EIF",5.4)))))))</f>
        <v/>
      </c>
      <c r="M3921" s="30" t="str">
        <f t="shared" si="422"/>
        <v/>
      </c>
      <c r="N3921" s="134"/>
      <c r="O3921" s="29"/>
      <c r="P3921" s="37" t="str">
        <f t="shared" si="423"/>
        <v/>
      </c>
      <c r="Q3921" s="38" t="str">
        <f t="shared" si="424"/>
        <v/>
      </c>
      <c r="R3921" s="37" t="str">
        <f t="shared" si="425"/>
        <v/>
      </c>
      <c r="S3921" s="37" t="str">
        <f t="shared" si="426"/>
        <v/>
      </c>
      <c r="T3921" s="38" t="str">
        <f t="shared" si="427"/>
        <v/>
      </c>
      <c r="U3921" s="37" t="str">
        <f t="shared" si="428"/>
        <v/>
      </c>
    </row>
    <row r="3922" spans="2:21" ht="17.25">
      <c r="B3922" s="156"/>
      <c r="C3922" s="156"/>
      <c r="D3922" s="157"/>
      <c r="E3922" s="155"/>
      <c r="F3922" s="151"/>
      <c r="G3922" s="152"/>
      <c r="H3922" s="153"/>
      <c r="I3922" s="154"/>
      <c r="J3922" s="154"/>
      <c r="K3922" s="30" t="str">
        <f>IF(H3922="","",IF($C$30="간이법","",FPR(H3922,I3922,J3922)))</f>
        <v/>
      </c>
      <c r="L3922" s="30" t="str">
        <f>IF(H3922="","",IF($C$30="상세법",FPV(H3922,K3922),IF(H3922="EI",4,IF(H3922="EO",5.2,IF(H3922="EQ",3.9,IF(H3922="ILF",7.5,IF(H3922="EIF",5.4)))))))</f>
        <v/>
      </c>
      <c r="M3922" s="30" t="str">
        <f t="shared" si="422"/>
        <v/>
      </c>
      <c r="N3922" s="134"/>
      <c r="O3922" s="29"/>
      <c r="P3922" s="37" t="str">
        <f t="shared" si="423"/>
        <v/>
      </c>
      <c r="Q3922" s="38" t="str">
        <f t="shared" si="424"/>
        <v/>
      </c>
      <c r="R3922" s="37" t="str">
        <f t="shared" si="425"/>
        <v/>
      </c>
      <c r="S3922" s="37" t="str">
        <f t="shared" si="426"/>
        <v/>
      </c>
      <c r="T3922" s="38" t="str">
        <f t="shared" si="427"/>
        <v/>
      </c>
      <c r="U3922" s="37" t="str">
        <f t="shared" si="428"/>
        <v/>
      </c>
    </row>
    <row r="3923" spans="2:21" ht="17.25">
      <c r="B3923" s="156"/>
      <c r="C3923" s="156"/>
      <c r="D3923" s="157"/>
      <c r="E3923" s="155"/>
      <c r="F3923" s="151"/>
      <c r="G3923" s="152"/>
      <c r="H3923" s="153"/>
      <c r="I3923" s="154"/>
      <c r="J3923" s="154"/>
      <c r="K3923" s="30" t="str">
        <f>IF(H3923="","",IF($C$30="간이법","",FPR(H3923,I3923,J3923)))</f>
        <v/>
      </c>
      <c r="L3923" s="30" t="str">
        <f>IF(H3923="","",IF($C$30="상세법",FPV(H3923,K3923),IF(H3923="EI",4,IF(H3923="EO",5.2,IF(H3923="EQ",3.9,IF(H3923="ILF",7.5,IF(H3923="EIF",5.4)))))))</f>
        <v/>
      </c>
      <c r="M3923" s="30" t="str">
        <f t="shared" si="422"/>
        <v/>
      </c>
      <c r="N3923" s="134"/>
      <c r="O3923" s="29"/>
      <c r="P3923" s="37" t="str">
        <f t="shared" si="423"/>
        <v/>
      </c>
      <c r="Q3923" s="38" t="str">
        <f t="shared" si="424"/>
        <v/>
      </c>
      <c r="R3923" s="37" t="str">
        <f t="shared" si="425"/>
        <v/>
      </c>
      <c r="S3923" s="37" t="str">
        <f t="shared" si="426"/>
        <v/>
      </c>
      <c r="T3923" s="38" t="str">
        <f t="shared" si="427"/>
        <v/>
      </c>
      <c r="U3923" s="37" t="str">
        <f t="shared" si="428"/>
        <v/>
      </c>
    </row>
    <row r="3924" spans="2:21" ht="17.25">
      <c r="B3924" s="156"/>
      <c r="C3924" s="156"/>
      <c r="D3924" s="157"/>
      <c r="E3924" s="155"/>
      <c r="F3924" s="151"/>
      <c r="G3924" s="152"/>
      <c r="H3924" s="153"/>
      <c r="I3924" s="154"/>
      <c r="J3924" s="154"/>
      <c r="K3924" s="30" t="str">
        <f>IF(H3924="","",IF($C$30="간이법","",FPR(H3924,I3924,J3924)))</f>
        <v/>
      </c>
      <c r="L3924" s="30" t="str">
        <f>IF(H3924="","",IF($C$30="상세법",FPV(H3924,K3924),IF(H3924="EI",4,IF(H3924="EO",5.2,IF(H3924="EQ",3.9,IF(H3924="ILF",7.5,IF(H3924="EIF",5.4)))))))</f>
        <v/>
      </c>
      <c r="M3924" s="30" t="str">
        <f t="shared" si="422"/>
        <v/>
      </c>
      <c r="N3924" s="134"/>
      <c r="O3924" s="29"/>
      <c r="P3924" s="37" t="str">
        <f t="shared" si="423"/>
        <v/>
      </c>
      <c r="Q3924" s="38" t="str">
        <f t="shared" si="424"/>
        <v/>
      </c>
      <c r="R3924" s="37" t="str">
        <f t="shared" si="425"/>
        <v/>
      </c>
      <c r="S3924" s="37" t="str">
        <f t="shared" si="426"/>
        <v/>
      </c>
      <c r="T3924" s="38" t="str">
        <f t="shared" si="427"/>
        <v/>
      </c>
      <c r="U3924" s="37" t="str">
        <f t="shared" si="428"/>
        <v/>
      </c>
    </row>
    <row r="3925" spans="2:21" ht="17.25">
      <c r="B3925" s="156"/>
      <c r="C3925" s="156"/>
      <c r="D3925" s="157"/>
      <c r="E3925" s="155"/>
      <c r="F3925" s="151"/>
      <c r="G3925" s="152"/>
      <c r="H3925" s="153"/>
      <c r="I3925" s="154"/>
      <c r="J3925" s="154"/>
      <c r="K3925" s="30" t="str">
        <f>IF(H3925="","",IF($C$30="간이법","",FPR(H3925,I3925,J3925)))</f>
        <v/>
      </c>
      <c r="L3925" s="30" t="str">
        <f>IF(H3925="","",IF($C$30="상세법",FPV(H3925,K3925),IF(H3925="EI",4,IF(H3925="EO",5.2,IF(H3925="EQ",3.9,IF(H3925="ILF",7.5,IF(H3925="EIF",5.4)))))))</f>
        <v/>
      </c>
      <c r="M3925" s="30" t="str">
        <f t="shared" si="422"/>
        <v/>
      </c>
      <c r="N3925" s="134"/>
      <c r="O3925" s="29"/>
      <c r="P3925" s="37" t="str">
        <f t="shared" si="423"/>
        <v/>
      </c>
      <c r="Q3925" s="38" t="str">
        <f t="shared" si="424"/>
        <v/>
      </c>
      <c r="R3925" s="37" t="str">
        <f t="shared" si="425"/>
        <v/>
      </c>
      <c r="S3925" s="37" t="str">
        <f t="shared" si="426"/>
        <v/>
      </c>
      <c r="T3925" s="38" t="str">
        <f t="shared" si="427"/>
        <v/>
      </c>
      <c r="U3925" s="37" t="str">
        <f t="shared" si="428"/>
        <v/>
      </c>
    </row>
    <row r="3926" spans="2:21" ht="17.25">
      <c r="B3926" s="156"/>
      <c r="C3926" s="156"/>
      <c r="D3926" s="157"/>
      <c r="E3926" s="155"/>
      <c r="F3926" s="151"/>
      <c r="G3926" s="152"/>
      <c r="H3926" s="153"/>
      <c r="I3926" s="154"/>
      <c r="J3926" s="154"/>
      <c r="K3926" s="30" t="str">
        <f>IF(H3926="","",IF($C$30="간이법","",FPR(H3926,I3926,J3926)))</f>
        <v/>
      </c>
      <c r="L3926" s="30" t="str">
        <f>IF(H3926="","",IF($C$30="상세법",FPV(H3926,K3926),IF(H3926="EI",4,IF(H3926="EO",5.2,IF(H3926="EQ",3.9,IF(H3926="ILF",7.5,IF(H3926="EIF",5.4)))))))</f>
        <v/>
      </c>
      <c r="M3926" s="30" t="str">
        <f t="shared" si="422"/>
        <v/>
      </c>
      <c r="N3926" s="134"/>
      <c r="O3926" s="29"/>
      <c r="P3926" s="37" t="str">
        <f t="shared" si="423"/>
        <v/>
      </c>
      <c r="Q3926" s="38" t="str">
        <f t="shared" si="424"/>
        <v/>
      </c>
      <c r="R3926" s="37" t="str">
        <f t="shared" si="425"/>
        <v/>
      </c>
      <c r="S3926" s="37" t="str">
        <f t="shared" si="426"/>
        <v/>
      </c>
      <c r="T3926" s="38" t="str">
        <f t="shared" si="427"/>
        <v/>
      </c>
      <c r="U3926" s="37" t="str">
        <f t="shared" si="428"/>
        <v/>
      </c>
    </row>
    <row r="3927" spans="2:21" ht="17.25">
      <c r="B3927" s="156"/>
      <c r="C3927" s="156"/>
      <c r="D3927" s="157"/>
      <c r="E3927" s="155"/>
      <c r="F3927" s="151"/>
      <c r="G3927" s="152"/>
      <c r="H3927" s="153"/>
      <c r="I3927" s="154"/>
      <c r="J3927" s="154"/>
      <c r="K3927" s="30" t="str">
        <f>IF(H3927="","",IF($C$30="간이법","",FPR(H3927,I3927,J3927)))</f>
        <v/>
      </c>
      <c r="L3927" s="30" t="str">
        <f>IF(H3927="","",IF($C$30="상세법",FPV(H3927,K3927),IF(H3927="EI",4,IF(H3927="EO",5.2,IF(H3927="EQ",3.9,IF(H3927="ILF",7.5,IF(H3927="EIF",5.4)))))))</f>
        <v/>
      </c>
      <c r="M3927" s="30" t="str">
        <f t="shared" si="422"/>
        <v/>
      </c>
      <c r="N3927" s="134"/>
      <c r="O3927" s="29"/>
      <c r="P3927" s="37" t="str">
        <f t="shared" si="423"/>
        <v/>
      </c>
      <c r="Q3927" s="38" t="str">
        <f t="shared" si="424"/>
        <v/>
      </c>
      <c r="R3927" s="37" t="str">
        <f t="shared" si="425"/>
        <v/>
      </c>
      <c r="S3927" s="37" t="str">
        <f t="shared" si="426"/>
        <v/>
      </c>
      <c r="T3927" s="38" t="str">
        <f t="shared" si="427"/>
        <v/>
      </c>
      <c r="U3927" s="37" t="str">
        <f t="shared" si="428"/>
        <v/>
      </c>
    </row>
    <row r="3928" spans="2:21" ht="17.25">
      <c r="B3928" s="156"/>
      <c r="C3928" s="156"/>
      <c r="D3928" s="157"/>
      <c r="E3928" s="155"/>
      <c r="F3928" s="151"/>
      <c r="G3928" s="152"/>
      <c r="H3928" s="153"/>
      <c r="I3928" s="154"/>
      <c r="J3928" s="154"/>
      <c r="K3928" s="30" t="str">
        <f>IF(H3928="","",IF($C$30="간이법","",FPR(H3928,I3928,J3928)))</f>
        <v/>
      </c>
      <c r="L3928" s="30" t="str">
        <f>IF(H3928="","",IF($C$30="상세법",FPV(H3928,K3928),IF(H3928="EI",4,IF(H3928="EO",5.2,IF(H3928="EQ",3.9,IF(H3928="ILF",7.5,IF(H3928="EIF",5.4)))))))</f>
        <v/>
      </c>
      <c r="M3928" s="30" t="str">
        <f t="shared" si="422"/>
        <v/>
      </c>
      <c r="N3928" s="134"/>
      <c r="O3928" s="29"/>
      <c r="P3928" s="37" t="str">
        <f t="shared" si="423"/>
        <v/>
      </c>
      <c r="Q3928" s="38" t="str">
        <f t="shared" si="424"/>
        <v/>
      </c>
      <c r="R3928" s="37" t="str">
        <f t="shared" si="425"/>
        <v/>
      </c>
      <c r="S3928" s="37" t="str">
        <f t="shared" si="426"/>
        <v/>
      </c>
      <c r="T3928" s="38" t="str">
        <f t="shared" si="427"/>
        <v/>
      </c>
      <c r="U3928" s="37" t="str">
        <f t="shared" si="428"/>
        <v/>
      </c>
    </row>
    <row r="3929" spans="2:21" ht="17.25">
      <c r="B3929" s="156"/>
      <c r="C3929" s="156"/>
      <c r="D3929" s="157"/>
      <c r="E3929" s="155"/>
      <c r="F3929" s="151"/>
      <c r="G3929" s="152"/>
      <c r="H3929" s="153"/>
      <c r="I3929" s="154"/>
      <c r="J3929" s="154"/>
      <c r="K3929" s="30" t="str">
        <f>IF(H3929="","",IF($C$30="간이법","",FPR(H3929,I3929,J3929)))</f>
        <v/>
      </c>
      <c r="L3929" s="30" t="str">
        <f>IF(H3929="","",IF($C$30="상세법",FPV(H3929,K3929),IF(H3929="EI",4,IF(H3929="EO",5.2,IF(H3929="EQ",3.9,IF(H3929="ILF",7.5,IF(H3929="EIF",5.4)))))))</f>
        <v/>
      </c>
      <c r="M3929" s="30" t="str">
        <f t="shared" si="422"/>
        <v/>
      </c>
      <c r="N3929" s="134"/>
      <c r="O3929" s="29"/>
      <c r="P3929" s="37" t="str">
        <f t="shared" si="423"/>
        <v/>
      </c>
      <c r="Q3929" s="38" t="str">
        <f t="shared" si="424"/>
        <v/>
      </c>
      <c r="R3929" s="37" t="str">
        <f t="shared" si="425"/>
        <v/>
      </c>
      <c r="S3929" s="37" t="str">
        <f t="shared" si="426"/>
        <v/>
      </c>
      <c r="T3929" s="38" t="str">
        <f t="shared" si="427"/>
        <v/>
      </c>
      <c r="U3929" s="37" t="str">
        <f t="shared" si="428"/>
        <v/>
      </c>
    </row>
    <row r="3930" spans="2:21" ht="17.25">
      <c r="B3930" s="156"/>
      <c r="C3930" s="156"/>
      <c r="D3930" s="157"/>
      <c r="E3930" s="155"/>
      <c r="F3930" s="151"/>
      <c r="G3930" s="152"/>
      <c r="H3930" s="153"/>
      <c r="I3930" s="154"/>
      <c r="J3930" s="154"/>
      <c r="K3930" s="30" t="str">
        <f>IF(H3930="","",IF($C$30="간이법","",FPR(H3930,I3930,J3930)))</f>
        <v/>
      </c>
      <c r="L3930" s="30" t="str">
        <f>IF(H3930="","",IF($C$30="상세법",FPV(H3930,K3930),IF(H3930="EI",4,IF(H3930="EO",5.2,IF(H3930="EQ",3.9,IF(H3930="ILF",7.5,IF(H3930="EIF",5.4)))))))</f>
        <v/>
      </c>
      <c r="M3930" s="30" t="str">
        <f t="shared" si="422"/>
        <v/>
      </c>
      <c r="N3930" s="134"/>
      <c r="O3930" s="29"/>
      <c r="P3930" s="37" t="str">
        <f t="shared" si="423"/>
        <v/>
      </c>
      <c r="Q3930" s="38" t="str">
        <f t="shared" si="424"/>
        <v/>
      </c>
      <c r="R3930" s="37" t="str">
        <f t="shared" si="425"/>
        <v/>
      </c>
      <c r="S3930" s="37" t="str">
        <f t="shared" si="426"/>
        <v/>
      </c>
      <c r="T3930" s="38" t="str">
        <f t="shared" si="427"/>
        <v/>
      </c>
      <c r="U3930" s="37" t="str">
        <f t="shared" si="428"/>
        <v/>
      </c>
    </row>
    <row r="3931" spans="2:21" ht="17.25">
      <c r="B3931" s="156"/>
      <c r="C3931" s="156"/>
      <c r="D3931" s="157"/>
      <c r="E3931" s="155"/>
      <c r="F3931" s="151"/>
      <c r="G3931" s="152"/>
      <c r="H3931" s="153"/>
      <c r="I3931" s="154"/>
      <c r="J3931" s="154"/>
      <c r="K3931" s="30" t="str">
        <f>IF(H3931="","",IF($C$30="간이법","",FPR(H3931,I3931,J3931)))</f>
        <v/>
      </c>
      <c r="L3931" s="30" t="str">
        <f>IF(H3931="","",IF($C$30="상세법",FPV(H3931,K3931),IF(H3931="EI",4,IF(H3931="EO",5.2,IF(H3931="EQ",3.9,IF(H3931="ILF",7.5,IF(H3931="EIF",5.4)))))))</f>
        <v/>
      </c>
      <c r="M3931" s="30" t="str">
        <f t="shared" si="422"/>
        <v/>
      </c>
      <c r="N3931" s="134"/>
      <c r="O3931" s="29"/>
      <c r="P3931" s="37" t="str">
        <f t="shared" si="423"/>
        <v/>
      </c>
      <c r="Q3931" s="38" t="str">
        <f t="shared" si="424"/>
        <v/>
      </c>
      <c r="R3931" s="37" t="str">
        <f t="shared" si="425"/>
        <v/>
      </c>
      <c r="S3931" s="37" t="str">
        <f t="shared" si="426"/>
        <v/>
      </c>
      <c r="T3931" s="38" t="str">
        <f t="shared" si="427"/>
        <v/>
      </c>
      <c r="U3931" s="37" t="str">
        <f t="shared" si="428"/>
        <v/>
      </c>
    </row>
    <row r="3932" spans="2:21" ht="17.25">
      <c r="B3932" s="156"/>
      <c r="C3932" s="156"/>
      <c r="D3932" s="157"/>
      <c r="E3932" s="155"/>
      <c r="F3932" s="151"/>
      <c r="G3932" s="152"/>
      <c r="H3932" s="153"/>
      <c r="I3932" s="154"/>
      <c r="J3932" s="154"/>
      <c r="K3932" s="30" t="str">
        <f>IF(H3932="","",IF($C$30="간이법","",FPR(H3932,I3932,J3932)))</f>
        <v/>
      </c>
      <c r="L3932" s="30" t="str">
        <f>IF(H3932="","",IF($C$30="상세법",FPV(H3932,K3932),IF(H3932="EI",4,IF(H3932="EO",5.2,IF(H3932="EQ",3.9,IF(H3932="ILF",7.5,IF(H3932="EIF",5.4)))))))</f>
        <v/>
      </c>
      <c r="M3932" s="30" t="str">
        <f t="shared" si="422"/>
        <v/>
      </c>
      <c r="N3932" s="134"/>
      <c r="O3932" s="29"/>
      <c r="P3932" s="37" t="str">
        <f t="shared" si="423"/>
        <v/>
      </c>
      <c r="Q3932" s="38" t="str">
        <f t="shared" si="424"/>
        <v/>
      </c>
      <c r="R3932" s="37" t="str">
        <f t="shared" si="425"/>
        <v/>
      </c>
      <c r="S3932" s="37" t="str">
        <f t="shared" si="426"/>
        <v/>
      </c>
      <c r="T3932" s="38" t="str">
        <f t="shared" si="427"/>
        <v/>
      </c>
      <c r="U3932" s="37" t="str">
        <f t="shared" si="428"/>
        <v/>
      </c>
    </row>
    <row r="3933" spans="2:21" ht="17.25">
      <c r="B3933" s="156"/>
      <c r="C3933" s="156"/>
      <c r="D3933" s="157"/>
      <c r="E3933" s="155"/>
      <c r="F3933" s="151"/>
      <c r="G3933" s="152"/>
      <c r="H3933" s="153"/>
      <c r="I3933" s="154"/>
      <c r="J3933" s="154"/>
      <c r="K3933" s="30" t="str">
        <f>IF(H3933="","",IF($C$30="간이법","",FPR(H3933,I3933,J3933)))</f>
        <v/>
      </c>
      <c r="L3933" s="30" t="str">
        <f>IF(H3933="","",IF($C$30="상세법",FPV(H3933,K3933),IF(H3933="EI",4,IF(H3933="EO",5.2,IF(H3933="EQ",3.9,IF(H3933="ILF",7.5,IF(H3933="EIF",5.4)))))))</f>
        <v/>
      </c>
      <c r="M3933" s="30" t="str">
        <f t="shared" si="422"/>
        <v/>
      </c>
      <c r="N3933" s="134"/>
      <c r="O3933" s="29"/>
      <c r="P3933" s="37" t="str">
        <f t="shared" si="423"/>
        <v/>
      </c>
      <c r="Q3933" s="38" t="str">
        <f t="shared" si="424"/>
        <v/>
      </c>
      <c r="R3933" s="37" t="str">
        <f t="shared" si="425"/>
        <v/>
      </c>
      <c r="S3933" s="37" t="str">
        <f t="shared" si="426"/>
        <v/>
      </c>
      <c r="T3933" s="38" t="str">
        <f t="shared" si="427"/>
        <v/>
      </c>
      <c r="U3933" s="37" t="str">
        <f t="shared" si="428"/>
        <v/>
      </c>
    </row>
    <row r="3934" spans="2:21" ht="17.25">
      <c r="B3934" s="156"/>
      <c r="C3934" s="156"/>
      <c r="D3934" s="157"/>
      <c r="E3934" s="155"/>
      <c r="F3934" s="151"/>
      <c r="G3934" s="152"/>
      <c r="H3934" s="153"/>
      <c r="I3934" s="154"/>
      <c r="J3934" s="154"/>
      <c r="K3934" s="30" t="str">
        <f>IF(H3934="","",IF($C$30="간이법","",FPR(H3934,I3934,J3934)))</f>
        <v/>
      </c>
      <c r="L3934" s="30" t="str">
        <f>IF(H3934="","",IF($C$30="상세법",FPV(H3934,K3934),IF(H3934="EI",4,IF(H3934="EO",5.2,IF(H3934="EQ",3.9,IF(H3934="ILF",7.5,IF(H3934="EIF",5.4)))))))</f>
        <v/>
      </c>
      <c r="M3934" s="30" t="str">
        <f t="shared" si="422"/>
        <v/>
      </c>
      <c r="N3934" s="134"/>
      <c r="O3934" s="29"/>
      <c r="P3934" s="37" t="str">
        <f t="shared" si="423"/>
        <v/>
      </c>
      <c r="Q3934" s="38" t="str">
        <f t="shared" si="424"/>
        <v/>
      </c>
      <c r="R3934" s="37" t="str">
        <f t="shared" si="425"/>
        <v/>
      </c>
      <c r="S3934" s="37" t="str">
        <f t="shared" si="426"/>
        <v/>
      </c>
      <c r="T3934" s="38" t="str">
        <f t="shared" si="427"/>
        <v/>
      </c>
      <c r="U3934" s="37" t="str">
        <f t="shared" si="428"/>
        <v/>
      </c>
    </row>
    <row r="3935" spans="2:21" ht="17.25">
      <c r="B3935" s="156"/>
      <c r="C3935" s="156"/>
      <c r="D3935" s="157"/>
      <c r="E3935" s="155"/>
      <c r="F3935" s="151"/>
      <c r="G3935" s="152"/>
      <c r="H3935" s="153"/>
      <c r="I3935" s="154"/>
      <c r="J3935" s="154"/>
      <c r="K3935" s="30" t="str">
        <f>IF(H3935="","",IF($C$30="간이법","",FPR(H3935,I3935,J3935)))</f>
        <v/>
      </c>
      <c r="L3935" s="30" t="str">
        <f>IF(H3935="","",IF($C$30="상세법",FPV(H3935,K3935),IF(H3935="EI",4,IF(H3935="EO",5.2,IF(H3935="EQ",3.9,IF(H3935="ILF",7.5,IF(H3935="EIF",5.4)))))))</f>
        <v/>
      </c>
      <c r="M3935" s="30" t="str">
        <f t="shared" si="422"/>
        <v/>
      </c>
      <c r="N3935" s="134"/>
      <c r="O3935" s="29"/>
      <c r="P3935" s="37" t="str">
        <f t="shared" si="423"/>
        <v/>
      </c>
      <c r="Q3935" s="38" t="str">
        <f t="shared" si="424"/>
        <v/>
      </c>
      <c r="R3935" s="37" t="str">
        <f t="shared" si="425"/>
        <v/>
      </c>
      <c r="S3935" s="37" t="str">
        <f t="shared" si="426"/>
        <v/>
      </c>
      <c r="T3935" s="38" t="str">
        <f t="shared" si="427"/>
        <v/>
      </c>
      <c r="U3935" s="37" t="str">
        <f t="shared" si="428"/>
        <v/>
      </c>
    </row>
    <row r="3936" spans="2:21" ht="17.25">
      <c r="B3936" s="156"/>
      <c r="C3936" s="156"/>
      <c r="D3936" s="157"/>
      <c r="E3936" s="155"/>
      <c r="F3936" s="151"/>
      <c r="G3936" s="152"/>
      <c r="H3936" s="153"/>
      <c r="I3936" s="154"/>
      <c r="J3936" s="154"/>
      <c r="K3936" s="30" t="str">
        <f>IF(H3936="","",IF($C$30="간이법","",FPR(H3936,I3936,J3936)))</f>
        <v/>
      </c>
      <c r="L3936" s="30" t="str">
        <f>IF(H3936="","",IF($C$30="상세법",FPV(H3936,K3936),IF(H3936="EI",4,IF(H3936="EO",5.2,IF(H3936="EQ",3.9,IF(H3936="ILF",7.5,IF(H3936="EIF",5.4)))))))</f>
        <v/>
      </c>
      <c r="M3936" s="30" t="str">
        <f t="shared" si="422"/>
        <v/>
      </c>
      <c r="N3936" s="134"/>
      <c r="O3936" s="29"/>
      <c r="P3936" s="37" t="str">
        <f t="shared" si="423"/>
        <v/>
      </c>
      <c r="Q3936" s="38" t="str">
        <f t="shared" si="424"/>
        <v/>
      </c>
      <c r="R3936" s="37" t="str">
        <f t="shared" si="425"/>
        <v/>
      </c>
      <c r="S3936" s="37" t="str">
        <f t="shared" si="426"/>
        <v/>
      </c>
      <c r="T3936" s="38" t="str">
        <f t="shared" si="427"/>
        <v/>
      </c>
      <c r="U3936" s="37" t="str">
        <f t="shared" si="428"/>
        <v/>
      </c>
    </row>
    <row r="3937" spans="2:21" ht="17.25">
      <c r="B3937" s="156"/>
      <c r="C3937" s="156"/>
      <c r="D3937" s="157"/>
      <c r="E3937" s="155"/>
      <c r="F3937" s="151"/>
      <c r="G3937" s="152"/>
      <c r="H3937" s="153"/>
      <c r="I3937" s="154"/>
      <c r="J3937" s="154"/>
      <c r="K3937" s="30" t="str">
        <f>IF(H3937="","",IF($C$30="간이법","",FPR(H3937,I3937,J3937)))</f>
        <v/>
      </c>
      <c r="L3937" s="30" t="str">
        <f>IF(H3937="","",IF($C$30="상세법",FPV(H3937,K3937),IF(H3937="EI",4,IF(H3937="EO",5.2,IF(H3937="EQ",3.9,IF(H3937="ILF",7.5,IF(H3937="EIF",5.4)))))))</f>
        <v/>
      </c>
      <c r="M3937" s="30" t="str">
        <f t="shared" si="422"/>
        <v/>
      </c>
      <c r="N3937" s="134"/>
      <c r="O3937" s="29"/>
      <c r="P3937" s="37" t="str">
        <f t="shared" si="423"/>
        <v/>
      </c>
      <c r="Q3937" s="38" t="str">
        <f t="shared" si="424"/>
        <v/>
      </c>
      <c r="R3937" s="37" t="str">
        <f t="shared" si="425"/>
        <v/>
      </c>
      <c r="S3937" s="37" t="str">
        <f t="shared" si="426"/>
        <v/>
      </c>
      <c r="T3937" s="38" t="str">
        <f t="shared" si="427"/>
        <v/>
      </c>
      <c r="U3937" s="37" t="str">
        <f t="shared" si="428"/>
        <v/>
      </c>
    </row>
    <row r="3938" spans="2:21" ht="17.25">
      <c r="B3938" s="156"/>
      <c r="C3938" s="156"/>
      <c r="D3938" s="157"/>
      <c r="E3938" s="155"/>
      <c r="F3938" s="151"/>
      <c r="G3938" s="152"/>
      <c r="H3938" s="153"/>
      <c r="I3938" s="154"/>
      <c r="J3938" s="154"/>
      <c r="K3938" s="30" t="str">
        <f>IF(H3938="","",IF($C$30="간이법","",FPR(H3938,I3938,J3938)))</f>
        <v/>
      </c>
      <c r="L3938" s="30" t="str">
        <f>IF(H3938="","",IF($C$30="상세법",FPV(H3938,K3938),IF(H3938="EI",4,IF(H3938="EO",5.2,IF(H3938="EQ",3.9,IF(H3938="ILF",7.5,IF(H3938="EIF",5.4)))))))</f>
        <v/>
      </c>
      <c r="M3938" s="30" t="str">
        <f t="shared" si="422"/>
        <v/>
      </c>
      <c r="N3938" s="134"/>
      <c r="O3938" s="29"/>
      <c r="P3938" s="37" t="str">
        <f t="shared" si="423"/>
        <v/>
      </c>
      <c r="Q3938" s="38" t="str">
        <f t="shared" si="424"/>
        <v/>
      </c>
      <c r="R3938" s="37" t="str">
        <f t="shared" si="425"/>
        <v/>
      </c>
      <c r="S3938" s="37" t="str">
        <f t="shared" si="426"/>
        <v/>
      </c>
      <c r="T3938" s="38" t="str">
        <f t="shared" si="427"/>
        <v/>
      </c>
      <c r="U3938" s="37" t="str">
        <f t="shared" si="428"/>
        <v/>
      </c>
    </row>
    <row r="3939" spans="2:21" ht="17.25">
      <c r="B3939" s="156"/>
      <c r="C3939" s="156"/>
      <c r="D3939" s="157"/>
      <c r="E3939" s="155"/>
      <c r="F3939" s="151"/>
      <c r="G3939" s="152"/>
      <c r="H3939" s="153"/>
      <c r="I3939" s="154"/>
      <c r="J3939" s="154"/>
      <c r="K3939" s="30" t="str">
        <f>IF(H3939="","",IF($C$30="간이법","",FPR(H3939,I3939,J3939)))</f>
        <v/>
      </c>
      <c r="L3939" s="30" t="str">
        <f>IF(H3939="","",IF($C$30="상세법",FPV(H3939,K3939),IF(H3939="EI",4,IF(H3939="EO",5.2,IF(H3939="EQ",3.9,IF(H3939="ILF",7.5,IF(H3939="EIF",5.4)))))))</f>
        <v/>
      </c>
      <c r="M3939" s="30" t="str">
        <f t="shared" si="422"/>
        <v/>
      </c>
      <c r="N3939" s="134"/>
      <c r="O3939" s="29"/>
      <c r="P3939" s="37" t="str">
        <f t="shared" si="423"/>
        <v/>
      </c>
      <c r="Q3939" s="38" t="str">
        <f t="shared" si="424"/>
        <v/>
      </c>
      <c r="R3939" s="37" t="str">
        <f t="shared" si="425"/>
        <v/>
      </c>
      <c r="S3939" s="37" t="str">
        <f t="shared" si="426"/>
        <v/>
      </c>
      <c r="T3939" s="38" t="str">
        <f t="shared" si="427"/>
        <v/>
      </c>
      <c r="U3939" s="37" t="str">
        <f t="shared" si="428"/>
        <v/>
      </c>
    </row>
    <row r="3940" spans="2:21" ht="17.25">
      <c r="B3940" s="156"/>
      <c r="C3940" s="156"/>
      <c r="D3940" s="157"/>
      <c r="E3940" s="155"/>
      <c r="F3940" s="151"/>
      <c r="G3940" s="152"/>
      <c r="H3940" s="153"/>
      <c r="I3940" s="154"/>
      <c r="J3940" s="154"/>
      <c r="K3940" s="30" t="str">
        <f>IF(H3940="","",IF($C$30="간이법","",FPR(H3940,I3940,J3940)))</f>
        <v/>
      </c>
      <c r="L3940" s="30" t="str">
        <f>IF(H3940="","",IF($C$30="상세법",FPV(H3940,K3940),IF(H3940="EI",4,IF(H3940="EO",5.2,IF(H3940="EQ",3.9,IF(H3940="ILF",7.5,IF(H3940="EIF",5.4)))))))</f>
        <v/>
      </c>
      <c r="M3940" s="30" t="str">
        <f t="shared" si="422"/>
        <v/>
      </c>
      <c r="N3940" s="134"/>
      <c r="O3940" s="29"/>
      <c r="P3940" s="37" t="str">
        <f t="shared" si="423"/>
        <v/>
      </c>
      <c r="Q3940" s="38" t="str">
        <f t="shared" si="424"/>
        <v/>
      </c>
      <c r="R3940" s="37" t="str">
        <f t="shared" si="425"/>
        <v/>
      </c>
      <c r="S3940" s="37" t="str">
        <f t="shared" si="426"/>
        <v/>
      </c>
      <c r="T3940" s="38" t="str">
        <f t="shared" si="427"/>
        <v/>
      </c>
      <c r="U3940" s="37" t="str">
        <f t="shared" si="428"/>
        <v/>
      </c>
    </row>
    <row r="3941" spans="2:21" ht="17.25">
      <c r="B3941" s="156"/>
      <c r="C3941" s="156"/>
      <c r="D3941" s="157"/>
      <c r="E3941" s="155"/>
      <c r="F3941" s="151"/>
      <c r="G3941" s="152"/>
      <c r="H3941" s="153"/>
      <c r="I3941" s="154"/>
      <c r="J3941" s="154"/>
      <c r="K3941" s="30" t="str">
        <f>IF(H3941="","",IF($C$30="간이법","",FPR(H3941,I3941,J3941)))</f>
        <v/>
      </c>
      <c r="L3941" s="30" t="str">
        <f>IF(H3941="","",IF($C$30="상세법",FPV(H3941,K3941),IF(H3941="EI",4,IF(H3941="EO",5.2,IF(H3941="EQ",3.9,IF(H3941="ILF",7.5,IF(H3941="EIF",5.4)))))))</f>
        <v/>
      </c>
      <c r="M3941" s="30" t="str">
        <f t="shared" si="422"/>
        <v/>
      </c>
      <c r="N3941" s="134"/>
      <c r="O3941" s="29"/>
      <c r="P3941" s="37" t="str">
        <f t="shared" si="423"/>
        <v/>
      </c>
      <c r="Q3941" s="38" t="str">
        <f t="shared" si="424"/>
        <v/>
      </c>
      <c r="R3941" s="37" t="str">
        <f t="shared" si="425"/>
        <v/>
      </c>
      <c r="S3941" s="37" t="str">
        <f t="shared" si="426"/>
        <v/>
      </c>
      <c r="T3941" s="38" t="str">
        <f t="shared" si="427"/>
        <v/>
      </c>
      <c r="U3941" s="37" t="str">
        <f t="shared" si="428"/>
        <v/>
      </c>
    </row>
    <row r="3942" spans="2:21" ht="17.25">
      <c r="B3942" s="156"/>
      <c r="C3942" s="156"/>
      <c r="D3942" s="157"/>
      <c r="E3942" s="155"/>
      <c r="F3942" s="151"/>
      <c r="G3942" s="152"/>
      <c r="H3942" s="153"/>
      <c r="I3942" s="154"/>
      <c r="J3942" s="154"/>
      <c r="K3942" s="30" t="str">
        <f>IF(H3942="","",IF($C$30="간이법","",FPR(H3942,I3942,J3942)))</f>
        <v/>
      </c>
      <c r="L3942" s="30" t="str">
        <f>IF(H3942="","",IF($C$30="상세법",FPV(H3942,K3942),IF(H3942="EI",4,IF(H3942="EO",5.2,IF(H3942="EQ",3.9,IF(H3942="ILF",7.5,IF(H3942="EIF",5.4)))))))</f>
        <v/>
      </c>
      <c r="M3942" s="30" t="str">
        <f t="shared" si="422"/>
        <v/>
      </c>
      <c r="N3942" s="134"/>
      <c r="O3942" s="29"/>
      <c r="P3942" s="37" t="str">
        <f t="shared" si="423"/>
        <v/>
      </c>
      <c r="Q3942" s="38" t="str">
        <f t="shared" si="424"/>
        <v/>
      </c>
      <c r="R3942" s="37" t="str">
        <f t="shared" si="425"/>
        <v/>
      </c>
      <c r="S3942" s="37" t="str">
        <f t="shared" si="426"/>
        <v/>
      </c>
      <c r="T3942" s="38" t="str">
        <f t="shared" si="427"/>
        <v/>
      </c>
      <c r="U3942" s="37" t="str">
        <f t="shared" si="428"/>
        <v/>
      </c>
    </row>
    <row r="3943" spans="2:21" ht="17.25">
      <c r="B3943" s="156"/>
      <c r="C3943" s="156"/>
      <c r="D3943" s="157"/>
      <c r="E3943" s="155"/>
      <c r="F3943" s="151"/>
      <c r="G3943" s="152"/>
      <c r="H3943" s="153"/>
      <c r="I3943" s="154"/>
      <c r="J3943" s="154"/>
      <c r="K3943" s="30" t="str">
        <f>IF(H3943="","",IF($C$30="간이법","",FPR(H3943,I3943,J3943)))</f>
        <v/>
      </c>
      <c r="L3943" s="30" t="str">
        <f>IF(H3943="","",IF($C$30="상세법",FPV(H3943,K3943),IF(H3943="EI",4,IF(H3943="EO",5.2,IF(H3943="EQ",3.9,IF(H3943="ILF",7.5,IF(H3943="EIF",5.4)))))))</f>
        <v/>
      </c>
      <c r="M3943" s="30" t="str">
        <f t="shared" si="422"/>
        <v/>
      </c>
      <c r="N3943" s="134"/>
      <c r="O3943" s="29"/>
      <c r="P3943" s="37" t="str">
        <f t="shared" si="423"/>
        <v/>
      </c>
      <c r="Q3943" s="38" t="str">
        <f t="shared" si="424"/>
        <v/>
      </c>
      <c r="R3943" s="37" t="str">
        <f t="shared" si="425"/>
        <v/>
      </c>
      <c r="S3943" s="37" t="str">
        <f t="shared" si="426"/>
        <v/>
      </c>
      <c r="T3943" s="38" t="str">
        <f t="shared" si="427"/>
        <v/>
      </c>
      <c r="U3943" s="37" t="str">
        <f t="shared" si="428"/>
        <v/>
      </c>
    </row>
    <row r="3944" spans="2:21" ht="17.25">
      <c r="B3944" s="156"/>
      <c r="C3944" s="156"/>
      <c r="D3944" s="157"/>
      <c r="E3944" s="155"/>
      <c r="F3944" s="151"/>
      <c r="G3944" s="152"/>
      <c r="H3944" s="153"/>
      <c r="I3944" s="154"/>
      <c r="J3944" s="154"/>
      <c r="K3944" s="30" t="str">
        <f>IF(H3944="","",IF($C$30="간이법","",FPR(H3944,I3944,J3944)))</f>
        <v/>
      </c>
      <c r="L3944" s="30" t="str">
        <f>IF(H3944="","",IF($C$30="상세법",FPV(H3944,K3944),IF(H3944="EI",4,IF(H3944="EO",5.2,IF(H3944="EQ",3.9,IF(H3944="ILF",7.5,IF(H3944="EIF",5.4)))))))</f>
        <v/>
      </c>
      <c r="M3944" s="30" t="str">
        <f t="shared" si="422"/>
        <v/>
      </c>
      <c r="N3944" s="134"/>
      <c r="O3944" s="29"/>
      <c r="P3944" s="37" t="str">
        <f t="shared" si="423"/>
        <v/>
      </c>
      <c r="Q3944" s="38" t="str">
        <f t="shared" si="424"/>
        <v/>
      </c>
      <c r="R3944" s="37" t="str">
        <f t="shared" si="425"/>
        <v/>
      </c>
      <c r="S3944" s="37" t="str">
        <f t="shared" si="426"/>
        <v/>
      </c>
      <c r="T3944" s="38" t="str">
        <f t="shared" si="427"/>
        <v/>
      </c>
      <c r="U3944" s="37" t="str">
        <f t="shared" si="428"/>
        <v/>
      </c>
    </row>
    <row r="3945" spans="2:21" ht="17.25">
      <c r="B3945" s="156"/>
      <c r="C3945" s="156"/>
      <c r="D3945" s="157"/>
      <c r="E3945" s="155"/>
      <c r="F3945" s="151"/>
      <c r="G3945" s="152"/>
      <c r="H3945" s="153"/>
      <c r="I3945" s="154"/>
      <c r="J3945" s="154"/>
      <c r="K3945" s="30" t="str">
        <f>IF(H3945="","",IF($C$30="간이법","",FPR(H3945,I3945,J3945)))</f>
        <v/>
      </c>
      <c r="L3945" s="30" t="str">
        <f>IF(H3945="","",IF($C$30="상세법",FPV(H3945,K3945),IF(H3945="EI",4,IF(H3945="EO",5.2,IF(H3945="EQ",3.9,IF(H3945="ILF",7.5,IF(H3945="EIF",5.4)))))))</f>
        <v/>
      </c>
      <c r="M3945" s="30" t="str">
        <f t="shared" si="422"/>
        <v/>
      </c>
      <c r="N3945" s="134"/>
      <c r="O3945" s="29"/>
      <c r="P3945" s="37" t="str">
        <f t="shared" si="423"/>
        <v/>
      </c>
      <c r="Q3945" s="38" t="str">
        <f t="shared" si="424"/>
        <v/>
      </c>
      <c r="R3945" s="37" t="str">
        <f t="shared" si="425"/>
        <v/>
      </c>
      <c r="S3945" s="37" t="str">
        <f t="shared" si="426"/>
        <v/>
      </c>
      <c r="T3945" s="38" t="str">
        <f t="shared" si="427"/>
        <v/>
      </c>
      <c r="U3945" s="37" t="str">
        <f t="shared" si="428"/>
        <v/>
      </c>
    </row>
    <row r="3946" spans="2:21" ht="17.25">
      <c r="B3946" s="156"/>
      <c r="C3946" s="156"/>
      <c r="D3946" s="157"/>
      <c r="E3946" s="155"/>
      <c r="F3946" s="151"/>
      <c r="G3946" s="152"/>
      <c r="H3946" s="153"/>
      <c r="I3946" s="154"/>
      <c r="J3946" s="154"/>
      <c r="K3946" s="30" t="str">
        <f>IF(H3946="","",IF($C$30="간이법","",FPR(H3946,I3946,J3946)))</f>
        <v/>
      </c>
      <c r="L3946" s="30" t="str">
        <f>IF(H3946="","",IF($C$30="상세법",FPV(H3946,K3946),IF(H3946="EI",4,IF(H3946="EO",5.2,IF(H3946="EQ",3.9,IF(H3946="ILF",7.5,IF(H3946="EIF",5.4)))))))</f>
        <v/>
      </c>
      <c r="M3946" s="30" t="str">
        <f t="shared" si="422"/>
        <v/>
      </c>
      <c r="N3946" s="134"/>
      <c r="O3946" s="29"/>
      <c r="P3946" s="37" t="str">
        <f t="shared" si="423"/>
        <v/>
      </c>
      <c r="Q3946" s="38" t="str">
        <f t="shared" si="424"/>
        <v/>
      </c>
      <c r="R3946" s="37" t="str">
        <f t="shared" si="425"/>
        <v/>
      </c>
      <c r="S3946" s="37" t="str">
        <f t="shared" si="426"/>
        <v/>
      </c>
      <c r="T3946" s="38" t="str">
        <f t="shared" si="427"/>
        <v/>
      </c>
      <c r="U3946" s="37" t="str">
        <f t="shared" si="428"/>
        <v/>
      </c>
    </row>
    <row r="3947" spans="2:21" ht="17.25">
      <c r="B3947" s="156"/>
      <c r="C3947" s="156"/>
      <c r="D3947" s="157"/>
      <c r="E3947" s="155"/>
      <c r="F3947" s="151"/>
      <c r="G3947" s="152"/>
      <c r="H3947" s="153"/>
      <c r="I3947" s="154"/>
      <c r="J3947" s="154"/>
      <c r="K3947" s="30" t="str">
        <f>IF(H3947="","",IF($C$30="간이법","",FPR(H3947,I3947,J3947)))</f>
        <v/>
      </c>
      <c r="L3947" s="30" t="str">
        <f>IF(H3947="","",IF($C$30="상세법",FPV(H3947,K3947),IF(H3947="EI",4,IF(H3947="EO",5.2,IF(H3947="EQ",3.9,IF(H3947="ILF",7.5,IF(H3947="EIF",5.4)))))))</f>
        <v/>
      </c>
      <c r="M3947" s="30" t="str">
        <f t="shared" si="422"/>
        <v/>
      </c>
      <c r="N3947" s="134"/>
      <c r="O3947" s="29"/>
      <c r="P3947" s="37" t="str">
        <f t="shared" si="423"/>
        <v/>
      </c>
      <c r="Q3947" s="38" t="str">
        <f t="shared" si="424"/>
        <v/>
      </c>
      <c r="R3947" s="37" t="str">
        <f t="shared" si="425"/>
        <v/>
      </c>
      <c r="S3947" s="37" t="str">
        <f t="shared" si="426"/>
        <v/>
      </c>
      <c r="T3947" s="38" t="str">
        <f t="shared" si="427"/>
        <v/>
      </c>
      <c r="U3947" s="37" t="str">
        <f t="shared" si="428"/>
        <v/>
      </c>
    </row>
    <row r="3948" spans="2:21" ht="17.25">
      <c r="B3948" s="156"/>
      <c r="C3948" s="156"/>
      <c r="D3948" s="157"/>
      <c r="E3948" s="155"/>
      <c r="F3948" s="151"/>
      <c r="G3948" s="152"/>
      <c r="H3948" s="153"/>
      <c r="I3948" s="154"/>
      <c r="J3948" s="154"/>
      <c r="K3948" s="30" t="str">
        <f>IF(H3948="","",IF($C$30="간이법","",FPR(H3948,I3948,J3948)))</f>
        <v/>
      </c>
      <c r="L3948" s="30" t="str">
        <f>IF(H3948="","",IF($C$30="상세법",FPV(H3948,K3948),IF(H3948="EI",4,IF(H3948="EO",5.2,IF(H3948="EQ",3.9,IF(H3948="ILF",7.5,IF(H3948="EIF",5.4)))))))</f>
        <v/>
      </c>
      <c r="M3948" s="30" t="str">
        <f t="shared" si="422"/>
        <v/>
      </c>
      <c r="N3948" s="134"/>
      <c r="O3948" s="29"/>
      <c r="P3948" s="37" t="str">
        <f t="shared" si="423"/>
        <v/>
      </c>
      <c r="Q3948" s="38" t="str">
        <f t="shared" si="424"/>
        <v/>
      </c>
      <c r="R3948" s="37" t="str">
        <f t="shared" si="425"/>
        <v/>
      </c>
      <c r="S3948" s="37" t="str">
        <f t="shared" si="426"/>
        <v/>
      </c>
      <c r="T3948" s="38" t="str">
        <f t="shared" si="427"/>
        <v/>
      </c>
      <c r="U3948" s="37" t="str">
        <f t="shared" si="428"/>
        <v/>
      </c>
    </row>
    <row r="3949" spans="2:21" ht="17.25">
      <c r="B3949" s="156"/>
      <c r="C3949" s="156"/>
      <c r="D3949" s="157"/>
      <c r="E3949" s="155"/>
      <c r="F3949" s="151"/>
      <c r="G3949" s="152"/>
      <c r="H3949" s="153"/>
      <c r="I3949" s="154"/>
      <c r="J3949" s="154"/>
      <c r="K3949" s="30" t="str">
        <f>IF(H3949="","",IF($C$30="간이법","",FPR(H3949,I3949,J3949)))</f>
        <v/>
      </c>
      <c r="L3949" s="30" t="str">
        <f>IF(H3949="","",IF($C$30="상세법",FPV(H3949,K3949),IF(H3949="EI",4,IF(H3949="EO",5.2,IF(H3949="EQ",3.9,IF(H3949="ILF",7.5,IF(H3949="EIF",5.4)))))))</f>
        <v/>
      </c>
      <c r="M3949" s="30" t="str">
        <f t="shared" si="422"/>
        <v/>
      </c>
      <c r="N3949" s="134"/>
      <c r="O3949" s="29"/>
      <c r="P3949" s="37" t="str">
        <f t="shared" si="423"/>
        <v/>
      </c>
      <c r="Q3949" s="38" t="str">
        <f t="shared" si="424"/>
        <v/>
      </c>
      <c r="R3949" s="37" t="str">
        <f t="shared" si="425"/>
        <v/>
      </c>
      <c r="S3949" s="37" t="str">
        <f t="shared" si="426"/>
        <v/>
      </c>
      <c r="T3949" s="38" t="str">
        <f t="shared" si="427"/>
        <v/>
      </c>
      <c r="U3949" s="37" t="str">
        <f t="shared" si="428"/>
        <v/>
      </c>
    </row>
    <row r="3950" spans="2:21" ht="17.25">
      <c r="B3950" s="156"/>
      <c r="C3950" s="156"/>
      <c r="D3950" s="157"/>
      <c r="E3950" s="155"/>
      <c r="F3950" s="151"/>
      <c r="G3950" s="152"/>
      <c r="H3950" s="153"/>
      <c r="I3950" s="154"/>
      <c r="J3950" s="154"/>
      <c r="K3950" s="30" t="str">
        <f>IF(H3950="","",IF($C$30="간이법","",FPR(H3950,I3950,J3950)))</f>
        <v/>
      </c>
      <c r="L3950" s="30" t="str">
        <f>IF(H3950="","",IF($C$30="상세법",FPV(H3950,K3950),IF(H3950="EI",4,IF(H3950="EO",5.2,IF(H3950="EQ",3.9,IF(H3950="ILF",7.5,IF(H3950="EIF",5.4)))))))</f>
        <v/>
      </c>
      <c r="M3950" s="30" t="str">
        <f t="shared" si="422"/>
        <v/>
      </c>
      <c r="N3950" s="134"/>
      <c r="O3950" s="29"/>
      <c r="P3950" s="37" t="str">
        <f t="shared" si="423"/>
        <v/>
      </c>
      <c r="Q3950" s="38" t="str">
        <f t="shared" si="424"/>
        <v/>
      </c>
      <c r="R3950" s="37" t="str">
        <f t="shared" si="425"/>
        <v/>
      </c>
      <c r="S3950" s="37" t="str">
        <f t="shared" si="426"/>
        <v/>
      </c>
      <c r="T3950" s="38" t="str">
        <f t="shared" si="427"/>
        <v/>
      </c>
      <c r="U3950" s="37" t="str">
        <f t="shared" si="428"/>
        <v/>
      </c>
    </row>
    <row r="3951" spans="2:21" ht="17.25">
      <c r="B3951" s="156"/>
      <c r="C3951" s="156"/>
      <c r="D3951" s="157"/>
      <c r="E3951" s="155"/>
      <c r="F3951" s="151"/>
      <c r="G3951" s="152"/>
      <c r="H3951" s="153"/>
      <c r="I3951" s="154"/>
      <c r="J3951" s="154"/>
      <c r="K3951" s="30" t="str">
        <f>IF(H3951="","",IF($C$30="간이법","",FPR(H3951,I3951,J3951)))</f>
        <v/>
      </c>
      <c r="L3951" s="30" t="str">
        <f>IF(H3951="","",IF($C$30="상세법",FPV(H3951,K3951),IF(H3951="EI",4,IF(H3951="EO",5.2,IF(H3951="EQ",3.9,IF(H3951="ILF",7.5,IF(H3951="EIF",5.4)))))))</f>
        <v/>
      </c>
      <c r="M3951" s="30" t="str">
        <f t="shared" si="422"/>
        <v/>
      </c>
      <c r="N3951" s="134"/>
      <c r="O3951" s="29"/>
      <c r="P3951" s="37" t="str">
        <f t="shared" si="423"/>
        <v/>
      </c>
      <c r="Q3951" s="38" t="str">
        <f t="shared" si="424"/>
        <v/>
      </c>
      <c r="R3951" s="37" t="str">
        <f t="shared" si="425"/>
        <v/>
      </c>
      <c r="S3951" s="37" t="str">
        <f t="shared" si="426"/>
        <v/>
      </c>
      <c r="T3951" s="38" t="str">
        <f t="shared" si="427"/>
        <v/>
      </c>
      <c r="U3951" s="37" t="str">
        <f t="shared" si="428"/>
        <v/>
      </c>
    </row>
    <row r="3952" spans="2:21" ht="17.25">
      <c r="B3952" s="156"/>
      <c r="C3952" s="156"/>
      <c r="D3952" s="157"/>
      <c r="E3952" s="155"/>
      <c r="F3952" s="151"/>
      <c r="G3952" s="152"/>
      <c r="H3952" s="153"/>
      <c r="I3952" s="154"/>
      <c r="J3952" s="154"/>
      <c r="K3952" s="30" t="str">
        <f>IF(H3952="","",IF($C$30="간이법","",FPR(H3952,I3952,J3952)))</f>
        <v/>
      </c>
      <c r="L3952" s="30" t="str">
        <f>IF(H3952="","",IF($C$30="상세법",FPV(H3952,K3952),IF(H3952="EI",4,IF(H3952="EO",5.2,IF(H3952="EQ",3.9,IF(H3952="ILF",7.5,IF(H3952="EIF",5.4)))))))</f>
        <v/>
      </c>
      <c r="M3952" s="30" t="str">
        <f t="shared" si="422"/>
        <v/>
      </c>
      <c r="N3952" s="134"/>
      <c r="O3952" s="29"/>
      <c r="P3952" s="37" t="str">
        <f t="shared" si="423"/>
        <v/>
      </c>
      <c r="Q3952" s="38" t="str">
        <f t="shared" si="424"/>
        <v/>
      </c>
      <c r="R3952" s="37" t="str">
        <f t="shared" si="425"/>
        <v/>
      </c>
      <c r="S3952" s="37" t="str">
        <f t="shared" si="426"/>
        <v/>
      </c>
      <c r="T3952" s="38" t="str">
        <f t="shared" si="427"/>
        <v/>
      </c>
      <c r="U3952" s="37" t="str">
        <f t="shared" si="428"/>
        <v/>
      </c>
    </row>
    <row r="3953" spans="2:21" ht="17.25">
      <c r="B3953" s="156"/>
      <c r="C3953" s="156"/>
      <c r="D3953" s="157"/>
      <c r="E3953" s="155"/>
      <c r="F3953" s="151"/>
      <c r="G3953" s="152"/>
      <c r="H3953" s="153"/>
      <c r="I3953" s="154"/>
      <c r="J3953" s="154"/>
      <c r="K3953" s="30" t="str">
        <f>IF(H3953="","",IF($C$30="간이법","",FPR(H3953,I3953,J3953)))</f>
        <v/>
      </c>
      <c r="L3953" s="30" t="str">
        <f>IF(H3953="","",IF($C$30="상세법",FPV(H3953,K3953),IF(H3953="EI",4,IF(H3953="EO",5.2,IF(H3953="EQ",3.9,IF(H3953="ILF",7.5,IF(H3953="EIF",5.4)))))))</f>
        <v/>
      </c>
      <c r="M3953" s="30" t="str">
        <f t="shared" si="422"/>
        <v/>
      </c>
      <c r="N3953" s="134"/>
      <c r="O3953" s="29"/>
      <c r="P3953" s="37" t="str">
        <f t="shared" si="423"/>
        <v/>
      </c>
      <c r="Q3953" s="38" t="str">
        <f t="shared" si="424"/>
        <v/>
      </c>
      <c r="R3953" s="37" t="str">
        <f t="shared" si="425"/>
        <v/>
      </c>
      <c r="S3953" s="37" t="str">
        <f t="shared" si="426"/>
        <v/>
      </c>
      <c r="T3953" s="38" t="str">
        <f t="shared" si="427"/>
        <v/>
      </c>
      <c r="U3953" s="37" t="str">
        <f t="shared" si="428"/>
        <v/>
      </c>
    </row>
    <row r="3954" spans="2:21" ht="17.25">
      <c r="B3954" s="156"/>
      <c r="C3954" s="156"/>
      <c r="D3954" s="157"/>
      <c r="E3954" s="155"/>
      <c r="F3954" s="151"/>
      <c r="G3954" s="152"/>
      <c r="H3954" s="153"/>
      <c r="I3954" s="154"/>
      <c r="J3954" s="154"/>
      <c r="K3954" s="30" t="str">
        <f>IF(H3954="","",IF($C$30="간이법","",FPR(H3954,I3954,J3954)))</f>
        <v/>
      </c>
      <c r="L3954" s="30" t="str">
        <f>IF(H3954="","",IF($C$30="상세법",FPV(H3954,K3954),IF(H3954="EI",4,IF(H3954="EO",5.2,IF(H3954="EQ",3.9,IF(H3954="ILF",7.5,IF(H3954="EIF",5.4)))))))</f>
        <v/>
      </c>
      <c r="M3954" s="30" t="str">
        <f t="shared" si="422"/>
        <v/>
      </c>
      <c r="N3954" s="134"/>
      <c r="O3954" s="29"/>
      <c r="P3954" s="37" t="str">
        <f t="shared" si="423"/>
        <v/>
      </c>
      <c r="Q3954" s="38" t="str">
        <f t="shared" si="424"/>
        <v/>
      </c>
      <c r="R3954" s="37" t="str">
        <f t="shared" si="425"/>
        <v/>
      </c>
      <c r="S3954" s="37" t="str">
        <f t="shared" si="426"/>
        <v/>
      </c>
      <c r="T3954" s="38" t="str">
        <f t="shared" si="427"/>
        <v/>
      </c>
      <c r="U3954" s="37" t="str">
        <f t="shared" si="428"/>
        <v/>
      </c>
    </row>
    <row r="3955" spans="2:21" ht="17.25">
      <c r="B3955" s="156"/>
      <c r="C3955" s="156"/>
      <c r="D3955" s="157"/>
      <c r="E3955" s="155"/>
      <c r="F3955" s="151"/>
      <c r="G3955" s="152"/>
      <c r="H3955" s="153"/>
      <c r="I3955" s="154"/>
      <c r="J3955" s="154"/>
      <c r="K3955" s="30" t="str">
        <f>IF(H3955="","",IF($C$30="간이법","",FPR(H3955,I3955,J3955)))</f>
        <v/>
      </c>
      <c r="L3955" s="30" t="str">
        <f>IF(H3955="","",IF($C$30="상세법",FPV(H3955,K3955),IF(H3955="EI",4,IF(H3955="EO",5.2,IF(H3955="EQ",3.9,IF(H3955="ILF",7.5,IF(H3955="EIF",5.4)))))))</f>
        <v/>
      </c>
      <c r="M3955" s="30" t="str">
        <f t="shared" si="422"/>
        <v/>
      </c>
      <c r="N3955" s="134"/>
      <c r="O3955" s="29"/>
      <c r="P3955" s="37" t="str">
        <f t="shared" si="423"/>
        <v/>
      </c>
      <c r="Q3955" s="38" t="str">
        <f t="shared" si="424"/>
        <v/>
      </c>
      <c r="R3955" s="37" t="str">
        <f t="shared" si="425"/>
        <v/>
      </c>
      <c r="S3955" s="37" t="str">
        <f t="shared" si="426"/>
        <v/>
      </c>
      <c r="T3955" s="38" t="str">
        <f t="shared" si="427"/>
        <v/>
      </c>
      <c r="U3955" s="37" t="str">
        <f t="shared" si="428"/>
        <v/>
      </c>
    </row>
    <row r="3956" spans="2:21" ht="17.25">
      <c r="B3956" s="156"/>
      <c r="C3956" s="156"/>
      <c r="D3956" s="157"/>
      <c r="E3956" s="155"/>
      <c r="F3956" s="151"/>
      <c r="G3956" s="152"/>
      <c r="H3956" s="153"/>
      <c r="I3956" s="154"/>
      <c r="J3956" s="154"/>
      <c r="K3956" s="30" t="str">
        <f>IF(H3956="","",IF($C$30="간이법","",FPR(H3956,I3956,J3956)))</f>
        <v/>
      </c>
      <c r="L3956" s="30" t="str">
        <f>IF(H3956="","",IF($C$30="상세법",FPV(H3956,K3956),IF(H3956="EI",4,IF(H3956="EO",5.2,IF(H3956="EQ",3.9,IF(H3956="ILF",7.5,IF(H3956="EIF",5.4)))))))</f>
        <v/>
      </c>
      <c r="M3956" s="30" t="str">
        <f t="shared" si="422"/>
        <v/>
      </c>
      <c r="N3956" s="134"/>
      <c r="O3956" s="29"/>
      <c r="P3956" s="37" t="str">
        <f t="shared" si="423"/>
        <v/>
      </c>
      <c r="Q3956" s="38" t="str">
        <f t="shared" si="424"/>
        <v/>
      </c>
      <c r="R3956" s="37" t="str">
        <f t="shared" si="425"/>
        <v/>
      </c>
      <c r="S3956" s="37" t="str">
        <f t="shared" si="426"/>
        <v/>
      </c>
      <c r="T3956" s="38" t="str">
        <f t="shared" si="427"/>
        <v/>
      </c>
      <c r="U3956" s="37" t="str">
        <f t="shared" si="428"/>
        <v/>
      </c>
    </row>
    <row r="3957" spans="2:21" ht="17.25">
      <c r="B3957" s="156"/>
      <c r="C3957" s="156"/>
      <c r="D3957" s="157"/>
      <c r="E3957" s="155"/>
      <c r="F3957" s="151"/>
      <c r="G3957" s="152"/>
      <c r="H3957" s="153"/>
      <c r="I3957" s="154"/>
      <c r="J3957" s="154"/>
      <c r="K3957" s="30" t="str">
        <f>IF(H3957="","",IF($C$30="간이법","",FPR(H3957,I3957,J3957)))</f>
        <v/>
      </c>
      <c r="L3957" s="30" t="str">
        <f>IF(H3957="","",IF($C$30="상세법",FPV(H3957,K3957),IF(H3957="EI",4,IF(H3957="EO",5.2,IF(H3957="EQ",3.9,IF(H3957="ILF",7.5,IF(H3957="EIF",5.4)))))))</f>
        <v/>
      </c>
      <c r="M3957" s="30" t="str">
        <f t="shared" si="422"/>
        <v/>
      </c>
      <c r="N3957" s="134"/>
      <c r="O3957" s="29"/>
      <c r="P3957" s="37" t="str">
        <f t="shared" si="423"/>
        <v/>
      </c>
      <c r="Q3957" s="38" t="str">
        <f t="shared" si="424"/>
        <v/>
      </c>
      <c r="R3957" s="37" t="str">
        <f t="shared" si="425"/>
        <v/>
      </c>
      <c r="S3957" s="37" t="str">
        <f t="shared" si="426"/>
        <v/>
      </c>
      <c r="T3957" s="38" t="str">
        <f t="shared" si="427"/>
        <v/>
      </c>
      <c r="U3957" s="37" t="str">
        <f t="shared" si="428"/>
        <v/>
      </c>
    </row>
    <row r="3958" spans="2:21" ht="17.25">
      <c r="B3958" s="156"/>
      <c r="C3958" s="156"/>
      <c r="D3958" s="157"/>
      <c r="E3958" s="155"/>
      <c r="F3958" s="151"/>
      <c r="G3958" s="152"/>
      <c r="H3958" s="153"/>
      <c r="I3958" s="154"/>
      <c r="J3958" s="154"/>
      <c r="K3958" s="30" t="str">
        <f>IF(H3958="","",IF($C$30="간이법","",FPR(H3958,I3958,J3958)))</f>
        <v/>
      </c>
      <c r="L3958" s="30" t="str">
        <f>IF(H3958="","",IF($C$30="상세법",FPV(H3958,K3958),IF(H3958="EI",4,IF(H3958="EO",5.2,IF(H3958="EQ",3.9,IF(H3958="ILF",7.5,IF(H3958="EIF",5.4)))))))</f>
        <v/>
      </c>
      <c r="M3958" s="30" t="str">
        <f t="shared" si="422"/>
        <v/>
      </c>
      <c r="N3958" s="134"/>
      <c r="O3958" s="29"/>
      <c r="P3958" s="37" t="str">
        <f t="shared" si="423"/>
        <v/>
      </c>
      <c r="Q3958" s="38" t="str">
        <f t="shared" si="424"/>
        <v/>
      </c>
      <c r="R3958" s="37" t="str">
        <f t="shared" si="425"/>
        <v/>
      </c>
      <c r="S3958" s="37" t="str">
        <f t="shared" si="426"/>
        <v/>
      </c>
      <c r="T3958" s="38" t="str">
        <f t="shared" si="427"/>
        <v/>
      </c>
      <c r="U3958" s="37" t="str">
        <f t="shared" si="428"/>
        <v/>
      </c>
    </row>
    <row r="3959" spans="2:21" ht="17.25">
      <c r="B3959" s="156"/>
      <c r="C3959" s="156"/>
      <c r="D3959" s="157"/>
      <c r="E3959" s="155"/>
      <c r="F3959" s="151"/>
      <c r="G3959" s="152"/>
      <c r="H3959" s="153"/>
      <c r="I3959" s="154"/>
      <c r="J3959" s="154"/>
      <c r="K3959" s="30" t="str">
        <f>IF(H3959="","",IF($C$30="간이법","",FPR(H3959,I3959,J3959)))</f>
        <v/>
      </c>
      <c r="L3959" s="30" t="str">
        <f>IF(H3959="","",IF($C$30="상세법",FPV(H3959,K3959),IF(H3959="EI",4,IF(H3959="EO",5.2,IF(H3959="EQ",3.9,IF(H3959="ILF",7.5,IF(H3959="EIF",5.4)))))))</f>
        <v/>
      </c>
      <c r="M3959" s="30" t="str">
        <f t="shared" si="422"/>
        <v/>
      </c>
      <c r="N3959" s="134"/>
      <c r="O3959" s="29"/>
      <c r="P3959" s="37" t="str">
        <f t="shared" si="423"/>
        <v/>
      </c>
      <c r="Q3959" s="38" t="str">
        <f t="shared" si="424"/>
        <v/>
      </c>
      <c r="R3959" s="37" t="str">
        <f t="shared" si="425"/>
        <v/>
      </c>
      <c r="S3959" s="37" t="str">
        <f t="shared" si="426"/>
        <v/>
      </c>
      <c r="T3959" s="38" t="str">
        <f t="shared" si="427"/>
        <v/>
      </c>
      <c r="U3959" s="37" t="str">
        <f t="shared" si="428"/>
        <v/>
      </c>
    </row>
    <row r="3960" spans="2:21" ht="17.25">
      <c r="B3960" s="156"/>
      <c r="C3960" s="156"/>
      <c r="D3960" s="157"/>
      <c r="E3960" s="155"/>
      <c r="F3960" s="151"/>
      <c r="G3960" s="152"/>
      <c r="H3960" s="153"/>
      <c r="I3960" s="154"/>
      <c r="J3960" s="154"/>
      <c r="K3960" s="30" t="str">
        <f>IF(H3960="","",IF($C$30="간이법","",FPR(H3960,I3960,J3960)))</f>
        <v/>
      </c>
      <c r="L3960" s="30" t="str">
        <f>IF(H3960="","",IF($C$30="상세법",FPV(H3960,K3960),IF(H3960="EI",4,IF(H3960="EO",5.2,IF(H3960="EQ",3.9,IF(H3960="ILF",7.5,IF(H3960="EIF",5.4)))))))</f>
        <v/>
      </c>
      <c r="M3960" s="30" t="str">
        <f t="shared" si="422"/>
        <v/>
      </c>
      <c r="N3960" s="134"/>
      <c r="O3960" s="29"/>
      <c r="P3960" s="37" t="str">
        <f t="shared" si="423"/>
        <v/>
      </c>
      <c r="Q3960" s="38" t="str">
        <f t="shared" si="424"/>
        <v/>
      </c>
      <c r="R3960" s="37" t="str">
        <f t="shared" si="425"/>
        <v/>
      </c>
      <c r="S3960" s="37" t="str">
        <f t="shared" si="426"/>
        <v/>
      </c>
      <c r="T3960" s="38" t="str">
        <f t="shared" si="427"/>
        <v/>
      </c>
      <c r="U3960" s="37" t="str">
        <f t="shared" si="428"/>
        <v/>
      </c>
    </row>
    <row r="3961" spans="2:21" ht="17.25">
      <c r="B3961" s="156"/>
      <c r="C3961" s="156"/>
      <c r="D3961" s="157"/>
      <c r="E3961" s="155"/>
      <c r="F3961" s="151"/>
      <c r="G3961" s="152"/>
      <c r="H3961" s="153"/>
      <c r="I3961" s="154"/>
      <c r="J3961" s="154"/>
      <c r="K3961" s="30" t="str">
        <f>IF(H3961="","",IF($C$30="간이법","",FPR(H3961,I3961,J3961)))</f>
        <v/>
      </c>
      <c r="L3961" s="30" t="str">
        <f>IF(H3961="","",IF($C$30="상세법",FPV(H3961,K3961),IF(H3961="EI",4,IF(H3961="EO",5.2,IF(H3961="EQ",3.9,IF(H3961="ILF",7.5,IF(H3961="EIF",5.4)))))))</f>
        <v/>
      </c>
      <c r="M3961" s="30" t="str">
        <f t="shared" si="422"/>
        <v/>
      </c>
      <c r="N3961" s="134"/>
      <c r="O3961" s="29"/>
      <c r="P3961" s="37" t="str">
        <f t="shared" si="423"/>
        <v/>
      </c>
      <c r="Q3961" s="38" t="str">
        <f t="shared" si="424"/>
        <v/>
      </c>
      <c r="R3961" s="37" t="str">
        <f t="shared" si="425"/>
        <v/>
      </c>
      <c r="S3961" s="37" t="str">
        <f t="shared" si="426"/>
        <v/>
      </c>
      <c r="T3961" s="38" t="str">
        <f t="shared" si="427"/>
        <v/>
      </c>
      <c r="U3961" s="37" t="str">
        <f t="shared" si="428"/>
        <v/>
      </c>
    </row>
    <row r="3962" spans="2:21" ht="17.25">
      <c r="B3962" s="156"/>
      <c r="C3962" s="156"/>
      <c r="D3962" s="157"/>
      <c r="E3962" s="155"/>
      <c r="F3962" s="151"/>
      <c r="G3962" s="152"/>
      <c r="H3962" s="153"/>
      <c r="I3962" s="154"/>
      <c r="J3962" s="154"/>
      <c r="K3962" s="30" t="str">
        <f>IF(H3962="","",IF($C$30="간이법","",FPR(H3962,I3962,J3962)))</f>
        <v/>
      </c>
      <c r="L3962" s="30" t="str">
        <f>IF(H3962="","",IF($C$30="상세법",FPV(H3962,K3962),IF(H3962="EI",4,IF(H3962="EO",5.2,IF(H3962="EQ",3.9,IF(H3962="ILF",7.5,IF(H3962="EIF",5.4)))))))</f>
        <v/>
      </c>
      <c r="M3962" s="30" t="str">
        <f t="shared" si="422"/>
        <v/>
      </c>
      <c r="N3962" s="134"/>
      <c r="O3962" s="29"/>
      <c r="P3962" s="37" t="str">
        <f t="shared" si="423"/>
        <v/>
      </c>
      <c r="Q3962" s="38" t="str">
        <f t="shared" si="424"/>
        <v/>
      </c>
      <c r="R3962" s="37" t="str">
        <f t="shared" si="425"/>
        <v/>
      </c>
      <c r="S3962" s="37" t="str">
        <f t="shared" si="426"/>
        <v/>
      </c>
      <c r="T3962" s="38" t="str">
        <f t="shared" si="427"/>
        <v/>
      </c>
      <c r="U3962" s="37" t="str">
        <f t="shared" si="428"/>
        <v/>
      </c>
    </row>
    <row r="3963" spans="2:21" ht="17.25">
      <c r="B3963" s="156"/>
      <c r="C3963" s="156"/>
      <c r="D3963" s="157"/>
      <c r="E3963" s="155"/>
      <c r="F3963" s="151"/>
      <c r="G3963" s="152"/>
      <c r="H3963" s="153"/>
      <c r="I3963" s="154"/>
      <c r="J3963" s="154"/>
      <c r="K3963" s="30" t="str">
        <f>IF(H3963="","",IF($C$30="간이법","",FPR(H3963,I3963,J3963)))</f>
        <v/>
      </c>
      <c r="L3963" s="30" t="str">
        <f>IF(H3963="","",IF($C$30="상세법",FPV(H3963,K3963),IF(H3963="EI",4,IF(H3963="EO",5.2,IF(H3963="EQ",3.9,IF(H3963="ILF",7.5,IF(H3963="EIF",5.4)))))))</f>
        <v/>
      </c>
      <c r="M3963" s="30" t="str">
        <f t="shared" si="422"/>
        <v/>
      </c>
      <c r="N3963" s="134"/>
      <c r="O3963" s="29"/>
      <c r="P3963" s="37" t="str">
        <f t="shared" si="423"/>
        <v/>
      </c>
      <c r="Q3963" s="38" t="str">
        <f t="shared" si="424"/>
        <v/>
      </c>
      <c r="R3963" s="37" t="str">
        <f t="shared" si="425"/>
        <v/>
      </c>
      <c r="S3963" s="37" t="str">
        <f t="shared" si="426"/>
        <v/>
      </c>
      <c r="T3963" s="38" t="str">
        <f t="shared" si="427"/>
        <v/>
      </c>
      <c r="U3963" s="37" t="str">
        <f t="shared" si="428"/>
        <v/>
      </c>
    </row>
    <row r="3964" spans="2:21" ht="17.25">
      <c r="B3964" s="156"/>
      <c r="C3964" s="156"/>
      <c r="D3964" s="157"/>
      <c r="E3964" s="155"/>
      <c r="F3964" s="151"/>
      <c r="G3964" s="152"/>
      <c r="H3964" s="153"/>
      <c r="I3964" s="154"/>
      <c r="J3964" s="154"/>
      <c r="K3964" s="30" t="str">
        <f>IF(H3964="","",IF($C$30="간이법","",FPR(H3964,I3964,J3964)))</f>
        <v/>
      </c>
      <c r="L3964" s="30" t="str">
        <f>IF(H3964="","",IF($C$30="상세법",FPV(H3964,K3964),IF(H3964="EI",4,IF(H3964="EO",5.2,IF(H3964="EQ",3.9,IF(H3964="ILF",7.5,IF(H3964="EIF",5.4)))))))</f>
        <v/>
      </c>
      <c r="M3964" s="30" t="str">
        <f t="shared" ref="M3964:M4027" si="429">IF(OR(G3964="",$E$36="(선택)",$E$40="(선택)",$E$41="(선택)",F3964="신규 개발",F3964="수정 없이 재사용"),"",(IF(F3964="수정 후 재사용",IF($E$50&lt;=0.5,L3964*($E$36+$E$50*100*(1+0.02*($E$40*$E$41)))/100,L3964*($E$36+$E$50*100+($E$40*$E$41))/100))))</f>
        <v/>
      </c>
      <c r="N3964" s="134"/>
      <c r="O3964" s="29"/>
      <c r="P3964" s="37" t="str">
        <f t="shared" ref="P3964:P4027" si="430">IF(F3964="수정 후 재사용",IF(H3964="ILF",G3964,IF(H3964="EIF",G3964,"")),"")</f>
        <v/>
      </c>
      <c r="Q3964" s="38" t="str">
        <f t="shared" ref="Q3964:Q4027" si="431">IF(P3964&lt;&gt;"",IF(H3964="ILF", L3964/$E$46,IF(H3964="EIF", L3964/$E$46,"")),"")</f>
        <v/>
      </c>
      <c r="R3964" s="37" t="str">
        <f t="shared" ref="R3964:R4027" si="432">IF(P3964&lt;&gt;"",P3964*Q3964,"")</f>
        <v/>
      </c>
      <c r="S3964" s="37" t="str">
        <f t="shared" ref="S3964:S4027" si="433">IF(F3964="수정 후 재사용",IF(H3964="EI",G3964,IF(H3964="EO",G3964,IF(H3964="EQ",G3964,""))),"")</f>
        <v/>
      </c>
      <c r="T3964" s="38" t="str">
        <f t="shared" ref="T3964:T4027" si="434">IF(S3964&lt;&gt;"",IF(H3964="EI",L3964/$E$47,IF(H3964="EO",L3964/$E$47,IF(H3964="EQ",L3964/$E$47,""))),"")</f>
        <v/>
      </c>
      <c r="U3964" s="37" t="str">
        <f t="shared" ref="U3964:U4027" si="435">IF(S3964&lt;&gt;"",S3964*T3964,"")</f>
        <v/>
      </c>
    </row>
    <row r="3965" spans="2:21" ht="17.25">
      <c r="B3965" s="156"/>
      <c r="C3965" s="156"/>
      <c r="D3965" s="157"/>
      <c r="E3965" s="155"/>
      <c r="F3965" s="151"/>
      <c r="G3965" s="152"/>
      <c r="H3965" s="153"/>
      <c r="I3965" s="154"/>
      <c r="J3965" s="154"/>
      <c r="K3965" s="30" t="str">
        <f>IF(H3965="","",IF($C$30="간이법","",FPR(H3965,I3965,J3965)))</f>
        <v/>
      </c>
      <c r="L3965" s="30" t="str">
        <f>IF(H3965="","",IF($C$30="상세법",FPV(H3965,K3965),IF(H3965="EI",4,IF(H3965="EO",5.2,IF(H3965="EQ",3.9,IF(H3965="ILF",7.5,IF(H3965="EIF",5.4)))))))</f>
        <v/>
      </c>
      <c r="M3965" s="30" t="str">
        <f t="shared" si="429"/>
        <v/>
      </c>
      <c r="N3965" s="134"/>
      <c r="O3965" s="29"/>
      <c r="P3965" s="37" t="str">
        <f t="shared" si="430"/>
        <v/>
      </c>
      <c r="Q3965" s="38" t="str">
        <f t="shared" si="431"/>
        <v/>
      </c>
      <c r="R3965" s="37" t="str">
        <f t="shared" si="432"/>
        <v/>
      </c>
      <c r="S3965" s="37" t="str">
        <f t="shared" si="433"/>
        <v/>
      </c>
      <c r="T3965" s="38" t="str">
        <f t="shared" si="434"/>
        <v/>
      </c>
      <c r="U3965" s="37" t="str">
        <f t="shared" si="435"/>
        <v/>
      </c>
    </row>
    <row r="3966" spans="2:21" ht="17.25">
      <c r="B3966" s="156"/>
      <c r="C3966" s="156"/>
      <c r="D3966" s="157"/>
      <c r="E3966" s="155"/>
      <c r="F3966" s="151"/>
      <c r="G3966" s="152"/>
      <c r="H3966" s="153"/>
      <c r="I3966" s="154"/>
      <c r="J3966" s="154"/>
      <c r="K3966" s="30" t="str">
        <f>IF(H3966="","",IF($C$30="간이법","",FPR(H3966,I3966,J3966)))</f>
        <v/>
      </c>
      <c r="L3966" s="30" t="str">
        <f>IF(H3966="","",IF($C$30="상세법",FPV(H3966,K3966),IF(H3966="EI",4,IF(H3966="EO",5.2,IF(H3966="EQ",3.9,IF(H3966="ILF",7.5,IF(H3966="EIF",5.4)))))))</f>
        <v/>
      </c>
      <c r="M3966" s="30" t="str">
        <f t="shared" si="429"/>
        <v/>
      </c>
      <c r="N3966" s="134"/>
      <c r="O3966" s="29"/>
      <c r="P3966" s="37" t="str">
        <f t="shared" si="430"/>
        <v/>
      </c>
      <c r="Q3966" s="38" t="str">
        <f t="shared" si="431"/>
        <v/>
      </c>
      <c r="R3966" s="37" t="str">
        <f t="shared" si="432"/>
        <v/>
      </c>
      <c r="S3966" s="37" t="str">
        <f t="shared" si="433"/>
        <v/>
      </c>
      <c r="T3966" s="38" t="str">
        <f t="shared" si="434"/>
        <v/>
      </c>
      <c r="U3966" s="37" t="str">
        <f t="shared" si="435"/>
        <v/>
      </c>
    </row>
    <row r="3967" spans="2:21" ht="17.25">
      <c r="B3967" s="156"/>
      <c r="C3967" s="156"/>
      <c r="D3967" s="157"/>
      <c r="E3967" s="155"/>
      <c r="F3967" s="151"/>
      <c r="G3967" s="152"/>
      <c r="H3967" s="153"/>
      <c r="I3967" s="154"/>
      <c r="J3967" s="154"/>
      <c r="K3967" s="30" t="str">
        <f>IF(H3967="","",IF($C$30="간이법","",FPR(H3967,I3967,J3967)))</f>
        <v/>
      </c>
      <c r="L3967" s="30" t="str">
        <f>IF(H3967="","",IF($C$30="상세법",FPV(H3967,K3967),IF(H3967="EI",4,IF(H3967="EO",5.2,IF(H3967="EQ",3.9,IF(H3967="ILF",7.5,IF(H3967="EIF",5.4)))))))</f>
        <v/>
      </c>
      <c r="M3967" s="30" t="str">
        <f t="shared" si="429"/>
        <v/>
      </c>
      <c r="N3967" s="134"/>
      <c r="O3967" s="29"/>
      <c r="P3967" s="37" t="str">
        <f t="shared" si="430"/>
        <v/>
      </c>
      <c r="Q3967" s="38" t="str">
        <f t="shared" si="431"/>
        <v/>
      </c>
      <c r="R3967" s="37" t="str">
        <f t="shared" si="432"/>
        <v/>
      </c>
      <c r="S3967" s="37" t="str">
        <f t="shared" si="433"/>
        <v/>
      </c>
      <c r="T3967" s="38" t="str">
        <f t="shared" si="434"/>
        <v/>
      </c>
      <c r="U3967" s="37" t="str">
        <f t="shared" si="435"/>
        <v/>
      </c>
    </row>
    <row r="3968" spans="2:21" ht="17.25">
      <c r="B3968" s="156"/>
      <c r="C3968" s="156"/>
      <c r="D3968" s="157"/>
      <c r="E3968" s="155"/>
      <c r="F3968" s="151"/>
      <c r="G3968" s="152"/>
      <c r="H3968" s="153"/>
      <c r="I3968" s="154"/>
      <c r="J3968" s="154"/>
      <c r="K3968" s="30" t="str">
        <f>IF(H3968="","",IF($C$30="간이법","",FPR(H3968,I3968,J3968)))</f>
        <v/>
      </c>
      <c r="L3968" s="30" t="str">
        <f>IF(H3968="","",IF($C$30="상세법",FPV(H3968,K3968),IF(H3968="EI",4,IF(H3968="EO",5.2,IF(H3968="EQ",3.9,IF(H3968="ILF",7.5,IF(H3968="EIF",5.4)))))))</f>
        <v/>
      </c>
      <c r="M3968" s="30" t="str">
        <f t="shared" si="429"/>
        <v/>
      </c>
      <c r="N3968" s="134"/>
      <c r="O3968" s="29"/>
      <c r="P3968" s="37" t="str">
        <f t="shared" si="430"/>
        <v/>
      </c>
      <c r="Q3968" s="38" t="str">
        <f t="shared" si="431"/>
        <v/>
      </c>
      <c r="R3968" s="37" t="str">
        <f t="shared" si="432"/>
        <v/>
      </c>
      <c r="S3968" s="37" t="str">
        <f t="shared" si="433"/>
        <v/>
      </c>
      <c r="T3968" s="38" t="str">
        <f t="shared" si="434"/>
        <v/>
      </c>
      <c r="U3968" s="37" t="str">
        <f t="shared" si="435"/>
        <v/>
      </c>
    </row>
    <row r="3969" spans="2:21" ht="17.25">
      <c r="B3969" s="156"/>
      <c r="C3969" s="156"/>
      <c r="D3969" s="157"/>
      <c r="E3969" s="155"/>
      <c r="F3969" s="151"/>
      <c r="G3969" s="152"/>
      <c r="H3969" s="153"/>
      <c r="I3969" s="154"/>
      <c r="J3969" s="154"/>
      <c r="K3969" s="30" t="str">
        <f>IF(H3969="","",IF($C$30="간이법","",FPR(H3969,I3969,J3969)))</f>
        <v/>
      </c>
      <c r="L3969" s="30" t="str">
        <f>IF(H3969="","",IF($C$30="상세법",FPV(H3969,K3969),IF(H3969="EI",4,IF(H3969="EO",5.2,IF(H3969="EQ",3.9,IF(H3969="ILF",7.5,IF(H3969="EIF",5.4)))))))</f>
        <v/>
      </c>
      <c r="M3969" s="30" t="str">
        <f t="shared" si="429"/>
        <v/>
      </c>
      <c r="N3969" s="134"/>
      <c r="O3969" s="29"/>
      <c r="P3969" s="37" t="str">
        <f t="shared" si="430"/>
        <v/>
      </c>
      <c r="Q3969" s="38" t="str">
        <f t="shared" si="431"/>
        <v/>
      </c>
      <c r="R3969" s="37" t="str">
        <f t="shared" si="432"/>
        <v/>
      </c>
      <c r="S3969" s="37" t="str">
        <f t="shared" si="433"/>
        <v/>
      </c>
      <c r="T3969" s="38" t="str">
        <f t="shared" si="434"/>
        <v/>
      </c>
      <c r="U3969" s="37" t="str">
        <f t="shared" si="435"/>
        <v/>
      </c>
    </row>
    <row r="3970" spans="2:21" ht="17.25">
      <c r="B3970" s="156"/>
      <c r="C3970" s="156"/>
      <c r="D3970" s="157"/>
      <c r="E3970" s="155"/>
      <c r="F3970" s="151"/>
      <c r="G3970" s="152"/>
      <c r="H3970" s="153"/>
      <c r="I3970" s="154"/>
      <c r="J3970" s="154"/>
      <c r="K3970" s="30" t="str">
        <f>IF(H3970="","",IF($C$30="간이법","",FPR(H3970,I3970,J3970)))</f>
        <v/>
      </c>
      <c r="L3970" s="30" t="str">
        <f>IF(H3970="","",IF($C$30="상세법",FPV(H3970,K3970),IF(H3970="EI",4,IF(H3970="EO",5.2,IF(H3970="EQ",3.9,IF(H3970="ILF",7.5,IF(H3970="EIF",5.4)))))))</f>
        <v/>
      </c>
      <c r="M3970" s="30" t="str">
        <f t="shared" si="429"/>
        <v/>
      </c>
      <c r="N3970" s="134"/>
      <c r="O3970" s="29"/>
      <c r="P3970" s="37" t="str">
        <f t="shared" si="430"/>
        <v/>
      </c>
      <c r="Q3970" s="38" t="str">
        <f t="shared" si="431"/>
        <v/>
      </c>
      <c r="R3970" s="37" t="str">
        <f t="shared" si="432"/>
        <v/>
      </c>
      <c r="S3970" s="37" t="str">
        <f t="shared" si="433"/>
        <v/>
      </c>
      <c r="T3970" s="38" t="str">
        <f t="shared" si="434"/>
        <v/>
      </c>
      <c r="U3970" s="37" t="str">
        <f t="shared" si="435"/>
        <v/>
      </c>
    </row>
    <row r="3971" spans="2:21" ht="17.25">
      <c r="B3971" s="156"/>
      <c r="C3971" s="156"/>
      <c r="D3971" s="157"/>
      <c r="E3971" s="155"/>
      <c r="F3971" s="151"/>
      <c r="G3971" s="152"/>
      <c r="H3971" s="153"/>
      <c r="I3971" s="154"/>
      <c r="J3971" s="154"/>
      <c r="K3971" s="30" t="str">
        <f>IF(H3971="","",IF($C$30="간이법","",FPR(H3971,I3971,J3971)))</f>
        <v/>
      </c>
      <c r="L3971" s="30" t="str">
        <f>IF(H3971="","",IF($C$30="상세법",FPV(H3971,K3971),IF(H3971="EI",4,IF(H3971="EO",5.2,IF(H3971="EQ",3.9,IF(H3971="ILF",7.5,IF(H3971="EIF",5.4)))))))</f>
        <v/>
      </c>
      <c r="M3971" s="30" t="str">
        <f t="shared" si="429"/>
        <v/>
      </c>
      <c r="N3971" s="134"/>
      <c r="O3971" s="29"/>
      <c r="P3971" s="37" t="str">
        <f t="shared" si="430"/>
        <v/>
      </c>
      <c r="Q3971" s="38" t="str">
        <f t="shared" si="431"/>
        <v/>
      </c>
      <c r="R3971" s="37" t="str">
        <f t="shared" si="432"/>
        <v/>
      </c>
      <c r="S3971" s="37" t="str">
        <f t="shared" si="433"/>
        <v/>
      </c>
      <c r="T3971" s="38" t="str">
        <f t="shared" si="434"/>
        <v/>
      </c>
      <c r="U3971" s="37" t="str">
        <f t="shared" si="435"/>
        <v/>
      </c>
    </row>
    <row r="3972" spans="2:21" ht="17.25">
      <c r="B3972" s="156"/>
      <c r="C3972" s="156"/>
      <c r="D3972" s="157"/>
      <c r="E3972" s="155"/>
      <c r="F3972" s="151"/>
      <c r="G3972" s="152"/>
      <c r="H3972" s="153"/>
      <c r="I3972" s="154"/>
      <c r="J3972" s="154"/>
      <c r="K3972" s="30" t="str">
        <f>IF(H3972="","",IF($C$30="간이법","",FPR(H3972,I3972,J3972)))</f>
        <v/>
      </c>
      <c r="L3972" s="30" t="str">
        <f>IF(H3972="","",IF($C$30="상세법",FPV(H3972,K3972),IF(H3972="EI",4,IF(H3972="EO",5.2,IF(H3972="EQ",3.9,IF(H3972="ILF",7.5,IF(H3972="EIF",5.4)))))))</f>
        <v/>
      </c>
      <c r="M3972" s="30" t="str">
        <f t="shared" si="429"/>
        <v/>
      </c>
      <c r="N3972" s="134"/>
      <c r="O3972" s="29"/>
      <c r="P3972" s="37" t="str">
        <f t="shared" si="430"/>
        <v/>
      </c>
      <c r="Q3972" s="38" t="str">
        <f t="shared" si="431"/>
        <v/>
      </c>
      <c r="R3972" s="37" t="str">
        <f t="shared" si="432"/>
        <v/>
      </c>
      <c r="S3972" s="37" t="str">
        <f t="shared" si="433"/>
        <v/>
      </c>
      <c r="T3972" s="38" t="str">
        <f t="shared" si="434"/>
        <v/>
      </c>
      <c r="U3972" s="37" t="str">
        <f t="shared" si="435"/>
        <v/>
      </c>
    </row>
    <row r="3973" spans="2:21" ht="17.25">
      <c r="B3973" s="156"/>
      <c r="C3973" s="156"/>
      <c r="D3973" s="157"/>
      <c r="E3973" s="155"/>
      <c r="F3973" s="151"/>
      <c r="G3973" s="152"/>
      <c r="H3973" s="153"/>
      <c r="I3973" s="154"/>
      <c r="J3973" s="154"/>
      <c r="K3973" s="30" t="str">
        <f>IF(H3973="","",IF($C$30="간이법","",FPR(H3973,I3973,J3973)))</f>
        <v/>
      </c>
      <c r="L3973" s="30" t="str">
        <f>IF(H3973="","",IF($C$30="상세법",FPV(H3973,K3973),IF(H3973="EI",4,IF(H3973="EO",5.2,IF(H3973="EQ",3.9,IF(H3973="ILF",7.5,IF(H3973="EIF",5.4)))))))</f>
        <v/>
      </c>
      <c r="M3973" s="30" t="str">
        <f t="shared" si="429"/>
        <v/>
      </c>
      <c r="N3973" s="134"/>
      <c r="O3973" s="29"/>
      <c r="P3973" s="37" t="str">
        <f t="shared" si="430"/>
        <v/>
      </c>
      <c r="Q3973" s="38" t="str">
        <f t="shared" si="431"/>
        <v/>
      </c>
      <c r="R3973" s="37" t="str">
        <f t="shared" si="432"/>
        <v/>
      </c>
      <c r="S3973" s="37" t="str">
        <f t="shared" si="433"/>
        <v/>
      </c>
      <c r="T3973" s="38" t="str">
        <f t="shared" si="434"/>
        <v/>
      </c>
      <c r="U3973" s="37" t="str">
        <f t="shared" si="435"/>
        <v/>
      </c>
    </row>
    <row r="3974" spans="2:21" ht="17.25">
      <c r="B3974" s="156"/>
      <c r="C3974" s="156"/>
      <c r="D3974" s="157"/>
      <c r="E3974" s="155"/>
      <c r="F3974" s="151"/>
      <c r="G3974" s="152"/>
      <c r="H3974" s="153"/>
      <c r="I3974" s="154"/>
      <c r="J3974" s="154"/>
      <c r="K3974" s="30" t="str">
        <f>IF(H3974="","",IF($C$30="간이법","",FPR(H3974,I3974,J3974)))</f>
        <v/>
      </c>
      <c r="L3974" s="30" t="str">
        <f>IF(H3974="","",IF($C$30="상세법",FPV(H3974,K3974),IF(H3974="EI",4,IF(H3974="EO",5.2,IF(H3974="EQ",3.9,IF(H3974="ILF",7.5,IF(H3974="EIF",5.4)))))))</f>
        <v/>
      </c>
      <c r="M3974" s="30" t="str">
        <f t="shared" si="429"/>
        <v/>
      </c>
      <c r="N3974" s="134"/>
      <c r="O3974" s="29"/>
      <c r="P3974" s="37" t="str">
        <f t="shared" si="430"/>
        <v/>
      </c>
      <c r="Q3974" s="38" t="str">
        <f t="shared" si="431"/>
        <v/>
      </c>
      <c r="R3974" s="37" t="str">
        <f t="shared" si="432"/>
        <v/>
      </c>
      <c r="S3974" s="37" t="str">
        <f t="shared" si="433"/>
        <v/>
      </c>
      <c r="T3974" s="38" t="str">
        <f t="shared" si="434"/>
        <v/>
      </c>
      <c r="U3974" s="37" t="str">
        <f t="shared" si="435"/>
        <v/>
      </c>
    </row>
    <row r="3975" spans="2:21" ht="17.25">
      <c r="B3975" s="156"/>
      <c r="C3975" s="156"/>
      <c r="D3975" s="157"/>
      <c r="E3975" s="155"/>
      <c r="F3975" s="151"/>
      <c r="G3975" s="152"/>
      <c r="H3975" s="153"/>
      <c r="I3975" s="154"/>
      <c r="J3975" s="154"/>
      <c r="K3975" s="30" t="str">
        <f>IF(H3975="","",IF($C$30="간이법","",FPR(H3975,I3975,J3975)))</f>
        <v/>
      </c>
      <c r="L3975" s="30" t="str">
        <f>IF(H3975="","",IF($C$30="상세법",FPV(H3975,K3975),IF(H3975="EI",4,IF(H3975="EO",5.2,IF(H3975="EQ",3.9,IF(H3975="ILF",7.5,IF(H3975="EIF",5.4)))))))</f>
        <v/>
      </c>
      <c r="M3975" s="30" t="str">
        <f t="shared" si="429"/>
        <v/>
      </c>
      <c r="N3975" s="134"/>
      <c r="O3975" s="29"/>
      <c r="P3975" s="37" t="str">
        <f t="shared" si="430"/>
        <v/>
      </c>
      <c r="Q3975" s="38" t="str">
        <f t="shared" si="431"/>
        <v/>
      </c>
      <c r="R3975" s="37" t="str">
        <f t="shared" si="432"/>
        <v/>
      </c>
      <c r="S3975" s="37" t="str">
        <f t="shared" si="433"/>
        <v/>
      </c>
      <c r="T3975" s="38" t="str">
        <f t="shared" si="434"/>
        <v/>
      </c>
      <c r="U3975" s="37" t="str">
        <f t="shared" si="435"/>
        <v/>
      </c>
    </row>
    <row r="3976" spans="2:21" ht="17.25">
      <c r="B3976" s="156"/>
      <c r="C3976" s="156"/>
      <c r="D3976" s="157"/>
      <c r="E3976" s="155"/>
      <c r="F3976" s="151"/>
      <c r="G3976" s="152"/>
      <c r="H3976" s="153"/>
      <c r="I3976" s="154"/>
      <c r="J3976" s="154"/>
      <c r="K3976" s="30" t="str">
        <f>IF(H3976="","",IF($C$30="간이법","",FPR(H3976,I3976,J3976)))</f>
        <v/>
      </c>
      <c r="L3976" s="30" t="str">
        <f>IF(H3976="","",IF($C$30="상세법",FPV(H3976,K3976),IF(H3976="EI",4,IF(H3976="EO",5.2,IF(H3976="EQ",3.9,IF(H3976="ILF",7.5,IF(H3976="EIF",5.4)))))))</f>
        <v/>
      </c>
      <c r="M3976" s="30" t="str">
        <f t="shared" si="429"/>
        <v/>
      </c>
      <c r="N3976" s="134"/>
      <c r="O3976" s="29"/>
      <c r="P3976" s="37" t="str">
        <f t="shared" si="430"/>
        <v/>
      </c>
      <c r="Q3976" s="38" t="str">
        <f t="shared" si="431"/>
        <v/>
      </c>
      <c r="R3976" s="37" t="str">
        <f t="shared" si="432"/>
        <v/>
      </c>
      <c r="S3976" s="37" t="str">
        <f t="shared" si="433"/>
        <v/>
      </c>
      <c r="T3976" s="38" t="str">
        <f t="shared" si="434"/>
        <v/>
      </c>
      <c r="U3976" s="37" t="str">
        <f t="shared" si="435"/>
        <v/>
      </c>
    </row>
    <row r="3977" spans="2:21" ht="17.25">
      <c r="B3977" s="156"/>
      <c r="C3977" s="156"/>
      <c r="D3977" s="157"/>
      <c r="E3977" s="155"/>
      <c r="F3977" s="151"/>
      <c r="G3977" s="152"/>
      <c r="H3977" s="153"/>
      <c r="I3977" s="154"/>
      <c r="J3977" s="154"/>
      <c r="K3977" s="30" t="str">
        <f>IF(H3977="","",IF($C$30="간이법","",FPR(H3977,I3977,J3977)))</f>
        <v/>
      </c>
      <c r="L3977" s="30" t="str">
        <f>IF(H3977="","",IF($C$30="상세법",FPV(H3977,K3977),IF(H3977="EI",4,IF(H3977="EO",5.2,IF(H3977="EQ",3.9,IF(H3977="ILF",7.5,IF(H3977="EIF",5.4)))))))</f>
        <v/>
      </c>
      <c r="M3977" s="30" t="str">
        <f t="shared" si="429"/>
        <v/>
      </c>
      <c r="N3977" s="134"/>
      <c r="O3977" s="29"/>
      <c r="P3977" s="37" t="str">
        <f t="shared" si="430"/>
        <v/>
      </c>
      <c r="Q3977" s="38" t="str">
        <f t="shared" si="431"/>
        <v/>
      </c>
      <c r="R3977" s="37" t="str">
        <f t="shared" si="432"/>
        <v/>
      </c>
      <c r="S3977" s="37" t="str">
        <f t="shared" si="433"/>
        <v/>
      </c>
      <c r="T3977" s="38" t="str">
        <f t="shared" si="434"/>
        <v/>
      </c>
      <c r="U3977" s="37" t="str">
        <f t="shared" si="435"/>
        <v/>
      </c>
    </row>
    <row r="3978" spans="2:21" ht="17.25">
      <c r="B3978" s="156"/>
      <c r="C3978" s="156"/>
      <c r="D3978" s="157"/>
      <c r="E3978" s="155"/>
      <c r="F3978" s="151"/>
      <c r="G3978" s="152"/>
      <c r="H3978" s="153"/>
      <c r="I3978" s="154"/>
      <c r="J3978" s="154"/>
      <c r="K3978" s="30" t="str">
        <f>IF(H3978="","",IF($C$30="간이법","",FPR(H3978,I3978,J3978)))</f>
        <v/>
      </c>
      <c r="L3978" s="30" t="str">
        <f>IF(H3978="","",IF($C$30="상세법",FPV(H3978,K3978),IF(H3978="EI",4,IF(H3978="EO",5.2,IF(H3978="EQ",3.9,IF(H3978="ILF",7.5,IF(H3978="EIF",5.4)))))))</f>
        <v/>
      </c>
      <c r="M3978" s="30" t="str">
        <f t="shared" si="429"/>
        <v/>
      </c>
      <c r="N3978" s="134"/>
      <c r="O3978" s="29"/>
      <c r="P3978" s="37" t="str">
        <f t="shared" si="430"/>
        <v/>
      </c>
      <c r="Q3978" s="38" t="str">
        <f t="shared" si="431"/>
        <v/>
      </c>
      <c r="R3978" s="37" t="str">
        <f t="shared" si="432"/>
        <v/>
      </c>
      <c r="S3978" s="37" t="str">
        <f t="shared" si="433"/>
        <v/>
      </c>
      <c r="T3978" s="38" t="str">
        <f t="shared" si="434"/>
        <v/>
      </c>
      <c r="U3978" s="37" t="str">
        <f t="shared" si="435"/>
        <v/>
      </c>
    </row>
    <row r="3979" spans="2:21" ht="17.25">
      <c r="B3979" s="156"/>
      <c r="C3979" s="156"/>
      <c r="D3979" s="157"/>
      <c r="E3979" s="155"/>
      <c r="F3979" s="151"/>
      <c r="G3979" s="152"/>
      <c r="H3979" s="153"/>
      <c r="I3979" s="154"/>
      <c r="J3979" s="154"/>
      <c r="K3979" s="30" t="str">
        <f>IF(H3979="","",IF($C$30="간이법","",FPR(H3979,I3979,J3979)))</f>
        <v/>
      </c>
      <c r="L3979" s="30" t="str">
        <f>IF(H3979="","",IF($C$30="상세법",FPV(H3979,K3979),IF(H3979="EI",4,IF(H3979="EO",5.2,IF(H3979="EQ",3.9,IF(H3979="ILF",7.5,IF(H3979="EIF",5.4)))))))</f>
        <v/>
      </c>
      <c r="M3979" s="30" t="str">
        <f t="shared" si="429"/>
        <v/>
      </c>
      <c r="N3979" s="134"/>
      <c r="O3979" s="29"/>
      <c r="P3979" s="37" t="str">
        <f t="shared" si="430"/>
        <v/>
      </c>
      <c r="Q3979" s="38" t="str">
        <f t="shared" si="431"/>
        <v/>
      </c>
      <c r="R3979" s="37" t="str">
        <f t="shared" si="432"/>
        <v/>
      </c>
      <c r="S3979" s="37" t="str">
        <f t="shared" si="433"/>
        <v/>
      </c>
      <c r="T3979" s="38" t="str">
        <f t="shared" si="434"/>
        <v/>
      </c>
      <c r="U3979" s="37" t="str">
        <f t="shared" si="435"/>
        <v/>
      </c>
    </row>
    <row r="3980" spans="2:21" ht="17.25">
      <c r="B3980" s="156"/>
      <c r="C3980" s="156"/>
      <c r="D3980" s="157"/>
      <c r="E3980" s="155"/>
      <c r="F3980" s="151"/>
      <c r="G3980" s="152"/>
      <c r="H3980" s="153"/>
      <c r="I3980" s="154"/>
      <c r="J3980" s="154"/>
      <c r="K3980" s="30" t="str">
        <f>IF(H3980="","",IF($C$30="간이법","",FPR(H3980,I3980,J3980)))</f>
        <v/>
      </c>
      <c r="L3980" s="30" t="str">
        <f>IF(H3980="","",IF($C$30="상세법",FPV(H3980,K3980),IF(H3980="EI",4,IF(H3980="EO",5.2,IF(H3980="EQ",3.9,IF(H3980="ILF",7.5,IF(H3980="EIF",5.4)))))))</f>
        <v/>
      </c>
      <c r="M3980" s="30" t="str">
        <f t="shared" si="429"/>
        <v/>
      </c>
      <c r="N3980" s="134"/>
      <c r="O3980" s="29"/>
      <c r="P3980" s="37" t="str">
        <f t="shared" si="430"/>
        <v/>
      </c>
      <c r="Q3980" s="38" t="str">
        <f t="shared" si="431"/>
        <v/>
      </c>
      <c r="R3980" s="37" t="str">
        <f t="shared" si="432"/>
        <v/>
      </c>
      <c r="S3980" s="37" t="str">
        <f t="shared" si="433"/>
        <v/>
      </c>
      <c r="T3980" s="38" t="str">
        <f t="shared" si="434"/>
        <v/>
      </c>
      <c r="U3980" s="37" t="str">
        <f t="shared" si="435"/>
        <v/>
      </c>
    </row>
    <row r="3981" spans="2:21" ht="17.25">
      <c r="B3981" s="156"/>
      <c r="C3981" s="156"/>
      <c r="D3981" s="157"/>
      <c r="E3981" s="155"/>
      <c r="F3981" s="151"/>
      <c r="G3981" s="152"/>
      <c r="H3981" s="153"/>
      <c r="I3981" s="154"/>
      <c r="J3981" s="154"/>
      <c r="K3981" s="30" t="str">
        <f>IF(H3981="","",IF($C$30="간이법","",FPR(H3981,I3981,J3981)))</f>
        <v/>
      </c>
      <c r="L3981" s="30" t="str">
        <f>IF(H3981="","",IF($C$30="상세법",FPV(H3981,K3981),IF(H3981="EI",4,IF(H3981="EO",5.2,IF(H3981="EQ",3.9,IF(H3981="ILF",7.5,IF(H3981="EIF",5.4)))))))</f>
        <v/>
      </c>
      <c r="M3981" s="30" t="str">
        <f t="shared" si="429"/>
        <v/>
      </c>
      <c r="N3981" s="134"/>
      <c r="O3981" s="29"/>
      <c r="P3981" s="37" t="str">
        <f t="shared" si="430"/>
        <v/>
      </c>
      <c r="Q3981" s="38" t="str">
        <f t="shared" si="431"/>
        <v/>
      </c>
      <c r="R3981" s="37" t="str">
        <f t="shared" si="432"/>
        <v/>
      </c>
      <c r="S3981" s="37" t="str">
        <f t="shared" si="433"/>
        <v/>
      </c>
      <c r="T3981" s="38" t="str">
        <f t="shared" si="434"/>
        <v/>
      </c>
      <c r="U3981" s="37" t="str">
        <f t="shared" si="435"/>
        <v/>
      </c>
    </row>
    <row r="3982" spans="2:21" ht="17.25">
      <c r="B3982" s="156"/>
      <c r="C3982" s="156"/>
      <c r="D3982" s="157"/>
      <c r="E3982" s="155"/>
      <c r="F3982" s="151"/>
      <c r="G3982" s="152"/>
      <c r="H3982" s="153"/>
      <c r="I3982" s="154"/>
      <c r="J3982" s="154"/>
      <c r="K3982" s="30" t="str">
        <f>IF(H3982="","",IF($C$30="간이법","",FPR(H3982,I3982,J3982)))</f>
        <v/>
      </c>
      <c r="L3982" s="30" t="str">
        <f>IF(H3982="","",IF($C$30="상세법",FPV(H3982,K3982),IF(H3982="EI",4,IF(H3982="EO",5.2,IF(H3982="EQ",3.9,IF(H3982="ILF",7.5,IF(H3982="EIF",5.4)))))))</f>
        <v/>
      </c>
      <c r="M3982" s="30" t="str">
        <f t="shared" si="429"/>
        <v/>
      </c>
      <c r="N3982" s="134"/>
      <c r="O3982" s="29"/>
      <c r="P3982" s="37" t="str">
        <f t="shared" si="430"/>
        <v/>
      </c>
      <c r="Q3982" s="38" t="str">
        <f t="shared" si="431"/>
        <v/>
      </c>
      <c r="R3982" s="37" t="str">
        <f t="shared" si="432"/>
        <v/>
      </c>
      <c r="S3982" s="37" t="str">
        <f t="shared" si="433"/>
        <v/>
      </c>
      <c r="T3982" s="38" t="str">
        <f t="shared" si="434"/>
        <v/>
      </c>
      <c r="U3982" s="37" t="str">
        <f t="shared" si="435"/>
        <v/>
      </c>
    </row>
    <row r="3983" spans="2:21" ht="17.25">
      <c r="B3983" s="156"/>
      <c r="C3983" s="156"/>
      <c r="D3983" s="157"/>
      <c r="E3983" s="155"/>
      <c r="F3983" s="151"/>
      <c r="G3983" s="152"/>
      <c r="H3983" s="153"/>
      <c r="I3983" s="154"/>
      <c r="J3983" s="154"/>
      <c r="K3983" s="30" t="str">
        <f>IF(H3983="","",IF($C$30="간이법","",FPR(H3983,I3983,J3983)))</f>
        <v/>
      </c>
      <c r="L3983" s="30" t="str">
        <f>IF(H3983="","",IF($C$30="상세법",FPV(H3983,K3983),IF(H3983="EI",4,IF(H3983="EO",5.2,IF(H3983="EQ",3.9,IF(H3983="ILF",7.5,IF(H3983="EIF",5.4)))))))</f>
        <v/>
      </c>
      <c r="M3983" s="30" t="str">
        <f t="shared" si="429"/>
        <v/>
      </c>
      <c r="N3983" s="134"/>
      <c r="O3983" s="29"/>
      <c r="P3983" s="37" t="str">
        <f t="shared" si="430"/>
        <v/>
      </c>
      <c r="Q3983" s="38" t="str">
        <f t="shared" si="431"/>
        <v/>
      </c>
      <c r="R3983" s="37" t="str">
        <f t="shared" si="432"/>
        <v/>
      </c>
      <c r="S3983" s="37" t="str">
        <f t="shared" si="433"/>
        <v/>
      </c>
      <c r="T3983" s="38" t="str">
        <f t="shared" si="434"/>
        <v/>
      </c>
      <c r="U3983" s="37" t="str">
        <f t="shared" si="435"/>
        <v/>
      </c>
    </row>
    <row r="3984" spans="2:21" ht="17.25">
      <c r="B3984" s="156"/>
      <c r="C3984" s="156"/>
      <c r="D3984" s="157"/>
      <c r="E3984" s="155"/>
      <c r="F3984" s="151"/>
      <c r="G3984" s="152"/>
      <c r="H3984" s="153"/>
      <c r="I3984" s="154"/>
      <c r="J3984" s="154"/>
      <c r="K3984" s="30" t="str">
        <f>IF(H3984="","",IF($C$30="간이법","",FPR(H3984,I3984,J3984)))</f>
        <v/>
      </c>
      <c r="L3984" s="30" t="str">
        <f>IF(H3984="","",IF($C$30="상세법",FPV(H3984,K3984),IF(H3984="EI",4,IF(H3984="EO",5.2,IF(H3984="EQ",3.9,IF(H3984="ILF",7.5,IF(H3984="EIF",5.4)))))))</f>
        <v/>
      </c>
      <c r="M3984" s="30" t="str">
        <f t="shared" si="429"/>
        <v/>
      </c>
      <c r="N3984" s="134"/>
      <c r="O3984" s="29"/>
      <c r="P3984" s="37" t="str">
        <f t="shared" si="430"/>
        <v/>
      </c>
      <c r="Q3984" s="38" t="str">
        <f t="shared" si="431"/>
        <v/>
      </c>
      <c r="R3984" s="37" t="str">
        <f t="shared" si="432"/>
        <v/>
      </c>
      <c r="S3984" s="37" t="str">
        <f t="shared" si="433"/>
        <v/>
      </c>
      <c r="T3984" s="38" t="str">
        <f t="shared" si="434"/>
        <v/>
      </c>
      <c r="U3984" s="37" t="str">
        <f t="shared" si="435"/>
        <v/>
      </c>
    </row>
    <row r="3985" spans="2:21" ht="17.25">
      <c r="B3985" s="156"/>
      <c r="C3985" s="156"/>
      <c r="D3985" s="157"/>
      <c r="E3985" s="155"/>
      <c r="F3985" s="151"/>
      <c r="G3985" s="152"/>
      <c r="H3985" s="153"/>
      <c r="I3985" s="154"/>
      <c r="J3985" s="154"/>
      <c r="K3985" s="30" t="str">
        <f>IF(H3985="","",IF($C$30="간이법","",FPR(H3985,I3985,J3985)))</f>
        <v/>
      </c>
      <c r="L3985" s="30" t="str">
        <f>IF(H3985="","",IF($C$30="상세법",FPV(H3985,K3985),IF(H3985="EI",4,IF(H3985="EO",5.2,IF(H3985="EQ",3.9,IF(H3985="ILF",7.5,IF(H3985="EIF",5.4)))))))</f>
        <v/>
      </c>
      <c r="M3985" s="30" t="str">
        <f t="shared" si="429"/>
        <v/>
      </c>
      <c r="N3985" s="134"/>
      <c r="O3985" s="29"/>
      <c r="P3985" s="37" t="str">
        <f t="shared" si="430"/>
        <v/>
      </c>
      <c r="Q3985" s="38" t="str">
        <f t="shared" si="431"/>
        <v/>
      </c>
      <c r="R3985" s="37" t="str">
        <f t="shared" si="432"/>
        <v/>
      </c>
      <c r="S3985" s="37" t="str">
        <f t="shared" si="433"/>
        <v/>
      </c>
      <c r="T3985" s="38" t="str">
        <f t="shared" si="434"/>
        <v/>
      </c>
      <c r="U3985" s="37" t="str">
        <f t="shared" si="435"/>
        <v/>
      </c>
    </row>
    <row r="3986" spans="2:21" ht="17.25">
      <c r="B3986" s="156"/>
      <c r="C3986" s="156"/>
      <c r="D3986" s="157"/>
      <c r="E3986" s="155"/>
      <c r="F3986" s="151"/>
      <c r="G3986" s="152"/>
      <c r="H3986" s="153"/>
      <c r="I3986" s="154"/>
      <c r="J3986" s="154"/>
      <c r="K3986" s="30" t="str">
        <f>IF(H3986="","",IF($C$30="간이법","",FPR(H3986,I3986,J3986)))</f>
        <v/>
      </c>
      <c r="L3986" s="30" t="str">
        <f>IF(H3986="","",IF($C$30="상세법",FPV(H3986,K3986),IF(H3986="EI",4,IF(H3986="EO",5.2,IF(H3986="EQ",3.9,IF(H3986="ILF",7.5,IF(H3986="EIF",5.4)))))))</f>
        <v/>
      </c>
      <c r="M3986" s="30" t="str">
        <f t="shared" si="429"/>
        <v/>
      </c>
      <c r="N3986" s="134"/>
      <c r="O3986" s="29"/>
      <c r="P3986" s="37" t="str">
        <f t="shared" si="430"/>
        <v/>
      </c>
      <c r="Q3986" s="38" t="str">
        <f t="shared" si="431"/>
        <v/>
      </c>
      <c r="R3986" s="37" t="str">
        <f t="shared" si="432"/>
        <v/>
      </c>
      <c r="S3986" s="37" t="str">
        <f t="shared" si="433"/>
        <v/>
      </c>
      <c r="T3986" s="38" t="str">
        <f t="shared" si="434"/>
        <v/>
      </c>
      <c r="U3986" s="37" t="str">
        <f t="shared" si="435"/>
        <v/>
      </c>
    </row>
    <row r="3987" spans="2:21" ht="17.25">
      <c r="B3987" s="156"/>
      <c r="C3987" s="156"/>
      <c r="D3987" s="157"/>
      <c r="E3987" s="155"/>
      <c r="F3987" s="151"/>
      <c r="G3987" s="152"/>
      <c r="H3987" s="153"/>
      <c r="I3987" s="154"/>
      <c r="J3987" s="154"/>
      <c r="K3987" s="30" t="str">
        <f>IF(H3987="","",IF($C$30="간이법","",FPR(H3987,I3987,J3987)))</f>
        <v/>
      </c>
      <c r="L3987" s="30" t="str">
        <f>IF(H3987="","",IF($C$30="상세법",FPV(H3987,K3987),IF(H3987="EI",4,IF(H3987="EO",5.2,IF(H3987="EQ",3.9,IF(H3987="ILF",7.5,IF(H3987="EIF",5.4)))))))</f>
        <v/>
      </c>
      <c r="M3987" s="30" t="str">
        <f t="shared" si="429"/>
        <v/>
      </c>
      <c r="N3987" s="134"/>
      <c r="O3987" s="29"/>
      <c r="P3987" s="37" t="str">
        <f t="shared" si="430"/>
        <v/>
      </c>
      <c r="Q3987" s="38" t="str">
        <f t="shared" si="431"/>
        <v/>
      </c>
      <c r="R3987" s="37" t="str">
        <f t="shared" si="432"/>
        <v/>
      </c>
      <c r="S3987" s="37" t="str">
        <f t="shared" si="433"/>
        <v/>
      </c>
      <c r="T3987" s="38" t="str">
        <f t="shared" si="434"/>
        <v/>
      </c>
      <c r="U3987" s="37" t="str">
        <f t="shared" si="435"/>
        <v/>
      </c>
    </row>
    <row r="3988" spans="2:21" ht="17.25">
      <c r="B3988" s="156"/>
      <c r="C3988" s="156"/>
      <c r="D3988" s="157"/>
      <c r="E3988" s="155"/>
      <c r="F3988" s="151"/>
      <c r="G3988" s="152"/>
      <c r="H3988" s="153"/>
      <c r="I3988" s="154"/>
      <c r="J3988" s="154"/>
      <c r="K3988" s="30" t="str">
        <f>IF(H3988="","",IF($C$30="간이법","",FPR(H3988,I3988,J3988)))</f>
        <v/>
      </c>
      <c r="L3988" s="30" t="str">
        <f>IF(H3988="","",IF($C$30="상세법",FPV(H3988,K3988),IF(H3988="EI",4,IF(H3988="EO",5.2,IF(H3988="EQ",3.9,IF(H3988="ILF",7.5,IF(H3988="EIF",5.4)))))))</f>
        <v/>
      </c>
      <c r="M3988" s="30" t="str">
        <f t="shared" si="429"/>
        <v/>
      </c>
      <c r="N3988" s="134"/>
      <c r="O3988" s="29"/>
      <c r="P3988" s="37" t="str">
        <f t="shared" si="430"/>
        <v/>
      </c>
      <c r="Q3988" s="38" t="str">
        <f t="shared" si="431"/>
        <v/>
      </c>
      <c r="R3988" s="37" t="str">
        <f t="shared" si="432"/>
        <v/>
      </c>
      <c r="S3988" s="37" t="str">
        <f t="shared" si="433"/>
        <v/>
      </c>
      <c r="T3988" s="38" t="str">
        <f t="shared" si="434"/>
        <v/>
      </c>
      <c r="U3988" s="37" t="str">
        <f t="shared" si="435"/>
        <v/>
      </c>
    </row>
    <row r="3989" spans="2:21" ht="17.25">
      <c r="B3989" s="156"/>
      <c r="C3989" s="156"/>
      <c r="D3989" s="157"/>
      <c r="E3989" s="155"/>
      <c r="F3989" s="151"/>
      <c r="G3989" s="152"/>
      <c r="H3989" s="153"/>
      <c r="I3989" s="154"/>
      <c r="J3989" s="154"/>
      <c r="K3989" s="30" t="str">
        <f>IF(H3989="","",IF($C$30="간이법","",FPR(H3989,I3989,J3989)))</f>
        <v/>
      </c>
      <c r="L3989" s="30" t="str">
        <f>IF(H3989="","",IF($C$30="상세법",FPV(H3989,K3989),IF(H3989="EI",4,IF(H3989="EO",5.2,IF(H3989="EQ",3.9,IF(H3989="ILF",7.5,IF(H3989="EIF",5.4)))))))</f>
        <v/>
      </c>
      <c r="M3989" s="30" t="str">
        <f t="shared" si="429"/>
        <v/>
      </c>
      <c r="N3989" s="134"/>
      <c r="O3989" s="29"/>
      <c r="P3989" s="37" t="str">
        <f t="shared" si="430"/>
        <v/>
      </c>
      <c r="Q3989" s="38" t="str">
        <f t="shared" si="431"/>
        <v/>
      </c>
      <c r="R3989" s="37" t="str">
        <f t="shared" si="432"/>
        <v/>
      </c>
      <c r="S3989" s="37" t="str">
        <f t="shared" si="433"/>
        <v/>
      </c>
      <c r="T3989" s="38" t="str">
        <f t="shared" si="434"/>
        <v/>
      </c>
      <c r="U3989" s="37" t="str">
        <f t="shared" si="435"/>
        <v/>
      </c>
    </row>
    <row r="3990" spans="2:21" ht="17.25">
      <c r="B3990" s="156"/>
      <c r="C3990" s="156"/>
      <c r="D3990" s="157"/>
      <c r="E3990" s="155"/>
      <c r="F3990" s="151"/>
      <c r="G3990" s="152"/>
      <c r="H3990" s="153"/>
      <c r="I3990" s="154"/>
      <c r="J3990" s="154"/>
      <c r="K3990" s="30" t="str">
        <f>IF(H3990="","",IF($C$30="간이법","",FPR(H3990,I3990,J3990)))</f>
        <v/>
      </c>
      <c r="L3990" s="30" t="str">
        <f>IF(H3990="","",IF($C$30="상세법",FPV(H3990,K3990),IF(H3990="EI",4,IF(H3990="EO",5.2,IF(H3990="EQ",3.9,IF(H3990="ILF",7.5,IF(H3990="EIF",5.4)))))))</f>
        <v/>
      </c>
      <c r="M3990" s="30" t="str">
        <f t="shared" si="429"/>
        <v/>
      </c>
      <c r="N3990" s="134"/>
      <c r="O3990" s="29"/>
      <c r="P3990" s="37" t="str">
        <f t="shared" si="430"/>
        <v/>
      </c>
      <c r="Q3990" s="38" t="str">
        <f t="shared" si="431"/>
        <v/>
      </c>
      <c r="R3990" s="37" t="str">
        <f t="shared" si="432"/>
        <v/>
      </c>
      <c r="S3990" s="37" t="str">
        <f t="shared" si="433"/>
        <v/>
      </c>
      <c r="T3990" s="38" t="str">
        <f t="shared" si="434"/>
        <v/>
      </c>
      <c r="U3990" s="37" t="str">
        <f t="shared" si="435"/>
        <v/>
      </c>
    </row>
    <row r="3991" spans="2:21" ht="17.25">
      <c r="B3991" s="156"/>
      <c r="C3991" s="156"/>
      <c r="D3991" s="157"/>
      <c r="E3991" s="155"/>
      <c r="F3991" s="151"/>
      <c r="G3991" s="152"/>
      <c r="H3991" s="153"/>
      <c r="I3991" s="154"/>
      <c r="J3991" s="154"/>
      <c r="K3991" s="30" t="str">
        <f>IF(H3991="","",IF($C$30="간이법","",FPR(H3991,I3991,J3991)))</f>
        <v/>
      </c>
      <c r="L3991" s="30" t="str">
        <f>IF(H3991="","",IF($C$30="상세법",FPV(H3991,K3991),IF(H3991="EI",4,IF(H3991="EO",5.2,IF(H3991="EQ",3.9,IF(H3991="ILF",7.5,IF(H3991="EIF",5.4)))))))</f>
        <v/>
      </c>
      <c r="M3991" s="30" t="str">
        <f t="shared" si="429"/>
        <v/>
      </c>
      <c r="N3991" s="134"/>
      <c r="O3991" s="29"/>
      <c r="P3991" s="37" t="str">
        <f t="shared" si="430"/>
        <v/>
      </c>
      <c r="Q3991" s="38" t="str">
        <f t="shared" si="431"/>
        <v/>
      </c>
      <c r="R3991" s="37" t="str">
        <f t="shared" si="432"/>
        <v/>
      </c>
      <c r="S3991" s="37" t="str">
        <f t="shared" si="433"/>
        <v/>
      </c>
      <c r="T3991" s="38" t="str">
        <f t="shared" si="434"/>
        <v/>
      </c>
      <c r="U3991" s="37" t="str">
        <f t="shared" si="435"/>
        <v/>
      </c>
    </row>
    <row r="3992" spans="2:21" ht="17.25">
      <c r="B3992" s="156"/>
      <c r="C3992" s="156"/>
      <c r="D3992" s="157"/>
      <c r="E3992" s="155"/>
      <c r="F3992" s="151"/>
      <c r="G3992" s="152"/>
      <c r="H3992" s="153"/>
      <c r="I3992" s="154"/>
      <c r="J3992" s="154"/>
      <c r="K3992" s="30" t="str">
        <f>IF(H3992="","",IF($C$30="간이법","",FPR(H3992,I3992,J3992)))</f>
        <v/>
      </c>
      <c r="L3992" s="30" t="str">
        <f>IF(H3992="","",IF($C$30="상세법",FPV(H3992,K3992),IF(H3992="EI",4,IF(H3992="EO",5.2,IF(H3992="EQ",3.9,IF(H3992="ILF",7.5,IF(H3992="EIF",5.4)))))))</f>
        <v/>
      </c>
      <c r="M3992" s="30" t="str">
        <f t="shared" si="429"/>
        <v/>
      </c>
      <c r="N3992" s="134"/>
      <c r="O3992" s="29"/>
      <c r="P3992" s="37" t="str">
        <f t="shared" si="430"/>
        <v/>
      </c>
      <c r="Q3992" s="38" t="str">
        <f t="shared" si="431"/>
        <v/>
      </c>
      <c r="R3992" s="37" t="str">
        <f t="shared" si="432"/>
        <v/>
      </c>
      <c r="S3992" s="37" t="str">
        <f t="shared" si="433"/>
        <v/>
      </c>
      <c r="T3992" s="38" t="str">
        <f t="shared" si="434"/>
        <v/>
      </c>
      <c r="U3992" s="37" t="str">
        <f t="shared" si="435"/>
        <v/>
      </c>
    </row>
    <row r="3993" spans="2:21" ht="17.25">
      <c r="B3993" s="156"/>
      <c r="C3993" s="156"/>
      <c r="D3993" s="157"/>
      <c r="E3993" s="155"/>
      <c r="F3993" s="151"/>
      <c r="G3993" s="152"/>
      <c r="H3993" s="153"/>
      <c r="I3993" s="154"/>
      <c r="J3993" s="154"/>
      <c r="K3993" s="30" t="str">
        <f>IF(H3993="","",IF($C$30="간이법","",FPR(H3993,I3993,J3993)))</f>
        <v/>
      </c>
      <c r="L3993" s="30" t="str">
        <f>IF(H3993="","",IF($C$30="상세법",FPV(H3993,K3993),IF(H3993="EI",4,IF(H3993="EO",5.2,IF(H3993="EQ",3.9,IF(H3993="ILF",7.5,IF(H3993="EIF",5.4)))))))</f>
        <v/>
      </c>
      <c r="M3993" s="30" t="str">
        <f t="shared" si="429"/>
        <v/>
      </c>
      <c r="N3993" s="134"/>
      <c r="O3993" s="29"/>
      <c r="P3993" s="37" t="str">
        <f t="shared" si="430"/>
        <v/>
      </c>
      <c r="Q3993" s="38" t="str">
        <f t="shared" si="431"/>
        <v/>
      </c>
      <c r="R3993" s="37" t="str">
        <f t="shared" si="432"/>
        <v/>
      </c>
      <c r="S3993" s="37" t="str">
        <f t="shared" si="433"/>
        <v/>
      </c>
      <c r="T3993" s="38" t="str">
        <f t="shared" si="434"/>
        <v/>
      </c>
      <c r="U3993" s="37" t="str">
        <f t="shared" si="435"/>
        <v/>
      </c>
    </row>
    <row r="3994" spans="2:21" ht="17.25">
      <c r="B3994" s="156"/>
      <c r="C3994" s="156"/>
      <c r="D3994" s="157"/>
      <c r="E3994" s="155"/>
      <c r="F3994" s="151"/>
      <c r="G3994" s="152"/>
      <c r="H3994" s="153"/>
      <c r="I3994" s="154"/>
      <c r="J3994" s="154"/>
      <c r="K3994" s="30" t="str">
        <f>IF(H3994="","",IF($C$30="간이법","",FPR(H3994,I3994,J3994)))</f>
        <v/>
      </c>
      <c r="L3994" s="30" t="str">
        <f>IF(H3994="","",IF($C$30="상세법",FPV(H3994,K3994),IF(H3994="EI",4,IF(H3994="EO",5.2,IF(H3994="EQ",3.9,IF(H3994="ILF",7.5,IF(H3994="EIF",5.4)))))))</f>
        <v/>
      </c>
      <c r="M3994" s="30" t="str">
        <f t="shared" si="429"/>
        <v/>
      </c>
      <c r="N3994" s="134"/>
      <c r="O3994" s="29"/>
      <c r="P3994" s="37" t="str">
        <f t="shared" si="430"/>
        <v/>
      </c>
      <c r="Q3994" s="38" t="str">
        <f t="shared" si="431"/>
        <v/>
      </c>
      <c r="R3994" s="37" t="str">
        <f t="shared" si="432"/>
        <v/>
      </c>
      <c r="S3994" s="37" t="str">
        <f t="shared" si="433"/>
        <v/>
      </c>
      <c r="T3994" s="38" t="str">
        <f t="shared" si="434"/>
        <v/>
      </c>
      <c r="U3994" s="37" t="str">
        <f t="shared" si="435"/>
        <v/>
      </c>
    </row>
    <row r="3995" spans="2:21" ht="17.25">
      <c r="B3995" s="156"/>
      <c r="C3995" s="156"/>
      <c r="D3995" s="157"/>
      <c r="E3995" s="155"/>
      <c r="F3995" s="151"/>
      <c r="G3995" s="152"/>
      <c r="H3995" s="153"/>
      <c r="I3995" s="154"/>
      <c r="J3995" s="154"/>
      <c r="K3995" s="30" t="str">
        <f>IF(H3995="","",IF($C$30="간이법","",FPR(H3995,I3995,J3995)))</f>
        <v/>
      </c>
      <c r="L3995" s="30" t="str">
        <f>IF(H3995="","",IF($C$30="상세법",FPV(H3995,K3995),IF(H3995="EI",4,IF(H3995="EO",5.2,IF(H3995="EQ",3.9,IF(H3995="ILF",7.5,IF(H3995="EIF",5.4)))))))</f>
        <v/>
      </c>
      <c r="M3995" s="30" t="str">
        <f t="shared" si="429"/>
        <v/>
      </c>
      <c r="N3995" s="134"/>
      <c r="O3995" s="29"/>
      <c r="P3995" s="37" t="str">
        <f t="shared" si="430"/>
        <v/>
      </c>
      <c r="Q3995" s="38" t="str">
        <f t="shared" si="431"/>
        <v/>
      </c>
      <c r="R3995" s="37" t="str">
        <f t="shared" si="432"/>
        <v/>
      </c>
      <c r="S3995" s="37" t="str">
        <f t="shared" si="433"/>
        <v/>
      </c>
      <c r="T3995" s="38" t="str">
        <f t="shared" si="434"/>
        <v/>
      </c>
      <c r="U3995" s="37" t="str">
        <f t="shared" si="435"/>
        <v/>
      </c>
    </row>
    <row r="3996" spans="2:21" ht="17.25">
      <c r="B3996" s="156"/>
      <c r="C3996" s="156"/>
      <c r="D3996" s="157"/>
      <c r="E3996" s="155"/>
      <c r="F3996" s="151"/>
      <c r="G3996" s="152"/>
      <c r="H3996" s="153"/>
      <c r="I3996" s="154"/>
      <c r="J3996" s="154"/>
      <c r="K3996" s="30" t="str">
        <f>IF(H3996="","",IF($C$30="간이법","",FPR(H3996,I3996,J3996)))</f>
        <v/>
      </c>
      <c r="L3996" s="30" t="str">
        <f>IF(H3996="","",IF($C$30="상세법",FPV(H3996,K3996),IF(H3996="EI",4,IF(H3996="EO",5.2,IF(H3996="EQ",3.9,IF(H3996="ILF",7.5,IF(H3996="EIF",5.4)))))))</f>
        <v/>
      </c>
      <c r="M3996" s="30" t="str">
        <f t="shared" si="429"/>
        <v/>
      </c>
      <c r="N3996" s="134"/>
      <c r="O3996" s="29"/>
      <c r="P3996" s="37" t="str">
        <f t="shared" si="430"/>
        <v/>
      </c>
      <c r="Q3996" s="38" t="str">
        <f t="shared" si="431"/>
        <v/>
      </c>
      <c r="R3996" s="37" t="str">
        <f t="shared" si="432"/>
        <v/>
      </c>
      <c r="S3996" s="37" t="str">
        <f t="shared" si="433"/>
        <v/>
      </c>
      <c r="T3996" s="38" t="str">
        <f t="shared" si="434"/>
        <v/>
      </c>
      <c r="U3996" s="37" t="str">
        <f t="shared" si="435"/>
        <v/>
      </c>
    </row>
    <row r="3997" spans="2:21" ht="17.25">
      <c r="B3997" s="156"/>
      <c r="C3997" s="156"/>
      <c r="D3997" s="157"/>
      <c r="E3997" s="155"/>
      <c r="F3997" s="151"/>
      <c r="G3997" s="152"/>
      <c r="H3997" s="153"/>
      <c r="I3997" s="154"/>
      <c r="J3997" s="154"/>
      <c r="K3997" s="30" t="str">
        <f>IF(H3997="","",IF($C$30="간이법","",FPR(H3997,I3997,J3997)))</f>
        <v/>
      </c>
      <c r="L3997" s="30" t="str">
        <f>IF(H3997="","",IF($C$30="상세법",FPV(H3997,K3997),IF(H3997="EI",4,IF(H3997="EO",5.2,IF(H3997="EQ",3.9,IF(H3997="ILF",7.5,IF(H3997="EIF",5.4)))))))</f>
        <v/>
      </c>
      <c r="M3997" s="30" t="str">
        <f t="shared" si="429"/>
        <v/>
      </c>
      <c r="N3997" s="134"/>
      <c r="O3997" s="29"/>
      <c r="P3997" s="37" t="str">
        <f t="shared" si="430"/>
        <v/>
      </c>
      <c r="Q3997" s="38" t="str">
        <f t="shared" si="431"/>
        <v/>
      </c>
      <c r="R3997" s="37" t="str">
        <f t="shared" si="432"/>
        <v/>
      </c>
      <c r="S3997" s="37" t="str">
        <f t="shared" si="433"/>
        <v/>
      </c>
      <c r="T3997" s="38" t="str">
        <f t="shared" si="434"/>
        <v/>
      </c>
      <c r="U3997" s="37" t="str">
        <f t="shared" si="435"/>
        <v/>
      </c>
    </row>
    <row r="3998" spans="2:21" ht="17.25">
      <c r="B3998" s="156"/>
      <c r="C3998" s="156"/>
      <c r="D3998" s="157"/>
      <c r="E3998" s="155"/>
      <c r="F3998" s="151"/>
      <c r="G3998" s="152"/>
      <c r="H3998" s="153"/>
      <c r="I3998" s="154"/>
      <c r="J3998" s="154"/>
      <c r="K3998" s="30" t="str">
        <f>IF(H3998="","",IF($C$30="간이법","",FPR(H3998,I3998,J3998)))</f>
        <v/>
      </c>
      <c r="L3998" s="30" t="str">
        <f>IF(H3998="","",IF($C$30="상세법",FPV(H3998,K3998),IF(H3998="EI",4,IF(H3998="EO",5.2,IF(H3998="EQ",3.9,IF(H3998="ILF",7.5,IF(H3998="EIF",5.4)))))))</f>
        <v/>
      </c>
      <c r="M3998" s="30" t="str">
        <f t="shared" si="429"/>
        <v/>
      </c>
      <c r="N3998" s="134"/>
      <c r="O3998" s="29"/>
      <c r="P3998" s="37" t="str">
        <f t="shared" si="430"/>
        <v/>
      </c>
      <c r="Q3998" s="38" t="str">
        <f t="shared" si="431"/>
        <v/>
      </c>
      <c r="R3998" s="37" t="str">
        <f t="shared" si="432"/>
        <v/>
      </c>
      <c r="S3998" s="37" t="str">
        <f t="shared" si="433"/>
        <v/>
      </c>
      <c r="T3998" s="38" t="str">
        <f t="shared" si="434"/>
        <v/>
      </c>
      <c r="U3998" s="37" t="str">
        <f t="shared" si="435"/>
        <v/>
      </c>
    </row>
    <row r="3999" spans="2:21" ht="17.25">
      <c r="B3999" s="156"/>
      <c r="C3999" s="156"/>
      <c r="D3999" s="157"/>
      <c r="E3999" s="155"/>
      <c r="F3999" s="151"/>
      <c r="G3999" s="152"/>
      <c r="H3999" s="153"/>
      <c r="I3999" s="154"/>
      <c r="J3999" s="154"/>
      <c r="K3999" s="30" t="str">
        <f>IF(H3999="","",IF($C$30="간이법","",FPR(H3999,I3999,J3999)))</f>
        <v/>
      </c>
      <c r="L3999" s="30" t="str">
        <f>IF(H3999="","",IF($C$30="상세법",FPV(H3999,K3999),IF(H3999="EI",4,IF(H3999="EO",5.2,IF(H3999="EQ",3.9,IF(H3999="ILF",7.5,IF(H3999="EIF",5.4)))))))</f>
        <v/>
      </c>
      <c r="M3999" s="30" t="str">
        <f t="shared" si="429"/>
        <v/>
      </c>
      <c r="N3999" s="134"/>
      <c r="O3999" s="29"/>
      <c r="P3999" s="37" t="str">
        <f t="shared" si="430"/>
        <v/>
      </c>
      <c r="Q3999" s="38" t="str">
        <f t="shared" si="431"/>
        <v/>
      </c>
      <c r="R3999" s="37" t="str">
        <f t="shared" si="432"/>
        <v/>
      </c>
      <c r="S3999" s="37" t="str">
        <f t="shared" si="433"/>
        <v/>
      </c>
      <c r="T3999" s="38" t="str">
        <f t="shared" si="434"/>
        <v/>
      </c>
      <c r="U3999" s="37" t="str">
        <f t="shared" si="435"/>
        <v/>
      </c>
    </row>
    <row r="4000" spans="2:21" ht="17.25">
      <c r="B4000" s="156"/>
      <c r="C4000" s="156"/>
      <c r="D4000" s="157"/>
      <c r="E4000" s="155"/>
      <c r="F4000" s="151"/>
      <c r="G4000" s="152"/>
      <c r="H4000" s="153"/>
      <c r="I4000" s="154"/>
      <c r="J4000" s="154"/>
      <c r="K4000" s="30" t="str">
        <f>IF(H4000="","",IF($C$30="간이법","",FPR(H4000,I4000,J4000)))</f>
        <v/>
      </c>
      <c r="L4000" s="30" t="str">
        <f>IF(H4000="","",IF($C$30="상세법",FPV(H4000,K4000),IF(H4000="EI",4,IF(H4000="EO",5.2,IF(H4000="EQ",3.9,IF(H4000="ILF",7.5,IF(H4000="EIF",5.4)))))))</f>
        <v/>
      </c>
      <c r="M4000" s="30" t="str">
        <f t="shared" si="429"/>
        <v/>
      </c>
      <c r="N4000" s="134"/>
      <c r="O4000" s="29"/>
      <c r="P4000" s="37" t="str">
        <f t="shared" si="430"/>
        <v/>
      </c>
      <c r="Q4000" s="38" t="str">
        <f t="shared" si="431"/>
        <v/>
      </c>
      <c r="R4000" s="37" t="str">
        <f t="shared" si="432"/>
        <v/>
      </c>
      <c r="S4000" s="37" t="str">
        <f t="shared" si="433"/>
        <v/>
      </c>
      <c r="T4000" s="38" t="str">
        <f t="shared" si="434"/>
        <v/>
      </c>
      <c r="U4000" s="37" t="str">
        <f t="shared" si="435"/>
        <v/>
      </c>
    </row>
    <row r="4001" spans="2:21" ht="17.25">
      <c r="B4001" s="156"/>
      <c r="C4001" s="156"/>
      <c r="D4001" s="157"/>
      <c r="E4001" s="155"/>
      <c r="F4001" s="151"/>
      <c r="G4001" s="152"/>
      <c r="H4001" s="153"/>
      <c r="I4001" s="154"/>
      <c r="J4001" s="154"/>
      <c r="K4001" s="30" t="str">
        <f>IF(H4001="","",IF($C$30="간이법","",FPR(H4001,I4001,J4001)))</f>
        <v/>
      </c>
      <c r="L4001" s="30" t="str">
        <f>IF(H4001="","",IF($C$30="상세법",FPV(H4001,K4001),IF(H4001="EI",4,IF(H4001="EO",5.2,IF(H4001="EQ",3.9,IF(H4001="ILF",7.5,IF(H4001="EIF",5.4)))))))</f>
        <v/>
      </c>
      <c r="M4001" s="30" t="str">
        <f t="shared" si="429"/>
        <v/>
      </c>
      <c r="N4001" s="134"/>
      <c r="O4001" s="29"/>
      <c r="P4001" s="37" t="str">
        <f t="shared" si="430"/>
        <v/>
      </c>
      <c r="Q4001" s="38" t="str">
        <f t="shared" si="431"/>
        <v/>
      </c>
      <c r="R4001" s="37" t="str">
        <f t="shared" si="432"/>
        <v/>
      </c>
      <c r="S4001" s="37" t="str">
        <f t="shared" si="433"/>
        <v/>
      </c>
      <c r="T4001" s="38" t="str">
        <f t="shared" si="434"/>
        <v/>
      </c>
      <c r="U4001" s="37" t="str">
        <f t="shared" si="435"/>
        <v/>
      </c>
    </row>
    <row r="4002" spans="2:21" ht="17.25">
      <c r="B4002" s="156"/>
      <c r="C4002" s="156"/>
      <c r="D4002" s="157"/>
      <c r="E4002" s="155"/>
      <c r="F4002" s="151"/>
      <c r="G4002" s="152"/>
      <c r="H4002" s="153"/>
      <c r="I4002" s="154"/>
      <c r="J4002" s="154"/>
      <c r="K4002" s="30" t="str">
        <f>IF(H4002="","",IF($C$30="간이법","",FPR(H4002,I4002,J4002)))</f>
        <v/>
      </c>
      <c r="L4002" s="30" t="str">
        <f>IF(H4002="","",IF($C$30="상세법",FPV(H4002,K4002),IF(H4002="EI",4,IF(H4002="EO",5.2,IF(H4002="EQ",3.9,IF(H4002="ILF",7.5,IF(H4002="EIF",5.4)))))))</f>
        <v/>
      </c>
      <c r="M4002" s="30" t="str">
        <f t="shared" si="429"/>
        <v/>
      </c>
      <c r="N4002" s="134"/>
      <c r="O4002" s="29"/>
      <c r="P4002" s="37" t="str">
        <f t="shared" si="430"/>
        <v/>
      </c>
      <c r="Q4002" s="38" t="str">
        <f t="shared" si="431"/>
        <v/>
      </c>
      <c r="R4002" s="37" t="str">
        <f t="shared" si="432"/>
        <v/>
      </c>
      <c r="S4002" s="37" t="str">
        <f t="shared" si="433"/>
        <v/>
      </c>
      <c r="T4002" s="38" t="str">
        <f t="shared" si="434"/>
        <v/>
      </c>
      <c r="U4002" s="37" t="str">
        <f t="shared" si="435"/>
        <v/>
      </c>
    </row>
    <row r="4003" spans="2:21" ht="17.25">
      <c r="B4003" s="156"/>
      <c r="C4003" s="156"/>
      <c r="D4003" s="157"/>
      <c r="E4003" s="155"/>
      <c r="F4003" s="151"/>
      <c r="G4003" s="152"/>
      <c r="H4003" s="153"/>
      <c r="I4003" s="154"/>
      <c r="J4003" s="154"/>
      <c r="K4003" s="30" t="str">
        <f>IF(H4003="","",IF($C$30="간이법","",FPR(H4003,I4003,J4003)))</f>
        <v/>
      </c>
      <c r="L4003" s="30" t="str">
        <f>IF(H4003="","",IF($C$30="상세법",FPV(H4003,K4003),IF(H4003="EI",4,IF(H4003="EO",5.2,IF(H4003="EQ",3.9,IF(H4003="ILF",7.5,IF(H4003="EIF",5.4)))))))</f>
        <v/>
      </c>
      <c r="M4003" s="30" t="str">
        <f t="shared" si="429"/>
        <v/>
      </c>
      <c r="N4003" s="134"/>
      <c r="O4003" s="29"/>
      <c r="P4003" s="37" t="str">
        <f t="shared" si="430"/>
        <v/>
      </c>
      <c r="Q4003" s="38" t="str">
        <f t="shared" si="431"/>
        <v/>
      </c>
      <c r="R4003" s="37" t="str">
        <f t="shared" si="432"/>
        <v/>
      </c>
      <c r="S4003" s="37" t="str">
        <f t="shared" si="433"/>
        <v/>
      </c>
      <c r="T4003" s="38" t="str">
        <f t="shared" si="434"/>
        <v/>
      </c>
      <c r="U4003" s="37" t="str">
        <f t="shared" si="435"/>
        <v/>
      </c>
    </row>
    <row r="4004" spans="2:21" ht="17.25">
      <c r="B4004" s="156"/>
      <c r="C4004" s="156"/>
      <c r="D4004" s="157"/>
      <c r="E4004" s="155"/>
      <c r="F4004" s="151"/>
      <c r="G4004" s="152"/>
      <c r="H4004" s="153"/>
      <c r="I4004" s="154"/>
      <c r="J4004" s="154"/>
      <c r="K4004" s="30" t="str">
        <f>IF(H4004="","",IF($C$30="간이법","",FPR(H4004,I4004,J4004)))</f>
        <v/>
      </c>
      <c r="L4004" s="30" t="str">
        <f>IF(H4004="","",IF($C$30="상세법",FPV(H4004,K4004),IF(H4004="EI",4,IF(H4004="EO",5.2,IF(H4004="EQ",3.9,IF(H4004="ILF",7.5,IF(H4004="EIF",5.4)))))))</f>
        <v/>
      </c>
      <c r="M4004" s="30" t="str">
        <f t="shared" si="429"/>
        <v/>
      </c>
      <c r="N4004" s="134"/>
      <c r="O4004" s="29"/>
      <c r="P4004" s="37" t="str">
        <f t="shared" si="430"/>
        <v/>
      </c>
      <c r="Q4004" s="38" t="str">
        <f t="shared" si="431"/>
        <v/>
      </c>
      <c r="R4004" s="37" t="str">
        <f t="shared" si="432"/>
        <v/>
      </c>
      <c r="S4004" s="37" t="str">
        <f t="shared" si="433"/>
        <v/>
      </c>
      <c r="T4004" s="38" t="str">
        <f t="shared" si="434"/>
        <v/>
      </c>
      <c r="U4004" s="37" t="str">
        <f t="shared" si="435"/>
        <v/>
      </c>
    </row>
    <row r="4005" spans="2:21" ht="17.25">
      <c r="B4005" s="156"/>
      <c r="C4005" s="156"/>
      <c r="D4005" s="157"/>
      <c r="E4005" s="155"/>
      <c r="F4005" s="151"/>
      <c r="G4005" s="152"/>
      <c r="H4005" s="153"/>
      <c r="I4005" s="154"/>
      <c r="J4005" s="154"/>
      <c r="K4005" s="30" t="str">
        <f>IF(H4005="","",IF($C$30="간이법","",FPR(H4005,I4005,J4005)))</f>
        <v/>
      </c>
      <c r="L4005" s="30" t="str">
        <f>IF(H4005="","",IF($C$30="상세법",FPV(H4005,K4005),IF(H4005="EI",4,IF(H4005="EO",5.2,IF(H4005="EQ",3.9,IF(H4005="ILF",7.5,IF(H4005="EIF",5.4)))))))</f>
        <v/>
      </c>
      <c r="M4005" s="30" t="str">
        <f t="shared" si="429"/>
        <v/>
      </c>
      <c r="N4005" s="134"/>
      <c r="O4005" s="29"/>
      <c r="P4005" s="37" t="str">
        <f t="shared" si="430"/>
        <v/>
      </c>
      <c r="Q4005" s="38" t="str">
        <f t="shared" si="431"/>
        <v/>
      </c>
      <c r="R4005" s="37" t="str">
        <f t="shared" si="432"/>
        <v/>
      </c>
      <c r="S4005" s="37" t="str">
        <f t="shared" si="433"/>
        <v/>
      </c>
      <c r="T4005" s="38" t="str">
        <f t="shared" si="434"/>
        <v/>
      </c>
      <c r="U4005" s="37" t="str">
        <f t="shared" si="435"/>
        <v/>
      </c>
    </row>
    <row r="4006" spans="2:21" ht="17.25">
      <c r="B4006" s="156"/>
      <c r="C4006" s="156"/>
      <c r="D4006" s="157"/>
      <c r="E4006" s="155"/>
      <c r="F4006" s="151"/>
      <c r="G4006" s="152"/>
      <c r="H4006" s="153"/>
      <c r="I4006" s="154"/>
      <c r="J4006" s="154"/>
      <c r="K4006" s="30" t="str">
        <f>IF(H4006="","",IF($C$30="간이법","",FPR(H4006,I4006,J4006)))</f>
        <v/>
      </c>
      <c r="L4006" s="30" t="str">
        <f>IF(H4006="","",IF($C$30="상세법",FPV(H4006,K4006),IF(H4006="EI",4,IF(H4006="EO",5.2,IF(H4006="EQ",3.9,IF(H4006="ILF",7.5,IF(H4006="EIF",5.4)))))))</f>
        <v/>
      </c>
      <c r="M4006" s="30" t="str">
        <f t="shared" si="429"/>
        <v/>
      </c>
      <c r="N4006" s="134"/>
      <c r="O4006" s="29"/>
      <c r="P4006" s="37" t="str">
        <f t="shared" si="430"/>
        <v/>
      </c>
      <c r="Q4006" s="38" t="str">
        <f t="shared" si="431"/>
        <v/>
      </c>
      <c r="R4006" s="37" t="str">
        <f t="shared" si="432"/>
        <v/>
      </c>
      <c r="S4006" s="37" t="str">
        <f t="shared" si="433"/>
        <v/>
      </c>
      <c r="T4006" s="38" t="str">
        <f t="shared" si="434"/>
        <v/>
      </c>
      <c r="U4006" s="37" t="str">
        <f t="shared" si="435"/>
        <v/>
      </c>
    </row>
    <row r="4007" spans="2:21" ht="17.25">
      <c r="B4007" s="156"/>
      <c r="C4007" s="156"/>
      <c r="D4007" s="157"/>
      <c r="E4007" s="155"/>
      <c r="F4007" s="151"/>
      <c r="G4007" s="152"/>
      <c r="H4007" s="153"/>
      <c r="I4007" s="154"/>
      <c r="J4007" s="154"/>
      <c r="K4007" s="30" t="str">
        <f>IF(H4007="","",IF($C$30="간이법","",FPR(H4007,I4007,J4007)))</f>
        <v/>
      </c>
      <c r="L4007" s="30" t="str">
        <f>IF(H4007="","",IF($C$30="상세법",FPV(H4007,K4007),IF(H4007="EI",4,IF(H4007="EO",5.2,IF(H4007="EQ",3.9,IF(H4007="ILF",7.5,IF(H4007="EIF",5.4)))))))</f>
        <v/>
      </c>
      <c r="M4007" s="30" t="str">
        <f t="shared" si="429"/>
        <v/>
      </c>
      <c r="N4007" s="134"/>
      <c r="O4007" s="29"/>
      <c r="P4007" s="37" t="str">
        <f t="shared" si="430"/>
        <v/>
      </c>
      <c r="Q4007" s="38" t="str">
        <f t="shared" si="431"/>
        <v/>
      </c>
      <c r="R4007" s="37" t="str">
        <f t="shared" si="432"/>
        <v/>
      </c>
      <c r="S4007" s="37" t="str">
        <f t="shared" si="433"/>
        <v/>
      </c>
      <c r="T4007" s="38" t="str">
        <f t="shared" si="434"/>
        <v/>
      </c>
      <c r="U4007" s="37" t="str">
        <f t="shared" si="435"/>
        <v/>
      </c>
    </row>
    <row r="4008" spans="2:21" ht="17.25">
      <c r="B4008" s="156"/>
      <c r="C4008" s="156"/>
      <c r="D4008" s="157"/>
      <c r="E4008" s="155"/>
      <c r="F4008" s="151"/>
      <c r="G4008" s="152"/>
      <c r="H4008" s="153"/>
      <c r="I4008" s="154"/>
      <c r="J4008" s="154"/>
      <c r="K4008" s="30" t="str">
        <f>IF(H4008="","",IF($C$30="간이법","",FPR(H4008,I4008,J4008)))</f>
        <v/>
      </c>
      <c r="L4008" s="30" t="str">
        <f>IF(H4008="","",IF($C$30="상세법",FPV(H4008,K4008),IF(H4008="EI",4,IF(H4008="EO",5.2,IF(H4008="EQ",3.9,IF(H4008="ILF",7.5,IF(H4008="EIF",5.4)))))))</f>
        <v/>
      </c>
      <c r="M4008" s="30" t="str">
        <f t="shared" si="429"/>
        <v/>
      </c>
      <c r="N4008" s="134"/>
      <c r="O4008" s="29"/>
      <c r="P4008" s="37" t="str">
        <f t="shared" si="430"/>
        <v/>
      </c>
      <c r="Q4008" s="38" t="str">
        <f t="shared" si="431"/>
        <v/>
      </c>
      <c r="R4008" s="37" t="str">
        <f t="shared" si="432"/>
        <v/>
      </c>
      <c r="S4008" s="37" t="str">
        <f t="shared" si="433"/>
        <v/>
      </c>
      <c r="T4008" s="38" t="str">
        <f t="shared" si="434"/>
        <v/>
      </c>
      <c r="U4008" s="37" t="str">
        <f t="shared" si="435"/>
        <v/>
      </c>
    </row>
    <row r="4009" spans="2:21" ht="17.25">
      <c r="B4009" s="156"/>
      <c r="C4009" s="156"/>
      <c r="D4009" s="157"/>
      <c r="E4009" s="155"/>
      <c r="F4009" s="151"/>
      <c r="G4009" s="152"/>
      <c r="H4009" s="153"/>
      <c r="I4009" s="154"/>
      <c r="J4009" s="154"/>
      <c r="K4009" s="30" t="str">
        <f>IF(H4009="","",IF($C$30="간이법","",FPR(H4009,I4009,J4009)))</f>
        <v/>
      </c>
      <c r="L4009" s="30" t="str">
        <f>IF(H4009="","",IF($C$30="상세법",FPV(H4009,K4009),IF(H4009="EI",4,IF(H4009="EO",5.2,IF(H4009="EQ",3.9,IF(H4009="ILF",7.5,IF(H4009="EIF",5.4)))))))</f>
        <v/>
      </c>
      <c r="M4009" s="30" t="str">
        <f t="shared" si="429"/>
        <v/>
      </c>
      <c r="N4009" s="134"/>
      <c r="O4009" s="29"/>
      <c r="P4009" s="37" t="str">
        <f t="shared" si="430"/>
        <v/>
      </c>
      <c r="Q4009" s="38" t="str">
        <f t="shared" si="431"/>
        <v/>
      </c>
      <c r="R4009" s="37" t="str">
        <f t="shared" si="432"/>
        <v/>
      </c>
      <c r="S4009" s="37" t="str">
        <f t="shared" si="433"/>
        <v/>
      </c>
      <c r="T4009" s="38" t="str">
        <f t="shared" si="434"/>
        <v/>
      </c>
      <c r="U4009" s="37" t="str">
        <f t="shared" si="435"/>
        <v/>
      </c>
    </row>
    <row r="4010" spans="2:21" ht="17.25">
      <c r="B4010" s="156"/>
      <c r="C4010" s="156"/>
      <c r="D4010" s="157"/>
      <c r="E4010" s="155"/>
      <c r="F4010" s="151"/>
      <c r="G4010" s="152"/>
      <c r="H4010" s="153"/>
      <c r="I4010" s="154"/>
      <c r="J4010" s="154"/>
      <c r="K4010" s="30" t="str">
        <f>IF(H4010="","",IF($C$30="간이법","",FPR(H4010,I4010,J4010)))</f>
        <v/>
      </c>
      <c r="L4010" s="30" t="str">
        <f>IF(H4010="","",IF($C$30="상세법",FPV(H4010,K4010),IF(H4010="EI",4,IF(H4010="EO",5.2,IF(H4010="EQ",3.9,IF(H4010="ILF",7.5,IF(H4010="EIF",5.4)))))))</f>
        <v/>
      </c>
      <c r="M4010" s="30" t="str">
        <f t="shared" si="429"/>
        <v/>
      </c>
      <c r="N4010" s="134"/>
      <c r="O4010" s="29"/>
      <c r="P4010" s="37" t="str">
        <f t="shared" si="430"/>
        <v/>
      </c>
      <c r="Q4010" s="38" t="str">
        <f t="shared" si="431"/>
        <v/>
      </c>
      <c r="R4010" s="37" t="str">
        <f t="shared" si="432"/>
        <v/>
      </c>
      <c r="S4010" s="37" t="str">
        <f t="shared" si="433"/>
        <v/>
      </c>
      <c r="T4010" s="38" t="str">
        <f t="shared" si="434"/>
        <v/>
      </c>
      <c r="U4010" s="37" t="str">
        <f t="shared" si="435"/>
        <v/>
      </c>
    </row>
    <row r="4011" spans="2:21" ht="17.25">
      <c r="B4011" s="156"/>
      <c r="C4011" s="156"/>
      <c r="D4011" s="157"/>
      <c r="E4011" s="155"/>
      <c r="F4011" s="151"/>
      <c r="G4011" s="152"/>
      <c r="H4011" s="153"/>
      <c r="I4011" s="154"/>
      <c r="J4011" s="154"/>
      <c r="K4011" s="30" t="str">
        <f>IF(H4011="","",IF($C$30="간이법","",FPR(H4011,I4011,J4011)))</f>
        <v/>
      </c>
      <c r="L4011" s="30" t="str">
        <f>IF(H4011="","",IF($C$30="상세법",FPV(H4011,K4011),IF(H4011="EI",4,IF(H4011="EO",5.2,IF(H4011="EQ",3.9,IF(H4011="ILF",7.5,IF(H4011="EIF",5.4)))))))</f>
        <v/>
      </c>
      <c r="M4011" s="30" t="str">
        <f t="shared" si="429"/>
        <v/>
      </c>
      <c r="N4011" s="134"/>
      <c r="O4011" s="29"/>
      <c r="P4011" s="37" t="str">
        <f t="shared" si="430"/>
        <v/>
      </c>
      <c r="Q4011" s="38" t="str">
        <f t="shared" si="431"/>
        <v/>
      </c>
      <c r="R4011" s="37" t="str">
        <f t="shared" si="432"/>
        <v/>
      </c>
      <c r="S4011" s="37" t="str">
        <f t="shared" si="433"/>
        <v/>
      </c>
      <c r="T4011" s="38" t="str">
        <f t="shared" si="434"/>
        <v/>
      </c>
      <c r="U4011" s="37" t="str">
        <f t="shared" si="435"/>
        <v/>
      </c>
    </row>
    <row r="4012" spans="2:21" ht="17.25">
      <c r="B4012" s="156"/>
      <c r="C4012" s="156"/>
      <c r="D4012" s="157"/>
      <c r="E4012" s="155"/>
      <c r="F4012" s="151"/>
      <c r="G4012" s="152"/>
      <c r="H4012" s="153"/>
      <c r="I4012" s="154"/>
      <c r="J4012" s="154"/>
      <c r="K4012" s="30" t="str">
        <f>IF(H4012="","",IF($C$30="간이법","",FPR(H4012,I4012,J4012)))</f>
        <v/>
      </c>
      <c r="L4012" s="30" t="str">
        <f>IF(H4012="","",IF($C$30="상세법",FPV(H4012,K4012),IF(H4012="EI",4,IF(H4012="EO",5.2,IF(H4012="EQ",3.9,IF(H4012="ILF",7.5,IF(H4012="EIF",5.4)))))))</f>
        <v/>
      </c>
      <c r="M4012" s="30" t="str">
        <f t="shared" si="429"/>
        <v/>
      </c>
      <c r="N4012" s="134"/>
      <c r="O4012" s="29"/>
      <c r="P4012" s="37" t="str">
        <f t="shared" si="430"/>
        <v/>
      </c>
      <c r="Q4012" s="38" t="str">
        <f t="shared" si="431"/>
        <v/>
      </c>
      <c r="R4012" s="37" t="str">
        <f t="shared" si="432"/>
        <v/>
      </c>
      <c r="S4012" s="37" t="str">
        <f t="shared" si="433"/>
        <v/>
      </c>
      <c r="T4012" s="38" t="str">
        <f t="shared" si="434"/>
        <v/>
      </c>
      <c r="U4012" s="37" t="str">
        <f t="shared" si="435"/>
        <v/>
      </c>
    </row>
    <row r="4013" spans="2:21" ht="17.25">
      <c r="B4013" s="156"/>
      <c r="C4013" s="156"/>
      <c r="D4013" s="157"/>
      <c r="E4013" s="155"/>
      <c r="F4013" s="151"/>
      <c r="G4013" s="152"/>
      <c r="H4013" s="153"/>
      <c r="I4013" s="154"/>
      <c r="J4013" s="154"/>
      <c r="K4013" s="30" t="str">
        <f>IF(H4013="","",IF($C$30="간이법","",FPR(H4013,I4013,J4013)))</f>
        <v/>
      </c>
      <c r="L4013" s="30" t="str">
        <f>IF(H4013="","",IF($C$30="상세법",FPV(H4013,K4013),IF(H4013="EI",4,IF(H4013="EO",5.2,IF(H4013="EQ",3.9,IF(H4013="ILF",7.5,IF(H4013="EIF",5.4)))))))</f>
        <v/>
      </c>
      <c r="M4013" s="30" t="str">
        <f t="shared" si="429"/>
        <v/>
      </c>
      <c r="N4013" s="134"/>
      <c r="O4013" s="29"/>
      <c r="P4013" s="37" t="str">
        <f t="shared" si="430"/>
        <v/>
      </c>
      <c r="Q4013" s="38" t="str">
        <f t="shared" si="431"/>
        <v/>
      </c>
      <c r="R4013" s="37" t="str">
        <f t="shared" si="432"/>
        <v/>
      </c>
      <c r="S4013" s="37" t="str">
        <f t="shared" si="433"/>
        <v/>
      </c>
      <c r="T4013" s="38" t="str">
        <f t="shared" si="434"/>
        <v/>
      </c>
      <c r="U4013" s="37" t="str">
        <f t="shared" si="435"/>
        <v/>
      </c>
    </row>
    <row r="4014" spans="2:21" ht="17.25">
      <c r="B4014" s="156"/>
      <c r="C4014" s="156"/>
      <c r="D4014" s="157"/>
      <c r="E4014" s="155"/>
      <c r="F4014" s="151"/>
      <c r="G4014" s="152"/>
      <c r="H4014" s="153"/>
      <c r="I4014" s="154"/>
      <c r="J4014" s="154"/>
      <c r="K4014" s="30" t="str">
        <f>IF(H4014="","",IF($C$30="간이법","",FPR(H4014,I4014,J4014)))</f>
        <v/>
      </c>
      <c r="L4014" s="30" t="str">
        <f>IF(H4014="","",IF($C$30="상세법",FPV(H4014,K4014),IF(H4014="EI",4,IF(H4014="EO",5.2,IF(H4014="EQ",3.9,IF(H4014="ILF",7.5,IF(H4014="EIF",5.4)))))))</f>
        <v/>
      </c>
      <c r="M4014" s="30" t="str">
        <f t="shared" si="429"/>
        <v/>
      </c>
      <c r="N4014" s="134"/>
      <c r="O4014" s="29"/>
      <c r="P4014" s="37" t="str">
        <f t="shared" si="430"/>
        <v/>
      </c>
      <c r="Q4014" s="38" t="str">
        <f t="shared" si="431"/>
        <v/>
      </c>
      <c r="R4014" s="37" t="str">
        <f t="shared" si="432"/>
        <v/>
      </c>
      <c r="S4014" s="37" t="str">
        <f t="shared" si="433"/>
        <v/>
      </c>
      <c r="T4014" s="38" t="str">
        <f t="shared" si="434"/>
        <v/>
      </c>
      <c r="U4014" s="37" t="str">
        <f t="shared" si="435"/>
        <v/>
      </c>
    </row>
    <row r="4015" spans="2:21" ht="17.25">
      <c r="B4015" s="156"/>
      <c r="C4015" s="156"/>
      <c r="D4015" s="157"/>
      <c r="E4015" s="155"/>
      <c r="F4015" s="151"/>
      <c r="G4015" s="152"/>
      <c r="H4015" s="153"/>
      <c r="I4015" s="154"/>
      <c r="J4015" s="154"/>
      <c r="K4015" s="30" t="str">
        <f>IF(H4015="","",IF($C$30="간이법","",FPR(H4015,I4015,J4015)))</f>
        <v/>
      </c>
      <c r="L4015" s="30" t="str">
        <f>IF(H4015="","",IF($C$30="상세법",FPV(H4015,K4015),IF(H4015="EI",4,IF(H4015="EO",5.2,IF(H4015="EQ",3.9,IF(H4015="ILF",7.5,IF(H4015="EIF",5.4)))))))</f>
        <v/>
      </c>
      <c r="M4015" s="30" t="str">
        <f t="shared" si="429"/>
        <v/>
      </c>
      <c r="N4015" s="134"/>
      <c r="O4015" s="29"/>
      <c r="P4015" s="37" t="str">
        <f t="shared" si="430"/>
        <v/>
      </c>
      <c r="Q4015" s="38" t="str">
        <f t="shared" si="431"/>
        <v/>
      </c>
      <c r="R4015" s="37" t="str">
        <f t="shared" si="432"/>
        <v/>
      </c>
      <c r="S4015" s="37" t="str">
        <f t="shared" si="433"/>
        <v/>
      </c>
      <c r="T4015" s="38" t="str">
        <f t="shared" si="434"/>
        <v/>
      </c>
      <c r="U4015" s="37" t="str">
        <f t="shared" si="435"/>
        <v/>
      </c>
    </row>
    <row r="4016" spans="2:21" ht="17.25">
      <c r="B4016" s="156"/>
      <c r="C4016" s="156"/>
      <c r="D4016" s="157"/>
      <c r="E4016" s="155"/>
      <c r="F4016" s="151"/>
      <c r="G4016" s="152"/>
      <c r="H4016" s="153"/>
      <c r="I4016" s="154"/>
      <c r="J4016" s="154"/>
      <c r="K4016" s="30" t="str">
        <f>IF(H4016="","",IF($C$30="간이법","",FPR(H4016,I4016,J4016)))</f>
        <v/>
      </c>
      <c r="L4016" s="30" t="str">
        <f>IF(H4016="","",IF($C$30="상세법",FPV(H4016,K4016),IF(H4016="EI",4,IF(H4016="EO",5.2,IF(H4016="EQ",3.9,IF(H4016="ILF",7.5,IF(H4016="EIF",5.4)))))))</f>
        <v/>
      </c>
      <c r="M4016" s="30" t="str">
        <f t="shared" si="429"/>
        <v/>
      </c>
      <c r="N4016" s="134"/>
      <c r="O4016" s="29"/>
      <c r="P4016" s="37" t="str">
        <f t="shared" si="430"/>
        <v/>
      </c>
      <c r="Q4016" s="38" t="str">
        <f t="shared" si="431"/>
        <v/>
      </c>
      <c r="R4016" s="37" t="str">
        <f t="shared" si="432"/>
        <v/>
      </c>
      <c r="S4016" s="37" t="str">
        <f t="shared" si="433"/>
        <v/>
      </c>
      <c r="T4016" s="38" t="str">
        <f t="shared" si="434"/>
        <v/>
      </c>
      <c r="U4016" s="37" t="str">
        <f t="shared" si="435"/>
        <v/>
      </c>
    </row>
    <row r="4017" spans="2:21" ht="17.25">
      <c r="B4017" s="156"/>
      <c r="C4017" s="156"/>
      <c r="D4017" s="157"/>
      <c r="E4017" s="155"/>
      <c r="F4017" s="151"/>
      <c r="G4017" s="152"/>
      <c r="H4017" s="153"/>
      <c r="I4017" s="154"/>
      <c r="J4017" s="154"/>
      <c r="K4017" s="30" t="str">
        <f>IF(H4017="","",IF($C$30="간이법","",FPR(H4017,I4017,J4017)))</f>
        <v/>
      </c>
      <c r="L4017" s="30" t="str">
        <f>IF(H4017="","",IF($C$30="상세법",FPV(H4017,K4017),IF(H4017="EI",4,IF(H4017="EO",5.2,IF(H4017="EQ",3.9,IF(H4017="ILF",7.5,IF(H4017="EIF",5.4)))))))</f>
        <v/>
      </c>
      <c r="M4017" s="30" t="str">
        <f t="shared" si="429"/>
        <v/>
      </c>
      <c r="N4017" s="134"/>
      <c r="O4017" s="29"/>
      <c r="P4017" s="37" t="str">
        <f t="shared" si="430"/>
        <v/>
      </c>
      <c r="Q4017" s="38" t="str">
        <f t="shared" si="431"/>
        <v/>
      </c>
      <c r="R4017" s="37" t="str">
        <f t="shared" si="432"/>
        <v/>
      </c>
      <c r="S4017" s="37" t="str">
        <f t="shared" si="433"/>
        <v/>
      </c>
      <c r="T4017" s="38" t="str">
        <f t="shared" si="434"/>
        <v/>
      </c>
      <c r="U4017" s="37" t="str">
        <f t="shared" si="435"/>
        <v/>
      </c>
    </row>
    <row r="4018" spans="2:21" ht="17.25">
      <c r="B4018" s="156"/>
      <c r="C4018" s="156"/>
      <c r="D4018" s="157"/>
      <c r="E4018" s="155"/>
      <c r="F4018" s="151"/>
      <c r="G4018" s="152"/>
      <c r="H4018" s="153"/>
      <c r="I4018" s="154"/>
      <c r="J4018" s="154"/>
      <c r="K4018" s="30" t="str">
        <f>IF(H4018="","",IF($C$30="간이법","",FPR(H4018,I4018,J4018)))</f>
        <v/>
      </c>
      <c r="L4018" s="30" t="str">
        <f>IF(H4018="","",IF($C$30="상세법",FPV(H4018,K4018),IF(H4018="EI",4,IF(H4018="EO",5.2,IF(H4018="EQ",3.9,IF(H4018="ILF",7.5,IF(H4018="EIF",5.4)))))))</f>
        <v/>
      </c>
      <c r="M4018" s="30" t="str">
        <f t="shared" si="429"/>
        <v/>
      </c>
      <c r="N4018" s="134"/>
      <c r="O4018" s="29"/>
      <c r="P4018" s="37" t="str">
        <f t="shared" si="430"/>
        <v/>
      </c>
      <c r="Q4018" s="38" t="str">
        <f t="shared" si="431"/>
        <v/>
      </c>
      <c r="R4018" s="37" t="str">
        <f t="shared" si="432"/>
        <v/>
      </c>
      <c r="S4018" s="37" t="str">
        <f t="shared" si="433"/>
        <v/>
      </c>
      <c r="T4018" s="38" t="str">
        <f t="shared" si="434"/>
        <v/>
      </c>
      <c r="U4018" s="37" t="str">
        <f t="shared" si="435"/>
        <v/>
      </c>
    </row>
    <row r="4019" spans="2:21" ht="17.25">
      <c r="B4019" s="156"/>
      <c r="C4019" s="156"/>
      <c r="D4019" s="157"/>
      <c r="E4019" s="155"/>
      <c r="F4019" s="151"/>
      <c r="G4019" s="152"/>
      <c r="H4019" s="153"/>
      <c r="I4019" s="154"/>
      <c r="J4019" s="154"/>
      <c r="K4019" s="30" t="str">
        <f>IF(H4019="","",IF($C$30="간이법","",FPR(H4019,I4019,J4019)))</f>
        <v/>
      </c>
      <c r="L4019" s="30" t="str">
        <f>IF(H4019="","",IF($C$30="상세법",FPV(H4019,K4019),IF(H4019="EI",4,IF(H4019="EO",5.2,IF(H4019="EQ",3.9,IF(H4019="ILF",7.5,IF(H4019="EIF",5.4)))))))</f>
        <v/>
      </c>
      <c r="M4019" s="30" t="str">
        <f t="shared" si="429"/>
        <v/>
      </c>
      <c r="N4019" s="134"/>
      <c r="O4019" s="29"/>
      <c r="P4019" s="37" t="str">
        <f t="shared" si="430"/>
        <v/>
      </c>
      <c r="Q4019" s="38" t="str">
        <f t="shared" si="431"/>
        <v/>
      </c>
      <c r="R4019" s="37" t="str">
        <f t="shared" si="432"/>
        <v/>
      </c>
      <c r="S4019" s="37" t="str">
        <f t="shared" si="433"/>
        <v/>
      </c>
      <c r="T4019" s="38" t="str">
        <f t="shared" si="434"/>
        <v/>
      </c>
      <c r="U4019" s="37" t="str">
        <f t="shared" si="435"/>
        <v/>
      </c>
    </row>
    <row r="4020" spans="2:21" ht="17.25">
      <c r="B4020" s="156"/>
      <c r="C4020" s="156"/>
      <c r="D4020" s="157"/>
      <c r="E4020" s="155"/>
      <c r="F4020" s="151"/>
      <c r="G4020" s="152"/>
      <c r="H4020" s="153"/>
      <c r="I4020" s="154"/>
      <c r="J4020" s="154"/>
      <c r="K4020" s="30" t="str">
        <f>IF(H4020="","",IF($C$30="간이법","",FPR(H4020,I4020,J4020)))</f>
        <v/>
      </c>
      <c r="L4020" s="30" t="str">
        <f>IF(H4020="","",IF($C$30="상세법",FPV(H4020,K4020),IF(H4020="EI",4,IF(H4020="EO",5.2,IF(H4020="EQ",3.9,IF(H4020="ILF",7.5,IF(H4020="EIF",5.4)))))))</f>
        <v/>
      </c>
      <c r="M4020" s="30" t="str">
        <f t="shared" si="429"/>
        <v/>
      </c>
      <c r="N4020" s="134"/>
      <c r="O4020" s="29"/>
      <c r="P4020" s="37" t="str">
        <f t="shared" si="430"/>
        <v/>
      </c>
      <c r="Q4020" s="38" t="str">
        <f t="shared" si="431"/>
        <v/>
      </c>
      <c r="R4020" s="37" t="str">
        <f t="shared" si="432"/>
        <v/>
      </c>
      <c r="S4020" s="37" t="str">
        <f t="shared" si="433"/>
        <v/>
      </c>
      <c r="T4020" s="38" t="str">
        <f t="shared" si="434"/>
        <v/>
      </c>
      <c r="U4020" s="37" t="str">
        <f t="shared" si="435"/>
        <v/>
      </c>
    </row>
    <row r="4021" spans="2:21" ht="17.25">
      <c r="B4021" s="156"/>
      <c r="C4021" s="156"/>
      <c r="D4021" s="157"/>
      <c r="E4021" s="155"/>
      <c r="F4021" s="151"/>
      <c r="G4021" s="152"/>
      <c r="H4021" s="153"/>
      <c r="I4021" s="154"/>
      <c r="J4021" s="154"/>
      <c r="K4021" s="30" t="str">
        <f>IF(H4021="","",IF($C$30="간이법","",FPR(H4021,I4021,J4021)))</f>
        <v/>
      </c>
      <c r="L4021" s="30" t="str">
        <f>IF(H4021="","",IF($C$30="상세법",FPV(H4021,K4021),IF(H4021="EI",4,IF(H4021="EO",5.2,IF(H4021="EQ",3.9,IF(H4021="ILF",7.5,IF(H4021="EIF",5.4)))))))</f>
        <v/>
      </c>
      <c r="M4021" s="30" t="str">
        <f t="shared" si="429"/>
        <v/>
      </c>
      <c r="N4021" s="134"/>
      <c r="O4021" s="29"/>
      <c r="P4021" s="37" t="str">
        <f t="shared" si="430"/>
        <v/>
      </c>
      <c r="Q4021" s="38" t="str">
        <f t="shared" si="431"/>
        <v/>
      </c>
      <c r="R4021" s="37" t="str">
        <f t="shared" si="432"/>
        <v/>
      </c>
      <c r="S4021" s="37" t="str">
        <f t="shared" si="433"/>
        <v/>
      </c>
      <c r="T4021" s="38" t="str">
        <f t="shared" si="434"/>
        <v/>
      </c>
      <c r="U4021" s="37" t="str">
        <f t="shared" si="435"/>
        <v/>
      </c>
    </row>
    <row r="4022" spans="2:21" ht="17.25">
      <c r="B4022" s="156"/>
      <c r="C4022" s="156"/>
      <c r="D4022" s="157"/>
      <c r="E4022" s="155"/>
      <c r="F4022" s="151"/>
      <c r="G4022" s="152"/>
      <c r="H4022" s="153"/>
      <c r="I4022" s="154"/>
      <c r="J4022" s="154"/>
      <c r="K4022" s="30" t="str">
        <f>IF(H4022="","",IF($C$30="간이법","",FPR(H4022,I4022,J4022)))</f>
        <v/>
      </c>
      <c r="L4022" s="30" t="str">
        <f>IF(H4022="","",IF($C$30="상세법",FPV(H4022,K4022),IF(H4022="EI",4,IF(H4022="EO",5.2,IF(H4022="EQ",3.9,IF(H4022="ILF",7.5,IF(H4022="EIF",5.4)))))))</f>
        <v/>
      </c>
      <c r="M4022" s="30" t="str">
        <f t="shared" si="429"/>
        <v/>
      </c>
      <c r="N4022" s="134"/>
      <c r="O4022" s="29"/>
      <c r="P4022" s="37" t="str">
        <f t="shared" si="430"/>
        <v/>
      </c>
      <c r="Q4022" s="38" t="str">
        <f t="shared" si="431"/>
        <v/>
      </c>
      <c r="R4022" s="37" t="str">
        <f t="shared" si="432"/>
        <v/>
      </c>
      <c r="S4022" s="37" t="str">
        <f t="shared" si="433"/>
        <v/>
      </c>
      <c r="T4022" s="38" t="str">
        <f t="shared" si="434"/>
        <v/>
      </c>
      <c r="U4022" s="37" t="str">
        <f t="shared" si="435"/>
        <v/>
      </c>
    </row>
    <row r="4023" spans="2:21" ht="17.25">
      <c r="B4023" s="156"/>
      <c r="C4023" s="156"/>
      <c r="D4023" s="157"/>
      <c r="E4023" s="155"/>
      <c r="F4023" s="151"/>
      <c r="G4023" s="152"/>
      <c r="H4023" s="153"/>
      <c r="I4023" s="154"/>
      <c r="J4023" s="154"/>
      <c r="K4023" s="30" t="str">
        <f>IF(H4023="","",IF($C$30="간이법","",FPR(H4023,I4023,J4023)))</f>
        <v/>
      </c>
      <c r="L4023" s="30" t="str">
        <f>IF(H4023="","",IF($C$30="상세법",FPV(H4023,K4023),IF(H4023="EI",4,IF(H4023="EO",5.2,IF(H4023="EQ",3.9,IF(H4023="ILF",7.5,IF(H4023="EIF",5.4)))))))</f>
        <v/>
      </c>
      <c r="M4023" s="30" t="str">
        <f t="shared" si="429"/>
        <v/>
      </c>
      <c r="N4023" s="134"/>
      <c r="O4023" s="29"/>
      <c r="P4023" s="37" t="str">
        <f t="shared" si="430"/>
        <v/>
      </c>
      <c r="Q4023" s="38" t="str">
        <f t="shared" si="431"/>
        <v/>
      </c>
      <c r="R4023" s="37" t="str">
        <f t="shared" si="432"/>
        <v/>
      </c>
      <c r="S4023" s="37" t="str">
        <f t="shared" si="433"/>
        <v/>
      </c>
      <c r="T4023" s="38" t="str">
        <f t="shared" si="434"/>
        <v/>
      </c>
      <c r="U4023" s="37" t="str">
        <f t="shared" si="435"/>
        <v/>
      </c>
    </row>
    <row r="4024" spans="2:21" ht="17.25">
      <c r="B4024" s="156"/>
      <c r="C4024" s="156"/>
      <c r="D4024" s="157"/>
      <c r="E4024" s="155"/>
      <c r="F4024" s="151"/>
      <c r="G4024" s="152"/>
      <c r="H4024" s="153"/>
      <c r="I4024" s="154"/>
      <c r="J4024" s="154"/>
      <c r="K4024" s="30" t="str">
        <f>IF(H4024="","",IF($C$30="간이법","",FPR(H4024,I4024,J4024)))</f>
        <v/>
      </c>
      <c r="L4024" s="30" t="str">
        <f>IF(H4024="","",IF($C$30="상세법",FPV(H4024,K4024),IF(H4024="EI",4,IF(H4024="EO",5.2,IF(H4024="EQ",3.9,IF(H4024="ILF",7.5,IF(H4024="EIF",5.4)))))))</f>
        <v/>
      </c>
      <c r="M4024" s="30" t="str">
        <f t="shared" si="429"/>
        <v/>
      </c>
      <c r="N4024" s="134"/>
      <c r="O4024" s="29"/>
      <c r="P4024" s="37" t="str">
        <f t="shared" si="430"/>
        <v/>
      </c>
      <c r="Q4024" s="38" t="str">
        <f t="shared" si="431"/>
        <v/>
      </c>
      <c r="R4024" s="37" t="str">
        <f t="shared" si="432"/>
        <v/>
      </c>
      <c r="S4024" s="37" t="str">
        <f t="shared" si="433"/>
        <v/>
      </c>
      <c r="T4024" s="38" t="str">
        <f t="shared" si="434"/>
        <v/>
      </c>
      <c r="U4024" s="37" t="str">
        <f t="shared" si="435"/>
        <v/>
      </c>
    </row>
    <row r="4025" spans="2:21" ht="17.25">
      <c r="B4025" s="156"/>
      <c r="C4025" s="156"/>
      <c r="D4025" s="157"/>
      <c r="E4025" s="155"/>
      <c r="F4025" s="151"/>
      <c r="G4025" s="152"/>
      <c r="H4025" s="153"/>
      <c r="I4025" s="154"/>
      <c r="J4025" s="154"/>
      <c r="K4025" s="30" t="str">
        <f>IF(H4025="","",IF($C$30="간이법","",FPR(H4025,I4025,J4025)))</f>
        <v/>
      </c>
      <c r="L4025" s="30" t="str">
        <f>IF(H4025="","",IF($C$30="상세법",FPV(H4025,K4025),IF(H4025="EI",4,IF(H4025="EO",5.2,IF(H4025="EQ",3.9,IF(H4025="ILF",7.5,IF(H4025="EIF",5.4)))))))</f>
        <v/>
      </c>
      <c r="M4025" s="30" t="str">
        <f t="shared" si="429"/>
        <v/>
      </c>
      <c r="N4025" s="134"/>
      <c r="O4025" s="29"/>
      <c r="P4025" s="37" t="str">
        <f t="shared" si="430"/>
        <v/>
      </c>
      <c r="Q4025" s="38" t="str">
        <f t="shared" si="431"/>
        <v/>
      </c>
      <c r="R4025" s="37" t="str">
        <f t="shared" si="432"/>
        <v/>
      </c>
      <c r="S4025" s="37" t="str">
        <f t="shared" si="433"/>
        <v/>
      </c>
      <c r="T4025" s="38" t="str">
        <f t="shared" si="434"/>
        <v/>
      </c>
      <c r="U4025" s="37" t="str">
        <f t="shared" si="435"/>
        <v/>
      </c>
    </row>
    <row r="4026" spans="2:21" ht="17.25">
      <c r="B4026" s="156"/>
      <c r="C4026" s="156"/>
      <c r="D4026" s="157"/>
      <c r="E4026" s="155"/>
      <c r="F4026" s="151"/>
      <c r="G4026" s="152"/>
      <c r="H4026" s="153"/>
      <c r="I4026" s="154"/>
      <c r="J4026" s="154"/>
      <c r="K4026" s="30" t="str">
        <f>IF(H4026="","",IF($C$30="간이법","",FPR(H4026,I4026,J4026)))</f>
        <v/>
      </c>
      <c r="L4026" s="30" t="str">
        <f>IF(H4026="","",IF($C$30="상세법",FPV(H4026,K4026),IF(H4026="EI",4,IF(H4026="EO",5.2,IF(H4026="EQ",3.9,IF(H4026="ILF",7.5,IF(H4026="EIF",5.4)))))))</f>
        <v/>
      </c>
      <c r="M4026" s="30" t="str">
        <f t="shared" si="429"/>
        <v/>
      </c>
      <c r="N4026" s="134"/>
      <c r="O4026" s="29"/>
      <c r="P4026" s="37" t="str">
        <f t="shared" si="430"/>
        <v/>
      </c>
      <c r="Q4026" s="38" t="str">
        <f t="shared" si="431"/>
        <v/>
      </c>
      <c r="R4026" s="37" t="str">
        <f t="shared" si="432"/>
        <v/>
      </c>
      <c r="S4026" s="37" t="str">
        <f t="shared" si="433"/>
        <v/>
      </c>
      <c r="T4026" s="38" t="str">
        <f t="shared" si="434"/>
        <v/>
      </c>
      <c r="U4026" s="37" t="str">
        <f t="shared" si="435"/>
        <v/>
      </c>
    </row>
    <row r="4027" spans="2:21" ht="17.25">
      <c r="B4027" s="156"/>
      <c r="C4027" s="156"/>
      <c r="D4027" s="157"/>
      <c r="E4027" s="155"/>
      <c r="F4027" s="151"/>
      <c r="G4027" s="152"/>
      <c r="H4027" s="153"/>
      <c r="I4027" s="154"/>
      <c r="J4027" s="154"/>
      <c r="K4027" s="30" t="str">
        <f>IF(H4027="","",IF($C$30="간이법","",FPR(H4027,I4027,J4027)))</f>
        <v/>
      </c>
      <c r="L4027" s="30" t="str">
        <f>IF(H4027="","",IF($C$30="상세법",FPV(H4027,K4027),IF(H4027="EI",4,IF(H4027="EO",5.2,IF(H4027="EQ",3.9,IF(H4027="ILF",7.5,IF(H4027="EIF",5.4)))))))</f>
        <v/>
      </c>
      <c r="M4027" s="30" t="str">
        <f t="shared" si="429"/>
        <v/>
      </c>
      <c r="N4027" s="134"/>
      <c r="O4027" s="29"/>
      <c r="P4027" s="37" t="str">
        <f t="shared" si="430"/>
        <v/>
      </c>
      <c r="Q4027" s="38" t="str">
        <f t="shared" si="431"/>
        <v/>
      </c>
      <c r="R4027" s="37" t="str">
        <f t="shared" si="432"/>
        <v/>
      </c>
      <c r="S4027" s="37" t="str">
        <f t="shared" si="433"/>
        <v/>
      </c>
      <c r="T4027" s="38" t="str">
        <f t="shared" si="434"/>
        <v/>
      </c>
      <c r="U4027" s="37" t="str">
        <f t="shared" si="435"/>
        <v/>
      </c>
    </row>
    <row r="4028" spans="2:21" ht="17.25">
      <c r="B4028" s="156"/>
      <c r="C4028" s="156"/>
      <c r="D4028" s="157"/>
      <c r="E4028" s="155"/>
      <c r="F4028" s="151"/>
      <c r="G4028" s="152"/>
      <c r="H4028" s="153"/>
      <c r="I4028" s="154"/>
      <c r="J4028" s="154"/>
      <c r="K4028" s="30" t="str">
        <f>IF(H4028="","",IF($C$30="간이법","",FPR(H4028,I4028,J4028)))</f>
        <v/>
      </c>
      <c r="L4028" s="30" t="str">
        <f>IF(H4028="","",IF($C$30="상세법",FPV(H4028,K4028),IF(H4028="EI",4,IF(H4028="EO",5.2,IF(H4028="EQ",3.9,IF(H4028="ILF",7.5,IF(H4028="EIF",5.4)))))))</f>
        <v/>
      </c>
      <c r="M4028" s="30" t="str">
        <f t="shared" ref="M4028:M4091" si="436">IF(OR(G4028="",$E$36="(선택)",$E$40="(선택)",$E$41="(선택)",F4028="신규 개발",F4028="수정 없이 재사용"),"",(IF(F4028="수정 후 재사용",IF($E$50&lt;=0.5,L4028*($E$36+$E$50*100*(1+0.02*($E$40*$E$41)))/100,L4028*($E$36+$E$50*100+($E$40*$E$41))/100))))</f>
        <v/>
      </c>
      <c r="N4028" s="134"/>
      <c r="O4028" s="29"/>
      <c r="P4028" s="37" t="str">
        <f t="shared" ref="P4028:P4091" si="437">IF(F4028="수정 후 재사용",IF(H4028="ILF",G4028,IF(H4028="EIF",G4028,"")),"")</f>
        <v/>
      </c>
      <c r="Q4028" s="38" t="str">
        <f t="shared" ref="Q4028:Q4091" si="438">IF(P4028&lt;&gt;"",IF(H4028="ILF", L4028/$E$46,IF(H4028="EIF", L4028/$E$46,"")),"")</f>
        <v/>
      </c>
      <c r="R4028" s="37" t="str">
        <f t="shared" ref="R4028:R4091" si="439">IF(P4028&lt;&gt;"",P4028*Q4028,"")</f>
        <v/>
      </c>
      <c r="S4028" s="37" t="str">
        <f t="shared" ref="S4028:S4091" si="440">IF(F4028="수정 후 재사용",IF(H4028="EI",G4028,IF(H4028="EO",G4028,IF(H4028="EQ",G4028,""))),"")</f>
        <v/>
      </c>
      <c r="T4028" s="38" t="str">
        <f t="shared" ref="T4028:T4091" si="441">IF(S4028&lt;&gt;"",IF(H4028="EI",L4028/$E$47,IF(H4028="EO",L4028/$E$47,IF(H4028="EQ",L4028/$E$47,""))),"")</f>
        <v/>
      </c>
      <c r="U4028" s="37" t="str">
        <f t="shared" ref="U4028:U4091" si="442">IF(S4028&lt;&gt;"",S4028*T4028,"")</f>
        <v/>
      </c>
    </row>
    <row r="4029" spans="2:21" ht="17.25">
      <c r="B4029" s="156"/>
      <c r="C4029" s="156"/>
      <c r="D4029" s="157"/>
      <c r="E4029" s="155"/>
      <c r="F4029" s="151"/>
      <c r="G4029" s="152"/>
      <c r="H4029" s="153"/>
      <c r="I4029" s="154"/>
      <c r="J4029" s="154"/>
      <c r="K4029" s="30" t="str">
        <f>IF(H4029="","",IF($C$30="간이법","",FPR(H4029,I4029,J4029)))</f>
        <v/>
      </c>
      <c r="L4029" s="30" t="str">
        <f>IF(H4029="","",IF($C$30="상세법",FPV(H4029,K4029),IF(H4029="EI",4,IF(H4029="EO",5.2,IF(H4029="EQ",3.9,IF(H4029="ILF",7.5,IF(H4029="EIF",5.4)))))))</f>
        <v/>
      </c>
      <c r="M4029" s="30" t="str">
        <f t="shared" si="436"/>
        <v/>
      </c>
      <c r="N4029" s="134"/>
      <c r="O4029" s="29"/>
      <c r="P4029" s="37" t="str">
        <f t="shared" si="437"/>
        <v/>
      </c>
      <c r="Q4029" s="38" t="str">
        <f t="shared" si="438"/>
        <v/>
      </c>
      <c r="R4029" s="37" t="str">
        <f t="shared" si="439"/>
        <v/>
      </c>
      <c r="S4029" s="37" t="str">
        <f t="shared" si="440"/>
        <v/>
      </c>
      <c r="T4029" s="38" t="str">
        <f t="shared" si="441"/>
        <v/>
      </c>
      <c r="U4029" s="37" t="str">
        <f t="shared" si="442"/>
        <v/>
      </c>
    </row>
    <row r="4030" spans="2:21" ht="17.25">
      <c r="B4030" s="156"/>
      <c r="C4030" s="156"/>
      <c r="D4030" s="157"/>
      <c r="E4030" s="155"/>
      <c r="F4030" s="151"/>
      <c r="G4030" s="152"/>
      <c r="H4030" s="153"/>
      <c r="I4030" s="154"/>
      <c r="J4030" s="154"/>
      <c r="K4030" s="30" t="str">
        <f>IF(H4030="","",IF($C$30="간이법","",FPR(H4030,I4030,J4030)))</f>
        <v/>
      </c>
      <c r="L4030" s="30" t="str">
        <f>IF(H4030="","",IF($C$30="상세법",FPV(H4030,K4030),IF(H4030="EI",4,IF(H4030="EO",5.2,IF(H4030="EQ",3.9,IF(H4030="ILF",7.5,IF(H4030="EIF",5.4)))))))</f>
        <v/>
      </c>
      <c r="M4030" s="30" t="str">
        <f t="shared" si="436"/>
        <v/>
      </c>
      <c r="N4030" s="134"/>
      <c r="O4030" s="29"/>
      <c r="P4030" s="37" t="str">
        <f t="shared" si="437"/>
        <v/>
      </c>
      <c r="Q4030" s="38" t="str">
        <f t="shared" si="438"/>
        <v/>
      </c>
      <c r="R4030" s="37" t="str">
        <f t="shared" si="439"/>
        <v/>
      </c>
      <c r="S4030" s="37" t="str">
        <f t="shared" si="440"/>
        <v/>
      </c>
      <c r="T4030" s="38" t="str">
        <f t="shared" si="441"/>
        <v/>
      </c>
      <c r="U4030" s="37" t="str">
        <f t="shared" si="442"/>
        <v/>
      </c>
    </row>
    <row r="4031" spans="2:21" ht="17.25">
      <c r="B4031" s="156"/>
      <c r="C4031" s="156"/>
      <c r="D4031" s="157"/>
      <c r="E4031" s="155"/>
      <c r="F4031" s="151"/>
      <c r="G4031" s="152"/>
      <c r="H4031" s="153"/>
      <c r="I4031" s="154"/>
      <c r="J4031" s="154"/>
      <c r="K4031" s="30" t="str">
        <f>IF(H4031="","",IF($C$30="간이법","",FPR(H4031,I4031,J4031)))</f>
        <v/>
      </c>
      <c r="L4031" s="30" t="str">
        <f>IF(H4031="","",IF($C$30="상세법",FPV(H4031,K4031),IF(H4031="EI",4,IF(H4031="EO",5.2,IF(H4031="EQ",3.9,IF(H4031="ILF",7.5,IF(H4031="EIF",5.4)))))))</f>
        <v/>
      </c>
      <c r="M4031" s="30" t="str">
        <f t="shared" si="436"/>
        <v/>
      </c>
      <c r="N4031" s="134"/>
      <c r="O4031" s="29"/>
      <c r="P4031" s="37" t="str">
        <f t="shared" si="437"/>
        <v/>
      </c>
      <c r="Q4031" s="38" t="str">
        <f t="shared" si="438"/>
        <v/>
      </c>
      <c r="R4031" s="37" t="str">
        <f t="shared" si="439"/>
        <v/>
      </c>
      <c r="S4031" s="37" t="str">
        <f t="shared" si="440"/>
        <v/>
      </c>
      <c r="T4031" s="38" t="str">
        <f t="shared" si="441"/>
        <v/>
      </c>
      <c r="U4031" s="37" t="str">
        <f t="shared" si="442"/>
        <v/>
      </c>
    </row>
    <row r="4032" spans="2:21" ht="17.25">
      <c r="B4032" s="156"/>
      <c r="C4032" s="156"/>
      <c r="D4032" s="157"/>
      <c r="E4032" s="155"/>
      <c r="F4032" s="151"/>
      <c r="G4032" s="152"/>
      <c r="H4032" s="153"/>
      <c r="I4032" s="154"/>
      <c r="J4032" s="154"/>
      <c r="K4032" s="30" t="str">
        <f>IF(H4032="","",IF($C$30="간이법","",FPR(H4032,I4032,J4032)))</f>
        <v/>
      </c>
      <c r="L4032" s="30" t="str">
        <f>IF(H4032="","",IF($C$30="상세법",FPV(H4032,K4032),IF(H4032="EI",4,IF(H4032="EO",5.2,IF(H4032="EQ",3.9,IF(H4032="ILF",7.5,IF(H4032="EIF",5.4)))))))</f>
        <v/>
      </c>
      <c r="M4032" s="30" t="str">
        <f t="shared" si="436"/>
        <v/>
      </c>
      <c r="N4032" s="134"/>
      <c r="O4032" s="29"/>
      <c r="P4032" s="37" t="str">
        <f t="shared" si="437"/>
        <v/>
      </c>
      <c r="Q4032" s="38" t="str">
        <f t="shared" si="438"/>
        <v/>
      </c>
      <c r="R4032" s="37" t="str">
        <f t="shared" si="439"/>
        <v/>
      </c>
      <c r="S4032" s="37" t="str">
        <f t="shared" si="440"/>
        <v/>
      </c>
      <c r="T4032" s="38" t="str">
        <f t="shared" si="441"/>
        <v/>
      </c>
      <c r="U4032" s="37" t="str">
        <f t="shared" si="442"/>
        <v/>
      </c>
    </row>
    <row r="4033" spans="2:21" ht="17.25">
      <c r="B4033" s="156"/>
      <c r="C4033" s="156"/>
      <c r="D4033" s="157"/>
      <c r="E4033" s="155"/>
      <c r="F4033" s="151"/>
      <c r="G4033" s="152"/>
      <c r="H4033" s="153"/>
      <c r="I4033" s="154"/>
      <c r="J4033" s="154"/>
      <c r="K4033" s="30" t="str">
        <f>IF(H4033="","",IF($C$30="간이법","",FPR(H4033,I4033,J4033)))</f>
        <v/>
      </c>
      <c r="L4033" s="30" t="str">
        <f>IF(H4033="","",IF($C$30="상세법",FPV(H4033,K4033),IF(H4033="EI",4,IF(H4033="EO",5.2,IF(H4033="EQ",3.9,IF(H4033="ILF",7.5,IF(H4033="EIF",5.4)))))))</f>
        <v/>
      </c>
      <c r="M4033" s="30" t="str">
        <f t="shared" si="436"/>
        <v/>
      </c>
      <c r="N4033" s="134"/>
      <c r="O4033" s="29"/>
      <c r="P4033" s="37" t="str">
        <f t="shared" si="437"/>
        <v/>
      </c>
      <c r="Q4033" s="38" t="str">
        <f t="shared" si="438"/>
        <v/>
      </c>
      <c r="R4033" s="37" t="str">
        <f t="shared" si="439"/>
        <v/>
      </c>
      <c r="S4033" s="37" t="str">
        <f t="shared" si="440"/>
        <v/>
      </c>
      <c r="T4033" s="38" t="str">
        <f t="shared" si="441"/>
        <v/>
      </c>
      <c r="U4033" s="37" t="str">
        <f t="shared" si="442"/>
        <v/>
      </c>
    </row>
    <row r="4034" spans="2:21" ht="17.25">
      <c r="B4034" s="156"/>
      <c r="C4034" s="156"/>
      <c r="D4034" s="157"/>
      <c r="E4034" s="155"/>
      <c r="F4034" s="151"/>
      <c r="G4034" s="152"/>
      <c r="H4034" s="153"/>
      <c r="I4034" s="154"/>
      <c r="J4034" s="154"/>
      <c r="K4034" s="30" t="str">
        <f>IF(H4034="","",IF($C$30="간이법","",FPR(H4034,I4034,J4034)))</f>
        <v/>
      </c>
      <c r="L4034" s="30" t="str">
        <f>IF(H4034="","",IF($C$30="상세법",FPV(H4034,K4034),IF(H4034="EI",4,IF(H4034="EO",5.2,IF(H4034="EQ",3.9,IF(H4034="ILF",7.5,IF(H4034="EIF",5.4)))))))</f>
        <v/>
      </c>
      <c r="M4034" s="30" t="str">
        <f t="shared" si="436"/>
        <v/>
      </c>
      <c r="N4034" s="134"/>
      <c r="O4034" s="29"/>
      <c r="P4034" s="37" t="str">
        <f t="shared" si="437"/>
        <v/>
      </c>
      <c r="Q4034" s="38" t="str">
        <f t="shared" si="438"/>
        <v/>
      </c>
      <c r="R4034" s="37" t="str">
        <f t="shared" si="439"/>
        <v/>
      </c>
      <c r="S4034" s="37" t="str">
        <f t="shared" si="440"/>
        <v/>
      </c>
      <c r="T4034" s="38" t="str">
        <f t="shared" si="441"/>
        <v/>
      </c>
      <c r="U4034" s="37" t="str">
        <f t="shared" si="442"/>
        <v/>
      </c>
    </row>
    <row r="4035" spans="2:21" ht="17.25">
      <c r="B4035" s="156"/>
      <c r="C4035" s="156"/>
      <c r="D4035" s="157"/>
      <c r="E4035" s="155"/>
      <c r="F4035" s="151"/>
      <c r="G4035" s="152"/>
      <c r="H4035" s="153"/>
      <c r="I4035" s="154"/>
      <c r="J4035" s="154"/>
      <c r="K4035" s="30" t="str">
        <f>IF(H4035="","",IF($C$30="간이법","",FPR(H4035,I4035,J4035)))</f>
        <v/>
      </c>
      <c r="L4035" s="30" t="str">
        <f>IF(H4035="","",IF($C$30="상세법",FPV(H4035,K4035),IF(H4035="EI",4,IF(H4035="EO",5.2,IF(H4035="EQ",3.9,IF(H4035="ILF",7.5,IF(H4035="EIF",5.4)))))))</f>
        <v/>
      </c>
      <c r="M4035" s="30" t="str">
        <f t="shared" si="436"/>
        <v/>
      </c>
      <c r="N4035" s="134"/>
      <c r="O4035" s="29"/>
      <c r="P4035" s="37" t="str">
        <f t="shared" si="437"/>
        <v/>
      </c>
      <c r="Q4035" s="38" t="str">
        <f t="shared" si="438"/>
        <v/>
      </c>
      <c r="R4035" s="37" t="str">
        <f t="shared" si="439"/>
        <v/>
      </c>
      <c r="S4035" s="37" t="str">
        <f t="shared" si="440"/>
        <v/>
      </c>
      <c r="T4035" s="38" t="str">
        <f t="shared" si="441"/>
        <v/>
      </c>
      <c r="U4035" s="37" t="str">
        <f t="shared" si="442"/>
        <v/>
      </c>
    </row>
    <row r="4036" spans="2:21" ht="17.25">
      <c r="B4036" s="156"/>
      <c r="C4036" s="156"/>
      <c r="D4036" s="157"/>
      <c r="E4036" s="155"/>
      <c r="F4036" s="151"/>
      <c r="G4036" s="152"/>
      <c r="H4036" s="153"/>
      <c r="I4036" s="154"/>
      <c r="J4036" s="154"/>
      <c r="K4036" s="30" t="str">
        <f>IF(H4036="","",IF($C$30="간이법","",FPR(H4036,I4036,J4036)))</f>
        <v/>
      </c>
      <c r="L4036" s="30" t="str">
        <f>IF(H4036="","",IF($C$30="상세법",FPV(H4036,K4036),IF(H4036="EI",4,IF(H4036="EO",5.2,IF(H4036="EQ",3.9,IF(H4036="ILF",7.5,IF(H4036="EIF",5.4)))))))</f>
        <v/>
      </c>
      <c r="M4036" s="30" t="str">
        <f t="shared" si="436"/>
        <v/>
      </c>
      <c r="N4036" s="134"/>
      <c r="O4036" s="29"/>
      <c r="P4036" s="37" t="str">
        <f t="shared" si="437"/>
        <v/>
      </c>
      <c r="Q4036" s="38" t="str">
        <f t="shared" si="438"/>
        <v/>
      </c>
      <c r="R4036" s="37" t="str">
        <f t="shared" si="439"/>
        <v/>
      </c>
      <c r="S4036" s="37" t="str">
        <f t="shared" si="440"/>
        <v/>
      </c>
      <c r="T4036" s="38" t="str">
        <f t="shared" si="441"/>
        <v/>
      </c>
      <c r="U4036" s="37" t="str">
        <f t="shared" si="442"/>
        <v/>
      </c>
    </row>
    <row r="4037" spans="2:21" ht="17.25">
      <c r="B4037" s="156"/>
      <c r="C4037" s="156"/>
      <c r="D4037" s="157"/>
      <c r="E4037" s="155"/>
      <c r="F4037" s="151"/>
      <c r="G4037" s="152"/>
      <c r="H4037" s="153"/>
      <c r="I4037" s="154"/>
      <c r="J4037" s="154"/>
      <c r="K4037" s="30" t="str">
        <f>IF(H4037="","",IF($C$30="간이법","",FPR(H4037,I4037,J4037)))</f>
        <v/>
      </c>
      <c r="L4037" s="30" t="str">
        <f>IF(H4037="","",IF($C$30="상세법",FPV(H4037,K4037),IF(H4037="EI",4,IF(H4037="EO",5.2,IF(H4037="EQ",3.9,IF(H4037="ILF",7.5,IF(H4037="EIF",5.4)))))))</f>
        <v/>
      </c>
      <c r="M4037" s="30" t="str">
        <f t="shared" si="436"/>
        <v/>
      </c>
      <c r="N4037" s="134"/>
      <c r="O4037" s="29"/>
      <c r="P4037" s="37" t="str">
        <f t="shared" si="437"/>
        <v/>
      </c>
      <c r="Q4037" s="38" t="str">
        <f t="shared" si="438"/>
        <v/>
      </c>
      <c r="R4037" s="37" t="str">
        <f t="shared" si="439"/>
        <v/>
      </c>
      <c r="S4037" s="37" t="str">
        <f t="shared" si="440"/>
        <v/>
      </c>
      <c r="T4037" s="38" t="str">
        <f t="shared" si="441"/>
        <v/>
      </c>
      <c r="U4037" s="37" t="str">
        <f t="shared" si="442"/>
        <v/>
      </c>
    </row>
    <row r="4038" spans="2:21" ht="17.25">
      <c r="B4038" s="156"/>
      <c r="C4038" s="156"/>
      <c r="D4038" s="157"/>
      <c r="E4038" s="155"/>
      <c r="F4038" s="151"/>
      <c r="G4038" s="152"/>
      <c r="H4038" s="153"/>
      <c r="I4038" s="154"/>
      <c r="J4038" s="154"/>
      <c r="K4038" s="30" t="str">
        <f>IF(H4038="","",IF($C$30="간이법","",FPR(H4038,I4038,J4038)))</f>
        <v/>
      </c>
      <c r="L4038" s="30" t="str">
        <f>IF(H4038="","",IF($C$30="상세법",FPV(H4038,K4038),IF(H4038="EI",4,IF(H4038="EO",5.2,IF(H4038="EQ",3.9,IF(H4038="ILF",7.5,IF(H4038="EIF",5.4)))))))</f>
        <v/>
      </c>
      <c r="M4038" s="30" t="str">
        <f t="shared" si="436"/>
        <v/>
      </c>
      <c r="N4038" s="134"/>
      <c r="O4038" s="29"/>
      <c r="P4038" s="37" t="str">
        <f t="shared" si="437"/>
        <v/>
      </c>
      <c r="Q4038" s="38" t="str">
        <f t="shared" si="438"/>
        <v/>
      </c>
      <c r="R4038" s="37" t="str">
        <f t="shared" si="439"/>
        <v/>
      </c>
      <c r="S4038" s="37" t="str">
        <f t="shared" si="440"/>
        <v/>
      </c>
      <c r="T4038" s="38" t="str">
        <f t="shared" si="441"/>
        <v/>
      </c>
      <c r="U4038" s="37" t="str">
        <f t="shared" si="442"/>
        <v/>
      </c>
    </row>
    <row r="4039" spans="2:21" ht="17.25">
      <c r="B4039" s="156"/>
      <c r="C4039" s="156"/>
      <c r="D4039" s="157"/>
      <c r="E4039" s="155"/>
      <c r="F4039" s="151"/>
      <c r="G4039" s="152"/>
      <c r="H4039" s="153"/>
      <c r="I4039" s="154"/>
      <c r="J4039" s="154"/>
      <c r="K4039" s="30" t="str">
        <f>IF(H4039="","",IF($C$30="간이법","",FPR(H4039,I4039,J4039)))</f>
        <v/>
      </c>
      <c r="L4039" s="30" t="str">
        <f>IF(H4039="","",IF($C$30="상세법",FPV(H4039,K4039),IF(H4039="EI",4,IF(H4039="EO",5.2,IF(H4039="EQ",3.9,IF(H4039="ILF",7.5,IF(H4039="EIF",5.4)))))))</f>
        <v/>
      </c>
      <c r="M4039" s="30" t="str">
        <f t="shared" si="436"/>
        <v/>
      </c>
      <c r="N4039" s="134"/>
      <c r="O4039" s="29"/>
      <c r="P4039" s="37" t="str">
        <f t="shared" si="437"/>
        <v/>
      </c>
      <c r="Q4039" s="38" t="str">
        <f t="shared" si="438"/>
        <v/>
      </c>
      <c r="R4039" s="37" t="str">
        <f t="shared" si="439"/>
        <v/>
      </c>
      <c r="S4039" s="37" t="str">
        <f t="shared" si="440"/>
        <v/>
      </c>
      <c r="T4039" s="38" t="str">
        <f t="shared" si="441"/>
        <v/>
      </c>
      <c r="U4039" s="37" t="str">
        <f t="shared" si="442"/>
        <v/>
      </c>
    </row>
    <row r="4040" spans="2:21" ht="17.25">
      <c r="B4040" s="156"/>
      <c r="C4040" s="156"/>
      <c r="D4040" s="157"/>
      <c r="E4040" s="155"/>
      <c r="F4040" s="151"/>
      <c r="G4040" s="152"/>
      <c r="H4040" s="153"/>
      <c r="I4040" s="154"/>
      <c r="J4040" s="154"/>
      <c r="K4040" s="30" t="str">
        <f>IF(H4040="","",IF($C$30="간이법","",FPR(H4040,I4040,J4040)))</f>
        <v/>
      </c>
      <c r="L4040" s="30" t="str">
        <f>IF(H4040="","",IF($C$30="상세법",FPV(H4040,K4040),IF(H4040="EI",4,IF(H4040="EO",5.2,IF(H4040="EQ",3.9,IF(H4040="ILF",7.5,IF(H4040="EIF",5.4)))))))</f>
        <v/>
      </c>
      <c r="M4040" s="30" t="str">
        <f t="shared" si="436"/>
        <v/>
      </c>
      <c r="N4040" s="134"/>
      <c r="O4040" s="29"/>
      <c r="P4040" s="37" t="str">
        <f t="shared" si="437"/>
        <v/>
      </c>
      <c r="Q4040" s="38" t="str">
        <f t="shared" si="438"/>
        <v/>
      </c>
      <c r="R4040" s="37" t="str">
        <f t="shared" si="439"/>
        <v/>
      </c>
      <c r="S4040" s="37" t="str">
        <f t="shared" si="440"/>
        <v/>
      </c>
      <c r="T4040" s="38" t="str">
        <f t="shared" si="441"/>
        <v/>
      </c>
      <c r="U4040" s="37" t="str">
        <f t="shared" si="442"/>
        <v/>
      </c>
    </row>
    <row r="4041" spans="2:21" ht="17.25">
      <c r="B4041" s="156"/>
      <c r="C4041" s="156"/>
      <c r="D4041" s="157"/>
      <c r="E4041" s="155"/>
      <c r="F4041" s="151"/>
      <c r="G4041" s="152"/>
      <c r="H4041" s="153"/>
      <c r="I4041" s="154"/>
      <c r="J4041" s="154"/>
      <c r="K4041" s="30" t="str">
        <f>IF(H4041="","",IF($C$30="간이법","",FPR(H4041,I4041,J4041)))</f>
        <v/>
      </c>
      <c r="L4041" s="30" t="str">
        <f>IF(H4041="","",IF($C$30="상세법",FPV(H4041,K4041),IF(H4041="EI",4,IF(H4041="EO",5.2,IF(H4041="EQ",3.9,IF(H4041="ILF",7.5,IF(H4041="EIF",5.4)))))))</f>
        <v/>
      </c>
      <c r="M4041" s="30" t="str">
        <f t="shared" si="436"/>
        <v/>
      </c>
      <c r="N4041" s="134"/>
      <c r="O4041" s="29"/>
      <c r="P4041" s="37" t="str">
        <f t="shared" si="437"/>
        <v/>
      </c>
      <c r="Q4041" s="38" t="str">
        <f t="shared" si="438"/>
        <v/>
      </c>
      <c r="R4041" s="37" t="str">
        <f t="shared" si="439"/>
        <v/>
      </c>
      <c r="S4041" s="37" t="str">
        <f t="shared" si="440"/>
        <v/>
      </c>
      <c r="T4041" s="38" t="str">
        <f t="shared" si="441"/>
        <v/>
      </c>
      <c r="U4041" s="37" t="str">
        <f t="shared" si="442"/>
        <v/>
      </c>
    </row>
    <row r="4042" spans="2:21" ht="17.25">
      <c r="B4042" s="156"/>
      <c r="C4042" s="156"/>
      <c r="D4042" s="157"/>
      <c r="E4042" s="155"/>
      <c r="F4042" s="151"/>
      <c r="G4042" s="152"/>
      <c r="H4042" s="153"/>
      <c r="I4042" s="154"/>
      <c r="J4042" s="154"/>
      <c r="K4042" s="30" t="str">
        <f>IF(H4042="","",IF($C$30="간이법","",FPR(H4042,I4042,J4042)))</f>
        <v/>
      </c>
      <c r="L4042" s="30" t="str">
        <f>IF(H4042="","",IF($C$30="상세법",FPV(H4042,K4042),IF(H4042="EI",4,IF(H4042="EO",5.2,IF(H4042="EQ",3.9,IF(H4042="ILF",7.5,IF(H4042="EIF",5.4)))))))</f>
        <v/>
      </c>
      <c r="M4042" s="30" t="str">
        <f t="shared" si="436"/>
        <v/>
      </c>
      <c r="N4042" s="134"/>
      <c r="O4042" s="29"/>
      <c r="P4042" s="37" t="str">
        <f t="shared" si="437"/>
        <v/>
      </c>
      <c r="Q4042" s="38" t="str">
        <f t="shared" si="438"/>
        <v/>
      </c>
      <c r="R4042" s="37" t="str">
        <f t="shared" si="439"/>
        <v/>
      </c>
      <c r="S4042" s="37" t="str">
        <f t="shared" si="440"/>
        <v/>
      </c>
      <c r="T4042" s="38" t="str">
        <f t="shared" si="441"/>
        <v/>
      </c>
      <c r="U4042" s="37" t="str">
        <f t="shared" si="442"/>
        <v/>
      </c>
    </row>
    <row r="4043" spans="2:21" ht="17.25">
      <c r="B4043" s="156"/>
      <c r="C4043" s="156"/>
      <c r="D4043" s="157"/>
      <c r="E4043" s="155"/>
      <c r="F4043" s="151"/>
      <c r="G4043" s="152"/>
      <c r="H4043" s="153"/>
      <c r="I4043" s="154"/>
      <c r="J4043" s="154"/>
      <c r="K4043" s="30" t="str">
        <f>IF(H4043="","",IF($C$30="간이법","",FPR(H4043,I4043,J4043)))</f>
        <v/>
      </c>
      <c r="L4043" s="30" t="str">
        <f>IF(H4043="","",IF($C$30="상세법",FPV(H4043,K4043),IF(H4043="EI",4,IF(H4043="EO",5.2,IF(H4043="EQ",3.9,IF(H4043="ILF",7.5,IF(H4043="EIF",5.4)))))))</f>
        <v/>
      </c>
      <c r="M4043" s="30" t="str">
        <f t="shared" si="436"/>
        <v/>
      </c>
      <c r="N4043" s="134"/>
      <c r="O4043" s="29"/>
      <c r="P4043" s="37" t="str">
        <f t="shared" si="437"/>
        <v/>
      </c>
      <c r="Q4043" s="38" t="str">
        <f t="shared" si="438"/>
        <v/>
      </c>
      <c r="R4043" s="37" t="str">
        <f t="shared" si="439"/>
        <v/>
      </c>
      <c r="S4043" s="37" t="str">
        <f t="shared" si="440"/>
        <v/>
      </c>
      <c r="T4043" s="38" t="str">
        <f t="shared" si="441"/>
        <v/>
      </c>
      <c r="U4043" s="37" t="str">
        <f t="shared" si="442"/>
        <v/>
      </c>
    </row>
    <row r="4044" spans="2:21" ht="17.25">
      <c r="B4044" s="156"/>
      <c r="C4044" s="156"/>
      <c r="D4044" s="157"/>
      <c r="E4044" s="155"/>
      <c r="F4044" s="151"/>
      <c r="G4044" s="152"/>
      <c r="H4044" s="153"/>
      <c r="I4044" s="154"/>
      <c r="J4044" s="154"/>
      <c r="K4044" s="30" t="str">
        <f>IF(H4044="","",IF($C$30="간이법","",FPR(H4044,I4044,J4044)))</f>
        <v/>
      </c>
      <c r="L4044" s="30" t="str">
        <f>IF(H4044="","",IF($C$30="상세법",FPV(H4044,K4044),IF(H4044="EI",4,IF(H4044="EO",5.2,IF(H4044="EQ",3.9,IF(H4044="ILF",7.5,IF(H4044="EIF",5.4)))))))</f>
        <v/>
      </c>
      <c r="M4044" s="30" t="str">
        <f t="shared" si="436"/>
        <v/>
      </c>
      <c r="N4044" s="134"/>
      <c r="O4044" s="29"/>
      <c r="P4044" s="37" t="str">
        <f t="shared" si="437"/>
        <v/>
      </c>
      <c r="Q4044" s="38" t="str">
        <f t="shared" si="438"/>
        <v/>
      </c>
      <c r="R4044" s="37" t="str">
        <f t="shared" si="439"/>
        <v/>
      </c>
      <c r="S4044" s="37" t="str">
        <f t="shared" si="440"/>
        <v/>
      </c>
      <c r="T4044" s="38" t="str">
        <f t="shared" si="441"/>
        <v/>
      </c>
      <c r="U4044" s="37" t="str">
        <f t="shared" si="442"/>
        <v/>
      </c>
    </row>
    <row r="4045" spans="2:21" ht="17.25">
      <c r="B4045" s="156"/>
      <c r="C4045" s="156"/>
      <c r="D4045" s="157"/>
      <c r="E4045" s="155"/>
      <c r="F4045" s="151"/>
      <c r="G4045" s="152"/>
      <c r="H4045" s="153"/>
      <c r="I4045" s="154"/>
      <c r="J4045" s="154"/>
      <c r="K4045" s="30" t="str">
        <f>IF(H4045="","",IF($C$30="간이법","",FPR(H4045,I4045,J4045)))</f>
        <v/>
      </c>
      <c r="L4045" s="30" t="str">
        <f>IF(H4045="","",IF($C$30="상세법",FPV(H4045,K4045),IF(H4045="EI",4,IF(H4045="EO",5.2,IF(H4045="EQ",3.9,IF(H4045="ILF",7.5,IF(H4045="EIF",5.4)))))))</f>
        <v/>
      </c>
      <c r="M4045" s="30" t="str">
        <f t="shared" si="436"/>
        <v/>
      </c>
      <c r="N4045" s="134"/>
      <c r="O4045" s="29"/>
      <c r="P4045" s="37" t="str">
        <f t="shared" si="437"/>
        <v/>
      </c>
      <c r="Q4045" s="38" t="str">
        <f t="shared" si="438"/>
        <v/>
      </c>
      <c r="R4045" s="37" t="str">
        <f t="shared" si="439"/>
        <v/>
      </c>
      <c r="S4045" s="37" t="str">
        <f t="shared" si="440"/>
        <v/>
      </c>
      <c r="T4045" s="38" t="str">
        <f t="shared" si="441"/>
        <v/>
      </c>
      <c r="U4045" s="37" t="str">
        <f t="shared" si="442"/>
        <v/>
      </c>
    </row>
    <row r="4046" spans="2:21" ht="17.25">
      <c r="B4046" s="156"/>
      <c r="C4046" s="156"/>
      <c r="D4046" s="157"/>
      <c r="E4046" s="155"/>
      <c r="F4046" s="151"/>
      <c r="G4046" s="152"/>
      <c r="H4046" s="153"/>
      <c r="I4046" s="154"/>
      <c r="J4046" s="154"/>
      <c r="K4046" s="30" t="str">
        <f>IF(H4046="","",IF($C$30="간이법","",FPR(H4046,I4046,J4046)))</f>
        <v/>
      </c>
      <c r="L4046" s="30" t="str">
        <f>IF(H4046="","",IF($C$30="상세법",FPV(H4046,K4046),IF(H4046="EI",4,IF(H4046="EO",5.2,IF(H4046="EQ",3.9,IF(H4046="ILF",7.5,IF(H4046="EIF",5.4)))))))</f>
        <v/>
      </c>
      <c r="M4046" s="30" t="str">
        <f t="shared" si="436"/>
        <v/>
      </c>
      <c r="N4046" s="134"/>
      <c r="O4046" s="29"/>
      <c r="P4046" s="37" t="str">
        <f t="shared" si="437"/>
        <v/>
      </c>
      <c r="Q4046" s="38" t="str">
        <f t="shared" si="438"/>
        <v/>
      </c>
      <c r="R4046" s="37" t="str">
        <f t="shared" si="439"/>
        <v/>
      </c>
      <c r="S4046" s="37" t="str">
        <f t="shared" si="440"/>
        <v/>
      </c>
      <c r="T4046" s="38" t="str">
        <f t="shared" si="441"/>
        <v/>
      </c>
      <c r="U4046" s="37" t="str">
        <f t="shared" si="442"/>
        <v/>
      </c>
    </row>
    <row r="4047" spans="2:21" ht="17.25">
      <c r="B4047" s="156"/>
      <c r="C4047" s="156"/>
      <c r="D4047" s="157"/>
      <c r="E4047" s="155"/>
      <c r="F4047" s="151"/>
      <c r="G4047" s="152"/>
      <c r="H4047" s="153"/>
      <c r="I4047" s="154"/>
      <c r="J4047" s="154"/>
      <c r="K4047" s="30" t="str">
        <f>IF(H4047="","",IF($C$30="간이법","",FPR(H4047,I4047,J4047)))</f>
        <v/>
      </c>
      <c r="L4047" s="30" t="str">
        <f>IF(H4047="","",IF($C$30="상세법",FPV(H4047,K4047),IF(H4047="EI",4,IF(H4047="EO",5.2,IF(H4047="EQ",3.9,IF(H4047="ILF",7.5,IF(H4047="EIF",5.4)))))))</f>
        <v/>
      </c>
      <c r="M4047" s="30" t="str">
        <f t="shared" si="436"/>
        <v/>
      </c>
      <c r="N4047" s="134"/>
      <c r="O4047" s="29"/>
      <c r="P4047" s="37" t="str">
        <f t="shared" si="437"/>
        <v/>
      </c>
      <c r="Q4047" s="38" t="str">
        <f t="shared" si="438"/>
        <v/>
      </c>
      <c r="R4047" s="37" t="str">
        <f t="shared" si="439"/>
        <v/>
      </c>
      <c r="S4047" s="37" t="str">
        <f t="shared" si="440"/>
        <v/>
      </c>
      <c r="T4047" s="38" t="str">
        <f t="shared" si="441"/>
        <v/>
      </c>
      <c r="U4047" s="37" t="str">
        <f t="shared" si="442"/>
        <v/>
      </c>
    </row>
    <row r="4048" spans="2:21" ht="17.25">
      <c r="B4048" s="156"/>
      <c r="C4048" s="156"/>
      <c r="D4048" s="157"/>
      <c r="E4048" s="155"/>
      <c r="F4048" s="151"/>
      <c r="G4048" s="152"/>
      <c r="H4048" s="153"/>
      <c r="I4048" s="154"/>
      <c r="J4048" s="154"/>
      <c r="K4048" s="30" t="str">
        <f>IF(H4048="","",IF($C$30="간이법","",FPR(H4048,I4048,J4048)))</f>
        <v/>
      </c>
      <c r="L4048" s="30" t="str">
        <f>IF(H4048="","",IF($C$30="상세법",FPV(H4048,K4048),IF(H4048="EI",4,IF(H4048="EO",5.2,IF(H4048="EQ",3.9,IF(H4048="ILF",7.5,IF(H4048="EIF",5.4)))))))</f>
        <v/>
      </c>
      <c r="M4048" s="30" t="str">
        <f t="shared" si="436"/>
        <v/>
      </c>
      <c r="N4048" s="134"/>
      <c r="O4048" s="29"/>
      <c r="P4048" s="37" t="str">
        <f t="shared" si="437"/>
        <v/>
      </c>
      <c r="Q4048" s="38" t="str">
        <f t="shared" si="438"/>
        <v/>
      </c>
      <c r="R4048" s="37" t="str">
        <f t="shared" si="439"/>
        <v/>
      </c>
      <c r="S4048" s="37" t="str">
        <f t="shared" si="440"/>
        <v/>
      </c>
      <c r="T4048" s="38" t="str">
        <f t="shared" si="441"/>
        <v/>
      </c>
      <c r="U4048" s="37" t="str">
        <f t="shared" si="442"/>
        <v/>
      </c>
    </row>
    <row r="4049" spans="2:21" ht="17.25">
      <c r="B4049" s="156"/>
      <c r="C4049" s="156"/>
      <c r="D4049" s="157"/>
      <c r="E4049" s="155"/>
      <c r="F4049" s="151"/>
      <c r="G4049" s="152"/>
      <c r="H4049" s="153"/>
      <c r="I4049" s="154"/>
      <c r="J4049" s="154"/>
      <c r="K4049" s="30" t="str">
        <f>IF(H4049="","",IF($C$30="간이법","",FPR(H4049,I4049,J4049)))</f>
        <v/>
      </c>
      <c r="L4049" s="30" t="str">
        <f>IF(H4049="","",IF($C$30="상세법",FPV(H4049,K4049),IF(H4049="EI",4,IF(H4049="EO",5.2,IF(H4049="EQ",3.9,IF(H4049="ILF",7.5,IF(H4049="EIF",5.4)))))))</f>
        <v/>
      </c>
      <c r="M4049" s="30" t="str">
        <f t="shared" si="436"/>
        <v/>
      </c>
      <c r="N4049" s="134"/>
      <c r="O4049" s="29"/>
      <c r="P4049" s="37" t="str">
        <f t="shared" si="437"/>
        <v/>
      </c>
      <c r="Q4049" s="38" t="str">
        <f t="shared" si="438"/>
        <v/>
      </c>
      <c r="R4049" s="37" t="str">
        <f t="shared" si="439"/>
        <v/>
      </c>
      <c r="S4049" s="37" t="str">
        <f t="shared" si="440"/>
        <v/>
      </c>
      <c r="T4049" s="38" t="str">
        <f t="shared" si="441"/>
        <v/>
      </c>
      <c r="U4049" s="37" t="str">
        <f t="shared" si="442"/>
        <v/>
      </c>
    </row>
    <row r="4050" spans="2:21" ht="17.25">
      <c r="B4050" s="156"/>
      <c r="C4050" s="156"/>
      <c r="D4050" s="157"/>
      <c r="E4050" s="155"/>
      <c r="F4050" s="151"/>
      <c r="G4050" s="152"/>
      <c r="H4050" s="153"/>
      <c r="I4050" s="154"/>
      <c r="J4050" s="154"/>
      <c r="K4050" s="30" t="str">
        <f>IF(H4050="","",IF($C$30="간이법","",FPR(H4050,I4050,J4050)))</f>
        <v/>
      </c>
      <c r="L4050" s="30" t="str">
        <f>IF(H4050="","",IF($C$30="상세법",FPV(H4050,K4050),IF(H4050="EI",4,IF(H4050="EO",5.2,IF(H4050="EQ",3.9,IF(H4050="ILF",7.5,IF(H4050="EIF",5.4)))))))</f>
        <v/>
      </c>
      <c r="M4050" s="30" t="str">
        <f t="shared" si="436"/>
        <v/>
      </c>
      <c r="N4050" s="134"/>
      <c r="O4050" s="29"/>
      <c r="P4050" s="37" t="str">
        <f t="shared" si="437"/>
        <v/>
      </c>
      <c r="Q4050" s="38" t="str">
        <f t="shared" si="438"/>
        <v/>
      </c>
      <c r="R4050" s="37" t="str">
        <f t="shared" si="439"/>
        <v/>
      </c>
      <c r="S4050" s="37" t="str">
        <f t="shared" si="440"/>
        <v/>
      </c>
      <c r="T4050" s="38" t="str">
        <f t="shared" si="441"/>
        <v/>
      </c>
      <c r="U4050" s="37" t="str">
        <f t="shared" si="442"/>
        <v/>
      </c>
    </row>
    <row r="4051" spans="2:21" ht="17.25">
      <c r="B4051" s="156"/>
      <c r="C4051" s="156"/>
      <c r="D4051" s="157"/>
      <c r="E4051" s="155"/>
      <c r="F4051" s="151"/>
      <c r="G4051" s="152"/>
      <c r="H4051" s="153"/>
      <c r="I4051" s="154"/>
      <c r="J4051" s="154"/>
      <c r="K4051" s="30" t="str">
        <f>IF(H4051="","",IF($C$30="간이법","",FPR(H4051,I4051,J4051)))</f>
        <v/>
      </c>
      <c r="L4051" s="30" t="str">
        <f>IF(H4051="","",IF($C$30="상세법",FPV(H4051,K4051),IF(H4051="EI",4,IF(H4051="EO",5.2,IF(H4051="EQ",3.9,IF(H4051="ILF",7.5,IF(H4051="EIF",5.4)))))))</f>
        <v/>
      </c>
      <c r="M4051" s="30" t="str">
        <f t="shared" si="436"/>
        <v/>
      </c>
      <c r="N4051" s="134"/>
      <c r="O4051" s="29"/>
      <c r="P4051" s="37" t="str">
        <f t="shared" si="437"/>
        <v/>
      </c>
      <c r="Q4051" s="38" t="str">
        <f t="shared" si="438"/>
        <v/>
      </c>
      <c r="R4051" s="37" t="str">
        <f t="shared" si="439"/>
        <v/>
      </c>
      <c r="S4051" s="37" t="str">
        <f t="shared" si="440"/>
        <v/>
      </c>
      <c r="T4051" s="38" t="str">
        <f t="shared" si="441"/>
        <v/>
      </c>
      <c r="U4051" s="37" t="str">
        <f t="shared" si="442"/>
        <v/>
      </c>
    </row>
    <row r="4052" spans="2:21" ht="17.25">
      <c r="B4052" s="156"/>
      <c r="C4052" s="156"/>
      <c r="D4052" s="157"/>
      <c r="E4052" s="155"/>
      <c r="F4052" s="151"/>
      <c r="G4052" s="152"/>
      <c r="H4052" s="153"/>
      <c r="I4052" s="154"/>
      <c r="J4052" s="154"/>
      <c r="K4052" s="30" t="str">
        <f>IF(H4052="","",IF($C$30="간이법","",FPR(H4052,I4052,J4052)))</f>
        <v/>
      </c>
      <c r="L4052" s="30" t="str">
        <f>IF(H4052="","",IF($C$30="상세법",FPV(H4052,K4052),IF(H4052="EI",4,IF(H4052="EO",5.2,IF(H4052="EQ",3.9,IF(H4052="ILF",7.5,IF(H4052="EIF",5.4)))))))</f>
        <v/>
      </c>
      <c r="M4052" s="30" t="str">
        <f t="shared" si="436"/>
        <v/>
      </c>
      <c r="N4052" s="134"/>
      <c r="O4052" s="29"/>
      <c r="P4052" s="37" t="str">
        <f t="shared" si="437"/>
        <v/>
      </c>
      <c r="Q4052" s="38" t="str">
        <f t="shared" si="438"/>
        <v/>
      </c>
      <c r="R4052" s="37" t="str">
        <f t="shared" si="439"/>
        <v/>
      </c>
      <c r="S4052" s="37" t="str">
        <f t="shared" si="440"/>
        <v/>
      </c>
      <c r="T4052" s="38" t="str">
        <f t="shared" si="441"/>
        <v/>
      </c>
      <c r="U4052" s="37" t="str">
        <f t="shared" si="442"/>
        <v/>
      </c>
    </row>
    <row r="4053" spans="2:21" ht="17.25">
      <c r="B4053" s="156"/>
      <c r="C4053" s="156"/>
      <c r="D4053" s="157"/>
      <c r="E4053" s="155"/>
      <c r="F4053" s="151"/>
      <c r="G4053" s="152"/>
      <c r="H4053" s="153"/>
      <c r="I4053" s="154"/>
      <c r="J4053" s="154"/>
      <c r="K4053" s="30" t="str">
        <f>IF(H4053="","",IF($C$30="간이법","",FPR(H4053,I4053,J4053)))</f>
        <v/>
      </c>
      <c r="L4053" s="30" t="str">
        <f>IF(H4053="","",IF($C$30="상세법",FPV(H4053,K4053),IF(H4053="EI",4,IF(H4053="EO",5.2,IF(H4053="EQ",3.9,IF(H4053="ILF",7.5,IF(H4053="EIF",5.4)))))))</f>
        <v/>
      </c>
      <c r="M4053" s="30" t="str">
        <f t="shared" si="436"/>
        <v/>
      </c>
      <c r="N4053" s="134"/>
      <c r="O4053" s="29"/>
      <c r="P4053" s="37" t="str">
        <f t="shared" si="437"/>
        <v/>
      </c>
      <c r="Q4053" s="38" t="str">
        <f t="shared" si="438"/>
        <v/>
      </c>
      <c r="R4053" s="37" t="str">
        <f t="shared" si="439"/>
        <v/>
      </c>
      <c r="S4053" s="37" t="str">
        <f t="shared" si="440"/>
        <v/>
      </c>
      <c r="T4053" s="38" t="str">
        <f t="shared" si="441"/>
        <v/>
      </c>
      <c r="U4053" s="37" t="str">
        <f t="shared" si="442"/>
        <v/>
      </c>
    </row>
    <row r="4054" spans="2:21" ht="17.25">
      <c r="B4054" s="156"/>
      <c r="C4054" s="156"/>
      <c r="D4054" s="157"/>
      <c r="E4054" s="155"/>
      <c r="F4054" s="151"/>
      <c r="G4054" s="152"/>
      <c r="H4054" s="153"/>
      <c r="I4054" s="154"/>
      <c r="J4054" s="154"/>
      <c r="K4054" s="30" t="str">
        <f>IF(H4054="","",IF($C$30="간이법","",FPR(H4054,I4054,J4054)))</f>
        <v/>
      </c>
      <c r="L4054" s="30" t="str">
        <f>IF(H4054="","",IF($C$30="상세법",FPV(H4054,K4054),IF(H4054="EI",4,IF(H4054="EO",5.2,IF(H4054="EQ",3.9,IF(H4054="ILF",7.5,IF(H4054="EIF",5.4)))))))</f>
        <v/>
      </c>
      <c r="M4054" s="30" t="str">
        <f t="shared" si="436"/>
        <v/>
      </c>
      <c r="N4054" s="134"/>
      <c r="O4054" s="29"/>
      <c r="P4054" s="37" t="str">
        <f t="shared" si="437"/>
        <v/>
      </c>
      <c r="Q4054" s="38" t="str">
        <f t="shared" si="438"/>
        <v/>
      </c>
      <c r="R4054" s="37" t="str">
        <f t="shared" si="439"/>
        <v/>
      </c>
      <c r="S4054" s="37" t="str">
        <f t="shared" si="440"/>
        <v/>
      </c>
      <c r="T4054" s="38" t="str">
        <f t="shared" si="441"/>
        <v/>
      </c>
      <c r="U4054" s="37" t="str">
        <f t="shared" si="442"/>
        <v/>
      </c>
    </row>
    <row r="4055" spans="2:21" ht="17.25">
      <c r="B4055" s="156"/>
      <c r="C4055" s="156"/>
      <c r="D4055" s="157"/>
      <c r="E4055" s="155"/>
      <c r="F4055" s="151"/>
      <c r="G4055" s="152"/>
      <c r="H4055" s="153"/>
      <c r="I4055" s="154"/>
      <c r="J4055" s="154"/>
      <c r="K4055" s="30" t="str">
        <f>IF(H4055="","",IF($C$30="간이법","",FPR(H4055,I4055,J4055)))</f>
        <v/>
      </c>
      <c r="L4055" s="30" t="str">
        <f>IF(H4055="","",IF($C$30="상세법",FPV(H4055,K4055),IF(H4055="EI",4,IF(H4055="EO",5.2,IF(H4055="EQ",3.9,IF(H4055="ILF",7.5,IF(H4055="EIF",5.4)))))))</f>
        <v/>
      </c>
      <c r="M4055" s="30" t="str">
        <f t="shared" si="436"/>
        <v/>
      </c>
      <c r="N4055" s="134"/>
      <c r="O4055" s="29"/>
      <c r="P4055" s="37" t="str">
        <f t="shared" si="437"/>
        <v/>
      </c>
      <c r="Q4055" s="38" t="str">
        <f t="shared" si="438"/>
        <v/>
      </c>
      <c r="R4055" s="37" t="str">
        <f t="shared" si="439"/>
        <v/>
      </c>
      <c r="S4055" s="37" t="str">
        <f t="shared" si="440"/>
        <v/>
      </c>
      <c r="T4055" s="38" t="str">
        <f t="shared" si="441"/>
        <v/>
      </c>
      <c r="U4055" s="37" t="str">
        <f t="shared" si="442"/>
        <v/>
      </c>
    </row>
    <row r="4056" spans="2:21" ht="17.25">
      <c r="B4056" s="156"/>
      <c r="C4056" s="156"/>
      <c r="D4056" s="157"/>
      <c r="E4056" s="155"/>
      <c r="F4056" s="151"/>
      <c r="G4056" s="152"/>
      <c r="H4056" s="153"/>
      <c r="I4056" s="154"/>
      <c r="J4056" s="154"/>
      <c r="K4056" s="30" t="str">
        <f>IF(H4056="","",IF($C$30="간이법","",FPR(H4056,I4056,J4056)))</f>
        <v/>
      </c>
      <c r="L4056" s="30" t="str">
        <f>IF(H4056="","",IF($C$30="상세법",FPV(H4056,K4056),IF(H4056="EI",4,IF(H4056="EO",5.2,IF(H4056="EQ",3.9,IF(H4056="ILF",7.5,IF(H4056="EIF",5.4)))))))</f>
        <v/>
      </c>
      <c r="M4056" s="30" t="str">
        <f t="shared" si="436"/>
        <v/>
      </c>
      <c r="N4056" s="134"/>
      <c r="O4056" s="29"/>
      <c r="P4056" s="37" t="str">
        <f t="shared" si="437"/>
        <v/>
      </c>
      <c r="Q4056" s="38" t="str">
        <f t="shared" si="438"/>
        <v/>
      </c>
      <c r="R4056" s="37" t="str">
        <f t="shared" si="439"/>
        <v/>
      </c>
      <c r="S4056" s="37" t="str">
        <f t="shared" si="440"/>
        <v/>
      </c>
      <c r="T4056" s="38" t="str">
        <f t="shared" si="441"/>
        <v/>
      </c>
      <c r="U4056" s="37" t="str">
        <f t="shared" si="442"/>
        <v/>
      </c>
    </row>
    <row r="4057" spans="2:21" ht="17.25">
      <c r="B4057" s="156"/>
      <c r="C4057" s="156"/>
      <c r="D4057" s="157"/>
      <c r="E4057" s="155"/>
      <c r="F4057" s="151"/>
      <c r="G4057" s="152"/>
      <c r="H4057" s="153"/>
      <c r="I4057" s="154"/>
      <c r="J4057" s="154"/>
      <c r="K4057" s="30" t="str">
        <f>IF(H4057="","",IF($C$30="간이법","",FPR(H4057,I4057,J4057)))</f>
        <v/>
      </c>
      <c r="L4057" s="30" t="str">
        <f>IF(H4057="","",IF($C$30="상세법",FPV(H4057,K4057),IF(H4057="EI",4,IF(H4057="EO",5.2,IF(H4057="EQ",3.9,IF(H4057="ILF",7.5,IF(H4057="EIF",5.4)))))))</f>
        <v/>
      </c>
      <c r="M4057" s="30" t="str">
        <f t="shared" si="436"/>
        <v/>
      </c>
      <c r="N4057" s="134"/>
      <c r="O4057" s="29"/>
      <c r="P4057" s="37" t="str">
        <f t="shared" si="437"/>
        <v/>
      </c>
      <c r="Q4057" s="38" t="str">
        <f t="shared" si="438"/>
        <v/>
      </c>
      <c r="R4057" s="37" t="str">
        <f t="shared" si="439"/>
        <v/>
      </c>
      <c r="S4057" s="37" t="str">
        <f t="shared" si="440"/>
        <v/>
      </c>
      <c r="T4057" s="38" t="str">
        <f t="shared" si="441"/>
        <v/>
      </c>
      <c r="U4057" s="37" t="str">
        <f t="shared" si="442"/>
        <v/>
      </c>
    </row>
    <row r="4058" spans="2:21" ht="17.25">
      <c r="B4058" s="156"/>
      <c r="C4058" s="156"/>
      <c r="D4058" s="157"/>
      <c r="E4058" s="155"/>
      <c r="F4058" s="151"/>
      <c r="G4058" s="152"/>
      <c r="H4058" s="153"/>
      <c r="I4058" s="154"/>
      <c r="J4058" s="154"/>
      <c r="K4058" s="30" t="str">
        <f>IF(H4058="","",IF($C$30="간이법","",FPR(H4058,I4058,J4058)))</f>
        <v/>
      </c>
      <c r="L4058" s="30" t="str">
        <f>IF(H4058="","",IF($C$30="상세법",FPV(H4058,K4058),IF(H4058="EI",4,IF(H4058="EO",5.2,IF(H4058="EQ",3.9,IF(H4058="ILF",7.5,IF(H4058="EIF",5.4)))))))</f>
        <v/>
      </c>
      <c r="M4058" s="30" t="str">
        <f t="shared" si="436"/>
        <v/>
      </c>
      <c r="N4058" s="134"/>
      <c r="O4058" s="29"/>
      <c r="P4058" s="37" t="str">
        <f t="shared" si="437"/>
        <v/>
      </c>
      <c r="Q4058" s="38" t="str">
        <f t="shared" si="438"/>
        <v/>
      </c>
      <c r="R4058" s="37" t="str">
        <f t="shared" si="439"/>
        <v/>
      </c>
      <c r="S4058" s="37" t="str">
        <f t="shared" si="440"/>
        <v/>
      </c>
      <c r="T4058" s="38" t="str">
        <f t="shared" si="441"/>
        <v/>
      </c>
      <c r="U4058" s="37" t="str">
        <f t="shared" si="442"/>
        <v/>
      </c>
    </row>
    <row r="4059" spans="2:21" ht="17.25">
      <c r="B4059" s="156"/>
      <c r="C4059" s="156"/>
      <c r="D4059" s="157"/>
      <c r="E4059" s="155"/>
      <c r="F4059" s="151"/>
      <c r="G4059" s="152"/>
      <c r="H4059" s="153"/>
      <c r="I4059" s="154"/>
      <c r="J4059" s="154"/>
      <c r="K4059" s="30" t="str">
        <f>IF(H4059="","",IF($C$30="간이법","",FPR(H4059,I4059,J4059)))</f>
        <v/>
      </c>
      <c r="L4059" s="30" t="str">
        <f>IF(H4059="","",IF($C$30="상세법",FPV(H4059,K4059),IF(H4059="EI",4,IF(H4059="EO",5.2,IF(H4059="EQ",3.9,IF(H4059="ILF",7.5,IF(H4059="EIF",5.4)))))))</f>
        <v/>
      </c>
      <c r="M4059" s="30" t="str">
        <f t="shared" si="436"/>
        <v/>
      </c>
      <c r="N4059" s="134"/>
      <c r="O4059" s="29"/>
      <c r="P4059" s="37" t="str">
        <f t="shared" si="437"/>
        <v/>
      </c>
      <c r="Q4059" s="38" t="str">
        <f t="shared" si="438"/>
        <v/>
      </c>
      <c r="R4059" s="37" t="str">
        <f t="shared" si="439"/>
        <v/>
      </c>
      <c r="S4059" s="37" t="str">
        <f t="shared" si="440"/>
        <v/>
      </c>
      <c r="T4059" s="38" t="str">
        <f t="shared" si="441"/>
        <v/>
      </c>
      <c r="U4059" s="37" t="str">
        <f t="shared" si="442"/>
        <v/>
      </c>
    </row>
    <row r="4060" spans="2:21" ht="17.25">
      <c r="B4060" s="156"/>
      <c r="C4060" s="156"/>
      <c r="D4060" s="157"/>
      <c r="E4060" s="155"/>
      <c r="F4060" s="151"/>
      <c r="G4060" s="152"/>
      <c r="H4060" s="153"/>
      <c r="I4060" s="154"/>
      <c r="J4060" s="154"/>
      <c r="K4060" s="30" t="str">
        <f>IF(H4060="","",IF($C$30="간이법","",FPR(H4060,I4060,J4060)))</f>
        <v/>
      </c>
      <c r="L4060" s="30" t="str">
        <f>IF(H4060="","",IF($C$30="상세법",FPV(H4060,K4060),IF(H4060="EI",4,IF(H4060="EO",5.2,IF(H4060="EQ",3.9,IF(H4060="ILF",7.5,IF(H4060="EIF",5.4)))))))</f>
        <v/>
      </c>
      <c r="M4060" s="30" t="str">
        <f t="shared" si="436"/>
        <v/>
      </c>
      <c r="N4060" s="134"/>
      <c r="O4060" s="29"/>
      <c r="P4060" s="37" t="str">
        <f t="shared" si="437"/>
        <v/>
      </c>
      <c r="Q4060" s="38" t="str">
        <f t="shared" si="438"/>
        <v/>
      </c>
      <c r="R4060" s="37" t="str">
        <f t="shared" si="439"/>
        <v/>
      </c>
      <c r="S4060" s="37" t="str">
        <f t="shared" si="440"/>
        <v/>
      </c>
      <c r="T4060" s="38" t="str">
        <f t="shared" si="441"/>
        <v/>
      </c>
      <c r="U4060" s="37" t="str">
        <f t="shared" si="442"/>
        <v/>
      </c>
    </row>
    <row r="4061" spans="2:21" ht="17.25">
      <c r="B4061" s="156"/>
      <c r="C4061" s="156"/>
      <c r="D4061" s="157"/>
      <c r="E4061" s="155"/>
      <c r="F4061" s="151"/>
      <c r="G4061" s="152"/>
      <c r="H4061" s="153"/>
      <c r="I4061" s="154"/>
      <c r="J4061" s="154"/>
      <c r="K4061" s="30" t="str">
        <f>IF(H4061="","",IF($C$30="간이법","",FPR(H4061,I4061,J4061)))</f>
        <v/>
      </c>
      <c r="L4061" s="30" t="str">
        <f>IF(H4061="","",IF($C$30="상세법",FPV(H4061,K4061),IF(H4061="EI",4,IF(H4061="EO",5.2,IF(H4061="EQ",3.9,IF(H4061="ILF",7.5,IF(H4061="EIF",5.4)))))))</f>
        <v/>
      </c>
      <c r="M4061" s="30" t="str">
        <f t="shared" si="436"/>
        <v/>
      </c>
      <c r="N4061" s="134"/>
      <c r="O4061" s="29"/>
      <c r="P4061" s="37" t="str">
        <f t="shared" si="437"/>
        <v/>
      </c>
      <c r="Q4061" s="38" t="str">
        <f t="shared" si="438"/>
        <v/>
      </c>
      <c r="R4061" s="37" t="str">
        <f t="shared" si="439"/>
        <v/>
      </c>
      <c r="S4061" s="37" t="str">
        <f t="shared" si="440"/>
        <v/>
      </c>
      <c r="T4061" s="38" t="str">
        <f t="shared" si="441"/>
        <v/>
      </c>
      <c r="U4061" s="37" t="str">
        <f t="shared" si="442"/>
        <v/>
      </c>
    </row>
    <row r="4062" spans="2:21" ht="17.25">
      <c r="B4062" s="156"/>
      <c r="C4062" s="156"/>
      <c r="D4062" s="157"/>
      <c r="E4062" s="155"/>
      <c r="F4062" s="151"/>
      <c r="G4062" s="152"/>
      <c r="H4062" s="153"/>
      <c r="I4062" s="154"/>
      <c r="J4062" s="154"/>
      <c r="K4062" s="30" t="str">
        <f>IF(H4062="","",IF($C$30="간이법","",FPR(H4062,I4062,J4062)))</f>
        <v/>
      </c>
      <c r="L4062" s="30" t="str">
        <f>IF(H4062="","",IF($C$30="상세법",FPV(H4062,K4062),IF(H4062="EI",4,IF(H4062="EO",5.2,IF(H4062="EQ",3.9,IF(H4062="ILF",7.5,IF(H4062="EIF",5.4)))))))</f>
        <v/>
      </c>
      <c r="M4062" s="30" t="str">
        <f t="shared" si="436"/>
        <v/>
      </c>
      <c r="N4062" s="134"/>
      <c r="O4062" s="29"/>
      <c r="P4062" s="37" t="str">
        <f t="shared" si="437"/>
        <v/>
      </c>
      <c r="Q4062" s="38" t="str">
        <f t="shared" si="438"/>
        <v/>
      </c>
      <c r="R4062" s="37" t="str">
        <f t="shared" si="439"/>
        <v/>
      </c>
      <c r="S4062" s="37" t="str">
        <f t="shared" si="440"/>
        <v/>
      </c>
      <c r="T4062" s="38" t="str">
        <f t="shared" si="441"/>
        <v/>
      </c>
      <c r="U4062" s="37" t="str">
        <f t="shared" si="442"/>
        <v/>
      </c>
    </row>
    <row r="4063" spans="2:21" ht="17.25">
      <c r="B4063" s="156"/>
      <c r="C4063" s="156"/>
      <c r="D4063" s="157"/>
      <c r="E4063" s="155"/>
      <c r="F4063" s="151"/>
      <c r="G4063" s="152"/>
      <c r="H4063" s="153"/>
      <c r="I4063" s="154"/>
      <c r="J4063" s="154"/>
      <c r="K4063" s="30" t="str">
        <f>IF(H4063="","",IF($C$30="간이법","",FPR(H4063,I4063,J4063)))</f>
        <v/>
      </c>
      <c r="L4063" s="30" t="str">
        <f>IF(H4063="","",IF($C$30="상세법",FPV(H4063,K4063),IF(H4063="EI",4,IF(H4063="EO",5.2,IF(H4063="EQ",3.9,IF(H4063="ILF",7.5,IF(H4063="EIF",5.4)))))))</f>
        <v/>
      </c>
      <c r="M4063" s="30" t="str">
        <f t="shared" si="436"/>
        <v/>
      </c>
      <c r="N4063" s="134"/>
      <c r="O4063" s="29"/>
      <c r="P4063" s="37" t="str">
        <f t="shared" si="437"/>
        <v/>
      </c>
      <c r="Q4063" s="38" t="str">
        <f t="shared" si="438"/>
        <v/>
      </c>
      <c r="R4063" s="37" t="str">
        <f t="shared" si="439"/>
        <v/>
      </c>
      <c r="S4063" s="37" t="str">
        <f t="shared" si="440"/>
        <v/>
      </c>
      <c r="T4063" s="38" t="str">
        <f t="shared" si="441"/>
        <v/>
      </c>
      <c r="U4063" s="37" t="str">
        <f t="shared" si="442"/>
        <v/>
      </c>
    </row>
    <row r="4064" spans="2:21" ht="17.25">
      <c r="B4064" s="156"/>
      <c r="C4064" s="156"/>
      <c r="D4064" s="157"/>
      <c r="E4064" s="155"/>
      <c r="F4064" s="151"/>
      <c r="G4064" s="152"/>
      <c r="H4064" s="153"/>
      <c r="I4064" s="154"/>
      <c r="J4064" s="154"/>
      <c r="K4064" s="30" t="str">
        <f>IF(H4064="","",IF($C$30="간이법","",FPR(H4064,I4064,J4064)))</f>
        <v/>
      </c>
      <c r="L4064" s="30" t="str">
        <f>IF(H4064="","",IF($C$30="상세법",FPV(H4064,K4064),IF(H4064="EI",4,IF(H4064="EO",5.2,IF(H4064="EQ",3.9,IF(H4064="ILF",7.5,IF(H4064="EIF",5.4)))))))</f>
        <v/>
      </c>
      <c r="M4064" s="30" t="str">
        <f t="shared" si="436"/>
        <v/>
      </c>
      <c r="N4064" s="134"/>
      <c r="O4064" s="29"/>
      <c r="P4064" s="37" t="str">
        <f t="shared" si="437"/>
        <v/>
      </c>
      <c r="Q4064" s="38" t="str">
        <f t="shared" si="438"/>
        <v/>
      </c>
      <c r="R4064" s="37" t="str">
        <f t="shared" si="439"/>
        <v/>
      </c>
      <c r="S4064" s="37" t="str">
        <f t="shared" si="440"/>
        <v/>
      </c>
      <c r="T4064" s="38" t="str">
        <f t="shared" si="441"/>
        <v/>
      </c>
      <c r="U4064" s="37" t="str">
        <f t="shared" si="442"/>
        <v/>
      </c>
    </row>
    <row r="4065" spans="2:21" ht="17.25">
      <c r="B4065" s="156"/>
      <c r="C4065" s="156"/>
      <c r="D4065" s="157"/>
      <c r="E4065" s="155"/>
      <c r="F4065" s="151"/>
      <c r="G4065" s="152"/>
      <c r="H4065" s="153"/>
      <c r="I4065" s="154"/>
      <c r="J4065" s="154"/>
      <c r="K4065" s="30" t="str">
        <f>IF(H4065="","",IF($C$30="간이법","",FPR(H4065,I4065,J4065)))</f>
        <v/>
      </c>
      <c r="L4065" s="30" t="str">
        <f>IF(H4065="","",IF($C$30="상세법",FPV(H4065,K4065),IF(H4065="EI",4,IF(H4065="EO",5.2,IF(H4065="EQ",3.9,IF(H4065="ILF",7.5,IF(H4065="EIF",5.4)))))))</f>
        <v/>
      </c>
      <c r="M4065" s="30" t="str">
        <f t="shared" si="436"/>
        <v/>
      </c>
      <c r="N4065" s="134"/>
      <c r="O4065" s="29"/>
      <c r="P4065" s="37" t="str">
        <f t="shared" si="437"/>
        <v/>
      </c>
      <c r="Q4065" s="38" t="str">
        <f t="shared" si="438"/>
        <v/>
      </c>
      <c r="R4065" s="37" t="str">
        <f t="shared" si="439"/>
        <v/>
      </c>
      <c r="S4065" s="37" t="str">
        <f t="shared" si="440"/>
        <v/>
      </c>
      <c r="T4065" s="38" t="str">
        <f t="shared" si="441"/>
        <v/>
      </c>
      <c r="U4065" s="37" t="str">
        <f t="shared" si="442"/>
        <v/>
      </c>
    </row>
    <row r="4066" spans="2:21" ht="17.25">
      <c r="B4066" s="156"/>
      <c r="C4066" s="156"/>
      <c r="D4066" s="157"/>
      <c r="E4066" s="155"/>
      <c r="F4066" s="151"/>
      <c r="G4066" s="152"/>
      <c r="H4066" s="153"/>
      <c r="I4066" s="154"/>
      <c r="J4066" s="154"/>
      <c r="K4066" s="30" t="str">
        <f>IF(H4066="","",IF($C$30="간이법","",FPR(H4066,I4066,J4066)))</f>
        <v/>
      </c>
      <c r="L4066" s="30" t="str">
        <f>IF(H4066="","",IF($C$30="상세법",FPV(H4066,K4066),IF(H4066="EI",4,IF(H4066="EO",5.2,IF(H4066="EQ",3.9,IF(H4066="ILF",7.5,IF(H4066="EIF",5.4)))))))</f>
        <v/>
      </c>
      <c r="M4066" s="30" t="str">
        <f t="shared" si="436"/>
        <v/>
      </c>
      <c r="N4066" s="134"/>
      <c r="O4066" s="29"/>
      <c r="P4066" s="37" t="str">
        <f t="shared" si="437"/>
        <v/>
      </c>
      <c r="Q4066" s="38" t="str">
        <f t="shared" si="438"/>
        <v/>
      </c>
      <c r="R4066" s="37" t="str">
        <f t="shared" si="439"/>
        <v/>
      </c>
      <c r="S4066" s="37" t="str">
        <f t="shared" si="440"/>
        <v/>
      </c>
      <c r="T4066" s="38" t="str">
        <f t="shared" si="441"/>
        <v/>
      </c>
      <c r="U4066" s="37" t="str">
        <f t="shared" si="442"/>
        <v/>
      </c>
    </row>
    <row r="4067" spans="2:21" ht="17.25">
      <c r="B4067" s="156"/>
      <c r="C4067" s="156"/>
      <c r="D4067" s="157"/>
      <c r="E4067" s="155"/>
      <c r="F4067" s="151"/>
      <c r="G4067" s="152"/>
      <c r="H4067" s="153"/>
      <c r="I4067" s="154"/>
      <c r="J4067" s="154"/>
      <c r="K4067" s="30" t="str">
        <f>IF(H4067="","",IF($C$30="간이법","",FPR(H4067,I4067,J4067)))</f>
        <v/>
      </c>
      <c r="L4067" s="30" t="str">
        <f>IF(H4067="","",IF($C$30="상세법",FPV(H4067,K4067),IF(H4067="EI",4,IF(H4067="EO",5.2,IF(H4067="EQ",3.9,IF(H4067="ILF",7.5,IF(H4067="EIF",5.4)))))))</f>
        <v/>
      </c>
      <c r="M4067" s="30" t="str">
        <f t="shared" si="436"/>
        <v/>
      </c>
      <c r="N4067" s="134"/>
      <c r="O4067" s="29"/>
      <c r="P4067" s="37" t="str">
        <f t="shared" si="437"/>
        <v/>
      </c>
      <c r="Q4067" s="38" t="str">
        <f t="shared" si="438"/>
        <v/>
      </c>
      <c r="R4067" s="37" t="str">
        <f t="shared" si="439"/>
        <v/>
      </c>
      <c r="S4067" s="37" t="str">
        <f t="shared" si="440"/>
        <v/>
      </c>
      <c r="T4067" s="38" t="str">
        <f t="shared" si="441"/>
        <v/>
      </c>
      <c r="U4067" s="37" t="str">
        <f t="shared" si="442"/>
        <v/>
      </c>
    </row>
    <row r="4068" spans="2:21" ht="17.25">
      <c r="B4068" s="156"/>
      <c r="C4068" s="156"/>
      <c r="D4068" s="157"/>
      <c r="E4068" s="155"/>
      <c r="F4068" s="151"/>
      <c r="G4068" s="152"/>
      <c r="H4068" s="153"/>
      <c r="I4068" s="154"/>
      <c r="J4068" s="154"/>
      <c r="K4068" s="30" t="str">
        <f>IF(H4068="","",IF($C$30="간이법","",FPR(H4068,I4068,J4068)))</f>
        <v/>
      </c>
      <c r="L4068" s="30" t="str">
        <f>IF(H4068="","",IF($C$30="상세법",FPV(H4068,K4068),IF(H4068="EI",4,IF(H4068="EO",5.2,IF(H4068="EQ",3.9,IF(H4068="ILF",7.5,IF(H4068="EIF",5.4)))))))</f>
        <v/>
      </c>
      <c r="M4068" s="30" t="str">
        <f t="shared" si="436"/>
        <v/>
      </c>
      <c r="N4068" s="134"/>
      <c r="O4068" s="29"/>
      <c r="P4068" s="37" t="str">
        <f t="shared" si="437"/>
        <v/>
      </c>
      <c r="Q4068" s="38" t="str">
        <f t="shared" si="438"/>
        <v/>
      </c>
      <c r="R4068" s="37" t="str">
        <f t="shared" si="439"/>
        <v/>
      </c>
      <c r="S4068" s="37" t="str">
        <f t="shared" si="440"/>
        <v/>
      </c>
      <c r="T4068" s="38" t="str">
        <f t="shared" si="441"/>
        <v/>
      </c>
      <c r="U4068" s="37" t="str">
        <f t="shared" si="442"/>
        <v/>
      </c>
    </row>
    <row r="4069" spans="2:21" ht="17.25">
      <c r="B4069" s="156"/>
      <c r="C4069" s="156"/>
      <c r="D4069" s="157"/>
      <c r="E4069" s="155"/>
      <c r="F4069" s="151"/>
      <c r="G4069" s="152"/>
      <c r="H4069" s="153"/>
      <c r="I4069" s="154"/>
      <c r="J4069" s="154"/>
      <c r="K4069" s="30" t="str">
        <f>IF(H4069="","",IF($C$30="간이법","",FPR(H4069,I4069,J4069)))</f>
        <v/>
      </c>
      <c r="L4069" s="30" t="str">
        <f>IF(H4069="","",IF($C$30="상세법",FPV(H4069,K4069),IF(H4069="EI",4,IF(H4069="EO",5.2,IF(H4069="EQ",3.9,IF(H4069="ILF",7.5,IF(H4069="EIF",5.4)))))))</f>
        <v/>
      </c>
      <c r="M4069" s="30" t="str">
        <f t="shared" si="436"/>
        <v/>
      </c>
      <c r="N4069" s="134"/>
      <c r="O4069" s="29"/>
      <c r="P4069" s="37" t="str">
        <f t="shared" si="437"/>
        <v/>
      </c>
      <c r="Q4069" s="38" t="str">
        <f t="shared" si="438"/>
        <v/>
      </c>
      <c r="R4069" s="37" t="str">
        <f t="shared" si="439"/>
        <v/>
      </c>
      <c r="S4069" s="37" t="str">
        <f t="shared" si="440"/>
        <v/>
      </c>
      <c r="T4069" s="38" t="str">
        <f t="shared" si="441"/>
        <v/>
      </c>
      <c r="U4069" s="37" t="str">
        <f t="shared" si="442"/>
        <v/>
      </c>
    </row>
    <row r="4070" spans="2:21" ht="17.25">
      <c r="B4070" s="156"/>
      <c r="C4070" s="156"/>
      <c r="D4070" s="157"/>
      <c r="E4070" s="155"/>
      <c r="F4070" s="151"/>
      <c r="G4070" s="152"/>
      <c r="H4070" s="153"/>
      <c r="I4070" s="154"/>
      <c r="J4070" s="154"/>
      <c r="K4070" s="30" t="str">
        <f>IF(H4070="","",IF($C$30="간이법","",FPR(H4070,I4070,J4070)))</f>
        <v/>
      </c>
      <c r="L4070" s="30" t="str">
        <f>IF(H4070="","",IF($C$30="상세법",FPV(H4070,K4070),IF(H4070="EI",4,IF(H4070="EO",5.2,IF(H4070="EQ",3.9,IF(H4070="ILF",7.5,IF(H4070="EIF",5.4)))))))</f>
        <v/>
      </c>
      <c r="M4070" s="30" t="str">
        <f t="shared" si="436"/>
        <v/>
      </c>
      <c r="N4070" s="134"/>
      <c r="O4070" s="29"/>
      <c r="P4070" s="37" t="str">
        <f t="shared" si="437"/>
        <v/>
      </c>
      <c r="Q4070" s="38" t="str">
        <f t="shared" si="438"/>
        <v/>
      </c>
      <c r="R4070" s="37" t="str">
        <f t="shared" si="439"/>
        <v/>
      </c>
      <c r="S4070" s="37" t="str">
        <f t="shared" si="440"/>
        <v/>
      </c>
      <c r="T4070" s="38" t="str">
        <f t="shared" si="441"/>
        <v/>
      </c>
      <c r="U4070" s="37" t="str">
        <f t="shared" si="442"/>
        <v/>
      </c>
    </row>
    <row r="4071" spans="2:21" ht="17.25">
      <c r="B4071" s="156"/>
      <c r="C4071" s="156"/>
      <c r="D4071" s="157"/>
      <c r="E4071" s="155"/>
      <c r="F4071" s="151"/>
      <c r="G4071" s="152"/>
      <c r="H4071" s="153"/>
      <c r="I4071" s="154"/>
      <c r="J4071" s="154"/>
      <c r="K4071" s="30" t="str">
        <f>IF(H4071="","",IF($C$30="간이법","",FPR(H4071,I4071,J4071)))</f>
        <v/>
      </c>
      <c r="L4071" s="30" t="str">
        <f>IF(H4071="","",IF($C$30="상세법",FPV(H4071,K4071),IF(H4071="EI",4,IF(H4071="EO",5.2,IF(H4071="EQ",3.9,IF(H4071="ILF",7.5,IF(H4071="EIF",5.4)))))))</f>
        <v/>
      </c>
      <c r="M4071" s="30" t="str">
        <f t="shared" si="436"/>
        <v/>
      </c>
      <c r="N4071" s="134"/>
      <c r="O4071" s="29"/>
      <c r="P4071" s="37" t="str">
        <f t="shared" si="437"/>
        <v/>
      </c>
      <c r="Q4071" s="38" t="str">
        <f t="shared" si="438"/>
        <v/>
      </c>
      <c r="R4071" s="37" t="str">
        <f t="shared" si="439"/>
        <v/>
      </c>
      <c r="S4071" s="37" t="str">
        <f t="shared" si="440"/>
        <v/>
      </c>
      <c r="T4071" s="38" t="str">
        <f t="shared" si="441"/>
        <v/>
      </c>
      <c r="U4071" s="37" t="str">
        <f t="shared" si="442"/>
        <v/>
      </c>
    </row>
    <row r="4072" spans="2:21" ht="17.25">
      <c r="B4072" s="156"/>
      <c r="C4072" s="156"/>
      <c r="D4072" s="157"/>
      <c r="E4072" s="155"/>
      <c r="F4072" s="151"/>
      <c r="G4072" s="152"/>
      <c r="H4072" s="153"/>
      <c r="I4072" s="154"/>
      <c r="J4072" s="154"/>
      <c r="K4072" s="30" t="str">
        <f>IF(H4072="","",IF($C$30="간이법","",FPR(H4072,I4072,J4072)))</f>
        <v/>
      </c>
      <c r="L4072" s="30" t="str">
        <f>IF(H4072="","",IF($C$30="상세법",FPV(H4072,K4072),IF(H4072="EI",4,IF(H4072="EO",5.2,IF(H4072="EQ",3.9,IF(H4072="ILF",7.5,IF(H4072="EIF",5.4)))))))</f>
        <v/>
      </c>
      <c r="M4072" s="30" t="str">
        <f t="shared" si="436"/>
        <v/>
      </c>
      <c r="N4072" s="134"/>
      <c r="O4072" s="29"/>
      <c r="P4072" s="37" t="str">
        <f t="shared" si="437"/>
        <v/>
      </c>
      <c r="Q4072" s="38" t="str">
        <f t="shared" si="438"/>
        <v/>
      </c>
      <c r="R4072" s="37" t="str">
        <f t="shared" si="439"/>
        <v/>
      </c>
      <c r="S4072" s="37" t="str">
        <f t="shared" si="440"/>
        <v/>
      </c>
      <c r="T4072" s="38" t="str">
        <f t="shared" si="441"/>
        <v/>
      </c>
      <c r="U4072" s="37" t="str">
        <f t="shared" si="442"/>
        <v/>
      </c>
    </row>
    <row r="4073" spans="2:21" ht="17.25">
      <c r="B4073" s="156"/>
      <c r="C4073" s="156"/>
      <c r="D4073" s="157"/>
      <c r="E4073" s="155"/>
      <c r="F4073" s="151"/>
      <c r="G4073" s="152"/>
      <c r="H4073" s="153"/>
      <c r="I4073" s="154"/>
      <c r="J4073" s="154"/>
      <c r="K4073" s="30" t="str">
        <f>IF(H4073="","",IF($C$30="간이법","",FPR(H4073,I4073,J4073)))</f>
        <v/>
      </c>
      <c r="L4073" s="30" t="str">
        <f>IF(H4073="","",IF($C$30="상세법",FPV(H4073,K4073),IF(H4073="EI",4,IF(H4073="EO",5.2,IF(H4073="EQ",3.9,IF(H4073="ILF",7.5,IF(H4073="EIF",5.4)))))))</f>
        <v/>
      </c>
      <c r="M4073" s="30" t="str">
        <f t="shared" si="436"/>
        <v/>
      </c>
      <c r="N4073" s="134"/>
      <c r="O4073" s="29"/>
      <c r="P4073" s="37" t="str">
        <f t="shared" si="437"/>
        <v/>
      </c>
      <c r="Q4073" s="38" t="str">
        <f t="shared" si="438"/>
        <v/>
      </c>
      <c r="R4073" s="37" t="str">
        <f t="shared" si="439"/>
        <v/>
      </c>
      <c r="S4073" s="37" t="str">
        <f t="shared" si="440"/>
        <v/>
      </c>
      <c r="T4073" s="38" t="str">
        <f t="shared" si="441"/>
        <v/>
      </c>
      <c r="U4073" s="37" t="str">
        <f t="shared" si="442"/>
        <v/>
      </c>
    </row>
    <row r="4074" spans="2:21" ht="17.25">
      <c r="B4074" s="156"/>
      <c r="C4074" s="156"/>
      <c r="D4074" s="157"/>
      <c r="E4074" s="155"/>
      <c r="F4074" s="151"/>
      <c r="G4074" s="152"/>
      <c r="H4074" s="153"/>
      <c r="I4074" s="154"/>
      <c r="J4074" s="154"/>
      <c r="K4074" s="30" t="str">
        <f>IF(H4074="","",IF($C$30="간이법","",FPR(H4074,I4074,J4074)))</f>
        <v/>
      </c>
      <c r="L4074" s="30" t="str">
        <f>IF(H4074="","",IF($C$30="상세법",FPV(H4074,K4074),IF(H4074="EI",4,IF(H4074="EO",5.2,IF(H4074="EQ",3.9,IF(H4074="ILF",7.5,IF(H4074="EIF",5.4)))))))</f>
        <v/>
      </c>
      <c r="M4074" s="30" t="str">
        <f t="shared" si="436"/>
        <v/>
      </c>
      <c r="N4074" s="134"/>
      <c r="O4074" s="29"/>
      <c r="P4074" s="37" t="str">
        <f t="shared" si="437"/>
        <v/>
      </c>
      <c r="Q4074" s="38" t="str">
        <f t="shared" si="438"/>
        <v/>
      </c>
      <c r="R4074" s="37" t="str">
        <f t="shared" si="439"/>
        <v/>
      </c>
      <c r="S4074" s="37" t="str">
        <f t="shared" si="440"/>
        <v/>
      </c>
      <c r="T4074" s="38" t="str">
        <f t="shared" si="441"/>
        <v/>
      </c>
      <c r="U4074" s="37" t="str">
        <f t="shared" si="442"/>
        <v/>
      </c>
    </row>
    <row r="4075" spans="2:21" ht="17.25">
      <c r="B4075" s="156"/>
      <c r="C4075" s="156"/>
      <c r="D4075" s="157"/>
      <c r="E4075" s="155"/>
      <c r="F4075" s="151"/>
      <c r="G4075" s="152"/>
      <c r="H4075" s="153"/>
      <c r="I4075" s="154"/>
      <c r="J4075" s="154"/>
      <c r="K4075" s="30" t="str">
        <f>IF(H4075="","",IF($C$30="간이법","",FPR(H4075,I4075,J4075)))</f>
        <v/>
      </c>
      <c r="L4075" s="30" t="str">
        <f>IF(H4075="","",IF($C$30="상세법",FPV(H4075,K4075),IF(H4075="EI",4,IF(H4075="EO",5.2,IF(H4075="EQ",3.9,IF(H4075="ILF",7.5,IF(H4075="EIF",5.4)))))))</f>
        <v/>
      </c>
      <c r="M4075" s="30" t="str">
        <f t="shared" si="436"/>
        <v/>
      </c>
      <c r="N4075" s="134"/>
      <c r="O4075" s="29"/>
      <c r="P4075" s="37" t="str">
        <f t="shared" si="437"/>
        <v/>
      </c>
      <c r="Q4075" s="38" t="str">
        <f t="shared" si="438"/>
        <v/>
      </c>
      <c r="R4075" s="37" t="str">
        <f t="shared" si="439"/>
        <v/>
      </c>
      <c r="S4075" s="37" t="str">
        <f t="shared" si="440"/>
        <v/>
      </c>
      <c r="T4075" s="38" t="str">
        <f t="shared" si="441"/>
        <v/>
      </c>
      <c r="U4075" s="37" t="str">
        <f t="shared" si="442"/>
        <v/>
      </c>
    </row>
    <row r="4076" spans="2:21" ht="17.25">
      <c r="B4076" s="156"/>
      <c r="C4076" s="156"/>
      <c r="D4076" s="157"/>
      <c r="E4076" s="155"/>
      <c r="F4076" s="151"/>
      <c r="G4076" s="152"/>
      <c r="H4076" s="153"/>
      <c r="I4076" s="154"/>
      <c r="J4076" s="154"/>
      <c r="K4076" s="30" t="str">
        <f>IF(H4076="","",IF($C$30="간이법","",FPR(H4076,I4076,J4076)))</f>
        <v/>
      </c>
      <c r="L4076" s="30" t="str">
        <f>IF(H4076="","",IF($C$30="상세법",FPV(H4076,K4076),IF(H4076="EI",4,IF(H4076="EO",5.2,IF(H4076="EQ",3.9,IF(H4076="ILF",7.5,IF(H4076="EIF",5.4)))))))</f>
        <v/>
      </c>
      <c r="M4076" s="30" t="str">
        <f t="shared" si="436"/>
        <v/>
      </c>
      <c r="N4076" s="134"/>
      <c r="O4076" s="29"/>
      <c r="P4076" s="37" t="str">
        <f t="shared" si="437"/>
        <v/>
      </c>
      <c r="Q4076" s="38" t="str">
        <f t="shared" si="438"/>
        <v/>
      </c>
      <c r="R4076" s="37" t="str">
        <f t="shared" si="439"/>
        <v/>
      </c>
      <c r="S4076" s="37" t="str">
        <f t="shared" si="440"/>
        <v/>
      </c>
      <c r="T4076" s="38" t="str">
        <f t="shared" si="441"/>
        <v/>
      </c>
      <c r="U4076" s="37" t="str">
        <f t="shared" si="442"/>
        <v/>
      </c>
    </row>
    <row r="4077" spans="2:21" ht="17.25">
      <c r="B4077" s="156"/>
      <c r="C4077" s="156"/>
      <c r="D4077" s="157"/>
      <c r="E4077" s="155"/>
      <c r="F4077" s="151"/>
      <c r="G4077" s="152"/>
      <c r="H4077" s="153"/>
      <c r="I4077" s="154"/>
      <c r="J4077" s="154"/>
      <c r="K4077" s="30" t="str">
        <f>IF(H4077="","",IF($C$30="간이법","",FPR(H4077,I4077,J4077)))</f>
        <v/>
      </c>
      <c r="L4077" s="30" t="str">
        <f>IF(H4077="","",IF($C$30="상세법",FPV(H4077,K4077),IF(H4077="EI",4,IF(H4077="EO",5.2,IF(H4077="EQ",3.9,IF(H4077="ILF",7.5,IF(H4077="EIF",5.4)))))))</f>
        <v/>
      </c>
      <c r="M4077" s="30" t="str">
        <f t="shared" si="436"/>
        <v/>
      </c>
      <c r="N4077" s="134"/>
      <c r="O4077" s="29"/>
      <c r="P4077" s="37" t="str">
        <f t="shared" si="437"/>
        <v/>
      </c>
      <c r="Q4077" s="38" t="str">
        <f t="shared" si="438"/>
        <v/>
      </c>
      <c r="R4077" s="37" t="str">
        <f t="shared" si="439"/>
        <v/>
      </c>
      <c r="S4077" s="37" t="str">
        <f t="shared" si="440"/>
        <v/>
      </c>
      <c r="T4077" s="38" t="str">
        <f t="shared" si="441"/>
        <v/>
      </c>
      <c r="U4077" s="37" t="str">
        <f t="shared" si="442"/>
        <v/>
      </c>
    </row>
    <row r="4078" spans="2:21" ht="17.25">
      <c r="B4078" s="156"/>
      <c r="C4078" s="156"/>
      <c r="D4078" s="157"/>
      <c r="E4078" s="155"/>
      <c r="F4078" s="151"/>
      <c r="G4078" s="152"/>
      <c r="H4078" s="153"/>
      <c r="I4078" s="154"/>
      <c r="J4078" s="154"/>
      <c r="K4078" s="30" t="str">
        <f>IF(H4078="","",IF($C$30="간이법","",FPR(H4078,I4078,J4078)))</f>
        <v/>
      </c>
      <c r="L4078" s="30" t="str">
        <f>IF(H4078="","",IF($C$30="상세법",FPV(H4078,K4078),IF(H4078="EI",4,IF(H4078="EO",5.2,IF(H4078="EQ",3.9,IF(H4078="ILF",7.5,IF(H4078="EIF",5.4)))))))</f>
        <v/>
      </c>
      <c r="M4078" s="30" t="str">
        <f t="shared" si="436"/>
        <v/>
      </c>
      <c r="N4078" s="134"/>
      <c r="O4078" s="29"/>
      <c r="P4078" s="37" t="str">
        <f t="shared" si="437"/>
        <v/>
      </c>
      <c r="Q4078" s="38" t="str">
        <f t="shared" si="438"/>
        <v/>
      </c>
      <c r="R4078" s="37" t="str">
        <f t="shared" si="439"/>
        <v/>
      </c>
      <c r="S4078" s="37" t="str">
        <f t="shared" si="440"/>
        <v/>
      </c>
      <c r="T4078" s="38" t="str">
        <f t="shared" si="441"/>
        <v/>
      </c>
      <c r="U4078" s="37" t="str">
        <f t="shared" si="442"/>
        <v/>
      </c>
    </row>
    <row r="4079" spans="2:21" ht="17.25">
      <c r="B4079" s="156"/>
      <c r="C4079" s="156"/>
      <c r="D4079" s="157"/>
      <c r="E4079" s="155"/>
      <c r="F4079" s="151"/>
      <c r="G4079" s="152"/>
      <c r="H4079" s="153"/>
      <c r="I4079" s="154"/>
      <c r="J4079" s="154"/>
      <c r="K4079" s="30" t="str">
        <f>IF(H4079="","",IF($C$30="간이법","",FPR(H4079,I4079,J4079)))</f>
        <v/>
      </c>
      <c r="L4079" s="30" t="str">
        <f>IF(H4079="","",IF($C$30="상세법",FPV(H4079,K4079),IF(H4079="EI",4,IF(H4079="EO",5.2,IF(H4079="EQ",3.9,IF(H4079="ILF",7.5,IF(H4079="EIF",5.4)))))))</f>
        <v/>
      </c>
      <c r="M4079" s="30" t="str">
        <f t="shared" si="436"/>
        <v/>
      </c>
      <c r="N4079" s="134"/>
      <c r="O4079" s="29"/>
      <c r="P4079" s="37" t="str">
        <f t="shared" si="437"/>
        <v/>
      </c>
      <c r="Q4079" s="38" t="str">
        <f t="shared" si="438"/>
        <v/>
      </c>
      <c r="R4079" s="37" t="str">
        <f t="shared" si="439"/>
        <v/>
      </c>
      <c r="S4079" s="37" t="str">
        <f t="shared" si="440"/>
        <v/>
      </c>
      <c r="T4079" s="38" t="str">
        <f t="shared" si="441"/>
        <v/>
      </c>
      <c r="U4079" s="37" t="str">
        <f t="shared" si="442"/>
        <v/>
      </c>
    </row>
    <row r="4080" spans="2:21" ht="17.25">
      <c r="B4080" s="156"/>
      <c r="C4080" s="156"/>
      <c r="D4080" s="157"/>
      <c r="E4080" s="155"/>
      <c r="F4080" s="151"/>
      <c r="G4080" s="152"/>
      <c r="H4080" s="153"/>
      <c r="I4080" s="154"/>
      <c r="J4080" s="154"/>
      <c r="K4080" s="30" t="str">
        <f>IF(H4080="","",IF($C$30="간이법","",FPR(H4080,I4080,J4080)))</f>
        <v/>
      </c>
      <c r="L4080" s="30" t="str">
        <f>IF(H4080="","",IF($C$30="상세법",FPV(H4080,K4080),IF(H4080="EI",4,IF(H4080="EO",5.2,IF(H4080="EQ",3.9,IF(H4080="ILF",7.5,IF(H4080="EIF",5.4)))))))</f>
        <v/>
      </c>
      <c r="M4080" s="30" t="str">
        <f t="shared" si="436"/>
        <v/>
      </c>
      <c r="N4080" s="134"/>
      <c r="O4080" s="29"/>
      <c r="P4080" s="37" t="str">
        <f t="shared" si="437"/>
        <v/>
      </c>
      <c r="Q4080" s="38" t="str">
        <f t="shared" si="438"/>
        <v/>
      </c>
      <c r="R4080" s="37" t="str">
        <f t="shared" si="439"/>
        <v/>
      </c>
      <c r="S4080" s="37" t="str">
        <f t="shared" si="440"/>
        <v/>
      </c>
      <c r="T4080" s="38" t="str">
        <f t="shared" si="441"/>
        <v/>
      </c>
      <c r="U4080" s="37" t="str">
        <f t="shared" si="442"/>
        <v/>
      </c>
    </row>
    <row r="4081" spans="2:21" ht="17.25">
      <c r="B4081" s="156"/>
      <c r="C4081" s="156"/>
      <c r="D4081" s="157"/>
      <c r="E4081" s="155"/>
      <c r="F4081" s="151"/>
      <c r="G4081" s="152"/>
      <c r="H4081" s="153"/>
      <c r="I4081" s="154"/>
      <c r="J4081" s="154"/>
      <c r="K4081" s="30" t="str">
        <f>IF(H4081="","",IF($C$30="간이법","",FPR(H4081,I4081,J4081)))</f>
        <v/>
      </c>
      <c r="L4081" s="30" t="str">
        <f>IF(H4081="","",IF($C$30="상세법",FPV(H4081,K4081),IF(H4081="EI",4,IF(H4081="EO",5.2,IF(H4081="EQ",3.9,IF(H4081="ILF",7.5,IF(H4081="EIF",5.4)))))))</f>
        <v/>
      </c>
      <c r="M4081" s="30" t="str">
        <f t="shared" si="436"/>
        <v/>
      </c>
      <c r="N4081" s="134"/>
      <c r="O4081" s="29"/>
      <c r="P4081" s="37" t="str">
        <f t="shared" si="437"/>
        <v/>
      </c>
      <c r="Q4081" s="38" t="str">
        <f t="shared" si="438"/>
        <v/>
      </c>
      <c r="R4081" s="37" t="str">
        <f t="shared" si="439"/>
        <v/>
      </c>
      <c r="S4081" s="37" t="str">
        <f t="shared" si="440"/>
        <v/>
      </c>
      <c r="T4081" s="38" t="str">
        <f t="shared" si="441"/>
        <v/>
      </c>
      <c r="U4081" s="37" t="str">
        <f t="shared" si="442"/>
        <v/>
      </c>
    </row>
    <row r="4082" spans="2:21" ht="17.25">
      <c r="B4082" s="156"/>
      <c r="C4082" s="156"/>
      <c r="D4082" s="157"/>
      <c r="E4082" s="155"/>
      <c r="F4082" s="151"/>
      <c r="G4082" s="152"/>
      <c r="H4082" s="153"/>
      <c r="I4082" s="154"/>
      <c r="J4082" s="154"/>
      <c r="K4082" s="30" t="str">
        <f>IF(H4082="","",IF($C$30="간이법","",FPR(H4082,I4082,J4082)))</f>
        <v/>
      </c>
      <c r="L4082" s="30" t="str">
        <f>IF(H4082="","",IF($C$30="상세법",FPV(H4082,K4082),IF(H4082="EI",4,IF(H4082="EO",5.2,IF(H4082="EQ",3.9,IF(H4082="ILF",7.5,IF(H4082="EIF",5.4)))))))</f>
        <v/>
      </c>
      <c r="M4082" s="30" t="str">
        <f t="shared" si="436"/>
        <v/>
      </c>
      <c r="N4082" s="134"/>
      <c r="O4082" s="29"/>
      <c r="P4082" s="37" t="str">
        <f t="shared" si="437"/>
        <v/>
      </c>
      <c r="Q4082" s="38" t="str">
        <f t="shared" si="438"/>
        <v/>
      </c>
      <c r="R4082" s="37" t="str">
        <f t="shared" si="439"/>
        <v/>
      </c>
      <c r="S4082" s="37" t="str">
        <f t="shared" si="440"/>
        <v/>
      </c>
      <c r="T4082" s="38" t="str">
        <f t="shared" si="441"/>
        <v/>
      </c>
      <c r="U4082" s="37" t="str">
        <f t="shared" si="442"/>
        <v/>
      </c>
    </row>
    <row r="4083" spans="2:21" ht="17.25">
      <c r="B4083" s="156"/>
      <c r="C4083" s="156"/>
      <c r="D4083" s="157"/>
      <c r="E4083" s="155"/>
      <c r="F4083" s="151"/>
      <c r="G4083" s="152"/>
      <c r="H4083" s="153"/>
      <c r="I4083" s="154"/>
      <c r="J4083" s="154"/>
      <c r="K4083" s="30" t="str">
        <f>IF(H4083="","",IF($C$30="간이법","",FPR(H4083,I4083,J4083)))</f>
        <v/>
      </c>
      <c r="L4083" s="30" t="str">
        <f>IF(H4083="","",IF($C$30="상세법",FPV(H4083,K4083),IF(H4083="EI",4,IF(H4083="EO",5.2,IF(H4083="EQ",3.9,IF(H4083="ILF",7.5,IF(H4083="EIF",5.4)))))))</f>
        <v/>
      </c>
      <c r="M4083" s="30" t="str">
        <f t="shared" si="436"/>
        <v/>
      </c>
      <c r="N4083" s="134"/>
      <c r="O4083" s="29"/>
      <c r="P4083" s="37" t="str">
        <f t="shared" si="437"/>
        <v/>
      </c>
      <c r="Q4083" s="38" t="str">
        <f t="shared" si="438"/>
        <v/>
      </c>
      <c r="R4083" s="37" t="str">
        <f t="shared" si="439"/>
        <v/>
      </c>
      <c r="S4083" s="37" t="str">
        <f t="shared" si="440"/>
        <v/>
      </c>
      <c r="T4083" s="38" t="str">
        <f t="shared" si="441"/>
        <v/>
      </c>
      <c r="U4083" s="37" t="str">
        <f t="shared" si="442"/>
        <v/>
      </c>
    </row>
    <row r="4084" spans="2:21" ht="17.25">
      <c r="B4084" s="156"/>
      <c r="C4084" s="156"/>
      <c r="D4084" s="157"/>
      <c r="E4084" s="155"/>
      <c r="F4084" s="151"/>
      <c r="G4084" s="152"/>
      <c r="H4084" s="153"/>
      <c r="I4084" s="154"/>
      <c r="J4084" s="154"/>
      <c r="K4084" s="30" t="str">
        <f>IF(H4084="","",IF($C$30="간이법","",FPR(H4084,I4084,J4084)))</f>
        <v/>
      </c>
      <c r="L4084" s="30" t="str">
        <f>IF(H4084="","",IF($C$30="상세법",FPV(H4084,K4084),IF(H4084="EI",4,IF(H4084="EO",5.2,IF(H4084="EQ",3.9,IF(H4084="ILF",7.5,IF(H4084="EIF",5.4)))))))</f>
        <v/>
      </c>
      <c r="M4084" s="30" t="str">
        <f t="shared" si="436"/>
        <v/>
      </c>
      <c r="N4084" s="134"/>
      <c r="O4084" s="29"/>
      <c r="P4084" s="37" t="str">
        <f t="shared" si="437"/>
        <v/>
      </c>
      <c r="Q4084" s="38" t="str">
        <f t="shared" si="438"/>
        <v/>
      </c>
      <c r="R4084" s="37" t="str">
        <f t="shared" si="439"/>
        <v/>
      </c>
      <c r="S4084" s="37" t="str">
        <f t="shared" si="440"/>
        <v/>
      </c>
      <c r="T4084" s="38" t="str">
        <f t="shared" si="441"/>
        <v/>
      </c>
      <c r="U4084" s="37" t="str">
        <f t="shared" si="442"/>
        <v/>
      </c>
    </row>
    <row r="4085" spans="2:21" ht="17.25">
      <c r="B4085" s="156"/>
      <c r="C4085" s="156"/>
      <c r="D4085" s="157"/>
      <c r="E4085" s="155"/>
      <c r="F4085" s="151"/>
      <c r="G4085" s="152"/>
      <c r="H4085" s="153"/>
      <c r="I4085" s="154"/>
      <c r="J4085" s="154"/>
      <c r="K4085" s="30" t="str">
        <f>IF(H4085="","",IF($C$30="간이법","",FPR(H4085,I4085,J4085)))</f>
        <v/>
      </c>
      <c r="L4085" s="30" t="str">
        <f>IF(H4085="","",IF($C$30="상세법",FPV(H4085,K4085),IF(H4085="EI",4,IF(H4085="EO",5.2,IF(H4085="EQ",3.9,IF(H4085="ILF",7.5,IF(H4085="EIF",5.4)))))))</f>
        <v/>
      </c>
      <c r="M4085" s="30" t="str">
        <f t="shared" si="436"/>
        <v/>
      </c>
      <c r="N4085" s="134"/>
      <c r="O4085" s="29"/>
      <c r="P4085" s="37" t="str">
        <f t="shared" si="437"/>
        <v/>
      </c>
      <c r="Q4085" s="38" t="str">
        <f t="shared" si="438"/>
        <v/>
      </c>
      <c r="R4085" s="37" t="str">
        <f t="shared" si="439"/>
        <v/>
      </c>
      <c r="S4085" s="37" t="str">
        <f t="shared" si="440"/>
        <v/>
      </c>
      <c r="T4085" s="38" t="str">
        <f t="shared" si="441"/>
        <v/>
      </c>
      <c r="U4085" s="37" t="str">
        <f t="shared" si="442"/>
        <v/>
      </c>
    </row>
    <row r="4086" spans="2:21" ht="17.25">
      <c r="B4086" s="156"/>
      <c r="C4086" s="156"/>
      <c r="D4086" s="157"/>
      <c r="E4086" s="155"/>
      <c r="F4086" s="151"/>
      <c r="G4086" s="152"/>
      <c r="H4086" s="153"/>
      <c r="I4086" s="154"/>
      <c r="J4086" s="154"/>
      <c r="K4086" s="30" t="str">
        <f>IF(H4086="","",IF($C$30="간이법","",FPR(H4086,I4086,J4086)))</f>
        <v/>
      </c>
      <c r="L4086" s="30" t="str">
        <f>IF(H4086="","",IF($C$30="상세법",FPV(H4086,K4086),IF(H4086="EI",4,IF(H4086="EO",5.2,IF(H4086="EQ",3.9,IF(H4086="ILF",7.5,IF(H4086="EIF",5.4)))))))</f>
        <v/>
      </c>
      <c r="M4086" s="30" t="str">
        <f t="shared" si="436"/>
        <v/>
      </c>
      <c r="N4086" s="134"/>
      <c r="O4086" s="29"/>
      <c r="P4086" s="37" t="str">
        <f t="shared" si="437"/>
        <v/>
      </c>
      <c r="Q4086" s="38" t="str">
        <f t="shared" si="438"/>
        <v/>
      </c>
      <c r="R4086" s="37" t="str">
        <f t="shared" si="439"/>
        <v/>
      </c>
      <c r="S4086" s="37" t="str">
        <f t="shared" si="440"/>
        <v/>
      </c>
      <c r="T4086" s="38" t="str">
        <f t="shared" si="441"/>
        <v/>
      </c>
      <c r="U4086" s="37" t="str">
        <f t="shared" si="442"/>
        <v/>
      </c>
    </row>
    <row r="4087" spans="2:21" ht="17.25">
      <c r="B4087" s="156"/>
      <c r="C4087" s="156"/>
      <c r="D4087" s="157"/>
      <c r="E4087" s="155"/>
      <c r="F4087" s="151"/>
      <c r="G4087" s="152"/>
      <c r="H4087" s="153"/>
      <c r="I4087" s="154"/>
      <c r="J4087" s="154"/>
      <c r="K4087" s="30" t="str">
        <f>IF(H4087="","",IF($C$30="간이법","",FPR(H4087,I4087,J4087)))</f>
        <v/>
      </c>
      <c r="L4087" s="30" t="str">
        <f>IF(H4087="","",IF($C$30="상세법",FPV(H4087,K4087),IF(H4087="EI",4,IF(H4087="EO",5.2,IF(H4087="EQ",3.9,IF(H4087="ILF",7.5,IF(H4087="EIF",5.4)))))))</f>
        <v/>
      </c>
      <c r="M4087" s="30" t="str">
        <f t="shared" si="436"/>
        <v/>
      </c>
      <c r="N4087" s="134"/>
      <c r="O4087" s="29"/>
      <c r="P4087" s="37" t="str">
        <f t="shared" si="437"/>
        <v/>
      </c>
      <c r="Q4087" s="38" t="str">
        <f t="shared" si="438"/>
        <v/>
      </c>
      <c r="R4087" s="37" t="str">
        <f t="shared" si="439"/>
        <v/>
      </c>
      <c r="S4087" s="37" t="str">
        <f t="shared" si="440"/>
        <v/>
      </c>
      <c r="T4087" s="38" t="str">
        <f t="shared" si="441"/>
        <v/>
      </c>
      <c r="U4087" s="37" t="str">
        <f t="shared" si="442"/>
        <v/>
      </c>
    </row>
    <row r="4088" spans="2:21" ht="17.25">
      <c r="B4088" s="156"/>
      <c r="C4088" s="156"/>
      <c r="D4088" s="157"/>
      <c r="E4088" s="155"/>
      <c r="F4088" s="151"/>
      <c r="G4088" s="152"/>
      <c r="H4088" s="153"/>
      <c r="I4088" s="154"/>
      <c r="J4088" s="154"/>
      <c r="K4088" s="30" t="str">
        <f>IF(H4088="","",IF($C$30="간이법","",FPR(H4088,I4088,J4088)))</f>
        <v/>
      </c>
      <c r="L4088" s="30" t="str">
        <f>IF(H4088="","",IF($C$30="상세법",FPV(H4088,K4088),IF(H4088="EI",4,IF(H4088="EO",5.2,IF(H4088="EQ",3.9,IF(H4088="ILF",7.5,IF(H4088="EIF",5.4)))))))</f>
        <v/>
      </c>
      <c r="M4088" s="30" t="str">
        <f t="shared" si="436"/>
        <v/>
      </c>
      <c r="N4088" s="134"/>
      <c r="O4088" s="29"/>
      <c r="P4088" s="37" t="str">
        <f t="shared" si="437"/>
        <v/>
      </c>
      <c r="Q4088" s="38" t="str">
        <f t="shared" si="438"/>
        <v/>
      </c>
      <c r="R4088" s="37" t="str">
        <f t="shared" si="439"/>
        <v/>
      </c>
      <c r="S4088" s="37" t="str">
        <f t="shared" si="440"/>
        <v/>
      </c>
      <c r="T4088" s="38" t="str">
        <f t="shared" si="441"/>
        <v/>
      </c>
      <c r="U4088" s="37" t="str">
        <f t="shared" si="442"/>
        <v/>
      </c>
    </row>
    <row r="4089" spans="2:21" ht="17.25">
      <c r="B4089" s="156"/>
      <c r="C4089" s="156"/>
      <c r="D4089" s="157"/>
      <c r="E4089" s="155"/>
      <c r="F4089" s="151"/>
      <c r="G4089" s="152"/>
      <c r="H4089" s="153"/>
      <c r="I4089" s="154"/>
      <c r="J4089" s="154"/>
      <c r="K4089" s="30" t="str">
        <f>IF(H4089="","",IF($C$30="간이법","",FPR(H4089,I4089,J4089)))</f>
        <v/>
      </c>
      <c r="L4089" s="30" t="str">
        <f>IF(H4089="","",IF($C$30="상세법",FPV(H4089,K4089),IF(H4089="EI",4,IF(H4089="EO",5.2,IF(H4089="EQ",3.9,IF(H4089="ILF",7.5,IF(H4089="EIF",5.4)))))))</f>
        <v/>
      </c>
      <c r="M4089" s="30" t="str">
        <f t="shared" si="436"/>
        <v/>
      </c>
      <c r="N4089" s="134"/>
      <c r="O4089" s="29"/>
      <c r="P4089" s="37" t="str">
        <f t="shared" si="437"/>
        <v/>
      </c>
      <c r="Q4089" s="38" t="str">
        <f t="shared" si="438"/>
        <v/>
      </c>
      <c r="R4089" s="37" t="str">
        <f t="shared" si="439"/>
        <v/>
      </c>
      <c r="S4089" s="37" t="str">
        <f t="shared" si="440"/>
        <v/>
      </c>
      <c r="T4089" s="38" t="str">
        <f t="shared" si="441"/>
        <v/>
      </c>
      <c r="U4089" s="37" t="str">
        <f t="shared" si="442"/>
        <v/>
      </c>
    </row>
    <row r="4090" spans="2:21" ht="17.25">
      <c r="B4090" s="156"/>
      <c r="C4090" s="156"/>
      <c r="D4090" s="157"/>
      <c r="E4090" s="155"/>
      <c r="F4090" s="151"/>
      <c r="G4090" s="152"/>
      <c r="H4090" s="153"/>
      <c r="I4090" s="154"/>
      <c r="J4090" s="154"/>
      <c r="K4090" s="30" t="str">
        <f>IF(H4090="","",IF($C$30="간이법","",FPR(H4090,I4090,J4090)))</f>
        <v/>
      </c>
      <c r="L4090" s="30" t="str">
        <f>IF(H4090="","",IF($C$30="상세법",FPV(H4090,K4090),IF(H4090="EI",4,IF(H4090="EO",5.2,IF(H4090="EQ",3.9,IF(H4090="ILF",7.5,IF(H4090="EIF",5.4)))))))</f>
        <v/>
      </c>
      <c r="M4090" s="30" t="str">
        <f t="shared" si="436"/>
        <v/>
      </c>
      <c r="N4090" s="134"/>
      <c r="O4090" s="29"/>
      <c r="P4090" s="37" t="str">
        <f t="shared" si="437"/>
        <v/>
      </c>
      <c r="Q4090" s="38" t="str">
        <f t="shared" si="438"/>
        <v/>
      </c>
      <c r="R4090" s="37" t="str">
        <f t="shared" si="439"/>
        <v/>
      </c>
      <c r="S4090" s="37" t="str">
        <f t="shared" si="440"/>
        <v/>
      </c>
      <c r="T4090" s="38" t="str">
        <f t="shared" si="441"/>
        <v/>
      </c>
      <c r="U4090" s="37" t="str">
        <f t="shared" si="442"/>
        <v/>
      </c>
    </row>
    <row r="4091" spans="2:21" ht="17.25">
      <c r="B4091" s="156"/>
      <c r="C4091" s="156"/>
      <c r="D4091" s="157"/>
      <c r="E4091" s="155"/>
      <c r="F4091" s="151"/>
      <c r="G4091" s="152"/>
      <c r="H4091" s="153"/>
      <c r="I4091" s="154"/>
      <c r="J4091" s="154"/>
      <c r="K4091" s="30" t="str">
        <f>IF(H4091="","",IF($C$30="간이법","",FPR(H4091,I4091,J4091)))</f>
        <v/>
      </c>
      <c r="L4091" s="30" t="str">
        <f>IF(H4091="","",IF($C$30="상세법",FPV(H4091,K4091),IF(H4091="EI",4,IF(H4091="EO",5.2,IF(H4091="EQ",3.9,IF(H4091="ILF",7.5,IF(H4091="EIF",5.4)))))))</f>
        <v/>
      </c>
      <c r="M4091" s="30" t="str">
        <f t="shared" si="436"/>
        <v/>
      </c>
      <c r="N4091" s="134"/>
      <c r="O4091" s="29"/>
      <c r="P4091" s="37" t="str">
        <f t="shared" si="437"/>
        <v/>
      </c>
      <c r="Q4091" s="38" t="str">
        <f t="shared" si="438"/>
        <v/>
      </c>
      <c r="R4091" s="37" t="str">
        <f t="shared" si="439"/>
        <v/>
      </c>
      <c r="S4091" s="37" t="str">
        <f t="shared" si="440"/>
        <v/>
      </c>
      <c r="T4091" s="38" t="str">
        <f t="shared" si="441"/>
        <v/>
      </c>
      <c r="U4091" s="37" t="str">
        <f t="shared" si="442"/>
        <v/>
      </c>
    </row>
    <row r="4092" spans="2:21" ht="17.25">
      <c r="B4092" s="156"/>
      <c r="C4092" s="156"/>
      <c r="D4092" s="157"/>
      <c r="E4092" s="155"/>
      <c r="F4092" s="151"/>
      <c r="G4092" s="152"/>
      <c r="H4092" s="153"/>
      <c r="I4092" s="154"/>
      <c r="J4092" s="154"/>
      <c r="K4092" s="30" t="str">
        <f>IF(H4092="","",IF($C$30="간이법","",FPR(H4092,I4092,J4092)))</f>
        <v/>
      </c>
      <c r="L4092" s="30" t="str">
        <f>IF(H4092="","",IF($C$30="상세법",FPV(H4092,K4092),IF(H4092="EI",4,IF(H4092="EO",5.2,IF(H4092="EQ",3.9,IF(H4092="ILF",7.5,IF(H4092="EIF",5.4)))))))</f>
        <v/>
      </c>
      <c r="M4092" s="30" t="str">
        <f t="shared" ref="M4092:M4155" si="443">IF(OR(G4092="",$E$36="(선택)",$E$40="(선택)",$E$41="(선택)",F4092="신규 개발",F4092="수정 없이 재사용"),"",(IF(F4092="수정 후 재사용",IF($E$50&lt;=0.5,L4092*($E$36+$E$50*100*(1+0.02*($E$40*$E$41)))/100,L4092*($E$36+$E$50*100+($E$40*$E$41))/100))))</f>
        <v/>
      </c>
      <c r="N4092" s="134"/>
      <c r="O4092" s="29"/>
      <c r="P4092" s="37" t="str">
        <f t="shared" ref="P4092:P4155" si="444">IF(F4092="수정 후 재사용",IF(H4092="ILF",G4092,IF(H4092="EIF",G4092,"")),"")</f>
        <v/>
      </c>
      <c r="Q4092" s="38" t="str">
        <f t="shared" ref="Q4092:Q4155" si="445">IF(P4092&lt;&gt;"",IF(H4092="ILF", L4092/$E$46,IF(H4092="EIF", L4092/$E$46,"")),"")</f>
        <v/>
      </c>
      <c r="R4092" s="37" t="str">
        <f t="shared" ref="R4092:R4155" si="446">IF(P4092&lt;&gt;"",P4092*Q4092,"")</f>
        <v/>
      </c>
      <c r="S4092" s="37" t="str">
        <f t="shared" ref="S4092:S4155" si="447">IF(F4092="수정 후 재사용",IF(H4092="EI",G4092,IF(H4092="EO",G4092,IF(H4092="EQ",G4092,""))),"")</f>
        <v/>
      </c>
      <c r="T4092" s="38" t="str">
        <f t="shared" ref="T4092:T4155" si="448">IF(S4092&lt;&gt;"",IF(H4092="EI",L4092/$E$47,IF(H4092="EO",L4092/$E$47,IF(H4092="EQ",L4092/$E$47,""))),"")</f>
        <v/>
      </c>
      <c r="U4092" s="37" t="str">
        <f t="shared" ref="U4092:U4155" si="449">IF(S4092&lt;&gt;"",S4092*T4092,"")</f>
        <v/>
      </c>
    </row>
    <row r="4093" spans="2:21" ht="17.25">
      <c r="B4093" s="156"/>
      <c r="C4093" s="156"/>
      <c r="D4093" s="157"/>
      <c r="E4093" s="155"/>
      <c r="F4093" s="151"/>
      <c r="G4093" s="152"/>
      <c r="H4093" s="153"/>
      <c r="I4093" s="154"/>
      <c r="J4093" s="154"/>
      <c r="K4093" s="30" t="str">
        <f>IF(H4093="","",IF($C$30="간이법","",FPR(H4093,I4093,J4093)))</f>
        <v/>
      </c>
      <c r="L4093" s="30" t="str">
        <f>IF(H4093="","",IF($C$30="상세법",FPV(H4093,K4093),IF(H4093="EI",4,IF(H4093="EO",5.2,IF(H4093="EQ",3.9,IF(H4093="ILF",7.5,IF(H4093="EIF",5.4)))))))</f>
        <v/>
      </c>
      <c r="M4093" s="30" t="str">
        <f t="shared" si="443"/>
        <v/>
      </c>
      <c r="N4093" s="134"/>
      <c r="O4093" s="29"/>
      <c r="P4093" s="37" t="str">
        <f t="shared" si="444"/>
        <v/>
      </c>
      <c r="Q4093" s="38" t="str">
        <f t="shared" si="445"/>
        <v/>
      </c>
      <c r="R4093" s="37" t="str">
        <f t="shared" si="446"/>
        <v/>
      </c>
      <c r="S4093" s="37" t="str">
        <f t="shared" si="447"/>
        <v/>
      </c>
      <c r="T4093" s="38" t="str">
        <f t="shared" si="448"/>
        <v/>
      </c>
      <c r="U4093" s="37" t="str">
        <f t="shared" si="449"/>
        <v/>
      </c>
    </row>
    <row r="4094" spans="2:21" ht="17.25">
      <c r="B4094" s="156"/>
      <c r="C4094" s="156"/>
      <c r="D4094" s="157"/>
      <c r="E4094" s="155"/>
      <c r="F4094" s="151"/>
      <c r="G4094" s="152"/>
      <c r="H4094" s="153"/>
      <c r="I4094" s="154"/>
      <c r="J4094" s="154"/>
      <c r="K4094" s="30" t="str">
        <f>IF(H4094="","",IF($C$30="간이법","",FPR(H4094,I4094,J4094)))</f>
        <v/>
      </c>
      <c r="L4094" s="30" t="str">
        <f>IF(H4094="","",IF($C$30="상세법",FPV(H4094,K4094),IF(H4094="EI",4,IF(H4094="EO",5.2,IF(H4094="EQ",3.9,IF(H4094="ILF",7.5,IF(H4094="EIF",5.4)))))))</f>
        <v/>
      </c>
      <c r="M4094" s="30" t="str">
        <f t="shared" si="443"/>
        <v/>
      </c>
      <c r="N4094" s="134"/>
      <c r="O4094" s="29"/>
      <c r="P4094" s="37" t="str">
        <f t="shared" si="444"/>
        <v/>
      </c>
      <c r="Q4094" s="38" t="str">
        <f t="shared" si="445"/>
        <v/>
      </c>
      <c r="R4094" s="37" t="str">
        <f t="shared" si="446"/>
        <v/>
      </c>
      <c r="S4094" s="37" t="str">
        <f t="shared" si="447"/>
        <v/>
      </c>
      <c r="T4094" s="38" t="str">
        <f t="shared" si="448"/>
        <v/>
      </c>
      <c r="U4094" s="37" t="str">
        <f t="shared" si="449"/>
        <v/>
      </c>
    </row>
    <row r="4095" spans="2:21" ht="17.25">
      <c r="B4095" s="156"/>
      <c r="C4095" s="156"/>
      <c r="D4095" s="157"/>
      <c r="E4095" s="155"/>
      <c r="F4095" s="151"/>
      <c r="G4095" s="152"/>
      <c r="H4095" s="153"/>
      <c r="I4095" s="154"/>
      <c r="J4095" s="154"/>
      <c r="K4095" s="30" t="str">
        <f>IF(H4095="","",IF($C$30="간이법","",FPR(H4095,I4095,J4095)))</f>
        <v/>
      </c>
      <c r="L4095" s="30" t="str">
        <f>IF(H4095="","",IF($C$30="상세법",FPV(H4095,K4095),IF(H4095="EI",4,IF(H4095="EO",5.2,IF(H4095="EQ",3.9,IF(H4095="ILF",7.5,IF(H4095="EIF",5.4)))))))</f>
        <v/>
      </c>
      <c r="M4095" s="30" t="str">
        <f t="shared" si="443"/>
        <v/>
      </c>
      <c r="N4095" s="134"/>
      <c r="O4095" s="29"/>
      <c r="P4095" s="37" t="str">
        <f t="shared" si="444"/>
        <v/>
      </c>
      <c r="Q4095" s="38" t="str">
        <f t="shared" si="445"/>
        <v/>
      </c>
      <c r="R4095" s="37" t="str">
        <f t="shared" si="446"/>
        <v/>
      </c>
      <c r="S4095" s="37" t="str">
        <f t="shared" si="447"/>
        <v/>
      </c>
      <c r="T4095" s="38" t="str">
        <f t="shared" si="448"/>
        <v/>
      </c>
      <c r="U4095" s="37" t="str">
        <f t="shared" si="449"/>
        <v/>
      </c>
    </row>
    <row r="4096" spans="2:21" ht="17.25">
      <c r="B4096" s="156"/>
      <c r="C4096" s="156"/>
      <c r="D4096" s="157"/>
      <c r="E4096" s="155"/>
      <c r="F4096" s="151"/>
      <c r="G4096" s="152"/>
      <c r="H4096" s="153"/>
      <c r="I4096" s="154"/>
      <c r="J4096" s="154"/>
      <c r="K4096" s="30" t="str">
        <f>IF(H4096="","",IF($C$30="간이법","",FPR(H4096,I4096,J4096)))</f>
        <v/>
      </c>
      <c r="L4096" s="30" t="str">
        <f>IF(H4096="","",IF($C$30="상세법",FPV(H4096,K4096),IF(H4096="EI",4,IF(H4096="EO",5.2,IF(H4096="EQ",3.9,IF(H4096="ILF",7.5,IF(H4096="EIF",5.4)))))))</f>
        <v/>
      </c>
      <c r="M4096" s="30" t="str">
        <f t="shared" si="443"/>
        <v/>
      </c>
      <c r="N4096" s="134"/>
      <c r="O4096" s="29"/>
      <c r="P4096" s="37" t="str">
        <f t="shared" si="444"/>
        <v/>
      </c>
      <c r="Q4096" s="38" t="str">
        <f t="shared" si="445"/>
        <v/>
      </c>
      <c r="R4096" s="37" t="str">
        <f t="shared" si="446"/>
        <v/>
      </c>
      <c r="S4096" s="37" t="str">
        <f t="shared" si="447"/>
        <v/>
      </c>
      <c r="T4096" s="38" t="str">
        <f t="shared" si="448"/>
        <v/>
      </c>
      <c r="U4096" s="37" t="str">
        <f t="shared" si="449"/>
        <v/>
      </c>
    </row>
    <row r="4097" spans="2:21" ht="17.25">
      <c r="B4097" s="156"/>
      <c r="C4097" s="156"/>
      <c r="D4097" s="157"/>
      <c r="E4097" s="155"/>
      <c r="F4097" s="151"/>
      <c r="G4097" s="152"/>
      <c r="H4097" s="153"/>
      <c r="I4097" s="154"/>
      <c r="J4097" s="154"/>
      <c r="K4097" s="30" t="str">
        <f>IF(H4097="","",IF($C$30="간이법","",FPR(H4097,I4097,J4097)))</f>
        <v/>
      </c>
      <c r="L4097" s="30" t="str">
        <f>IF(H4097="","",IF($C$30="상세법",FPV(H4097,K4097),IF(H4097="EI",4,IF(H4097="EO",5.2,IF(H4097="EQ",3.9,IF(H4097="ILF",7.5,IF(H4097="EIF",5.4)))))))</f>
        <v/>
      </c>
      <c r="M4097" s="30" t="str">
        <f t="shared" si="443"/>
        <v/>
      </c>
      <c r="N4097" s="134"/>
      <c r="O4097" s="29"/>
      <c r="P4097" s="37" t="str">
        <f t="shared" si="444"/>
        <v/>
      </c>
      <c r="Q4097" s="38" t="str">
        <f t="shared" si="445"/>
        <v/>
      </c>
      <c r="R4097" s="37" t="str">
        <f t="shared" si="446"/>
        <v/>
      </c>
      <c r="S4097" s="37" t="str">
        <f t="shared" si="447"/>
        <v/>
      </c>
      <c r="T4097" s="38" t="str">
        <f t="shared" si="448"/>
        <v/>
      </c>
      <c r="U4097" s="37" t="str">
        <f t="shared" si="449"/>
        <v/>
      </c>
    </row>
    <row r="4098" spans="2:21" ht="17.25">
      <c r="B4098" s="156"/>
      <c r="C4098" s="156"/>
      <c r="D4098" s="157"/>
      <c r="E4098" s="155"/>
      <c r="F4098" s="151"/>
      <c r="G4098" s="152"/>
      <c r="H4098" s="153"/>
      <c r="I4098" s="154"/>
      <c r="J4098" s="154"/>
      <c r="K4098" s="30" t="str">
        <f>IF(H4098="","",IF($C$30="간이법","",FPR(H4098,I4098,J4098)))</f>
        <v/>
      </c>
      <c r="L4098" s="30" t="str">
        <f>IF(H4098="","",IF($C$30="상세법",FPV(H4098,K4098),IF(H4098="EI",4,IF(H4098="EO",5.2,IF(H4098="EQ",3.9,IF(H4098="ILF",7.5,IF(H4098="EIF",5.4)))))))</f>
        <v/>
      </c>
      <c r="M4098" s="30" t="str">
        <f t="shared" si="443"/>
        <v/>
      </c>
      <c r="N4098" s="134"/>
      <c r="O4098" s="29"/>
      <c r="P4098" s="37" t="str">
        <f t="shared" si="444"/>
        <v/>
      </c>
      <c r="Q4098" s="38" t="str">
        <f t="shared" si="445"/>
        <v/>
      </c>
      <c r="R4098" s="37" t="str">
        <f t="shared" si="446"/>
        <v/>
      </c>
      <c r="S4098" s="37" t="str">
        <f t="shared" si="447"/>
        <v/>
      </c>
      <c r="T4098" s="38" t="str">
        <f t="shared" si="448"/>
        <v/>
      </c>
      <c r="U4098" s="37" t="str">
        <f t="shared" si="449"/>
        <v/>
      </c>
    </row>
    <row r="4099" spans="2:21" ht="17.25">
      <c r="B4099" s="156"/>
      <c r="C4099" s="156"/>
      <c r="D4099" s="157"/>
      <c r="E4099" s="155"/>
      <c r="F4099" s="151"/>
      <c r="G4099" s="152"/>
      <c r="H4099" s="153"/>
      <c r="I4099" s="154"/>
      <c r="J4099" s="154"/>
      <c r="K4099" s="30" t="str">
        <f>IF(H4099="","",IF($C$30="간이법","",FPR(H4099,I4099,J4099)))</f>
        <v/>
      </c>
      <c r="L4099" s="30" t="str">
        <f>IF(H4099="","",IF($C$30="상세법",FPV(H4099,K4099),IF(H4099="EI",4,IF(H4099="EO",5.2,IF(H4099="EQ",3.9,IF(H4099="ILF",7.5,IF(H4099="EIF",5.4)))))))</f>
        <v/>
      </c>
      <c r="M4099" s="30" t="str">
        <f t="shared" si="443"/>
        <v/>
      </c>
      <c r="N4099" s="134"/>
      <c r="O4099" s="29"/>
      <c r="P4099" s="37" t="str">
        <f t="shared" si="444"/>
        <v/>
      </c>
      <c r="Q4099" s="38" t="str">
        <f t="shared" si="445"/>
        <v/>
      </c>
      <c r="R4099" s="37" t="str">
        <f t="shared" si="446"/>
        <v/>
      </c>
      <c r="S4099" s="37" t="str">
        <f t="shared" si="447"/>
        <v/>
      </c>
      <c r="T4099" s="38" t="str">
        <f t="shared" si="448"/>
        <v/>
      </c>
      <c r="U4099" s="37" t="str">
        <f t="shared" si="449"/>
        <v/>
      </c>
    </row>
    <row r="4100" spans="2:21" ht="17.25">
      <c r="B4100" s="156"/>
      <c r="C4100" s="156"/>
      <c r="D4100" s="157"/>
      <c r="E4100" s="155"/>
      <c r="F4100" s="151"/>
      <c r="G4100" s="152"/>
      <c r="H4100" s="153"/>
      <c r="I4100" s="154"/>
      <c r="J4100" s="154"/>
      <c r="K4100" s="30" t="str">
        <f>IF(H4100="","",IF($C$30="간이법","",FPR(H4100,I4100,J4100)))</f>
        <v/>
      </c>
      <c r="L4100" s="30" t="str">
        <f>IF(H4100="","",IF($C$30="상세법",FPV(H4100,K4100),IF(H4100="EI",4,IF(H4100="EO",5.2,IF(H4100="EQ",3.9,IF(H4100="ILF",7.5,IF(H4100="EIF",5.4)))))))</f>
        <v/>
      </c>
      <c r="M4100" s="30" t="str">
        <f t="shared" si="443"/>
        <v/>
      </c>
      <c r="N4100" s="134"/>
      <c r="O4100" s="29"/>
      <c r="P4100" s="37" t="str">
        <f t="shared" si="444"/>
        <v/>
      </c>
      <c r="Q4100" s="38" t="str">
        <f t="shared" si="445"/>
        <v/>
      </c>
      <c r="R4100" s="37" t="str">
        <f t="shared" si="446"/>
        <v/>
      </c>
      <c r="S4100" s="37" t="str">
        <f t="shared" si="447"/>
        <v/>
      </c>
      <c r="T4100" s="38" t="str">
        <f t="shared" si="448"/>
        <v/>
      </c>
      <c r="U4100" s="37" t="str">
        <f t="shared" si="449"/>
        <v/>
      </c>
    </row>
    <row r="4101" spans="2:21" ht="17.25">
      <c r="B4101" s="156"/>
      <c r="C4101" s="156"/>
      <c r="D4101" s="157"/>
      <c r="E4101" s="155"/>
      <c r="F4101" s="151"/>
      <c r="G4101" s="152"/>
      <c r="H4101" s="153"/>
      <c r="I4101" s="154"/>
      <c r="J4101" s="154"/>
      <c r="K4101" s="30" t="str">
        <f>IF(H4101="","",IF($C$30="간이법","",FPR(H4101,I4101,J4101)))</f>
        <v/>
      </c>
      <c r="L4101" s="30" t="str">
        <f>IF(H4101="","",IF($C$30="상세법",FPV(H4101,K4101),IF(H4101="EI",4,IF(H4101="EO",5.2,IF(H4101="EQ",3.9,IF(H4101="ILF",7.5,IF(H4101="EIF",5.4)))))))</f>
        <v/>
      </c>
      <c r="M4101" s="30" t="str">
        <f t="shared" si="443"/>
        <v/>
      </c>
      <c r="N4101" s="134"/>
      <c r="O4101" s="29"/>
      <c r="P4101" s="37" t="str">
        <f t="shared" si="444"/>
        <v/>
      </c>
      <c r="Q4101" s="38" t="str">
        <f t="shared" si="445"/>
        <v/>
      </c>
      <c r="R4101" s="37" t="str">
        <f t="shared" si="446"/>
        <v/>
      </c>
      <c r="S4101" s="37" t="str">
        <f t="shared" si="447"/>
        <v/>
      </c>
      <c r="T4101" s="38" t="str">
        <f t="shared" si="448"/>
        <v/>
      </c>
      <c r="U4101" s="37" t="str">
        <f t="shared" si="449"/>
        <v/>
      </c>
    </row>
    <row r="4102" spans="2:21" ht="17.25">
      <c r="B4102" s="156"/>
      <c r="C4102" s="156"/>
      <c r="D4102" s="157"/>
      <c r="E4102" s="155"/>
      <c r="F4102" s="151"/>
      <c r="G4102" s="152"/>
      <c r="H4102" s="153"/>
      <c r="I4102" s="154"/>
      <c r="J4102" s="154"/>
      <c r="K4102" s="30" t="str">
        <f>IF(H4102="","",IF($C$30="간이법","",FPR(H4102,I4102,J4102)))</f>
        <v/>
      </c>
      <c r="L4102" s="30" t="str">
        <f>IF(H4102="","",IF($C$30="상세법",FPV(H4102,K4102),IF(H4102="EI",4,IF(H4102="EO",5.2,IF(H4102="EQ",3.9,IF(H4102="ILF",7.5,IF(H4102="EIF",5.4)))))))</f>
        <v/>
      </c>
      <c r="M4102" s="30" t="str">
        <f t="shared" si="443"/>
        <v/>
      </c>
      <c r="N4102" s="134"/>
      <c r="O4102" s="29"/>
      <c r="P4102" s="37" t="str">
        <f t="shared" si="444"/>
        <v/>
      </c>
      <c r="Q4102" s="38" t="str">
        <f t="shared" si="445"/>
        <v/>
      </c>
      <c r="R4102" s="37" t="str">
        <f t="shared" si="446"/>
        <v/>
      </c>
      <c r="S4102" s="37" t="str">
        <f t="shared" si="447"/>
        <v/>
      </c>
      <c r="T4102" s="38" t="str">
        <f t="shared" si="448"/>
        <v/>
      </c>
      <c r="U4102" s="37" t="str">
        <f t="shared" si="449"/>
        <v/>
      </c>
    </row>
    <row r="4103" spans="2:21" ht="17.25">
      <c r="B4103" s="156"/>
      <c r="C4103" s="156"/>
      <c r="D4103" s="157"/>
      <c r="E4103" s="155"/>
      <c r="F4103" s="151"/>
      <c r="G4103" s="152"/>
      <c r="H4103" s="153"/>
      <c r="I4103" s="154"/>
      <c r="J4103" s="154"/>
      <c r="K4103" s="30" t="str">
        <f>IF(H4103="","",IF($C$30="간이법","",FPR(H4103,I4103,J4103)))</f>
        <v/>
      </c>
      <c r="L4103" s="30" t="str">
        <f>IF(H4103="","",IF($C$30="상세법",FPV(H4103,K4103),IF(H4103="EI",4,IF(H4103="EO",5.2,IF(H4103="EQ",3.9,IF(H4103="ILF",7.5,IF(H4103="EIF",5.4)))))))</f>
        <v/>
      </c>
      <c r="M4103" s="30" t="str">
        <f t="shared" si="443"/>
        <v/>
      </c>
      <c r="N4103" s="134"/>
      <c r="O4103" s="29"/>
      <c r="P4103" s="37" t="str">
        <f t="shared" si="444"/>
        <v/>
      </c>
      <c r="Q4103" s="38" t="str">
        <f t="shared" si="445"/>
        <v/>
      </c>
      <c r="R4103" s="37" t="str">
        <f t="shared" si="446"/>
        <v/>
      </c>
      <c r="S4103" s="37" t="str">
        <f t="shared" si="447"/>
        <v/>
      </c>
      <c r="T4103" s="38" t="str">
        <f t="shared" si="448"/>
        <v/>
      </c>
      <c r="U4103" s="37" t="str">
        <f t="shared" si="449"/>
        <v/>
      </c>
    </row>
    <row r="4104" spans="2:21" ht="17.25">
      <c r="B4104" s="156"/>
      <c r="C4104" s="156"/>
      <c r="D4104" s="157"/>
      <c r="E4104" s="155"/>
      <c r="F4104" s="151"/>
      <c r="G4104" s="152"/>
      <c r="H4104" s="153"/>
      <c r="I4104" s="154"/>
      <c r="J4104" s="154"/>
      <c r="K4104" s="30" t="str">
        <f>IF(H4104="","",IF($C$30="간이법","",FPR(H4104,I4104,J4104)))</f>
        <v/>
      </c>
      <c r="L4104" s="30" t="str">
        <f>IF(H4104="","",IF($C$30="상세법",FPV(H4104,K4104),IF(H4104="EI",4,IF(H4104="EO",5.2,IF(H4104="EQ",3.9,IF(H4104="ILF",7.5,IF(H4104="EIF",5.4)))))))</f>
        <v/>
      </c>
      <c r="M4104" s="30" t="str">
        <f t="shared" si="443"/>
        <v/>
      </c>
      <c r="N4104" s="134"/>
      <c r="O4104" s="29"/>
      <c r="P4104" s="37" t="str">
        <f t="shared" si="444"/>
        <v/>
      </c>
      <c r="Q4104" s="38" t="str">
        <f t="shared" si="445"/>
        <v/>
      </c>
      <c r="R4104" s="37" t="str">
        <f t="shared" si="446"/>
        <v/>
      </c>
      <c r="S4104" s="37" t="str">
        <f t="shared" si="447"/>
        <v/>
      </c>
      <c r="T4104" s="38" t="str">
        <f t="shared" si="448"/>
        <v/>
      </c>
      <c r="U4104" s="37" t="str">
        <f t="shared" si="449"/>
        <v/>
      </c>
    </row>
    <row r="4105" spans="2:21" ht="17.25">
      <c r="B4105" s="156"/>
      <c r="C4105" s="156"/>
      <c r="D4105" s="157"/>
      <c r="E4105" s="155"/>
      <c r="F4105" s="151"/>
      <c r="G4105" s="152"/>
      <c r="H4105" s="153"/>
      <c r="I4105" s="154"/>
      <c r="J4105" s="154"/>
      <c r="K4105" s="30" t="str">
        <f>IF(H4105="","",IF($C$30="간이법","",FPR(H4105,I4105,J4105)))</f>
        <v/>
      </c>
      <c r="L4105" s="30" t="str">
        <f>IF(H4105="","",IF($C$30="상세법",FPV(H4105,K4105),IF(H4105="EI",4,IF(H4105="EO",5.2,IF(H4105="EQ",3.9,IF(H4105="ILF",7.5,IF(H4105="EIF",5.4)))))))</f>
        <v/>
      </c>
      <c r="M4105" s="30" t="str">
        <f t="shared" si="443"/>
        <v/>
      </c>
      <c r="N4105" s="134"/>
      <c r="O4105" s="29"/>
      <c r="P4105" s="37" t="str">
        <f t="shared" si="444"/>
        <v/>
      </c>
      <c r="Q4105" s="38" t="str">
        <f t="shared" si="445"/>
        <v/>
      </c>
      <c r="R4105" s="37" t="str">
        <f t="shared" si="446"/>
        <v/>
      </c>
      <c r="S4105" s="37" t="str">
        <f t="shared" si="447"/>
        <v/>
      </c>
      <c r="T4105" s="38" t="str">
        <f t="shared" si="448"/>
        <v/>
      </c>
      <c r="U4105" s="37" t="str">
        <f t="shared" si="449"/>
        <v/>
      </c>
    </row>
    <row r="4106" spans="2:21" ht="17.25">
      <c r="B4106" s="156"/>
      <c r="C4106" s="156"/>
      <c r="D4106" s="157"/>
      <c r="E4106" s="155"/>
      <c r="F4106" s="151"/>
      <c r="G4106" s="152"/>
      <c r="H4106" s="153"/>
      <c r="I4106" s="154"/>
      <c r="J4106" s="154"/>
      <c r="K4106" s="30" t="str">
        <f>IF(H4106="","",IF($C$30="간이법","",FPR(H4106,I4106,J4106)))</f>
        <v/>
      </c>
      <c r="L4106" s="30" t="str">
        <f>IF(H4106="","",IF($C$30="상세법",FPV(H4106,K4106),IF(H4106="EI",4,IF(H4106="EO",5.2,IF(H4106="EQ",3.9,IF(H4106="ILF",7.5,IF(H4106="EIF",5.4)))))))</f>
        <v/>
      </c>
      <c r="M4106" s="30" t="str">
        <f t="shared" si="443"/>
        <v/>
      </c>
      <c r="N4106" s="134"/>
      <c r="O4106" s="29"/>
      <c r="P4106" s="37" t="str">
        <f t="shared" si="444"/>
        <v/>
      </c>
      <c r="Q4106" s="38" t="str">
        <f t="shared" si="445"/>
        <v/>
      </c>
      <c r="R4106" s="37" t="str">
        <f t="shared" si="446"/>
        <v/>
      </c>
      <c r="S4106" s="37" t="str">
        <f t="shared" si="447"/>
        <v/>
      </c>
      <c r="T4106" s="38" t="str">
        <f t="shared" si="448"/>
        <v/>
      </c>
      <c r="U4106" s="37" t="str">
        <f t="shared" si="449"/>
        <v/>
      </c>
    </row>
    <row r="4107" spans="2:21" ht="17.25">
      <c r="B4107" s="156"/>
      <c r="C4107" s="156"/>
      <c r="D4107" s="157"/>
      <c r="E4107" s="155"/>
      <c r="F4107" s="151"/>
      <c r="G4107" s="152"/>
      <c r="H4107" s="153"/>
      <c r="I4107" s="154"/>
      <c r="J4107" s="154"/>
      <c r="K4107" s="30" t="str">
        <f>IF(H4107="","",IF($C$30="간이법","",FPR(H4107,I4107,J4107)))</f>
        <v/>
      </c>
      <c r="L4107" s="30" t="str">
        <f>IF(H4107="","",IF($C$30="상세법",FPV(H4107,K4107),IF(H4107="EI",4,IF(H4107="EO",5.2,IF(H4107="EQ",3.9,IF(H4107="ILF",7.5,IF(H4107="EIF",5.4)))))))</f>
        <v/>
      </c>
      <c r="M4107" s="30" t="str">
        <f t="shared" si="443"/>
        <v/>
      </c>
      <c r="N4107" s="134"/>
      <c r="O4107" s="29"/>
      <c r="P4107" s="37" t="str">
        <f t="shared" si="444"/>
        <v/>
      </c>
      <c r="Q4107" s="38" t="str">
        <f t="shared" si="445"/>
        <v/>
      </c>
      <c r="R4107" s="37" t="str">
        <f t="shared" si="446"/>
        <v/>
      </c>
      <c r="S4107" s="37" t="str">
        <f t="shared" si="447"/>
        <v/>
      </c>
      <c r="T4107" s="38" t="str">
        <f t="shared" si="448"/>
        <v/>
      </c>
      <c r="U4107" s="37" t="str">
        <f t="shared" si="449"/>
        <v/>
      </c>
    </row>
    <row r="4108" spans="2:21" ht="17.25">
      <c r="B4108" s="156"/>
      <c r="C4108" s="156"/>
      <c r="D4108" s="157"/>
      <c r="E4108" s="155"/>
      <c r="F4108" s="151"/>
      <c r="G4108" s="152"/>
      <c r="H4108" s="153"/>
      <c r="I4108" s="154"/>
      <c r="J4108" s="154"/>
      <c r="K4108" s="30" t="str">
        <f>IF(H4108="","",IF($C$30="간이법","",FPR(H4108,I4108,J4108)))</f>
        <v/>
      </c>
      <c r="L4108" s="30" t="str">
        <f>IF(H4108="","",IF($C$30="상세법",FPV(H4108,K4108),IF(H4108="EI",4,IF(H4108="EO",5.2,IF(H4108="EQ",3.9,IF(H4108="ILF",7.5,IF(H4108="EIF",5.4)))))))</f>
        <v/>
      </c>
      <c r="M4108" s="30" t="str">
        <f t="shared" si="443"/>
        <v/>
      </c>
      <c r="N4108" s="134"/>
      <c r="O4108" s="29"/>
      <c r="P4108" s="37" t="str">
        <f t="shared" si="444"/>
        <v/>
      </c>
      <c r="Q4108" s="38" t="str">
        <f t="shared" si="445"/>
        <v/>
      </c>
      <c r="R4108" s="37" t="str">
        <f t="shared" si="446"/>
        <v/>
      </c>
      <c r="S4108" s="37" t="str">
        <f t="shared" si="447"/>
        <v/>
      </c>
      <c r="T4108" s="38" t="str">
        <f t="shared" si="448"/>
        <v/>
      </c>
      <c r="U4108" s="37" t="str">
        <f t="shared" si="449"/>
        <v/>
      </c>
    </row>
    <row r="4109" spans="2:21" ht="17.25">
      <c r="B4109" s="156"/>
      <c r="C4109" s="156"/>
      <c r="D4109" s="157"/>
      <c r="E4109" s="155"/>
      <c r="F4109" s="151"/>
      <c r="G4109" s="152"/>
      <c r="H4109" s="153"/>
      <c r="I4109" s="154"/>
      <c r="J4109" s="154"/>
      <c r="K4109" s="30" t="str">
        <f>IF(H4109="","",IF($C$30="간이법","",FPR(H4109,I4109,J4109)))</f>
        <v/>
      </c>
      <c r="L4109" s="30" t="str">
        <f>IF(H4109="","",IF($C$30="상세법",FPV(H4109,K4109),IF(H4109="EI",4,IF(H4109="EO",5.2,IF(H4109="EQ",3.9,IF(H4109="ILF",7.5,IF(H4109="EIF",5.4)))))))</f>
        <v/>
      </c>
      <c r="M4109" s="30" t="str">
        <f t="shared" si="443"/>
        <v/>
      </c>
      <c r="N4109" s="134"/>
      <c r="O4109" s="29"/>
      <c r="P4109" s="37" t="str">
        <f t="shared" si="444"/>
        <v/>
      </c>
      <c r="Q4109" s="38" t="str">
        <f t="shared" si="445"/>
        <v/>
      </c>
      <c r="R4109" s="37" t="str">
        <f t="shared" si="446"/>
        <v/>
      </c>
      <c r="S4109" s="37" t="str">
        <f t="shared" si="447"/>
        <v/>
      </c>
      <c r="T4109" s="38" t="str">
        <f t="shared" si="448"/>
        <v/>
      </c>
      <c r="U4109" s="37" t="str">
        <f t="shared" si="449"/>
        <v/>
      </c>
    </row>
    <row r="4110" spans="2:21" ht="17.25">
      <c r="B4110" s="156"/>
      <c r="C4110" s="156"/>
      <c r="D4110" s="157"/>
      <c r="E4110" s="155"/>
      <c r="F4110" s="151"/>
      <c r="G4110" s="152"/>
      <c r="H4110" s="153"/>
      <c r="I4110" s="154"/>
      <c r="J4110" s="154"/>
      <c r="K4110" s="30" t="str">
        <f>IF(H4110="","",IF($C$30="간이법","",FPR(H4110,I4110,J4110)))</f>
        <v/>
      </c>
      <c r="L4110" s="30" t="str">
        <f>IF(H4110="","",IF($C$30="상세법",FPV(H4110,K4110),IF(H4110="EI",4,IF(H4110="EO",5.2,IF(H4110="EQ",3.9,IF(H4110="ILF",7.5,IF(H4110="EIF",5.4)))))))</f>
        <v/>
      </c>
      <c r="M4110" s="30" t="str">
        <f t="shared" si="443"/>
        <v/>
      </c>
      <c r="N4110" s="134"/>
      <c r="O4110" s="29"/>
      <c r="P4110" s="37" t="str">
        <f t="shared" si="444"/>
        <v/>
      </c>
      <c r="Q4110" s="38" t="str">
        <f t="shared" si="445"/>
        <v/>
      </c>
      <c r="R4110" s="37" t="str">
        <f t="shared" si="446"/>
        <v/>
      </c>
      <c r="S4110" s="37" t="str">
        <f t="shared" si="447"/>
        <v/>
      </c>
      <c r="T4110" s="38" t="str">
        <f t="shared" si="448"/>
        <v/>
      </c>
      <c r="U4110" s="37" t="str">
        <f t="shared" si="449"/>
        <v/>
      </c>
    </row>
    <row r="4111" spans="2:21" ht="17.25">
      <c r="B4111" s="156"/>
      <c r="C4111" s="156"/>
      <c r="D4111" s="157"/>
      <c r="E4111" s="155"/>
      <c r="F4111" s="151"/>
      <c r="G4111" s="152"/>
      <c r="H4111" s="153"/>
      <c r="I4111" s="154"/>
      <c r="J4111" s="154"/>
      <c r="K4111" s="30" t="str">
        <f>IF(H4111="","",IF($C$30="간이법","",FPR(H4111,I4111,J4111)))</f>
        <v/>
      </c>
      <c r="L4111" s="30" t="str">
        <f>IF(H4111="","",IF($C$30="상세법",FPV(H4111,K4111),IF(H4111="EI",4,IF(H4111="EO",5.2,IF(H4111="EQ",3.9,IF(H4111="ILF",7.5,IF(H4111="EIF",5.4)))))))</f>
        <v/>
      </c>
      <c r="M4111" s="30" t="str">
        <f t="shared" si="443"/>
        <v/>
      </c>
      <c r="N4111" s="134"/>
      <c r="O4111" s="29"/>
      <c r="P4111" s="37" t="str">
        <f t="shared" si="444"/>
        <v/>
      </c>
      <c r="Q4111" s="38" t="str">
        <f t="shared" si="445"/>
        <v/>
      </c>
      <c r="R4111" s="37" t="str">
        <f t="shared" si="446"/>
        <v/>
      </c>
      <c r="S4111" s="37" t="str">
        <f t="shared" si="447"/>
        <v/>
      </c>
      <c r="T4111" s="38" t="str">
        <f t="shared" si="448"/>
        <v/>
      </c>
      <c r="U4111" s="37" t="str">
        <f t="shared" si="449"/>
        <v/>
      </c>
    </row>
    <row r="4112" spans="2:21" ht="17.25">
      <c r="B4112" s="156"/>
      <c r="C4112" s="156"/>
      <c r="D4112" s="157"/>
      <c r="E4112" s="155"/>
      <c r="F4112" s="151"/>
      <c r="G4112" s="152"/>
      <c r="H4112" s="153"/>
      <c r="I4112" s="154"/>
      <c r="J4112" s="154"/>
      <c r="K4112" s="30" t="str">
        <f>IF(H4112="","",IF($C$30="간이법","",FPR(H4112,I4112,J4112)))</f>
        <v/>
      </c>
      <c r="L4112" s="30" t="str">
        <f>IF(H4112="","",IF($C$30="상세법",FPV(H4112,K4112),IF(H4112="EI",4,IF(H4112="EO",5.2,IF(H4112="EQ",3.9,IF(H4112="ILF",7.5,IF(H4112="EIF",5.4)))))))</f>
        <v/>
      </c>
      <c r="M4112" s="30" t="str">
        <f t="shared" si="443"/>
        <v/>
      </c>
      <c r="N4112" s="134"/>
      <c r="O4112" s="29"/>
      <c r="P4112" s="37" t="str">
        <f t="shared" si="444"/>
        <v/>
      </c>
      <c r="Q4112" s="38" t="str">
        <f t="shared" si="445"/>
        <v/>
      </c>
      <c r="R4112" s="37" t="str">
        <f t="shared" si="446"/>
        <v/>
      </c>
      <c r="S4112" s="37" t="str">
        <f t="shared" si="447"/>
        <v/>
      </c>
      <c r="T4112" s="38" t="str">
        <f t="shared" si="448"/>
        <v/>
      </c>
      <c r="U4112" s="37" t="str">
        <f t="shared" si="449"/>
        <v/>
      </c>
    </row>
    <row r="4113" spans="2:21" ht="17.25">
      <c r="B4113" s="156"/>
      <c r="C4113" s="156"/>
      <c r="D4113" s="157"/>
      <c r="E4113" s="155"/>
      <c r="F4113" s="151"/>
      <c r="G4113" s="152"/>
      <c r="H4113" s="153"/>
      <c r="I4113" s="154"/>
      <c r="J4113" s="154"/>
      <c r="K4113" s="30" t="str">
        <f>IF(H4113="","",IF($C$30="간이법","",FPR(H4113,I4113,J4113)))</f>
        <v/>
      </c>
      <c r="L4113" s="30" t="str">
        <f>IF(H4113="","",IF($C$30="상세법",FPV(H4113,K4113),IF(H4113="EI",4,IF(H4113="EO",5.2,IF(H4113="EQ",3.9,IF(H4113="ILF",7.5,IF(H4113="EIF",5.4)))))))</f>
        <v/>
      </c>
      <c r="M4113" s="30" t="str">
        <f t="shared" si="443"/>
        <v/>
      </c>
      <c r="N4113" s="134"/>
      <c r="O4113" s="29"/>
      <c r="P4113" s="37" t="str">
        <f t="shared" si="444"/>
        <v/>
      </c>
      <c r="Q4113" s="38" t="str">
        <f t="shared" si="445"/>
        <v/>
      </c>
      <c r="R4113" s="37" t="str">
        <f t="shared" si="446"/>
        <v/>
      </c>
      <c r="S4113" s="37" t="str">
        <f t="shared" si="447"/>
        <v/>
      </c>
      <c r="T4113" s="38" t="str">
        <f t="shared" si="448"/>
        <v/>
      </c>
      <c r="U4113" s="37" t="str">
        <f t="shared" si="449"/>
        <v/>
      </c>
    </row>
    <row r="4114" spans="2:21" ht="17.25">
      <c r="B4114" s="156"/>
      <c r="C4114" s="156"/>
      <c r="D4114" s="157"/>
      <c r="E4114" s="155"/>
      <c r="F4114" s="151"/>
      <c r="G4114" s="152"/>
      <c r="H4114" s="153"/>
      <c r="I4114" s="154"/>
      <c r="J4114" s="154"/>
      <c r="K4114" s="30" t="str">
        <f>IF(H4114="","",IF($C$30="간이법","",FPR(H4114,I4114,J4114)))</f>
        <v/>
      </c>
      <c r="L4114" s="30" t="str">
        <f>IF(H4114="","",IF($C$30="상세법",FPV(H4114,K4114),IF(H4114="EI",4,IF(H4114="EO",5.2,IF(H4114="EQ",3.9,IF(H4114="ILF",7.5,IF(H4114="EIF",5.4)))))))</f>
        <v/>
      </c>
      <c r="M4114" s="30" t="str">
        <f t="shared" si="443"/>
        <v/>
      </c>
      <c r="N4114" s="134"/>
      <c r="O4114" s="29"/>
      <c r="P4114" s="37" t="str">
        <f t="shared" si="444"/>
        <v/>
      </c>
      <c r="Q4114" s="38" t="str">
        <f t="shared" si="445"/>
        <v/>
      </c>
      <c r="R4114" s="37" t="str">
        <f t="shared" si="446"/>
        <v/>
      </c>
      <c r="S4114" s="37" t="str">
        <f t="shared" si="447"/>
        <v/>
      </c>
      <c r="T4114" s="38" t="str">
        <f t="shared" si="448"/>
        <v/>
      </c>
      <c r="U4114" s="37" t="str">
        <f t="shared" si="449"/>
        <v/>
      </c>
    </row>
    <row r="4115" spans="2:21" ht="17.25">
      <c r="B4115" s="156"/>
      <c r="C4115" s="156"/>
      <c r="D4115" s="157"/>
      <c r="E4115" s="155"/>
      <c r="F4115" s="151"/>
      <c r="G4115" s="152"/>
      <c r="H4115" s="153"/>
      <c r="I4115" s="154"/>
      <c r="J4115" s="154"/>
      <c r="K4115" s="30" t="str">
        <f>IF(H4115="","",IF($C$30="간이법","",FPR(H4115,I4115,J4115)))</f>
        <v/>
      </c>
      <c r="L4115" s="30" t="str">
        <f>IF(H4115="","",IF($C$30="상세법",FPV(H4115,K4115),IF(H4115="EI",4,IF(H4115="EO",5.2,IF(H4115="EQ",3.9,IF(H4115="ILF",7.5,IF(H4115="EIF",5.4)))))))</f>
        <v/>
      </c>
      <c r="M4115" s="30" t="str">
        <f t="shared" si="443"/>
        <v/>
      </c>
      <c r="N4115" s="134"/>
      <c r="O4115" s="29"/>
      <c r="P4115" s="37" t="str">
        <f t="shared" si="444"/>
        <v/>
      </c>
      <c r="Q4115" s="38" t="str">
        <f t="shared" si="445"/>
        <v/>
      </c>
      <c r="R4115" s="37" t="str">
        <f t="shared" si="446"/>
        <v/>
      </c>
      <c r="S4115" s="37" t="str">
        <f t="shared" si="447"/>
        <v/>
      </c>
      <c r="T4115" s="38" t="str">
        <f t="shared" si="448"/>
        <v/>
      </c>
      <c r="U4115" s="37" t="str">
        <f t="shared" si="449"/>
        <v/>
      </c>
    </row>
    <row r="4116" spans="2:21" ht="17.25">
      <c r="B4116" s="156"/>
      <c r="C4116" s="156"/>
      <c r="D4116" s="157"/>
      <c r="E4116" s="155"/>
      <c r="F4116" s="151"/>
      <c r="G4116" s="152"/>
      <c r="H4116" s="153"/>
      <c r="I4116" s="154"/>
      <c r="J4116" s="154"/>
      <c r="K4116" s="30" t="str">
        <f>IF(H4116="","",IF($C$30="간이법","",FPR(H4116,I4116,J4116)))</f>
        <v/>
      </c>
      <c r="L4116" s="30" t="str">
        <f>IF(H4116="","",IF($C$30="상세법",FPV(H4116,K4116),IF(H4116="EI",4,IF(H4116="EO",5.2,IF(H4116="EQ",3.9,IF(H4116="ILF",7.5,IF(H4116="EIF",5.4)))))))</f>
        <v/>
      </c>
      <c r="M4116" s="30" t="str">
        <f t="shared" si="443"/>
        <v/>
      </c>
      <c r="N4116" s="134"/>
      <c r="O4116" s="29"/>
      <c r="P4116" s="37" t="str">
        <f t="shared" si="444"/>
        <v/>
      </c>
      <c r="Q4116" s="38" t="str">
        <f t="shared" si="445"/>
        <v/>
      </c>
      <c r="R4116" s="37" t="str">
        <f t="shared" si="446"/>
        <v/>
      </c>
      <c r="S4116" s="37" t="str">
        <f t="shared" si="447"/>
        <v/>
      </c>
      <c r="T4116" s="38" t="str">
        <f t="shared" si="448"/>
        <v/>
      </c>
      <c r="U4116" s="37" t="str">
        <f t="shared" si="449"/>
        <v/>
      </c>
    </row>
    <row r="4117" spans="2:21" ht="17.25">
      <c r="B4117" s="156"/>
      <c r="C4117" s="156"/>
      <c r="D4117" s="157"/>
      <c r="E4117" s="155"/>
      <c r="F4117" s="151"/>
      <c r="G4117" s="152"/>
      <c r="H4117" s="153"/>
      <c r="I4117" s="154"/>
      <c r="J4117" s="154"/>
      <c r="K4117" s="30" t="str">
        <f>IF(H4117="","",IF($C$30="간이법","",FPR(H4117,I4117,J4117)))</f>
        <v/>
      </c>
      <c r="L4117" s="30" t="str">
        <f>IF(H4117="","",IF($C$30="상세법",FPV(H4117,K4117),IF(H4117="EI",4,IF(H4117="EO",5.2,IF(H4117="EQ",3.9,IF(H4117="ILF",7.5,IF(H4117="EIF",5.4)))))))</f>
        <v/>
      </c>
      <c r="M4117" s="30" t="str">
        <f t="shared" si="443"/>
        <v/>
      </c>
      <c r="N4117" s="134"/>
      <c r="O4117" s="29"/>
      <c r="P4117" s="37" t="str">
        <f t="shared" si="444"/>
        <v/>
      </c>
      <c r="Q4117" s="38" t="str">
        <f t="shared" si="445"/>
        <v/>
      </c>
      <c r="R4117" s="37" t="str">
        <f t="shared" si="446"/>
        <v/>
      </c>
      <c r="S4117" s="37" t="str">
        <f t="shared" si="447"/>
        <v/>
      </c>
      <c r="T4117" s="38" t="str">
        <f t="shared" si="448"/>
        <v/>
      </c>
      <c r="U4117" s="37" t="str">
        <f t="shared" si="449"/>
        <v/>
      </c>
    </row>
    <row r="4118" spans="2:21" ht="17.25">
      <c r="B4118" s="156"/>
      <c r="C4118" s="156"/>
      <c r="D4118" s="157"/>
      <c r="E4118" s="155"/>
      <c r="F4118" s="151"/>
      <c r="G4118" s="152"/>
      <c r="H4118" s="153"/>
      <c r="I4118" s="154"/>
      <c r="J4118" s="154"/>
      <c r="K4118" s="30" t="str">
        <f>IF(H4118="","",IF($C$30="간이법","",FPR(H4118,I4118,J4118)))</f>
        <v/>
      </c>
      <c r="L4118" s="30" t="str">
        <f>IF(H4118="","",IF($C$30="상세법",FPV(H4118,K4118),IF(H4118="EI",4,IF(H4118="EO",5.2,IF(H4118="EQ",3.9,IF(H4118="ILF",7.5,IF(H4118="EIF",5.4)))))))</f>
        <v/>
      </c>
      <c r="M4118" s="30" t="str">
        <f t="shared" si="443"/>
        <v/>
      </c>
      <c r="N4118" s="134"/>
      <c r="O4118" s="29"/>
      <c r="P4118" s="37" t="str">
        <f t="shared" si="444"/>
        <v/>
      </c>
      <c r="Q4118" s="38" t="str">
        <f t="shared" si="445"/>
        <v/>
      </c>
      <c r="R4118" s="37" t="str">
        <f t="shared" si="446"/>
        <v/>
      </c>
      <c r="S4118" s="37" t="str">
        <f t="shared" si="447"/>
        <v/>
      </c>
      <c r="T4118" s="38" t="str">
        <f t="shared" si="448"/>
        <v/>
      </c>
      <c r="U4118" s="37" t="str">
        <f t="shared" si="449"/>
        <v/>
      </c>
    </row>
    <row r="4119" spans="2:21" ht="17.25">
      <c r="B4119" s="156"/>
      <c r="C4119" s="156"/>
      <c r="D4119" s="157"/>
      <c r="E4119" s="155"/>
      <c r="F4119" s="151"/>
      <c r="G4119" s="152"/>
      <c r="H4119" s="153"/>
      <c r="I4119" s="154"/>
      <c r="J4119" s="154"/>
      <c r="K4119" s="30" t="str">
        <f>IF(H4119="","",IF($C$30="간이법","",FPR(H4119,I4119,J4119)))</f>
        <v/>
      </c>
      <c r="L4119" s="30" t="str">
        <f>IF(H4119="","",IF($C$30="상세법",FPV(H4119,K4119),IF(H4119="EI",4,IF(H4119="EO",5.2,IF(H4119="EQ",3.9,IF(H4119="ILF",7.5,IF(H4119="EIF",5.4)))))))</f>
        <v/>
      </c>
      <c r="M4119" s="30" t="str">
        <f t="shared" si="443"/>
        <v/>
      </c>
      <c r="N4119" s="134"/>
      <c r="O4119" s="29"/>
      <c r="P4119" s="37" t="str">
        <f t="shared" si="444"/>
        <v/>
      </c>
      <c r="Q4119" s="38" t="str">
        <f t="shared" si="445"/>
        <v/>
      </c>
      <c r="R4119" s="37" t="str">
        <f t="shared" si="446"/>
        <v/>
      </c>
      <c r="S4119" s="37" t="str">
        <f t="shared" si="447"/>
        <v/>
      </c>
      <c r="T4119" s="38" t="str">
        <f t="shared" si="448"/>
        <v/>
      </c>
      <c r="U4119" s="37" t="str">
        <f t="shared" si="449"/>
        <v/>
      </c>
    </row>
    <row r="4120" spans="2:21" ht="17.25">
      <c r="B4120" s="156"/>
      <c r="C4120" s="156"/>
      <c r="D4120" s="157"/>
      <c r="E4120" s="155"/>
      <c r="F4120" s="151"/>
      <c r="G4120" s="152"/>
      <c r="H4120" s="153"/>
      <c r="I4120" s="154"/>
      <c r="J4120" s="154"/>
      <c r="K4120" s="30" t="str">
        <f>IF(H4120="","",IF($C$30="간이법","",FPR(H4120,I4120,J4120)))</f>
        <v/>
      </c>
      <c r="L4120" s="30" t="str">
        <f>IF(H4120="","",IF($C$30="상세법",FPV(H4120,K4120),IF(H4120="EI",4,IF(H4120="EO",5.2,IF(H4120="EQ",3.9,IF(H4120="ILF",7.5,IF(H4120="EIF",5.4)))))))</f>
        <v/>
      </c>
      <c r="M4120" s="30" t="str">
        <f t="shared" si="443"/>
        <v/>
      </c>
      <c r="N4120" s="134"/>
      <c r="O4120" s="29"/>
      <c r="P4120" s="37" t="str">
        <f t="shared" si="444"/>
        <v/>
      </c>
      <c r="Q4120" s="38" t="str">
        <f t="shared" si="445"/>
        <v/>
      </c>
      <c r="R4120" s="37" t="str">
        <f t="shared" si="446"/>
        <v/>
      </c>
      <c r="S4120" s="37" t="str">
        <f t="shared" si="447"/>
        <v/>
      </c>
      <c r="T4120" s="38" t="str">
        <f t="shared" si="448"/>
        <v/>
      </c>
      <c r="U4120" s="37" t="str">
        <f t="shared" si="449"/>
        <v/>
      </c>
    </row>
    <row r="4121" spans="2:21" ht="17.25">
      <c r="B4121" s="156"/>
      <c r="C4121" s="156"/>
      <c r="D4121" s="157"/>
      <c r="E4121" s="155"/>
      <c r="F4121" s="151"/>
      <c r="G4121" s="152"/>
      <c r="H4121" s="153"/>
      <c r="I4121" s="154"/>
      <c r="J4121" s="154"/>
      <c r="K4121" s="30" t="str">
        <f>IF(H4121="","",IF($C$30="간이법","",FPR(H4121,I4121,J4121)))</f>
        <v/>
      </c>
      <c r="L4121" s="30" t="str">
        <f>IF(H4121="","",IF($C$30="상세법",FPV(H4121,K4121),IF(H4121="EI",4,IF(H4121="EO",5.2,IF(H4121="EQ",3.9,IF(H4121="ILF",7.5,IF(H4121="EIF",5.4)))))))</f>
        <v/>
      </c>
      <c r="M4121" s="30" t="str">
        <f t="shared" si="443"/>
        <v/>
      </c>
      <c r="N4121" s="134"/>
      <c r="O4121" s="29"/>
      <c r="P4121" s="37" t="str">
        <f t="shared" si="444"/>
        <v/>
      </c>
      <c r="Q4121" s="38" t="str">
        <f t="shared" si="445"/>
        <v/>
      </c>
      <c r="R4121" s="37" t="str">
        <f t="shared" si="446"/>
        <v/>
      </c>
      <c r="S4121" s="37" t="str">
        <f t="shared" si="447"/>
        <v/>
      </c>
      <c r="T4121" s="38" t="str">
        <f t="shared" si="448"/>
        <v/>
      </c>
      <c r="U4121" s="37" t="str">
        <f t="shared" si="449"/>
        <v/>
      </c>
    </row>
    <row r="4122" spans="2:21" ht="17.25">
      <c r="B4122" s="156"/>
      <c r="C4122" s="156"/>
      <c r="D4122" s="157"/>
      <c r="E4122" s="155"/>
      <c r="F4122" s="151"/>
      <c r="G4122" s="152"/>
      <c r="H4122" s="153"/>
      <c r="I4122" s="154"/>
      <c r="J4122" s="154"/>
      <c r="K4122" s="30" t="str">
        <f>IF(H4122="","",IF($C$30="간이법","",FPR(H4122,I4122,J4122)))</f>
        <v/>
      </c>
      <c r="L4122" s="30" t="str">
        <f>IF(H4122="","",IF($C$30="상세법",FPV(H4122,K4122),IF(H4122="EI",4,IF(H4122="EO",5.2,IF(H4122="EQ",3.9,IF(H4122="ILF",7.5,IF(H4122="EIF",5.4)))))))</f>
        <v/>
      </c>
      <c r="M4122" s="30" t="str">
        <f t="shared" si="443"/>
        <v/>
      </c>
      <c r="N4122" s="134"/>
      <c r="O4122" s="29"/>
      <c r="P4122" s="37" t="str">
        <f t="shared" si="444"/>
        <v/>
      </c>
      <c r="Q4122" s="38" t="str">
        <f t="shared" si="445"/>
        <v/>
      </c>
      <c r="R4122" s="37" t="str">
        <f t="shared" si="446"/>
        <v/>
      </c>
      <c r="S4122" s="37" t="str">
        <f t="shared" si="447"/>
        <v/>
      </c>
      <c r="T4122" s="38" t="str">
        <f t="shared" si="448"/>
        <v/>
      </c>
      <c r="U4122" s="37" t="str">
        <f t="shared" si="449"/>
        <v/>
      </c>
    </row>
    <row r="4123" spans="2:21" ht="17.25">
      <c r="B4123" s="156"/>
      <c r="C4123" s="156"/>
      <c r="D4123" s="157"/>
      <c r="E4123" s="155"/>
      <c r="F4123" s="151"/>
      <c r="G4123" s="152"/>
      <c r="H4123" s="153"/>
      <c r="I4123" s="154"/>
      <c r="J4123" s="154"/>
      <c r="K4123" s="30" t="str">
        <f>IF(H4123="","",IF($C$30="간이법","",FPR(H4123,I4123,J4123)))</f>
        <v/>
      </c>
      <c r="L4123" s="30" t="str">
        <f>IF(H4123="","",IF($C$30="상세법",FPV(H4123,K4123),IF(H4123="EI",4,IF(H4123="EO",5.2,IF(H4123="EQ",3.9,IF(H4123="ILF",7.5,IF(H4123="EIF",5.4)))))))</f>
        <v/>
      </c>
      <c r="M4123" s="30" t="str">
        <f t="shared" si="443"/>
        <v/>
      </c>
      <c r="N4123" s="134"/>
      <c r="O4123" s="29"/>
      <c r="P4123" s="37" t="str">
        <f t="shared" si="444"/>
        <v/>
      </c>
      <c r="Q4123" s="38" t="str">
        <f t="shared" si="445"/>
        <v/>
      </c>
      <c r="R4123" s="37" t="str">
        <f t="shared" si="446"/>
        <v/>
      </c>
      <c r="S4123" s="37" t="str">
        <f t="shared" si="447"/>
        <v/>
      </c>
      <c r="T4123" s="38" t="str">
        <f t="shared" si="448"/>
        <v/>
      </c>
      <c r="U4123" s="37" t="str">
        <f t="shared" si="449"/>
        <v/>
      </c>
    </row>
    <row r="4124" spans="2:21" ht="17.25">
      <c r="B4124" s="156"/>
      <c r="C4124" s="156"/>
      <c r="D4124" s="157"/>
      <c r="E4124" s="155"/>
      <c r="F4124" s="151"/>
      <c r="G4124" s="152"/>
      <c r="H4124" s="153"/>
      <c r="I4124" s="154"/>
      <c r="J4124" s="154"/>
      <c r="K4124" s="30" t="str">
        <f>IF(H4124="","",IF($C$30="간이법","",FPR(H4124,I4124,J4124)))</f>
        <v/>
      </c>
      <c r="L4124" s="30" t="str">
        <f>IF(H4124="","",IF($C$30="상세법",FPV(H4124,K4124),IF(H4124="EI",4,IF(H4124="EO",5.2,IF(H4124="EQ",3.9,IF(H4124="ILF",7.5,IF(H4124="EIF",5.4)))))))</f>
        <v/>
      </c>
      <c r="M4124" s="30" t="str">
        <f t="shared" si="443"/>
        <v/>
      </c>
      <c r="N4124" s="134"/>
      <c r="O4124" s="29"/>
      <c r="P4124" s="37" t="str">
        <f t="shared" si="444"/>
        <v/>
      </c>
      <c r="Q4124" s="38" t="str">
        <f t="shared" si="445"/>
        <v/>
      </c>
      <c r="R4124" s="37" t="str">
        <f t="shared" si="446"/>
        <v/>
      </c>
      <c r="S4124" s="37" t="str">
        <f t="shared" si="447"/>
        <v/>
      </c>
      <c r="T4124" s="38" t="str">
        <f t="shared" si="448"/>
        <v/>
      </c>
      <c r="U4124" s="37" t="str">
        <f t="shared" si="449"/>
        <v/>
      </c>
    </row>
    <row r="4125" spans="2:21" ht="17.25">
      <c r="B4125" s="156"/>
      <c r="C4125" s="156"/>
      <c r="D4125" s="157"/>
      <c r="E4125" s="155"/>
      <c r="F4125" s="151"/>
      <c r="G4125" s="152"/>
      <c r="H4125" s="153"/>
      <c r="I4125" s="154"/>
      <c r="J4125" s="154"/>
      <c r="K4125" s="30" t="str">
        <f>IF(H4125="","",IF($C$30="간이법","",FPR(H4125,I4125,J4125)))</f>
        <v/>
      </c>
      <c r="L4125" s="30" t="str">
        <f>IF(H4125="","",IF($C$30="상세법",FPV(H4125,K4125),IF(H4125="EI",4,IF(H4125="EO",5.2,IF(H4125="EQ",3.9,IF(H4125="ILF",7.5,IF(H4125="EIF",5.4)))))))</f>
        <v/>
      </c>
      <c r="M4125" s="30" t="str">
        <f t="shared" si="443"/>
        <v/>
      </c>
      <c r="N4125" s="134"/>
      <c r="O4125" s="29"/>
      <c r="P4125" s="37" t="str">
        <f t="shared" si="444"/>
        <v/>
      </c>
      <c r="Q4125" s="38" t="str">
        <f t="shared" si="445"/>
        <v/>
      </c>
      <c r="R4125" s="37" t="str">
        <f t="shared" si="446"/>
        <v/>
      </c>
      <c r="S4125" s="37" t="str">
        <f t="shared" si="447"/>
        <v/>
      </c>
      <c r="T4125" s="38" t="str">
        <f t="shared" si="448"/>
        <v/>
      </c>
      <c r="U4125" s="37" t="str">
        <f t="shared" si="449"/>
        <v/>
      </c>
    </row>
    <row r="4126" spans="2:21" ht="17.25">
      <c r="B4126" s="156"/>
      <c r="C4126" s="156"/>
      <c r="D4126" s="157"/>
      <c r="E4126" s="155"/>
      <c r="F4126" s="151"/>
      <c r="G4126" s="152"/>
      <c r="H4126" s="153"/>
      <c r="I4126" s="154"/>
      <c r="J4126" s="154"/>
      <c r="K4126" s="30" t="str">
        <f>IF(H4126="","",IF($C$30="간이법","",FPR(H4126,I4126,J4126)))</f>
        <v/>
      </c>
      <c r="L4126" s="30" t="str">
        <f>IF(H4126="","",IF($C$30="상세법",FPV(H4126,K4126),IF(H4126="EI",4,IF(H4126="EO",5.2,IF(H4126="EQ",3.9,IF(H4126="ILF",7.5,IF(H4126="EIF",5.4)))))))</f>
        <v/>
      </c>
      <c r="M4126" s="30" t="str">
        <f t="shared" si="443"/>
        <v/>
      </c>
      <c r="N4126" s="134"/>
      <c r="O4126" s="29"/>
      <c r="P4126" s="37" t="str">
        <f t="shared" si="444"/>
        <v/>
      </c>
      <c r="Q4126" s="38" t="str">
        <f t="shared" si="445"/>
        <v/>
      </c>
      <c r="R4126" s="37" t="str">
        <f t="shared" si="446"/>
        <v/>
      </c>
      <c r="S4126" s="37" t="str">
        <f t="shared" si="447"/>
        <v/>
      </c>
      <c r="T4126" s="38" t="str">
        <f t="shared" si="448"/>
        <v/>
      </c>
      <c r="U4126" s="37" t="str">
        <f t="shared" si="449"/>
        <v/>
      </c>
    </row>
    <row r="4127" spans="2:21" ht="17.25">
      <c r="B4127" s="156"/>
      <c r="C4127" s="156"/>
      <c r="D4127" s="157"/>
      <c r="E4127" s="155"/>
      <c r="F4127" s="151"/>
      <c r="G4127" s="152"/>
      <c r="H4127" s="153"/>
      <c r="I4127" s="154"/>
      <c r="J4127" s="154"/>
      <c r="K4127" s="30" t="str">
        <f>IF(H4127="","",IF($C$30="간이법","",FPR(H4127,I4127,J4127)))</f>
        <v/>
      </c>
      <c r="L4127" s="30" t="str">
        <f>IF(H4127="","",IF($C$30="상세법",FPV(H4127,K4127),IF(H4127="EI",4,IF(H4127="EO",5.2,IF(H4127="EQ",3.9,IF(H4127="ILF",7.5,IF(H4127="EIF",5.4)))))))</f>
        <v/>
      </c>
      <c r="M4127" s="30" t="str">
        <f t="shared" si="443"/>
        <v/>
      </c>
      <c r="N4127" s="134"/>
      <c r="O4127" s="29"/>
      <c r="P4127" s="37" t="str">
        <f t="shared" si="444"/>
        <v/>
      </c>
      <c r="Q4127" s="38" t="str">
        <f t="shared" si="445"/>
        <v/>
      </c>
      <c r="R4127" s="37" t="str">
        <f t="shared" si="446"/>
        <v/>
      </c>
      <c r="S4127" s="37" t="str">
        <f t="shared" si="447"/>
        <v/>
      </c>
      <c r="T4127" s="38" t="str">
        <f t="shared" si="448"/>
        <v/>
      </c>
      <c r="U4127" s="37" t="str">
        <f t="shared" si="449"/>
        <v/>
      </c>
    </row>
    <row r="4128" spans="2:21" ht="17.25">
      <c r="B4128" s="156"/>
      <c r="C4128" s="156"/>
      <c r="D4128" s="157"/>
      <c r="E4128" s="155"/>
      <c r="F4128" s="151"/>
      <c r="G4128" s="152"/>
      <c r="H4128" s="153"/>
      <c r="I4128" s="154"/>
      <c r="J4128" s="154"/>
      <c r="K4128" s="30" t="str">
        <f>IF(H4128="","",IF($C$30="간이법","",FPR(H4128,I4128,J4128)))</f>
        <v/>
      </c>
      <c r="L4128" s="30" t="str">
        <f>IF(H4128="","",IF($C$30="상세법",FPV(H4128,K4128),IF(H4128="EI",4,IF(H4128="EO",5.2,IF(H4128="EQ",3.9,IF(H4128="ILF",7.5,IF(H4128="EIF",5.4)))))))</f>
        <v/>
      </c>
      <c r="M4128" s="30" t="str">
        <f t="shared" si="443"/>
        <v/>
      </c>
      <c r="N4128" s="134"/>
      <c r="O4128" s="29"/>
      <c r="P4128" s="37" t="str">
        <f t="shared" si="444"/>
        <v/>
      </c>
      <c r="Q4128" s="38" t="str">
        <f t="shared" si="445"/>
        <v/>
      </c>
      <c r="R4128" s="37" t="str">
        <f t="shared" si="446"/>
        <v/>
      </c>
      <c r="S4128" s="37" t="str">
        <f t="shared" si="447"/>
        <v/>
      </c>
      <c r="T4128" s="38" t="str">
        <f t="shared" si="448"/>
        <v/>
      </c>
      <c r="U4128" s="37" t="str">
        <f t="shared" si="449"/>
        <v/>
      </c>
    </row>
    <row r="4129" spans="2:21" ht="17.25">
      <c r="B4129" s="156"/>
      <c r="C4129" s="156"/>
      <c r="D4129" s="157"/>
      <c r="E4129" s="155"/>
      <c r="F4129" s="151"/>
      <c r="G4129" s="152"/>
      <c r="H4129" s="153"/>
      <c r="I4129" s="154"/>
      <c r="J4129" s="154"/>
      <c r="K4129" s="30" t="str">
        <f>IF(H4129="","",IF($C$30="간이법","",FPR(H4129,I4129,J4129)))</f>
        <v/>
      </c>
      <c r="L4129" s="30" t="str">
        <f>IF(H4129="","",IF($C$30="상세법",FPV(H4129,K4129),IF(H4129="EI",4,IF(H4129="EO",5.2,IF(H4129="EQ",3.9,IF(H4129="ILF",7.5,IF(H4129="EIF",5.4)))))))</f>
        <v/>
      </c>
      <c r="M4129" s="30" t="str">
        <f t="shared" si="443"/>
        <v/>
      </c>
      <c r="N4129" s="134"/>
      <c r="O4129" s="29"/>
      <c r="P4129" s="37" t="str">
        <f t="shared" si="444"/>
        <v/>
      </c>
      <c r="Q4129" s="38" t="str">
        <f t="shared" si="445"/>
        <v/>
      </c>
      <c r="R4129" s="37" t="str">
        <f t="shared" si="446"/>
        <v/>
      </c>
      <c r="S4129" s="37" t="str">
        <f t="shared" si="447"/>
        <v/>
      </c>
      <c r="T4129" s="38" t="str">
        <f t="shared" si="448"/>
        <v/>
      </c>
      <c r="U4129" s="37" t="str">
        <f t="shared" si="449"/>
        <v/>
      </c>
    </row>
    <row r="4130" spans="2:21" ht="17.25">
      <c r="B4130" s="156"/>
      <c r="C4130" s="156"/>
      <c r="D4130" s="157"/>
      <c r="E4130" s="155"/>
      <c r="F4130" s="151"/>
      <c r="G4130" s="152"/>
      <c r="H4130" s="153"/>
      <c r="I4130" s="154"/>
      <c r="J4130" s="154"/>
      <c r="K4130" s="30" t="str">
        <f>IF(H4130="","",IF($C$30="간이법","",FPR(H4130,I4130,J4130)))</f>
        <v/>
      </c>
      <c r="L4130" s="30" t="str">
        <f>IF(H4130="","",IF($C$30="상세법",FPV(H4130,K4130),IF(H4130="EI",4,IF(H4130="EO",5.2,IF(H4130="EQ",3.9,IF(H4130="ILF",7.5,IF(H4130="EIF",5.4)))))))</f>
        <v/>
      </c>
      <c r="M4130" s="30" t="str">
        <f t="shared" si="443"/>
        <v/>
      </c>
      <c r="N4130" s="134"/>
      <c r="O4130" s="29"/>
      <c r="P4130" s="37" t="str">
        <f t="shared" si="444"/>
        <v/>
      </c>
      <c r="Q4130" s="38" t="str">
        <f t="shared" si="445"/>
        <v/>
      </c>
      <c r="R4130" s="37" t="str">
        <f t="shared" si="446"/>
        <v/>
      </c>
      <c r="S4130" s="37" t="str">
        <f t="shared" si="447"/>
        <v/>
      </c>
      <c r="T4130" s="38" t="str">
        <f t="shared" si="448"/>
        <v/>
      </c>
      <c r="U4130" s="37" t="str">
        <f t="shared" si="449"/>
        <v/>
      </c>
    </row>
    <row r="4131" spans="2:21" ht="17.25">
      <c r="B4131" s="156"/>
      <c r="C4131" s="156"/>
      <c r="D4131" s="157"/>
      <c r="E4131" s="155"/>
      <c r="F4131" s="151"/>
      <c r="G4131" s="152"/>
      <c r="H4131" s="153"/>
      <c r="I4131" s="154"/>
      <c r="J4131" s="154"/>
      <c r="K4131" s="30" t="str">
        <f>IF(H4131="","",IF($C$30="간이법","",FPR(H4131,I4131,J4131)))</f>
        <v/>
      </c>
      <c r="L4131" s="30" t="str">
        <f>IF(H4131="","",IF($C$30="상세법",FPV(H4131,K4131),IF(H4131="EI",4,IF(H4131="EO",5.2,IF(H4131="EQ",3.9,IF(H4131="ILF",7.5,IF(H4131="EIF",5.4)))))))</f>
        <v/>
      </c>
      <c r="M4131" s="30" t="str">
        <f t="shared" si="443"/>
        <v/>
      </c>
      <c r="N4131" s="134"/>
      <c r="O4131" s="29"/>
      <c r="P4131" s="37" t="str">
        <f t="shared" si="444"/>
        <v/>
      </c>
      <c r="Q4131" s="38" t="str">
        <f t="shared" si="445"/>
        <v/>
      </c>
      <c r="R4131" s="37" t="str">
        <f t="shared" si="446"/>
        <v/>
      </c>
      <c r="S4131" s="37" t="str">
        <f t="shared" si="447"/>
        <v/>
      </c>
      <c r="T4131" s="38" t="str">
        <f t="shared" si="448"/>
        <v/>
      </c>
      <c r="U4131" s="37" t="str">
        <f t="shared" si="449"/>
        <v/>
      </c>
    </row>
    <row r="4132" spans="2:21" ht="17.25">
      <c r="B4132" s="156"/>
      <c r="C4132" s="156"/>
      <c r="D4132" s="157"/>
      <c r="E4132" s="155"/>
      <c r="F4132" s="151"/>
      <c r="G4132" s="152"/>
      <c r="H4132" s="153"/>
      <c r="I4132" s="154"/>
      <c r="J4132" s="154"/>
      <c r="K4132" s="30" t="str">
        <f>IF(H4132="","",IF($C$30="간이법","",FPR(H4132,I4132,J4132)))</f>
        <v/>
      </c>
      <c r="L4132" s="30" t="str">
        <f>IF(H4132="","",IF($C$30="상세법",FPV(H4132,K4132),IF(H4132="EI",4,IF(H4132="EO",5.2,IF(H4132="EQ",3.9,IF(H4132="ILF",7.5,IF(H4132="EIF",5.4)))))))</f>
        <v/>
      </c>
      <c r="M4132" s="30" t="str">
        <f t="shared" si="443"/>
        <v/>
      </c>
      <c r="N4132" s="134"/>
      <c r="O4132" s="29"/>
      <c r="P4132" s="37" t="str">
        <f t="shared" si="444"/>
        <v/>
      </c>
      <c r="Q4132" s="38" t="str">
        <f t="shared" si="445"/>
        <v/>
      </c>
      <c r="R4132" s="37" t="str">
        <f t="shared" si="446"/>
        <v/>
      </c>
      <c r="S4132" s="37" t="str">
        <f t="shared" si="447"/>
        <v/>
      </c>
      <c r="T4132" s="38" t="str">
        <f t="shared" si="448"/>
        <v/>
      </c>
      <c r="U4132" s="37" t="str">
        <f t="shared" si="449"/>
        <v/>
      </c>
    </row>
    <row r="4133" spans="2:21" ht="17.25">
      <c r="B4133" s="156"/>
      <c r="C4133" s="156"/>
      <c r="D4133" s="157"/>
      <c r="E4133" s="155"/>
      <c r="F4133" s="151"/>
      <c r="G4133" s="152"/>
      <c r="H4133" s="153"/>
      <c r="I4133" s="154"/>
      <c r="J4133" s="154"/>
      <c r="K4133" s="30" t="str">
        <f>IF(H4133="","",IF($C$30="간이법","",FPR(H4133,I4133,J4133)))</f>
        <v/>
      </c>
      <c r="L4133" s="30" t="str">
        <f>IF(H4133="","",IF($C$30="상세법",FPV(H4133,K4133),IF(H4133="EI",4,IF(H4133="EO",5.2,IF(H4133="EQ",3.9,IF(H4133="ILF",7.5,IF(H4133="EIF",5.4)))))))</f>
        <v/>
      </c>
      <c r="M4133" s="30" t="str">
        <f t="shared" si="443"/>
        <v/>
      </c>
      <c r="N4133" s="134"/>
      <c r="O4133" s="29"/>
      <c r="P4133" s="37" t="str">
        <f t="shared" si="444"/>
        <v/>
      </c>
      <c r="Q4133" s="38" t="str">
        <f t="shared" si="445"/>
        <v/>
      </c>
      <c r="R4133" s="37" t="str">
        <f t="shared" si="446"/>
        <v/>
      </c>
      <c r="S4133" s="37" t="str">
        <f t="shared" si="447"/>
        <v/>
      </c>
      <c r="T4133" s="38" t="str">
        <f t="shared" si="448"/>
        <v/>
      </c>
      <c r="U4133" s="37" t="str">
        <f t="shared" si="449"/>
        <v/>
      </c>
    </row>
    <row r="4134" spans="2:21" ht="17.25">
      <c r="B4134" s="156"/>
      <c r="C4134" s="156"/>
      <c r="D4134" s="157"/>
      <c r="E4134" s="155"/>
      <c r="F4134" s="151"/>
      <c r="G4134" s="152"/>
      <c r="H4134" s="153"/>
      <c r="I4134" s="154"/>
      <c r="J4134" s="154"/>
      <c r="K4134" s="30" t="str">
        <f>IF(H4134="","",IF($C$30="간이법","",FPR(H4134,I4134,J4134)))</f>
        <v/>
      </c>
      <c r="L4134" s="30" t="str">
        <f>IF(H4134="","",IF($C$30="상세법",FPV(H4134,K4134),IF(H4134="EI",4,IF(H4134="EO",5.2,IF(H4134="EQ",3.9,IF(H4134="ILF",7.5,IF(H4134="EIF",5.4)))))))</f>
        <v/>
      </c>
      <c r="M4134" s="30" t="str">
        <f t="shared" si="443"/>
        <v/>
      </c>
      <c r="N4134" s="134"/>
      <c r="O4134" s="29"/>
      <c r="P4134" s="37" t="str">
        <f t="shared" si="444"/>
        <v/>
      </c>
      <c r="Q4134" s="38" t="str">
        <f t="shared" si="445"/>
        <v/>
      </c>
      <c r="R4134" s="37" t="str">
        <f t="shared" si="446"/>
        <v/>
      </c>
      <c r="S4134" s="37" t="str">
        <f t="shared" si="447"/>
        <v/>
      </c>
      <c r="T4134" s="38" t="str">
        <f t="shared" si="448"/>
        <v/>
      </c>
      <c r="U4134" s="37" t="str">
        <f t="shared" si="449"/>
        <v/>
      </c>
    </row>
    <row r="4135" spans="2:21" ht="17.25">
      <c r="B4135" s="156"/>
      <c r="C4135" s="156"/>
      <c r="D4135" s="157"/>
      <c r="E4135" s="155"/>
      <c r="F4135" s="151"/>
      <c r="G4135" s="152"/>
      <c r="H4135" s="153"/>
      <c r="I4135" s="154"/>
      <c r="J4135" s="154"/>
      <c r="K4135" s="30" t="str">
        <f>IF(H4135="","",IF($C$30="간이법","",FPR(H4135,I4135,J4135)))</f>
        <v/>
      </c>
      <c r="L4135" s="30" t="str">
        <f>IF(H4135="","",IF($C$30="상세법",FPV(H4135,K4135),IF(H4135="EI",4,IF(H4135="EO",5.2,IF(H4135="EQ",3.9,IF(H4135="ILF",7.5,IF(H4135="EIF",5.4)))))))</f>
        <v/>
      </c>
      <c r="M4135" s="30" t="str">
        <f t="shared" si="443"/>
        <v/>
      </c>
      <c r="N4135" s="134"/>
      <c r="O4135" s="29"/>
      <c r="P4135" s="37" t="str">
        <f t="shared" si="444"/>
        <v/>
      </c>
      <c r="Q4135" s="38" t="str">
        <f t="shared" si="445"/>
        <v/>
      </c>
      <c r="R4135" s="37" t="str">
        <f t="shared" si="446"/>
        <v/>
      </c>
      <c r="S4135" s="37" t="str">
        <f t="shared" si="447"/>
        <v/>
      </c>
      <c r="T4135" s="38" t="str">
        <f t="shared" si="448"/>
        <v/>
      </c>
      <c r="U4135" s="37" t="str">
        <f t="shared" si="449"/>
        <v/>
      </c>
    </row>
    <row r="4136" spans="2:21" ht="17.25">
      <c r="B4136" s="156"/>
      <c r="C4136" s="156"/>
      <c r="D4136" s="157"/>
      <c r="E4136" s="155"/>
      <c r="F4136" s="151"/>
      <c r="G4136" s="152"/>
      <c r="H4136" s="153"/>
      <c r="I4136" s="154"/>
      <c r="J4136" s="154"/>
      <c r="K4136" s="30" t="str">
        <f>IF(H4136="","",IF($C$30="간이법","",FPR(H4136,I4136,J4136)))</f>
        <v/>
      </c>
      <c r="L4136" s="30" t="str">
        <f>IF(H4136="","",IF($C$30="상세법",FPV(H4136,K4136),IF(H4136="EI",4,IF(H4136="EO",5.2,IF(H4136="EQ",3.9,IF(H4136="ILF",7.5,IF(H4136="EIF",5.4)))))))</f>
        <v/>
      </c>
      <c r="M4136" s="30" t="str">
        <f t="shared" si="443"/>
        <v/>
      </c>
      <c r="N4136" s="134"/>
      <c r="O4136" s="29"/>
      <c r="P4136" s="37" t="str">
        <f t="shared" si="444"/>
        <v/>
      </c>
      <c r="Q4136" s="38" t="str">
        <f t="shared" si="445"/>
        <v/>
      </c>
      <c r="R4136" s="37" t="str">
        <f t="shared" si="446"/>
        <v/>
      </c>
      <c r="S4136" s="37" t="str">
        <f t="shared" si="447"/>
        <v/>
      </c>
      <c r="T4136" s="38" t="str">
        <f t="shared" si="448"/>
        <v/>
      </c>
      <c r="U4136" s="37" t="str">
        <f t="shared" si="449"/>
        <v/>
      </c>
    </row>
    <row r="4137" spans="2:21" ht="17.25">
      <c r="B4137" s="156"/>
      <c r="C4137" s="156"/>
      <c r="D4137" s="157"/>
      <c r="E4137" s="155"/>
      <c r="F4137" s="151"/>
      <c r="G4137" s="152"/>
      <c r="H4137" s="153"/>
      <c r="I4137" s="154"/>
      <c r="J4137" s="154"/>
      <c r="K4137" s="30" t="str">
        <f>IF(H4137="","",IF($C$30="간이법","",FPR(H4137,I4137,J4137)))</f>
        <v/>
      </c>
      <c r="L4137" s="30" t="str">
        <f>IF(H4137="","",IF($C$30="상세법",FPV(H4137,K4137),IF(H4137="EI",4,IF(H4137="EO",5.2,IF(H4137="EQ",3.9,IF(H4137="ILF",7.5,IF(H4137="EIF",5.4)))))))</f>
        <v/>
      </c>
      <c r="M4137" s="30" t="str">
        <f t="shared" si="443"/>
        <v/>
      </c>
      <c r="N4137" s="134"/>
      <c r="O4137" s="29"/>
      <c r="P4137" s="37" t="str">
        <f t="shared" si="444"/>
        <v/>
      </c>
      <c r="Q4137" s="38" t="str">
        <f t="shared" si="445"/>
        <v/>
      </c>
      <c r="R4137" s="37" t="str">
        <f t="shared" si="446"/>
        <v/>
      </c>
      <c r="S4137" s="37" t="str">
        <f t="shared" si="447"/>
        <v/>
      </c>
      <c r="T4137" s="38" t="str">
        <f t="shared" si="448"/>
        <v/>
      </c>
      <c r="U4137" s="37" t="str">
        <f t="shared" si="449"/>
        <v/>
      </c>
    </row>
    <row r="4138" spans="2:21" ht="17.25">
      <c r="B4138" s="156"/>
      <c r="C4138" s="156"/>
      <c r="D4138" s="157"/>
      <c r="E4138" s="155"/>
      <c r="F4138" s="151"/>
      <c r="G4138" s="152"/>
      <c r="H4138" s="153"/>
      <c r="I4138" s="154"/>
      <c r="J4138" s="154"/>
      <c r="K4138" s="30" t="str">
        <f>IF(H4138="","",IF($C$30="간이법","",FPR(H4138,I4138,J4138)))</f>
        <v/>
      </c>
      <c r="L4138" s="30" t="str">
        <f>IF(H4138="","",IF($C$30="상세법",FPV(H4138,K4138),IF(H4138="EI",4,IF(H4138="EO",5.2,IF(H4138="EQ",3.9,IF(H4138="ILF",7.5,IF(H4138="EIF",5.4)))))))</f>
        <v/>
      </c>
      <c r="M4138" s="30" t="str">
        <f t="shared" si="443"/>
        <v/>
      </c>
      <c r="N4138" s="134"/>
      <c r="O4138" s="29"/>
      <c r="P4138" s="37" t="str">
        <f t="shared" si="444"/>
        <v/>
      </c>
      <c r="Q4138" s="38" t="str">
        <f t="shared" si="445"/>
        <v/>
      </c>
      <c r="R4138" s="37" t="str">
        <f t="shared" si="446"/>
        <v/>
      </c>
      <c r="S4138" s="37" t="str">
        <f t="shared" si="447"/>
        <v/>
      </c>
      <c r="T4138" s="38" t="str">
        <f t="shared" si="448"/>
        <v/>
      </c>
      <c r="U4138" s="37" t="str">
        <f t="shared" si="449"/>
        <v/>
      </c>
    </row>
    <row r="4139" spans="2:21" ht="17.25">
      <c r="B4139" s="156"/>
      <c r="C4139" s="156"/>
      <c r="D4139" s="157"/>
      <c r="E4139" s="155"/>
      <c r="F4139" s="151"/>
      <c r="G4139" s="152"/>
      <c r="H4139" s="153"/>
      <c r="I4139" s="154"/>
      <c r="J4139" s="154"/>
      <c r="K4139" s="30" t="str">
        <f>IF(H4139="","",IF($C$30="간이법","",FPR(H4139,I4139,J4139)))</f>
        <v/>
      </c>
      <c r="L4139" s="30" t="str">
        <f>IF(H4139="","",IF($C$30="상세법",FPV(H4139,K4139),IF(H4139="EI",4,IF(H4139="EO",5.2,IF(H4139="EQ",3.9,IF(H4139="ILF",7.5,IF(H4139="EIF",5.4)))))))</f>
        <v/>
      </c>
      <c r="M4139" s="30" t="str">
        <f t="shared" si="443"/>
        <v/>
      </c>
      <c r="N4139" s="134"/>
      <c r="O4139" s="29"/>
      <c r="P4139" s="37" t="str">
        <f t="shared" si="444"/>
        <v/>
      </c>
      <c r="Q4139" s="38" t="str">
        <f t="shared" si="445"/>
        <v/>
      </c>
      <c r="R4139" s="37" t="str">
        <f t="shared" si="446"/>
        <v/>
      </c>
      <c r="S4139" s="37" t="str">
        <f t="shared" si="447"/>
        <v/>
      </c>
      <c r="T4139" s="38" t="str">
        <f t="shared" si="448"/>
        <v/>
      </c>
      <c r="U4139" s="37" t="str">
        <f t="shared" si="449"/>
        <v/>
      </c>
    </row>
    <row r="4140" spans="2:21" ht="17.25">
      <c r="B4140" s="156"/>
      <c r="C4140" s="156"/>
      <c r="D4140" s="157"/>
      <c r="E4140" s="155"/>
      <c r="F4140" s="151"/>
      <c r="G4140" s="152"/>
      <c r="H4140" s="153"/>
      <c r="I4140" s="154"/>
      <c r="J4140" s="154"/>
      <c r="K4140" s="30" t="str">
        <f>IF(H4140="","",IF($C$30="간이법","",FPR(H4140,I4140,J4140)))</f>
        <v/>
      </c>
      <c r="L4140" s="30" t="str">
        <f>IF(H4140="","",IF($C$30="상세법",FPV(H4140,K4140),IF(H4140="EI",4,IF(H4140="EO",5.2,IF(H4140="EQ",3.9,IF(H4140="ILF",7.5,IF(H4140="EIF",5.4)))))))</f>
        <v/>
      </c>
      <c r="M4140" s="30" t="str">
        <f t="shared" si="443"/>
        <v/>
      </c>
      <c r="N4140" s="134"/>
      <c r="O4140" s="29"/>
      <c r="P4140" s="37" t="str">
        <f t="shared" si="444"/>
        <v/>
      </c>
      <c r="Q4140" s="38" t="str">
        <f t="shared" si="445"/>
        <v/>
      </c>
      <c r="R4140" s="37" t="str">
        <f t="shared" si="446"/>
        <v/>
      </c>
      <c r="S4140" s="37" t="str">
        <f t="shared" si="447"/>
        <v/>
      </c>
      <c r="T4140" s="38" t="str">
        <f t="shared" si="448"/>
        <v/>
      </c>
      <c r="U4140" s="37" t="str">
        <f t="shared" si="449"/>
        <v/>
      </c>
    </row>
    <row r="4141" spans="2:21" ht="17.25">
      <c r="B4141" s="156"/>
      <c r="C4141" s="156"/>
      <c r="D4141" s="157"/>
      <c r="E4141" s="155"/>
      <c r="F4141" s="151"/>
      <c r="G4141" s="152"/>
      <c r="H4141" s="153"/>
      <c r="I4141" s="154"/>
      <c r="J4141" s="154"/>
      <c r="K4141" s="30" t="str">
        <f>IF(H4141="","",IF($C$30="간이법","",FPR(H4141,I4141,J4141)))</f>
        <v/>
      </c>
      <c r="L4141" s="30" t="str">
        <f>IF(H4141="","",IF($C$30="상세법",FPV(H4141,K4141),IF(H4141="EI",4,IF(H4141="EO",5.2,IF(H4141="EQ",3.9,IF(H4141="ILF",7.5,IF(H4141="EIF",5.4)))))))</f>
        <v/>
      </c>
      <c r="M4141" s="30" t="str">
        <f t="shared" si="443"/>
        <v/>
      </c>
      <c r="N4141" s="134"/>
      <c r="O4141" s="29"/>
      <c r="P4141" s="37" t="str">
        <f t="shared" si="444"/>
        <v/>
      </c>
      <c r="Q4141" s="38" t="str">
        <f t="shared" si="445"/>
        <v/>
      </c>
      <c r="R4141" s="37" t="str">
        <f t="shared" si="446"/>
        <v/>
      </c>
      <c r="S4141" s="37" t="str">
        <f t="shared" si="447"/>
        <v/>
      </c>
      <c r="T4141" s="38" t="str">
        <f t="shared" si="448"/>
        <v/>
      </c>
      <c r="U4141" s="37" t="str">
        <f t="shared" si="449"/>
        <v/>
      </c>
    </row>
    <row r="4142" spans="2:21" ht="17.25">
      <c r="B4142" s="156"/>
      <c r="C4142" s="156"/>
      <c r="D4142" s="157"/>
      <c r="E4142" s="155"/>
      <c r="F4142" s="151"/>
      <c r="G4142" s="152"/>
      <c r="H4142" s="153"/>
      <c r="I4142" s="154"/>
      <c r="J4142" s="154"/>
      <c r="K4142" s="30" t="str">
        <f>IF(H4142="","",IF($C$30="간이법","",FPR(H4142,I4142,J4142)))</f>
        <v/>
      </c>
      <c r="L4142" s="30" t="str">
        <f>IF(H4142="","",IF($C$30="상세법",FPV(H4142,K4142),IF(H4142="EI",4,IF(H4142="EO",5.2,IF(H4142="EQ",3.9,IF(H4142="ILF",7.5,IF(H4142="EIF",5.4)))))))</f>
        <v/>
      </c>
      <c r="M4142" s="30" t="str">
        <f t="shared" si="443"/>
        <v/>
      </c>
      <c r="N4142" s="134"/>
      <c r="O4142" s="29"/>
      <c r="P4142" s="37" t="str">
        <f t="shared" si="444"/>
        <v/>
      </c>
      <c r="Q4142" s="38" t="str">
        <f t="shared" si="445"/>
        <v/>
      </c>
      <c r="R4142" s="37" t="str">
        <f t="shared" si="446"/>
        <v/>
      </c>
      <c r="S4142" s="37" t="str">
        <f t="shared" si="447"/>
        <v/>
      </c>
      <c r="T4142" s="38" t="str">
        <f t="shared" si="448"/>
        <v/>
      </c>
      <c r="U4142" s="37" t="str">
        <f t="shared" si="449"/>
        <v/>
      </c>
    </row>
    <row r="4143" spans="2:21" ht="17.25">
      <c r="B4143" s="156"/>
      <c r="C4143" s="156"/>
      <c r="D4143" s="157"/>
      <c r="E4143" s="155"/>
      <c r="F4143" s="151"/>
      <c r="G4143" s="152"/>
      <c r="H4143" s="153"/>
      <c r="I4143" s="154"/>
      <c r="J4143" s="154"/>
      <c r="K4143" s="30" t="str">
        <f>IF(H4143="","",IF($C$30="간이법","",FPR(H4143,I4143,J4143)))</f>
        <v/>
      </c>
      <c r="L4143" s="30" t="str">
        <f>IF(H4143="","",IF($C$30="상세법",FPV(H4143,K4143),IF(H4143="EI",4,IF(H4143="EO",5.2,IF(H4143="EQ",3.9,IF(H4143="ILF",7.5,IF(H4143="EIF",5.4)))))))</f>
        <v/>
      </c>
      <c r="M4143" s="30" t="str">
        <f t="shared" si="443"/>
        <v/>
      </c>
      <c r="N4143" s="134"/>
      <c r="O4143" s="29"/>
      <c r="P4143" s="37" t="str">
        <f t="shared" si="444"/>
        <v/>
      </c>
      <c r="Q4143" s="38" t="str">
        <f t="shared" si="445"/>
        <v/>
      </c>
      <c r="R4143" s="37" t="str">
        <f t="shared" si="446"/>
        <v/>
      </c>
      <c r="S4143" s="37" t="str">
        <f t="shared" si="447"/>
        <v/>
      </c>
      <c r="T4143" s="38" t="str">
        <f t="shared" si="448"/>
        <v/>
      </c>
      <c r="U4143" s="37" t="str">
        <f t="shared" si="449"/>
        <v/>
      </c>
    </row>
    <row r="4144" spans="2:21" ht="17.25">
      <c r="B4144" s="156"/>
      <c r="C4144" s="156"/>
      <c r="D4144" s="157"/>
      <c r="E4144" s="155"/>
      <c r="F4144" s="151"/>
      <c r="G4144" s="152"/>
      <c r="H4144" s="153"/>
      <c r="I4144" s="154"/>
      <c r="J4144" s="154"/>
      <c r="K4144" s="30" t="str">
        <f>IF(H4144="","",IF($C$30="간이법","",FPR(H4144,I4144,J4144)))</f>
        <v/>
      </c>
      <c r="L4144" s="30" t="str">
        <f>IF(H4144="","",IF($C$30="상세법",FPV(H4144,K4144),IF(H4144="EI",4,IF(H4144="EO",5.2,IF(H4144="EQ",3.9,IF(H4144="ILF",7.5,IF(H4144="EIF",5.4)))))))</f>
        <v/>
      </c>
      <c r="M4144" s="30" t="str">
        <f t="shared" si="443"/>
        <v/>
      </c>
      <c r="N4144" s="134"/>
      <c r="O4144" s="29"/>
      <c r="P4144" s="37" t="str">
        <f t="shared" si="444"/>
        <v/>
      </c>
      <c r="Q4144" s="38" t="str">
        <f t="shared" si="445"/>
        <v/>
      </c>
      <c r="R4144" s="37" t="str">
        <f t="shared" si="446"/>
        <v/>
      </c>
      <c r="S4144" s="37" t="str">
        <f t="shared" si="447"/>
        <v/>
      </c>
      <c r="T4144" s="38" t="str">
        <f t="shared" si="448"/>
        <v/>
      </c>
      <c r="U4144" s="37" t="str">
        <f t="shared" si="449"/>
        <v/>
      </c>
    </row>
    <row r="4145" spans="2:21" ht="17.25">
      <c r="B4145" s="156"/>
      <c r="C4145" s="156"/>
      <c r="D4145" s="157"/>
      <c r="E4145" s="155"/>
      <c r="F4145" s="151"/>
      <c r="G4145" s="152"/>
      <c r="H4145" s="153"/>
      <c r="I4145" s="154"/>
      <c r="J4145" s="154"/>
      <c r="K4145" s="30" t="str">
        <f>IF(H4145="","",IF($C$30="간이법","",FPR(H4145,I4145,J4145)))</f>
        <v/>
      </c>
      <c r="L4145" s="30" t="str">
        <f>IF(H4145="","",IF($C$30="상세법",FPV(H4145,K4145),IF(H4145="EI",4,IF(H4145="EO",5.2,IF(H4145="EQ",3.9,IF(H4145="ILF",7.5,IF(H4145="EIF",5.4)))))))</f>
        <v/>
      </c>
      <c r="M4145" s="30" t="str">
        <f t="shared" si="443"/>
        <v/>
      </c>
      <c r="N4145" s="134"/>
      <c r="O4145" s="29"/>
      <c r="P4145" s="37" t="str">
        <f t="shared" si="444"/>
        <v/>
      </c>
      <c r="Q4145" s="38" t="str">
        <f t="shared" si="445"/>
        <v/>
      </c>
      <c r="R4145" s="37" t="str">
        <f t="shared" si="446"/>
        <v/>
      </c>
      <c r="S4145" s="37" t="str">
        <f t="shared" si="447"/>
        <v/>
      </c>
      <c r="T4145" s="38" t="str">
        <f t="shared" si="448"/>
        <v/>
      </c>
      <c r="U4145" s="37" t="str">
        <f t="shared" si="449"/>
        <v/>
      </c>
    </row>
    <row r="4146" spans="2:21" ht="17.25">
      <c r="B4146" s="156"/>
      <c r="C4146" s="156"/>
      <c r="D4146" s="157"/>
      <c r="E4146" s="155"/>
      <c r="F4146" s="151"/>
      <c r="G4146" s="152"/>
      <c r="H4146" s="153"/>
      <c r="I4146" s="154"/>
      <c r="J4146" s="154"/>
      <c r="K4146" s="30" t="str">
        <f>IF(H4146="","",IF($C$30="간이법","",FPR(H4146,I4146,J4146)))</f>
        <v/>
      </c>
      <c r="L4146" s="30" t="str">
        <f>IF(H4146="","",IF($C$30="상세법",FPV(H4146,K4146),IF(H4146="EI",4,IF(H4146="EO",5.2,IF(H4146="EQ",3.9,IF(H4146="ILF",7.5,IF(H4146="EIF",5.4)))))))</f>
        <v/>
      </c>
      <c r="M4146" s="30" t="str">
        <f t="shared" si="443"/>
        <v/>
      </c>
      <c r="N4146" s="134"/>
      <c r="O4146" s="29"/>
      <c r="P4146" s="37" t="str">
        <f t="shared" si="444"/>
        <v/>
      </c>
      <c r="Q4146" s="38" t="str">
        <f t="shared" si="445"/>
        <v/>
      </c>
      <c r="R4146" s="37" t="str">
        <f t="shared" si="446"/>
        <v/>
      </c>
      <c r="S4146" s="37" t="str">
        <f t="shared" si="447"/>
        <v/>
      </c>
      <c r="T4146" s="38" t="str">
        <f t="shared" si="448"/>
        <v/>
      </c>
      <c r="U4146" s="37" t="str">
        <f t="shared" si="449"/>
        <v/>
      </c>
    </row>
    <row r="4147" spans="2:21" ht="17.25">
      <c r="B4147" s="156"/>
      <c r="C4147" s="156"/>
      <c r="D4147" s="157"/>
      <c r="E4147" s="155"/>
      <c r="F4147" s="151"/>
      <c r="G4147" s="152"/>
      <c r="H4147" s="153"/>
      <c r="I4147" s="154"/>
      <c r="J4147" s="154"/>
      <c r="K4147" s="30" t="str">
        <f>IF(H4147="","",IF($C$30="간이법","",FPR(H4147,I4147,J4147)))</f>
        <v/>
      </c>
      <c r="L4147" s="30" t="str">
        <f>IF(H4147="","",IF($C$30="상세법",FPV(H4147,K4147),IF(H4147="EI",4,IF(H4147="EO",5.2,IF(H4147="EQ",3.9,IF(H4147="ILF",7.5,IF(H4147="EIF",5.4)))))))</f>
        <v/>
      </c>
      <c r="M4147" s="30" t="str">
        <f t="shared" si="443"/>
        <v/>
      </c>
      <c r="N4147" s="134"/>
      <c r="O4147" s="29"/>
      <c r="P4147" s="37" t="str">
        <f t="shared" si="444"/>
        <v/>
      </c>
      <c r="Q4147" s="38" t="str">
        <f t="shared" si="445"/>
        <v/>
      </c>
      <c r="R4147" s="37" t="str">
        <f t="shared" si="446"/>
        <v/>
      </c>
      <c r="S4147" s="37" t="str">
        <f t="shared" si="447"/>
        <v/>
      </c>
      <c r="T4147" s="38" t="str">
        <f t="shared" si="448"/>
        <v/>
      </c>
      <c r="U4147" s="37" t="str">
        <f t="shared" si="449"/>
        <v/>
      </c>
    </row>
    <row r="4148" spans="2:21" ht="17.25">
      <c r="B4148" s="156"/>
      <c r="C4148" s="156"/>
      <c r="D4148" s="157"/>
      <c r="E4148" s="155"/>
      <c r="F4148" s="151"/>
      <c r="G4148" s="152"/>
      <c r="H4148" s="153"/>
      <c r="I4148" s="154"/>
      <c r="J4148" s="154"/>
      <c r="K4148" s="30" t="str">
        <f>IF(H4148="","",IF($C$30="간이법","",FPR(H4148,I4148,J4148)))</f>
        <v/>
      </c>
      <c r="L4148" s="30" t="str">
        <f>IF(H4148="","",IF($C$30="상세법",FPV(H4148,K4148),IF(H4148="EI",4,IF(H4148="EO",5.2,IF(H4148="EQ",3.9,IF(H4148="ILF",7.5,IF(H4148="EIF",5.4)))))))</f>
        <v/>
      </c>
      <c r="M4148" s="30" t="str">
        <f t="shared" si="443"/>
        <v/>
      </c>
      <c r="N4148" s="134"/>
      <c r="O4148" s="29"/>
      <c r="P4148" s="37" t="str">
        <f t="shared" si="444"/>
        <v/>
      </c>
      <c r="Q4148" s="38" t="str">
        <f t="shared" si="445"/>
        <v/>
      </c>
      <c r="R4148" s="37" t="str">
        <f t="shared" si="446"/>
        <v/>
      </c>
      <c r="S4148" s="37" t="str">
        <f t="shared" si="447"/>
        <v/>
      </c>
      <c r="T4148" s="38" t="str">
        <f t="shared" si="448"/>
        <v/>
      </c>
      <c r="U4148" s="37" t="str">
        <f t="shared" si="449"/>
        <v/>
      </c>
    </row>
    <row r="4149" spans="2:21" ht="17.25">
      <c r="B4149" s="156"/>
      <c r="C4149" s="156"/>
      <c r="D4149" s="157"/>
      <c r="E4149" s="155"/>
      <c r="F4149" s="151"/>
      <c r="G4149" s="152"/>
      <c r="H4149" s="153"/>
      <c r="I4149" s="154"/>
      <c r="J4149" s="154"/>
      <c r="K4149" s="30" t="str">
        <f>IF(H4149="","",IF($C$30="간이법","",FPR(H4149,I4149,J4149)))</f>
        <v/>
      </c>
      <c r="L4149" s="30" t="str">
        <f>IF(H4149="","",IF($C$30="상세법",FPV(H4149,K4149),IF(H4149="EI",4,IF(H4149="EO",5.2,IF(H4149="EQ",3.9,IF(H4149="ILF",7.5,IF(H4149="EIF",5.4)))))))</f>
        <v/>
      </c>
      <c r="M4149" s="30" t="str">
        <f t="shared" si="443"/>
        <v/>
      </c>
      <c r="N4149" s="134"/>
      <c r="O4149" s="29"/>
      <c r="P4149" s="37" t="str">
        <f t="shared" si="444"/>
        <v/>
      </c>
      <c r="Q4149" s="38" t="str">
        <f t="shared" si="445"/>
        <v/>
      </c>
      <c r="R4149" s="37" t="str">
        <f t="shared" si="446"/>
        <v/>
      </c>
      <c r="S4149" s="37" t="str">
        <f t="shared" si="447"/>
        <v/>
      </c>
      <c r="T4149" s="38" t="str">
        <f t="shared" si="448"/>
        <v/>
      </c>
      <c r="U4149" s="37" t="str">
        <f t="shared" si="449"/>
        <v/>
      </c>
    </row>
    <row r="4150" spans="2:21" ht="17.25">
      <c r="B4150" s="156"/>
      <c r="C4150" s="156"/>
      <c r="D4150" s="157"/>
      <c r="E4150" s="155"/>
      <c r="F4150" s="151"/>
      <c r="G4150" s="152"/>
      <c r="H4150" s="153"/>
      <c r="I4150" s="154"/>
      <c r="J4150" s="154"/>
      <c r="K4150" s="30" t="str">
        <f>IF(H4150="","",IF($C$30="간이법","",FPR(H4150,I4150,J4150)))</f>
        <v/>
      </c>
      <c r="L4150" s="30" t="str">
        <f>IF(H4150="","",IF($C$30="상세법",FPV(H4150,K4150),IF(H4150="EI",4,IF(H4150="EO",5.2,IF(H4150="EQ",3.9,IF(H4150="ILF",7.5,IF(H4150="EIF",5.4)))))))</f>
        <v/>
      </c>
      <c r="M4150" s="30" t="str">
        <f t="shared" si="443"/>
        <v/>
      </c>
      <c r="N4150" s="134"/>
      <c r="O4150" s="29"/>
      <c r="P4150" s="37" t="str">
        <f t="shared" si="444"/>
        <v/>
      </c>
      <c r="Q4150" s="38" t="str">
        <f t="shared" si="445"/>
        <v/>
      </c>
      <c r="R4150" s="37" t="str">
        <f t="shared" si="446"/>
        <v/>
      </c>
      <c r="S4150" s="37" t="str">
        <f t="shared" si="447"/>
        <v/>
      </c>
      <c r="T4150" s="38" t="str">
        <f t="shared" si="448"/>
        <v/>
      </c>
      <c r="U4150" s="37" t="str">
        <f t="shared" si="449"/>
        <v/>
      </c>
    </row>
    <row r="4151" spans="2:21" ht="17.25">
      <c r="B4151" s="156"/>
      <c r="C4151" s="156"/>
      <c r="D4151" s="157"/>
      <c r="E4151" s="155"/>
      <c r="F4151" s="151"/>
      <c r="G4151" s="152"/>
      <c r="H4151" s="153"/>
      <c r="I4151" s="154"/>
      <c r="J4151" s="154"/>
      <c r="K4151" s="30" t="str">
        <f>IF(H4151="","",IF($C$30="간이법","",FPR(H4151,I4151,J4151)))</f>
        <v/>
      </c>
      <c r="L4151" s="30" t="str">
        <f>IF(H4151="","",IF($C$30="상세법",FPV(H4151,K4151),IF(H4151="EI",4,IF(H4151="EO",5.2,IF(H4151="EQ",3.9,IF(H4151="ILF",7.5,IF(H4151="EIF",5.4)))))))</f>
        <v/>
      </c>
      <c r="M4151" s="30" t="str">
        <f t="shared" si="443"/>
        <v/>
      </c>
      <c r="N4151" s="134"/>
      <c r="O4151" s="29"/>
      <c r="P4151" s="37" t="str">
        <f t="shared" si="444"/>
        <v/>
      </c>
      <c r="Q4151" s="38" t="str">
        <f t="shared" si="445"/>
        <v/>
      </c>
      <c r="R4151" s="37" t="str">
        <f t="shared" si="446"/>
        <v/>
      </c>
      <c r="S4151" s="37" t="str">
        <f t="shared" si="447"/>
        <v/>
      </c>
      <c r="T4151" s="38" t="str">
        <f t="shared" si="448"/>
        <v/>
      </c>
      <c r="U4151" s="37" t="str">
        <f t="shared" si="449"/>
        <v/>
      </c>
    </row>
    <row r="4152" spans="2:21" ht="17.25">
      <c r="B4152" s="156"/>
      <c r="C4152" s="156"/>
      <c r="D4152" s="157"/>
      <c r="E4152" s="155"/>
      <c r="F4152" s="151"/>
      <c r="G4152" s="152"/>
      <c r="H4152" s="153"/>
      <c r="I4152" s="154"/>
      <c r="J4152" s="154"/>
      <c r="K4152" s="30" t="str">
        <f>IF(H4152="","",IF($C$30="간이법","",FPR(H4152,I4152,J4152)))</f>
        <v/>
      </c>
      <c r="L4152" s="30" t="str">
        <f>IF(H4152="","",IF($C$30="상세법",FPV(H4152,K4152),IF(H4152="EI",4,IF(H4152="EO",5.2,IF(H4152="EQ",3.9,IF(H4152="ILF",7.5,IF(H4152="EIF",5.4)))))))</f>
        <v/>
      </c>
      <c r="M4152" s="30" t="str">
        <f t="shared" si="443"/>
        <v/>
      </c>
      <c r="N4152" s="134"/>
      <c r="O4152" s="29"/>
      <c r="P4152" s="37" t="str">
        <f t="shared" si="444"/>
        <v/>
      </c>
      <c r="Q4152" s="38" t="str">
        <f t="shared" si="445"/>
        <v/>
      </c>
      <c r="R4152" s="37" t="str">
        <f t="shared" si="446"/>
        <v/>
      </c>
      <c r="S4152" s="37" t="str">
        <f t="shared" si="447"/>
        <v/>
      </c>
      <c r="T4152" s="38" t="str">
        <f t="shared" si="448"/>
        <v/>
      </c>
      <c r="U4152" s="37" t="str">
        <f t="shared" si="449"/>
        <v/>
      </c>
    </row>
    <row r="4153" spans="2:21" ht="17.25">
      <c r="B4153" s="156"/>
      <c r="C4153" s="156"/>
      <c r="D4153" s="157"/>
      <c r="E4153" s="155"/>
      <c r="F4153" s="151"/>
      <c r="G4153" s="152"/>
      <c r="H4153" s="153"/>
      <c r="I4153" s="154"/>
      <c r="J4153" s="154"/>
      <c r="K4153" s="30" t="str">
        <f>IF(H4153="","",IF($C$30="간이법","",FPR(H4153,I4153,J4153)))</f>
        <v/>
      </c>
      <c r="L4153" s="30" t="str">
        <f>IF(H4153="","",IF($C$30="상세법",FPV(H4153,K4153),IF(H4153="EI",4,IF(H4153="EO",5.2,IF(H4153="EQ",3.9,IF(H4153="ILF",7.5,IF(H4153="EIF",5.4)))))))</f>
        <v/>
      </c>
      <c r="M4153" s="30" t="str">
        <f t="shared" si="443"/>
        <v/>
      </c>
      <c r="N4153" s="134"/>
      <c r="O4153" s="29"/>
      <c r="P4153" s="37" t="str">
        <f t="shared" si="444"/>
        <v/>
      </c>
      <c r="Q4153" s="38" t="str">
        <f t="shared" si="445"/>
        <v/>
      </c>
      <c r="R4153" s="37" t="str">
        <f t="shared" si="446"/>
        <v/>
      </c>
      <c r="S4153" s="37" t="str">
        <f t="shared" si="447"/>
        <v/>
      </c>
      <c r="T4153" s="38" t="str">
        <f t="shared" si="448"/>
        <v/>
      </c>
      <c r="U4153" s="37" t="str">
        <f t="shared" si="449"/>
        <v/>
      </c>
    </row>
    <row r="4154" spans="2:21" ht="17.25">
      <c r="B4154" s="156"/>
      <c r="C4154" s="156"/>
      <c r="D4154" s="157"/>
      <c r="E4154" s="155"/>
      <c r="F4154" s="151"/>
      <c r="G4154" s="152"/>
      <c r="H4154" s="153"/>
      <c r="I4154" s="154"/>
      <c r="J4154" s="154"/>
      <c r="K4154" s="30" t="str">
        <f>IF(H4154="","",IF($C$30="간이법","",FPR(H4154,I4154,J4154)))</f>
        <v/>
      </c>
      <c r="L4154" s="30" t="str">
        <f>IF(H4154="","",IF($C$30="상세법",FPV(H4154,K4154),IF(H4154="EI",4,IF(H4154="EO",5.2,IF(H4154="EQ",3.9,IF(H4154="ILF",7.5,IF(H4154="EIF",5.4)))))))</f>
        <v/>
      </c>
      <c r="M4154" s="30" t="str">
        <f t="shared" si="443"/>
        <v/>
      </c>
      <c r="N4154" s="134"/>
      <c r="O4154" s="29"/>
      <c r="P4154" s="37" t="str">
        <f t="shared" si="444"/>
        <v/>
      </c>
      <c r="Q4154" s="38" t="str">
        <f t="shared" si="445"/>
        <v/>
      </c>
      <c r="R4154" s="37" t="str">
        <f t="shared" si="446"/>
        <v/>
      </c>
      <c r="S4154" s="37" t="str">
        <f t="shared" si="447"/>
        <v/>
      </c>
      <c r="T4154" s="38" t="str">
        <f t="shared" si="448"/>
        <v/>
      </c>
      <c r="U4154" s="37" t="str">
        <f t="shared" si="449"/>
        <v/>
      </c>
    </row>
    <row r="4155" spans="2:21" ht="17.25">
      <c r="B4155" s="156"/>
      <c r="C4155" s="156"/>
      <c r="D4155" s="157"/>
      <c r="E4155" s="155"/>
      <c r="F4155" s="151"/>
      <c r="G4155" s="152"/>
      <c r="H4155" s="153"/>
      <c r="I4155" s="154"/>
      <c r="J4155" s="154"/>
      <c r="K4155" s="30" t="str">
        <f>IF(H4155="","",IF($C$30="간이법","",FPR(H4155,I4155,J4155)))</f>
        <v/>
      </c>
      <c r="L4155" s="30" t="str">
        <f>IF(H4155="","",IF($C$30="상세법",FPV(H4155,K4155),IF(H4155="EI",4,IF(H4155="EO",5.2,IF(H4155="EQ",3.9,IF(H4155="ILF",7.5,IF(H4155="EIF",5.4)))))))</f>
        <v/>
      </c>
      <c r="M4155" s="30" t="str">
        <f t="shared" si="443"/>
        <v/>
      </c>
      <c r="N4155" s="134"/>
      <c r="O4155" s="29"/>
      <c r="P4155" s="37" t="str">
        <f t="shared" si="444"/>
        <v/>
      </c>
      <c r="Q4155" s="38" t="str">
        <f t="shared" si="445"/>
        <v/>
      </c>
      <c r="R4155" s="37" t="str">
        <f t="shared" si="446"/>
        <v/>
      </c>
      <c r="S4155" s="37" t="str">
        <f t="shared" si="447"/>
        <v/>
      </c>
      <c r="T4155" s="38" t="str">
        <f t="shared" si="448"/>
        <v/>
      </c>
      <c r="U4155" s="37" t="str">
        <f t="shared" si="449"/>
        <v/>
      </c>
    </row>
    <row r="4156" spans="2:21" ht="17.25">
      <c r="B4156" s="156"/>
      <c r="C4156" s="156"/>
      <c r="D4156" s="157"/>
      <c r="E4156" s="155"/>
      <c r="F4156" s="151"/>
      <c r="G4156" s="152"/>
      <c r="H4156" s="153"/>
      <c r="I4156" s="154"/>
      <c r="J4156" s="154"/>
      <c r="K4156" s="30" t="str">
        <f>IF(H4156="","",IF($C$30="간이법","",FPR(H4156,I4156,J4156)))</f>
        <v/>
      </c>
      <c r="L4156" s="30" t="str">
        <f>IF(H4156="","",IF($C$30="상세법",FPV(H4156,K4156),IF(H4156="EI",4,IF(H4156="EO",5.2,IF(H4156="EQ",3.9,IF(H4156="ILF",7.5,IF(H4156="EIF",5.4)))))))</f>
        <v/>
      </c>
      <c r="M4156" s="30" t="str">
        <f t="shared" ref="M4156:M4219" si="450">IF(OR(G4156="",$E$36="(선택)",$E$40="(선택)",$E$41="(선택)",F4156="신규 개발",F4156="수정 없이 재사용"),"",(IF(F4156="수정 후 재사용",IF($E$50&lt;=0.5,L4156*($E$36+$E$50*100*(1+0.02*($E$40*$E$41)))/100,L4156*($E$36+$E$50*100+($E$40*$E$41))/100))))</f>
        <v/>
      </c>
      <c r="N4156" s="134"/>
      <c r="O4156" s="29"/>
      <c r="P4156" s="37" t="str">
        <f t="shared" ref="P4156:P4219" si="451">IF(F4156="수정 후 재사용",IF(H4156="ILF",G4156,IF(H4156="EIF",G4156,"")),"")</f>
        <v/>
      </c>
      <c r="Q4156" s="38" t="str">
        <f t="shared" ref="Q4156:Q4219" si="452">IF(P4156&lt;&gt;"",IF(H4156="ILF", L4156/$E$46,IF(H4156="EIF", L4156/$E$46,"")),"")</f>
        <v/>
      </c>
      <c r="R4156" s="37" t="str">
        <f t="shared" ref="R4156:R4219" si="453">IF(P4156&lt;&gt;"",P4156*Q4156,"")</f>
        <v/>
      </c>
      <c r="S4156" s="37" t="str">
        <f t="shared" ref="S4156:S4219" si="454">IF(F4156="수정 후 재사용",IF(H4156="EI",G4156,IF(H4156="EO",G4156,IF(H4156="EQ",G4156,""))),"")</f>
        <v/>
      </c>
      <c r="T4156" s="38" t="str">
        <f t="shared" ref="T4156:T4219" si="455">IF(S4156&lt;&gt;"",IF(H4156="EI",L4156/$E$47,IF(H4156="EO",L4156/$E$47,IF(H4156="EQ",L4156/$E$47,""))),"")</f>
        <v/>
      </c>
      <c r="U4156" s="37" t="str">
        <f t="shared" ref="U4156:U4219" si="456">IF(S4156&lt;&gt;"",S4156*T4156,"")</f>
        <v/>
      </c>
    </row>
    <row r="4157" spans="2:21" ht="17.25">
      <c r="B4157" s="156"/>
      <c r="C4157" s="156"/>
      <c r="D4157" s="157"/>
      <c r="E4157" s="155"/>
      <c r="F4157" s="151"/>
      <c r="G4157" s="152"/>
      <c r="H4157" s="153"/>
      <c r="I4157" s="154"/>
      <c r="J4157" s="154"/>
      <c r="K4157" s="30" t="str">
        <f>IF(H4157="","",IF($C$30="간이법","",FPR(H4157,I4157,J4157)))</f>
        <v/>
      </c>
      <c r="L4157" s="30" t="str">
        <f>IF(H4157="","",IF($C$30="상세법",FPV(H4157,K4157),IF(H4157="EI",4,IF(H4157="EO",5.2,IF(H4157="EQ",3.9,IF(H4157="ILF",7.5,IF(H4157="EIF",5.4)))))))</f>
        <v/>
      </c>
      <c r="M4157" s="30" t="str">
        <f t="shared" si="450"/>
        <v/>
      </c>
      <c r="N4157" s="134"/>
      <c r="O4157" s="29"/>
      <c r="P4157" s="37" t="str">
        <f t="shared" si="451"/>
        <v/>
      </c>
      <c r="Q4157" s="38" t="str">
        <f t="shared" si="452"/>
        <v/>
      </c>
      <c r="R4157" s="37" t="str">
        <f t="shared" si="453"/>
        <v/>
      </c>
      <c r="S4157" s="37" t="str">
        <f t="shared" si="454"/>
        <v/>
      </c>
      <c r="T4157" s="38" t="str">
        <f t="shared" si="455"/>
        <v/>
      </c>
      <c r="U4157" s="37" t="str">
        <f t="shared" si="456"/>
        <v/>
      </c>
    </row>
    <row r="4158" spans="2:21" ht="17.25">
      <c r="B4158" s="156"/>
      <c r="C4158" s="156"/>
      <c r="D4158" s="157"/>
      <c r="E4158" s="155"/>
      <c r="F4158" s="151"/>
      <c r="G4158" s="152"/>
      <c r="H4158" s="153"/>
      <c r="I4158" s="154"/>
      <c r="J4158" s="154"/>
      <c r="K4158" s="30" t="str">
        <f>IF(H4158="","",IF($C$30="간이법","",FPR(H4158,I4158,J4158)))</f>
        <v/>
      </c>
      <c r="L4158" s="30" t="str">
        <f>IF(H4158="","",IF($C$30="상세법",FPV(H4158,K4158),IF(H4158="EI",4,IF(H4158="EO",5.2,IF(H4158="EQ",3.9,IF(H4158="ILF",7.5,IF(H4158="EIF",5.4)))))))</f>
        <v/>
      </c>
      <c r="M4158" s="30" t="str">
        <f t="shared" si="450"/>
        <v/>
      </c>
      <c r="N4158" s="134"/>
      <c r="O4158" s="29"/>
      <c r="P4158" s="37" t="str">
        <f t="shared" si="451"/>
        <v/>
      </c>
      <c r="Q4158" s="38" t="str">
        <f t="shared" si="452"/>
        <v/>
      </c>
      <c r="R4158" s="37" t="str">
        <f t="shared" si="453"/>
        <v/>
      </c>
      <c r="S4158" s="37" t="str">
        <f t="shared" si="454"/>
        <v/>
      </c>
      <c r="T4158" s="38" t="str">
        <f t="shared" si="455"/>
        <v/>
      </c>
      <c r="U4158" s="37" t="str">
        <f t="shared" si="456"/>
        <v/>
      </c>
    </row>
    <row r="4159" spans="2:21" ht="17.25">
      <c r="B4159" s="156"/>
      <c r="C4159" s="156"/>
      <c r="D4159" s="157"/>
      <c r="E4159" s="155"/>
      <c r="F4159" s="151"/>
      <c r="G4159" s="152"/>
      <c r="H4159" s="153"/>
      <c r="I4159" s="154"/>
      <c r="J4159" s="154"/>
      <c r="K4159" s="30" t="str">
        <f>IF(H4159="","",IF($C$30="간이법","",FPR(H4159,I4159,J4159)))</f>
        <v/>
      </c>
      <c r="L4159" s="30" t="str">
        <f>IF(H4159="","",IF($C$30="상세법",FPV(H4159,K4159),IF(H4159="EI",4,IF(H4159="EO",5.2,IF(H4159="EQ",3.9,IF(H4159="ILF",7.5,IF(H4159="EIF",5.4)))))))</f>
        <v/>
      </c>
      <c r="M4159" s="30" t="str">
        <f t="shared" si="450"/>
        <v/>
      </c>
      <c r="N4159" s="134"/>
      <c r="O4159" s="29"/>
      <c r="P4159" s="37" t="str">
        <f t="shared" si="451"/>
        <v/>
      </c>
      <c r="Q4159" s="38" t="str">
        <f t="shared" si="452"/>
        <v/>
      </c>
      <c r="R4159" s="37" t="str">
        <f t="shared" si="453"/>
        <v/>
      </c>
      <c r="S4159" s="37" t="str">
        <f t="shared" si="454"/>
        <v/>
      </c>
      <c r="T4159" s="38" t="str">
        <f t="shared" si="455"/>
        <v/>
      </c>
      <c r="U4159" s="37" t="str">
        <f t="shared" si="456"/>
        <v/>
      </c>
    </row>
    <row r="4160" spans="2:21" ht="17.25">
      <c r="B4160" s="156"/>
      <c r="C4160" s="156"/>
      <c r="D4160" s="157"/>
      <c r="E4160" s="155"/>
      <c r="F4160" s="151"/>
      <c r="G4160" s="152"/>
      <c r="H4160" s="153"/>
      <c r="I4160" s="154"/>
      <c r="J4160" s="154"/>
      <c r="K4160" s="30" t="str">
        <f>IF(H4160="","",IF($C$30="간이법","",FPR(H4160,I4160,J4160)))</f>
        <v/>
      </c>
      <c r="L4160" s="30" t="str">
        <f>IF(H4160="","",IF($C$30="상세법",FPV(H4160,K4160),IF(H4160="EI",4,IF(H4160="EO",5.2,IF(H4160="EQ",3.9,IF(H4160="ILF",7.5,IF(H4160="EIF",5.4)))))))</f>
        <v/>
      </c>
      <c r="M4160" s="30" t="str">
        <f t="shared" si="450"/>
        <v/>
      </c>
      <c r="N4160" s="134"/>
      <c r="O4160" s="29"/>
      <c r="P4160" s="37" t="str">
        <f t="shared" si="451"/>
        <v/>
      </c>
      <c r="Q4160" s="38" t="str">
        <f t="shared" si="452"/>
        <v/>
      </c>
      <c r="R4160" s="37" t="str">
        <f t="shared" si="453"/>
        <v/>
      </c>
      <c r="S4160" s="37" t="str">
        <f t="shared" si="454"/>
        <v/>
      </c>
      <c r="T4160" s="38" t="str">
        <f t="shared" si="455"/>
        <v/>
      </c>
      <c r="U4160" s="37" t="str">
        <f t="shared" si="456"/>
        <v/>
      </c>
    </row>
    <row r="4161" spans="2:21" ht="17.25">
      <c r="B4161" s="156"/>
      <c r="C4161" s="156"/>
      <c r="D4161" s="157"/>
      <c r="E4161" s="155"/>
      <c r="F4161" s="151"/>
      <c r="G4161" s="152"/>
      <c r="H4161" s="153"/>
      <c r="I4161" s="154"/>
      <c r="J4161" s="154"/>
      <c r="K4161" s="30" t="str">
        <f>IF(H4161="","",IF($C$30="간이법","",FPR(H4161,I4161,J4161)))</f>
        <v/>
      </c>
      <c r="L4161" s="30" t="str">
        <f>IF(H4161="","",IF($C$30="상세법",FPV(H4161,K4161),IF(H4161="EI",4,IF(H4161="EO",5.2,IF(H4161="EQ",3.9,IF(H4161="ILF",7.5,IF(H4161="EIF",5.4)))))))</f>
        <v/>
      </c>
      <c r="M4161" s="30" t="str">
        <f t="shared" si="450"/>
        <v/>
      </c>
      <c r="N4161" s="134"/>
      <c r="O4161" s="29"/>
      <c r="P4161" s="37" t="str">
        <f t="shared" si="451"/>
        <v/>
      </c>
      <c r="Q4161" s="38" t="str">
        <f t="shared" si="452"/>
        <v/>
      </c>
      <c r="R4161" s="37" t="str">
        <f t="shared" si="453"/>
        <v/>
      </c>
      <c r="S4161" s="37" t="str">
        <f t="shared" si="454"/>
        <v/>
      </c>
      <c r="T4161" s="38" t="str">
        <f t="shared" si="455"/>
        <v/>
      </c>
      <c r="U4161" s="37" t="str">
        <f t="shared" si="456"/>
        <v/>
      </c>
    </row>
    <row r="4162" spans="2:21" ht="17.25">
      <c r="B4162" s="156"/>
      <c r="C4162" s="156"/>
      <c r="D4162" s="157"/>
      <c r="E4162" s="155"/>
      <c r="F4162" s="151"/>
      <c r="G4162" s="152"/>
      <c r="H4162" s="153"/>
      <c r="I4162" s="154"/>
      <c r="J4162" s="154"/>
      <c r="K4162" s="30" t="str">
        <f>IF(H4162="","",IF($C$30="간이법","",FPR(H4162,I4162,J4162)))</f>
        <v/>
      </c>
      <c r="L4162" s="30" t="str">
        <f>IF(H4162="","",IF($C$30="상세법",FPV(H4162,K4162),IF(H4162="EI",4,IF(H4162="EO",5.2,IF(H4162="EQ",3.9,IF(H4162="ILF",7.5,IF(H4162="EIF",5.4)))))))</f>
        <v/>
      </c>
      <c r="M4162" s="30" t="str">
        <f t="shared" si="450"/>
        <v/>
      </c>
      <c r="N4162" s="134"/>
      <c r="O4162" s="29"/>
      <c r="P4162" s="37" t="str">
        <f t="shared" si="451"/>
        <v/>
      </c>
      <c r="Q4162" s="38" t="str">
        <f t="shared" si="452"/>
        <v/>
      </c>
      <c r="R4162" s="37" t="str">
        <f t="shared" si="453"/>
        <v/>
      </c>
      <c r="S4162" s="37" t="str">
        <f t="shared" si="454"/>
        <v/>
      </c>
      <c r="T4162" s="38" t="str">
        <f t="shared" si="455"/>
        <v/>
      </c>
      <c r="U4162" s="37" t="str">
        <f t="shared" si="456"/>
        <v/>
      </c>
    </row>
    <row r="4163" spans="2:21" ht="17.25">
      <c r="B4163" s="156"/>
      <c r="C4163" s="156"/>
      <c r="D4163" s="157"/>
      <c r="E4163" s="155"/>
      <c r="F4163" s="151"/>
      <c r="G4163" s="152"/>
      <c r="H4163" s="153"/>
      <c r="I4163" s="154"/>
      <c r="J4163" s="154"/>
      <c r="K4163" s="30" t="str">
        <f>IF(H4163="","",IF($C$30="간이법","",FPR(H4163,I4163,J4163)))</f>
        <v/>
      </c>
      <c r="L4163" s="30" t="str">
        <f>IF(H4163="","",IF($C$30="상세법",FPV(H4163,K4163),IF(H4163="EI",4,IF(H4163="EO",5.2,IF(H4163="EQ",3.9,IF(H4163="ILF",7.5,IF(H4163="EIF",5.4)))))))</f>
        <v/>
      </c>
      <c r="M4163" s="30" t="str">
        <f t="shared" si="450"/>
        <v/>
      </c>
      <c r="N4163" s="134"/>
      <c r="O4163" s="29"/>
      <c r="P4163" s="37" t="str">
        <f t="shared" si="451"/>
        <v/>
      </c>
      <c r="Q4163" s="38" t="str">
        <f t="shared" si="452"/>
        <v/>
      </c>
      <c r="R4163" s="37" t="str">
        <f t="shared" si="453"/>
        <v/>
      </c>
      <c r="S4163" s="37" t="str">
        <f t="shared" si="454"/>
        <v/>
      </c>
      <c r="T4163" s="38" t="str">
        <f t="shared" si="455"/>
        <v/>
      </c>
      <c r="U4163" s="37" t="str">
        <f t="shared" si="456"/>
        <v/>
      </c>
    </row>
    <row r="4164" spans="2:21" ht="17.25">
      <c r="B4164" s="156"/>
      <c r="C4164" s="156"/>
      <c r="D4164" s="157"/>
      <c r="E4164" s="155"/>
      <c r="F4164" s="151"/>
      <c r="G4164" s="152"/>
      <c r="H4164" s="153"/>
      <c r="I4164" s="154"/>
      <c r="J4164" s="154"/>
      <c r="K4164" s="30" t="str">
        <f>IF(H4164="","",IF($C$30="간이법","",FPR(H4164,I4164,J4164)))</f>
        <v/>
      </c>
      <c r="L4164" s="30" t="str">
        <f>IF(H4164="","",IF($C$30="상세법",FPV(H4164,K4164),IF(H4164="EI",4,IF(H4164="EO",5.2,IF(H4164="EQ",3.9,IF(H4164="ILF",7.5,IF(H4164="EIF",5.4)))))))</f>
        <v/>
      </c>
      <c r="M4164" s="30" t="str">
        <f t="shared" si="450"/>
        <v/>
      </c>
      <c r="N4164" s="134"/>
      <c r="O4164" s="29"/>
      <c r="P4164" s="37" t="str">
        <f t="shared" si="451"/>
        <v/>
      </c>
      <c r="Q4164" s="38" t="str">
        <f t="shared" si="452"/>
        <v/>
      </c>
      <c r="R4164" s="37" t="str">
        <f t="shared" si="453"/>
        <v/>
      </c>
      <c r="S4164" s="37" t="str">
        <f t="shared" si="454"/>
        <v/>
      </c>
      <c r="T4164" s="38" t="str">
        <f t="shared" si="455"/>
        <v/>
      </c>
      <c r="U4164" s="37" t="str">
        <f t="shared" si="456"/>
        <v/>
      </c>
    </row>
    <row r="4165" spans="2:21" ht="17.25">
      <c r="B4165" s="156"/>
      <c r="C4165" s="156"/>
      <c r="D4165" s="157"/>
      <c r="E4165" s="155"/>
      <c r="F4165" s="151"/>
      <c r="G4165" s="152"/>
      <c r="H4165" s="153"/>
      <c r="I4165" s="154"/>
      <c r="J4165" s="154"/>
      <c r="K4165" s="30" t="str">
        <f>IF(H4165="","",IF($C$30="간이법","",FPR(H4165,I4165,J4165)))</f>
        <v/>
      </c>
      <c r="L4165" s="30" t="str">
        <f>IF(H4165="","",IF($C$30="상세법",FPV(H4165,K4165),IF(H4165="EI",4,IF(H4165="EO",5.2,IF(H4165="EQ",3.9,IF(H4165="ILF",7.5,IF(H4165="EIF",5.4)))))))</f>
        <v/>
      </c>
      <c r="M4165" s="30" t="str">
        <f t="shared" si="450"/>
        <v/>
      </c>
      <c r="N4165" s="134"/>
      <c r="O4165" s="29"/>
      <c r="P4165" s="37" t="str">
        <f t="shared" si="451"/>
        <v/>
      </c>
      <c r="Q4165" s="38" t="str">
        <f t="shared" si="452"/>
        <v/>
      </c>
      <c r="R4165" s="37" t="str">
        <f t="shared" si="453"/>
        <v/>
      </c>
      <c r="S4165" s="37" t="str">
        <f t="shared" si="454"/>
        <v/>
      </c>
      <c r="T4165" s="38" t="str">
        <f t="shared" si="455"/>
        <v/>
      </c>
      <c r="U4165" s="37" t="str">
        <f t="shared" si="456"/>
        <v/>
      </c>
    </row>
    <row r="4166" spans="2:21" ht="17.25">
      <c r="B4166" s="156"/>
      <c r="C4166" s="156"/>
      <c r="D4166" s="157"/>
      <c r="E4166" s="155"/>
      <c r="F4166" s="151"/>
      <c r="G4166" s="152"/>
      <c r="H4166" s="153"/>
      <c r="I4166" s="154"/>
      <c r="J4166" s="154"/>
      <c r="K4166" s="30" t="str">
        <f>IF(H4166="","",IF($C$30="간이법","",FPR(H4166,I4166,J4166)))</f>
        <v/>
      </c>
      <c r="L4166" s="30" t="str">
        <f>IF(H4166="","",IF($C$30="상세법",FPV(H4166,K4166),IF(H4166="EI",4,IF(H4166="EO",5.2,IF(H4166="EQ",3.9,IF(H4166="ILF",7.5,IF(H4166="EIF",5.4)))))))</f>
        <v/>
      </c>
      <c r="M4166" s="30" t="str">
        <f t="shared" si="450"/>
        <v/>
      </c>
      <c r="N4166" s="134"/>
      <c r="O4166" s="29"/>
      <c r="P4166" s="37" t="str">
        <f t="shared" si="451"/>
        <v/>
      </c>
      <c r="Q4166" s="38" t="str">
        <f t="shared" si="452"/>
        <v/>
      </c>
      <c r="R4166" s="37" t="str">
        <f t="shared" si="453"/>
        <v/>
      </c>
      <c r="S4166" s="37" t="str">
        <f t="shared" si="454"/>
        <v/>
      </c>
      <c r="T4166" s="38" t="str">
        <f t="shared" si="455"/>
        <v/>
      </c>
      <c r="U4166" s="37" t="str">
        <f t="shared" si="456"/>
        <v/>
      </c>
    </row>
    <row r="4167" spans="2:21" ht="17.25">
      <c r="B4167" s="156"/>
      <c r="C4167" s="156"/>
      <c r="D4167" s="157"/>
      <c r="E4167" s="155"/>
      <c r="F4167" s="151"/>
      <c r="G4167" s="152"/>
      <c r="H4167" s="153"/>
      <c r="I4167" s="154"/>
      <c r="J4167" s="154"/>
      <c r="K4167" s="30" t="str">
        <f>IF(H4167="","",IF($C$30="간이법","",FPR(H4167,I4167,J4167)))</f>
        <v/>
      </c>
      <c r="L4167" s="30" t="str">
        <f>IF(H4167="","",IF($C$30="상세법",FPV(H4167,K4167),IF(H4167="EI",4,IF(H4167="EO",5.2,IF(H4167="EQ",3.9,IF(H4167="ILF",7.5,IF(H4167="EIF",5.4)))))))</f>
        <v/>
      </c>
      <c r="M4167" s="30" t="str">
        <f t="shared" si="450"/>
        <v/>
      </c>
      <c r="N4167" s="134"/>
      <c r="O4167" s="29"/>
      <c r="P4167" s="37" t="str">
        <f t="shared" si="451"/>
        <v/>
      </c>
      <c r="Q4167" s="38" t="str">
        <f t="shared" si="452"/>
        <v/>
      </c>
      <c r="R4167" s="37" t="str">
        <f t="shared" si="453"/>
        <v/>
      </c>
      <c r="S4167" s="37" t="str">
        <f t="shared" si="454"/>
        <v/>
      </c>
      <c r="T4167" s="38" t="str">
        <f t="shared" si="455"/>
        <v/>
      </c>
      <c r="U4167" s="37" t="str">
        <f t="shared" si="456"/>
        <v/>
      </c>
    </row>
    <row r="4168" spans="2:21" ht="17.25">
      <c r="B4168" s="156"/>
      <c r="C4168" s="156"/>
      <c r="D4168" s="157"/>
      <c r="E4168" s="155"/>
      <c r="F4168" s="151"/>
      <c r="G4168" s="152"/>
      <c r="H4168" s="153"/>
      <c r="I4168" s="154"/>
      <c r="J4168" s="154"/>
      <c r="K4168" s="30" t="str">
        <f>IF(H4168="","",IF($C$30="간이법","",FPR(H4168,I4168,J4168)))</f>
        <v/>
      </c>
      <c r="L4168" s="30" t="str">
        <f>IF(H4168="","",IF($C$30="상세법",FPV(H4168,K4168),IF(H4168="EI",4,IF(H4168="EO",5.2,IF(H4168="EQ",3.9,IF(H4168="ILF",7.5,IF(H4168="EIF",5.4)))))))</f>
        <v/>
      </c>
      <c r="M4168" s="30" t="str">
        <f t="shared" si="450"/>
        <v/>
      </c>
      <c r="N4168" s="134"/>
      <c r="O4168" s="29"/>
      <c r="P4168" s="37" t="str">
        <f t="shared" si="451"/>
        <v/>
      </c>
      <c r="Q4168" s="38" t="str">
        <f t="shared" si="452"/>
        <v/>
      </c>
      <c r="R4168" s="37" t="str">
        <f t="shared" si="453"/>
        <v/>
      </c>
      <c r="S4168" s="37" t="str">
        <f t="shared" si="454"/>
        <v/>
      </c>
      <c r="T4168" s="38" t="str">
        <f t="shared" si="455"/>
        <v/>
      </c>
      <c r="U4168" s="37" t="str">
        <f t="shared" si="456"/>
        <v/>
      </c>
    </row>
    <row r="4169" spans="2:21" ht="17.25">
      <c r="B4169" s="156"/>
      <c r="C4169" s="156"/>
      <c r="D4169" s="157"/>
      <c r="E4169" s="155"/>
      <c r="F4169" s="151"/>
      <c r="G4169" s="152"/>
      <c r="H4169" s="153"/>
      <c r="I4169" s="154"/>
      <c r="J4169" s="154"/>
      <c r="K4169" s="30" t="str">
        <f>IF(H4169="","",IF($C$30="간이법","",FPR(H4169,I4169,J4169)))</f>
        <v/>
      </c>
      <c r="L4169" s="30" t="str">
        <f>IF(H4169="","",IF($C$30="상세법",FPV(H4169,K4169),IF(H4169="EI",4,IF(H4169="EO",5.2,IF(H4169="EQ",3.9,IF(H4169="ILF",7.5,IF(H4169="EIF",5.4)))))))</f>
        <v/>
      </c>
      <c r="M4169" s="30" t="str">
        <f t="shared" si="450"/>
        <v/>
      </c>
      <c r="N4169" s="134"/>
      <c r="O4169" s="29"/>
      <c r="P4169" s="37" t="str">
        <f t="shared" si="451"/>
        <v/>
      </c>
      <c r="Q4169" s="38" t="str">
        <f t="shared" si="452"/>
        <v/>
      </c>
      <c r="R4169" s="37" t="str">
        <f t="shared" si="453"/>
        <v/>
      </c>
      <c r="S4169" s="37" t="str">
        <f t="shared" si="454"/>
        <v/>
      </c>
      <c r="T4169" s="38" t="str">
        <f t="shared" si="455"/>
        <v/>
      </c>
      <c r="U4169" s="37" t="str">
        <f t="shared" si="456"/>
        <v/>
      </c>
    </row>
    <row r="4170" spans="2:21" ht="17.25">
      <c r="B4170" s="156"/>
      <c r="C4170" s="156"/>
      <c r="D4170" s="157"/>
      <c r="E4170" s="155"/>
      <c r="F4170" s="151"/>
      <c r="G4170" s="152"/>
      <c r="H4170" s="153"/>
      <c r="I4170" s="154"/>
      <c r="J4170" s="154"/>
      <c r="K4170" s="30" t="str">
        <f>IF(H4170="","",IF($C$30="간이법","",FPR(H4170,I4170,J4170)))</f>
        <v/>
      </c>
      <c r="L4170" s="30" t="str">
        <f>IF(H4170="","",IF($C$30="상세법",FPV(H4170,K4170),IF(H4170="EI",4,IF(H4170="EO",5.2,IF(H4170="EQ",3.9,IF(H4170="ILF",7.5,IF(H4170="EIF",5.4)))))))</f>
        <v/>
      </c>
      <c r="M4170" s="30" t="str">
        <f t="shared" si="450"/>
        <v/>
      </c>
      <c r="N4170" s="134"/>
      <c r="O4170" s="29"/>
      <c r="P4170" s="37" t="str">
        <f t="shared" si="451"/>
        <v/>
      </c>
      <c r="Q4170" s="38" t="str">
        <f t="shared" si="452"/>
        <v/>
      </c>
      <c r="R4170" s="37" t="str">
        <f t="shared" si="453"/>
        <v/>
      </c>
      <c r="S4170" s="37" t="str">
        <f t="shared" si="454"/>
        <v/>
      </c>
      <c r="T4170" s="38" t="str">
        <f t="shared" si="455"/>
        <v/>
      </c>
      <c r="U4170" s="37" t="str">
        <f t="shared" si="456"/>
        <v/>
      </c>
    </row>
    <row r="4171" spans="2:21" ht="17.25">
      <c r="B4171" s="156"/>
      <c r="C4171" s="156"/>
      <c r="D4171" s="157"/>
      <c r="E4171" s="155"/>
      <c r="F4171" s="151"/>
      <c r="G4171" s="152"/>
      <c r="H4171" s="153"/>
      <c r="I4171" s="154"/>
      <c r="J4171" s="154"/>
      <c r="K4171" s="30" t="str">
        <f>IF(H4171="","",IF($C$30="간이법","",FPR(H4171,I4171,J4171)))</f>
        <v/>
      </c>
      <c r="L4171" s="30" t="str">
        <f>IF(H4171="","",IF($C$30="상세법",FPV(H4171,K4171),IF(H4171="EI",4,IF(H4171="EO",5.2,IF(H4171="EQ",3.9,IF(H4171="ILF",7.5,IF(H4171="EIF",5.4)))))))</f>
        <v/>
      </c>
      <c r="M4171" s="30" t="str">
        <f t="shared" si="450"/>
        <v/>
      </c>
      <c r="N4171" s="134"/>
      <c r="O4171" s="29"/>
      <c r="P4171" s="37" t="str">
        <f t="shared" si="451"/>
        <v/>
      </c>
      <c r="Q4171" s="38" t="str">
        <f t="shared" si="452"/>
        <v/>
      </c>
      <c r="R4171" s="37" t="str">
        <f t="shared" si="453"/>
        <v/>
      </c>
      <c r="S4171" s="37" t="str">
        <f t="shared" si="454"/>
        <v/>
      </c>
      <c r="T4171" s="38" t="str">
        <f t="shared" si="455"/>
        <v/>
      </c>
      <c r="U4171" s="37" t="str">
        <f t="shared" si="456"/>
        <v/>
      </c>
    </row>
    <row r="4172" spans="2:21" ht="17.25">
      <c r="B4172" s="156"/>
      <c r="C4172" s="156"/>
      <c r="D4172" s="157"/>
      <c r="E4172" s="155"/>
      <c r="F4172" s="151"/>
      <c r="G4172" s="152"/>
      <c r="H4172" s="153"/>
      <c r="I4172" s="154"/>
      <c r="J4172" s="154"/>
      <c r="K4172" s="30" t="str">
        <f>IF(H4172="","",IF($C$30="간이법","",FPR(H4172,I4172,J4172)))</f>
        <v/>
      </c>
      <c r="L4172" s="30" t="str">
        <f>IF(H4172="","",IF($C$30="상세법",FPV(H4172,K4172),IF(H4172="EI",4,IF(H4172="EO",5.2,IF(H4172="EQ",3.9,IF(H4172="ILF",7.5,IF(H4172="EIF",5.4)))))))</f>
        <v/>
      </c>
      <c r="M4172" s="30" t="str">
        <f t="shared" si="450"/>
        <v/>
      </c>
      <c r="N4172" s="134"/>
      <c r="O4172" s="29"/>
      <c r="P4172" s="37" t="str">
        <f t="shared" si="451"/>
        <v/>
      </c>
      <c r="Q4172" s="38" t="str">
        <f t="shared" si="452"/>
        <v/>
      </c>
      <c r="R4172" s="37" t="str">
        <f t="shared" si="453"/>
        <v/>
      </c>
      <c r="S4172" s="37" t="str">
        <f t="shared" si="454"/>
        <v/>
      </c>
      <c r="T4172" s="38" t="str">
        <f t="shared" si="455"/>
        <v/>
      </c>
      <c r="U4172" s="37" t="str">
        <f t="shared" si="456"/>
        <v/>
      </c>
    </row>
    <row r="4173" spans="2:21" ht="17.25">
      <c r="B4173" s="156"/>
      <c r="C4173" s="156"/>
      <c r="D4173" s="157"/>
      <c r="E4173" s="155"/>
      <c r="F4173" s="151"/>
      <c r="G4173" s="152"/>
      <c r="H4173" s="153"/>
      <c r="I4173" s="154"/>
      <c r="J4173" s="154"/>
      <c r="K4173" s="30" t="str">
        <f>IF(H4173="","",IF($C$30="간이법","",FPR(H4173,I4173,J4173)))</f>
        <v/>
      </c>
      <c r="L4173" s="30" t="str">
        <f>IF(H4173="","",IF($C$30="상세법",FPV(H4173,K4173),IF(H4173="EI",4,IF(H4173="EO",5.2,IF(H4173="EQ",3.9,IF(H4173="ILF",7.5,IF(H4173="EIF",5.4)))))))</f>
        <v/>
      </c>
      <c r="M4173" s="30" t="str">
        <f t="shared" si="450"/>
        <v/>
      </c>
      <c r="N4173" s="134"/>
      <c r="O4173" s="29"/>
      <c r="P4173" s="37" t="str">
        <f t="shared" si="451"/>
        <v/>
      </c>
      <c r="Q4173" s="38" t="str">
        <f t="shared" si="452"/>
        <v/>
      </c>
      <c r="R4173" s="37" t="str">
        <f t="shared" si="453"/>
        <v/>
      </c>
      <c r="S4173" s="37" t="str">
        <f t="shared" si="454"/>
        <v/>
      </c>
      <c r="T4173" s="38" t="str">
        <f t="shared" si="455"/>
        <v/>
      </c>
      <c r="U4173" s="37" t="str">
        <f t="shared" si="456"/>
        <v/>
      </c>
    </row>
    <row r="4174" spans="2:21" ht="17.25">
      <c r="B4174" s="156"/>
      <c r="C4174" s="156"/>
      <c r="D4174" s="157"/>
      <c r="E4174" s="155"/>
      <c r="F4174" s="151"/>
      <c r="G4174" s="152"/>
      <c r="H4174" s="153"/>
      <c r="I4174" s="154"/>
      <c r="J4174" s="154"/>
      <c r="K4174" s="30" t="str">
        <f>IF(H4174="","",IF($C$30="간이법","",FPR(H4174,I4174,J4174)))</f>
        <v/>
      </c>
      <c r="L4174" s="30" t="str">
        <f>IF(H4174="","",IF($C$30="상세법",FPV(H4174,K4174),IF(H4174="EI",4,IF(H4174="EO",5.2,IF(H4174="EQ",3.9,IF(H4174="ILF",7.5,IF(H4174="EIF",5.4)))))))</f>
        <v/>
      </c>
      <c r="M4174" s="30" t="str">
        <f t="shared" si="450"/>
        <v/>
      </c>
      <c r="N4174" s="134"/>
      <c r="O4174" s="29"/>
      <c r="P4174" s="37" t="str">
        <f t="shared" si="451"/>
        <v/>
      </c>
      <c r="Q4174" s="38" t="str">
        <f t="shared" si="452"/>
        <v/>
      </c>
      <c r="R4174" s="37" t="str">
        <f t="shared" si="453"/>
        <v/>
      </c>
      <c r="S4174" s="37" t="str">
        <f t="shared" si="454"/>
        <v/>
      </c>
      <c r="T4174" s="38" t="str">
        <f t="shared" si="455"/>
        <v/>
      </c>
      <c r="U4174" s="37" t="str">
        <f t="shared" si="456"/>
        <v/>
      </c>
    </row>
    <row r="4175" spans="2:21" ht="17.25">
      <c r="B4175" s="156"/>
      <c r="C4175" s="156"/>
      <c r="D4175" s="157"/>
      <c r="E4175" s="155"/>
      <c r="F4175" s="151"/>
      <c r="G4175" s="152"/>
      <c r="H4175" s="153"/>
      <c r="I4175" s="154"/>
      <c r="J4175" s="154"/>
      <c r="K4175" s="30" t="str">
        <f>IF(H4175="","",IF($C$30="간이법","",FPR(H4175,I4175,J4175)))</f>
        <v/>
      </c>
      <c r="L4175" s="30" t="str">
        <f>IF(H4175="","",IF($C$30="상세법",FPV(H4175,K4175),IF(H4175="EI",4,IF(H4175="EO",5.2,IF(H4175="EQ",3.9,IF(H4175="ILF",7.5,IF(H4175="EIF",5.4)))))))</f>
        <v/>
      </c>
      <c r="M4175" s="30" t="str">
        <f t="shared" si="450"/>
        <v/>
      </c>
      <c r="N4175" s="134"/>
      <c r="O4175" s="29"/>
      <c r="P4175" s="37" t="str">
        <f t="shared" si="451"/>
        <v/>
      </c>
      <c r="Q4175" s="38" t="str">
        <f t="shared" si="452"/>
        <v/>
      </c>
      <c r="R4175" s="37" t="str">
        <f t="shared" si="453"/>
        <v/>
      </c>
      <c r="S4175" s="37" t="str">
        <f t="shared" si="454"/>
        <v/>
      </c>
      <c r="T4175" s="38" t="str">
        <f t="shared" si="455"/>
        <v/>
      </c>
      <c r="U4175" s="37" t="str">
        <f t="shared" si="456"/>
        <v/>
      </c>
    </row>
    <row r="4176" spans="2:21" ht="17.25">
      <c r="B4176" s="156"/>
      <c r="C4176" s="156"/>
      <c r="D4176" s="157"/>
      <c r="E4176" s="155"/>
      <c r="F4176" s="151"/>
      <c r="G4176" s="152"/>
      <c r="H4176" s="153"/>
      <c r="I4176" s="154"/>
      <c r="J4176" s="154"/>
      <c r="K4176" s="30" t="str">
        <f>IF(H4176="","",IF($C$30="간이법","",FPR(H4176,I4176,J4176)))</f>
        <v/>
      </c>
      <c r="L4176" s="30" t="str">
        <f>IF(H4176="","",IF($C$30="상세법",FPV(H4176,K4176),IF(H4176="EI",4,IF(H4176="EO",5.2,IF(H4176="EQ",3.9,IF(H4176="ILF",7.5,IF(H4176="EIF",5.4)))))))</f>
        <v/>
      </c>
      <c r="M4176" s="30" t="str">
        <f t="shared" si="450"/>
        <v/>
      </c>
      <c r="N4176" s="134"/>
      <c r="O4176" s="29"/>
      <c r="P4176" s="37" t="str">
        <f t="shared" si="451"/>
        <v/>
      </c>
      <c r="Q4176" s="38" t="str">
        <f t="shared" si="452"/>
        <v/>
      </c>
      <c r="R4176" s="37" t="str">
        <f t="shared" si="453"/>
        <v/>
      </c>
      <c r="S4176" s="37" t="str">
        <f t="shared" si="454"/>
        <v/>
      </c>
      <c r="T4176" s="38" t="str">
        <f t="shared" si="455"/>
        <v/>
      </c>
      <c r="U4176" s="37" t="str">
        <f t="shared" si="456"/>
        <v/>
      </c>
    </row>
    <row r="4177" spans="2:21" ht="17.25">
      <c r="B4177" s="156"/>
      <c r="C4177" s="156"/>
      <c r="D4177" s="157"/>
      <c r="E4177" s="155"/>
      <c r="F4177" s="151"/>
      <c r="G4177" s="152"/>
      <c r="H4177" s="153"/>
      <c r="I4177" s="154"/>
      <c r="J4177" s="154"/>
      <c r="K4177" s="30" t="str">
        <f>IF(H4177="","",IF($C$30="간이법","",FPR(H4177,I4177,J4177)))</f>
        <v/>
      </c>
      <c r="L4177" s="30" t="str">
        <f>IF(H4177="","",IF($C$30="상세법",FPV(H4177,K4177),IF(H4177="EI",4,IF(H4177="EO",5.2,IF(H4177="EQ",3.9,IF(H4177="ILF",7.5,IF(H4177="EIF",5.4)))))))</f>
        <v/>
      </c>
      <c r="M4177" s="30" t="str">
        <f t="shared" si="450"/>
        <v/>
      </c>
      <c r="N4177" s="134"/>
      <c r="O4177" s="29"/>
      <c r="P4177" s="37" t="str">
        <f t="shared" si="451"/>
        <v/>
      </c>
      <c r="Q4177" s="38" t="str">
        <f t="shared" si="452"/>
        <v/>
      </c>
      <c r="R4177" s="37" t="str">
        <f t="shared" si="453"/>
        <v/>
      </c>
      <c r="S4177" s="37" t="str">
        <f t="shared" si="454"/>
        <v/>
      </c>
      <c r="T4177" s="38" t="str">
        <f t="shared" si="455"/>
        <v/>
      </c>
      <c r="U4177" s="37" t="str">
        <f t="shared" si="456"/>
        <v/>
      </c>
    </row>
    <row r="4178" spans="2:21" ht="17.25">
      <c r="B4178" s="156"/>
      <c r="C4178" s="156"/>
      <c r="D4178" s="157"/>
      <c r="E4178" s="155"/>
      <c r="F4178" s="151"/>
      <c r="G4178" s="152"/>
      <c r="H4178" s="153"/>
      <c r="I4178" s="154"/>
      <c r="J4178" s="154"/>
      <c r="K4178" s="30" t="str">
        <f>IF(H4178="","",IF($C$30="간이법","",FPR(H4178,I4178,J4178)))</f>
        <v/>
      </c>
      <c r="L4178" s="30" t="str">
        <f>IF(H4178="","",IF($C$30="상세법",FPV(H4178,K4178),IF(H4178="EI",4,IF(H4178="EO",5.2,IF(H4178="EQ",3.9,IF(H4178="ILF",7.5,IF(H4178="EIF",5.4)))))))</f>
        <v/>
      </c>
      <c r="M4178" s="30" t="str">
        <f t="shared" si="450"/>
        <v/>
      </c>
      <c r="N4178" s="134"/>
      <c r="O4178" s="29"/>
      <c r="P4178" s="37" t="str">
        <f t="shared" si="451"/>
        <v/>
      </c>
      <c r="Q4178" s="38" t="str">
        <f t="shared" si="452"/>
        <v/>
      </c>
      <c r="R4178" s="37" t="str">
        <f t="shared" si="453"/>
        <v/>
      </c>
      <c r="S4178" s="37" t="str">
        <f t="shared" si="454"/>
        <v/>
      </c>
      <c r="T4178" s="38" t="str">
        <f t="shared" si="455"/>
        <v/>
      </c>
      <c r="U4178" s="37" t="str">
        <f t="shared" si="456"/>
        <v/>
      </c>
    </row>
    <row r="4179" spans="2:21" ht="17.25">
      <c r="B4179" s="156"/>
      <c r="C4179" s="156"/>
      <c r="D4179" s="157"/>
      <c r="E4179" s="155"/>
      <c r="F4179" s="151"/>
      <c r="G4179" s="152"/>
      <c r="H4179" s="153"/>
      <c r="I4179" s="154"/>
      <c r="J4179" s="154"/>
      <c r="K4179" s="30" t="str">
        <f>IF(H4179="","",IF($C$30="간이법","",FPR(H4179,I4179,J4179)))</f>
        <v/>
      </c>
      <c r="L4179" s="30" t="str">
        <f>IF(H4179="","",IF($C$30="상세법",FPV(H4179,K4179),IF(H4179="EI",4,IF(H4179="EO",5.2,IF(H4179="EQ",3.9,IF(H4179="ILF",7.5,IF(H4179="EIF",5.4)))))))</f>
        <v/>
      </c>
      <c r="M4179" s="30" t="str">
        <f t="shared" si="450"/>
        <v/>
      </c>
      <c r="N4179" s="134"/>
      <c r="O4179" s="29"/>
      <c r="P4179" s="37" t="str">
        <f t="shared" si="451"/>
        <v/>
      </c>
      <c r="Q4179" s="38" t="str">
        <f t="shared" si="452"/>
        <v/>
      </c>
      <c r="R4179" s="37" t="str">
        <f t="shared" si="453"/>
        <v/>
      </c>
      <c r="S4179" s="37" t="str">
        <f t="shared" si="454"/>
        <v/>
      </c>
      <c r="T4179" s="38" t="str">
        <f t="shared" si="455"/>
        <v/>
      </c>
      <c r="U4179" s="37" t="str">
        <f t="shared" si="456"/>
        <v/>
      </c>
    </row>
    <row r="4180" spans="2:21" ht="17.25">
      <c r="B4180" s="156"/>
      <c r="C4180" s="156"/>
      <c r="D4180" s="157"/>
      <c r="E4180" s="155"/>
      <c r="F4180" s="151"/>
      <c r="G4180" s="152"/>
      <c r="H4180" s="153"/>
      <c r="I4180" s="154"/>
      <c r="J4180" s="154"/>
      <c r="K4180" s="30" t="str">
        <f>IF(H4180="","",IF($C$30="간이법","",FPR(H4180,I4180,J4180)))</f>
        <v/>
      </c>
      <c r="L4180" s="30" t="str">
        <f>IF(H4180="","",IF($C$30="상세법",FPV(H4180,K4180),IF(H4180="EI",4,IF(H4180="EO",5.2,IF(H4180="EQ",3.9,IF(H4180="ILF",7.5,IF(H4180="EIF",5.4)))))))</f>
        <v/>
      </c>
      <c r="M4180" s="30" t="str">
        <f t="shared" si="450"/>
        <v/>
      </c>
      <c r="N4180" s="134"/>
      <c r="O4180" s="29"/>
      <c r="P4180" s="37" t="str">
        <f t="shared" si="451"/>
        <v/>
      </c>
      <c r="Q4180" s="38" t="str">
        <f t="shared" si="452"/>
        <v/>
      </c>
      <c r="R4180" s="37" t="str">
        <f t="shared" si="453"/>
        <v/>
      </c>
      <c r="S4180" s="37" t="str">
        <f t="shared" si="454"/>
        <v/>
      </c>
      <c r="T4180" s="38" t="str">
        <f t="shared" si="455"/>
        <v/>
      </c>
      <c r="U4180" s="37" t="str">
        <f t="shared" si="456"/>
        <v/>
      </c>
    </row>
    <row r="4181" spans="2:21" ht="17.25">
      <c r="B4181" s="156"/>
      <c r="C4181" s="156"/>
      <c r="D4181" s="157"/>
      <c r="E4181" s="155"/>
      <c r="F4181" s="151"/>
      <c r="G4181" s="152"/>
      <c r="H4181" s="153"/>
      <c r="I4181" s="154"/>
      <c r="J4181" s="154"/>
      <c r="K4181" s="30" t="str">
        <f>IF(H4181="","",IF($C$30="간이법","",FPR(H4181,I4181,J4181)))</f>
        <v/>
      </c>
      <c r="L4181" s="30" t="str">
        <f>IF(H4181="","",IF($C$30="상세법",FPV(H4181,K4181),IF(H4181="EI",4,IF(H4181="EO",5.2,IF(H4181="EQ",3.9,IF(H4181="ILF",7.5,IF(H4181="EIF",5.4)))))))</f>
        <v/>
      </c>
      <c r="M4181" s="30" t="str">
        <f t="shared" si="450"/>
        <v/>
      </c>
      <c r="N4181" s="134"/>
      <c r="O4181" s="29"/>
      <c r="P4181" s="37" t="str">
        <f t="shared" si="451"/>
        <v/>
      </c>
      <c r="Q4181" s="38" t="str">
        <f t="shared" si="452"/>
        <v/>
      </c>
      <c r="R4181" s="37" t="str">
        <f t="shared" si="453"/>
        <v/>
      </c>
      <c r="S4181" s="37" t="str">
        <f t="shared" si="454"/>
        <v/>
      </c>
      <c r="T4181" s="38" t="str">
        <f t="shared" si="455"/>
        <v/>
      </c>
      <c r="U4181" s="37" t="str">
        <f t="shared" si="456"/>
        <v/>
      </c>
    </row>
    <row r="4182" spans="2:21" ht="17.25">
      <c r="B4182" s="156"/>
      <c r="C4182" s="156"/>
      <c r="D4182" s="157"/>
      <c r="E4182" s="155"/>
      <c r="F4182" s="151"/>
      <c r="G4182" s="152"/>
      <c r="H4182" s="153"/>
      <c r="I4182" s="154"/>
      <c r="J4182" s="154"/>
      <c r="K4182" s="30" t="str">
        <f>IF(H4182="","",IF($C$30="간이법","",FPR(H4182,I4182,J4182)))</f>
        <v/>
      </c>
      <c r="L4182" s="30" t="str">
        <f>IF(H4182="","",IF($C$30="상세법",FPV(H4182,K4182),IF(H4182="EI",4,IF(H4182="EO",5.2,IF(H4182="EQ",3.9,IF(H4182="ILF",7.5,IF(H4182="EIF",5.4)))))))</f>
        <v/>
      </c>
      <c r="M4182" s="30" t="str">
        <f t="shared" si="450"/>
        <v/>
      </c>
      <c r="N4182" s="134"/>
      <c r="O4182" s="29"/>
      <c r="P4182" s="37" t="str">
        <f t="shared" si="451"/>
        <v/>
      </c>
      <c r="Q4182" s="38" t="str">
        <f t="shared" si="452"/>
        <v/>
      </c>
      <c r="R4182" s="37" t="str">
        <f t="shared" si="453"/>
        <v/>
      </c>
      <c r="S4182" s="37" t="str">
        <f t="shared" si="454"/>
        <v/>
      </c>
      <c r="T4182" s="38" t="str">
        <f t="shared" si="455"/>
        <v/>
      </c>
      <c r="U4182" s="37" t="str">
        <f t="shared" si="456"/>
        <v/>
      </c>
    </row>
    <row r="4183" spans="2:21" ht="17.25">
      <c r="B4183" s="156"/>
      <c r="C4183" s="156"/>
      <c r="D4183" s="157"/>
      <c r="E4183" s="155"/>
      <c r="F4183" s="151"/>
      <c r="G4183" s="152"/>
      <c r="H4183" s="153"/>
      <c r="I4183" s="154"/>
      <c r="J4183" s="154"/>
      <c r="K4183" s="30" t="str">
        <f>IF(H4183="","",IF($C$30="간이법","",FPR(H4183,I4183,J4183)))</f>
        <v/>
      </c>
      <c r="L4183" s="30" t="str">
        <f>IF(H4183="","",IF($C$30="상세법",FPV(H4183,K4183),IF(H4183="EI",4,IF(H4183="EO",5.2,IF(H4183="EQ",3.9,IF(H4183="ILF",7.5,IF(H4183="EIF",5.4)))))))</f>
        <v/>
      </c>
      <c r="M4183" s="30" t="str">
        <f t="shared" si="450"/>
        <v/>
      </c>
      <c r="N4183" s="134"/>
      <c r="O4183" s="29"/>
      <c r="P4183" s="37" t="str">
        <f t="shared" si="451"/>
        <v/>
      </c>
      <c r="Q4183" s="38" t="str">
        <f t="shared" si="452"/>
        <v/>
      </c>
      <c r="R4183" s="37" t="str">
        <f t="shared" si="453"/>
        <v/>
      </c>
      <c r="S4183" s="37" t="str">
        <f t="shared" si="454"/>
        <v/>
      </c>
      <c r="T4183" s="38" t="str">
        <f t="shared" si="455"/>
        <v/>
      </c>
      <c r="U4183" s="37" t="str">
        <f t="shared" si="456"/>
        <v/>
      </c>
    </row>
    <row r="4184" spans="2:21" ht="17.25">
      <c r="B4184" s="156"/>
      <c r="C4184" s="156"/>
      <c r="D4184" s="157"/>
      <c r="E4184" s="155"/>
      <c r="F4184" s="151"/>
      <c r="G4184" s="152"/>
      <c r="H4184" s="153"/>
      <c r="I4184" s="154"/>
      <c r="J4184" s="154"/>
      <c r="K4184" s="30" t="str">
        <f>IF(H4184="","",IF($C$30="간이법","",FPR(H4184,I4184,J4184)))</f>
        <v/>
      </c>
      <c r="L4184" s="30" t="str">
        <f>IF(H4184="","",IF($C$30="상세법",FPV(H4184,K4184),IF(H4184="EI",4,IF(H4184="EO",5.2,IF(H4184="EQ",3.9,IF(H4184="ILF",7.5,IF(H4184="EIF",5.4)))))))</f>
        <v/>
      </c>
      <c r="M4184" s="30" t="str">
        <f t="shared" si="450"/>
        <v/>
      </c>
      <c r="N4184" s="134"/>
      <c r="O4184" s="29"/>
      <c r="P4184" s="37" t="str">
        <f t="shared" si="451"/>
        <v/>
      </c>
      <c r="Q4184" s="38" t="str">
        <f t="shared" si="452"/>
        <v/>
      </c>
      <c r="R4184" s="37" t="str">
        <f t="shared" si="453"/>
        <v/>
      </c>
      <c r="S4184" s="37" t="str">
        <f t="shared" si="454"/>
        <v/>
      </c>
      <c r="T4184" s="38" t="str">
        <f t="shared" si="455"/>
        <v/>
      </c>
      <c r="U4184" s="37" t="str">
        <f t="shared" si="456"/>
        <v/>
      </c>
    </row>
    <row r="4185" spans="2:21" ht="17.25">
      <c r="B4185" s="156"/>
      <c r="C4185" s="156"/>
      <c r="D4185" s="157"/>
      <c r="E4185" s="155"/>
      <c r="F4185" s="151"/>
      <c r="G4185" s="152"/>
      <c r="H4185" s="153"/>
      <c r="I4185" s="154"/>
      <c r="J4185" s="154"/>
      <c r="K4185" s="30" t="str">
        <f>IF(H4185="","",IF($C$30="간이법","",FPR(H4185,I4185,J4185)))</f>
        <v/>
      </c>
      <c r="L4185" s="30" t="str">
        <f>IF(H4185="","",IF($C$30="상세법",FPV(H4185,K4185),IF(H4185="EI",4,IF(H4185="EO",5.2,IF(H4185="EQ",3.9,IF(H4185="ILF",7.5,IF(H4185="EIF",5.4)))))))</f>
        <v/>
      </c>
      <c r="M4185" s="30" t="str">
        <f t="shared" si="450"/>
        <v/>
      </c>
      <c r="N4185" s="134"/>
      <c r="O4185" s="29"/>
      <c r="P4185" s="37" t="str">
        <f t="shared" si="451"/>
        <v/>
      </c>
      <c r="Q4185" s="38" t="str">
        <f t="shared" si="452"/>
        <v/>
      </c>
      <c r="R4185" s="37" t="str">
        <f t="shared" si="453"/>
        <v/>
      </c>
      <c r="S4185" s="37" t="str">
        <f t="shared" si="454"/>
        <v/>
      </c>
      <c r="T4185" s="38" t="str">
        <f t="shared" si="455"/>
        <v/>
      </c>
      <c r="U4185" s="37" t="str">
        <f t="shared" si="456"/>
        <v/>
      </c>
    </row>
    <row r="4186" spans="2:21" ht="17.25">
      <c r="B4186" s="156"/>
      <c r="C4186" s="156"/>
      <c r="D4186" s="157"/>
      <c r="E4186" s="155"/>
      <c r="F4186" s="151"/>
      <c r="G4186" s="152"/>
      <c r="H4186" s="153"/>
      <c r="I4186" s="154"/>
      <c r="J4186" s="154"/>
      <c r="K4186" s="30" t="str">
        <f>IF(H4186="","",IF($C$30="간이법","",FPR(H4186,I4186,J4186)))</f>
        <v/>
      </c>
      <c r="L4186" s="30" t="str">
        <f>IF(H4186="","",IF($C$30="상세법",FPV(H4186,K4186),IF(H4186="EI",4,IF(H4186="EO",5.2,IF(H4186="EQ",3.9,IF(H4186="ILF",7.5,IF(H4186="EIF",5.4)))))))</f>
        <v/>
      </c>
      <c r="M4186" s="30" t="str">
        <f t="shared" si="450"/>
        <v/>
      </c>
      <c r="N4186" s="134"/>
      <c r="O4186" s="29"/>
      <c r="P4186" s="37" t="str">
        <f t="shared" si="451"/>
        <v/>
      </c>
      <c r="Q4186" s="38" t="str">
        <f t="shared" si="452"/>
        <v/>
      </c>
      <c r="R4186" s="37" t="str">
        <f t="shared" si="453"/>
        <v/>
      </c>
      <c r="S4186" s="37" t="str">
        <f t="shared" si="454"/>
        <v/>
      </c>
      <c r="T4186" s="38" t="str">
        <f t="shared" si="455"/>
        <v/>
      </c>
      <c r="U4186" s="37" t="str">
        <f t="shared" si="456"/>
        <v/>
      </c>
    </row>
    <row r="4187" spans="2:21" ht="17.25">
      <c r="B4187" s="156"/>
      <c r="C4187" s="156"/>
      <c r="D4187" s="157"/>
      <c r="E4187" s="155"/>
      <c r="F4187" s="151"/>
      <c r="G4187" s="152"/>
      <c r="H4187" s="153"/>
      <c r="I4187" s="154"/>
      <c r="J4187" s="154"/>
      <c r="K4187" s="30" t="str">
        <f>IF(H4187="","",IF($C$30="간이법","",FPR(H4187,I4187,J4187)))</f>
        <v/>
      </c>
      <c r="L4187" s="30" t="str">
        <f>IF(H4187="","",IF($C$30="상세법",FPV(H4187,K4187),IF(H4187="EI",4,IF(H4187="EO",5.2,IF(H4187="EQ",3.9,IF(H4187="ILF",7.5,IF(H4187="EIF",5.4)))))))</f>
        <v/>
      </c>
      <c r="M4187" s="30" t="str">
        <f t="shared" si="450"/>
        <v/>
      </c>
      <c r="N4187" s="134"/>
      <c r="O4187" s="29"/>
      <c r="P4187" s="37" t="str">
        <f t="shared" si="451"/>
        <v/>
      </c>
      <c r="Q4187" s="38" t="str">
        <f t="shared" si="452"/>
        <v/>
      </c>
      <c r="R4187" s="37" t="str">
        <f t="shared" si="453"/>
        <v/>
      </c>
      <c r="S4187" s="37" t="str">
        <f t="shared" si="454"/>
        <v/>
      </c>
      <c r="T4187" s="38" t="str">
        <f t="shared" si="455"/>
        <v/>
      </c>
      <c r="U4187" s="37" t="str">
        <f t="shared" si="456"/>
        <v/>
      </c>
    </row>
    <row r="4188" spans="2:21" ht="17.25">
      <c r="B4188" s="156"/>
      <c r="C4188" s="156"/>
      <c r="D4188" s="157"/>
      <c r="E4188" s="155"/>
      <c r="F4188" s="151"/>
      <c r="G4188" s="152"/>
      <c r="H4188" s="153"/>
      <c r="I4188" s="154"/>
      <c r="J4188" s="154"/>
      <c r="K4188" s="30" t="str">
        <f>IF(H4188="","",IF($C$30="간이법","",FPR(H4188,I4188,J4188)))</f>
        <v/>
      </c>
      <c r="L4188" s="30" t="str">
        <f>IF(H4188="","",IF($C$30="상세법",FPV(H4188,K4188),IF(H4188="EI",4,IF(H4188="EO",5.2,IF(H4188="EQ",3.9,IF(H4188="ILF",7.5,IF(H4188="EIF",5.4)))))))</f>
        <v/>
      </c>
      <c r="M4188" s="30" t="str">
        <f t="shared" si="450"/>
        <v/>
      </c>
      <c r="N4188" s="134"/>
      <c r="O4188" s="29"/>
      <c r="P4188" s="37" t="str">
        <f t="shared" si="451"/>
        <v/>
      </c>
      <c r="Q4188" s="38" t="str">
        <f t="shared" si="452"/>
        <v/>
      </c>
      <c r="R4188" s="37" t="str">
        <f t="shared" si="453"/>
        <v/>
      </c>
      <c r="S4188" s="37" t="str">
        <f t="shared" si="454"/>
        <v/>
      </c>
      <c r="T4188" s="38" t="str">
        <f t="shared" si="455"/>
        <v/>
      </c>
      <c r="U4188" s="37" t="str">
        <f t="shared" si="456"/>
        <v/>
      </c>
    </row>
    <row r="4189" spans="2:21" ht="17.25">
      <c r="B4189" s="156"/>
      <c r="C4189" s="156"/>
      <c r="D4189" s="157"/>
      <c r="E4189" s="155"/>
      <c r="F4189" s="151"/>
      <c r="G4189" s="152"/>
      <c r="H4189" s="153"/>
      <c r="I4189" s="154"/>
      <c r="J4189" s="154"/>
      <c r="K4189" s="30" t="str">
        <f>IF(H4189="","",IF($C$30="간이법","",FPR(H4189,I4189,J4189)))</f>
        <v/>
      </c>
      <c r="L4189" s="30" t="str">
        <f>IF(H4189="","",IF($C$30="상세법",FPV(H4189,K4189),IF(H4189="EI",4,IF(H4189="EO",5.2,IF(H4189="EQ",3.9,IF(H4189="ILF",7.5,IF(H4189="EIF",5.4)))))))</f>
        <v/>
      </c>
      <c r="M4189" s="30" t="str">
        <f t="shared" si="450"/>
        <v/>
      </c>
      <c r="N4189" s="134"/>
      <c r="O4189" s="29"/>
      <c r="P4189" s="37" t="str">
        <f t="shared" si="451"/>
        <v/>
      </c>
      <c r="Q4189" s="38" t="str">
        <f t="shared" si="452"/>
        <v/>
      </c>
      <c r="R4189" s="37" t="str">
        <f t="shared" si="453"/>
        <v/>
      </c>
      <c r="S4189" s="37" t="str">
        <f t="shared" si="454"/>
        <v/>
      </c>
      <c r="T4189" s="38" t="str">
        <f t="shared" si="455"/>
        <v/>
      </c>
      <c r="U4189" s="37" t="str">
        <f t="shared" si="456"/>
        <v/>
      </c>
    </row>
    <row r="4190" spans="2:21" ht="17.25">
      <c r="B4190" s="156"/>
      <c r="C4190" s="156"/>
      <c r="D4190" s="157"/>
      <c r="E4190" s="155"/>
      <c r="F4190" s="151"/>
      <c r="G4190" s="152"/>
      <c r="H4190" s="153"/>
      <c r="I4190" s="154"/>
      <c r="J4190" s="154"/>
      <c r="K4190" s="30" t="str">
        <f>IF(H4190="","",IF($C$30="간이법","",FPR(H4190,I4190,J4190)))</f>
        <v/>
      </c>
      <c r="L4190" s="30" t="str">
        <f>IF(H4190="","",IF($C$30="상세법",FPV(H4190,K4190),IF(H4190="EI",4,IF(H4190="EO",5.2,IF(H4190="EQ",3.9,IF(H4190="ILF",7.5,IF(H4190="EIF",5.4)))))))</f>
        <v/>
      </c>
      <c r="M4190" s="30" t="str">
        <f t="shared" si="450"/>
        <v/>
      </c>
      <c r="N4190" s="134"/>
      <c r="O4190" s="29"/>
      <c r="P4190" s="37" t="str">
        <f t="shared" si="451"/>
        <v/>
      </c>
      <c r="Q4190" s="38" t="str">
        <f t="shared" si="452"/>
        <v/>
      </c>
      <c r="R4190" s="37" t="str">
        <f t="shared" si="453"/>
        <v/>
      </c>
      <c r="S4190" s="37" t="str">
        <f t="shared" si="454"/>
        <v/>
      </c>
      <c r="T4190" s="38" t="str">
        <f t="shared" si="455"/>
        <v/>
      </c>
      <c r="U4190" s="37" t="str">
        <f t="shared" si="456"/>
        <v/>
      </c>
    </row>
    <row r="4191" spans="2:21" ht="17.25">
      <c r="B4191" s="156"/>
      <c r="C4191" s="156"/>
      <c r="D4191" s="157"/>
      <c r="E4191" s="155"/>
      <c r="F4191" s="151"/>
      <c r="G4191" s="152"/>
      <c r="H4191" s="153"/>
      <c r="I4191" s="154"/>
      <c r="J4191" s="154"/>
      <c r="K4191" s="30" t="str">
        <f>IF(H4191="","",IF($C$30="간이법","",FPR(H4191,I4191,J4191)))</f>
        <v/>
      </c>
      <c r="L4191" s="30" t="str">
        <f>IF(H4191="","",IF($C$30="상세법",FPV(H4191,K4191),IF(H4191="EI",4,IF(H4191="EO",5.2,IF(H4191="EQ",3.9,IF(H4191="ILF",7.5,IF(H4191="EIF",5.4)))))))</f>
        <v/>
      </c>
      <c r="M4191" s="30" t="str">
        <f t="shared" si="450"/>
        <v/>
      </c>
      <c r="N4191" s="134"/>
      <c r="O4191" s="29"/>
      <c r="P4191" s="37" t="str">
        <f t="shared" si="451"/>
        <v/>
      </c>
      <c r="Q4191" s="38" t="str">
        <f t="shared" si="452"/>
        <v/>
      </c>
      <c r="R4191" s="37" t="str">
        <f t="shared" si="453"/>
        <v/>
      </c>
      <c r="S4191" s="37" t="str">
        <f t="shared" si="454"/>
        <v/>
      </c>
      <c r="T4191" s="38" t="str">
        <f t="shared" si="455"/>
        <v/>
      </c>
      <c r="U4191" s="37" t="str">
        <f t="shared" si="456"/>
        <v/>
      </c>
    </row>
    <row r="4192" spans="2:21" ht="17.25">
      <c r="B4192" s="156"/>
      <c r="C4192" s="156"/>
      <c r="D4192" s="157"/>
      <c r="E4192" s="155"/>
      <c r="F4192" s="151"/>
      <c r="G4192" s="152"/>
      <c r="H4192" s="153"/>
      <c r="I4192" s="154"/>
      <c r="J4192" s="154"/>
      <c r="K4192" s="30" t="str">
        <f>IF(H4192="","",IF($C$30="간이법","",FPR(H4192,I4192,J4192)))</f>
        <v/>
      </c>
      <c r="L4192" s="30" t="str">
        <f>IF(H4192="","",IF($C$30="상세법",FPV(H4192,K4192),IF(H4192="EI",4,IF(H4192="EO",5.2,IF(H4192="EQ",3.9,IF(H4192="ILF",7.5,IF(H4192="EIF",5.4)))))))</f>
        <v/>
      </c>
      <c r="M4192" s="30" t="str">
        <f t="shared" si="450"/>
        <v/>
      </c>
      <c r="N4192" s="134"/>
      <c r="O4192" s="29"/>
      <c r="P4192" s="37" t="str">
        <f t="shared" si="451"/>
        <v/>
      </c>
      <c r="Q4192" s="38" t="str">
        <f t="shared" si="452"/>
        <v/>
      </c>
      <c r="R4192" s="37" t="str">
        <f t="shared" si="453"/>
        <v/>
      </c>
      <c r="S4192" s="37" t="str">
        <f t="shared" si="454"/>
        <v/>
      </c>
      <c r="T4192" s="38" t="str">
        <f t="shared" si="455"/>
        <v/>
      </c>
      <c r="U4192" s="37" t="str">
        <f t="shared" si="456"/>
        <v/>
      </c>
    </row>
    <row r="4193" spans="2:21" ht="17.25">
      <c r="B4193" s="156"/>
      <c r="C4193" s="156"/>
      <c r="D4193" s="157"/>
      <c r="E4193" s="155"/>
      <c r="F4193" s="151"/>
      <c r="G4193" s="152"/>
      <c r="H4193" s="153"/>
      <c r="I4193" s="154"/>
      <c r="J4193" s="154"/>
      <c r="K4193" s="30" t="str">
        <f>IF(H4193="","",IF($C$30="간이법","",FPR(H4193,I4193,J4193)))</f>
        <v/>
      </c>
      <c r="L4193" s="30" t="str">
        <f>IF(H4193="","",IF($C$30="상세법",FPV(H4193,K4193),IF(H4193="EI",4,IF(H4193="EO",5.2,IF(H4193="EQ",3.9,IF(H4193="ILF",7.5,IF(H4193="EIF",5.4)))))))</f>
        <v/>
      </c>
      <c r="M4193" s="30" t="str">
        <f t="shared" si="450"/>
        <v/>
      </c>
      <c r="N4193" s="134"/>
      <c r="O4193" s="29"/>
      <c r="P4193" s="37" t="str">
        <f t="shared" si="451"/>
        <v/>
      </c>
      <c r="Q4193" s="38" t="str">
        <f t="shared" si="452"/>
        <v/>
      </c>
      <c r="R4193" s="37" t="str">
        <f t="shared" si="453"/>
        <v/>
      </c>
      <c r="S4193" s="37" t="str">
        <f t="shared" si="454"/>
        <v/>
      </c>
      <c r="T4193" s="38" t="str">
        <f t="shared" si="455"/>
        <v/>
      </c>
      <c r="U4193" s="37" t="str">
        <f t="shared" si="456"/>
        <v/>
      </c>
    </row>
    <row r="4194" spans="2:21" ht="17.25">
      <c r="B4194" s="156"/>
      <c r="C4194" s="156"/>
      <c r="D4194" s="157"/>
      <c r="E4194" s="155"/>
      <c r="F4194" s="151"/>
      <c r="G4194" s="152"/>
      <c r="H4194" s="153"/>
      <c r="I4194" s="154"/>
      <c r="J4194" s="154"/>
      <c r="K4194" s="30" t="str">
        <f>IF(H4194="","",IF($C$30="간이법","",FPR(H4194,I4194,J4194)))</f>
        <v/>
      </c>
      <c r="L4194" s="30" t="str">
        <f>IF(H4194="","",IF($C$30="상세법",FPV(H4194,K4194),IF(H4194="EI",4,IF(H4194="EO",5.2,IF(H4194="EQ",3.9,IF(H4194="ILF",7.5,IF(H4194="EIF",5.4)))))))</f>
        <v/>
      </c>
      <c r="M4194" s="30" t="str">
        <f t="shared" si="450"/>
        <v/>
      </c>
      <c r="N4194" s="134"/>
      <c r="O4194" s="29"/>
      <c r="P4194" s="37" t="str">
        <f t="shared" si="451"/>
        <v/>
      </c>
      <c r="Q4194" s="38" t="str">
        <f t="shared" si="452"/>
        <v/>
      </c>
      <c r="R4194" s="37" t="str">
        <f t="shared" si="453"/>
        <v/>
      </c>
      <c r="S4194" s="37" t="str">
        <f t="shared" si="454"/>
        <v/>
      </c>
      <c r="T4194" s="38" t="str">
        <f t="shared" si="455"/>
        <v/>
      </c>
      <c r="U4194" s="37" t="str">
        <f t="shared" si="456"/>
        <v/>
      </c>
    </row>
    <row r="4195" spans="2:21" ht="17.25">
      <c r="B4195" s="156"/>
      <c r="C4195" s="156"/>
      <c r="D4195" s="157"/>
      <c r="E4195" s="155"/>
      <c r="F4195" s="151"/>
      <c r="G4195" s="152"/>
      <c r="H4195" s="153"/>
      <c r="I4195" s="154"/>
      <c r="J4195" s="154"/>
      <c r="K4195" s="30" t="str">
        <f>IF(H4195="","",IF($C$30="간이법","",FPR(H4195,I4195,J4195)))</f>
        <v/>
      </c>
      <c r="L4195" s="30" t="str">
        <f>IF(H4195="","",IF($C$30="상세법",FPV(H4195,K4195),IF(H4195="EI",4,IF(H4195="EO",5.2,IF(H4195="EQ",3.9,IF(H4195="ILF",7.5,IF(H4195="EIF",5.4)))))))</f>
        <v/>
      </c>
      <c r="M4195" s="30" t="str">
        <f t="shared" si="450"/>
        <v/>
      </c>
      <c r="N4195" s="134"/>
      <c r="O4195" s="29"/>
      <c r="P4195" s="37" t="str">
        <f t="shared" si="451"/>
        <v/>
      </c>
      <c r="Q4195" s="38" t="str">
        <f t="shared" si="452"/>
        <v/>
      </c>
      <c r="R4195" s="37" t="str">
        <f t="shared" si="453"/>
        <v/>
      </c>
      <c r="S4195" s="37" t="str">
        <f t="shared" si="454"/>
        <v/>
      </c>
      <c r="T4195" s="38" t="str">
        <f t="shared" si="455"/>
        <v/>
      </c>
      <c r="U4195" s="37" t="str">
        <f t="shared" si="456"/>
        <v/>
      </c>
    </row>
    <row r="4196" spans="2:21" ht="17.25">
      <c r="B4196" s="156"/>
      <c r="C4196" s="156"/>
      <c r="D4196" s="157"/>
      <c r="E4196" s="155"/>
      <c r="F4196" s="151"/>
      <c r="G4196" s="152"/>
      <c r="H4196" s="153"/>
      <c r="I4196" s="154"/>
      <c r="J4196" s="154"/>
      <c r="K4196" s="30" t="str">
        <f>IF(H4196="","",IF($C$30="간이법","",FPR(H4196,I4196,J4196)))</f>
        <v/>
      </c>
      <c r="L4196" s="30" t="str">
        <f>IF(H4196="","",IF($C$30="상세법",FPV(H4196,K4196),IF(H4196="EI",4,IF(H4196="EO",5.2,IF(H4196="EQ",3.9,IF(H4196="ILF",7.5,IF(H4196="EIF",5.4)))))))</f>
        <v/>
      </c>
      <c r="M4196" s="30" t="str">
        <f t="shared" si="450"/>
        <v/>
      </c>
      <c r="N4196" s="134"/>
      <c r="O4196" s="29"/>
      <c r="P4196" s="37" t="str">
        <f t="shared" si="451"/>
        <v/>
      </c>
      <c r="Q4196" s="38" t="str">
        <f t="shared" si="452"/>
        <v/>
      </c>
      <c r="R4196" s="37" t="str">
        <f t="shared" si="453"/>
        <v/>
      </c>
      <c r="S4196" s="37" t="str">
        <f t="shared" si="454"/>
        <v/>
      </c>
      <c r="T4196" s="38" t="str">
        <f t="shared" si="455"/>
        <v/>
      </c>
      <c r="U4196" s="37" t="str">
        <f t="shared" si="456"/>
        <v/>
      </c>
    </row>
    <row r="4197" spans="2:21" ht="17.25">
      <c r="B4197" s="156"/>
      <c r="C4197" s="156"/>
      <c r="D4197" s="157"/>
      <c r="E4197" s="155"/>
      <c r="F4197" s="151"/>
      <c r="G4197" s="152"/>
      <c r="H4197" s="153"/>
      <c r="I4197" s="154"/>
      <c r="J4197" s="154"/>
      <c r="K4197" s="30" t="str">
        <f>IF(H4197="","",IF($C$30="간이법","",FPR(H4197,I4197,J4197)))</f>
        <v/>
      </c>
      <c r="L4197" s="30" t="str">
        <f>IF(H4197="","",IF($C$30="상세법",FPV(H4197,K4197),IF(H4197="EI",4,IF(H4197="EO",5.2,IF(H4197="EQ",3.9,IF(H4197="ILF",7.5,IF(H4197="EIF",5.4)))))))</f>
        <v/>
      </c>
      <c r="M4197" s="30" t="str">
        <f t="shared" si="450"/>
        <v/>
      </c>
      <c r="N4197" s="134"/>
      <c r="O4197" s="29"/>
      <c r="P4197" s="37" t="str">
        <f t="shared" si="451"/>
        <v/>
      </c>
      <c r="Q4197" s="38" t="str">
        <f t="shared" si="452"/>
        <v/>
      </c>
      <c r="R4197" s="37" t="str">
        <f t="shared" si="453"/>
        <v/>
      </c>
      <c r="S4197" s="37" t="str">
        <f t="shared" si="454"/>
        <v/>
      </c>
      <c r="T4197" s="38" t="str">
        <f t="shared" si="455"/>
        <v/>
      </c>
      <c r="U4197" s="37" t="str">
        <f t="shared" si="456"/>
        <v/>
      </c>
    </row>
    <row r="4198" spans="2:21" ht="17.25">
      <c r="B4198" s="156"/>
      <c r="C4198" s="156"/>
      <c r="D4198" s="157"/>
      <c r="E4198" s="155"/>
      <c r="F4198" s="151"/>
      <c r="G4198" s="152"/>
      <c r="H4198" s="153"/>
      <c r="I4198" s="154"/>
      <c r="J4198" s="154"/>
      <c r="K4198" s="30" t="str">
        <f>IF(H4198="","",IF($C$30="간이법","",FPR(H4198,I4198,J4198)))</f>
        <v/>
      </c>
      <c r="L4198" s="30" t="str">
        <f>IF(H4198="","",IF($C$30="상세법",FPV(H4198,K4198),IF(H4198="EI",4,IF(H4198="EO",5.2,IF(H4198="EQ",3.9,IF(H4198="ILF",7.5,IF(H4198="EIF",5.4)))))))</f>
        <v/>
      </c>
      <c r="M4198" s="30" t="str">
        <f t="shared" si="450"/>
        <v/>
      </c>
      <c r="N4198" s="134"/>
      <c r="O4198" s="29"/>
      <c r="P4198" s="37" t="str">
        <f t="shared" si="451"/>
        <v/>
      </c>
      <c r="Q4198" s="38" t="str">
        <f t="shared" si="452"/>
        <v/>
      </c>
      <c r="R4198" s="37" t="str">
        <f t="shared" si="453"/>
        <v/>
      </c>
      <c r="S4198" s="37" t="str">
        <f t="shared" si="454"/>
        <v/>
      </c>
      <c r="T4198" s="38" t="str">
        <f t="shared" si="455"/>
        <v/>
      </c>
      <c r="U4198" s="37" t="str">
        <f t="shared" si="456"/>
        <v/>
      </c>
    </row>
    <row r="4199" spans="2:21" ht="17.25">
      <c r="B4199" s="156"/>
      <c r="C4199" s="156"/>
      <c r="D4199" s="157"/>
      <c r="E4199" s="155"/>
      <c r="F4199" s="151"/>
      <c r="G4199" s="152"/>
      <c r="H4199" s="153"/>
      <c r="I4199" s="154"/>
      <c r="J4199" s="154"/>
      <c r="K4199" s="30" t="str">
        <f>IF(H4199="","",IF($C$30="간이법","",FPR(H4199,I4199,J4199)))</f>
        <v/>
      </c>
      <c r="L4199" s="30" t="str">
        <f>IF(H4199="","",IF($C$30="상세법",FPV(H4199,K4199),IF(H4199="EI",4,IF(H4199="EO",5.2,IF(H4199="EQ",3.9,IF(H4199="ILF",7.5,IF(H4199="EIF",5.4)))))))</f>
        <v/>
      </c>
      <c r="M4199" s="30" t="str">
        <f t="shared" si="450"/>
        <v/>
      </c>
      <c r="N4199" s="134"/>
      <c r="O4199" s="29"/>
      <c r="P4199" s="37" t="str">
        <f t="shared" si="451"/>
        <v/>
      </c>
      <c r="Q4199" s="38" t="str">
        <f t="shared" si="452"/>
        <v/>
      </c>
      <c r="R4199" s="37" t="str">
        <f t="shared" si="453"/>
        <v/>
      </c>
      <c r="S4199" s="37" t="str">
        <f t="shared" si="454"/>
        <v/>
      </c>
      <c r="T4199" s="38" t="str">
        <f t="shared" si="455"/>
        <v/>
      </c>
      <c r="U4199" s="37" t="str">
        <f t="shared" si="456"/>
        <v/>
      </c>
    </row>
    <row r="4200" spans="2:21" ht="17.25">
      <c r="B4200" s="156"/>
      <c r="C4200" s="156"/>
      <c r="D4200" s="157"/>
      <c r="E4200" s="155"/>
      <c r="F4200" s="151"/>
      <c r="G4200" s="152"/>
      <c r="H4200" s="153"/>
      <c r="I4200" s="154"/>
      <c r="J4200" s="154"/>
      <c r="K4200" s="30" t="str">
        <f>IF(H4200="","",IF($C$30="간이법","",FPR(H4200,I4200,J4200)))</f>
        <v/>
      </c>
      <c r="L4200" s="30" t="str">
        <f>IF(H4200="","",IF($C$30="상세법",FPV(H4200,K4200),IF(H4200="EI",4,IF(H4200="EO",5.2,IF(H4200="EQ",3.9,IF(H4200="ILF",7.5,IF(H4200="EIF",5.4)))))))</f>
        <v/>
      </c>
      <c r="M4200" s="30" t="str">
        <f t="shared" si="450"/>
        <v/>
      </c>
      <c r="N4200" s="134"/>
      <c r="O4200" s="29"/>
      <c r="P4200" s="37" t="str">
        <f t="shared" si="451"/>
        <v/>
      </c>
      <c r="Q4200" s="38" t="str">
        <f t="shared" si="452"/>
        <v/>
      </c>
      <c r="R4200" s="37" t="str">
        <f t="shared" si="453"/>
        <v/>
      </c>
      <c r="S4200" s="37" t="str">
        <f t="shared" si="454"/>
        <v/>
      </c>
      <c r="T4200" s="38" t="str">
        <f t="shared" si="455"/>
        <v/>
      </c>
      <c r="U4200" s="37" t="str">
        <f t="shared" si="456"/>
        <v/>
      </c>
    </row>
    <row r="4201" spans="2:21" ht="17.25">
      <c r="B4201" s="156"/>
      <c r="C4201" s="156"/>
      <c r="D4201" s="157"/>
      <c r="E4201" s="155"/>
      <c r="F4201" s="151"/>
      <c r="G4201" s="152"/>
      <c r="H4201" s="153"/>
      <c r="I4201" s="154"/>
      <c r="J4201" s="154"/>
      <c r="K4201" s="30" t="str">
        <f>IF(H4201="","",IF($C$30="간이법","",FPR(H4201,I4201,J4201)))</f>
        <v/>
      </c>
      <c r="L4201" s="30" t="str">
        <f>IF(H4201="","",IF($C$30="상세법",FPV(H4201,K4201),IF(H4201="EI",4,IF(H4201="EO",5.2,IF(H4201="EQ",3.9,IF(H4201="ILF",7.5,IF(H4201="EIF",5.4)))))))</f>
        <v/>
      </c>
      <c r="M4201" s="30" t="str">
        <f t="shared" si="450"/>
        <v/>
      </c>
      <c r="N4201" s="134"/>
      <c r="O4201" s="29"/>
      <c r="P4201" s="37" t="str">
        <f t="shared" si="451"/>
        <v/>
      </c>
      <c r="Q4201" s="38" t="str">
        <f t="shared" si="452"/>
        <v/>
      </c>
      <c r="R4201" s="37" t="str">
        <f t="shared" si="453"/>
        <v/>
      </c>
      <c r="S4201" s="37" t="str">
        <f t="shared" si="454"/>
        <v/>
      </c>
      <c r="T4201" s="38" t="str">
        <f t="shared" si="455"/>
        <v/>
      </c>
      <c r="U4201" s="37" t="str">
        <f t="shared" si="456"/>
        <v/>
      </c>
    </row>
    <row r="4202" spans="2:21" ht="17.25">
      <c r="B4202" s="156"/>
      <c r="C4202" s="156"/>
      <c r="D4202" s="157"/>
      <c r="E4202" s="155"/>
      <c r="F4202" s="151"/>
      <c r="G4202" s="152"/>
      <c r="H4202" s="153"/>
      <c r="I4202" s="154"/>
      <c r="J4202" s="154"/>
      <c r="K4202" s="30" t="str">
        <f>IF(H4202="","",IF($C$30="간이법","",FPR(H4202,I4202,J4202)))</f>
        <v/>
      </c>
      <c r="L4202" s="30" t="str">
        <f>IF(H4202="","",IF($C$30="상세법",FPV(H4202,K4202),IF(H4202="EI",4,IF(H4202="EO",5.2,IF(H4202="EQ",3.9,IF(H4202="ILF",7.5,IF(H4202="EIF",5.4)))))))</f>
        <v/>
      </c>
      <c r="M4202" s="30" t="str">
        <f t="shared" si="450"/>
        <v/>
      </c>
      <c r="N4202" s="134"/>
      <c r="O4202" s="29"/>
      <c r="P4202" s="37" t="str">
        <f t="shared" si="451"/>
        <v/>
      </c>
      <c r="Q4202" s="38" t="str">
        <f t="shared" si="452"/>
        <v/>
      </c>
      <c r="R4202" s="37" t="str">
        <f t="shared" si="453"/>
        <v/>
      </c>
      <c r="S4202" s="37" t="str">
        <f t="shared" si="454"/>
        <v/>
      </c>
      <c r="T4202" s="38" t="str">
        <f t="shared" si="455"/>
        <v/>
      </c>
      <c r="U4202" s="37" t="str">
        <f t="shared" si="456"/>
        <v/>
      </c>
    </row>
    <row r="4203" spans="2:21" ht="17.25">
      <c r="B4203" s="156"/>
      <c r="C4203" s="156"/>
      <c r="D4203" s="157"/>
      <c r="E4203" s="155"/>
      <c r="F4203" s="151"/>
      <c r="G4203" s="152"/>
      <c r="H4203" s="153"/>
      <c r="I4203" s="154"/>
      <c r="J4203" s="154"/>
      <c r="K4203" s="30" t="str">
        <f>IF(H4203="","",IF($C$30="간이법","",FPR(H4203,I4203,J4203)))</f>
        <v/>
      </c>
      <c r="L4203" s="30" t="str">
        <f>IF(H4203="","",IF($C$30="상세법",FPV(H4203,K4203),IF(H4203="EI",4,IF(H4203="EO",5.2,IF(H4203="EQ",3.9,IF(H4203="ILF",7.5,IF(H4203="EIF",5.4)))))))</f>
        <v/>
      </c>
      <c r="M4203" s="30" t="str">
        <f t="shared" si="450"/>
        <v/>
      </c>
      <c r="N4203" s="134"/>
      <c r="O4203" s="29"/>
      <c r="P4203" s="37" t="str">
        <f t="shared" si="451"/>
        <v/>
      </c>
      <c r="Q4203" s="38" t="str">
        <f t="shared" si="452"/>
        <v/>
      </c>
      <c r="R4203" s="37" t="str">
        <f t="shared" si="453"/>
        <v/>
      </c>
      <c r="S4203" s="37" t="str">
        <f t="shared" si="454"/>
        <v/>
      </c>
      <c r="T4203" s="38" t="str">
        <f t="shared" si="455"/>
        <v/>
      </c>
      <c r="U4203" s="37" t="str">
        <f t="shared" si="456"/>
        <v/>
      </c>
    </row>
    <row r="4204" spans="2:21" ht="17.25">
      <c r="B4204" s="156"/>
      <c r="C4204" s="156"/>
      <c r="D4204" s="157"/>
      <c r="E4204" s="155"/>
      <c r="F4204" s="151"/>
      <c r="G4204" s="152"/>
      <c r="H4204" s="153"/>
      <c r="I4204" s="154"/>
      <c r="J4204" s="154"/>
      <c r="K4204" s="30" t="str">
        <f>IF(H4204="","",IF($C$30="간이법","",FPR(H4204,I4204,J4204)))</f>
        <v/>
      </c>
      <c r="L4204" s="30" t="str">
        <f>IF(H4204="","",IF($C$30="상세법",FPV(H4204,K4204),IF(H4204="EI",4,IF(H4204="EO",5.2,IF(H4204="EQ",3.9,IF(H4204="ILF",7.5,IF(H4204="EIF",5.4)))))))</f>
        <v/>
      </c>
      <c r="M4204" s="30" t="str">
        <f t="shared" si="450"/>
        <v/>
      </c>
      <c r="N4204" s="134"/>
      <c r="O4204" s="29"/>
      <c r="P4204" s="37" t="str">
        <f t="shared" si="451"/>
        <v/>
      </c>
      <c r="Q4204" s="38" t="str">
        <f t="shared" si="452"/>
        <v/>
      </c>
      <c r="R4204" s="37" t="str">
        <f t="shared" si="453"/>
        <v/>
      </c>
      <c r="S4204" s="37" t="str">
        <f t="shared" si="454"/>
        <v/>
      </c>
      <c r="T4204" s="38" t="str">
        <f t="shared" si="455"/>
        <v/>
      </c>
      <c r="U4204" s="37" t="str">
        <f t="shared" si="456"/>
        <v/>
      </c>
    </row>
    <row r="4205" spans="2:21" ht="17.25">
      <c r="B4205" s="156"/>
      <c r="C4205" s="156"/>
      <c r="D4205" s="157"/>
      <c r="E4205" s="155"/>
      <c r="F4205" s="151"/>
      <c r="G4205" s="152"/>
      <c r="H4205" s="153"/>
      <c r="I4205" s="154"/>
      <c r="J4205" s="154"/>
      <c r="K4205" s="30" t="str">
        <f>IF(H4205="","",IF($C$30="간이법","",FPR(H4205,I4205,J4205)))</f>
        <v/>
      </c>
      <c r="L4205" s="30" t="str">
        <f>IF(H4205="","",IF($C$30="상세법",FPV(H4205,K4205),IF(H4205="EI",4,IF(H4205="EO",5.2,IF(H4205="EQ",3.9,IF(H4205="ILF",7.5,IF(H4205="EIF",5.4)))))))</f>
        <v/>
      </c>
      <c r="M4205" s="30" t="str">
        <f t="shared" si="450"/>
        <v/>
      </c>
      <c r="N4205" s="134"/>
      <c r="O4205" s="29"/>
      <c r="P4205" s="37" t="str">
        <f t="shared" si="451"/>
        <v/>
      </c>
      <c r="Q4205" s="38" t="str">
        <f t="shared" si="452"/>
        <v/>
      </c>
      <c r="R4205" s="37" t="str">
        <f t="shared" si="453"/>
        <v/>
      </c>
      <c r="S4205" s="37" t="str">
        <f t="shared" si="454"/>
        <v/>
      </c>
      <c r="T4205" s="38" t="str">
        <f t="shared" si="455"/>
        <v/>
      </c>
      <c r="U4205" s="37" t="str">
        <f t="shared" si="456"/>
        <v/>
      </c>
    </row>
    <row r="4206" spans="2:21" ht="17.25">
      <c r="B4206" s="156"/>
      <c r="C4206" s="156"/>
      <c r="D4206" s="157"/>
      <c r="E4206" s="155"/>
      <c r="F4206" s="151"/>
      <c r="G4206" s="152"/>
      <c r="H4206" s="153"/>
      <c r="I4206" s="154"/>
      <c r="J4206" s="154"/>
      <c r="K4206" s="30" t="str">
        <f>IF(H4206="","",IF($C$30="간이법","",FPR(H4206,I4206,J4206)))</f>
        <v/>
      </c>
      <c r="L4206" s="30" t="str">
        <f>IF(H4206="","",IF($C$30="상세법",FPV(H4206,K4206),IF(H4206="EI",4,IF(H4206="EO",5.2,IF(H4206="EQ",3.9,IF(H4206="ILF",7.5,IF(H4206="EIF",5.4)))))))</f>
        <v/>
      </c>
      <c r="M4206" s="30" t="str">
        <f t="shared" si="450"/>
        <v/>
      </c>
      <c r="N4206" s="134"/>
      <c r="O4206" s="29"/>
      <c r="P4206" s="37" t="str">
        <f t="shared" si="451"/>
        <v/>
      </c>
      <c r="Q4206" s="38" t="str">
        <f t="shared" si="452"/>
        <v/>
      </c>
      <c r="R4206" s="37" t="str">
        <f t="shared" si="453"/>
        <v/>
      </c>
      <c r="S4206" s="37" t="str">
        <f t="shared" si="454"/>
        <v/>
      </c>
      <c r="T4206" s="38" t="str">
        <f t="shared" si="455"/>
        <v/>
      </c>
      <c r="U4206" s="37" t="str">
        <f t="shared" si="456"/>
        <v/>
      </c>
    </row>
    <row r="4207" spans="2:21" ht="17.25">
      <c r="B4207" s="156"/>
      <c r="C4207" s="156"/>
      <c r="D4207" s="157"/>
      <c r="E4207" s="155"/>
      <c r="F4207" s="151"/>
      <c r="G4207" s="152"/>
      <c r="H4207" s="153"/>
      <c r="I4207" s="154"/>
      <c r="J4207" s="154"/>
      <c r="K4207" s="30" t="str">
        <f>IF(H4207="","",IF($C$30="간이법","",FPR(H4207,I4207,J4207)))</f>
        <v/>
      </c>
      <c r="L4207" s="30" t="str">
        <f>IF(H4207="","",IF($C$30="상세법",FPV(H4207,K4207),IF(H4207="EI",4,IF(H4207="EO",5.2,IF(H4207="EQ",3.9,IF(H4207="ILF",7.5,IF(H4207="EIF",5.4)))))))</f>
        <v/>
      </c>
      <c r="M4207" s="30" t="str">
        <f t="shared" si="450"/>
        <v/>
      </c>
      <c r="N4207" s="134"/>
      <c r="O4207" s="29"/>
      <c r="P4207" s="37" t="str">
        <f t="shared" si="451"/>
        <v/>
      </c>
      <c r="Q4207" s="38" t="str">
        <f t="shared" si="452"/>
        <v/>
      </c>
      <c r="R4207" s="37" t="str">
        <f t="shared" si="453"/>
        <v/>
      </c>
      <c r="S4207" s="37" t="str">
        <f t="shared" si="454"/>
        <v/>
      </c>
      <c r="T4207" s="38" t="str">
        <f t="shared" si="455"/>
        <v/>
      </c>
      <c r="U4207" s="37" t="str">
        <f t="shared" si="456"/>
        <v/>
      </c>
    </row>
    <row r="4208" spans="2:21" ht="17.25">
      <c r="B4208" s="156"/>
      <c r="C4208" s="156"/>
      <c r="D4208" s="157"/>
      <c r="E4208" s="155"/>
      <c r="F4208" s="151"/>
      <c r="G4208" s="152"/>
      <c r="H4208" s="153"/>
      <c r="I4208" s="154"/>
      <c r="J4208" s="154"/>
      <c r="K4208" s="30" t="str">
        <f>IF(H4208="","",IF($C$30="간이법","",FPR(H4208,I4208,J4208)))</f>
        <v/>
      </c>
      <c r="L4208" s="30" t="str">
        <f>IF(H4208="","",IF($C$30="상세법",FPV(H4208,K4208),IF(H4208="EI",4,IF(H4208="EO",5.2,IF(H4208="EQ",3.9,IF(H4208="ILF",7.5,IF(H4208="EIF",5.4)))))))</f>
        <v/>
      </c>
      <c r="M4208" s="30" t="str">
        <f t="shared" si="450"/>
        <v/>
      </c>
      <c r="N4208" s="134"/>
      <c r="O4208" s="29"/>
      <c r="P4208" s="37" t="str">
        <f t="shared" si="451"/>
        <v/>
      </c>
      <c r="Q4208" s="38" t="str">
        <f t="shared" si="452"/>
        <v/>
      </c>
      <c r="R4208" s="37" t="str">
        <f t="shared" si="453"/>
        <v/>
      </c>
      <c r="S4208" s="37" t="str">
        <f t="shared" si="454"/>
        <v/>
      </c>
      <c r="T4208" s="38" t="str">
        <f t="shared" si="455"/>
        <v/>
      </c>
      <c r="U4208" s="37" t="str">
        <f t="shared" si="456"/>
        <v/>
      </c>
    </row>
    <row r="4209" spans="2:21" ht="17.25">
      <c r="B4209" s="156"/>
      <c r="C4209" s="156"/>
      <c r="D4209" s="157"/>
      <c r="E4209" s="155"/>
      <c r="F4209" s="151"/>
      <c r="G4209" s="152"/>
      <c r="H4209" s="153"/>
      <c r="I4209" s="154"/>
      <c r="J4209" s="154"/>
      <c r="K4209" s="30" t="str">
        <f>IF(H4209="","",IF($C$30="간이법","",FPR(H4209,I4209,J4209)))</f>
        <v/>
      </c>
      <c r="L4209" s="30" t="str">
        <f>IF(H4209="","",IF($C$30="상세법",FPV(H4209,K4209),IF(H4209="EI",4,IF(H4209="EO",5.2,IF(H4209="EQ",3.9,IF(H4209="ILF",7.5,IF(H4209="EIF",5.4)))))))</f>
        <v/>
      </c>
      <c r="M4209" s="30" t="str">
        <f t="shared" si="450"/>
        <v/>
      </c>
      <c r="N4209" s="134"/>
      <c r="O4209" s="29"/>
      <c r="P4209" s="37" t="str">
        <f t="shared" si="451"/>
        <v/>
      </c>
      <c r="Q4209" s="38" t="str">
        <f t="shared" si="452"/>
        <v/>
      </c>
      <c r="R4209" s="37" t="str">
        <f t="shared" si="453"/>
        <v/>
      </c>
      <c r="S4209" s="37" t="str">
        <f t="shared" si="454"/>
        <v/>
      </c>
      <c r="T4209" s="38" t="str">
        <f t="shared" si="455"/>
        <v/>
      </c>
      <c r="U4209" s="37" t="str">
        <f t="shared" si="456"/>
        <v/>
      </c>
    </row>
    <row r="4210" spans="2:21" ht="17.25">
      <c r="B4210" s="156"/>
      <c r="C4210" s="156"/>
      <c r="D4210" s="157"/>
      <c r="E4210" s="155"/>
      <c r="F4210" s="151"/>
      <c r="G4210" s="152"/>
      <c r="H4210" s="153"/>
      <c r="I4210" s="154"/>
      <c r="J4210" s="154"/>
      <c r="K4210" s="30" t="str">
        <f>IF(H4210="","",IF($C$30="간이법","",FPR(H4210,I4210,J4210)))</f>
        <v/>
      </c>
      <c r="L4210" s="30" t="str">
        <f>IF(H4210="","",IF($C$30="상세법",FPV(H4210,K4210),IF(H4210="EI",4,IF(H4210="EO",5.2,IF(H4210="EQ",3.9,IF(H4210="ILF",7.5,IF(H4210="EIF",5.4)))))))</f>
        <v/>
      </c>
      <c r="M4210" s="30" t="str">
        <f t="shared" si="450"/>
        <v/>
      </c>
      <c r="N4210" s="134"/>
      <c r="O4210" s="29"/>
      <c r="P4210" s="37" t="str">
        <f t="shared" si="451"/>
        <v/>
      </c>
      <c r="Q4210" s="38" t="str">
        <f t="shared" si="452"/>
        <v/>
      </c>
      <c r="R4210" s="37" t="str">
        <f t="shared" si="453"/>
        <v/>
      </c>
      <c r="S4210" s="37" t="str">
        <f t="shared" si="454"/>
        <v/>
      </c>
      <c r="T4210" s="38" t="str">
        <f t="shared" si="455"/>
        <v/>
      </c>
      <c r="U4210" s="37" t="str">
        <f t="shared" si="456"/>
        <v/>
      </c>
    </row>
    <row r="4211" spans="2:21" ht="17.25">
      <c r="B4211" s="156"/>
      <c r="C4211" s="156"/>
      <c r="D4211" s="157"/>
      <c r="E4211" s="155"/>
      <c r="F4211" s="151"/>
      <c r="G4211" s="152"/>
      <c r="H4211" s="153"/>
      <c r="I4211" s="154"/>
      <c r="J4211" s="154"/>
      <c r="K4211" s="30" t="str">
        <f>IF(H4211="","",IF($C$30="간이법","",FPR(H4211,I4211,J4211)))</f>
        <v/>
      </c>
      <c r="L4211" s="30" t="str">
        <f>IF(H4211="","",IF($C$30="상세법",FPV(H4211,K4211),IF(H4211="EI",4,IF(H4211="EO",5.2,IF(H4211="EQ",3.9,IF(H4211="ILF",7.5,IF(H4211="EIF",5.4)))))))</f>
        <v/>
      </c>
      <c r="M4211" s="30" t="str">
        <f t="shared" si="450"/>
        <v/>
      </c>
      <c r="N4211" s="134"/>
      <c r="O4211" s="29"/>
      <c r="P4211" s="37" t="str">
        <f t="shared" si="451"/>
        <v/>
      </c>
      <c r="Q4211" s="38" t="str">
        <f t="shared" si="452"/>
        <v/>
      </c>
      <c r="R4211" s="37" t="str">
        <f t="shared" si="453"/>
        <v/>
      </c>
      <c r="S4211" s="37" t="str">
        <f t="shared" si="454"/>
        <v/>
      </c>
      <c r="T4211" s="38" t="str">
        <f t="shared" si="455"/>
        <v/>
      </c>
      <c r="U4211" s="37" t="str">
        <f t="shared" si="456"/>
        <v/>
      </c>
    </row>
    <row r="4212" spans="2:21" ht="17.25">
      <c r="B4212" s="156"/>
      <c r="C4212" s="156"/>
      <c r="D4212" s="157"/>
      <c r="E4212" s="155"/>
      <c r="F4212" s="151"/>
      <c r="G4212" s="152"/>
      <c r="H4212" s="153"/>
      <c r="I4212" s="154"/>
      <c r="J4212" s="154"/>
      <c r="K4212" s="30" t="str">
        <f>IF(H4212="","",IF($C$30="간이법","",FPR(H4212,I4212,J4212)))</f>
        <v/>
      </c>
      <c r="L4212" s="30" t="str">
        <f>IF(H4212="","",IF($C$30="상세법",FPV(H4212,K4212),IF(H4212="EI",4,IF(H4212="EO",5.2,IF(H4212="EQ",3.9,IF(H4212="ILF",7.5,IF(H4212="EIF",5.4)))))))</f>
        <v/>
      </c>
      <c r="M4212" s="30" t="str">
        <f t="shared" si="450"/>
        <v/>
      </c>
      <c r="N4212" s="134"/>
      <c r="O4212" s="29"/>
      <c r="P4212" s="37" t="str">
        <f t="shared" si="451"/>
        <v/>
      </c>
      <c r="Q4212" s="38" t="str">
        <f t="shared" si="452"/>
        <v/>
      </c>
      <c r="R4212" s="37" t="str">
        <f t="shared" si="453"/>
        <v/>
      </c>
      <c r="S4212" s="37" t="str">
        <f t="shared" si="454"/>
        <v/>
      </c>
      <c r="T4212" s="38" t="str">
        <f t="shared" si="455"/>
        <v/>
      </c>
      <c r="U4212" s="37" t="str">
        <f t="shared" si="456"/>
        <v/>
      </c>
    </row>
    <row r="4213" spans="2:21" ht="17.25">
      <c r="B4213" s="156"/>
      <c r="C4213" s="156"/>
      <c r="D4213" s="157"/>
      <c r="E4213" s="155"/>
      <c r="F4213" s="151"/>
      <c r="G4213" s="152"/>
      <c r="H4213" s="153"/>
      <c r="I4213" s="154"/>
      <c r="J4213" s="154"/>
      <c r="K4213" s="30" t="str">
        <f>IF(H4213="","",IF($C$30="간이법","",FPR(H4213,I4213,J4213)))</f>
        <v/>
      </c>
      <c r="L4213" s="30" t="str">
        <f>IF(H4213="","",IF($C$30="상세법",FPV(H4213,K4213),IF(H4213="EI",4,IF(H4213="EO",5.2,IF(H4213="EQ",3.9,IF(H4213="ILF",7.5,IF(H4213="EIF",5.4)))))))</f>
        <v/>
      </c>
      <c r="M4213" s="30" t="str">
        <f t="shared" si="450"/>
        <v/>
      </c>
      <c r="N4213" s="134"/>
      <c r="O4213" s="29"/>
      <c r="P4213" s="37" t="str">
        <f t="shared" si="451"/>
        <v/>
      </c>
      <c r="Q4213" s="38" t="str">
        <f t="shared" si="452"/>
        <v/>
      </c>
      <c r="R4213" s="37" t="str">
        <f t="shared" si="453"/>
        <v/>
      </c>
      <c r="S4213" s="37" t="str">
        <f t="shared" si="454"/>
        <v/>
      </c>
      <c r="T4213" s="38" t="str">
        <f t="shared" si="455"/>
        <v/>
      </c>
      <c r="U4213" s="37" t="str">
        <f t="shared" si="456"/>
        <v/>
      </c>
    </row>
    <row r="4214" spans="2:21" ht="17.25">
      <c r="B4214" s="156"/>
      <c r="C4214" s="156"/>
      <c r="D4214" s="157"/>
      <c r="E4214" s="155"/>
      <c r="F4214" s="151"/>
      <c r="G4214" s="152"/>
      <c r="H4214" s="153"/>
      <c r="I4214" s="154"/>
      <c r="J4214" s="154"/>
      <c r="K4214" s="30" t="str">
        <f>IF(H4214="","",IF($C$30="간이법","",FPR(H4214,I4214,J4214)))</f>
        <v/>
      </c>
      <c r="L4214" s="30" t="str">
        <f>IF(H4214="","",IF($C$30="상세법",FPV(H4214,K4214),IF(H4214="EI",4,IF(H4214="EO",5.2,IF(H4214="EQ",3.9,IF(H4214="ILF",7.5,IF(H4214="EIF",5.4)))))))</f>
        <v/>
      </c>
      <c r="M4214" s="30" t="str">
        <f t="shared" si="450"/>
        <v/>
      </c>
      <c r="N4214" s="134"/>
      <c r="O4214" s="29"/>
      <c r="P4214" s="37" t="str">
        <f t="shared" si="451"/>
        <v/>
      </c>
      <c r="Q4214" s="38" t="str">
        <f t="shared" si="452"/>
        <v/>
      </c>
      <c r="R4214" s="37" t="str">
        <f t="shared" si="453"/>
        <v/>
      </c>
      <c r="S4214" s="37" t="str">
        <f t="shared" si="454"/>
        <v/>
      </c>
      <c r="T4214" s="38" t="str">
        <f t="shared" si="455"/>
        <v/>
      </c>
      <c r="U4214" s="37" t="str">
        <f t="shared" si="456"/>
        <v/>
      </c>
    </row>
    <row r="4215" spans="2:21" ht="17.25">
      <c r="B4215" s="156"/>
      <c r="C4215" s="156"/>
      <c r="D4215" s="157"/>
      <c r="E4215" s="155"/>
      <c r="F4215" s="151"/>
      <c r="G4215" s="152"/>
      <c r="H4215" s="153"/>
      <c r="I4215" s="154"/>
      <c r="J4215" s="154"/>
      <c r="K4215" s="30" t="str">
        <f>IF(H4215="","",IF($C$30="간이법","",FPR(H4215,I4215,J4215)))</f>
        <v/>
      </c>
      <c r="L4215" s="30" t="str">
        <f>IF(H4215="","",IF($C$30="상세법",FPV(H4215,K4215),IF(H4215="EI",4,IF(H4215="EO",5.2,IF(H4215="EQ",3.9,IF(H4215="ILF",7.5,IF(H4215="EIF",5.4)))))))</f>
        <v/>
      </c>
      <c r="M4215" s="30" t="str">
        <f t="shared" si="450"/>
        <v/>
      </c>
      <c r="N4215" s="134"/>
      <c r="O4215" s="29"/>
      <c r="P4215" s="37" t="str">
        <f t="shared" si="451"/>
        <v/>
      </c>
      <c r="Q4215" s="38" t="str">
        <f t="shared" si="452"/>
        <v/>
      </c>
      <c r="R4215" s="37" t="str">
        <f t="shared" si="453"/>
        <v/>
      </c>
      <c r="S4215" s="37" t="str">
        <f t="shared" si="454"/>
        <v/>
      </c>
      <c r="T4215" s="38" t="str">
        <f t="shared" si="455"/>
        <v/>
      </c>
      <c r="U4215" s="37" t="str">
        <f t="shared" si="456"/>
        <v/>
      </c>
    </row>
    <row r="4216" spans="2:21" ht="17.25">
      <c r="B4216" s="156"/>
      <c r="C4216" s="156"/>
      <c r="D4216" s="157"/>
      <c r="E4216" s="155"/>
      <c r="F4216" s="151"/>
      <c r="G4216" s="152"/>
      <c r="H4216" s="153"/>
      <c r="I4216" s="154"/>
      <c r="J4216" s="154"/>
      <c r="K4216" s="30" t="str">
        <f>IF(H4216="","",IF($C$30="간이법","",FPR(H4216,I4216,J4216)))</f>
        <v/>
      </c>
      <c r="L4216" s="30" t="str">
        <f>IF(H4216="","",IF($C$30="상세법",FPV(H4216,K4216),IF(H4216="EI",4,IF(H4216="EO",5.2,IF(H4216="EQ",3.9,IF(H4216="ILF",7.5,IF(H4216="EIF",5.4)))))))</f>
        <v/>
      </c>
      <c r="M4216" s="30" t="str">
        <f t="shared" si="450"/>
        <v/>
      </c>
      <c r="N4216" s="134"/>
      <c r="O4216" s="29"/>
      <c r="P4216" s="37" t="str">
        <f t="shared" si="451"/>
        <v/>
      </c>
      <c r="Q4216" s="38" t="str">
        <f t="shared" si="452"/>
        <v/>
      </c>
      <c r="R4216" s="37" t="str">
        <f t="shared" si="453"/>
        <v/>
      </c>
      <c r="S4216" s="37" t="str">
        <f t="shared" si="454"/>
        <v/>
      </c>
      <c r="T4216" s="38" t="str">
        <f t="shared" si="455"/>
        <v/>
      </c>
      <c r="U4216" s="37" t="str">
        <f t="shared" si="456"/>
        <v/>
      </c>
    </row>
    <row r="4217" spans="2:21" ht="17.25">
      <c r="B4217" s="156"/>
      <c r="C4217" s="156"/>
      <c r="D4217" s="157"/>
      <c r="E4217" s="155"/>
      <c r="F4217" s="151"/>
      <c r="G4217" s="152"/>
      <c r="H4217" s="153"/>
      <c r="I4217" s="154"/>
      <c r="J4217" s="154"/>
      <c r="K4217" s="30" t="str">
        <f>IF(H4217="","",IF($C$30="간이법","",FPR(H4217,I4217,J4217)))</f>
        <v/>
      </c>
      <c r="L4217" s="30" t="str">
        <f>IF(H4217="","",IF($C$30="상세법",FPV(H4217,K4217),IF(H4217="EI",4,IF(H4217="EO",5.2,IF(H4217="EQ",3.9,IF(H4217="ILF",7.5,IF(H4217="EIF",5.4)))))))</f>
        <v/>
      </c>
      <c r="M4217" s="30" t="str">
        <f t="shared" si="450"/>
        <v/>
      </c>
      <c r="N4217" s="134"/>
      <c r="O4217" s="29"/>
      <c r="P4217" s="37" t="str">
        <f t="shared" si="451"/>
        <v/>
      </c>
      <c r="Q4217" s="38" t="str">
        <f t="shared" si="452"/>
        <v/>
      </c>
      <c r="R4217" s="37" t="str">
        <f t="shared" si="453"/>
        <v/>
      </c>
      <c r="S4217" s="37" t="str">
        <f t="shared" si="454"/>
        <v/>
      </c>
      <c r="T4217" s="38" t="str">
        <f t="shared" si="455"/>
        <v/>
      </c>
      <c r="U4217" s="37" t="str">
        <f t="shared" si="456"/>
        <v/>
      </c>
    </row>
    <row r="4218" spans="2:21" ht="17.25">
      <c r="B4218" s="156"/>
      <c r="C4218" s="156"/>
      <c r="D4218" s="157"/>
      <c r="E4218" s="155"/>
      <c r="F4218" s="151"/>
      <c r="G4218" s="152"/>
      <c r="H4218" s="153"/>
      <c r="I4218" s="154"/>
      <c r="J4218" s="154"/>
      <c r="K4218" s="30" t="str">
        <f>IF(H4218="","",IF($C$30="간이법","",FPR(H4218,I4218,J4218)))</f>
        <v/>
      </c>
      <c r="L4218" s="30" t="str">
        <f>IF(H4218="","",IF($C$30="상세법",FPV(H4218,K4218),IF(H4218="EI",4,IF(H4218="EO",5.2,IF(H4218="EQ",3.9,IF(H4218="ILF",7.5,IF(H4218="EIF",5.4)))))))</f>
        <v/>
      </c>
      <c r="M4218" s="30" t="str">
        <f t="shared" si="450"/>
        <v/>
      </c>
      <c r="N4218" s="134"/>
      <c r="O4218" s="29"/>
      <c r="P4218" s="37" t="str">
        <f t="shared" si="451"/>
        <v/>
      </c>
      <c r="Q4218" s="38" t="str">
        <f t="shared" si="452"/>
        <v/>
      </c>
      <c r="R4218" s="37" t="str">
        <f t="shared" si="453"/>
        <v/>
      </c>
      <c r="S4218" s="37" t="str">
        <f t="shared" si="454"/>
        <v/>
      </c>
      <c r="T4218" s="38" t="str">
        <f t="shared" si="455"/>
        <v/>
      </c>
      <c r="U4218" s="37" t="str">
        <f t="shared" si="456"/>
        <v/>
      </c>
    </row>
    <row r="4219" spans="2:21" ht="17.25">
      <c r="B4219" s="156"/>
      <c r="C4219" s="156"/>
      <c r="D4219" s="157"/>
      <c r="E4219" s="155"/>
      <c r="F4219" s="151"/>
      <c r="G4219" s="152"/>
      <c r="H4219" s="153"/>
      <c r="I4219" s="154"/>
      <c r="J4219" s="154"/>
      <c r="K4219" s="30" t="str">
        <f>IF(H4219="","",IF($C$30="간이법","",FPR(H4219,I4219,J4219)))</f>
        <v/>
      </c>
      <c r="L4219" s="30" t="str">
        <f>IF(H4219="","",IF($C$30="상세법",FPV(H4219,K4219),IF(H4219="EI",4,IF(H4219="EO",5.2,IF(H4219="EQ",3.9,IF(H4219="ILF",7.5,IF(H4219="EIF",5.4)))))))</f>
        <v/>
      </c>
      <c r="M4219" s="30" t="str">
        <f t="shared" si="450"/>
        <v/>
      </c>
      <c r="N4219" s="134"/>
      <c r="O4219" s="29"/>
      <c r="P4219" s="37" t="str">
        <f t="shared" si="451"/>
        <v/>
      </c>
      <c r="Q4219" s="38" t="str">
        <f t="shared" si="452"/>
        <v/>
      </c>
      <c r="R4219" s="37" t="str">
        <f t="shared" si="453"/>
        <v/>
      </c>
      <c r="S4219" s="37" t="str">
        <f t="shared" si="454"/>
        <v/>
      </c>
      <c r="T4219" s="38" t="str">
        <f t="shared" si="455"/>
        <v/>
      </c>
      <c r="U4219" s="37" t="str">
        <f t="shared" si="456"/>
        <v/>
      </c>
    </row>
    <row r="4220" spans="2:21" ht="17.25">
      <c r="B4220" s="156"/>
      <c r="C4220" s="156"/>
      <c r="D4220" s="157"/>
      <c r="E4220" s="155"/>
      <c r="F4220" s="151"/>
      <c r="G4220" s="152"/>
      <c r="H4220" s="153"/>
      <c r="I4220" s="154"/>
      <c r="J4220" s="154"/>
      <c r="K4220" s="30" t="str">
        <f>IF(H4220="","",IF($C$30="간이법","",FPR(H4220,I4220,J4220)))</f>
        <v/>
      </c>
      <c r="L4220" s="30" t="str">
        <f>IF(H4220="","",IF($C$30="상세법",FPV(H4220,K4220),IF(H4220="EI",4,IF(H4220="EO",5.2,IF(H4220="EQ",3.9,IF(H4220="ILF",7.5,IF(H4220="EIF",5.4)))))))</f>
        <v/>
      </c>
      <c r="M4220" s="30" t="str">
        <f t="shared" ref="M4220:M4283" si="457">IF(OR(G4220="",$E$36="(선택)",$E$40="(선택)",$E$41="(선택)",F4220="신규 개발",F4220="수정 없이 재사용"),"",(IF(F4220="수정 후 재사용",IF($E$50&lt;=0.5,L4220*($E$36+$E$50*100*(1+0.02*($E$40*$E$41)))/100,L4220*($E$36+$E$50*100+($E$40*$E$41))/100))))</f>
        <v/>
      </c>
      <c r="N4220" s="134"/>
      <c r="O4220" s="29"/>
      <c r="P4220" s="37" t="str">
        <f t="shared" ref="P4220:P4283" si="458">IF(F4220="수정 후 재사용",IF(H4220="ILF",G4220,IF(H4220="EIF",G4220,"")),"")</f>
        <v/>
      </c>
      <c r="Q4220" s="38" t="str">
        <f t="shared" ref="Q4220:Q4283" si="459">IF(P4220&lt;&gt;"",IF(H4220="ILF", L4220/$E$46,IF(H4220="EIF", L4220/$E$46,"")),"")</f>
        <v/>
      </c>
      <c r="R4220" s="37" t="str">
        <f t="shared" ref="R4220:R4283" si="460">IF(P4220&lt;&gt;"",P4220*Q4220,"")</f>
        <v/>
      </c>
      <c r="S4220" s="37" t="str">
        <f t="shared" ref="S4220:S4283" si="461">IF(F4220="수정 후 재사용",IF(H4220="EI",G4220,IF(H4220="EO",G4220,IF(H4220="EQ",G4220,""))),"")</f>
        <v/>
      </c>
      <c r="T4220" s="38" t="str">
        <f t="shared" ref="T4220:T4283" si="462">IF(S4220&lt;&gt;"",IF(H4220="EI",L4220/$E$47,IF(H4220="EO",L4220/$E$47,IF(H4220="EQ",L4220/$E$47,""))),"")</f>
        <v/>
      </c>
      <c r="U4220" s="37" t="str">
        <f t="shared" ref="U4220:U4283" si="463">IF(S4220&lt;&gt;"",S4220*T4220,"")</f>
        <v/>
      </c>
    </row>
    <row r="4221" spans="2:21" ht="17.25">
      <c r="B4221" s="156"/>
      <c r="C4221" s="156"/>
      <c r="D4221" s="157"/>
      <c r="E4221" s="155"/>
      <c r="F4221" s="151"/>
      <c r="G4221" s="152"/>
      <c r="H4221" s="153"/>
      <c r="I4221" s="154"/>
      <c r="J4221" s="154"/>
      <c r="K4221" s="30" t="str">
        <f>IF(H4221="","",IF($C$30="간이법","",FPR(H4221,I4221,J4221)))</f>
        <v/>
      </c>
      <c r="L4221" s="30" t="str">
        <f>IF(H4221="","",IF($C$30="상세법",FPV(H4221,K4221),IF(H4221="EI",4,IF(H4221="EO",5.2,IF(H4221="EQ",3.9,IF(H4221="ILF",7.5,IF(H4221="EIF",5.4)))))))</f>
        <v/>
      </c>
      <c r="M4221" s="30" t="str">
        <f t="shared" si="457"/>
        <v/>
      </c>
      <c r="N4221" s="134"/>
      <c r="O4221" s="29"/>
      <c r="P4221" s="37" t="str">
        <f t="shared" si="458"/>
        <v/>
      </c>
      <c r="Q4221" s="38" t="str">
        <f t="shared" si="459"/>
        <v/>
      </c>
      <c r="R4221" s="37" t="str">
        <f t="shared" si="460"/>
        <v/>
      </c>
      <c r="S4221" s="37" t="str">
        <f t="shared" si="461"/>
        <v/>
      </c>
      <c r="T4221" s="38" t="str">
        <f t="shared" si="462"/>
        <v/>
      </c>
      <c r="U4221" s="37" t="str">
        <f t="shared" si="463"/>
        <v/>
      </c>
    </row>
    <row r="4222" spans="2:21" ht="17.25">
      <c r="B4222" s="156"/>
      <c r="C4222" s="156"/>
      <c r="D4222" s="157"/>
      <c r="E4222" s="155"/>
      <c r="F4222" s="151"/>
      <c r="G4222" s="152"/>
      <c r="H4222" s="153"/>
      <c r="I4222" s="154"/>
      <c r="J4222" s="154"/>
      <c r="K4222" s="30" t="str">
        <f>IF(H4222="","",IF($C$30="간이법","",FPR(H4222,I4222,J4222)))</f>
        <v/>
      </c>
      <c r="L4222" s="30" t="str">
        <f>IF(H4222="","",IF($C$30="상세법",FPV(H4222,K4222),IF(H4222="EI",4,IF(H4222="EO",5.2,IF(H4222="EQ",3.9,IF(H4222="ILF",7.5,IF(H4222="EIF",5.4)))))))</f>
        <v/>
      </c>
      <c r="M4222" s="30" t="str">
        <f t="shared" si="457"/>
        <v/>
      </c>
      <c r="N4222" s="134"/>
      <c r="O4222" s="29"/>
      <c r="P4222" s="37" t="str">
        <f t="shared" si="458"/>
        <v/>
      </c>
      <c r="Q4222" s="38" t="str">
        <f t="shared" si="459"/>
        <v/>
      </c>
      <c r="R4222" s="37" t="str">
        <f t="shared" si="460"/>
        <v/>
      </c>
      <c r="S4222" s="37" t="str">
        <f t="shared" si="461"/>
        <v/>
      </c>
      <c r="T4222" s="38" t="str">
        <f t="shared" si="462"/>
        <v/>
      </c>
      <c r="U4222" s="37" t="str">
        <f t="shared" si="463"/>
        <v/>
      </c>
    </row>
    <row r="4223" spans="2:21" ht="17.25">
      <c r="B4223" s="156"/>
      <c r="C4223" s="156"/>
      <c r="D4223" s="157"/>
      <c r="E4223" s="155"/>
      <c r="F4223" s="151"/>
      <c r="G4223" s="152"/>
      <c r="H4223" s="153"/>
      <c r="I4223" s="154"/>
      <c r="J4223" s="154"/>
      <c r="K4223" s="30" t="str">
        <f>IF(H4223="","",IF($C$30="간이법","",FPR(H4223,I4223,J4223)))</f>
        <v/>
      </c>
      <c r="L4223" s="30" t="str">
        <f>IF(H4223="","",IF($C$30="상세법",FPV(H4223,K4223),IF(H4223="EI",4,IF(H4223="EO",5.2,IF(H4223="EQ",3.9,IF(H4223="ILF",7.5,IF(H4223="EIF",5.4)))))))</f>
        <v/>
      </c>
      <c r="M4223" s="30" t="str">
        <f t="shared" si="457"/>
        <v/>
      </c>
      <c r="N4223" s="134"/>
      <c r="O4223" s="29"/>
      <c r="P4223" s="37" t="str">
        <f t="shared" si="458"/>
        <v/>
      </c>
      <c r="Q4223" s="38" t="str">
        <f t="shared" si="459"/>
        <v/>
      </c>
      <c r="R4223" s="37" t="str">
        <f t="shared" si="460"/>
        <v/>
      </c>
      <c r="S4223" s="37" t="str">
        <f t="shared" si="461"/>
        <v/>
      </c>
      <c r="T4223" s="38" t="str">
        <f t="shared" si="462"/>
        <v/>
      </c>
      <c r="U4223" s="37" t="str">
        <f t="shared" si="463"/>
        <v/>
      </c>
    </row>
    <row r="4224" spans="2:21" ht="17.25">
      <c r="B4224" s="156"/>
      <c r="C4224" s="156"/>
      <c r="D4224" s="157"/>
      <c r="E4224" s="155"/>
      <c r="F4224" s="151"/>
      <c r="G4224" s="152"/>
      <c r="H4224" s="153"/>
      <c r="I4224" s="154"/>
      <c r="J4224" s="154"/>
      <c r="K4224" s="30" t="str">
        <f>IF(H4224="","",IF($C$30="간이법","",FPR(H4224,I4224,J4224)))</f>
        <v/>
      </c>
      <c r="L4224" s="30" t="str">
        <f>IF(H4224="","",IF($C$30="상세법",FPV(H4224,K4224),IF(H4224="EI",4,IF(H4224="EO",5.2,IF(H4224="EQ",3.9,IF(H4224="ILF",7.5,IF(H4224="EIF",5.4)))))))</f>
        <v/>
      </c>
      <c r="M4224" s="30" t="str">
        <f t="shared" si="457"/>
        <v/>
      </c>
      <c r="N4224" s="134"/>
      <c r="O4224" s="29"/>
      <c r="P4224" s="37" t="str">
        <f t="shared" si="458"/>
        <v/>
      </c>
      <c r="Q4224" s="38" t="str">
        <f t="shared" si="459"/>
        <v/>
      </c>
      <c r="R4224" s="37" t="str">
        <f t="shared" si="460"/>
        <v/>
      </c>
      <c r="S4224" s="37" t="str">
        <f t="shared" si="461"/>
        <v/>
      </c>
      <c r="T4224" s="38" t="str">
        <f t="shared" si="462"/>
        <v/>
      </c>
      <c r="U4224" s="37" t="str">
        <f t="shared" si="463"/>
        <v/>
      </c>
    </row>
    <row r="4225" spans="2:21" ht="17.25">
      <c r="B4225" s="156"/>
      <c r="C4225" s="156"/>
      <c r="D4225" s="157"/>
      <c r="E4225" s="155"/>
      <c r="F4225" s="151"/>
      <c r="G4225" s="152"/>
      <c r="H4225" s="153"/>
      <c r="I4225" s="154"/>
      <c r="J4225" s="154"/>
      <c r="K4225" s="30" t="str">
        <f>IF(H4225="","",IF($C$30="간이법","",FPR(H4225,I4225,J4225)))</f>
        <v/>
      </c>
      <c r="L4225" s="30" t="str">
        <f>IF(H4225="","",IF($C$30="상세법",FPV(H4225,K4225),IF(H4225="EI",4,IF(H4225="EO",5.2,IF(H4225="EQ",3.9,IF(H4225="ILF",7.5,IF(H4225="EIF",5.4)))))))</f>
        <v/>
      </c>
      <c r="M4225" s="30" t="str">
        <f t="shared" si="457"/>
        <v/>
      </c>
      <c r="N4225" s="134"/>
      <c r="O4225" s="29"/>
      <c r="P4225" s="37" t="str">
        <f t="shared" si="458"/>
        <v/>
      </c>
      <c r="Q4225" s="38" t="str">
        <f t="shared" si="459"/>
        <v/>
      </c>
      <c r="R4225" s="37" t="str">
        <f t="shared" si="460"/>
        <v/>
      </c>
      <c r="S4225" s="37" t="str">
        <f t="shared" si="461"/>
        <v/>
      </c>
      <c r="T4225" s="38" t="str">
        <f t="shared" si="462"/>
        <v/>
      </c>
      <c r="U4225" s="37" t="str">
        <f t="shared" si="463"/>
        <v/>
      </c>
    </row>
    <row r="4226" spans="2:21" ht="17.25">
      <c r="B4226" s="156"/>
      <c r="C4226" s="156"/>
      <c r="D4226" s="157"/>
      <c r="E4226" s="155"/>
      <c r="F4226" s="151"/>
      <c r="G4226" s="152"/>
      <c r="H4226" s="153"/>
      <c r="I4226" s="154"/>
      <c r="J4226" s="154"/>
      <c r="K4226" s="30" t="str">
        <f>IF(H4226="","",IF($C$30="간이법","",FPR(H4226,I4226,J4226)))</f>
        <v/>
      </c>
      <c r="L4226" s="30" t="str">
        <f>IF(H4226="","",IF($C$30="상세법",FPV(H4226,K4226),IF(H4226="EI",4,IF(H4226="EO",5.2,IF(H4226="EQ",3.9,IF(H4226="ILF",7.5,IF(H4226="EIF",5.4)))))))</f>
        <v/>
      </c>
      <c r="M4226" s="30" t="str">
        <f t="shared" si="457"/>
        <v/>
      </c>
      <c r="N4226" s="134"/>
      <c r="O4226" s="29"/>
      <c r="P4226" s="37" t="str">
        <f t="shared" si="458"/>
        <v/>
      </c>
      <c r="Q4226" s="38" t="str">
        <f t="shared" si="459"/>
        <v/>
      </c>
      <c r="R4226" s="37" t="str">
        <f t="shared" si="460"/>
        <v/>
      </c>
      <c r="S4226" s="37" t="str">
        <f t="shared" si="461"/>
        <v/>
      </c>
      <c r="T4226" s="38" t="str">
        <f t="shared" si="462"/>
        <v/>
      </c>
      <c r="U4226" s="37" t="str">
        <f t="shared" si="463"/>
        <v/>
      </c>
    </row>
    <row r="4227" spans="2:21" ht="17.25">
      <c r="B4227" s="156"/>
      <c r="C4227" s="156"/>
      <c r="D4227" s="157"/>
      <c r="E4227" s="155"/>
      <c r="F4227" s="151"/>
      <c r="G4227" s="152"/>
      <c r="H4227" s="153"/>
      <c r="I4227" s="154"/>
      <c r="J4227" s="154"/>
      <c r="K4227" s="30" t="str">
        <f>IF(H4227="","",IF($C$30="간이법","",FPR(H4227,I4227,J4227)))</f>
        <v/>
      </c>
      <c r="L4227" s="30" t="str">
        <f>IF(H4227="","",IF($C$30="상세법",FPV(H4227,K4227),IF(H4227="EI",4,IF(H4227="EO",5.2,IF(H4227="EQ",3.9,IF(H4227="ILF",7.5,IF(H4227="EIF",5.4)))))))</f>
        <v/>
      </c>
      <c r="M4227" s="30" t="str">
        <f t="shared" si="457"/>
        <v/>
      </c>
      <c r="N4227" s="134"/>
      <c r="O4227" s="29"/>
      <c r="P4227" s="37" t="str">
        <f t="shared" si="458"/>
        <v/>
      </c>
      <c r="Q4227" s="38" t="str">
        <f t="shared" si="459"/>
        <v/>
      </c>
      <c r="R4227" s="37" t="str">
        <f t="shared" si="460"/>
        <v/>
      </c>
      <c r="S4227" s="37" t="str">
        <f t="shared" si="461"/>
        <v/>
      </c>
      <c r="T4227" s="38" t="str">
        <f t="shared" si="462"/>
        <v/>
      </c>
      <c r="U4227" s="37" t="str">
        <f t="shared" si="463"/>
        <v/>
      </c>
    </row>
    <row r="4228" spans="2:21" ht="17.25">
      <c r="B4228" s="156"/>
      <c r="C4228" s="156"/>
      <c r="D4228" s="157"/>
      <c r="E4228" s="155"/>
      <c r="F4228" s="151"/>
      <c r="G4228" s="152"/>
      <c r="H4228" s="153"/>
      <c r="I4228" s="154"/>
      <c r="J4228" s="154"/>
      <c r="K4228" s="30" t="str">
        <f>IF(H4228="","",IF($C$30="간이법","",FPR(H4228,I4228,J4228)))</f>
        <v/>
      </c>
      <c r="L4228" s="30" t="str">
        <f>IF(H4228="","",IF($C$30="상세법",FPV(H4228,K4228),IF(H4228="EI",4,IF(H4228="EO",5.2,IF(H4228="EQ",3.9,IF(H4228="ILF",7.5,IF(H4228="EIF",5.4)))))))</f>
        <v/>
      </c>
      <c r="M4228" s="30" t="str">
        <f t="shared" si="457"/>
        <v/>
      </c>
      <c r="N4228" s="134"/>
      <c r="O4228" s="29"/>
      <c r="P4228" s="37" t="str">
        <f t="shared" si="458"/>
        <v/>
      </c>
      <c r="Q4228" s="38" t="str">
        <f t="shared" si="459"/>
        <v/>
      </c>
      <c r="R4228" s="37" t="str">
        <f t="shared" si="460"/>
        <v/>
      </c>
      <c r="S4228" s="37" t="str">
        <f t="shared" si="461"/>
        <v/>
      </c>
      <c r="T4228" s="38" t="str">
        <f t="shared" si="462"/>
        <v/>
      </c>
      <c r="U4228" s="37" t="str">
        <f t="shared" si="463"/>
        <v/>
      </c>
    </row>
    <row r="4229" spans="2:21" ht="17.25">
      <c r="B4229" s="156"/>
      <c r="C4229" s="156"/>
      <c r="D4229" s="157"/>
      <c r="E4229" s="155"/>
      <c r="F4229" s="151"/>
      <c r="G4229" s="152"/>
      <c r="H4229" s="153"/>
      <c r="I4229" s="154"/>
      <c r="J4229" s="154"/>
      <c r="K4229" s="30" t="str">
        <f>IF(H4229="","",IF($C$30="간이법","",FPR(H4229,I4229,J4229)))</f>
        <v/>
      </c>
      <c r="L4229" s="30" t="str">
        <f>IF(H4229="","",IF($C$30="상세법",FPV(H4229,K4229),IF(H4229="EI",4,IF(H4229="EO",5.2,IF(H4229="EQ",3.9,IF(H4229="ILF",7.5,IF(H4229="EIF",5.4)))))))</f>
        <v/>
      </c>
      <c r="M4229" s="30" t="str">
        <f t="shared" si="457"/>
        <v/>
      </c>
      <c r="N4229" s="134"/>
      <c r="O4229" s="29"/>
      <c r="P4229" s="37" t="str">
        <f t="shared" si="458"/>
        <v/>
      </c>
      <c r="Q4229" s="38" t="str">
        <f t="shared" si="459"/>
        <v/>
      </c>
      <c r="R4229" s="37" t="str">
        <f t="shared" si="460"/>
        <v/>
      </c>
      <c r="S4229" s="37" t="str">
        <f t="shared" si="461"/>
        <v/>
      </c>
      <c r="T4229" s="38" t="str">
        <f t="shared" si="462"/>
        <v/>
      </c>
      <c r="U4229" s="37" t="str">
        <f t="shared" si="463"/>
        <v/>
      </c>
    </row>
    <row r="4230" spans="2:21" ht="17.25">
      <c r="B4230" s="156"/>
      <c r="C4230" s="156"/>
      <c r="D4230" s="157"/>
      <c r="E4230" s="155"/>
      <c r="F4230" s="151"/>
      <c r="G4230" s="152"/>
      <c r="H4230" s="153"/>
      <c r="I4230" s="154"/>
      <c r="J4230" s="154"/>
      <c r="K4230" s="30" t="str">
        <f>IF(H4230="","",IF($C$30="간이법","",FPR(H4230,I4230,J4230)))</f>
        <v/>
      </c>
      <c r="L4230" s="30" t="str">
        <f>IF(H4230="","",IF($C$30="상세법",FPV(H4230,K4230),IF(H4230="EI",4,IF(H4230="EO",5.2,IF(H4230="EQ",3.9,IF(H4230="ILF",7.5,IF(H4230="EIF",5.4)))))))</f>
        <v/>
      </c>
      <c r="M4230" s="30" t="str">
        <f t="shared" si="457"/>
        <v/>
      </c>
      <c r="N4230" s="134"/>
      <c r="O4230" s="29"/>
      <c r="P4230" s="37" t="str">
        <f t="shared" si="458"/>
        <v/>
      </c>
      <c r="Q4230" s="38" t="str">
        <f t="shared" si="459"/>
        <v/>
      </c>
      <c r="R4230" s="37" t="str">
        <f t="shared" si="460"/>
        <v/>
      </c>
      <c r="S4230" s="37" t="str">
        <f t="shared" si="461"/>
        <v/>
      </c>
      <c r="T4230" s="38" t="str">
        <f t="shared" si="462"/>
        <v/>
      </c>
      <c r="U4230" s="37" t="str">
        <f t="shared" si="463"/>
        <v/>
      </c>
    </row>
    <row r="4231" spans="2:21" ht="17.25">
      <c r="B4231" s="156"/>
      <c r="C4231" s="156"/>
      <c r="D4231" s="157"/>
      <c r="E4231" s="155"/>
      <c r="F4231" s="151"/>
      <c r="G4231" s="152"/>
      <c r="H4231" s="153"/>
      <c r="I4231" s="154"/>
      <c r="J4231" s="154"/>
      <c r="K4231" s="30" t="str">
        <f>IF(H4231="","",IF($C$30="간이법","",FPR(H4231,I4231,J4231)))</f>
        <v/>
      </c>
      <c r="L4231" s="30" t="str">
        <f>IF(H4231="","",IF($C$30="상세법",FPV(H4231,K4231),IF(H4231="EI",4,IF(H4231="EO",5.2,IF(H4231="EQ",3.9,IF(H4231="ILF",7.5,IF(H4231="EIF",5.4)))))))</f>
        <v/>
      </c>
      <c r="M4231" s="30" t="str">
        <f t="shared" si="457"/>
        <v/>
      </c>
      <c r="N4231" s="134"/>
      <c r="O4231" s="29"/>
      <c r="P4231" s="37" t="str">
        <f t="shared" si="458"/>
        <v/>
      </c>
      <c r="Q4231" s="38" t="str">
        <f t="shared" si="459"/>
        <v/>
      </c>
      <c r="R4231" s="37" t="str">
        <f t="shared" si="460"/>
        <v/>
      </c>
      <c r="S4231" s="37" t="str">
        <f t="shared" si="461"/>
        <v/>
      </c>
      <c r="T4231" s="38" t="str">
        <f t="shared" si="462"/>
        <v/>
      </c>
      <c r="U4231" s="37" t="str">
        <f t="shared" si="463"/>
        <v/>
      </c>
    </row>
    <row r="4232" spans="2:21" ht="17.25">
      <c r="B4232" s="156"/>
      <c r="C4232" s="156"/>
      <c r="D4232" s="157"/>
      <c r="E4232" s="155"/>
      <c r="F4232" s="151"/>
      <c r="G4232" s="152"/>
      <c r="H4232" s="153"/>
      <c r="I4232" s="154"/>
      <c r="J4232" s="154"/>
      <c r="K4232" s="30" t="str">
        <f>IF(H4232="","",IF($C$30="간이법","",FPR(H4232,I4232,J4232)))</f>
        <v/>
      </c>
      <c r="L4232" s="30" t="str">
        <f>IF(H4232="","",IF($C$30="상세법",FPV(H4232,K4232),IF(H4232="EI",4,IF(H4232="EO",5.2,IF(H4232="EQ",3.9,IF(H4232="ILF",7.5,IF(H4232="EIF",5.4)))))))</f>
        <v/>
      </c>
      <c r="M4232" s="30" t="str">
        <f t="shared" si="457"/>
        <v/>
      </c>
      <c r="N4232" s="134"/>
      <c r="O4232" s="29"/>
      <c r="P4232" s="37" t="str">
        <f t="shared" si="458"/>
        <v/>
      </c>
      <c r="Q4232" s="38" t="str">
        <f t="shared" si="459"/>
        <v/>
      </c>
      <c r="R4232" s="37" t="str">
        <f t="shared" si="460"/>
        <v/>
      </c>
      <c r="S4232" s="37" t="str">
        <f t="shared" si="461"/>
        <v/>
      </c>
      <c r="T4232" s="38" t="str">
        <f t="shared" si="462"/>
        <v/>
      </c>
      <c r="U4232" s="37" t="str">
        <f t="shared" si="463"/>
        <v/>
      </c>
    </row>
    <row r="4233" spans="2:21" ht="17.25">
      <c r="B4233" s="156"/>
      <c r="C4233" s="156"/>
      <c r="D4233" s="157"/>
      <c r="E4233" s="155"/>
      <c r="F4233" s="151"/>
      <c r="G4233" s="152"/>
      <c r="H4233" s="153"/>
      <c r="I4233" s="154"/>
      <c r="J4233" s="154"/>
      <c r="K4233" s="30" t="str">
        <f>IF(H4233="","",IF($C$30="간이법","",FPR(H4233,I4233,J4233)))</f>
        <v/>
      </c>
      <c r="L4233" s="30" t="str">
        <f>IF(H4233="","",IF($C$30="상세법",FPV(H4233,K4233),IF(H4233="EI",4,IF(H4233="EO",5.2,IF(H4233="EQ",3.9,IF(H4233="ILF",7.5,IF(H4233="EIF",5.4)))))))</f>
        <v/>
      </c>
      <c r="M4233" s="30" t="str">
        <f t="shared" si="457"/>
        <v/>
      </c>
      <c r="N4233" s="134"/>
      <c r="O4233" s="29"/>
      <c r="P4233" s="37" t="str">
        <f t="shared" si="458"/>
        <v/>
      </c>
      <c r="Q4233" s="38" t="str">
        <f t="shared" si="459"/>
        <v/>
      </c>
      <c r="R4233" s="37" t="str">
        <f t="shared" si="460"/>
        <v/>
      </c>
      <c r="S4233" s="37" t="str">
        <f t="shared" si="461"/>
        <v/>
      </c>
      <c r="T4233" s="38" t="str">
        <f t="shared" si="462"/>
        <v/>
      </c>
      <c r="U4233" s="37" t="str">
        <f t="shared" si="463"/>
        <v/>
      </c>
    </row>
    <row r="4234" spans="2:21" ht="17.25">
      <c r="B4234" s="156"/>
      <c r="C4234" s="156"/>
      <c r="D4234" s="157"/>
      <c r="E4234" s="155"/>
      <c r="F4234" s="151"/>
      <c r="G4234" s="152"/>
      <c r="H4234" s="153"/>
      <c r="I4234" s="154"/>
      <c r="J4234" s="154"/>
      <c r="K4234" s="30" t="str">
        <f>IF(H4234="","",IF($C$30="간이법","",FPR(H4234,I4234,J4234)))</f>
        <v/>
      </c>
      <c r="L4234" s="30" t="str">
        <f>IF(H4234="","",IF($C$30="상세법",FPV(H4234,K4234),IF(H4234="EI",4,IF(H4234="EO",5.2,IF(H4234="EQ",3.9,IF(H4234="ILF",7.5,IF(H4234="EIF",5.4)))))))</f>
        <v/>
      </c>
      <c r="M4234" s="30" t="str">
        <f t="shared" si="457"/>
        <v/>
      </c>
      <c r="N4234" s="134"/>
      <c r="O4234" s="29"/>
      <c r="P4234" s="37" t="str">
        <f t="shared" si="458"/>
        <v/>
      </c>
      <c r="Q4234" s="38" t="str">
        <f t="shared" si="459"/>
        <v/>
      </c>
      <c r="R4234" s="37" t="str">
        <f t="shared" si="460"/>
        <v/>
      </c>
      <c r="S4234" s="37" t="str">
        <f t="shared" si="461"/>
        <v/>
      </c>
      <c r="T4234" s="38" t="str">
        <f t="shared" si="462"/>
        <v/>
      </c>
      <c r="U4234" s="37" t="str">
        <f t="shared" si="463"/>
        <v/>
      </c>
    </row>
    <row r="4235" spans="2:21" ht="17.25">
      <c r="B4235" s="156"/>
      <c r="C4235" s="156"/>
      <c r="D4235" s="157"/>
      <c r="E4235" s="155"/>
      <c r="F4235" s="151"/>
      <c r="G4235" s="152"/>
      <c r="H4235" s="153"/>
      <c r="I4235" s="154"/>
      <c r="J4235" s="154"/>
      <c r="K4235" s="30" t="str">
        <f>IF(H4235="","",IF($C$30="간이법","",FPR(H4235,I4235,J4235)))</f>
        <v/>
      </c>
      <c r="L4235" s="30" t="str">
        <f>IF(H4235="","",IF($C$30="상세법",FPV(H4235,K4235),IF(H4235="EI",4,IF(H4235="EO",5.2,IF(H4235="EQ",3.9,IF(H4235="ILF",7.5,IF(H4235="EIF",5.4)))))))</f>
        <v/>
      </c>
      <c r="M4235" s="30" t="str">
        <f t="shared" si="457"/>
        <v/>
      </c>
      <c r="N4235" s="134"/>
      <c r="O4235" s="29"/>
      <c r="P4235" s="37" t="str">
        <f t="shared" si="458"/>
        <v/>
      </c>
      <c r="Q4235" s="38" t="str">
        <f t="shared" si="459"/>
        <v/>
      </c>
      <c r="R4235" s="37" t="str">
        <f t="shared" si="460"/>
        <v/>
      </c>
      <c r="S4235" s="37" t="str">
        <f t="shared" si="461"/>
        <v/>
      </c>
      <c r="T4235" s="38" t="str">
        <f t="shared" si="462"/>
        <v/>
      </c>
      <c r="U4235" s="37" t="str">
        <f t="shared" si="463"/>
        <v/>
      </c>
    </row>
    <row r="4236" spans="2:21" ht="17.25">
      <c r="B4236" s="156"/>
      <c r="C4236" s="156"/>
      <c r="D4236" s="157"/>
      <c r="E4236" s="155"/>
      <c r="F4236" s="151"/>
      <c r="G4236" s="152"/>
      <c r="H4236" s="153"/>
      <c r="I4236" s="154"/>
      <c r="J4236" s="154"/>
      <c r="K4236" s="30" t="str">
        <f>IF(H4236="","",IF($C$30="간이법","",FPR(H4236,I4236,J4236)))</f>
        <v/>
      </c>
      <c r="L4236" s="30" t="str">
        <f>IF(H4236="","",IF($C$30="상세법",FPV(H4236,K4236),IF(H4236="EI",4,IF(H4236="EO",5.2,IF(H4236="EQ",3.9,IF(H4236="ILF",7.5,IF(H4236="EIF",5.4)))))))</f>
        <v/>
      </c>
      <c r="M4236" s="30" t="str">
        <f t="shared" si="457"/>
        <v/>
      </c>
      <c r="N4236" s="134"/>
      <c r="O4236" s="29"/>
      <c r="P4236" s="37" t="str">
        <f t="shared" si="458"/>
        <v/>
      </c>
      <c r="Q4236" s="38" t="str">
        <f t="shared" si="459"/>
        <v/>
      </c>
      <c r="R4236" s="37" t="str">
        <f t="shared" si="460"/>
        <v/>
      </c>
      <c r="S4236" s="37" t="str">
        <f t="shared" si="461"/>
        <v/>
      </c>
      <c r="T4236" s="38" t="str">
        <f t="shared" si="462"/>
        <v/>
      </c>
      <c r="U4236" s="37" t="str">
        <f t="shared" si="463"/>
        <v/>
      </c>
    </row>
    <row r="4237" spans="2:21" ht="17.25">
      <c r="B4237" s="156"/>
      <c r="C4237" s="156"/>
      <c r="D4237" s="157"/>
      <c r="E4237" s="155"/>
      <c r="F4237" s="151"/>
      <c r="G4237" s="152"/>
      <c r="H4237" s="153"/>
      <c r="I4237" s="154"/>
      <c r="J4237" s="154"/>
      <c r="K4237" s="30" t="str">
        <f>IF(H4237="","",IF($C$30="간이법","",FPR(H4237,I4237,J4237)))</f>
        <v/>
      </c>
      <c r="L4237" s="30" t="str">
        <f>IF(H4237="","",IF($C$30="상세법",FPV(H4237,K4237),IF(H4237="EI",4,IF(H4237="EO",5.2,IF(H4237="EQ",3.9,IF(H4237="ILF",7.5,IF(H4237="EIF",5.4)))))))</f>
        <v/>
      </c>
      <c r="M4237" s="30" t="str">
        <f t="shared" si="457"/>
        <v/>
      </c>
      <c r="N4237" s="134"/>
      <c r="O4237" s="29"/>
      <c r="P4237" s="37" t="str">
        <f t="shared" si="458"/>
        <v/>
      </c>
      <c r="Q4237" s="38" t="str">
        <f t="shared" si="459"/>
        <v/>
      </c>
      <c r="R4237" s="37" t="str">
        <f t="shared" si="460"/>
        <v/>
      </c>
      <c r="S4237" s="37" t="str">
        <f t="shared" si="461"/>
        <v/>
      </c>
      <c r="T4237" s="38" t="str">
        <f t="shared" si="462"/>
        <v/>
      </c>
      <c r="U4237" s="37" t="str">
        <f t="shared" si="463"/>
        <v/>
      </c>
    </row>
    <row r="4238" spans="2:21" ht="17.25">
      <c r="B4238" s="156"/>
      <c r="C4238" s="156"/>
      <c r="D4238" s="157"/>
      <c r="E4238" s="155"/>
      <c r="F4238" s="151"/>
      <c r="G4238" s="152"/>
      <c r="H4238" s="153"/>
      <c r="I4238" s="154"/>
      <c r="J4238" s="154"/>
      <c r="K4238" s="30" t="str">
        <f>IF(H4238="","",IF($C$30="간이법","",FPR(H4238,I4238,J4238)))</f>
        <v/>
      </c>
      <c r="L4238" s="30" t="str">
        <f>IF(H4238="","",IF($C$30="상세법",FPV(H4238,K4238),IF(H4238="EI",4,IF(H4238="EO",5.2,IF(H4238="EQ",3.9,IF(H4238="ILF",7.5,IF(H4238="EIF",5.4)))))))</f>
        <v/>
      </c>
      <c r="M4238" s="30" t="str">
        <f t="shared" si="457"/>
        <v/>
      </c>
      <c r="N4238" s="134"/>
      <c r="O4238" s="29"/>
      <c r="P4238" s="37" t="str">
        <f t="shared" si="458"/>
        <v/>
      </c>
      <c r="Q4238" s="38" t="str">
        <f t="shared" si="459"/>
        <v/>
      </c>
      <c r="R4238" s="37" t="str">
        <f t="shared" si="460"/>
        <v/>
      </c>
      <c r="S4238" s="37" t="str">
        <f t="shared" si="461"/>
        <v/>
      </c>
      <c r="T4238" s="38" t="str">
        <f t="shared" si="462"/>
        <v/>
      </c>
      <c r="U4238" s="37" t="str">
        <f t="shared" si="463"/>
        <v/>
      </c>
    </row>
    <row r="4239" spans="2:21" ht="17.25">
      <c r="B4239" s="156"/>
      <c r="C4239" s="156"/>
      <c r="D4239" s="157"/>
      <c r="E4239" s="155"/>
      <c r="F4239" s="151"/>
      <c r="G4239" s="152"/>
      <c r="H4239" s="153"/>
      <c r="I4239" s="154"/>
      <c r="J4239" s="154"/>
      <c r="K4239" s="30" t="str">
        <f>IF(H4239="","",IF($C$30="간이법","",FPR(H4239,I4239,J4239)))</f>
        <v/>
      </c>
      <c r="L4239" s="30" t="str">
        <f>IF(H4239="","",IF($C$30="상세법",FPV(H4239,K4239),IF(H4239="EI",4,IF(H4239="EO",5.2,IF(H4239="EQ",3.9,IF(H4239="ILF",7.5,IF(H4239="EIF",5.4)))))))</f>
        <v/>
      </c>
      <c r="M4239" s="30" t="str">
        <f t="shared" si="457"/>
        <v/>
      </c>
      <c r="N4239" s="134"/>
      <c r="O4239" s="29"/>
      <c r="P4239" s="37" t="str">
        <f t="shared" si="458"/>
        <v/>
      </c>
      <c r="Q4239" s="38" t="str">
        <f t="shared" si="459"/>
        <v/>
      </c>
      <c r="R4239" s="37" t="str">
        <f t="shared" si="460"/>
        <v/>
      </c>
      <c r="S4239" s="37" t="str">
        <f t="shared" si="461"/>
        <v/>
      </c>
      <c r="T4239" s="38" t="str">
        <f t="shared" si="462"/>
        <v/>
      </c>
      <c r="U4239" s="37" t="str">
        <f t="shared" si="463"/>
        <v/>
      </c>
    </row>
    <row r="4240" spans="2:21" ht="17.25">
      <c r="B4240" s="156"/>
      <c r="C4240" s="156"/>
      <c r="D4240" s="157"/>
      <c r="E4240" s="155"/>
      <c r="F4240" s="151"/>
      <c r="G4240" s="152"/>
      <c r="H4240" s="153"/>
      <c r="I4240" s="154"/>
      <c r="J4240" s="154"/>
      <c r="K4240" s="30" t="str">
        <f>IF(H4240="","",IF($C$30="간이법","",FPR(H4240,I4240,J4240)))</f>
        <v/>
      </c>
      <c r="L4240" s="30" t="str">
        <f>IF(H4240="","",IF($C$30="상세법",FPV(H4240,K4240),IF(H4240="EI",4,IF(H4240="EO",5.2,IF(H4240="EQ",3.9,IF(H4240="ILF",7.5,IF(H4240="EIF",5.4)))))))</f>
        <v/>
      </c>
      <c r="M4240" s="30" t="str">
        <f t="shared" si="457"/>
        <v/>
      </c>
      <c r="N4240" s="134"/>
      <c r="O4240" s="29"/>
      <c r="P4240" s="37" t="str">
        <f t="shared" si="458"/>
        <v/>
      </c>
      <c r="Q4240" s="38" t="str">
        <f t="shared" si="459"/>
        <v/>
      </c>
      <c r="R4240" s="37" t="str">
        <f t="shared" si="460"/>
        <v/>
      </c>
      <c r="S4240" s="37" t="str">
        <f t="shared" si="461"/>
        <v/>
      </c>
      <c r="T4240" s="38" t="str">
        <f t="shared" si="462"/>
        <v/>
      </c>
      <c r="U4240" s="37" t="str">
        <f t="shared" si="463"/>
        <v/>
      </c>
    </row>
    <row r="4241" spans="2:21" ht="17.25">
      <c r="B4241" s="156"/>
      <c r="C4241" s="156"/>
      <c r="D4241" s="157"/>
      <c r="E4241" s="155"/>
      <c r="F4241" s="151"/>
      <c r="G4241" s="152"/>
      <c r="H4241" s="153"/>
      <c r="I4241" s="154"/>
      <c r="J4241" s="154"/>
      <c r="K4241" s="30" t="str">
        <f>IF(H4241="","",IF($C$30="간이법","",FPR(H4241,I4241,J4241)))</f>
        <v/>
      </c>
      <c r="L4241" s="30" t="str">
        <f>IF(H4241="","",IF($C$30="상세법",FPV(H4241,K4241),IF(H4241="EI",4,IF(H4241="EO",5.2,IF(H4241="EQ",3.9,IF(H4241="ILF",7.5,IF(H4241="EIF",5.4)))))))</f>
        <v/>
      </c>
      <c r="M4241" s="30" t="str">
        <f t="shared" si="457"/>
        <v/>
      </c>
      <c r="N4241" s="134"/>
      <c r="O4241" s="29"/>
      <c r="P4241" s="37" t="str">
        <f t="shared" si="458"/>
        <v/>
      </c>
      <c r="Q4241" s="38" t="str">
        <f t="shared" si="459"/>
        <v/>
      </c>
      <c r="R4241" s="37" t="str">
        <f t="shared" si="460"/>
        <v/>
      </c>
      <c r="S4241" s="37" t="str">
        <f t="shared" si="461"/>
        <v/>
      </c>
      <c r="T4241" s="38" t="str">
        <f t="shared" si="462"/>
        <v/>
      </c>
      <c r="U4241" s="37" t="str">
        <f t="shared" si="463"/>
        <v/>
      </c>
    </row>
    <row r="4242" spans="2:21" ht="17.25">
      <c r="B4242" s="156"/>
      <c r="C4242" s="156"/>
      <c r="D4242" s="157"/>
      <c r="E4242" s="155"/>
      <c r="F4242" s="151"/>
      <c r="G4242" s="152"/>
      <c r="H4242" s="153"/>
      <c r="I4242" s="154"/>
      <c r="J4242" s="154"/>
      <c r="K4242" s="30" t="str">
        <f>IF(H4242="","",IF($C$30="간이법","",FPR(H4242,I4242,J4242)))</f>
        <v/>
      </c>
      <c r="L4242" s="30" t="str">
        <f>IF(H4242="","",IF($C$30="상세법",FPV(H4242,K4242),IF(H4242="EI",4,IF(H4242="EO",5.2,IF(H4242="EQ",3.9,IF(H4242="ILF",7.5,IF(H4242="EIF",5.4)))))))</f>
        <v/>
      </c>
      <c r="M4242" s="30" t="str">
        <f t="shared" si="457"/>
        <v/>
      </c>
      <c r="N4242" s="134"/>
      <c r="O4242" s="29"/>
      <c r="P4242" s="37" t="str">
        <f t="shared" si="458"/>
        <v/>
      </c>
      <c r="Q4242" s="38" t="str">
        <f t="shared" si="459"/>
        <v/>
      </c>
      <c r="R4242" s="37" t="str">
        <f t="shared" si="460"/>
        <v/>
      </c>
      <c r="S4242" s="37" t="str">
        <f t="shared" si="461"/>
        <v/>
      </c>
      <c r="T4242" s="38" t="str">
        <f t="shared" si="462"/>
        <v/>
      </c>
      <c r="U4242" s="37" t="str">
        <f t="shared" si="463"/>
        <v/>
      </c>
    </row>
    <row r="4243" spans="2:21" ht="17.25">
      <c r="B4243" s="156"/>
      <c r="C4243" s="156"/>
      <c r="D4243" s="157"/>
      <c r="E4243" s="155"/>
      <c r="F4243" s="151"/>
      <c r="G4243" s="152"/>
      <c r="H4243" s="153"/>
      <c r="I4243" s="154"/>
      <c r="J4243" s="154"/>
      <c r="K4243" s="30" t="str">
        <f>IF(H4243="","",IF($C$30="간이법","",FPR(H4243,I4243,J4243)))</f>
        <v/>
      </c>
      <c r="L4243" s="30" t="str">
        <f>IF(H4243="","",IF($C$30="상세법",FPV(H4243,K4243),IF(H4243="EI",4,IF(H4243="EO",5.2,IF(H4243="EQ",3.9,IF(H4243="ILF",7.5,IF(H4243="EIF",5.4)))))))</f>
        <v/>
      </c>
      <c r="M4243" s="30" t="str">
        <f t="shared" si="457"/>
        <v/>
      </c>
      <c r="N4243" s="134"/>
      <c r="O4243" s="29"/>
      <c r="P4243" s="37" t="str">
        <f t="shared" si="458"/>
        <v/>
      </c>
      <c r="Q4243" s="38" t="str">
        <f t="shared" si="459"/>
        <v/>
      </c>
      <c r="R4243" s="37" t="str">
        <f t="shared" si="460"/>
        <v/>
      </c>
      <c r="S4243" s="37" t="str">
        <f t="shared" si="461"/>
        <v/>
      </c>
      <c r="T4243" s="38" t="str">
        <f t="shared" si="462"/>
        <v/>
      </c>
      <c r="U4243" s="37" t="str">
        <f t="shared" si="463"/>
        <v/>
      </c>
    </row>
    <row r="4244" spans="2:21" ht="17.25">
      <c r="B4244" s="156"/>
      <c r="C4244" s="156"/>
      <c r="D4244" s="157"/>
      <c r="E4244" s="155"/>
      <c r="F4244" s="151"/>
      <c r="G4244" s="152"/>
      <c r="H4244" s="153"/>
      <c r="I4244" s="154"/>
      <c r="J4244" s="154"/>
      <c r="K4244" s="30" t="str">
        <f>IF(H4244="","",IF($C$30="간이법","",FPR(H4244,I4244,J4244)))</f>
        <v/>
      </c>
      <c r="L4244" s="30" t="str">
        <f>IF(H4244="","",IF($C$30="상세법",FPV(H4244,K4244),IF(H4244="EI",4,IF(H4244="EO",5.2,IF(H4244="EQ",3.9,IF(H4244="ILF",7.5,IF(H4244="EIF",5.4)))))))</f>
        <v/>
      </c>
      <c r="M4244" s="30" t="str">
        <f t="shared" si="457"/>
        <v/>
      </c>
      <c r="N4244" s="134"/>
      <c r="O4244" s="29"/>
      <c r="P4244" s="37" t="str">
        <f t="shared" si="458"/>
        <v/>
      </c>
      <c r="Q4244" s="38" t="str">
        <f t="shared" si="459"/>
        <v/>
      </c>
      <c r="R4244" s="37" t="str">
        <f t="shared" si="460"/>
        <v/>
      </c>
      <c r="S4244" s="37" t="str">
        <f t="shared" si="461"/>
        <v/>
      </c>
      <c r="T4244" s="38" t="str">
        <f t="shared" si="462"/>
        <v/>
      </c>
      <c r="U4244" s="37" t="str">
        <f t="shared" si="463"/>
        <v/>
      </c>
    </row>
    <row r="4245" spans="2:21" ht="17.25">
      <c r="B4245" s="156"/>
      <c r="C4245" s="156"/>
      <c r="D4245" s="157"/>
      <c r="E4245" s="155"/>
      <c r="F4245" s="151"/>
      <c r="G4245" s="152"/>
      <c r="H4245" s="153"/>
      <c r="I4245" s="154"/>
      <c r="J4245" s="154"/>
      <c r="K4245" s="30" t="str">
        <f>IF(H4245="","",IF($C$30="간이법","",FPR(H4245,I4245,J4245)))</f>
        <v/>
      </c>
      <c r="L4245" s="30" t="str">
        <f>IF(H4245="","",IF($C$30="상세법",FPV(H4245,K4245),IF(H4245="EI",4,IF(H4245="EO",5.2,IF(H4245="EQ",3.9,IF(H4245="ILF",7.5,IF(H4245="EIF",5.4)))))))</f>
        <v/>
      </c>
      <c r="M4245" s="30" t="str">
        <f t="shared" si="457"/>
        <v/>
      </c>
      <c r="N4245" s="134"/>
      <c r="O4245" s="29"/>
      <c r="P4245" s="37" t="str">
        <f t="shared" si="458"/>
        <v/>
      </c>
      <c r="Q4245" s="38" t="str">
        <f t="shared" si="459"/>
        <v/>
      </c>
      <c r="R4245" s="37" t="str">
        <f t="shared" si="460"/>
        <v/>
      </c>
      <c r="S4245" s="37" t="str">
        <f t="shared" si="461"/>
        <v/>
      </c>
      <c r="T4245" s="38" t="str">
        <f t="shared" si="462"/>
        <v/>
      </c>
      <c r="U4245" s="37" t="str">
        <f t="shared" si="463"/>
        <v/>
      </c>
    </row>
    <row r="4246" spans="2:21" ht="17.25">
      <c r="B4246" s="156"/>
      <c r="C4246" s="156"/>
      <c r="D4246" s="157"/>
      <c r="E4246" s="155"/>
      <c r="F4246" s="151"/>
      <c r="G4246" s="152"/>
      <c r="H4246" s="153"/>
      <c r="I4246" s="154"/>
      <c r="J4246" s="154"/>
      <c r="K4246" s="30" t="str">
        <f>IF(H4246="","",IF($C$30="간이법","",FPR(H4246,I4246,J4246)))</f>
        <v/>
      </c>
      <c r="L4246" s="30" t="str">
        <f>IF(H4246="","",IF($C$30="상세법",FPV(H4246,K4246),IF(H4246="EI",4,IF(H4246="EO",5.2,IF(H4246="EQ",3.9,IF(H4246="ILF",7.5,IF(H4246="EIF",5.4)))))))</f>
        <v/>
      </c>
      <c r="M4246" s="30" t="str">
        <f t="shared" si="457"/>
        <v/>
      </c>
      <c r="N4246" s="134"/>
      <c r="O4246" s="29"/>
      <c r="P4246" s="37" t="str">
        <f t="shared" si="458"/>
        <v/>
      </c>
      <c r="Q4246" s="38" t="str">
        <f t="shared" si="459"/>
        <v/>
      </c>
      <c r="R4246" s="37" t="str">
        <f t="shared" si="460"/>
        <v/>
      </c>
      <c r="S4246" s="37" t="str">
        <f t="shared" si="461"/>
        <v/>
      </c>
      <c r="T4246" s="38" t="str">
        <f t="shared" si="462"/>
        <v/>
      </c>
      <c r="U4246" s="37" t="str">
        <f t="shared" si="463"/>
        <v/>
      </c>
    </row>
    <row r="4247" spans="2:21" ht="17.25">
      <c r="B4247" s="156"/>
      <c r="C4247" s="156"/>
      <c r="D4247" s="157"/>
      <c r="E4247" s="155"/>
      <c r="F4247" s="151"/>
      <c r="G4247" s="152"/>
      <c r="H4247" s="153"/>
      <c r="I4247" s="154"/>
      <c r="J4247" s="154"/>
      <c r="K4247" s="30" t="str">
        <f>IF(H4247="","",IF($C$30="간이법","",FPR(H4247,I4247,J4247)))</f>
        <v/>
      </c>
      <c r="L4247" s="30" t="str">
        <f>IF(H4247="","",IF($C$30="상세법",FPV(H4247,K4247),IF(H4247="EI",4,IF(H4247="EO",5.2,IF(H4247="EQ",3.9,IF(H4247="ILF",7.5,IF(H4247="EIF",5.4)))))))</f>
        <v/>
      </c>
      <c r="M4247" s="30" t="str">
        <f t="shared" si="457"/>
        <v/>
      </c>
      <c r="N4247" s="134"/>
      <c r="O4247" s="29"/>
      <c r="P4247" s="37" t="str">
        <f t="shared" si="458"/>
        <v/>
      </c>
      <c r="Q4247" s="38" t="str">
        <f t="shared" si="459"/>
        <v/>
      </c>
      <c r="R4247" s="37" t="str">
        <f t="shared" si="460"/>
        <v/>
      </c>
      <c r="S4247" s="37" t="str">
        <f t="shared" si="461"/>
        <v/>
      </c>
      <c r="T4247" s="38" t="str">
        <f t="shared" si="462"/>
        <v/>
      </c>
      <c r="U4247" s="37" t="str">
        <f t="shared" si="463"/>
        <v/>
      </c>
    </row>
    <row r="4248" spans="2:21" ht="17.25">
      <c r="B4248" s="156"/>
      <c r="C4248" s="156"/>
      <c r="D4248" s="157"/>
      <c r="E4248" s="155"/>
      <c r="F4248" s="151"/>
      <c r="G4248" s="152"/>
      <c r="H4248" s="153"/>
      <c r="I4248" s="154"/>
      <c r="J4248" s="154"/>
      <c r="K4248" s="30" t="str">
        <f>IF(H4248="","",IF($C$30="간이법","",FPR(H4248,I4248,J4248)))</f>
        <v/>
      </c>
      <c r="L4248" s="30" t="str">
        <f>IF(H4248="","",IF($C$30="상세법",FPV(H4248,K4248),IF(H4248="EI",4,IF(H4248="EO",5.2,IF(H4248="EQ",3.9,IF(H4248="ILF",7.5,IF(H4248="EIF",5.4)))))))</f>
        <v/>
      </c>
      <c r="M4248" s="30" t="str">
        <f t="shared" si="457"/>
        <v/>
      </c>
      <c r="N4248" s="134"/>
      <c r="O4248" s="29"/>
      <c r="P4248" s="37" t="str">
        <f t="shared" si="458"/>
        <v/>
      </c>
      <c r="Q4248" s="38" t="str">
        <f t="shared" si="459"/>
        <v/>
      </c>
      <c r="R4248" s="37" t="str">
        <f t="shared" si="460"/>
        <v/>
      </c>
      <c r="S4248" s="37" t="str">
        <f t="shared" si="461"/>
        <v/>
      </c>
      <c r="T4248" s="38" t="str">
        <f t="shared" si="462"/>
        <v/>
      </c>
      <c r="U4248" s="37" t="str">
        <f t="shared" si="463"/>
        <v/>
      </c>
    </row>
    <row r="4249" spans="2:21" ht="17.25">
      <c r="B4249" s="156"/>
      <c r="C4249" s="156"/>
      <c r="D4249" s="157"/>
      <c r="E4249" s="155"/>
      <c r="F4249" s="151"/>
      <c r="G4249" s="152"/>
      <c r="H4249" s="153"/>
      <c r="I4249" s="154"/>
      <c r="J4249" s="154"/>
      <c r="K4249" s="30" t="str">
        <f>IF(H4249="","",IF($C$30="간이법","",FPR(H4249,I4249,J4249)))</f>
        <v/>
      </c>
      <c r="L4249" s="30" t="str">
        <f>IF(H4249="","",IF($C$30="상세법",FPV(H4249,K4249),IF(H4249="EI",4,IF(H4249="EO",5.2,IF(H4249="EQ",3.9,IF(H4249="ILF",7.5,IF(H4249="EIF",5.4)))))))</f>
        <v/>
      </c>
      <c r="M4249" s="30" t="str">
        <f t="shared" si="457"/>
        <v/>
      </c>
      <c r="N4249" s="134"/>
      <c r="O4249" s="29"/>
      <c r="P4249" s="37" t="str">
        <f t="shared" si="458"/>
        <v/>
      </c>
      <c r="Q4249" s="38" t="str">
        <f t="shared" si="459"/>
        <v/>
      </c>
      <c r="R4249" s="37" t="str">
        <f t="shared" si="460"/>
        <v/>
      </c>
      <c r="S4249" s="37" t="str">
        <f t="shared" si="461"/>
        <v/>
      </c>
      <c r="T4249" s="38" t="str">
        <f t="shared" si="462"/>
        <v/>
      </c>
      <c r="U4249" s="37" t="str">
        <f t="shared" si="463"/>
        <v/>
      </c>
    </row>
    <row r="4250" spans="2:21" ht="17.25">
      <c r="B4250" s="156"/>
      <c r="C4250" s="156"/>
      <c r="D4250" s="157"/>
      <c r="E4250" s="155"/>
      <c r="F4250" s="151"/>
      <c r="G4250" s="152"/>
      <c r="H4250" s="153"/>
      <c r="I4250" s="154"/>
      <c r="J4250" s="154"/>
      <c r="K4250" s="30" t="str">
        <f>IF(H4250="","",IF($C$30="간이법","",FPR(H4250,I4250,J4250)))</f>
        <v/>
      </c>
      <c r="L4250" s="30" t="str">
        <f>IF(H4250="","",IF($C$30="상세법",FPV(H4250,K4250),IF(H4250="EI",4,IF(H4250="EO",5.2,IF(H4250="EQ",3.9,IF(H4250="ILF",7.5,IF(H4250="EIF",5.4)))))))</f>
        <v/>
      </c>
      <c r="M4250" s="30" t="str">
        <f t="shared" si="457"/>
        <v/>
      </c>
      <c r="N4250" s="134"/>
      <c r="O4250" s="29"/>
      <c r="P4250" s="37" t="str">
        <f t="shared" si="458"/>
        <v/>
      </c>
      <c r="Q4250" s="38" t="str">
        <f t="shared" si="459"/>
        <v/>
      </c>
      <c r="R4250" s="37" t="str">
        <f t="shared" si="460"/>
        <v/>
      </c>
      <c r="S4250" s="37" t="str">
        <f t="shared" si="461"/>
        <v/>
      </c>
      <c r="T4250" s="38" t="str">
        <f t="shared" si="462"/>
        <v/>
      </c>
      <c r="U4250" s="37" t="str">
        <f t="shared" si="463"/>
        <v/>
      </c>
    </row>
    <row r="4251" spans="2:21" ht="17.25">
      <c r="B4251" s="156"/>
      <c r="C4251" s="156"/>
      <c r="D4251" s="157"/>
      <c r="E4251" s="155"/>
      <c r="F4251" s="151"/>
      <c r="G4251" s="152"/>
      <c r="H4251" s="153"/>
      <c r="I4251" s="154"/>
      <c r="J4251" s="154"/>
      <c r="K4251" s="30" t="str">
        <f>IF(H4251="","",IF($C$30="간이법","",FPR(H4251,I4251,J4251)))</f>
        <v/>
      </c>
      <c r="L4251" s="30" t="str">
        <f>IF(H4251="","",IF($C$30="상세법",FPV(H4251,K4251),IF(H4251="EI",4,IF(H4251="EO",5.2,IF(H4251="EQ",3.9,IF(H4251="ILF",7.5,IF(H4251="EIF",5.4)))))))</f>
        <v/>
      </c>
      <c r="M4251" s="30" t="str">
        <f t="shared" si="457"/>
        <v/>
      </c>
      <c r="N4251" s="134"/>
      <c r="O4251" s="29"/>
      <c r="P4251" s="37" t="str">
        <f t="shared" si="458"/>
        <v/>
      </c>
      <c r="Q4251" s="38" t="str">
        <f t="shared" si="459"/>
        <v/>
      </c>
      <c r="R4251" s="37" t="str">
        <f t="shared" si="460"/>
        <v/>
      </c>
      <c r="S4251" s="37" t="str">
        <f t="shared" si="461"/>
        <v/>
      </c>
      <c r="T4251" s="38" t="str">
        <f t="shared" si="462"/>
        <v/>
      </c>
      <c r="U4251" s="37" t="str">
        <f t="shared" si="463"/>
        <v/>
      </c>
    </row>
    <row r="4252" spans="2:21" ht="17.25">
      <c r="B4252" s="156"/>
      <c r="C4252" s="156"/>
      <c r="D4252" s="157"/>
      <c r="E4252" s="155"/>
      <c r="F4252" s="151"/>
      <c r="G4252" s="152"/>
      <c r="H4252" s="153"/>
      <c r="I4252" s="154"/>
      <c r="J4252" s="154"/>
      <c r="K4252" s="30" t="str">
        <f>IF(H4252="","",IF($C$30="간이법","",FPR(H4252,I4252,J4252)))</f>
        <v/>
      </c>
      <c r="L4252" s="30" t="str">
        <f>IF(H4252="","",IF($C$30="상세법",FPV(H4252,K4252),IF(H4252="EI",4,IF(H4252="EO",5.2,IF(H4252="EQ",3.9,IF(H4252="ILF",7.5,IF(H4252="EIF",5.4)))))))</f>
        <v/>
      </c>
      <c r="M4252" s="30" t="str">
        <f t="shared" si="457"/>
        <v/>
      </c>
      <c r="N4252" s="134"/>
      <c r="O4252" s="29"/>
      <c r="P4252" s="37" t="str">
        <f t="shared" si="458"/>
        <v/>
      </c>
      <c r="Q4252" s="38" t="str">
        <f t="shared" si="459"/>
        <v/>
      </c>
      <c r="R4252" s="37" t="str">
        <f t="shared" si="460"/>
        <v/>
      </c>
      <c r="S4252" s="37" t="str">
        <f t="shared" si="461"/>
        <v/>
      </c>
      <c r="T4252" s="38" t="str">
        <f t="shared" si="462"/>
        <v/>
      </c>
      <c r="U4252" s="37" t="str">
        <f t="shared" si="463"/>
        <v/>
      </c>
    </row>
    <row r="4253" spans="2:21" ht="17.25">
      <c r="B4253" s="156"/>
      <c r="C4253" s="156"/>
      <c r="D4253" s="157"/>
      <c r="E4253" s="155"/>
      <c r="F4253" s="151"/>
      <c r="G4253" s="152"/>
      <c r="H4253" s="153"/>
      <c r="I4253" s="154"/>
      <c r="J4253" s="154"/>
      <c r="K4253" s="30" t="str">
        <f>IF(H4253="","",IF($C$30="간이법","",FPR(H4253,I4253,J4253)))</f>
        <v/>
      </c>
      <c r="L4253" s="30" t="str">
        <f>IF(H4253="","",IF($C$30="상세법",FPV(H4253,K4253),IF(H4253="EI",4,IF(H4253="EO",5.2,IF(H4253="EQ",3.9,IF(H4253="ILF",7.5,IF(H4253="EIF",5.4)))))))</f>
        <v/>
      </c>
      <c r="M4253" s="30" t="str">
        <f t="shared" si="457"/>
        <v/>
      </c>
      <c r="N4253" s="134"/>
      <c r="O4253" s="29"/>
      <c r="P4253" s="37" t="str">
        <f t="shared" si="458"/>
        <v/>
      </c>
      <c r="Q4253" s="38" t="str">
        <f t="shared" si="459"/>
        <v/>
      </c>
      <c r="R4253" s="37" t="str">
        <f t="shared" si="460"/>
        <v/>
      </c>
      <c r="S4253" s="37" t="str">
        <f t="shared" si="461"/>
        <v/>
      </c>
      <c r="T4253" s="38" t="str">
        <f t="shared" si="462"/>
        <v/>
      </c>
      <c r="U4253" s="37" t="str">
        <f t="shared" si="463"/>
        <v/>
      </c>
    </row>
    <row r="4254" spans="2:21" ht="17.25">
      <c r="B4254" s="156"/>
      <c r="C4254" s="156"/>
      <c r="D4254" s="157"/>
      <c r="E4254" s="155"/>
      <c r="F4254" s="151"/>
      <c r="G4254" s="152"/>
      <c r="H4254" s="153"/>
      <c r="I4254" s="154"/>
      <c r="J4254" s="154"/>
      <c r="K4254" s="30" t="str">
        <f>IF(H4254="","",IF($C$30="간이법","",FPR(H4254,I4254,J4254)))</f>
        <v/>
      </c>
      <c r="L4254" s="30" t="str">
        <f>IF(H4254="","",IF($C$30="상세법",FPV(H4254,K4254),IF(H4254="EI",4,IF(H4254="EO",5.2,IF(H4254="EQ",3.9,IF(H4254="ILF",7.5,IF(H4254="EIF",5.4)))))))</f>
        <v/>
      </c>
      <c r="M4254" s="30" t="str">
        <f t="shared" si="457"/>
        <v/>
      </c>
      <c r="N4254" s="134"/>
      <c r="O4254" s="29"/>
      <c r="P4254" s="37" t="str">
        <f t="shared" si="458"/>
        <v/>
      </c>
      <c r="Q4254" s="38" t="str">
        <f t="shared" si="459"/>
        <v/>
      </c>
      <c r="R4254" s="37" t="str">
        <f t="shared" si="460"/>
        <v/>
      </c>
      <c r="S4254" s="37" t="str">
        <f t="shared" si="461"/>
        <v/>
      </c>
      <c r="T4254" s="38" t="str">
        <f t="shared" si="462"/>
        <v/>
      </c>
      <c r="U4254" s="37" t="str">
        <f t="shared" si="463"/>
        <v/>
      </c>
    </row>
    <row r="4255" spans="2:21" ht="17.25">
      <c r="B4255" s="156"/>
      <c r="C4255" s="156"/>
      <c r="D4255" s="157"/>
      <c r="E4255" s="155"/>
      <c r="F4255" s="151"/>
      <c r="G4255" s="152"/>
      <c r="H4255" s="153"/>
      <c r="I4255" s="154"/>
      <c r="J4255" s="154"/>
      <c r="K4255" s="30" t="str">
        <f>IF(H4255="","",IF($C$30="간이법","",FPR(H4255,I4255,J4255)))</f>
        <v/>
      </c>
      <c r="L4255" s="30" t="str">
        <f>IF(H4255="","",IF($C$30="상세법",FPV(H4255,K4255),IF(H4255="EI",4,IF(H4255="EO",5.2,IF(H4255="EQ",3.9,IF(H4255="ILF",7.5,IF(H4255="EIF",5.4)))))))</f>
        <v/>
      </c>
      <c r="M4255" s="30" t="str">
        <f t="shared" si="457"/>
        <v/>
      </c>
      <c r="N4255" s="134"/>
      <c r="O4255" s="29"/>
      <c r="P4255" s="37" t="str">
        <f t="shared" si="458"/>
        <v/>
      </c>
      <c r="Q4255" s="38" t="str">
        <f t="shared" si="459"/>
        <v/>
      </c>
      <c r="R4255" s="37" t="str">
        <f t="shared" si="460"/>
        <v/>
      </c>
      <c r="S4255" s="37" t="str">
        <f t="shared" si="461"/>
        <v/>
      </c>
      <c r="T4255" s="38" t="str">
        <f t="shared" si="462"/>
        <v/>
      </c>
      <c r="U4255" s="37" t="str">
        <f t="shared" si="463"/>
        <v/>
      </c>
    </row>
    <row r="4256" spans="2:21" ht="17.25">
      <c r="B4256" s="156"/>
      <c r="C4256" s="156"/>
      <c r="D4256" s="157"/>
      <c r="E4256" s="155"/>
      <c r="F4256" s="151"/>
      <c r="G4256" s="152"/>
      <c r="H4256" s="153"/>
      <c r="I4256" s="154"/>
      <c r="J4256" s="154"/>
      <c r="K4256" s="30" t="str">
        <f>IF(H4256="","",IF($C$30="간이법","",FPR(H4256,I4256,J4256)))</f>
        <v/>
      </c>
      <c r="L4256" s="30" t="str">
        <f>IF(H4256="","",IF($C$30="상세법",FPV(H4256,K4256),IF(H4256="EI",4,IF(H4256="EO",5.2,IF(H4256="EQ",3.9,IF(H4256="ILF",7.5,IF(H4256="EIF",5.4)))))))</f>
        <v/>
      </c>
      <c r="M4256" s="30" t="str">
        <f t="shared" si="457"/>
        <v/>
      </c>
      <c r="N4256" s="134"/>
      <c r="O4256" s="29"/>
      <c r="P4256" s="37" t="str">
        <f t="shared" si="458"/>
        <v/>
      </c>
      <c r="Q4256" s="38" t="str">
        <f t="shared" si="459"/>
        <v/>
      </c>
      <c r="R4256" s="37" t="str">
        <f t="shared" si="460"/>
        <v/>
      </c>
      <c r="S4256" s="37" t="str">
        <f t="shared" si="461"/>
        <v/>
      </c>
      <c r="T4256" s="38" t="str">
        <f t="shared" si="462"/>
        <v/>
      </c>
      <c r="U4256" s="37" t="str">
        <f t="shared" si="463"/>
        <v/>
      </c>
    </row>
    <row r="4257" spans="2:21" ht="17.25">
      <c r="B4257" s="156"/>
      <c r="C4257" s="156"/>
      <c r="D4257" s="157"/>
      <c r="E4257" s="155"/>
      <c r="F4257" s="151"/>
      <c r="G4257" s="152"/>
      <c r="H4257" s="153"/>
      <c r="I4257" s="154"/>
      <c r="J4257" s="154"/>
      <c r="K4257" s="30" t="str">
        <f>IF(H4257="","",IF($C$30="간이법","",FPR(H4257,I4257,J4257)))</f>
        <v/>
      </c>
      <c r="L4257" s="30" t="str">
        <f>IF(H4257="","",IF($C$30="상세법",FPV(H4257,K4257),IF(H4257="EI",4,IF(H4257="EO",5.2,IF(H4257="EQ",3.9,IF(H4257="ILF",7.5,IF(H4257="EIF",5.4)))))))</f>
        <v/>
      </c>
      <c r="M4257" s="30" t="str">
        <f t="shared" si="457"/>
        <v/>
      </c>
      <c r="N4257" s="134"/>
      <c r="O4257" s="29"/>
      <c r="P4257" s="37" t="str">
        <f t="shared" si="458"/>
        <v/>
      </c>
      <c r="Q4257" s="38" t="str">
        <f t="shared" si="459"/>
        <v/>
      </c>
      <c r="R4257" s="37" t="str">
        <f t="shared" si="460"/>
        <v/>
      </c>
      <c r="S4257" s="37" t="str">
        <f t="shared" si="461"/>
        <v/>
      </c>
      <c r="T4257" s="38" t="str">
        <f t="shared" si="462"/>
        <v/>
      </c>
      <c r="U4257" s="37" t="str">
        <f t="shared" si="463"/>
        <v/>
      </c>
    </row>
    <row r="4258" spans="2:21" ht="17.25">
      <c r="B4258" s="156"/>
      <c r="C4258" s="156"/>
      <c r="D4258" s="157"/>
      <c r="E4258" s="155"/>
      <c r="F4258" s="151"/>
      <c r="G4258" s="152"/>
      <c r="H4258" s="153"/>
      <c r="I4258" s="154"/>
      <c r="J4258" s="154"/>
      <c r="K4258" s="30" t="str">
        <f>IF(H4258="","",IF($C$30="간이법","",FPR(H4258,I4258,J4258)))</f>
        <v/>
      </c>
      <c r="L4258" s="30" t="str">
        <f>IF(H4258="","",IF($C$30="상세법",FPV(H4258,K4258),IF(H4258="EI",4,IF(H4258="EO",5.2,IF(H4258="EQ",3.9,IF(H4258="ILF",7.5,IF(H4258="EIF",5.4)))))))</f>
        <v/>
      </c>
      <c r="M4258" s="30" t="str">
        <f t="shared" si="457"/>
        <v/>
      </c>
      <c r="N4258" s="134"/>
      <c r="O4258" s="29"/>
      <c r="P4258" s="37" t="str">
        <f t="shared" si="458"/>
        <v/>
      </c>
      <c r="Q4258" s="38" t="str">
        <f t="shared" si="459"/>
        <v/>
      </c>
      <c r="R4258" s="37" t="str">
        <f t="shared" si="460"/>
        <v/>
      </c>
      <c r="S4258" s="37" t="str">
        <f t="shared" si="461"/>
        <v/>
      </c>
      <c r="T4258" s="38" t="str">
        <f t="shared" si="462"/>
        <v/>
      </c>
      <c r="U4258" s="37" t="str">
        <f t="shared" si="463"/>
        <v/>
      </c>
    </row>
    <row r="4259" spans="2:21" ht="17.25">
      <c r="B4259" s="156"/>
      <c r="C4259" s="156"/>
      <c r="D4259" s="157"/>
      <c r="E4259" s="155"/>
      <c r="F4259" s="151"/>
      <c r="G4259" s="152"/>
      <c r="H4259" s="153"/>
      <c r="I4259" s="154"/>
      <c r="J4259" s="154"/>
      <c r="K4259" s="30" t="str">
        <f>IF(H4259="","",IF($C$30="간이법","",FPR(H4259,I4259,J4259)))</f>
        <v/>
      </c>
      <c r="L4259" s="30" t="str">
        <f>IF(H4259="","",IF($C$30="상세법",FPV(H4259,K4259),IF(H4259="EI",4,IF(H4259="EO",5.2,IF(H4259="EQ",3.9,IF(H4259="ILF",7.5,IF(H4259="EIF",5.4)))))))</f>
        <v/>
      </c>
      <c r="M4259" s="30" t="str">
        <f t="shared" si="457"/>
        <v/>
      </c>
      <c r="N4259" s="134"/>
      <c r="O4259" s="29"/>
      <c r="P4259" s="37" t="str">
        <f t="shared" si="458"/>
        <v/>
      </c>
      <c r="Q4259" s="38" t="str">
        <f t="shared" si="459"/>
        <v/>
      </c>
      <c r="R4259" s="37" t="str">
        <f t="shared" si="460"/>
        <v/>
      </c>
      <c r="S4259" s="37" t="str">
        <f t="shared" si="461"/>
        <v/>
      </c>
      <c r="T4259" s="38" t="str">
        <f t="shared" si="462"/>
        <v/>
      </c>
      <c r="U4259" s="37" t="str">
        <f t="shared" si="463"/>
        <v/>
      </c>
    </row>
    <row r="4260" spans="2:21" ht="17.25">
      <c r="B4260" s="156"/>
      <c r="C4260" s="156"/>
      <c r="D4260" s="157"/>
      <c r="E4260" s="155"/>
      <c r="F4260" s="151"/>
      <c r="G4260" s="152"/>
      <c r="H4260" s="153"/>
      <c r="I4260" s="154"/>
      <c r="J4260" s="154"/>
      <c r="K4260" s="30" t="str">
        <f>IF(H4260="","",IF($C$30="간이법","",FPR(H4260,I4260,J4260)))</f>
        <v/>
      </c>
      <c r="L4260" s="30" t="str">
        <f>IF(H4260="","",IF($C$30="상세법",FPV(H4260,K4260),IF(H4260="EI",4,IF(H4260="EO",5.2,IF(H4260="EQ",3.9,IF(H4260="ILF",7.5,IF(H4260="EIF",5.4)))))))</f>
        <v/>
      </c>
      <c r="M4260" s="30" t="str">
        <f t="shared" si="457"/>
        <v/>
      </c>
      <c r="N4260" s="134"/>
      <c r="O4260" s="29"/>
      <c r="P4260" s="37" t="str">
        <f t="shared" si="458"/>
        <v/>
      </c>
      <c r="Q4260" s="38" t="str">
        <f t="shared" si="459"/>
        <v/>
      </c>
      <c r="R4260" s="37" t="str">
        <f t="shared" si="460"/>
        <v/>
      </c>
      <c r="S4260" s="37" t="str">
        <f t="shared" si="461"/>
        <v/>
      </c>
      <c r="T4260" s="38" t="str">
        <f t="shared" si="462"/>
        <v/>
      </c>
      <c r="U4260" s="37" t="str">
        <f t="shared" si="463"/>
        <v/>
      </c>
    </row>
    <row r="4261" spans="2:21" ht="17.25">
      <c r="B4261" s="156"/>
      <c r="C4261" s="156"/>
      <c r="D4261" s="157"/>
      <c r="E4261" s="155"/>
      <c r="F4261" s="151"/>
      <c r="G4261" s="152"/>
      <c r="H4261" s="153"/>
      <c r="I4261" s="154"/>
      <c r="J4261" s="154"/>
      <c r="K4261" s="30" t="str">
        <f>IF(H4261="","",IF($C$30="간이법","",FPR(H4261,I4261,J4261)))</f>
        <v/>
      </c>
      <c r="L4261" s="30" t="str">
        <f>IF(H4261="","",IF($C$30="상세법",FPV(H4261,K4261),IF(H4261="EI",4,IF(H4261="EO",5.2,IF(H4261="EQ",3.9,IF(H4261="ILF",7.5,IF(H4261="EIF",5.4)))))))</f>
        <v/>
      </c>
      <c r="M4261" s="30" t="str">
        <f t="shared" si="457"/>
        <v/>
      </c>
      <c r="N4261" s="134"/>
      <c r="O4261" s="29"/>
      <c r="P4261" s="37" t="str">
        <f t="shared" si="458"/>
        <v/>
      </c>
      <c r="Q4261" s="38" t="str">
        <f t="shared" si="459"/>
        <v/>
      </c>
      <c r="R4261" s="37" t="str">
        <f t="shared" si="460"/>
        <v/>
      </c>
      <c r="S4261" s="37" t="str">
        <f t="shared" si="461"/>
        <v/>
      </c>
      <c r="T4261" s="38" t="str">
        <f t="shared" si="462"/>
        <v/>
      </c>
      <c r="U4261" s="37" t="str">
        <f t="shared" si="463"/>
        <v/>
      </c>
    </row>
    <row r="4262" spans="2:21" ht="17.25">
      <c r="B4262" s="156"/>
      <c r="C4262" s="156"/>
      <c r="D4262" s="157"/>
      <c r="E4262" s="155"/>
      <c r="F4262" s="151"/>
      <c r="G4262" s="152"/>
      <c r="H4262" s="153"/>
      <c r="I4262" s="154"/>
      <c r="J4262" s="154"/>
      <c r="K4262" s="30" t="str">
        <f>IF(H4262="","",IF($C$30="간이법","",FPR(H4262,I4262,J4262)))</f>
        <v/>
      </c>
      <c r="L4262" s="30" t="str">
        <f>IF(H4262="","",IF($C$30="상세법",FPV(H4262,K4262),IF(H4262="EI",4,IF(H4262="EO",5.2,IF(H4262="EQ",3.9,IF(H4262="ILF",7.5,IF(H4262="EIF",5.4)))))))</f>
        <v/>
      </c>
      <c r="M4262" s="30" t="str">
        <f t="shared" si="457"/>
        <v/>
      </c>
      <c r="N4262" s="134"/>
      <c r="O4262" s="29"/>
      <c r="P4262" s="37" t="str">
        <f t="shared" si="458"/>
        <v/>
      </c>
      <c r="Q4262" s="38" t="str">
        <f t="shared" si="459"/>
        <v/>
      </c>
      <c r="R4262" s="37" t="str">
        <f t="shared" si="460"/>
        <v/>
      </c>
      <c r="S4262" s="37" t="str">
        <f t="shared" si="461"/>
        <v/>
      </c>
      <c r="T4262" s="38" t="str">
        <f t="shared" si="462"/>
        <v/>
      </c>
      <c r="U4262" s="37" t="str">
        <f t="shared" si="463"/>
        <v/>
      </c>
    </row>
    <row r="4263" spans="2:21" ht="17.25">
      <c r="B4263" s="156"/>
      <c r="C4263" s="156"/>
      <c r="D4263" s="157"/>
      <c r="E4263" s="155"/>
      <c r="F4263" s="151"/>
      <c r="G4263" s="152"/>
      <c r="H4263" s="153"/>
      <c r="I4263" s="154"/>
      <c r="J4263" s="154"/>
      <c r="K4263" s="30" t="str">
        <f>IF(H4263="","",IF($C$30="간이법","",FPR(H4263,I4263,J4263)))</f>
        <v/>
      </c>
      <c r="L4263" s="30" t="str">
        <f>IF(H4263="","",IF($C$30="상세법",FPV(H4263,K4263),IF(H4263="EI",4,IF(H4263="EO",5.2,IF(H4263="EQ",3.9,IF(H4263="ILF",7.5,IF(H4263="EIF",5.4)))))))</f>
        <v/>
      </c>
      <c r="M4263" s="30" t="str">
        <f t="shared" si="457"/>
        <v/>
      </c>
      <c r="N4263" s="134"/>
      <c r="O4263" s="29"/>
      <c r="P4263" s="37" t="str">
        <f t="shared" si="458"/>
        <v/>
      </c>
      <c r="Q4263" s="38" t="str">
        <f t="shared" si="459"/>
        <v/>
      </c>
      <c r="R4263" s="37" t="str">
        <f t="shared" si="460"/>
        <v/>
      </c>
      <c r="S4263" s="37" t="str">
        <f t="shared" si="461"/>
        <v/>
      </c>
      <c r="T4263" s="38" t="str">
        <f t="shared" si="462"/>
        <v/>
      </c>
      <c r="U4263" s="37" t="str">
        <f t="shared" si="463"/>
        <v/>
      </c>
    </row>
    <row r="4264" spans="2:21" ht="17.25">
      <c r="B4264" s="156"/>
      <c r="C4264" s="156"/>
      <c r="D4264" s="157"/>
      <c r="E4264" s="155"/>
      <c r="F4264" s="151"/>
      <c r="G4264" s="152"/>
      <c r="H4264" s="153"/>
      <c r="I4264" s="154"/>
      <c r="J4264" s="154"/>
      <c r="K4264" s="30" t="str">
        <f>IF(H4264="","",IF($C$30="간이법","",FPR(H4264,I4264,J4264)))</f>
        <v/>
      </c>
      <c r="L4264" s="30" t="str">
        <f>IF(H4264="","",IF($C$30="상세법",FPV(H4264,K4264),IF(H4264="EI",4,IF(H4264="EO",5.2,IF(H4264="EQ",3.9,IF(H4264="ILF",7.5,IF(H4264="EIF",5.4)))))))</f>
        <v/>
      </c>
      <c r="M4264" s="30" t="str">
        <f t="shared" si="457"/>
        <v/>
      </c>
      <c r="N4264" s="134"/>
      <c r="O4264" s="29"/>
      <c r="P4264" s="37" t="str">
        <f t="shared" si="458"/>
        <v/>
      </c>
      <c r="Q4264" s="38" t="str">
        <f t="shared" si="459"/>
        <v/>
      </c>
      <c r="R4264" s="37" t="str">
        <f t="shared" si="460"/>
        <v/>
      </c>
      <c r="S4264" s="37" t="str">
        <f t="shared" si="461"/>
        <v/>
      </c>
      <c r="T4264" s="38" t="str">
        <f t="shared" si="462"/>
        <v/>
      </c>
      <c r="U4264" s="37" t="str">
        <f t="shared" si="463"/>
        <v/>
      </c>
    </row>
    <row r="4265" spans="2:21" ht="17.25">
      <c r="B4265" s="156"/>
      <c r="C4265" s="156"/>
      <c r="D4265" s="157"/>
      <c r="E4265" s="155"/>
      <c r="F4265" s="151"/>
      <c r="G4265" s="152"/>
      <c r="H4265" s="153"/>
      <c r="I4265" s="154"/>
      <c r="J4265" s="154"/>
      <c r="K4265" s="30" t="str">
        <f>IF(H4265="","",IF($C$30="간이법","",FPR(H4265,I4265,J4265)))</f>
        <v/>
      </c>
      <c r="L4265" s="30" t="str">
        <f>IF(H4265="","",IF($C$30="상세법",FPV(H4265,K4265),IF(H4265="EI",4,IF(H4265="EO",5.2,IF(H4265="EQ",3.9,IF(H4265="ILF",7.5,IF(H4265="EIF",5.4)))))))</f>
        <v/>
      </c>
      <c r="M4265" s="30" t="str">
        <f t="shared" si="457"/>
        <v/>
      </c>
      <c r="N4265" s="134"/>
      <c r="O4265" s="29"/>
      <c r="P4265" s="37" t="str">
        <f t="shared" si="458"/>
        <v/>
      </c>
      <c r="Q4265" s="38" t="str">
        <f t="shared" si="459"/>
        <v/>
      </c>
      <c r="R4265" s="37" t="str">
        <f t="shared" si="460"/>
        <v/>
      </c>
      <c r="S4265" s="37" t="str">
        <f t="shared" si="461"/>
        <v/>
      </c>
      <c r="T4265" s="38" t="str">
        <f t="shared" si="462"/>
        <v/>
      </c>
      <c r="U4265" s="37" t="str">
        <f t="shared" si="463"/>
        <v/>
      </c>
    </row>
    <row r="4266" spans="2:21" ht="17.25">
      <c r="B4266" s="156"/>
      <c r="C4266" s="156"/>
      <c r="D4266" s="157"/>
      <c r="E4266" s="155"/>
      <c r="F4266" s="151"/>
      <c r="G4266" s="152"/>
      <c r="H4266" s="153"/>
      <c r="I4266" s="154"/>
      <c r="J4266" s="154"/>
      <c r="K4266" s="30" t="str">
        <f>IF(H4266="","",IF($C$30="간이법","",FPR(H4266,I4266,J4266)))</f>
        <v/>
      </c>
      <c r="L4266" s="30" t="str">
        <f>IF(H4266="","",IF($C$30="상세법",FPV(H4266,K4266),IF(H4266="EI",4,IF(H4266="EO",5.2,IF(H4266="EQ",3.9,IF(H4266="ILF",7.5,IF(H4266="EIF",5.4)))))))</f>
        <v/>
      </c>
      <c r="M4266" s="30" t="str">
        <f t="shared" si="457"/>
        <v/>
      </c>
      <c r="N4266" s="134"/>
      <c r="O4266" s="29"/>
      <c r="P4266" s="37" t="str">
        <f t="shared" si="458"/>
        <v/>
      </c>
      <c r="Q4266" s="38" t="str">
        <f t="shared" si="459"/>
        <v/>
      </c>
      <c r="R4266" s="37" t="str">
        <f t="shared" si="460"/>
        <v/>
      </c>
      <c r="S4266" s="37" t="str">
        <f t="shared" si="461"/>
        <v/>
      </c>
      <c r="T4266" s="38" t="str">
        <f t="shared" si="462"/>
        <v/>
      </c>
      <c r="U4266" s="37" t="str">
        <f t="shared" si="463"/>
        <v/>
      </c>
    </row>
    <row r="4267" spans="2:21" ht="17.25">
      <c r="B4267" s="156"/>
      <c r="C4267" s="156"/>
      <c r="D4267" s="157"/>
      <c r="E4267" s="155"/>
      <c r="F4267" s="151"/>
      <c r="G4267" s="152"/>
      <c r="H4267" s="153"/>
      <c r="I4267" s="154"/>
      <c r="J4267" s="154"/>
      <c r="K4267" s="30" t="str">
        <f>IF(H4267="","",IF($C$30="간이법","",FPR(H4267,I4267,J4267)))</f>
        <v/>
      </c>
      <c r="L4267" s="30" t="str">
        <f>IF(H4267="","",IF($C$30="상세법",FPV(H4267,K4267),IF(H4267="EI",4,IF(H4267="EO",5.2,IF(H4267="EQ",3.9,IF(H4267="ILF",7.5,IF(H4267="EIF",5.4)))))))</f>
        <v/>
      </c>
      <c r="M4267" s="30" t="str">
        <f t="shared" si="457"/>
        <v/>
      </c>
      <c r="N4267" s="134"/>
      <c r="O4267" s="29"/>
      <c r="P4267" s="37" t="str">
        <f t="shared" si="458"/>
        <v/>
      </c>
      <c r="Q4267" s="38" t="str">
        <f t="shared" si="459"/>
        <v/>
      </c>
      <c r="R4267" s="37" t="str">
        <f t="shared" si="460"/>
        <v/>
      </c>
      <c r="S4267" s="37" t="str">
        <f t="shared" si="461"/>
        <v/>
      </c>
      <c r="T4267" s="38" t="str">
        <f t="shared" si="462"/>
        <v/>
      </c>
      <c r="U4267" s="37" t="str">
        <f t="shared" si="463"/>
        <v/>
      </c>
    </row>
    <row r="4268" spans="2:21" ht="17.25">
      <c r="B4268" s="156"/>
      <c r="C4268" s="156"/>
      <c r="D4268" s="157"/>
      <c r="E4268" s="155"/>
      <c r="F4268" s="151"/>
      <c r="G4268" s="152"/>
      <c r="H4268" s="153"/>
      <c r="I4268" s="154"/>
      <c r="J4268" s="154"/>
      <c r="K4268" s="30" t="str">
        <f>IF(H4268="","",IF($C$30="간이법","",FPR(H4268,I4268,J4268)))</f>
        <v/>
      </c>
      <c r="L4268" s="30" t="str">
        <f>IF(H4268="","",IF($C$30="상세법",FPV(H4268,K4268),IF(H4268="EI",4,IF(H4268="EO",5.2,IF(H4268="EQ",3.9,IF(H4268="ILF",7.5,IF(H4268="EIF",5.4)))))))</f>
        <v/>
      </c>
      <c r="M4268" s="30" t="str">
        <f t="shared" si="457"/>
        <v/>
      </c>
      <c r="N4268" s="134"/>
      <c r="O4268" s="29"/>
      <c r="P4268" s="37" t="str">
        <f t="shared" si="458"/>
        <v/>
      </c>
      <c r="Q4268" s="38" t="str">
        <f t="shared" si="459"/>
        <v/>
      </c>
      <c r="R4268" s="37" t="str">
        <f t="shared" si="460"/>
        <v/>
      </c>
      <c r="S4268" s="37" t="str">
        <f t="shared" si="461"/>
        <v/>
      </c>
      <c r="T4268" s="38" t="str">
        <f t="shared" si="462"/>
        <v/>
      </c>
      <c r="U4268" s="37" t="str">
        <f t="shared" si="463"/>
        <v/>
      </c>
    </row>
    <row r="4269" spans="2:21" ht="17.25">
      <c r="B4269" s="156"/>
      <c r="C4269" s="156"/>
      <c r="D4269" s="157"/>
      <c r="E4269" s="155"/>
      <c r="F4269" s="151"/>
      <c r="G4269" s="152"/>
      <c r="H4269" s="153"/>
      <c r="I4269" s="154"/>
      <c r="J4269" s="154"/>
      <c r="K4269" s="30" t="str">
        <f>IF(H4269="","",IF($C$30="간이법","",FPR(H4269,I4269,J4269)))</f>
        <v/>
      </c>
      <c r="L4269" s="30" t="str">
        <f>IF(H4269="","",IF($C$30="상세법",FPV(H4269,K4269),IF(H4269="EI",4,IF(H4269="EO",5.2,IF(H4269="EQ",3.9,IF(H4269="ILF",7.5,IF(H4269="EIF",5.4)))))))</f>
        <v/>
      </c>
      <c r="M4269" s="30" t="str">
        <f t="shared" si="457"/>
        <v/>
      </c>
      <c r="N4269" s="134"/>
      <c r="O4269" s="29"/>
      <c r="P4269" s="37" t="str">
        <f t="shared" si="458"/>
        <v/>
      </c>
      <c r="Q4269" s="38" t="str">
        <f t="shared" si="459"/>
        <v/>
      </c>
      <c r="R4269" s="37" t="str">
        <f t="shared" si="460"/>
        <v/>
      </c>
      <c r="S4269" s="37" t="str">
        <f t="shared" si="461"/>
        <v/>
      </c>
      <c r="T4269" s="38" t="str">
        <f t="shared" si="462"/>
        <v/>
      </c>
      <c r="U4269" s="37" t="str">
        <f t="shared" si="463"/>
        <v/>
      </c>
    </row>
    <row r="4270" spans="2:21" ht="17.25">
      <c r="B4270" s="156"/>
      <c r="C4270" s="156"/>
      <c r="D4270" s="157"/>
      <c r="E4270" s="155"/>
      <c r="F4270" s="151"/>
      <c r="G4270" s="152"/>
      <c r="H4270" s="153"/>
      <c r="I4270" s="154"/>
      <c r="J4270" s="154"/>
      <c r="K4270" s="30" t="str">
        <f>IF(H4270="","",IF($C$30="간이법","",FPR(H4270,I4270,J4270)))</f>
        <v/>
      </c>
      <c r="L4270" s="30" t="str">
        <f>IF(H4270="","",IF($C$30="상세법",FPV(H4270,K4270),IF(H4270="EI",4,IF(H4270="EO",5.2,IF(H4270="EQ",3.9,IF(H4270="ILF",7.5,IF(H4270="EIF",5.4)))))))</f>
        <v/>
      </c>
      <c r="M4270" s="30" t="str">
        <f t="shared" si="457"/>
        <v/>
      </c>
      <c r="N4270" s="134"/>
      <c r="O4270" s="29"/>
      <c r="P4270" s="37" t="str">
        <f t="shared" si="458"/>
        <v/>
      </c>
      <c r="Q4270" s="38" t="str">
        <f t="shared" si="459"/>
        <v/>
      </c>
      <c r="R4270" s="37" t="str">
        <f t="shared" si="460"/>
        <v/>
      </c>
      <c r="S4270" s="37" t="str">
        <f t="shared" si="461"/>
        <v/>
      </c>
      <c r="T4270" s="38" t="str">
        <f t="shared" si="462"/>
        <v/>
      </c>
      <c r="U4270" s="37" t="str">
        <f t="shared" si="463"/>
        <v/>
      </c>
    </row>
    <row r="4271" spans="2:21" ht="17.25">
      <c r="B4271" s="156"/>
      <c r="C4271" s="156"/>
      <c r="D4271" s="157"/>
      <c r="E4271" s="155"/>
      <c r="F4271" s="151"/>
      <c r="G4271" s="152"/>
      <c r="H4271" s="153"/>
      <c r="I4271" s="154"/>
      <c r="J4271" s="154"/>
      <c r="K4271" s="30" t="str">
        <f>IF(H4271="","",IF($C$30="간이법","",FPR(H4271,I4271,J4271)))</f>
        <v/>
      </c>
      <c r="L4271" s="30" t="str">
        <f>IF(H4271="","",IF($C$30="상세법",FPV(H4271,K4271),IF(H4271="EI",4,IF(H4271="EO",5.2,IF(H4271="EQ",3.9,IF(H4271="ILF",7.5,IF(H4271="EIF",5.4)))))))</f>
        <v/>
      </c>
      <c r="M4271" s="30" t="str">
        <f t="shared" si="457"/>
        <v/>
      </c>
      <c r="N4271" s="134"/>
      <c r="O4271" s="29"/>
      <c r="P4271" s="37" t="str">
        <f t="shared" si="458"/>
        <v/>
      </c>
      <c r="Q4271" s="38" t="str">
        <f t="shared" si="459"/>
        <v/>
      </c>
      <c r="R4271" s="37" t="str">
        <f t="shared" si="460"/>
        <v/>
      </c>
      <c r="S4271" s="37" t="str">
        <f t="shared" si="461"/>
        <v/>
      </c>
      <c r="T4271" s="38" t="str">
        <f t="shared" si="462"/>
        <v/>
      </c>
      <c r="U4271" s="37" t="str">
        <f t="shared" si="463"/>
        <v/>
      </c>
    </row>
    <row r="4272" spans="2:21" ht="17.25">
      <c r="B4272" s="156"/>
      <c r="C4272" s="156"/>
      <c r="D4272" s="157"/>
      <c r="E4272" s="155"/>
      <c r="F4272" s="151"/>
      <c r="G4272" s="152"/>
      <c r="H4272" s="153"/>
      <c r="I4272" s="154"/>
      <c r="J4272" s="154"/>
      <c r="K4272" s="30" t="str">
        <f>IF(H4272="","",IF($C$30="간이법","",FPR(H4272,I4272,J4272)))</f>
        <v/>
      </c>
      <c r="L4272" s="30" t="str">
        <f>IF(H4272="","",IF($C$30="상세법",FPV(H4272,K4272),IF(H4272="EI",4,IF(H4272="EO",5.2,IF(H4272="EQ",3.9,IF(H4272="ILF",7.5,IF(H4272="EIF",5.4)))))))</f>
        <v/>
      </c>
      <c r="M4272" s="30" t="str">
        <f t="shared" si="457"/>
        <v/>
      </c>
      <c r="N4272" s="134"/>
      <c r="O4272" s="29"/>
      <c r="P4272" s="37" t="str">
        <f t="shared" si="458"/>
        <v/>
      </c>
      <c r="Q4272" s="38" t="str">
        <f t="shared" si="459"/>
        <v/>
      </c>
      <c r="R4272" s="37" t="str">
        <f t="shared" si="460"/>
        <v/>
      </c>
      <c r="S4272" s="37" t="str">
        <f t="shared" si="461"/>
        <v/>
      </c>
      <c r="T4272" s="38" t="str">
        <f t="shared" si="462"/>
        <v/>
      </c>
      <c r="U4272" s="37" t="str">
        <f t="shared" si="463"/>
        <v/>
      </c>
    </row>
    <row r="4273" spans="2:21" ht="17.25">
      <c r="B4273" s="156"/>
      <c r="C4273" s="156"/>
      <c r="D4273" s="157"/>
      <c r="E4273" s="155"/>
      <c r="F4273" s="151"/>
      <c r="G4273" s="152"/>
      <c r="H4273" s="153"/>
      <c r="I4273" s="154"/>
      <c r="J4273" s="154"/>
      <c r="K4273" s="30" t="str">
        <f>IF(H4273="","",IF($C$30="간이법","",FPR(H4273,I4273,J4273)))</f>
        <v/>
      </c>
      <c r="L4273" s="30" t="str">
        <f>IF(H4273="","",IF($C$30="상세법",FPV(H4273,K4273),IF(H4273="EI",4,IF(H4273="EO",5.2,IF(H4273="EQ",3.9,IF(H4273="ILF",7.5,IF(H4273="EIF",5.4)))))))</f>
        <v/>
      </c>
      <c r="M4273" s="30" t="str">
        <f t="shared" si="457"/>
        <v/>
      </c>
      <c r="N4273" s="134"/>
      <c r="O4273" s="29"/>
      <c r="P4273" s="37" t="str">
        <f t="shared" si="458"/>
        <v/>
      </c>
      <c r="Q4273" s="38" t="str">
        <f t="shared" si="459"/>
        <v/>
      </c>
      <c r="R4273" s="37" t="str">
        <f t="shared" si="460"/>
        <v/>
      </c>
      <c r="S4273" s="37" t="str">
        <f t="shared" si="461"/>
        <v/>
      </c>
      <c r="T4273" s="38" t="str">
        <f t="shared" si="462"/>
        <v/>
      </c>
      <c r="U4273" s="37" t="str">
        <f t="shared" si="463"/>
        <v/>
      </c>
    </row>
    <row r="4274" spans="2:21" ht="17.25">
      <c r="B4274" s="156"/>
      <c r="C4274" s="156"/>
      <c r="D4274" s="157"/>
      <c r="E4274" s="155"/>
      <c r="F4274" s="151"/>
      <c r="G4274" s="152"/>
      <c r="H4274" s="153"/>
      <c r="I4274" s="154"/>
      <c r="J4274" s="154"/>
      <c r="K4274" s="30" t="str">
        <f>IF(H4274="","",IF($C$30="간이법","",FPR(H4274,I4274,J4274)))</f>
        <v/>
      </c>
      <c r="L4274" s="30" t="str">
        <f>IF(H4274="","",IF($C$30="상세법",FPV(H4274,K4274),IF(H4274="EI",4,IF(H4274="EO",5.2,IF(H4274="EQ",3.9,IF(H4274="ILF",7.5,IF(H4274="EIF",5.4)))))))</f>
        <v/>
      </c>
      <c r="M4274" s="30" t="str">
        <f t="shared" si="457"/>
        <v/>
      </c>
      <c r="N4274" s="134"/>
      <c r="O4274" s="29"/>
      <c r="P4274" s="37" t="str">
        <f t="shared" si="458"/>
        <v/>
      </c>
      <c r="Q4274" s="38" t="str">
        <f t="shared" si="459"/>
        <v/>
      </c>
      <c r="R4274" s="37" t="str">
        <f t="shared" si="460"/>
        <v/>
      </c>
      <c r="S4274" s="37" t="str">
        <f t="shared" si="461"/>
        <v/>
      </c>
      <c r="T4274" s="38" t="str">
        <f t="shared" si="462"/>
        <v/>
      </c>
      <c r="U4274" s="37" t="str">
        <f t="shared" si="463"/>
        <v/>
      </c>
    </row>
    <row r="4275" spans="2:21" ht="17.25">
      <c r="B4275" s="156"/>
      <c r="C4275" s="156"/>
      <c r="D4275" s="157"/>
      <c r="E4275" s="155"/>
      <c r="F4275" s="151"/>
      <c r="G4275" s="152"/>
      <c r="H4275" s="153"/>
      <c r="I4275" s="154"/>
      <c r="J4275" s="154"/>
      <c r="K4275" s="30" t="str">
        <f>IF(H4275="","",IF($C$30="간이법","",FPR(H4275,I4275,J4275)))</f>
        <v/>
      </c>
      <c r="L4275" s="30" t="str">
        <f>IF(H4275="","",IF($C$30="상세법",FPV(H4275,K4275),IF(H4275="EI",4,IF(H4275="EO",5.2,IF(H4275="EQ",3.9,IF(H4275="ILF",7.5,IF(H4275="EIF",5.4)))))))</f>
        <v/>
      </c>
      <c r="M4275" s="30" t="str">
        <f t="shared" si="457"/>
        <v/>
      </c>
      <c r="N4275" s="134"/>
      <c r="O4275" s="29"/>
      <c r="P4275" s="37" t="str">
        <f t="shared" si="458"/>
        <v/>
      </c>
      <c r="Q4275" s="38" t="str">
        <f t="shared" si="459"/>
        <v/>
      </c>
      <c r="R4275" s="37" t="str">
        <f t="shared" si="460"/>
        <v/>
      </c>
      <c r="S4275" s="37" t="str">
        <f t="shared" si="461"/>
        <v/>
      </c>
      <c r="T4275" s="38" t="str">
        <f t="shared" si="462"/>
        <v/>
      </c>
      <c r="U4275" s="37" t="str">
        <f t="shared" si="463"/>
        <v/>
      </c>
    </row>
    <row r="4276" spans="2:21" ht="17.25">
      <c r="B4276" s="156"/>
      <c r="C4276" s="156"/>
      <c r="D4276" s="157"/>
      <c r="E4276" s="155"/>
      <c r="F4276" s="151"/>
      <c r="G4276" s="152"/>
      <c r="H4276" s="153"/>
      <c r="I4276" s="154"/>
      <c r="J4276" s="154"/>
      <c r="K4276" s="30" t="str">
        <f>IF(H4276="","",IF($C$30="간이법","",FPR(H4276,I4276,J4276)))</f>
        <v/>
      </c>
      <c r="L4276" s="30" t="str">
        <f>IF(H4276="","",IF($C$30="상세법",FPV(H4276,K4276),IF(H4276="EI",4,IF(H4276="EO",5.2,IF(H4276="EQ",3.9,IF(H4276="ILF",7.5,IF(H4276="EIF",5.4)))))))</f>
        <v/>
      </c>
      <c r="M4276" s="30" t="str">
        <f t="shared" si="457"/>
        <v/>
      </c>
      <c r="N4276" s="134"/>
      <c r="O4276" s="29"/>
      <c r="P4276" s="37" t="str">
        <f t="shared" si="458"/>
        <v/>
      </c>
      <c r="Q4276" s="38" t="str">
        <f t="shared" si="459"/>
        <v/>
      </c>
      <c r="R4276" s="37" t="str">
        <f t="shared" si="460"/>
        <v/>
      </c>
      <c r="S4276" s="37" t="str">
        <f t="shared" si="461"/>
        <v/>
      </c>
      <c r="T4276" s="38" t="str">
        <f t="shared" si="462"/>
        <v/>
      </c>
      <c r="U4276" s="37" t="str">
        <f t="shared" si="463"/>
        <v/>
      </c>
    </row>
    <row r="4277" spans="2:21" ht="17.25">
      <c r="B4277" s="156"/>
      <c r="C4277" s="156"/>
      <c r="D4277" s="157"/>
      <c r="E4277" s="155"/>
      <c r="F4277" s="151"/>
      <c r="G4277" s="152"/>
      <c r="H4277" s="153"/>
      <c r="I4277" s="154"/>
      <c r="J4277" s="154"/>
      <c r="K4277" s="30" t="str">
        <f>IF(H4277="","",IF($C$30="간이법","",FPR(H4277,I4277,J4277)))</f>
        <v/>
      </c>
      <c r="L4277" s="30" t="str">
        <f>IF(H4277="","",IF($C$30="상세법",FPV(H4277,K4277),IF(H4277="EI",4,IF(H4277="EO",5.2,IF(H4277="EQ",3.9,IF(H4277="ILF",7.5,IF(H4277="EIF",5.4)))))))</f>
        <v/>
      </c>
      <c r="M4277" s="30" t="str">
        <f t="shared" si="457"/>
        <v/>
      </c>
      <c r="N4277" s="134"/>
      <c r="O4277" s="29"/>
      <c r="P4277" s="37" t="str">
        <f t="shared" si="458"/>
        <v/>
      </c>
      <c r="Q4277" s="38" t="str">
        <f t="shared" si="459"/>
        <v/>
      </c>
      <c r="R4277" s="37" t="str">
        <f t="shared" si="460"/>
        <v/>
      </c>
      <c r="S4277" s="37" t="str">
        <f t="shared" si="461"/>
        <v/>
      </c>
      <c r="T4277" s="38" t="str">
        <f t="shared" si="462"/>
        <v/>
      </c>
      <c r="U4277" s="37" t="str">
        <f t="shared" si="463"/>
        <v/>
      </c>
    </row>
    <row r="4278" spans="2:21" ht="17.25">
      <c r="B4278" s="156"/>
      <c r="C4278" s="156"/>
      <c r="D4278" s="157"/>
      <c r="E4278" s="155"/>
      <c r="F4278" s="151"/>
      <c r="G4278" s="152"/>
      <c r="H4278" s="153"/>
      <c r="I4278" s="154"/>
      <c r="J4278" s="154"/>
      <c r="K4278" s="30" t="str">
        <f>IF(H4278="","",IF($C$30="간이법","",FPR(H4278,I4278,J4278)))</f>
        <v/>
      </c>
      <c r="L4278" s="30" t="str">
        <f>IF(H4278="","",IF($C$30="상세법",FPV(H4278,K4278),IF(H4278="EI",4,IF(H4278="EO",5.2,IF(H4278="EQ",3.9,IF(H4278="ILF",7.5,IF(H4278="EIF",5.4)))))))</f>
        <v/>
      </c>
      <c r="M4278" s="30" t="str">
        <f t="shared" si="457"/>
        <v/>
      </c>
      <c r="N4278" s="134"/>
      <c r="O4278" s="29"/>
      <c r="P4278" s="37" t="str">
        <f t="shared" si="458"/>
        <v/>
      </c>
      <c r="Q4278" s="38" t="str">
        <f t="shared" si="459"/>
        <v/>
      </c>
      <c r="R4278" s="37" t="str">
        <f t="shared" si="460"/>
        <v/>
      </c>
      <c r="S4278" s="37" t="str">
        <f t="shared" si="461"/>
        <v/>
      </c>
      <c r="T4278" s="38" t="str">
        <f t="shared" si="462"/>
        <v/>
      </c>
      <c r="U4278" s="37" t="str">
        <f t="shared" si="463"/>
        <v/>
      </c>
    </row>
    <row r="4279" spans="2:21" ht="17.25">
      <c r="B4279" s="156"/>
      <c r="C4279" s="156"/>
      <c r="D4279" s="157"/>
      <c r="E4279" s="155"/>
      <c r="F4279" s="151"/>
      <c r="G4279" s="152"/>
      <c r="H4279" s="153"/>
      <c r="I4279" s="154"/>
      <c r="J4279" s="154"/>
      <c r="K4279" s="30" t="str">
        <f>IF(H4279="","",IF($C$30="간이법","",FPR(H4279,I4279,J4279)))</f>
        <v/>
      </c>
      <c r="L4279" s="30" t="str">
        <f>IF(H4279="","",IF($C$30="상세법",FPV(H4279,K4279),IF(H4279="EI",4,IF(H4279="EO",5.2,IF(H4279="EQ",3.9,IF(H4279="ILF",7.5,IF(H4279="EIF",5.4)))))))</f>
        <v/>
      </c>
      <c r="M4279" s="30" t="str">
        <f t="shared" si="457"/>
        <v/>
      </c>
      <c r="N4279" s="134"/>
      <c r="O4279" s="29"/>
      <c r="P4279" s="37" t="str">
        <f t="shared" si="458"/>
        <v/>
      </c>
      <c r="Q4279" s="38" t="str">
        <f t="shared" si="459"/>
        <v/>
      </c>
      <c r="R4279" s="37" t="str">
        <f t="shared" si="460"/>
        <v/>
      </c>
      <c r="S4279" s="37" t="str">
        <f t="shared" si="461"/>
        <v/>
      </c>
      <c r="T4279" s="38" t="str">
        <f t="shared" si="462"/>
        <v/>
      </c>
      <c r="U4279" s="37" t="str">
        <f t="shared" si="463"/>
        <v/>
      </c>
    </row>
    <row r="4280" spans="2:21" ht="17.25">
      <c r="B4280" s="156"/>
      <c r="C4280" s="156"/>
      <c r="D4280" s="157"/>
      <c r="E4280" s="155"/>
      <c r="F4280" s="151"/>
      <c r="G4280" s="152"/>
      <c r="H4280" s="153"/>
      <c r="I4280" s="154"/>
      <c r="J4280" s="154"/>
      <c r="K4280" s="30" t="str">
        <f>IF(H4280="","",IF($C$30="간이법","",FPR(H4280,I4280,J4280)))</f>
        <v/>
      </c>
      <c r="L4280" s="30" t="str">
        <f>IF(H4280="","",IF($C$30="상세법",FPV(H4280,K4280),IF(H4280="EI",4,IF(H4280="EO",5.2,IF(H4280="EQ",3.9,IF(H4280="ILF",7.5,IF(H4280="EIF",5.4)))))))</f>
        <v/>
      </c>
      <c r="M4280" s="30" t="str">
        <f t="shared" si="457"/>
        <v/>
      </c>
      <c r="N4280" s="134"/>
      <c r="O4280" s="29"/>
      <c r="P4280" s="37" t="str">
        <f t="shared" si="458"/>
        <v/>
      </c>
      <c r="Q4280" s="38" t="str">
        <f t="shared" si="459"/>
        <v/>
      </c>
      <c r="R4280" s="37" t="str">
        <f t="shared" si="460"/>
        <v/>
      </c>
      <c r="S4280" s="37" t="str">
        <f t="shared" si="461"/>
        <v/>
      </c>
      <c r="T4280" s="38" t="str">
        <f t="shared" si="462"/>
        <v/>
      </c>
      <c r="U4280" s="37" t="str">
        <f t="shared" si="463"/>
        <v/>
      </c>
    </row>
    <row r="4281" spans="2:21" ht="17.25">
      <c r="B4281" s="156"/>
      <c r="C4281" s="156"/>
      <c r="D4281" s="157"/>
      <c r="E4281" s="155"/>
      <c r="F4281" s="151"/>
      <c r="G4281" s="152"/>
      <c r="H4281" s="153"/>
      <c r="I4281" s="154"/>
      <c r="J4281" s="154"/>
      <c r="K4281" s="30" t="str">
        <f>IF(H4281="","",IF($C$30="간이법","",FPR(H4281,I4281,J4281)))</f>
        <v/>
      </c>
      <c r="L4281" s="30" t="str">
        <f>IF(H4281="","",IF($C$30="상세법",FPV(H4281,K4281),IF(H4281="EI",4,IF(H4281="EO",5.2,IF(H4281="EQ",3.9,IF(H4281="ILF",7.5,IF(H4281="EIF",5.4)))))))</f>
        <v/>
      </c>
      <c r="M4281" s="30" t="str">
        <f t="shared" si="457"/>
        <v/>
      </c>
      <c r="N4281" s="134"/>
      <c r="O4281" s="29"/>
      <c r="P4281" s="37" t="str">
        <f t="shared" si="458"/>
        <v/>
      </c>
      <c r="Q4281" s="38" t="str">
        <f t="shared" si="459"/>
        <v/>
      </c>
      <c r="R4281" s="37" t="str">
        <f t="shared" si="460"/>
        <v/>
      </c>
      <c r="S4281" s="37" t="str">
        <f t="shared" si="461"/>
        <v/>
      </c>
      <c r="T4281" s="38" t="str">
        <f t="shared" si="462"/>
        <v/>
      </c>
      <c r="U4281" s="37" t="str">
        <f t="shared" si="463"/>
        <v/>
      </c>
    </row>
    <row r="4282" spans="2:21" ht="17.25">
      <c r="B4282" s="156"/>
      <c r="C4282" s="156"/>
      <c r="D4282" s="157"/>
      <c r="E4282" s="155"/>
      <c r="F4282" s="151"/>
      <c r="G4282" s="152"/>
      <c r="H4282" s="153"/>
      <c r="I4282" s="154"/>
      <c r="J4282" s="154"/>
      <c r="K4282" s="30" t="str">
        <f>IF(H4282="","",IF($C$30="간이법","",FPR(H4282,I4282,J4282)))</f>
        <v/>
      </c>
      <c r="L4282" s="30" t="str">
        <f>IF(H4282="","",IF($C$30="상세법",FPV(H4282,K4282),IF(H4282="EI",4,IF(H4282="EO",5.2,IF(H4282="EQ",3.9,IF(H4282="ILF",7.5,IF(H4282="EIF",5.4)))))))</f>
        <v/>
      </c>
      <c r="M4282" s="30" t="str">
        <f t="shared" si="457"/>
        <v/>
      </c>
      <c r="N4282" s="134"/>
      <c r="O4282" s="29"/>
      <c r="P4282" s="37" t="str">
        <f t="shared" si="458"/>
        <v/>
      </c>
      <c r="Q4282" s="38" t="str">
        <f t="shared" si="459"/>
        <v/>
      </c>
      <c r="R4282" s="37" t="str">
        <f t="shared" si="460"/>
        <v/>
      </c>
      <c r="S4282" s="37" t="str">
        <f t="shared" si="461"/>
        <v/>
      </c>
      <c r="T4282" s="38" t="str">
        <f t="shared" si="462"/>
        <v/>
      </c>
      <c r="U4282" s="37" t="str">
        <f t="shared" si="463"/>
        <v/>
      </c>
    </row>
    <row r="4283" spans="2:21" ht="17.25">
      <c r="B4283" s="156"/>
      <c r="C4283" s="156"/>
      <c r="D4283" s="157"/>
      <c r="E4283" s="155"/>
      <c r="F4283" s="151"/>
      <c r="G4283" s="152"/>
      <c r="H4283" s="153"/>
      <c r="I4283" s="154"/>
      <c r="J4283" s="154"/>
      <c r="K4283" s="30" t="str">
        <f>IF(H4283="","",IF($C$30="간이법","",FPR(H4283,I4283,J4283)))</f>
        <v/>
      </c>
      <c r="L4283" s="30" t="str">
        <f>IF(H4283="","",IF($C$30="상세법",FPV(H4283,K4283),IF(H4283="EI",4,IF(H4283="EO",5.2,IF(H4283="EQ",3.9,IF(H4283="ILF",7.5,IF(H4283="EIF",5.4)))))))</f>
        <v/>
      </c>
      <c r="M4283" s="30" t="str">
        <f t="shared" si="457"/>
        <v/>
      </c>
      <c r="N4283" s="134"/>
      <c r="O4283" s="29"/>
      <c r="P4283" s="37" t="str">
        <f t="shared" si="458"/>
        <v/>
      </c>
      <c r="Q4283" s="38" t="str">
        <f t="shared" si="459"/>
        <v/>
      </c>
      <c r="R4283" s="37" t="str">
        <f t="shared" si="460"/>
        <v/>
      </c>
      <c r="S4283" s="37" t="str">
        <f t="shared" si="461"/>
        <v/>
      </c>
      <c r="T4283" s="38" t="str">
        <f t="shared" si="462"/>
        <v/>
      </c>
      <c r="U4283" s="37" t="str">
        <f t="shared" si="463"/>
        <v/>
      </c>
    </row>
    <row r="4284" spans="2:21" ht="17.25">
      <c r="B4284" s="156"/>
      <c r="C4284" s="156"/>
      <c r="D4284" s="157"/>
      <c r="E4284" s="155"/>
      <c r="F4284" s="151"/>
      <c r="G4284" s="152"/>
      <c r="H4284" s="153"/>
      <c r="I4284" s="154"/>
      <c r="J4284" s="154"/>
      <c r="K4284" s="30" t="str">
        <f>IF(H4284="","",IF($C$30="간이법","",FPR(H4284,I4284,J4284)))</f>
        <v/>
      </c>
      <c r="L4284" s="30" t="str">
        <f>IF(H4284="","",IF($C$30="상세법",FPV(H4284,K4284),IF(H4284="EI",4,IF(H4284="EO",5.2,IF(H4284="EQ",3.9,IF(H4284="ILF",7.5,IF(H4284="EIF",5.4)))))))</f>
        <v/>
      </c>
      <c r="M4284" s="30" t="str">
        <f t="shared" ref="M4284:M4347" si="464">IF(OR(G4284="",$E$36="(선택)",$E$40="(선택)",$E$41="(선택)",F4284="신규 개발",F4284="수정 없이 재사용"),"",(IF(F4284="수정 후 재사용",IF($E$50&lt;=0.5,L4284*($E$36+$E$50*100*(1+0.02*($E$40*$E$41)))/100,L4284*($E$36+$E$50*100+($E$40*$E$41))/100))))</f>
        <v/>
      </c>
      <c r="N4284" s="134"/>
      <c r="O4284" s="29"/>
      <c r="P4284" s="37" t="str">
        <f t="shared" ref="P4284:P4347" si="465">IF(F4284="수정 후 재사용",IF(H4284="ILF",G4284,IF(H4284="EIF",G4284,"")),"")</f>
        <v/>
      </c>
      <c r="Q4284" s="38" t="str">
        <f t="shared" ref="Q4284:Q4347" si="466">IF(P4284&lt;&gt;"",IF(H4284="ILF", L4284/$E$46,IF(H4284="EIF", L4284/$E$46,"")),"")</f>
        <v/>
      </c>
      <c r="R4284" s="37" t="str">
        <f t="shared" ref="R4284:R4347" si="467">IF(P4284&lt;&gt;"",P4284*Q4284,"")</f>
        <v/>
      </c>
      <c r="S4284" s="37" t="str">
        <f t="shared" ref="S4284:S4347" si="468">IF(F4284="수정 후 재사용",IF(H4284="EI",G4284,IF(H4284="EO",G4284,IF(H4284="EQ",G4284,""))),"")</f>
        <v/>
      </c>
      <c r="T4284" s="38" t="str">
        <f t="shared" ref="T4284:T4347" si="469">IF(S4284&lt;&gt;"",IF(H4284="EI",L4284/$E$47,IF(H4284="EO",L4284/$E$47,IF(H4284="EQ",L4284/$E$47,""))),"")</f>
        <v/>
      </c>
      <c r="U4284" s="37" t="str">
        <f t="shared" ref="U4284:U4347" si="470">IF(S4284&lt;&gt;"",S4284*T4284,"")</f>
        <v/>
      </c>
    </row>
    <row r="4285" spans="2:21" ht="17.25">
      <c r="B4285" s="156"/>
      <c r="C4285" s="156"/>
      <c r="D4285" s="157"/>
      <c r="E4285" s="155"/>
      <c r="F4285" s="151"/>
      <c r="G4285" s="152"/>
      <c r="H4285" s="153"/>
      <c r="I4285" s="154"/>
      <c r="J4285" s="154"/>
      <c r="K4285" s="30" t="str">
        <f>IF(H4285="","",IF($C$30="간이법","",FPR(H4285,I4285,J4285)))</f>
        <v/>
      </c>
      <c r="L4285" s="30" t="str">
        <f>IF(H4285="","",IF($C$30="상세법",FPV(H4285,K4285),IF(H4285="EI",4,IF(H4285="EO",5.2,IF(H4285="EQ",3.9,IF(H4285="ILF",7.5,IF(H4285="EIF",5.4)))))))</f>
        <v/>
      </c>
      <c r="M4285" s="30" t="str">
        <f t="shared" si="464"/>
        <v/>
      </c>
      <c r="N4285" s="134"/>
      <c r="O4285" s="29"/>
      <c r="P4285" s="37" t="str">
        <f t="shared" si="465"/>
        <v/>
      </c>
      <c r="Q4285" s="38" t="str">
        <f t="shared" si="466"/>
        <v/>
      </c>
      <c r="R4285" s="37" t="str">
        <f t="shared" si="467"/>
        <v/>
      </c>
      <c r="S4285" s="37" t="str">
        <f t="shared" si="468"/>
        <v/>
      </c>
      <c r="T4285" s="38" t="str">
        <f t="shared" si="469"/>
        <v/>
      </c>
      <c r="U4285" s="37" t="str">
        <f t="shared" si="470"/>
        <v/>
      </c>
    </row>
    <row r="4286" spans="2:21" ht="17.25">
      <c r="B4286" s="156"/>
      <c r="C4286" s="156"/>
      <c r="D4286" s="157"/>
      <c r="E4286" s="155"/>
      <c r="F4286" s="151"/>
      <c r="G4286" s="152"/>
      <c r="H4286" s="153"/>
      <c r="I4286" s="154"/>
      <c r="J4286" s="154"/>
      <c r="K4286" s="30" t="str">
        <f>IF(H4286="","",IF($C$30="간이법","",FPR(H4286,I4286,J4286)))</f>
        <v/>
      </c>
      <c r="L4286" s="30" t="str">
        <f>IF(H4286="","",IF($C$30="상세법",FPV(H4286,K4286),IF(H4286="EI",4,IF(H4286="EO",5.2,IF(H4286="EQ",3.9,IF(H4286="ILF",7.5,IF(H4286="EIF",5.4)))))))</f>
        <v/>
      </c>
      <c r="M4286" s="30" t="str">
        <f t="shared" si="464"/>
        <v/>
      </c>
      <c r="N4286" s="134"/>
      <c r="O4286" s="29"/>
      <c r="P4286" s="37" t="str">
        <f t="shared" si="465"/>
        <v/>
      </c>
      <c r="Q4286" s="38" t="str">
        <f t="shared" si="466"/>
        <v/>
      </c>
      <c r="R4286" s="37" t="str">
        <f t="shared" si="467"/>
        <v/>
      </c>
      <c r="S4286" s="37" t="str">
        <f t="shared" si="468"/>
        <v/>
      </c>
      <c r="T4286" s="38" t="str">
        <f t="shared" si="469"/>
        <v/>
      </c>
      <c r="U4286" s="37" t="str">
        <f t="shared" si="470"/>
        <v/>
      </c>
    </row>
    <row r="4287" spans="2:21" ht="17.25">
      <c r="B4287" s="156"/>
      <c r="C4287" s="156"/>
      <c r="D4287" s="157"/>
      <c r="E4287" s="155"/>
      <c r="F4287" s="151"/>
      <c r="G4287" s="152"/>
      <c r="H4287" s="153"/>
      <c r="I4287" s="154"/>
      <c r="J4287" s="154"/>
      <c r="K4287" s="30" t="str">
        <f>IF(H4287="","",IF($C$30="간이법","",FPR(H4287,I4287,J4287)))</f>
        <v/>
      </c>
      <c r="L4287" s="30" t="str">
        <f>IF(H4287="","",IF($C$30="상세법",FPV(H4287,K4287),IF(H4287="EI",4,IF(H4287="EO",5.2,IF(H4287="EQ",3.9,IF(H4287="ILF",7.5,IF(H4287="EIF",5.4)))))))</f>
        <v/>
      </c>
      <c r="M4287" s="30" t="str">
        <f t="shared" si="464"/>
        <v/>
      </c>
      <c r="N4287" s="134"/>
      <c r="O4287" s="29"/>
      <c r="P4287" s="37" t="str">
        <f t="shared" si="465"/>
        <v/>
      </c>
      <c r="Q4287" s="38" t="str">
        <f t="shared" si="466"/>
        <v/>
      </c>
      <c r="R4287" s="37" t="str">
        <f t="shared" si="467"/>
        <v/>
      </c>
      <c r="S4287" s="37" t="str">
        <f t="shared" si="468"/>
        <v/>
      </c>
      <c r="T4287" s="38" t="str">
        <f t="shared" si="469"/>
        <v/>
      </c>
      <c r="U4287" s="37" t="str">
        <f t="shared" si="470"/>
        <v/>
      </c>
    </row>
    <row r="4288" spans="2:21" ht="17.25">
      <c r="B4288" s="156"/>
      <c r="C4288" s="156"/>
      <c r="D4288" s="157"/>
      <c r="E4288" s="155"/>
      <c r="F4288" s="151"/>
      <c r="G4288" s="152"/>
      <c r="H4288" s="153"/>
      <c r="I4288" s="154"/>
      <c r="J4288" s="154"/>
      <c r="K4288" s="30" t="str">
        <f>IF(H4288="","",IF($C$30="간이법","",FPR(H4288,I4288,J4288)))</f>
        <v/>
      </c>
      <c r="L4288" s="30" t="str">
        <f>IF(H4288="","",IF($C$30="상세법",FPV(H4288,K4288),IF(H4288="EI",4,IF(H4288="EO",5.2,IF(H4288="EQ",3.9,IF(H4288="ILF",7.5,IF(H4288="EIF",5.4)))))))</f>
        <v/>
      </c>
      <c r="M4288" s="30" t="str">
        <f t="shared" si="464"/>
        <v/>
      </c>
      <c r="N4288" s="134"/>
      <c r="O4288" s="29"/>
      <c r="P4288" s="37" t="str">
        <f t="shared" si="465"/>
        <v/>
      </c>
      <c r="Q4288" s="38" t="str">
        <f t="shared" si="466"/>
        <v/>
      </c>
      <c r="R4288" s="37" t="str">
        <f t="shared" si="467"/>
        <v/>
      </c>
      <c r="S4288" s="37" t="str">
        <f t="shared" si="468"/>
        <v/>
      </c>
      <c r="T4288" s="38" t="str">
        <f t="shared" si="469"/>
        <v/>
      </c>
      <c r="U4288" s="37" t="str">
        <f t="shared" si="470"/>
        <v/>
      </c>
    </row>
    <row r="4289" spans="2:21" ht="17.25">
      <c r="B4289" s="156"/>
      <c r="C4289" s="156"/>
      <c r="D4289" s="157"/>
      <c r="E4289" s="155"/>
      <c r="F4289" s="151"/>
      <c r="G4289" s="152"/>
      <c r="H4289" s="153"/>
      <c r="I4289" s="154"/>
      <c r="J4289" s="154"/>
      <c r="K4289" s="30" t="str">
        <f>IF(H4289="","",IF($C$30="간이법","",FPR(H4289,I4289,J4289)))</f>
        <v/>
      </c>
      <c r="L4289" s="30" t="str">
        <f>IF(H4289="","",IF($C$30="상세법",FPV(H4289,K4289),IF(H4289="EI",4,IF(H4289="EO",5.2,IF(H4289="EQ",3.9,IF(H4289="ILF",7.5,IF(H4289="EIF",5.4)))))))</f>
        <v/>
      </c>
      <c r="M4289" s="30" t="str">
        <f t="shared" si="464"/>
        <v/>
      </c>
      <c r="N4289" s="134"/>
      <c r="O4289" s="29"/>
      <c r="P4289" s="37" t="str">
        <f t="shared" si="465"/>
        <v/>
      </c>
      <c r="Q4289" s="38" t="str">
        <f t="shared" si="466"/>
        <v/>
      </c>
      <c r="R4289" s="37" t="str">
        <f t="shared" si="467"/>
        <v/>
      </c>
      <c r="S4289" s="37" t="str">
        <f t="shared" si="468"/>
        <v/>
      </c>
      <c r="T4289" s="38" t="str">
        <f t="shared" si="469"/>
        <v/>
      </c>
      <c r="U4289" s="37" t="str">
        <f t="shared" si="470"/>
        <v/>
      </c>
    </row>
    <row r="4290" spans="2:21" ht="17.25">
      <c r="B4290" s="156"/>
      <c r="C4290" s="156"/>
      <c r="D4290" s="157"/>
      <c r="E4290" s="155"/>
      <c r="F4290" s="151"/>
      <c r="G4290" s="152"/>
      <c r="H4290" s="153"/>
      <c r="I4290" s="154"/>
      <c r="J4290" s="154"/>
      <c r="K4290" s="30" t="str">
        <f>IF(H4290="","",IF($C$30="간이법","",FPR(H4290,I4290,J4290)))</f>
        <v/>
      </c>
      <c r="L4290" s="30" t="str">
        <f>IF(H4290="","",IF($C$30="상세법",FPV(H4290,K4290),IF(H4290="EI",4,IF(H4290="EO",5.2,IF(H4290="EQ",3.9,IF(H4290="ILF",7.5,IF(H4290="EIF",5.4)))))))</f>
        <v/>
      </c>
      <c r="M4290" s="30" t="str">
        <f t="shared" si="464"/>
        <v/>
      </c>
      <c r="N4290" s="134"/>
      <c r="O4290" s="29"/>
      <c r="P4290" s="37" t="str">
        <f t="shared" si="465"/>
        <v/>
      </c>
      <c r="Q4290" s="38" t="str">
        <f t="shared" si="466"/>
        <v/>
      </c>
      <c r="R4290" s="37" t="str">
        <f t="shared" si="467"/>
        <v/>
      </c>
      <c r="S4290" s="37" t="str">
        <f t="shared" si="468"/>
        <v/>
      </c>
      <c r="T4290" s="38" t="str">
        <f t="shared" si="469"/>
        <v/>
      </c>
      <c r="U4290" s="37" t="str">
        <f t="shared" si="470"/>
        <v/>
      </c>
    </row>
    <row r="4291" spans="2:21" ht="17.25">
      <c r="B4291" s="156"/>
      <c r="C4291" s="156"/>
      <c r="D4291" s="157"/>
      <c r="E4291" s="155"/>
      <c r="F4291" s="151"/>
      <c r="G4291" s="152"/>
      <c r="H4291" s="153"/>
      <c r="I4291" s="154"/>
      <c r="J4291" s="154"/>
      <c r="K4291" s="30" t="str">
        <f>IF(H4291="","",IF($C$30="간이법","",FPR(H4291,I4291,J4291)))</f>
        <v/>
      </c>
      <c r="L4291" s="30" t="str">
        <f>IF(H4291="","",IF($C$30="상세법",FPV(H4291,K4291),IF(H4291="EI",4,IF(H4291="EO",5.2,IF(H4291="EQ",3.9,IF(H4291="ILF",7.5,IF(H4291="EIF",5.4)))))))</f>
        <v/>
      </c>
      <c r="M4291" s="30" t="str">
        <f t="shared" si="464"/>
        <v/>
      </c>
      <c r="N4291" s="134"/>
      <c r="O4291" s="29"/>
      <c r="P4291" s="37" t="str">
        <f t="shared" si="465"/>
        <v/>
      </c>
      <c r="Q4291" s="38" t="str">
        <f t="shared" si="466"/>
        <v/>
      </c>
      <c r="R4291" s="37" t="str">
        <f t="shared" si="467"/>
        <v/>
      </c>
      <c r="S4291" s="37" t="str">
        <f t="shared" si="468"/>
        <v/>
      </c>
      <c r="T4291" s="38" t="str">
        <f t="shared" si="469"/>
        <v/>
      </c>
      <c r="U4291" s="37" t="str">
        <f t="shared" si="470"/>
        <v/>
      </c>
    </row>
    <row r="4292" spans="2:21" ht="17.25">
      <c r="B4292" s="156"/>
      <c r="C4292" s="156"/>
      <c r="D4292" s="157"/>
      <c r="E4292" s="155"/>
      <c r="F4292" s="151"/>
      <c r="G4292" s="152"/>
      <c r="H4292" s="153"/>
      <c r="I4292" s="154"/>
      <c r="J4292" s="154"/>
      <c r="K4292" s="30" t="str">
        <f>IF(H4292="","",IF($C$30="간이법","",FPR(H4292,I4292,J4292)))</f>
        <v/>
      </c>
      <c r="L4292" s="30" t="str">
        <f>IF(H4292="","",IF($C$30="상세법",FPV(H4292,K4292),IF(H4292="EI",4,IF(H4292="EO",5.2,IF(H4292="EQ",3.9,IF(H4292="ILF",7.5,IF(H4292="EIF",5.4)))))))</f>
        <v/>
      </c>
      <c r="M4292" s="30" t="str">
        <f t="shared" si="464"/>
        <v/>
      </c>
      <c r="N4292" s="134"/>
      <c r="O4292" s="29"/>
      <c r="P4292" s="37" t="str">
        <f t="shared" si="465"/>
        <v/>
      </c>
      <c r="Q4292" s="38" t="str">
        <f t="shared" si="466"/>
        <v/>
      </c>
      <c r="R4292" s="37" t="str">
        <f t="shared" si="467"/>
        <v/>
      </c>
      <c r="S4292" s="37" t="str">
        <f t="shared" si="468"/>
        <v/>
      </c>
      <c r="T4292" s="38" t="str">
        <f t="shared" si="469"/>
        <v/>
      </c>
      <c r="U4292" s="37" t="str">
        <f t="shared" si="470"/>
        <v/>
      </c>
    </row>
    <row r="4293" spans="2:21" ht="17.25">
      <c r="B4293" s="156"/>
      <c r="C4293" s="156"/>
      <c r="D4293" s="157"/>
      <c r="E4293" s="155"/>
      <c r="F4293" s="151"/>
      <c r="G4293" s="152"/>
      <c r="H4293" s="153"/>
      <c r="I4293" s="154"/>
      <c r="J4293" s="154"/>
      <c r="K4293" s="30" t="str">
        <f>IF(H4293="","",IF($C$30="간이법","",FPR(H4293,I4293,J4293)))</f>
        <v/>
      </c>
      <c r="L4293" s="30" t="str">
        <f>IF(H4293="","",IF($C$30="상세법",FPV(H4293,K4293),IF(H4293="EI",4,IF(H4293="EO",5.2,IF(H4293="EQ",3.9,IF(H4293="ILF",7.5,IF(H4293="EIF",5.4)))))))</f>
        <v/>
      </c>
      <c r="M4293" s="30" t="str">
        <f t="shared" si="464"/>
        <v/>
      </c>
      <c r="N4293" s="134"/>
      <c r="O4293" s="29"/>
      <c r="P4293" s="37" t="str">
        <f t="shared" si="465"/>
        <v/>
      </c>
      <c r="Q4293" s="38" t="str">
        <f t="shared" si="466"/>
        <v/>
      </c>
      <c r="R4293" s="37" t="str">
        <f t="shared" si="467"/>
        <v/>
      </c>
      <c r="S4293" s="37" t="str">
        <f t="shared" si="468"/>
        <v/>
      </c>
      <c r="T4293" s="38" t="str">
        <f t="shared" si="469"/>
        <v/>
      </c>
      <c r="U4293" s="37" t="str">
        <f t="shared" si="470"/>
        <v/>
      </c>
    </row>
    <row r="4294" spans="2:21" ht="17.25">
      <c r="B4294" s="156"/>
      <c r="C4294" s="156"/>
      <c r="D4294" s="157"/>
      <c r="E4294" s="155"/>
      <c r="F4294" s="151"/>
      <c r="G4294" s="152"/>
      <c r="H4294" s="153"/>
      <c r="I4294" s="154"/>
      <c r="J4294" s="154"/>
      <c r="K4294" s="30" t="str">
        <f>IF(H4294="","",IF($C$30="간이법","",FPR(H4294,I4294,J4294)))</f>
        <v/>
      </c>
      <c r="L4294" s="30" t="str">
        <f>IF(H4294="","",IF($C$30="상세법",FPV(H4294,K4294),IF(H4294="EI",4,IF(H4294="EO",5.2,IF(H4294="EQ",3.9,IF(H4294="ILF",7.5,IF(H4294="EIF",5.4)))))))</f>
        <v/>
      </c>
      <c r="M4294" s="30" t="str">
        <f t="shared" si="464"/>
        <v/>
      </c>
      <c r="N4294" s="134"/>
      <c r="O4294" s="29"/>
      <c r="P4294" s="37" t="str">
        <f t="shared" si="465"/>
        <v/>
      </c>
      <c r="Q4294" s="38" t="str">
        <f t="shared" si="466"/>
        <v/>
      </c>
      <c r="R4294" s="37" t="str">
        <f t="shared" si="467"/>
        <v/>
      </c>
      <c r="S4294" s="37" t="str">
        <f t="shared" si="468"/>
        <v/>
      </c>
      <c r="T4294" s="38" t="str">
        <f t="shared" si="469"/>
        <v/>
      </c>
      <c r="U4294" s="37" t="str">
        <f t="shared" si="470"/>
        <v/>
      </c>
    </row>
    <row r="4295" spans="2:21" ht="17.25">
      <c r="B4295" s="156"/>
      <c r="C4295" s="156"/>
      <c r="D4295" s="157"/>
      <c r="E4295" s="155"/>
      <c r="F4295" s="151"/>
      <c r="G4295" s="152"/>
      <c r="H4295" s="153"/>
      <c r="I4295" s="154"/>
      <c r="J4295" s="154"/>
      <c r="K4295" s="30" t="str">
        <f>IF(H4295="","",IF($C$30="간이법","",FPR(H4295,I4295,J4295)))</f>
        <v/>
      </c>
      <c r="L4295" s="30" t="str">
        <f>IF(H4295="","",IF($C$30="상세법",FPV(H4295,K4295),IF(H4295="EI",4,IF(H4295="EO",5.2,IF(H4295="EQ",3.9,IF(H4295="ILF",7.5,IF(H4295="EIF",5.4)))))))</f>
        <v/>
      </c>
      <c r="M4295" s="30" t="str">
        <f t="shared" si="464"/>
        <v/>
      </c>
      <c r="N4295" s="134"/>
      <c r="O4295" s="29"/>
      <c r="P4295" s="37" t="str">
        <f t="shared" si="465"/>
        <v/>
      </c>
      <c r="Q4295" s="38" t="str">
        <f t="shared" si="466"/>
        <v/>
      </c>
      <c r="R4295" s="37" t="str">
        <f t="shared" si="467"/>
        <v/>
      </c>
      <c r="S4295" s="37" t="str">
        <f t="shared" si="468"/>
        <v/>
      </c>
      <c r="T4295" s="38" t="str">
        <f t="shared" si="469"/>
        <v/>
      </c>
      <c r="U4295" s="37" t="str">
        <f t="shared" si="470"/>
        <v/>
      </c>
    </row>
    <row r="4296" spans="2:21" ht="17.25">
      <c r="B4296" s="156"/>
      <c r="C4296" s="156"/>
      <c r="D4296" s="157"/>
      <c r="E4296" s="155"/>
      <c r="F4296" s="151"/>
      <c r="G4296" s="152"/>
      <c r="H4296" s="153"/>
      <c r="I4296" s="154"/>
      <c r="J4296" s="154"/>
      <c r="K4296" s="30" t="str">
        <f>IF(H4296="","",IF($C$30="간이법","",FPR(H4296,I4296,J4296)))</f>
        <v/>
      </c>
      <c r="L4296" s="30" t="str">
        <f>IF(H4296="","",IF($C$30="상세법",FPV(H4296,K4296),IF(H4296="EI",4,IF(H4296="EO",5.2,IF(H4296="EQ",3.9,IF(H4296="ILF",7.5,IF(H4296="EIF",5.4)))))))</f>
        <v/>
      </c>
      <c r="M4296" s="30" t="str">
        <f t="shared" si="464"/>
        <v/>
      </c>
      <c r="N4296" s="134"/>
      <c r="O4296" s="29"/>
      <c r="P4296" s="37" t="str">
        <f t="shared" si="465"/>
        <v/>
      </c>
      <c r="Q4296" s="38" t="str">
        <f t="shared" si="466"/>
        <v/>
      </c>
      <c r="R4296" s="37" t="str">
        <f t="shared" si="467"/>
        <v/>
      </c>
      <c r="S4296" s="37" t="str">
        <f t="shared" si="468"/>
        <v/>
      </c>
      <c r="T4296" s="38" t="str">
        <f t="shared" si="469"/>
        <v/>
      </c>
      <c r="U4296" s="37" t="str">
        <f t="shared" si="470"/>
        <v/>
      </c>
    </row>
    <row r="4297" spans="2:21" ht="17.25">
      <c r="B4297" s="156"/>
      <c r="C4297" s="156"/>
      <c r="D4297" s="157"/>
      <c r="E4297" s="155"/>
      <c r="F4297" s="151"/>
      <c r="G4297" s="152"/>
      <c r="H4297" s="153"/>
      <c r="I4297" s="154"/>
      <c r="J4297" s="154"/>
      <c r="K4297" s="30" t="str">
        <f>IF(H4297="","",IF($C$30="간이법","",FPR(H4297,I4297,J4297)))</f>
        <v/>
      </c>
      <c r="L4297" s="30" t="str">
        <f>IF(H4297="","",IF($C$30="상세법",FPV(H4297,K4297),IF(H4297="EI",4,IF(H4297="EO",5.2,IF(H4297="EQ",3.9,IF(H4297="ILF",7.5,IF(H4297="EIF",5.4)))))))</f>
        <v/>
      </c>
      <c r="M4297" s="30" t="str">
        <f t="shared" si="464"/>
        <v/>
      </c>
      <c r="N4297" s="134"/>
      <c r="O4297" s="29"/>
      <c r="P4297" s="37" t="str">
        <f t="shared" si="465"/>
        <v/>
      </c>
      <c r="Q4297" s="38" t="str">
        <f t="shared" si="466"/>
        <v/>
      </c>
      <c r="R4297" s="37" t="str">
        <f t="shared" si="467"/>
        <v/>
      </c>
      <c r="S4297" s="37" t="str">
        <f t="shared" si="468"/>
        <v/>
      </c>
      <c r="T4297" s="38" t="str">
        <f t="shared" si="469"/>
        <v/>
      </c>
      <c r="U4297" s="37" t="str">
        <f t="shared" si="470"/>
        <v/>
      </c>
    </row>
    <row r="4298" spans="2:21" ht="17.25">
      <c r="B4298" s="156"/>
      <c r="C4298" s="156"/>
      <c r="D4298" s="157"/>
      <c r="E4298" s="155"/>
      <c r="F4298" s="151"/>
      <c r="G4298" s="152"/>
      <c r="H4298" s="153"/>
      <c r="I4298" s="154"/>
      <c r="J4298" s="154"/>
      <c r="K4298" s="30" t="str">
        <f>IF(H4298="","",IF($C$30="간이법","",FPR(H4298,I4298,J4298)))</f>
        <v/>
      </c>
      <c r="L4298" s="30" t="str">
        <f>IF(H4298="","",IF($C$30="상세법",FPV(H4298,K4298),IF(H4298="EI",4,IF(H4298="EO",5.2,IF(H4298="EQ",3.9,IF(H4298="ILF",7.5,IF(H4298="EIF",5.4)))))))</f>
        <v/>
      </c>
      <c r="M4298" s="30" t="str">
        <f t="shared" si="464"/>
        <v/>
      </c>
      <c r="N4298" s="134"/>
      <c r="O4298" s="29"/>
      <c r="P4298" s="37" t="str">
        <f t="shared" si="465"/>
        <v/>
      </c>
      <c r="Q4298" s="38" t="str">
        <f t="shared" si="466"/>
        <v/>
      </c>
      <c r="R4298" s="37" t="str">
        <f t="shared" si="467"/>
        <v/>
      </c>
      <c r="S4298" s="37" t="str">
        <f t="shared" si="468"/>
        <v/>
      </c>
      <c r="T4298" s="38" t="str">
        <f t="shared" si="469"/>
        <v/>
      </c>
      <c r="U4298" s="37" t="str">
        <f t="shared" si="470"/>
        <v/>
      </c>
    </row>
    <row r="4299" spans="2:21" ht="17.25">
      <c r="B4299" s="156"/>
      <c r="C4299" s="156"/>
      <c r="D4299" s="157"/>
      <c r="E4299" s="155"/>
      <c r="F4299" s="151"/>
      <c r="G4299" s="152"/>
      <c r="H4299" s="153"/>
      <c r="I4299" s="154"/>
      <c r="J4299" s="154"/>
      <c r="K4299" s="30" t="str">
        <f>IF(H4299="","",IF($C$30="간이법","",FPR(H4299,I4299,J4299)))</f>
        <v/>
      </c>
      <c r="L4299" s="30" t="str">
        <f>IF(H4299="","",IF($C$30="상세법",FPV(H4299,K4299),IF(H4299="EI",4,IF(H4299="EO",5.2,IF(H4299="EQ",3.9,IF(H4299="ILF",7.5,IF(H4299="EIF",5.4)))))))</f>
        <v/>
      </c>
      <c r="M4299" s="30" t="str">
        <f t="shared" si="464"/>
        <v/>
      </c>
      <c r="N4299" s="134"/>
      <c r="O4299" s="29"/>
      <c r="P4299" s="37" t="str">
        <f t="shared" si="465"/>
        <v/>
      </c>
      <c r="Q4299" s="38" t="str">
        <f t="shared" si="466"/>
        <v/>
      </c>
      <c r="R4299" s="37" t="str">
        <f t="shared" si="467"/>
        <v/>
      </c>
      <c r="S4299" s="37" t="str">
        <f t="shared" si="468"/>
        <v/>
      </c>
      <c r="T4299" s="38" t="str">
        <f t="shared" si="469"/>
        <v/>
      </c>
      <c r="U4299" s="37" t="str">
        <f t="shared" si="470"/>
        <v/>
      </c>
    </row>
    <row r="4300" spans="2:21" ht="17.25">
      <c r="B4300" s="156"/>
      <c r="C4300" s="156"/>
      <c r="D4300" s="157"/>
      <c r="E4300" s="155"/>
      <c r="F4300" s="151"/>
      <c r="G4300" s="152"/>
      <c r="H4300" s="153"/>
      <c r="I4300" s="154"/>
      <c r="J4300" s="154"/>
      <c r="K4300" s="30" t="str">
        <f>IF(H4300="","",IF($C$30="간이법","",FPR(H4300,I4300,J4300)))</f>
        <v/>
      </c>
      <c r="L4300" s="30" t="str">
        <f>IF(H4300="","",IF($C$30="상세법",FPV(H4300,K4300),IF(H4300="EI",4,IF(H4300="EO",5.2,IF(H4300="EQ",3.9,IF(H4300="ILF",7.5,IF(H4300="EIF",5.4)))))))</f>
        <v/>
      </c>
      <c r="M4300" s="30" t="str">
        <f t="shared" si="464"/>
        <v/>
      </c>
      <c r="N4300" s="134"/>
      <c r="O4300" s="29"/>
      <c r="P4300" s="37" t="str">
        <f t="shared" si="465"/>
        <v/>
      </c>
      <c r="Q4300" s="38" t="str">
        <f t="shared" si="466"/>
        <v/>
      </c>
      <c r="R4300" s="37" t="str">
        <f t="shared" si="467"/>
        <v/>
      </c>
      <c r="S4300" s="37" t="str">
        <f t="shared" si="468"/>
        <v/>
      </c>
      <c r="T4300" s="38" t="str">
        <f t="shared" si="469"/>
        <v/>
      </c>
      <c r="U4300" s="37" t="str">
        <f t="shared" si="470"/>
        <v/>
      </c>
    </row>
    <row r="4301" spans="2:21" ht="17.25">
      <c r="B4301" s="156"/>
      <c r="C4301" s="156"/>
      <c r="D4301" s="157"/>
      <c r="E4301" s="155"/>
      <c r="F4301" s="151"/>
      <c r="G4301" s="152"/>
      <c r="H4301" s="153"/>
      <c r="I4301" s="154"/>
      <c r="J4301" s="154"/>
      <c r="K4301" s="30" t="str">
        <f>IF(H4301="","",IF($C$30="간이법","",FPR(H4301,I4301,J4301)))</f>
        <v/>
      </c>
      <c r="L4301" s="30" t="str">
        <f>IF(H4301="","",IF($C$30="상세법",FPV(H4301,K4301),IF(H4301="EI",4,IF(H4301="EO",5.2,IF(H4301="EQ",3.9,IF(H4301="ILF",7.5,IF(H4301="EIF",5.4)))))))</f>
        <v/>
      </c>
      <c r="M4301" s="30" t="str">
        <f t="shared" si="464"/>
        <v/>
      </c>
      <c r="N4301" s="134"/>
      <c r="O4301" s="29"/>
      <c r="P4301" s="37" t="str">
        <f t="shared" si="465"/>
        <v/>
      </c>
      <c r="Q4301" s="38" t="str">
        <f t="shared" si="466"/>
        <v/>
      </c>
      <c r="R4301" s="37" t="str">
        <f t="shared" si="467"/>
        <v/>
      </c>
      <c r="S4301" s="37" t="str">
        <f t="shared" si="468"/>
        <v/>
      </c>
      <c r="T4301" s="38" t="str">
        <f t="shared" si="469"/>
        <v/>
      </c>
      <c r="U4301" s="37" t="str">
        <f t="shared" si="470"/>
        <v/>
      </c>
    </row>
    <row r="4302" spans="2:21" ht="17.25">
      <c r="B4302" s="156"/>
      <c r="C4302" s="156"/>
      <c r="D4302" s="157"/>
      <c r="E4302" s="155"/>
      <c r="F4302" s="151"/>
      <c r="G4302" s="152"/>
      <c r="H4302" s="153"/>
      <c r="I4302" s="154"/>
      <c r="J4302" s="154"/>
      <c r="K4302" s="30" t="str">
        <f>IF(H4302="","",IF($C$30="간이법","",FPR(H4302,I4302,J4302)))</f>
        <v/>
      </c>
      <c r="L4302" s="30" t="str">
        <f>IF(H4302="","",IF($C$30="상세법",FPV(H4302,K4302),IF(H4302="EI",4,IF(H4302="EO",5.2,IF(H4302="EQ",3.9,IF(H4302="ILF",7.5,IF(H4302="EIF",5.4)))))))</f>
        <v/>
      </c>
      <c r="M4302" s="30" t="str">
        <f t="shared" si="464"/>
        <v/>
      </c>
      <c r="N4302" s="134"/>
      <c r="O4302" s="29"/>
      <c r="P4302" s="37" t="str">
        <f t="shared" si="465"/>
        <v/>
      </c>
      <c r="Q4302" s="38" t="str">
        <f t="shared" si="466"/>
        <v/>
      </c>
      <c r="R4302" s="37" t="str">
        <f t="shared" si="467"/>
        <v/>
      </c>
      <c r="S4302" s="37" t="str">
        <f t="shared" si="468"/>
        <v/>
      </c>
      <c r="T4302" s="38" t="str">
        <f t="shared" si="469"/>
        <v/>
      </c>
      <c r="U4302" s="37" t="str">
        <f t="shared" si="470"/>
        <v/>
      </c>
    </row>
    <row r="4303" spans="2:21" ht="17.25">
      <c r="B4303" s="156"/>
      <c r="C4303" s="156"/>
      <c r="D4303" s="157"/>
      <c r="E4303" s="155"/>
      <c r="F4303" s="151"/>
      <c r="G4303" s="152"/>
      <c r="H4303" s="153"/>
      <c r="I4303" s="154"/>
      <c r="J4303" s="154"/>
      <c r="K4303" s="30" t="str">
        <f>IF(H4303="","",IF($C$30="간이법","",FPR(H4303,I4303,J4303)))</f>
        <v/>
      </c>
      <c r="L4303" s="30" t="str">
        <f>IF(H4303="","",IF($C$30="상세법",FPV(H4303,K4303),IF(H4303="EI",4,IF(H4303="EO",5.2,IF(H4303="EQ",3.9,IF(H4303="ILF",7.5,IF(H4303="EIF",5.4)))))))</f>
        <v/>
      </c>
      <c r="M4303" s="30" t="str">
        <f t="shared" si="464"/>
        <v/>
      </c>
      <c r="N4303" s="134"/>
      <c r="O4303" s="29"/>
      <c r="P4303" s="37" t="str">
        <f t="shared" si="465"/>
        <v/>
      </c>
      <c r="Q4303" s="38" t="str">
        <f t="shared" si="466"/>
        <v/>
      </c>
      <c r="R4303" s="37" t="str">
        <f t="shared" si="467"/>
        <v/>
      </c>
      <c r="S4303" s="37" t="str">
        <f t="shared" si="468"/>
        <v/>
      </c>
      <c r="T4303" s="38" t="str">
        <f t="shared" si="469"/>
        <v/>
      </c>
      <c r="U4303" s="37" t="str">
        <f t="shared" si="470"/>
        <v/>
      </c>
    </row>
    <row r="4304" spans="2:21" ht="17.25">
      <c r="B4304" s="156"/>
      <c r="C4304" s="156"/>
      <c r="D4304" s="157"/>
      <c r="E4304" s="155"/>
      <c r="F4304" s="151"/>
      <c r="G4304" s="152"/>
      <c r="H4304" s="153"/>
      <c r="I4304" s="154"/>
      <c r="J4304" s="154"/>
      <c r="K4304" s="30" t="str">
        <f>IF(H4304="","",IF($C$30="간이법","",FPR(H4304,I4304,J4304)))</f>
        <v/>
      </c>
      <c r="L4304" s="30" t="str">
        <f>IF(H4304="","",IF($C$30="상세법",FPV(H4304,K4304),IF(H4304="EI",4,IF(H4304="EO",5.2,IF(H4304="EQ",3.9,IF(H4304="ILF",7.5,IF(H4304="EIF",5.4)))))))</f>
        <v/>
      </c>
      <c r="M4304" s="30" t="str">
        <f t="shared" si="464"/>
        <v/>
      </c>
      <c r="N4304" s="134"/>
      <c r="O4304" s="29"/>
      <c r="P4304" s="37" t="str">
        <f t="shared" si="465"/>
        <v/>
      </c>
      <c r="Q4304" s="38" t="str">
        <f t="shared" si="466"/>
        <v/>
      </c>
      <c r="R4304" s="37" t="str">
        <f t="shared" si="467"/>
        <v/>
      </c>
      <c r="S4304" s="37" t="str">
        <f t="shared" si="468"/>
        <v/>
      </c>
      <c r="T4304" s="38" t="str">
        <f t="shared" si="469"/>
        <v/>
      </c>
      <c r="U4304" s="37" t="str">
        <f t="shared" si="470"/>
        <v/>
      </c>
    </row>
    <row r="4305" spans="2:21" ht="17.25">
      <c r="B4305" s="156"/>
      <c r="C4305" s="156"/>
      <c r="D4305" s="157"/>
      <c r="E4305" s="155"/>
      <c r="F4305" s="151"/>
      <c r="G4305" s="152"/>
      <c r="H4305" s="153"/>
      <c r="I4305" s="154"/>
      <c r="J4305" s="154"/>
      <c r="K4305" s="30" t="str">
        <f>IF(H4305="","",IF($C$30="간이법","",FPR(H4305,I4305,J4305)))</f>
        <v/>
      </c>
      <c r="L4305" s="30" t="str">
        <f>IF(H4305="","",IF($C$30="상세법",FPV(H4305,K4305),IF(H4305="EI",4,IF(H4305="EO",5.2,IF(H4305="EQ",3.9,IF(H4305="ILF",7.5,IF(H4305="EIF",5.4)))))))</f>
        <v/>
      </c>
      <c r="M4305" s="30" t="str">
        <f t="shared" si="464"/>
        <v/>
      </c>
      <c r="N4305" s="134"/>
      <c r="O4305" s="29"/>
      <c r="P4305" s="37" t="str">
        <f t="shared" si="465"/>
        <v/>
      </c>
      <c r="Q4305" s="38" t="str">
        <f t="shared" si="466"/>
        <v/>
      </c>
      <c r="R4305" s="37" t="str">
        <f t="shared" si="467"/>
        <v/>
      </c>
      <c r="S4305" s="37" t="str">
        <f t="shared" si="468"/>
        <v/>
      </c>
      <c r="T4305" s="38" t="str">
        <f t="shared" si="469"/>
        <v/>
      </c>
      <c r="U4305" s="37" t="str">
        <f t="shared" si="470"/>
        <v/>
      </c>
    </row>
    <row r="4306" spans="2:21" ht="17.25">
      <c r="B4306" s="156"/>
      <c r="C4306" s="156"/>
      <c r="D4306" s="157"/>
      <c r="E4306" s="155"/>
      <c r="F4306" s="151"/>
      <c r="G4306" s="152"/>
      <c r="H4306" s="153"/>
      <c r="I4306" s="154"/>
      <c r="J4306" s="154"/>
      <c r="K4306" s="30" t="str">
        <f>IF(H4306="","",IF($C$30="간이법","",FPR(H4306,I4306,J4306)))</f>
        <v/>
      </c>
      <c r="L4306" s="30" t="str">
        <f>IF(H4306="","",IF($C$30="상세법",FPV(H4306,K4306),IF(H4306="EI",4,IF(H4306="EO",5.2,IF(H4306="EQ",3.9,IF(H4306="ILF",7.5,IF(H4306="EIF",5.4)))))))</f>
        <v/>
      </c>
      <c r="M4306" s="30" t="str">
        <f t="shared" si="464"/>
        <v/>
      </c>
      <c r="N4306" s="134"/>
      <c r="O4306" s="29"/>
      <c r="P4306" s="37" t="str">
        <f t="shared" si="465"/>
        <v/>
      </c>
      <c r="Q4306" s="38" t="str">
        <f t="shared" si="466"/>
        <v/>
      </c>
      <c r="R4306" s="37" t="str">
        <f t="shared" si="467"/>
        <v/>
      </c>
      <c r="S4306" s="37" t="str">
        <f t="shared" si="468"/>
        <v/>
      </c>
      <c r="T4306" s="38" t="str">
        <f t="shared" si="469"/>
        <v/>
      </c>
      <c r="U4306" s="37" t="str">
        <f t="shared" si="470"/>
        <v/>
      </c>
    </row>
    <row r="4307" spans="2:21" ht="17.25">
      <c r="B4307" s="156"/>
      <c r="C4307" s="156"/>
      <c r="D4307" s="157"/>
      <c r="E4307" s="155"/>
      <c r="F4307" s="151"/>
      <c r="G4307" s="152"/>
      <c r="H4307" s="153"/>
      <c r="I4307" s="154"/>
      <c r="J4307" s="154"/>
      <c r="K4307" s="30" t="str">
        <f>IF(H4307="","",IF($C$30="간이법","",FPR(H4307,I4307,J4307)))</f>
        <v/>
      </c>
      <c r="L4307" s="30" t="str">
        <f>IF(H4307="","",IF($C$30="상세법",FPV(H4307,K4307),IF(H4307="EI",4,IF(H4307="EO",5.2,IF(H4307="EQ",3.9,IF(H4307="ILF",7.5,IF(H4307="EIF",5.4)))))))</f>
        <v/>
      </c>
      <c r="M4307" s="30" t="str">
        <f t="shared" si="464"/>
        <v/>
      </c>
      <c r="N4307" s="134"/>
      <c r="O4307" s="29"/>
      <c r="P4307" s="37" t="str">
        <f t="shared" si="465"/>
        <v/>
      </c>
      <c r="Q4307" s="38" t="str">
        <f t="shared" si="466"/>
        <v/>
      </c>
      <c r="R4307" s="37" t="str">
        <f t="shared" si="467"/>
        <v/>
      </c>
      <c r="S4307" s="37" t="str">
        <f t="shared" si="468"/>
        <v/>
      </c>
      <c r="T4307" s="38" t="str">
        <f t="shared" si="469"/>
        <v/>
      </c>
      <c r="U4307" s="37" t="str">
        <f t="shared" si="470"/>
        <v/>
      </c>
    </row>
    <row r="4308" spans="2:21" ht="17.25">
      <c r="B4308" s="156"/>
      <c r="C4308" s="156"/>
      <c r="D4308" s="157"/>
      <c r="E4308" s="155"/>
      <c r="F4308" s="151"/>
      <c r="G4308" s="152"/>
      <c r="H4308" s="153"/>
      <c r="I4308" s="154"/>
      <c r="J4308" s="154"/>
      <c r="K4308" s="30" t="str">
        <f>IF(H4308="","",IF($C$30="간이법","",FPR(H4308,I4308,J4308)))</f>
        <v/>
      </c>
      <c r="L4308" s="30" t="str">
        <f>IF(H4308="","",IF($C$30="상세법",FPV(H4308,K4308),IF(H4308="EI",4,IF(H4308="EO",5.2,IF(H4308="EQ",3.9,IF(H4308="ILF",7.5,IF(H4308="EIF",5.4)))))))</f>
        <v/>
      </c>
      <c r="M4308" s="30" t="str">
        <f t="shared" si="464"/>
        <v/>
      </c>
      <c r="N4308" s="134"/>
      <c r="O4308" s="29"/>
      <c r="P4308" s="37" t="str">
        <f t="shared" si="465"/>
        <v/>
      </c>
      <c r="Q4308" s="38" t="str">
        <f t="shared" si="466"/>
        <v/>
      </c>
      <c r="R4308" s="37" t="str">
        <f t="shared" si="467"/>
        <v/>
      </c>
      <c r="S4308" s="37" t="str">
        <f t="shared" si="468"/>
        <v/>
      </c>
      <c r="T4308" s="38" t="str">
        <f t="shared" si="469"/>
        <v/>
      </c>
      <c r="U4308" s="37" t="str">
        <f t="shared" si="470"/>
        <v/>
      </c>
    </row>
    <row r="4309" spans="2:21" ht="17.25">
      <c r="B4309" s="156"/>
      <c r="C4309" s="156"/>
      <c r="D4309" s="157"/>
      <c r="E4309" s="155"/>
      <c r="F4309" s="151"/>
      <c r="G4309" s="152"/>
      <c r="H4309" s="153"/>
      <c r="I4309" s="154"/>
      <c r="J4309" s="154"/>
      <c r="K4309" s="30" t="str">
        <f>IF(H4309="","",IF($C$30="간이법","",FPR(H4309,I4309,J4309)))</f>
        <v/>
      </c>
      <c r="L4309" s="30" t="str">
        <f>IF(H4309="","",IF($C$30="상세법",FPV(H4309,K4309),IF(H4309="EI",4,IF(H4309="EO",5.2,IF(H4309="EQ",3.9,IF(H4309="ILF",7.5,IF(H4309="EIF",5.4)))))))</f>
        <v/>
      </c>
      <c r="M4309" s="30" t="str">
        <f t="shared" si="464"/>
        <v/>
      </c>
      <c r="N4309" s="134"/>
      <c r="O4309" s="29"/>
      <c r="P4309" s="37" t="str">
        <f t="shared" si="465"/>
        <v/>
      </c>
      <c r="Q4309" s="38" t="str">
        <f t="shared" si="466"/>
        <v/>
      </c>
      <c r="R4309" s="37" t="str">
        <f t="shared" si="467"/>
        <v/>
      </c>
      <c r="S4309" s="37" t="str">
        <f t="shared" si="468"/>
        <v/>
      </c>
      <c r="T4309" s="38" t="str">
        <f t="shared" si="469"/>
        <v/>
      </c>
      <c r="U4309" s="37" t="str">
        <f t="shared" si="470"/>
        <v/>
      </c>
    </row>
    <row r="4310" spans="2:21" ht="17.25">
      <c r="B4310" s="156"/>
      <c r="C4310" s="156"/>
      <c r="D4310" s="157"/>
      <c r="E4310" s="155"/>
      <c r="F4310" s="151"/>
      <c r="G4310" s="152"/>
      <c r="H4310" s="153"/>
      <c r="I4310" s="154"/>
      <c r="J4310" s="154"/>
      <c r="K4310" s="30" t="str">
        <f>IF(H4310="","",IF($C$30="간이법","",FPR(H4310,I4310,J4310)))</f>
        <v/>
      </c>
      <c r="L4310" s="30" t="str">
        <f>IF(H4310="","",IF($C$30="상세법",FPV(H4310,K4310),IF(H4310="EI",4,IF(H4310="EO",5.2,IF(H4310="EQ",3.9,IF(H4310="ILF",7.5,IF(H4310="EIF",5.4)))))))</f>
        <v/>
      </c>
      <c r="M4310" s="30" t="str">
        <f t="shared" si="464"/>
        <v/>
      </c>
      <c r="N4310" s="134"/>
      <c r="O4310" s="29"/>
      <c r="P4310" s="37" t="str">
        <f t="shared" si="465"/>
        <v/>
      </c>
      <c r="Q4310" s="38" t="str">
        <f t="shared" si="466"/>
        <v/>
      </c>
      <c r="R4310" s="37" t="str">
        <f t="shared" si="467"/>
        <v/>
      </c>
      <c r="S4310" s="37" t="str">
        <f t="shared" si="468"/>
        <v/>
      </c>
      <c r="T4310" s="38" t="str">
        <f t="shared" si="469"/>
        <v/>
      </c>
      <c r="U4310" s="37" t="str">
        <f t="shared" si="470"/>
        <v/>
      </c>
    </row>
    <row r="4311" spans="2:21" ht="17.25">
      <c r="B4311" s="156"/>
      <c r="C4311" s="156"/>
      <c r="D4311" s="157"/>
      <c r="E4311" s="155"/>
      <c r="F4311" s="151"/>
      <c r="G4311" s="152"/>
      <c r="H4311" s="153"/>
      <c r="I4311" s="154"/>
      <c r="J4311" s="154"/>
      <c r="K4311" s="30" t="str">
        <f>IF(H4311="","",IF($C$30="간이법","",FPR(H4311,I4311,J4311)))</f>
        <v/>
      </c>
      <c r="L4311" s="30" t="str">
        <f>IF(H4311="","",IF($C$30="상세법",FPV(H4311,K4311),IF(H4311="EI",4,IF(H4311="EO",5.2,IF(H4311="EQ",3.9,IF(H4311="ILF",7.5,IF(H4311="EIF",5.4)))))))</f>
        <v/>
      </c>
      <c r="M4311" s="30" t="str">
        <f t="shared" si="464"/>
        <v/>
      </c>
      <c r="N4311" s="134"/>
      <c r="O4311" s="29"/>
      <c r="P4311" s="37" t="str">
        <f t="shared" si="465"/>
        <v/>
      </c>
      <c r="Q4311" s="38" t="str">
        <f t="shared" si="466"/>
        <v/>
      </c>
      <c r="R4311" s="37" t="str">
        <f t="shared" si="467"/>
        <v/>
      </c>
      <c r="S4311" s="37" t="str">
        <f t="shared" si="468"/>
        <v/>
      </c>
      <c r="T4311" s="38" t="str">
        <f t="shared" si="469"/>
        <v/>
      </c>
      <c r="U4311" s="37" t="str">
        <f t="shared" si="470"/>
        <v/>
      </c>
    </row>
    <row r="4312" spans="2:21" ht="17.25">
      <c r="B4312" s="156"/>
      <c r="C4312" s="156"/>
      <c r="D4312" s="157"/>
      <c r="E4312" s="155"/>
      <c r="F4312" s="151"/>
      <c r="G4312" s="152"/>
      <c r="H4312" s="153"/>
      <c r="I4312" s="154"/>
      <c r="J4312" s="154"/>
      <c r="K4312" s="30" t="str">
        <f>IF(H4312="","",IF($C$30="간이법","",FPR(H4312,I4312,J4312)))</f>
        <v/>
      </c>
      <c r="L4312" s="30" t="str">
        <f>IF(H4312="","",IF($C$30="상세법",FPV(H4312,K4312),IF(H4312="EI",4,IF(H4312="EO",5.2,IF(H4312="EQ",3.9,IF(H4312="ILF",7.5,IF(H4312="EIF",5.4)))))))</f>
        <v/>
      </c>
      <c r="M4312" s="30" t="str">
        <f t="shared" si="464"/>
        <v/>
      </c>
      <c r="N4312" s="134"/>
      <c r="O4312" s="29"/>
      <c r="P4312" s="37" t="str">
        <f t="shared" si="465"/>
        <v/>
      </c>
      <c r="Q4312" s="38" t="str">
        <f t="shared" si="466"/>
        <v/>
      </c>
      <c r="R4312" s="37" t="str">
        <f t="shared" si="467"/>
        <v/>
      </c>
      <c r="S4312" s="37" t="str">
        <f t="shared" si="468"/>
        <v/>
      </c>
      <c r="T4312" s="38" t="str">
        <f t="shared" si="469"/>
        <v/>
      </c>
      <c r="U4312" s="37" t="str">
        <f t="shared" si="470"/>
        <v/>
      </c>
    </row>
    <row r="4313" spans="2:21" ht="17.25">
      <c r="B4313" s="156"/>
      <c r="C4313" s="156"/>
      <c r="D4313" s="157"/>
      <c r="E4313" s="155"/>
      <c r="F4313" s="151"/>
      <c r="G4313" s="152"/>
      <c r="H4313" s="153"/>
      <c r="I4313" s="154"/>
      <c r="J4313" s="154"/>
      <c r="K4313" s="30" t="str">
        <f>IF(H4313="","",IF($C$30="간이법","",FPR(H4313,I4313,J4313)))</f>
        <v/>
      </c>
      <c r="L4313" s="30" t="str">
        <f>IF(H4313="","",IF($C$30="상세법",FPV(H4313,K4313),IF(H4313="EI",4,IF(H4313="EO",5.2,IF(H4313="EQ",3.9,IF(H4313="ILF",7.5,IF(H4313="EIF",5.4)))))))</f>
        <v/>
      </c>
      <c r="M4313" s="30" t="str">
        <f t="shared" si="464"/>
        <v/>
      </c>
      <c r="N4313" s="134"/>
      <c r="O4313" s="29"/>
      <c r="P4313" s="37" t="str">
        <f t="shared" si="465"/>
        <v/>
      </c>
      <c r="Q4313" s="38" t="str">
        <f t="shared" si="466"/>
        <v/>
      </c>
      <c r="R4313" s="37" t="str">
        <f t="shared" si="467"/>
        <v/>
      </c>
      <c r="S4313" s="37" t="str">
        <f t="shared" si="468"/>
        <v/>
      </c>
      <c r="T4313" s="38" t="str">
        <f t="shared" si="469"/>
        <v/>
      </c>
      <c r="U4313" s="37" t="str">
        <f t="shared" si="470"/>
        <v/>
      </c>
    </row>
    <row r="4314" spans="2:21" ht="17.25">
      <c r="B4314" s="156"/>
      <c r="C4314" s="156"/>
      <c r="D4314" s="157"/>
      <c r="E4314" s="155"/>
      <c r="F4314" s="151"/>
      <c r="G4314" s="152"/>
      <c r="H4314" s="153"/>
      <c r="I4314" s="154"/>
      <c r="J4314" s="154"/>
      <c r="K4314" s="30" t="str">
        <f>IF(H4314="","",IF($C$30="간이법","",FPR(H4314,I4314,J4314)))</f>
        <v/>
      </c>
      <c r="L4314" s="30" t="str">
        <f>IF(H4314="","",IF($C$30="상세법",FPV(H4314,K4314),IF(H4314="EI",4,IF(H4314="EO",5.2,IF(H4314="EQ",3.9,IF(H4314="ILF",7.5,IF(H4314="EIF",5.4)))))))</f>
        <v/>
      </c>
      <c r="M4314" s="30" t="str">
        <f t="shared" si="464"/>
        <v/>
      </c>
      <c r="N4314" s="134"/>
      <c r="O4314" s="29"/>
      <c r="P4314" s="37" t="str">
        <f t="shared" si="465"/>
        <v/>
      </c>
      <c r="Q4314" s="38" t="str">
        <f t="shared" si="466"/>
        <v/>
      </c>
      <c r="R4314" s="37" t="str">
        <f t="shared" si="467"/>
        <v/>
      </c>
      <c r="S4314" s="37" t="str">
        <f t="shared" si="468"/>
        <v/>
      </c>
      <c r="T4314" s="38" t="str">
        <f t="shared" si="469"/>
        <v/>
      </c>
      <c r="U4314" s="37" t="str">
        <f t="shared" si="470"/>
        <v/>
      </c>
    </row>
    <row r="4315" spans="2:21" ht="17.25">
      <c r="B4315" s="156"/>
      <c r="C4315" s="156"/>
      <c r="D4315" s="157"/>
      <c r="E4315" s="155"/>
      <c r="F4315" s="151"/>
      <c r="G4315" s="152"/>
      <c r="H4315" s="153"/>
      <c r="I4315" s="154"/>
      <c r="J4315" s="154"/>
      <c r="K4315" s="30" t="str">
        <f>IF(H4315="","",IF($C$30="간이법","",FPR(H4315,I4315,J4315)))</f>
        <v/>
      </c>
      <c r="L4315" s="30" t="str">
        <f>IF(H4315="","",IF($C$30="상세법",FPV(H4315,K4315),IF(H4315="EI",4,IF(H4315="EO",5.2,IF(H4315="EQ",3.9,IF(H4315="ILF",7.5,IF(H4315="EIF",5.4)))))))</f>
        <v/>
      </c>
      <c r="M4315" s="30" t="str">
        <f t="shared" si="464"/>
        <v/>
      </c>
      <c r="N4315" s="134"/>
      <c r="O4315" s="29"/>
      <c r="P4315" s="37" t="str">
        <f t="shared" si="465"/>
        <v/>
      </c>
      <c r="Q4315" s="38" t="str">
        <f t="shared" si="466"/>
        <v/>
      </c>
      <c r="R4315" s="37" t="str">
        <f t="shared" si="467"/>
        <v/>
      </c>
      <c r="S4315" s="37" t="str">
        <f t="shared" si="468"/>
        <v/>
      </c>
      <c r="T4315" s="38" t="str">
        <f t="shared" si="469"/>
        <v/>
      </c>
      <c r="U4315" s="37" t="str">
        <f t="shared" si="470"/>
        <v/>
      </c>
    </row>
    <row r="4316" spans="2:21" ht="17.25">
      <c r="B4316" s="156"/>
      <c r="C4316" s="156"/>
      <c r="D4316" s="157"/>
      <c r="E4316" s="155"/>
      <c r="F4316" s="151"/>
      <c r="G4316" s="152"/>
      <c r="H4316" s="153"/>
      <c r="I4316" s="154"/>
      <c r="J4316" s="154"/>
      <c r="K4316" s="30" t="str">
        <f>IF(H4316="","",IF($C$30="간이법","",FPR(H4316,I4316,J4316)))</f>
        <v/>
      </c>
      <c r="L4316" s="30" t="str">
        <f>IF(H4316="","",IF($C$30="상세법",FPV(H4316,K4316),IF(H4316="EI",4,IF(H4316="EO",5.2,IF(H4316="EQ",3.9,IF(H4316="ILF",7.5,IF(H4316="EIF",5.4)))))))</f>
        <v/>
      </c>
      <c r="M4316" s="30" t="str">
        <f t="shared" si="464"/>
        <v/>
      </c>
      <c r="N4316" s="134"/>
      <c r="O4316" s="29"/>
      <c r="P4316" s="37" t="str">
        <f t="shared" si="465"/>
        <v/>
      </c>
      <c r="Q4316" s="38" t="str">
        <f t="shared" si="466"/>
        <v/>
      </c>
      <c r="R4316" s="37" t="str">
        <f t="shared" si="467"/>
        <v/>
      </c>
      <c r="S4316" s="37" t="str">
        <f t="shared" si="468"/>
        <v/>
      </c>
      <c r="T4316" s="38" t="str">
        <f t="shared" si="469"/>
        <v/>
      </c>
      <c r="U4316" s="37" t="str">
        <f t="shared" si="470"/>
        <v/>
      </c>
    </row>
    <row r="4317" spans="2:21" ht="17.25">
      <c r="B4317" s="156"/>
      <c r="C4317" s="156"/>
      <c r="D4317" s="157"/>
      <c r="E4317" s="155"/>
      <c r="F4317" s="151"/>
      <c r="G4317" s="152"/>
      <c r="H4317" s="153"/>
      <c r="I4317" s="154"/>
      <c r="J4317" s="154"/>
      <c r="K4317" s="30" t="str">
        <f>IF(H4317="","",IF($C$30="간이법","",FPR(H4317,I4317,J4317)))</f>
        <v/>
      </c>
      <c r="L4317" s="30" t="str">
        <f>IF(H4317="","",IF($C$30="상세법",FPV(H4317,K4317),IF(H4317="EI",4,IF(H4317="EO",5.2,IF(H4317="EQ",3.9,IF(H4317="ILF",7.5,IF(H4317="EIF",5.4)))))))</f>
        <v/>
      </c>
      <c r="M4317" s="30" t="str">
        <f t="shared" si="464"/>
        <v/>
      </c>
      <c r="N4317" s="134"/>
      <c r="O4317" s="29"/>
      <c r="P4317" s="37" t="str">
        <f t="shared" si="465"/>
        <v/>
      </c>
      <c r="Q4317" s="38" t="str">
        <f t="shared" si="466"/>
        <v/>
      </c>
      <c r="R4317" s="37" t="str">
        <f t="shared" si="467"/>
        <v/>
      </c>
      <c r="S4317" s="37" t="str">
        <f t="shared" si="468"/>
        <v/>
      </c>
      <c r="T4317" s="38" t="str">
        <f t="shared" si="469"/>
        <v/>
      </c>
      <c r="U4317" s="37" t="str">
        <f t="shared" si="470"/>
        <v/>
      </c>
    </row>
    <row r="4318" spans="2:21" ht="17.25">
      <c r="B4318" s="156"/>
      <c r="C4318" s="156"/>
      <c r="D4318" s="157"/>
      <c r="E4318" s="155"/>
      <c r="F4318" s="151"/>
      <c r="G4318" s="152"/>
      <c r="H4318" s="153"/>
      <c r="I4318" s="154"/>
      <c r="J4318" s="154"/>
      <c r="K4318" s="30" t="str">
        <f>IF(H4318="","",IF($C$30="간이법","",FPR(H4318,I4318,J4318)))</f>
        <v/>
      </c>
      <c r="L4318" s="30" t="str">
        <f>IF(H4318="","",IF($C$30="상세법",FPV(H4318,K4318),IF(H4318="EI",4,IF(H4318="EO",5.2,IF(H4318="EQ",3.9,IF(H4318="ILF",7.5,IF(H4318="EIF",5.4)))))))</f>
        <v/>
      </c>
      <c r="M4318" s="30" t="str">
        <f t="shared" si="464"/>
        <v/>
      </c>
      <c r="N4318" s="134"/>
      <c r="O4318" s="29"/>
      <c r="P4318" s="37" t="str">
        <f t="shared" si="465"/>
        <v/>
      </c>
      <c r="Q4318" s="38" t="str">
        <f t="shared" si="466"/>
        <v/>
      </c>
      <c r="R4318" s="37" t="str">
        <f t="shared" si="467"/>
        <v/>
      </c>
      <c r="S4318" s="37" t="str">
        <f t="shared" si="468"/>
        <v/>
      </c>
      <c r="T4318" s="38" t="str">
        <f t="shared" si="469"/>
        <v/>
      </c>
      <c r="U4318" s="37" t="str">
        <f t="shared" si="470"/>
        <v/>
      </c>
    </row>
    <row r="4319" spans="2:21" ht="17.25">
      <c r="B4319" s="156"/>
      <c r="C4319" s="156"/>
      <c r="D4319" s="157"/>
      <c r="E4319" s="155"/>
      <c r="F4319" s="151"/>
      <c r="G4319" s="152"/>
      <c r="H4319" s="153"/>
      <c r="I4319" s="154"/>
      <c r="J4319" s="154"/>
      <c r="K4319" s="30" t="str">
        <f>IF(H4319="","",IF($C$30="간이법","",FPR(H4319,I4319,J4319)))</f>
        <v/>
      </c>
      <c r="L4319" s="30" t="str">
        <f>IF(H4319="","",IF($C$30="상세법",FPV(H4319,K4319),IF(H4319="EI",4,IF(H4319="EO",5.2,IF(H4319="EQ",3.9,IF(H4319="ILF",7.5,IF(H4319="EIF",5.4)))))))</f>
        <v/>
      </c>
      <c r="M4319" s="30" t="str">
        <f t="shared" si="464"/>
        <v/>
      </c>
      <c r="N4319" s="134"/>
      <c r="O4319" s="29"/>
      <c r="P4319" s="37" t="str">
        <f t="shared" si="465"/>
        <v/>
      </c>
      <c r="Q4319" s="38" t="str">
        <f t="shared" si="466"/>
        <v/>
      </c>
      <c r="R4319" s="37" t="str">
        <f t="shared" si="467"/>
        <v/>
      </c>
      <c r="S4319" s="37" t="str">
        <f t="shared" si="468"/>
        <v/>
      </c>
      <c r="T4319" s="38" t="str">
        <f t="shared" si="469"/>
        <v/>
      </c>
      <c r="U4319" s="37" t="str">
        <f t="shared" si="470"/>
        <v/>
      </c>
    </row>
    <row r="4320" spans="2:21" ht="17.25">
      <c r="B4320" s="156"/>
      <c r="C4320" s="156"/>
      <c r="D4320" s="157"/>
      <c r="E4320" s="155"/>
      <c r="F4320" s="151"/>
      <c r="G4320" s="152"/>
      <c r="H4320" s="153"/>
      <c r="I4320" s="154"/>
      <c r="J4320" s="154"/>
      <c r="K4320" s="30" t="str">
        <f>IF(H4320="","",IF($C$30="간이법","",FPR(H4320,I4320,J4320)))</f>
        <v/>
      </c>
      <c r="L4320" s="30" t="str">
        <f>IF(H4320="","",IF($C$30="상세법",FPV(H4320,K4320),IF(H4320="EI",4,IF(H4320="EO",5.2,IF(H4320="EQ",3.9,IF(H4320="ILF",7.5,IF(H4320="EIF",5.4)))))))</f>
        <v/>
      </c>
      <c r="M4320" s="30" t="str">
        <f t="shared" si="464"/>
        <v/>
      </c>
      <c r="N4320" s="134"/>
      <c r="O4320" s="29"/>
      <c r="P4320" s="37" t="str">
        <f t="shared" si="465"/>
        <v/>
      </c>
      <c r="Q4320" s="38" t="str">
        <f t="shared" si="466"/>
        <v/>
      </c>
      <c r="R4320" s="37" t="str">
        <f t="shared" si="467"/>
        <v/>
      </c>
      <c r="S4320" s="37" t="str">
        <f t="shared" si="468"/>
        <v/>
      </c>
      <c r="T4320" s="38" t="str">
        <f t="shared" si="469"/>
        <v/>
      </c>
      <c r="U4320" s="37" t="str">
        <f t="shared" si="470"/>
        <v/>
      </c>
    </row>
    <row r="4321" spans="2:21" ht="17.25">
      <c r="B4321" s="156"/>
      <c r="C4321" s="156"/>
      <c r="D4321" s="157"/>
      <c r="E4321" s="155"/>
      <c r="F4321" s="151"/>
      <c r="G4321" s="152"/>
      <c r="H4321" s="153"/>
      <c r="I4321" s="154"/>
      <c r="J4321" s="154"/>
      <c r="K4321" s="30" t="str">
        <f>IF(H4321="","",IF($C$30="간이법","",FPR(H4321,I4321,J4321)))</f>
        <v/>
      </c>
      <c r="L4321" s="30" t="str">
        <f>IF(H4321="","",IF($C$30="상세법",FPV(H4321,K4321),IF(H4321="EI",4,IF(H4321="EO",5.2,IF(H4321="EQ",3.9,IF(H4321="ILF",7.5,IF(H4321="EIF",5.4)))))))</f>
        <v/>
      </c>
      <c r="M4321" s="30" t="str">
        <f t="shared" si="464"/>
        <v/>
      </c>
      <c r="N4321" s="134"/>
      <c r="O4321" s="29"/>
      <c r="P4321" s="37" t="str">
        <f t="shared" si="465"/>
        <v/>
      </c>
      <c r="Q4321" s="38" t="str">
        <f t="shared" si="466"/>
        <v/>
      </c>
      <c r="R4321" s="37" t="str">
        <f t="shared" si="467"/>
        <v/>
      </c>
      <c r="S4321" s="37" t="str">
        <f t="shared" si="468"/>
        <v/>
      </c>
      <c r="T4321" s="38" t="str">
        <f t="shared" si="469"/>
        <v/>
      </c>
      <c r="U4321" s="37" t="str">
        <f t="shared" si="470"/>
        <v/>
      </c>
    </row>
    <row r="4322" spans="2:21" ht="17.25">
      <c r="B4322" s="156"/>
      <c r="C4322" s="156"/>
      <c r="D4322" s="157"/>
      <c r="E4322" s="155"/>
      <c r="F4322" s="151"/>
      <c r="G4322" s="152"/>
      <c r="H4322" s="153"/>
      <c r="I4322" s="154"/>
      <c r="J4322" s="154"/>
      <c r="K4322" s="30" t="str">
        <f>IF(H4322="","",IF($C$30="간이법","",FPR(H4322,I4322,J4322)))</f>
        <v/>
      </c>
      <c r="L4322" s="30" t="str">
        <f>IF(H4322="","",IF($C$30="상세법",FPV(H4322,K4322),IF(H4322="EI",4,IF(H4322="EO",5.2,IF(H4322="EQ",3.9,IF(H4322="ILF",7.5,IF(H4322="EIF",5.4)))))))</f>
        <v/>
      </c>
      <c r="M4322" s="30" t="str">
        <f t="shared" si="464"/>
        <v/>
      </c>
      <c r="N4322" s="134"/>
      <c r="O4322" s="29"/>
      <c r="P4322" s="37" t="str">
        <f t="shared" si="465"/>
        <v/>
      </c>
      <c r="Q4322" s="38" t="str">
        <f t="shared" si="466"/>
        <v/>
      </c>
      <c r="R4322" s="37" t="str">
        <f t="shared" si="467"/>
        <v/>
      </c>
      <c r="S4322" s="37" t="str">
        <f t="shared" si="468"/>
        <v/>
      </c>
      <c r="T4322" s="38" t="str">
        <f t="shared" si="469"/>
        <v/>
      </c>
      <c r="U4322" s="37" t="str">
        <f t="shared" si="470"/>
        <v/>
      </c>
    </row>
    <row r="4323" spans="2:21" ht="17.25">
      <c r="B4323" s="156"/>
      <c r="C4323" s="156"/>
      <c r="D4323" s="157"/>
      <c r="E4323" s="155"/>
      <c r="F4323" s="151"/>
      <c r="G4323" s="152"/>
      <c r="H4323" s="153"/>
      <c r="I4323" s="154"/>
      <c r="J4323" s="154"/>
      <c r="K4323" s="30" t="str">
        <f>IF(H4323="","",IF($C$30="간이법","",FPR(H4323,I4323,J4323)))</f>
        <v/>
      </c>
      <c r="L4323" s="30" t="str">
        <f>IF(H4323="","",IF($C$30="상세법",FPV(H4323,K4323),IF(H4323="EI",4,IF(H4323="EO",5.2,IF(H4323="EQ",3.9,IF(H4323="ILF",7.5,IF(H4323="EIF",5.4)))))))</f>
        <v/>
      </c>
      <c r="M4323" s="30" t="str">
        <f t="shared" si="464"/>
        <v/>
      </c>
      <c r="N4323" s="134"/>
      <c r="O4323" s="29"/>
      <c r="P4323" s="37" t="str">
        <f t="shared" si="465"/>
        <v/>
      </c>
      <c r="Q4323" s="38" t="str">
        <f t="shared" si="466"/>
        <v/>
      </c>
      <c r="R4323" s="37" t="str">
        <f t="shared" si="467"/>
        <v/>
      </c>
      <c r="S4323" s="37" t="str">
        <f t="shared" si="468"/>
        <v/>
      </c>
      <c r="T4323" s="38" t="str">
        <f t="shared" si="469"/>
        <v/>
      </c>
      <c r="U4323" s="37" t="str">
        <f t="shared" si="470"/>
        <v/>
      </c>
    </row>
    <row r="4324" spans="2:21" ht="17.25">
      <c r="B4324" s="156"/>
      <c r="C4324" s="156"/>
      <c r="D4324" s="157"/>
      <c r="E4324" s="155"/>
      <c r="F4324" s="151"/>
      <c r="G4324" s="152"/>
      <c r="H4324" s="153"/>
      <c r="I4324" s="154"/>
      <c r="J4324" s="154"/>
      <c r="K4324" s="30" t="str">
        <f>IF(H4324="","",IF($C$30="간이법","",FPR(H4324,I4324,J4324)))</f>
        <v/>
      </c>
      <c r="L4324" s="30" t="str">
        <f>IF(H4324="","",IF($C$30="상세법",FPV(H4324,K4324),IF(H4324="EI",4,IF(H4324="EO",5.2,IF(H4324="EQ",3.9,IF(H4324="ILF",7.5,IF(H4324="EIF",5.4)))))))</f>
        <v/>
      </c>
      <c r="M4324" s="30" t="str">
        <f t="shared" si="464"/>
        <v/>
      </c>
      <c r="N4324" s="134"/>
      <c r="O4324" s="29"/>
      <c r="P4324" s="37" t="str">
        <f t="shared" si="465"/>
        <v/>
      </c>
      <c r="Q4324" s="38" t="str">
        <f t="shared" si="466"/>
        <v/>
      </c>
      <c r="R4324" s="37" t="str">
        <f t="shared" si="467"/>
        <v/>
      </c>
      <c r="S4324" s="37" t="str">
        <f t="shared" si="468"/>
        <v/>
      </c>
      <c r="T4324" s="38" t="str">
        <f t="shared" si="469"/>
        <v/>
      </c>
      <c r="U4324" s="37" t="str">
        <f t="shared" si="470"/>
        <v/>
      </c>
    </row>
    <row r="4325" spans="2:21" ht="17.25">
      <c r="B4325" s="156"/>
      <c r="C4325" s="156"/>
      <c r="D4325" s="157"/>
      <c r="E4325" s="155"/>
      <c r="F4325" s="151"/>
      <c r="G4325" s="152"/>
      <c r="H4325" s="153"/>
      <c r="I4325" s="154"/>
      <c r="J4325" s="154"/>
      <c r="K4325" s="30" t="str">
        <f>IF(H4325="","",IF($C$30="간이법","",FPR(H4325,I4325,J4325)))</f>
        <v/>
      </c>
      <c r="L4325" s="30" t="str">
        <f>IF(H4325="","",IF($C$30="상세법",FPV(H4325,K4325),IF(H4325="EI",4,IF(H4325="EO",5.2,IF(H4325="EQ",3.9,IF(H4325="ILF",7.5,IF(H4325="EIF",5.4)))))))</f>
        <v/>
      </c>
      <c r="M4325" s="30" t="str">
        <f t="shared" si="464"/>
        <v/>
      </c>
      <c r="N4325" s="134"/>
      <c r="O4325" s="29"/>
      <c r="P4325" s="37" t="str">
        <f t="shared" si="465"/>
        <v/>
      </c>
      <c r="Q4325" s="38" t="str">
        <f t="shared" si="466"/>
        <v/>
      </c>
      <c r="R4325" s="37" t="str">
        <f t="shared" si="467"/>
        <v/>
      </c>
      <c r="S4325" s="37" t="str">
        <f t="shared" si="468"/>
        <v/>
      </c>
      <c r="T4325" s="38" t="str">
        <f t="shared" si="469"/>
        <v/>
      </c>
      <c r="U4325" s="37" t="str">
        <f t="shared" si="470"/>
        <v/>
      </c>
    </row>
    <row r="4326" spans="2:21" ht="17.25">
      <c r="B4326" s="156"/>
      <c r="C4326" s="156"/>
      <c r="D4326" s="157"/>
      <c r="E4326" s="155"/>
      <c r="F4326" s="151"/>
      <c r="G4326" s="152"/>
      <c r="H4326" s="153"/>
      <c r="I4326" s="154"/>
      <c r="J4326" s="154"/>
      <c r="K4326" s="30" t="str">
        <f>IF(H4326="","",IF($C$30="간이법","",FPR(H4326,I4326,J4326)))</f>
        <v/>
      </c>
      <c r="L4326" s="30" t="str">
        <f>IF(H4326="","",IF($C$30="상세법",FPV(H4326,K4326),IF(H4326="EI",4,IF(H4326="EO",5.2,IF(H4326="EQ",3.9,IF(H4326="ILF",7.5,IF(H4326="EIF",5.4)))))))</f>
        <v/>
      </c>
      <c r="M4326" s="30" t="str">
        <f t="shared" si="464"/>
        <v/>
      </c>
      <c r="N4326" s="134"/>
      <c r="O4326" s="29"/>
      <c r="P4326" s="37" t="str">
        <f t="shared" si="465"/>
        <v/>
      </c>
      <c r="Q4326" s="38" t="str">
        <f t="shared" si="466"/>
        <v/>
      </c>
      <c r="R4326" s="37" t="str">
        <f t="shared" si="467"/>
        <v/>
      </c>
      <c r="S4326" s="37" t="str">
        <f t="shared" si="468"/>
        <v/>
      </c>
      <c r="T4326" s="38" t="str">
        <f t="shared" si="469"/>
        <v/>
      </c>
      <c r="U4326" s="37" t="str">
        <f t="shared" si="470"/>
        <v/>
      </c>
    </row>
    <row r="4327" spans="2:21" ht="17.25">
      <c r="B4327" s="156"/>
      <c r="C4327" s="156"/>
      <c r="D4327" s="157"/>
      <c r="E4327" s="155"/>
      <c r="F4327" s="151"/>
      <c r="G4327" s="152"/>
      <c r="H4327" s="153"/>
      <c r="I4327" s="154"/>
      <c r="J4327" s="154"/>
      <c r="K4327" s="30" t="str">
        <f>IF(H4327="","",IF($C$30="간이법","",FPR(H4327,I4327,J4327)))</f>
        <v/>
      </c>
      <c r="L4327" s="30" t="str">
        <f>IF(H4327="","",IF($C$30="상세법",FPV(H4327,K4327),IF(H4327="EI",4,IF(H4327="EO",5.2,IF(H4327="EQ",3.9,IF(H4327="ILF",7.5,IF(H4327="EIF",5.4)))))))</f>
        <v/>
      </c>
      <c r="M4327" s="30" t="str">
        <f t="shared" si="464"/>
        <v/>
      </c>
      <c r="N4327" s="134"/>
      <c r="O4327" s="29"/>
      <c r="P4327" s="37" t="str">
        <f t="shared" si="465"/>
        <v/>
      </c>
      <c r="Q4327" s="38" t="str">
        <f t="shared" si="466"/>
        <v/>
      </c>
      <c r="R4327" s="37" t="str">
        <f t="shared" si="467"/>
        <v/>
      </c>
      <c r="S4327" s="37" t="str">
        <f t="shared" si="468"/>
        <v/>
      </c>
      <c r="T4327" s="38" t="str">
        <f t="shared" si="469"/>
        <v/>
      </c>
      <c r="U4327" s="37" t="str">
        <f t="shared" si="470"/>
        <v/>
      </c>
    </row>
    <row r="4328" spans="2:21" ht="17.25">
      <c r="B4328" s="156"/>
      <c r="C4328" s="156"/>
      <c r="D4328" s="157"/>
      <c r="E4328" s="155"/>
      <c r="F4328" s="151"/>
      <c r="G4328" s="152"/>
      <c r="H4328" s="153"/>
      <c r="I4328" s="154"/>
      <c r="J4328" s="154"/>
      <c r="K4328" s="30" t="str">
        <f>IF(H4328="","",IF($C$30="간이법","",FPR(H4328,I4328,J4328)))</f>
        <v/>
      </c>
      <c r="L4328" s="30" t="str">
        <f>IF(H4328="","",IF($C$30="상세법",FPV(H4328,K4328),IF(H4328="EI",4,IF(H4328="EO",5.2,IF(H4328="EQ",3.9,IF(H4328="ILF",7.5,IF(H4328="EIF",5.4)))))))</f>
        <v/>
      </c>
      <c r="M4328" s="30" t="str">
        <f t="shared" si="464"/>
        <v/>
      </c>
      <c r="N4328" s="134"/>
      <c r="O4328" s="29"/>
      <c r="P4328" s="37" t="str">
        <f t="shared" si="465"/>
        <v/>
      </c>
      <c r="Q4328" s="38" t="str">
        <f t="shared" si="466"/>
        <v/>
      </c>
      <c r="R4328" s="37" t="str">
        <f t="shared" si="467"/>
        <v/>
      </c>
      <c r="S4328" s="37" t="str">
        <f t="shared" si="468"/>
        <v/>
      </c>
      <c r="T4328" s="38" t="str">
        <f t="shared" si="469"/>
        <v/>
      </c>
      <c r="U4328" s="37" t="str">
        <f t="shared" si="470"/>
        <v/>
      </c>
    </row>
    <row r="4329" spans="2:21" ht="17.25">
      <c r="B4329" s="156"/>
      <c r="C4329" s="156"/>
      <c r="D4329" s="157"/>
      <c r="E4329" s="155"/>
      <c r="F4329" s="151"/>
      <c r="G4329" s="152"/>
      <c r="H4329" s="153"/>
      <c r="I4329" s="154"/>
      <c r="J4329" s="154"/>
      <c r="K4329" s="30" t="str">
        <f>IF(H4329="","",IF($C$30="간이법","",FPR(H4329,I4329,J4329)))</f>
        <v/>
      </c>
      <c r="L4329" s="30" t="str">
        <f>IF(H4329="","",IF($C$30="상세법",FPV(H4329,K4329),IF(H4329="EI",4,IF(H4329="EO",5.2,IF(H4329="EQ",3.9,IF(H4329="ILF",7.5,IF(H4329="EIF",5.4)))))))</f>
        <v/>
      </c>
      <c r="M4329" s="30" t="str">
        <f t="shared" si="464"/>
        <v/>
      </c>
      <c r="N4329" s="134"/>
      <c r="O4329" s="29"/>
      <c r="P4329" s="37" t="str">
        <f t="shared" si="465"/>
        <v/>
      </c>
      <c r="Q4329" s="38" t="str">
        <f t="shared" si="466"/>
        <v/>
      </c>
      <c r="R4329" s="37" t="str">
        <f t="shared" si="467"/>
        <v/>
      </c>
      <c r="S4329" s="37" t="str">
        <f t="shared" si="468"/>
        <v/>
      </c>
      <c r="T4329" s="38" t="str">
        <f t="shared" si="469"/>
        <v/>
      </c>
      <c r="U4329" s="37" t="str">
        <f t="shared" si="470"/>
        <v/>
      </c>
    </row>
    <row r="4330" spans="2:21" ht="17.25">
      <c r="B4330" s="156"/>
      <c r="C4330" s="156"/>
      <c r="D4330" s="157"/>
      <c r="E4330" s="155"/>
      <c r="F4330" s="151"/>
      <c r="G4330" s="152"/>
      <c r="H4330" s="153"/>
      <c r="I4330" s="154"/>
      <c r="J4330" s="154"/>
      <c r="K4330" s="30" t="str">
        <f>IF(H4330="","",IF($C$30="간이법","",FPR(H4330,I4330,J4330)))</f>
        <v/>
      </c>
      <c r="L4330" s="30" t="str">
        <f>IF(H4330="","",IF($C$30="상세법",FPV(H4330,K4330),IF(H4330="EI",4,IF(H4330="EO",5.2,IF(H4330="EQ",3.9,IF(H4330="ILF",7.5,IF(H4330="EIF",5.4)))))))</f>
        <v/>
      </c>
      <c r="M4330" s="30" t="str">
        <f t="shared" si="464"/>
        <v/>
      </c>
      <c r="N4330" s="134"/>
      <c r="O4330" s="29"/>
      <c r="P4330" s="37" t="str">
        <f t="shared" si="465"/>
        <v/>
      </c>
      <c r="Q4330" s="38" t="str">
        <f t="shared" si="466"/>
        <v/>
      </c>
      <c r="R4330" s="37" t="str">
        <f t="shared" si="467"/>
        <v/>
      </c>
      <c r="S4330" s="37" t="str">
        <f t="shared" si="468"/>
        <v/>
      </c>
      <c r="T4330" s="38" t="str">
        <f t="shared" si="469"/>
        <v/>
      </c>
      <c r="U4330" s="37" t="str">
        <f t="shared" si="470"/>
        <v/>
      </c>
    </row>
    <row r="4331" spans="2:21" ht="17.25">
      <c r="B4331" s="156"/>
      <c r="C4331" s="156"/>
      <c r="D4331" s="157"/>
      <c r="E4331" s="155"/>
      <c r="F4331" s="151"/>
      <c r="G4331" s="152"/>
      <c r="H4331" s="153"/>
      <c r="I4331" s="154"/>
      <c r="J4331" s="154"/>
      <c r="K4331" s="30" t="str">
        <f>IF(H4331="","",IF($C$30="간이법","",FPR(H4331,I4331,J4331)))</f>
        <v/>
      </c>
      <c r="L4331" s="30" t="str">
        <f>IF(H4331="","",IF($C$30="상세법",FPV(H4331,K4331),IF(H4331="EI",4,IF(H4331="EO",5.2,IF(H4331="EQ",3.9,IF(H4331="ILF",7.5,IF(H4331="EIF",5.4)))))))</f>
        <v/>
      </c>
      <c r="M4331" s="30" t="str">
        <f t="shared" si="464"/>
        <v/>
      </c>
      <c r="N4331" s="134"/>
      <c r="O4331" s="29"/>
      <c r="P4331" s="37" t="str">
        <f t="shared" si="465"/>
        <v/>
      </c>
      <c r="Q4331" s="38" t="str">
        <f t="shared" si="466"/>
        <v/>
      </c>
      <c r="R4331" s="37" t="str">
        <f t="shared" si="467"/>
        <v/>
      </c>
      <c r="S4331" s="37" t="str">
        <f t="shared" si="468"/>
        <v/>
      </c>
      <c r="T4331" s="38" t="str">
        <f t="shared" si="469"/>
        <v/>
      </c>
      <c r="U4331" s="37" t="str">
        <f t="shared" si="470"/>
        <v/>
      </c>
    </row>
    <row r="4332" spans="2:21" ht="17.25">
      <c r="B4332" s="156"/>
      <c r="C4332" s="156"/>
      <c r="D4332" s="157"/>
      <c r="E4332" s="155"/>
      <c r="F4332" s="151"/>
      <c r="G4332" s="152"/>
      <c r="H4332" s="153"/>
      <c r="I4332" s="154"/>
      <c r="J4332" s="154"/>
      <c r="K4332" s="30" t="str">
        <f>IF(H4332="","",IF($C$30="간이법","",FPR(H4332,I4332,J4332)))</f>
        <v/>
      </c>
      <c r="L4332" s="30" t="str">
        <f>IF(H4332="","",IF($C$30="상세법",FPV(H4332,K4332),IF(H4332="EI",4,IF(H4332="EO",5.2,IF(H4332="EQ",3.9,IF(H4332="ILF",7.5,IF(H4332="EIF",5.4)))))))</f>
        <v/>
      </c>
      <c r="M4332" s="30" t="str">
        <f t="shared" si="464"/>
        <v/>
      </c>
      <c r="N4332" s="134"/>
      <c r="O4332" s="29"/>
      <c r="P4332" s="37" t="str">
        <f t="shared" si="465"/>
        <v/>
      </c>
      <c r="Q4332" s="38" t="str">
        <f t="shared" si="466"/>
        <v/>
      </c>
      <c r="R4332" s="37" t="str">
        <f t="shared" si="467"/>
        <v/>
      </c>
      <c r="S4332" s="37" t="str">
        <f t="shared" si="468"/>
        <v/>
      </c>
      <c r="T4332" s="38" t="str">
        <f t="shared" si="469"/>
        <v/>
      </c>
      <c r="U4332" s="37" t="str">
        <f t="shared" si="470"/>
        <v/>
      </c>
    </row>
    <row r="4333" spans="2:21" ht="17.25">
      <c r="B4333" s="156"/>
      <c r="C4333" s="156"/>
      <c r="D4333" s="157"/>
      <c r="E4333" s="155"/>
      <c r="F4333" s="151"/>
      <c r="G4333" s="152"/>
      <c r="H4333" s="153"/>
      <c r="I4333" s="154"/>
      <c r="J4333" s="154"/>
      <c r="K4333" s="30" t="str">
        <f>IF(H4333="","",IF($C$30="간이법","",FPR(H4333,I4333,J4333)))</f>
        <v/>
      </c>
      <c r="L4333" s="30" t="str">
        <f>IF(H4333="","",IF($C$30="상세법",FPV(H4333,K4333),IF(H4333="EI",4,IF(H4333="EO",5.2,IF(H4333="EQ",3.9,IF(H4333="ILF",7.5,IF(H4333="EIF",5.4)))))))</f>
        <v/>
      </c>
      <c r="M4333" s="30" t="str">
        <f t="shared" si="464"/>
        <v/>
      </c>
      <c r="N4333" s="134"/>
      <c r="O4333" s="29"/>
      <c r="P4333" s="37" t="str">
        <f t="shared" si="465"/>
        <v/>
      </c>
      <c r="Q4333" s="38" t="str">
        <f t="shared" si="466"/>
        <v/>
      </c>
      <c r="R4333" s="37" t="str">
        <f t="shared" si="467"/>
        <v/>
      </c>
      <c r="S4333" s="37" t="str">
        <f t="shared" si="468"/>
        <v/>
      </c>
      <c r="T4333" s="38" t="str">
        <f t="shared" si="469"/>
        <v/>
      </c>
      <c r="U4333" s="37" t="str">
        <f t="shared" si="470"/>
        <v/>
      </c>
    </row>
    <row r="4334" spans="2:21" ht="17.25">
      <c r="B4334" s="156"/>
      <c r="C4334" s="156"/>
      <c r="D4334" s="157"/>
      <c r="E4334" s="155"/>
      <c r="F4334" s="151"/>
      <c r="G4334" s="152"/>
      <c r="H4334" s="153"/>
      <c r="I4334" s="154"/>
      <c r="J4334" s="154"/>
      <c r="K4334" s="30" t="str">
        <f>IF(H4334="","",IF($C$30="간이법","",FPR(H4334,I4334,J4334)))</f>
        <v/>
      </c>
      <c r="L4334" s="30" t="str">
        <f>IF(H4334="","",IF($C$30="상세법",FPV(H4334,K4334),IF(H4334="EI",4,IF(H4334="EO",5.2,IF(H4334="EQ",3.9,IF(H4334="ILF",7.5,IF(H4334="EIF",5.4)))))))</f>
        <v/>
      </c>
      <c r="M4334" s="30" t="str">
        <f t="shared" si="464"/>
        <v/>
      </c>
      <c r="N4334" s="134"/>
      <c r="O4334" s="29"/>
      <c r="P4334" s="37" t="str">
        <f t="shared" si="465"/>
        <v/>
      </c>
      <c r="Q4334" s="38" t="str">
        <f t="shared" si="466"/>
        <v/>
      </c>
      <c r="R4334" s="37" t="str">
        <f t="shared" si="467"/>
        <v/>
      </c>
      <c r="S4334" s="37" t="str">
        <f t="shared" si="468"/>
        <v/>
      </c>
      <c r="T4334" s="38" t="str">
        <f t="shared" si="469"/>
        <v/>
      </c>
      <c r="U4334" s="37" t="str">
        <f t="shared" si="470"/>
        <v/>
      </c>
    </row>
    <row r="4335" spans="2:21" ht="17.25">
      <c r="B4335" s="156"/>
      <c r="C4335" s="156"/>
      <c r="D4335" s="157"/>
      <c r="E4335" s="155"/>
      <c r="F4335" s="151"/>
      <c r="G4335" s="152"/>
      <c r="H4335" s="153"/>
      <c r="I4335" s="154"/>
      <c r="J4335" s="154"/>
      <c r="K4335" s="30" t="str">
        <f>IF(H4335="","",IF($C$30="간이법","",FPR(H4335,I4335,J4335)))</f>
        <v/>
      </c>
      <c r="L4335" s="30" t="str">
        <f>IF(H4335="","",IF($C$30="상세법",FPV(H4335,K4335),IF(H4335="EI",4,IF(H4335="EO",5.2,IF(H4335="EQ",3.9,IF(H4335="ILF",7.5,IF(H4335="EIF",5.4)))))))</f>
        <v/>
      </c>
      <c r="M4335" s="30" t="str">
        <f t="shared" si="464"/>
        <v/>
      </c>
      <c r="N4335" s="134"/>
      <c r="O4335" s="29"/>
      <c r="P4335" s="37" t="str">
        <f t="shared" si="465"/>
        <v/>
      </c>
      <c r="Q4335" s="38" t="str">
        <f t="shared" si="466"/>
        <v/>
      </c>
      <c r="R4335" s="37" t="str">
        <f t="shared" si="467"/>
        <v/>
      </c>
      <c r="S4335" s="37" t="str">
        <f t="shared" si="468"/>
        <v/>
      </c>
      <c r="T4335" s="38" t="str">
        <f t="shared" si="469"/>
        <v/>
      </c>
      <c r="U4335" s="37" t="str">
        <f t="shared" si="470"/>
        <v/>
      </c>
    </row>
    <row r="4336" spans="2:21" ht="17.25">
      <c r="B4336" s="156"/>
      <c r="C4336" s="156"/>
      <c r="D4336" s="157"/>
      <c r="E4336" s="155"/>
      <c r="F4336" s="151"/>
      <c r="G4336" s="152"/>
      <c r="H4336" s="153"/>
      <c r="I4336" s="154"/>
      <c r="J4336" s="154"/>
      <c r="K4336" s="30" t="str">
        <f>IF(H4336="","",IF($C$30="간이법","",FPR(H4336,I4336,J4336)))</f>
        <v/>
      </c>
      <c r="L4336" s="30" t="str">
        <f>IF(H4336="","",IF($C$30="상세법",FPV(H4336,K4336),IF(H4336="EI",4,IF(H4336="EO",5.2,IF(H4336="EQ",3.9,IF(H4336="ILF",7.5,IF(H4336="EIF",5.4)))))))</f>
        <v/>
      </c>
      <c r="M4336" s="30" t="str">
        <f t="shared" si="464"/>
        <v/>
      </c>
      <c r="N4336" s="134"/>
      <c r="O4336" s="29"/>
      <c r="P4336" s="37" t="str">
        <f t="shared" si="465"/>
        <v/>
      </c>
      <c r="Q4336" s="38" t="str">
        <f t="shared" si="466"/>
        <v/>
      </c>
      <c r="R4336" s="37" t="str">
        <f t="shared" si="467"/>
        <v/>
      </c>
      <c r="S4336" s="37" t="str">
        <f t="shared" si="468"/>
        <v/>
      </c>
      <c r="T4336" s="38" t="str">
        <f t="shared" si="469"/>
        <v/>
      </c>
      <c r="U4336" s="37" t="str">
        <f t="shared" si="470"/>
        <v/>
      </c>
    </row>
    <row r="4337" spans="2:21" ht="17.25">
      <c r="B4337" s="156"/>
      <c r="C4337" s="156"/>
      <c r="D4337" s="157"/>
      <c r="E4337" s="155"/>
      <c r="F4337" s="151"/>
      <c r="G4337" s="152"/>
      <c r="H4337" s="153"/>
      <c r="I4337" s="154"/>
      <c r="J4337" s="154"/>
      <c r="K4337" s="30" t="str">
        <f>IF(H4337="","",IF($C$30="간이법","",FPR(H4337,I4337,J4337)))</f>
        <v/>
      </c>
      <c r="L4337" s="30" t="str">
        <f>IF(H4337="","",IF($C$30="상세법",FPV(H4337,K4337),IF(H4337="EI",4,IF(H4337="EO",5.2,IF(H4337="EQ",3.9,IF(H4337="ILF",7.5,IF(H4337="EIF",5.4)))))))</f>
        <v/>
      </c>
      <c r="M4337" s="30" t="str">
        <f t="shared" si="464"/>
        <v/>
      </c>
      <c r="N4337" s="134"/>
      <c r="O4337" s="29"/>
      <c r="P4337" s="37" t="str">
        <f t="shared" si="465"/>
        <v/>
      </c>
      <c r="Q4337" s="38" t="str">
        <f t="shared" si="466"/>
        <v/>
      </c>
      <c r="R4337" s="37" t="str">
        <f t="shared" si="467"/>
        <v/>
      </c>
      <c r="S4337" s="37" t="str">
        <f t="shared" si="468"/>
        <v/>
      </c>
      <c r="T4337" s="38" t="str">
        <f t="shared" si="469"/>
        <v/>
      </c>
      <c r="U4337" s="37" t="str">
        <f t="shared" si="470"/>
        <v/>
      </c>
    </row>
    <row r="4338" spans="2:21" ht="17.25">
      <c r="B4338" s="156"/>
      <c r="C4338" s="156"/>
      <c r="D4338" s="157"/>
      <c r="E4338" s="155"/>
      <c r="F4338" s="151"/>
      <c r="G4338" s="152"/>
      <c r="H4338" s="153"/>
      <c r="I4338" s="154"/>
      <c r="J4338" s="154"/>
      <c r="K4338" s="30" t="str">
        <f>IF(H4338="","",IF($C$30="간이법","",FPR(H4338,I4338,J4338)))</f>
        <v/>
      </c>
      <c r="L4338" s="30" t="str">
        <f>IF(H4338="","",IF($C$30="상세법",FPV(H4338,K4338),IF(H4338="EI",4,IF(H4338="EO",5.2,IF(H4338="EQ",3.9,IF(H4338="ILF",7.5,IF(H4338="EIF",5.4)))))))</f>
        <v/>
      </c>
      <c r="M4338" s="30" t="str">
        <f t="shared" si="464"/>
        <v/>
      </c>
      <c r="N4338" s="134"/>
      <c r="O4338" s="29"/>
      <c r="P4338" s="37" t="str">
        <f t="shared" si="465"/>
        <v/>
      </c>
      <c r="Q4338" s="38" t="str">
        <f t="shared" si="466"/>
        <v/>
      </c>
      <c r="R4338" s="37" t="str">
        <f t="shared" si="467"/>
        <v/>
      </c>
      <c r="S4338" s="37" t="str">
        <f t="shared" si="468"/>
        <v/>
      </c>
      <c r="T4338" s="38" t="str">
        <f t="shared" si="469"/>
        <v/>
      </c>
      <c r="U4338" s="37" t="str">
        <f t="shared" si="470"/>
        <v/>
      </c>
    </row>
    <row r="4339" spans="2:21" ht="17.25">
      <c r="B4339" s="156"/>
      <c r="C4339" s="156"/>
      <c r="D4339" s="157"/>
      <c r="E4339" s="155"/>
      <c r="F4339" s="151"/>
      <c r="G4339" s="152"/>
      <c r="H4339" s="153"/>
      <c r="I4339" s="154"/>
      <c r="J4339" s="154"/>
      <c r="K4339" s="30" t="str">
        <f>IF(H4339="","",IF($C$30="간이법","",FPR(H4339,I4339,J4339)))</f>
        <v/>
      </c>
      <c r="L4339" s="30" t="str">
        <f>IF(H4339="","",IF($C$30="상세법",FPV(H4339,K4339),IF(H4339="EI",4,IF(H4339="EO",5.2,IF(H4339="EQ",3.9,IF(H4339="ILF",7.5,IF(H4339="EIF",5.4)))))))</f>
        <v/>
      </c>
      <c r="M4339" s="30" t="str">
        <f t="shared" si="464"/>
        <v/>
      </c>
      <c r="N4339" s="134"/>
      <c r="O4339" s="29"/>
      <c r="P4339" s="37" t="str">
        <f t="shared" si="465"/>
        <v/>
      </c>
      <c r="Q4339" s="38" t="str">
        <f t="shared" si="466"/>
        <v/>
      </c>
      <c r="R4339" s="37" t="str">
        <f t="shared" si="467"/>
        <v/>
      </c>
      <c r="S4339" s="37" t="str">
        <f t="shared" si="468"/>
        <v/>
      </c>
      <c r="T4339" s="38" t="str">
        <f t="shared" si="469"/>
        <v/>
      </c>
      <c r="U4339" s="37" t="str">
        <f t="shared" si="470"/>
        <v/>
      </c>
    </row>
    <row r="4340" spans="2:21" ht="17.25">
      <c r="B4340" s="156"/>
      <c r="C4340" s="156"/>
      <c r="D4340" s="157"/>
      <c r="E4340" s="155"/>
      <c r="F4340" s="151"/>
      <c r="G4340" s="152"/>
      <c r="H4340" s="153"/>
      <c r="I4340" s="154"/>
      <c r="J4340" s="154"/>
      <c r="K4340" s="30" t="str">
        <f>IF(H4340="","",IF($C$30="간이법","",FPR(H4340,I4340,J4340)))</f>
        <v/>
      </c>
      <c r="L4340" s="30" t="str">
        <f>IF(H4340="","",IF($C$30="상세법",FPV(H4340,K4340),IF(H4340="EI",4,IF(H4340="EO",5.2,IF(H4340="EQ",3.9,IF(H4340="ILF",7.5,IF(H4340="EIF",5.4)))))))</f>
        <v/>
      </c>
      <c r="M4340" s="30" t="str">
        <f t="shared" si="464"/>
        <v/>
      </c>
      <c r="N4340" s="134"/>
      <c r="O4340" s="29"/>
      <c r="P4340" s="37" t="str">
        <f t="shared" si="465"/>
        <v/>
      </c>
      <c r="Q4340" s="38" t="str">
        <f t="shared" si="466"/>
        <v/>
      </c>
      <c r="R4340" s="37" t="str">
        <f t="shared" si="467"/>
        <v/>
      </c>
      <c r="S4340" s="37" t="str">
        <f t="shared" si="468"/>
        <v/>
      </c>
      <c r="T4340" s="38" t="str">
        <f t="shared" si="469"/>
        <v/>
      </c>
      <c r="U4340" s="37" t="str">
        <f t="shared" si="470"/>
        <v/>
      </c>
    </row>
    <row r="4341" spans="2:21" ht="17.25">
      <c r="B4341" s="156"/>
      <c r="C4341" s="156"/>
      <c r="D4341" s="157"/>
      <c r="E4341" s="155"/>
      <c r="F4341" s="151"/>
      <c r="G4341" s="152"/>
      <c r="H4341" s="153"/>
      <c r="I4341" s="154"/>
      <c r="J4341" s="154"/>
      <c r="K4341" s="30" t="str">
        <f>IF(H4341="","",IF($C$30="간이법","",FPR(H4341,I4341,J4341)))</f>
        <v/>
      </c>
      <c r="L4341" s="30" t="str">
        <f>IF(H4341="","",IF($C$30="상세법",FPV(H4341,K4341),IF(H4341="EI",4,IF(H4341="EO",5.2,IF(H4341="EQ",3.9,IF(H4341="ILF",7.5,IF(H4341="EIF",5.4)))))))</f>
        <v/>
      </c>
      <c r="M4341" s="30" t="str">
        <f t="shared" si="464"/>
        <v/>
      </c>
      <c r="N4341" s="134"/>
      <c r="O4341" s="29"/>
      <c r="P4341" s="37" t="str">
        <f t="shared" si="465"/>
        <v/>
      </c>
      <c r="Q4341" s="38" t="str">
        <f t="shared" si="466"/>
        <v/>
      </c>
      <c r="R4341" s="37" t="str">
        <f t="shared" si="467"/>
        <v/>
      </c>
      <c r="S4341" s="37" t="str">
        <f t="shared" si="468"/>
        <v/>
      </c>
      <c r="T4341" s="38" t="str">
        <f t="shared" si="469"/>
        <v/>
      </c>
      <c r="U4341" s="37" t="str">
        <f t="shared" si="470"/>
        <v/>
      </c>
    </row>
    <row r="4342" spans="2:21" ht="17.25">
      <c r="B4342" s="156"/>
      <c r="C4342" s="156"/>
      <c r="D4342" s="157"/>
      <c r="E4342" s="155"/>
      <c r="F4342" s="151"/>
      <c r="G4342" s="152"/>
      <c r="H4342" s="153"/>
      <c r="I4342" s="154"/>
      <c r="J4342" s="154"/>
      <c r="K4342" s="30" t="str">
        <f>IF(H4342="","",IF($C$30="간이법","",FPR(H4342,I4342,J4342)))</f>
        <v/>
      </c>
      <c r="L4342" s="30" t="str">
        <f>IF(H4342="","",IF($C$30="상세법",FPV(H4342,K4342),IF(H4342="EI",4,IF(H4342="EO",5.2,IF(H4342="EQ",3.9,IF(H4342="ILF",7.5,IF(H4342="EIF",5.4)))))))</f>
        <v/>
      </c>
      <c r="M4342" s="30" t="str">
        <f t="shared" si="464"/>
        <v/>
      </c>
      <c r="N4342" s="134"/>
      <c r="O4342" s="29"/>
      <c r="P4342" s="37" t="str">
        <f t="shared" si="465"/>
        <v/>
      </c>
      <c r="Q4342" s="38" t="str">
        <f t="shared" si="466"/>
        <v/>
      </c>
      <c r="R4342" s="37" t="str">
        <f t="shared" si="467"/>
        <v/>
      </c>
      <c r="S4342" s="37" t="str">
        <f t="shared" si="468"/>
        <v/>
      </c>
      <c r="T4342" s="38" t="str">
        <f t="shared" si="469"/>
        <v/>
      </c>
      <c r="U4342" s="37" t="str">
        <f t="shared" si="470"/>
        <v/>
      </c>
    </row>
    <row r="4343" spans="2:21" ht="17.25">
      <c r="B4343" s="156"/>
      <c r="C4343" s="156"/>
      <c r="D4343" s="157"/>
      <c r="E4343" s="155"/>
      <c r="F4343" s="151"/>
      <c r="G4343" s="152"/>
      <c r="H4343" s="153"/>
      <c r="I4343" s="154"/>
      <c r="J4343" s="154"/>
      <c r="K4343" s="30" t="str">
        <f>IF(H4343="","",IF($C$30="간이법","",FPR(H4343,I4343,J4343)))</f>
        <v/>
      </c>
      <c r="L4343" s="30" t="str">
        <f>IF(H4343="","",IF($C$30="상세법",FPV(H4343,K4343),IF(H4343="EI",4,IF(H4343="EO",5.2,IF(H4343="EQ",3.9,IF(H4343="ILF",7.5,IF(H4343="EIF",5.4)))))))</f>
        <v/>
      </c>
      <c r="M4343" s="30" t="str">
        <f t="shared" si="464"/>
        <v/>
      </c>
      <c r="N4343" s="134"/>
      <c r="O4343" s="29"/>
      <c r="P4343" s="37" t="str">
        <f t="shared" si="465"/>
        <v/>
      </c>
      <c r="Q4343" s="38" t="str">
        <f t="shared" si="466"/>
        <v/>
      </c>
      <c r="R4343" s="37" t="str">
        <f t="shared" si="467"/>
        <v/>
      </c>
      <c r="S4343" s="37" t="str">
        <f t="shared" si="468"/>
        <v/>
      </c>
      <c r="T4343" s="38" t="str">
        <f t="shared" si="469"/>
        <v/>
      </c>
      <c r="U4343" s="37" t="str">
        <f t="shared" si="470"/>
        <v/>
      </c>
    </row>
    <row r="4344" spans="2:21" ht="17.25">
      <c r="B4344" s="156"/>
      <c r="C4344" s="156"/>
      <c r="D4344" s="157"/>
      <c r="E4344" s="155"/>
      <c r="F4344" s="151"/>
      <c r="G4344" s="152"/>
      <c r="H4344" s="153"/>
      <c r="I4344" s="154"/>
      <c r="J4344" s="154"/>
      <c r="K4344" s="30" t="str">
        <f>IF(H4344="","",IF($C$30="간이법","",FPR(H4344,I4344,J4344)))</f>
        <v/>
      </c>
      <c r="L4344" s="30" t="str">
        <f>IF(H4344="","",IF($C$30="상세법",FPV(H4344,K4344),IF(H4344="EI",4,IF(H4344="EO",5.2,IF(H4344="EQ",3.9,IF(H4344="ILF",7.5,IF(H4344="EIF",5.4)))))))</f>
        <v/>
      </c>
      <c r="M4344" s="30" t="str">
        <f t="shared" si="464"/>
        <v/>
      </c>
      <c r="N4344" s="134"/>
      <c r="O4344" s="29"/>
      <c r="P4344" s="37" t="str">
        <f t="shared" si="465"/>
        <v/>
      </c>
      <c r="Q4344" s="38" t="str">
        <f t="shared" si="466"/>
        <v/>
      </c>
      <c r="R4344" s="37" t="str">
        <f t="shared" si="467"/>
        <v/>
      </c>
      <c r="S4344" s="37" t="str">
        <f t="shared" si="468"/>
        <v/>
      </c>
      <c r="T4344" s="38" t="str">
        <f t="shared" si="469"/>
        <v/>
      </c>
      <c r="U4344" s="37" t="str">
        <f t="shared" si="470"/>
        <v/>
      </c>
    </row>
    <row r="4345" spans="2:21" ht="17.25">
      <c r="B4345" s="156"/>
      <c r="C4345" s="156"/>
      <c r="D4345" s="157"/>
      <c r="E4345" s="155"/>
      <c r="F4345" s="151"/>
      <c r="G4345" s="152"/>
      <c r="H4345" s="153"/>
      <c r="I4345" s="154"/>
      <c r="J4345" s="154"/>
      <c r="K4345" s="30" t="str">
        <f>IF(H4345="","",IF($C$30="간이법","",FPR(H4345,I4345,J4345)))</f>
        <v/>
      </c>
      <c r="L4345" s="30" t="str">
        <f>IF(H4345="","",IF($C$30="상세법",FPV(H4345,K4345),IF(H4345="EI",4,IF(H4345="EO",5.2,IF(H4345="EQ",3.9,IF(H4345="ILF",7.5,IF(H4345="EIF",5.4)))))))</f>
        <v/>
      </c>
      <c r="M4345" s="30" t="str">
        <f t="shared" si="464"/>
        <v/>
      </c>
      <c r="N4345" s="134"/>
      <c r="O4345" s="29"/>
      <c r="P4345" s="37" t="str">
        <f t="shared" si="465"/>
        <v/>
      </c>
      <c r="Q4345" s="38" t="str">
        <f t="shared" si="466"/>
        <v/>
      </c>
      <c r="R4345" s="37" t="str">
        <f t="shared" si="467"/>
        <v/>
      </c>
      <c r="S4345" s="37" t="str">
        <f t="shared" si="468"/>
        <v/>
      </c>
      <c r="T4345" s="38" t="str">
        <f t="shared" si="469"/>
        <v/>
      </c>
      <c r="U4345" s="37" t="str">
        <f t="shared" si="470"/>
        <v/>
      </c>
    </row>
    <row r="4346" spans="2:21" ht="17.25">
      <c r="B4346" s="156"/>
      <c r="C4346" s="156"/>
      <c r="D4346" s="157"/>
      <c r="E4346" s="155"/>
      <c r="F4346" s="151"/>
      <c r="G4346" s="152"/>
      <c r="H4346" s="153"/>
      <c r="I4346" s="154"/>
      <c r="J4346" s="154"/>
      <c r="K4346" s="30" t="str">
        <f>IF(H4346="","",IF($C$30="간이법","",FPR(H4346,I4346,J4346)))</f>
        <v/>
      </c>
      <c r="L4346" s="30" t="str">
        <f>IF(H4346="","",IF($C$30="상세법",FPV(H4346,K4346),IF(H4346="EI",4,IF(H4346="EO",5.2,IF(H4346="EQ",3.9,IF(H4346="ILF",7.5,IF(H4346="EIF",5.4)))))))</f>
        <v/>
      </c>
      <c r="M4346" s="30" t="str">
        <f t="shared" si="464"/>
        <v/>
      </c>
      <c r="N4346" s="134"/>
      <c r="O4346" s="29"/>
      <c r="P4346" s="37" t="str">
        <f t="shared" si="465"/>
        <v/>
      </c>
      <c r="Q4346" s="38" t="str">
        <f t="shared" si="466"/>
        <v/>
      </c>
      <c r="R4346" s="37" t="str">
        <f t="shared" si="467"/>
        <v/>
      </c>
      <c r="S4346" s="37" t="str">
        <f t="shared" si="468"/>
        <v/>
      </c>
      <c r="T4346" s="38" t="str">
        <f t="shared" si="469"/>
        <v/>
      </c>
      <c r="U4346" s="37" t="str">
        <f t="shared" si="470"/>
        <v/>
      </c>
    </row>
    <row r="4347" spans="2:21" ht="17.25">
      <c r="B4347" s="156"/>
      <c r="C4347" s="156"/>
      <c r="D4347" s="157"/>
      <c r="E4347" s="155"/>
      <c r="F4347" s="151"/>
      <c r="G4347" s="152"/>
      <c r="H4347" s="153"/>
      <c r="I4347" s="154"/>
      <c r="J4347" s="154"/>
      <c r="K4347" s="30" t="str">
        <f>IF(H4347="","",IF($C$30="간이법","",FPR(H4347,I4347,J4347)))</f>
        <v/>
      </c>
      <c r="L4347" s="30" t="str">
        <f>IF(H4347="","",IF($C$30="상세법",FPV(H4347,K4347),IF(H4347="EI",4,IF(H4347="EO",5.2,IF(H4347="EQ",3.9,IF(H4347="ILF",7.5,IF(H4347="EIF",5.4)))))))</f>
        <v/>
      </c>
      <c r="M4347" s="30" t="str">
        <f t="shared" si="464"/>
        <v/>
      </c>
      <c r="N4347" s="134"/>
      <c r="O4347" s="29"/>
      <c r="P4347" s="37" t="str">
        <f t="shared" si="465"/>
        <v/>
      </c>
      <c r="Q4347" s="38" t="str">
        <f t="shared" si="466"/>
        <v/>
      </c>
      <c r="R4347" s="37" t="str">
        <f t="shared" si="467"/>
        <v/>
      </c>
      <c r="S4347" s="37" t="str">
        <f t="shared" si="468"/>
        <v/>
      </c>
      <c r="T4347" s="38" t="str">
        <f t="shared" si="469"/>
        <v/>
      </c>
      <c r="U4347" s="37" t="str">
        <f t="shared" si="470"/>
        <v/>
      </c>
    </row>
    <row r="4348" spans="2:21" ht="17.25">
      <c r="B4348" s="156"/>
      <c r="C4348" s="156"/>
      <c r="D4348" s="157"/>
      <c r="E4348" s="155"/>
      <c r="F4348" s="151"/>
      <c r="G4348" s="152"/>
      <c r="H4348" s="153"/>
      <c r="I4348" s="154"/>
      <c r="J4348" s="154"/>
      <c r="K4348" s="30" t="str">
        <f>IF(H4348="","",IF($C$30="간이법","",FPR(H4348,I4348,J4348)))</f>
        <v/>
      </c>
      <c r="L4348" s="30" t="str">
        <f>IF(H4348="","",IF($C$30="상세법",FPV(H4348,K4348),IF(H4348="EI",4,IF(H4348="EO",5.2,IF(H4348="EQ",3.9,IF(H4348="ILF",7.5,IF(H4348="EIF",5.4)))))))</f>
        <v/>
      </c>
      <c r="M4348" s="30" t="str">
        <f t="shared" ref="M4348:M4411" si="471">IF(OR(G4348="",$E$36="(선택)",$E$40="(선택)",$E$41="(선택)",F4348="신규 개발",F4348="수정 없이 재사용"),"",(IF(F4348="수정 후 재사용",IF($E$50&lt;=0.5,L4348*($E$36+$E$50*100*(1+0.02*($E$40*$E$41)))/100,L4348*($E$36+$E$50*100+($E$40*$E$41))/100))))</f>
        <v/>
      </c>
      <c r="N4348" s="134"/>
      <c r="O4348" s="29"/>
      <c r="P4348" s="37" t="str">
        <f t="shared" ref="P4348:P4411" si="472">IF(F4348="수정 후 재사용",IF(H4348="ILF",G4348,IF(H4348="EIF",G4348,"")),"")</f>
        <v/>
      </c>
      <c r="Q4348" s="38" t="str">
        <f t="shared" ref="Q4348:Q4411" si="473">IF(P4348&lt;&gt;"",IF(H4348="ILF", L4348/$E$46,IF(H4348="EIF", L4348/$E$46,"")),"")</f>
        <v/>
      </c>
      <c r="R4348" s="37" t="str">
        <f t="shared" ref="R4348:R4411" si="474">IF(P4348&lt;&gt;"",P4348*Q4348,"")</f>
        <v/>
      </c>
      <c r="S4348" s="37" t="str">
        <f t="shared" ref="S4348:S4411" si="475">IF(F4348="수정 후 재사용",IF(H4348="EI",G4348,IF(H4348="EO",G4348,IF(H4348="EQ",G4348,""))),"")</f>
        <v/>
      </c>
      <c r="T4348" s="38" t="str">
        <f t="shared" ref="T4348:T4411" si="476">IF(S4348&lt;&gt;"",IF(H4348="EI",L4348/$E$47,IF(H4348="EO",L4348/$E$47,IF(H4348="EQ",L4348/$E$47,""))),"")</f>
        <v/>
      </c>
      <c r="U4348" s="37" t="str">
        <f t="shared" ref="U4348:U4411" si="477">IF(S4348&lt;&gt;"",S4348*T4348,"")</f>
        <v/>
      </c>
    </row>
    <row r="4349" spans="2:21" ht="17.25">
      <c r="B4349" s="156"/>
      <c r="C4349" s="156"/>
      <c r="D4349" s="157"/>
      <c r="E4349" s="155"/>
      <c r="F4349" s="151"/>
      <c r="G4349" s="152"/>
      <c r="H4349" s="153"/>
      <c r="I4349" s="154"/>
      <c r="J4349" s="154"/>
      <c r="K4349" s="30" t="str">
        <f>IF(H4349="","",IF($C$30="간이법","",FPR(H4349,I4349,J4349)))</f>
        <v/>
      </c>
      <c r="L4349" s="30" t="str">
        <f>IF(H4349="","",IF($C$30="상세법",FPV(H4349,K4349),IF(H4349="EI",4,IF(H4349="EO",5.2,IF(H4349="EQ",3.9,IF(H4349="ILF",7.5,IF(H4349="EIF",5.4)))))))</f>
        <v/>
      </c>
      <c r="M4349" s="30" t="str">
        <f t="shared" si="471"/>
        <v/>
      </c>
      <c r="N4349" s="134"/>
      <c r="O4349" s="29"/>
      <c r="P4349" s="37" t="str">
        <f t="shared" si="472"/>
        <v/>
      </c>
      <c r="Q4349" s="38" t="str">
        <f t="shared" si="473"/>
        <v/>
      </c>
      <c r="R4349" s="37" t="str">
        <f t="shared" si="474"/>
        <v/>
      </c>
      <c r="S4349" s="37" t="str">
        <f t="shared" si="475"/>
        <v/>
      </c>
      <c r="T4349" s="38" t="str">
        <f t="shared" si="476"/>
        <v/>
      </c>
      <c r="U4349" s="37" t="str">
        <f t="shared" si="477"/>
        <v/>
      </c>
    </row>
    <row r="4350" spans="2:21" ht="17.25">
      <c r="B4350" s="156"/>
      <c r="C4350" s="156"/>
      <c r="D4350" s="157"/>
      <c r="E4350" s="155"/>
      <c r="F4350" s="151"/>
      <c r="G4350" s="152"/>
      <c r="H4350" s="153"/>
      <c r="I4350" s="154"/>
      <c r="J4350" s="154"/>
      <c r="K4350" s="30" t="str">
        <f>IF(H4350="","",IF($C$30="간이법","",FPR(H4350,I4350,J4350)))</f>
        <v/>
      </c>
      <c r="L4350" s="30" t="str">
        <f>IF(H4350="","",IF($C$30="상세법",FPV(H4350,K4350),IF(H4350="EI",4,IF(H4350="EO",5.2,IF(H4350="EQ",3.9,IF(H4350="ILF",7.5,IF(H4350="EIF",5.4)))))))</f>
        <v/>
      </c>
      <c r="M4350" s="30" t="str">
        <f t="shared" si="471"/>
        <v/>
      </c>
      <c r="N4350" s="134"/>
      <c r="O4350" s="29"/>
      <c r="P4350" s="37" t="str">
        <f t="shared" si="472"/>
        <v/>
      </c>
      <c r="Q4350" s="38" t="str">
        <f t="shared" si="473"/>
        <v/>
      </c>
      <c r="R4350" s="37" t="str">
        <f t="shared" si="474"/>
        <v/>
      </c>
      <c r="S4350" s="37" t="str">
        <f t="shared" si="475"/>
        <v/>
      </c>
      <c r="T4350" s="38" t="str">
        <f t="shared" si="476"/>
        <v/>
      </c>
      <c r="U4350" s="37" t="str">
        <f t="shared" si="477"/>
        <v/>
      </c>
    </row>
    <row r="4351" spans="2:21" ht="17.25">
      <c r="B4351" s="156"/>
      <c r="C4351" s="156"/>
      <c r="D4351" s="157"/>
      <c r="E4351" s="155"/>
      <c r="F4351" s="151"/>
      <c r="G4351" s="152"/>
      <c r="H4351" s="153"/>
      <c r="I4351" s="154"/>
      <c r="J4351" s="154"/>
      <c r="K4351" s="30" t="str">
        <f>IF(H4351="","",IF($C$30="간이법","",FPR(H4351,I4351,J4351)))</f>
        <v/>
      </c>
      <c r="L4351" s="30" t="str">
        <f>IF(H4351="","",IF($C$30="상세법",FPV(H4351,K4351),IF(H4351="EI",4,IF(H4351="EO",5.2,IF(H4351="EQ",3.9,IF(H4351="ILF",7.5,IF(H4351="EIF",5.4)))))))</f>
        <v/>
      </c>
      <c r="M4351" s="30" t="str">
        <f t="shared" si="471"/>
        <v/>
      </c>
      <c r="N4351" s="134"/>
      <c r="O4351" s="29"/>
      <c r="P4351" s="37" t="str">
        <f t="shared" si="472"/>
        <v/>
      </c>
      <c r="Q4351" s="38" t="str">
        <f t="shared" si="473"/>
        <v/>
      </c>
      <c r="R4351" s="37" t="str">
        <f t="shared" si="474"/>
        <v/>
      </c>
      <c r="S4351" s="37" t="str">
        <f t="shared" si="475"/>
        <v/>
      </c>
      <c r="T4351" s="38" t="str">
        <f t="shared" si="476"/>
        <v/>
      </c>
      <c r="U4351" s="37" t="str">
        <f t="shared" si="477"/>
        <v/>
      </c>
    </row>
    <row r="4352" spans="2:21" ht="17.25">
      <c r="B4352" s="156"/>
      <c r="C4352" s="156"/>
      <c r="D4352" s="157"/>
      <c r="E4352" s="155"/>
      <c r="F4352" s="151"/>
      <c r="G4352" s="152"/>
      <c r="H4352" s="153"/>
      <c r="I4352" s="154"/>
      <c r="J4352" s="154"/>
      <c r="K4352" s="30" t="str">
        <f>IF(H4352="","",IF($C$30="간이법","",FPR(H4352,I4352,J4352)))</f>
        <v/>
      </c>
      <c r="L4352" s="30" t="str">
        <f>IF(H4352="","",IF($C$30="상세법",FPV(H4352,K4352),IF(H4352="EI",4,IF(H4352="EO",5.2,IF(H4352="EQ",3.9,IF(H4352="ILF",7.5,IF(H4352="EIF",5.4)))))))</f>
        <v/>
      </c>
      <c r="M4352" s="30" t="str">
        <f t="shared" si="471"/>
        <v/>
      </c>
      <c r="N4352" s="134"/>
      <c r="O4352" s="29"/>
      <c r="P4352" s="37" t="str">
        <f t="shared" si="472"/>
        <v/>
      </c>
      <c r="Q4352" s="38" t="str">
        <f t="shared" si="473"/>
        <v/>
      </c>
      <c r="R4352" s="37" t="str">
        <f t="shared" si="474"/>
        <v/>
      </c>
      <c r="S4352" s="37" t="str">
        <f t="shared" si="475"/>
        <v/>
      </c>
      <c r="T4352" s="38" t="str">
        <f t="shared" si="476"/>
        <v/>
      </c>
      <c r="U4352" s="37" t="str">
        <f t="shared" si="477"/>
        <v/>
      </c>
    </row>
    <row r="4353" spans="2:21" ht="17.25">
      <c r="B4353" s="156"/>
      <c r="C4353" s="156"/>
      <c r="D4353" s="157"/>
      <c r="E4353" s="155"/>
      <c r="F4353" s="151"/>
      <c r="G4353" s="152"/>
      <c r="H4353" s="153"/>
      <c r="I4353" s="154"/>
      <c r="J4353" s="154"/>
      <c r="K4353" s="30" t="str">
        <f>IF(H4353="","",IF($C$30="간이법","",FPR(H4353,I4353,J4353)))</f>
        <v/>
      </c>
      <c r="L4353" s="30" t="str">
        <f>IF(H4353="","",IF($C$30="상세법",FPV(H4353,K4353),IF(H4353="EI",4,IF(H4353="EO",5.2,IF(H4353="EQ",3.9,IF(H4353="ILF",7.5,IF(H4353="EIF",5.4)))))))</f>
        <v/>
      </c>
      <c r="M4353" s="30" t="str">
        <f t="shared" si="471"/>
        <v/>
      </c>
      <c r="N4353" s="134"/>
      <c r="O4353" s="29"/>
      <c r="P4353" s="37" t="str">
        <f t="shared" si="472"/>
        <v/>
      </c>
      <c r="Q4353" s="38" t="str">
        <f t="shared" si="473"/>
        <v/>
      </c>
      <c r="R4353" s="37" t="str">
        <f t="shared" si="474"/>
        <v/>
      </c>
      <c r="S4353" s="37" t="str">
        <f t="shared" si="475"/>
        <v/>
      </c>
      <c r="T4353" s="38" t="str">
        <f t="shared" si="476"/>
        <v/>
      </c>
      <c r="U4353" s="37" t="str">
        <f t="shared" si="477"/>
        <v/>
      </c>
    </row>
    <row r="4354" spans="2:21" ht="17.25">
      <c r="B4354" s="156"/>
      <c r="C4354" s="156"/>
      <c r="D4354" s="157"/>
      <c r="E4354" s="155"/>
      <c r="F4354" s="151"/>
      <c r="G4354" s="152"/>
      <c r="H4354" s="153"/>
      <c r="I4354" s="154"/>
      <c r="J4354" s="154"/>
      <c r="K4354" s="30" t="str">
        <f>IF(H4354="","",IF($C$30="간이법","",FPR(H4354,I4354,J4354)))</f>
        <v/>
      </c>
      <c r="L4354" s="30" t="str">
        <f>IF(H4354="","",IF($C$30="상세법",FPV(H4354,K4354),IF(H4354="EI",4,IF(H4354="EO",5.2,IF(H4354="EQ",3.9,IF(H4354="ILF",7.5,IF(H4354="EIF",5.4)))))))</f>
        <v/>
      </c>
      <c r="M4354" s="30" t="str">
        <f t="shared" si="471"/>
        <v/>
      </c>
      <c r="N4354" s="134"/>
      <c r="O4354" s="29"/>
      <c r="P4354" s="37" t="str">
        <f t="shared" si="472"/>
        <v/>
      </c>
      <c r="Q4354" s="38" t="str">
        <f t="shared" si="473"/>
        <v/>
      </c>
      <c r="R4354" s="37" t="str">
        <f t="shared" si="474"/>
        <v/>
      </c>
      <c r="S4354" s="37" t="str">
        <f t="shared" si="475"/>
        <v/>
      </c>
      <c r="T4354" s="38" t="str">
        <f t="shared" si="476"/>
        <v/>
      </c>
      <c r="U4354" s="37" t="str">
        <f t="shared" si="477"/>
        <v/>
      </c>
    </row>
    <row r="4355" spans="2:21" ht="17.25">
      <c r="B4355" s="156"/>
      <c r="C4355" s="156"/>
      <c r="D4355" s="157"/>
      <c r="E4355" s="155"/>
      <c r="F4355" s="151"/>
      <c r="G4355" s="152"/>
      <c r="H4355" s="153"/>
      <c r="I4355" s="154"/>
      <c r="J4355" s="154"/>
      <c r="K4355" s="30" t="str">
        <f>IF(H4355="","",IF($C$30="간이법","",FPR(H4355,I4355,J4355)))</f>
        <v/>
      </c>
      <c r="L4355" s="30" t="str">
        <f>IF(H4355="","",IF($C$30="상세법",FPV(H4355,K4355),IF(H4355="EI",4,IF(H4355="EO",5.2,IF(H4355="EQ",3.9,IF(H4355="ILF",7.5,IF(H4355="EIF",5.4)))))))</f>
        <v/>
      </c>
      <c r="M4355" s="30" t="str">
        <f t="shared" si="471"/>
        <v/>
      </c>
      <c r="N4355" s="134"/>
      <c r="O4355" s="29"/>
      <c r="P4355" s="37" t="str">
        <f t="shared" si="472"/>
        <v/>
      </c>
      <c r="Q4355" s="38" t="str">
        <f t="shared" si="473"/>
        <v/>
      </c>
      <c r="R4355" s="37" t="str">
        <f t="shared" si="474"/>
        <v/>
      </c>
      <c r="S4355" s="37" t="str">
        <f t="shared" si="475"/>
        <v/>
      </c>
      <c r="T4355" s="38" t="str">
        <f t="shared" si="476"/>
        <v/>
      </c>
      <c r="U4355" s="37" t="str">
        <f t="shared" si="477"/>
        <v/>
      </c>
    </row>
    <row r="4356" spans="2:21" ht="17.25">
      <c r="B4356" s="156"/>
      <c r="C4356" s="156"/>
      <c r="D4356" s="157"/>
      <c r="E4356" s="155"/>
      <c r="F4356" s="151"/>
      <c r="G4356" s="152"/>
      <c r="H4356" s="153"/>
      <c r="I4356" s="154"/>
      <c r="J4356" s="154"/>
      <c r="K4356" s="30" t="str">
        <f>IF(H4356="","",IF($C$30="간이법","",FPR(H4356,I4356,J4356)))</f>
        <v/>
      </c>
      <c r="L4356" s="30" t="str">
        <f>IF(H4356="","",IF($C$30="상세법",FPV(H4356,K4356),IF(H4356="EI",4,IF(H4356="EO",5.2,IF(H4356="EQ",3.9,IF(H4356="ILF",7.5,IF(H4356="EIF",5.4)))))))</f>
        <v/>
      </c>
      <c r="M4356" s="30" t="str">
        <f t="shared" si="471"/>
        <v/>
      </c>
      <c r="N4356" s="134"/>
      <c r="O4356" s="29"/>
      <c r="P4356" s="37" t="str">
        <f t="shared" si="472"/>
        <v/>
      </c>
      <c r="Q4356" s="38" t="str">
        <f t="shared" si="473"/>
        <v/>
      </c>
      <c r="R4356" s="37" t="str">
        <f t="shared" si="474"/>
        <v/>
      </c>
      <c r="S4356" s="37" t="str">
        <f t="shared" si="475"/>
        <v/>
      </c>
      <c r="T4356" s="38" t="str">
        <f t="shared" si="476"/>
        <v/>
      </c>
      <c r="U4356" s="37" t="str">
        <f t="shared" si="477"/>
        <v/>
      </c>
    </row>
    <row r="4357" spans="2:21" ht="17.25">
      <c r="B4357" s="156"/>
      <c r="C4357" s="156"/>
      <c r="D4357" s="157"/>
      <c r="E4357" s="155"/>
      <c r="F4357" s="151"/>
      <c r="G4357" s="152"/>
      <c r="H4357" s="153"/>
      <c r="I4357" s="154"/>
      <c r="J4357" s="154"/>
      <c r="K4357" s="30" t="str">
        <f>IF(H4357="","",IF($C$30="간이법","",FPR(H4357,I4357,J4357)))</f>
        <v/>
      </c>
      <c r="L4357" s="30" t="str">
        <f>IF(H4357="","",IF($C$30="상세법",FPV(H4357,K4357),IF(H4357="EI",4,IF(H4357="EO",5.2,IF(H4357="EQ",3.9,IF(H4357="ILF",7.5,IF(H4357="EIF",5.4)))))))</f>
        <v/>
      </c>
      <c r="M4357" s="30" t="str">
        <f t="shared" si="471"/>
        <v/>
      </c>
      <c r="N4357" s="134"/>
      <c r="O4357" s="29"/>
      <c r="P4357" s="37" t="str">
        <f t="shared" si="472"/>
        <v/>
      </c>
      <c r="Q4357" s="38" t="str">
        <f t="shared" si="473"/>
        <v/>
      </c>
      <c r="R4357" s="37" t="str">
        <f t="shared" si="474"/>
        <v/>
      </c>
      <c r="S4357" s="37" t="str">
        <f t="shared" si="475"/>
        <v/>
      </c>
      <c r="T4357" s="38" t="str">
        <f t="shared" si="476"/>
        <v/>
      </c>
      <c r="U4357" s="37" t="str">
        <f t="shared" si="477"/>
        <v/>
      </c>
    </row>
    <row r="4358" spans="2:21" ht="17.25">
      <c r="B4358" s="156"/>
      <c r="C4358" s="156"/>
      <c r="D4358" s="157"/>
      <c r="E4358" s="155"/>
      <c r="F4358" s="151"/>
      <c r="G4358" s="152"/>
      <c r="H4358" s="153"/>
      <c r="I4358" s="154"/>
      <c r="J4358" s="154"/>
      <c r="K4358" s="30" t="str">
        <f>IF(H4358="","",IF($C$30="간이법","",FPR(H4358,I4358,J4358)))</f>
        <v/>
      </c>
      <c r="L4358" s="30" t="str">
        <f>IF(H4358="","",IF($C$30="상세법",FPV(H4358,K4358),IF(H4358="EI",4,IF(H4358="EO",5.2,IF(H4358="EQ",3.9,IF(H4358="ILF",7.5,IF(H4358="EIF",5.4)))))))</f>
        <v/>
      </c>
      <c r="M4358" s="30" t="str">
        <f t="shared" si="471"/>
        <v/>
      </c>
      <c r="N4358" s="134"/>
      <c r="O4358" s="29"/>
      <c r="P4358" s="37" t="str">
        <f t="shared" si="472"/>
        <v/>
      </c>
      <c r="Q4358" s="38" t="str">
        <f t="shared" si="473"/>
        <v/>
      </c>
      <c r="R4358" s="37" t="str">
        <f t="shared" si="474"/>
        <v/>
      </c>
      <c r="S4358" s="37" t="str">
        <f t="shared" si="475"/>
        <v/>
      </c>
      <c r="T4358" s="38" t="str">
        <f t="shared" si="476"/>
        <v/>
      </c>
      <c r="U4358" s="37" t="str">
        <f t="shared" si="477"/>
        <v/>
      </c>
    </row>
    <row r="4359" spans="2:21" ht="17.25">
      <c r="B4359" s="156"/>
      <c r="C4359" s="156"/>
      <c r="D4359" s="157"/>
      <c r="E4359" s="155"/>
      <c r="F4359" s="151"/>
      <c r="G4359" s="152"/>
      <c r="H4359" s="153"/>
      <c r="I4359" s="154"/>
      <c r="J4359" s="154"/>
      <c r="K4359" s="30" t="str">
        <f>IF(H4359="","",IF($C$30="간이법","",FPR(H4359,I4359,J4359)))</f>
        <v/>
      </c>
      <c r="L4359" s="30" t="str">
        <f>IF(H4359="","",IF($C$30="상세법",FPV(H4359,K4359),IF(H4359="EI",4,IF(H4359="EO",5.2,IF(H4359="EQ",3.9,IF(H4359="ILF",7.5,IF(H4359="EIF",5.4)))))))</f>
        <v/>
      </c>
      <c r="M4359" s="30" t="str">
        <f t="shared" si="471"/>
        <v/>
      </c>
      <c r="N4359" s="134"/>
      <c r="O4359" s="29"/>
      <c r="P4359" s="37" t="str">
        <f t="shared" si="472"/>
        <v/>
      </c>
      <c r="Q4359" s="38" t="str">
        <f t="shared" si="473"/>
        <v/>
      </c>
      <c r="R4359" s="37" t="str">
        <f t="shared" si="474"/>
        <v/>
      </c>
      <c r="S4359" s="37" t="str">
        <f t="shared" si="475"/>
        <v/>
      </c>
      <c r="T4359" s="38" t="str">
        <f t="shared" si="476"/>
        <v/>
      </c>
      <c r="U4359" s="37" t="str">
        <f t="shared" si="477"/>
        <v/>
      </c>
    </row>
    <row r="4360" spans="2:21" ht="17.25">
      <c r="B4360" s="156"/>
      <c r="C4360" s="156"/>
      <c r="D4360" s="157"/>
      <c r="E4360" s="155"/>
      <c r="F4360" s="151"/>
      <c r="G4360" s="152"/>
      <c r="H4360" s="153"/>
      <c r="I4360" s="154"/>
      <c r="J4360" s="154"/>
      <c r="K4360" s="30" t="str">
        <f>IF(H4360="","",IF($C$30="간이법","",FPR(H4360,I4360,J4360)))</f>
        <v/>
      </c>
      <c r="L4360" s="30" t="str">
        <f>IF(H4360="","",IF($C$30="상세법",FPV(H4360,K4360),IF(H4360="EI",4,IF(H4360="EO",5.2,IF(H4360="EQ",3.9,IF(H4360="ILF",7.5,IF(H4360="EIF",5.4)))))))</f>
        <v/>
      </c>
      <c r="M4360" s="30" t="str">
        <f t="shared" si="471"/>
        <v/>
      </c>
      <c r="N4360" s="134"/>
      <c r="O4360" s="29"/>
      <c r="P4360" s="37" t="str">
        <f t="shared" si="472"/>
        <v/>
      </c>
      <c r="Q4360" s="38" t="str">
        <f t="shared" si="473"/>
        <v/>
      </c>
      <c r="R4360" s="37" t="str">
        <f t="shared" si="474"/>
        <v/>
      </c>
      <c r="S4360" s="37" t="str">
        <f t="shared" si="475"/>
        <v/>
      </c>
      <c r="T4360" s="38" t="str">
        <f t="shared" si="476"/>
        <v/>
      </c>
      <c r="U4360" s="37" t="str">
        <f t="shared" si="477"/>
        <v/>
      </c>
    </row>
    <row r="4361" spans="2:21" ht="17.25">
      <c r="B4361" s="156"/>
      <c r="C4361" s="156"/>
      <c r="D4361" s="157"/>
      <c r="E4361" s="155"/>
      <c r="F4361" s="151"/>
      <c r="G4361" s="152"/>
      <c r="H4361" s="153"/>
      <c r="I4361" s="154"/>
      <c r="J4361" s="154"/>
      <c r="K4361" s="30" t="str">
        <f>IF(H4361="","",IF($C$30="간이법","",FPR(H4361,I4361,J4361)))</f>
        <v/>
      </c>
      <c r="L4361" s="30" t="str">
        <f>IF(H4361="","",IF($C$30="상세법",FPV(H4361,K4361),IF(H4361="EI",4,IF(H4361="EO",5.2,IF(H4361="EQ",3.9,IF(H4361="ILF",7.5,IF(H4361="EIF",5.4)))))))</f>
        <v/>
      </c>
      <c r="M4361" s="30" t="str">
        <f t="shared" si="471"/>
        <v/>
      </c>
      <c r="N4361" s="134"/>
      <c r="O4361" s="29"/>
      <c r="P4361" s="37" t="str">
        <f t="shared" si="472"/>
        <v/>
      </c>
      <c r="Q4361" s="38" t="str">
        <f t="shared" si="473"/>
        <v/>
      </c>
      <c r="R4361" s="37" t="str">
        <f t="shared" si="474"/>
        <v/>
      </c>
      <c r="S4361" s="37" t="str">
        <f t="shared" si="475"/>
        <v/>
      </c>
      <c r="T4361" s="38" t="str">
        <f t="shared" si="476"/>
        <v/>
      </c>
      <c r="U4361" s="37" t="str">
        <f t="shared" si="477"/>
        <v/>
      </c>
    </row>
    <row r="4362" spans="2:21" ht="17.25">
      <c r="B4362" s="156"/>
      <c r="C4362" s="156"/>
      <c r="D4362" s="157"/>
      <c r="E4362" s="155"/>
      <c r="F4362" s="151"/>
      <c r="G4362" s="152"/>
      <c r="H4362" s="153"/>
      <c r="I4362" s="154"/>
      <c r="J4362" s="154"/>
      <c r="K4362" s="30" t="str">
        <f>IF(H4362="","",IF($C$30="간이법","",FPR(H4362,I4362,J4362)))</f>
        <v/>
      </c>
      <c r="L4362" s="30" t="str">
        <f>IF(H4362="","",IF($C$30="상세법",FPV(H4362,K4362),IF(H4362="EI",4,IF(H4362="EO",5.2,IF(H4362="EQ",3.9,IF(H4362="ILF",7.5,IF(H4362="EIF",5.4)))))))</f>
        <v/>
      </c>
      <c r="M4362" s="30" t="str">
        <f t="shared" si="471"/>
        <v/>
      </c>
      <c r="N4362" s="134"/>
      <c r="O4362" s="29"/>
      <c r="P4362" s="37" t="str">
        <f t="shared" si="472"/>
        <v/>
      </c>
      <c r="Q4362" s="38" t="str">
        <f t="shared" si="473"/>
        <v/>
      </c>
      <c r="R4362" s="37" t="str">
        <f t="shared" si="474"/>
        <v/>
      </c>
      <c r="S4362" s="37" t="str">
        <f t="shared" si="475"/>
        <v/>
      </c>
      <c r="T4362" s="38" t="str">
        <f t="shared" si="476"/>
        <v/>
      </c>
      <c r="U4362" s="37" t="str">
        <f t="shared" si="477"/>
        <v/>
      </c>
    </row>
    <row r="4363" spans="2:21" ht="17.25">
      <c r="B4363" s="156"/>
      <c r="C4363" s="156"/>
      <c r="D4363" s="157"/>
      <c r="E4363" s="155"/>
      <c r="F4363" s="151"/>
      <c r="G4363" s="152"/>
      <c r="H4363" s="153"/>
      <c r="I4363" s="154"/>
      <c r="J4363" s="154"/>
      <c r="K4363" s="30" t="str">
        <f>IF(H4363="","",IF($C$30="간이법","",FPR(H4363,I4363,J4363)))</f>
        <v/>
      </c>
      <c r="L4363" s="30" t="str">
        <f>IF(H4363="","",IF($C$30="상세법",FPV(H4363,K4363),IF(H4363="EI",4,IF(H4363="EO",5.2,IF(H4363="EQ",3.9,IF(H4363="ILF",7.5,IF(H4363="EIF",5.4)))))))</f>
        <v/>
      </c>
      <c r="M4363" s="30" t="str">
        <f t="shared" si="471"/>
        <v/>
      </c>
      <c r="N4363" s="134"/>
      <c r="O4363" s="29"/>
      <c r="P4363" s="37" t="str">
        <f t="shared" si="472"/>
        <v/>
      </c>
      <c r="Q4363" s="38" t="str">
        <f t="shared" si="473"/>
        <v/>
      </c>
      <c r="R4363" s="37" t="str">
        <f t="shared" si="474"/>
        <v/>
      </c>
      <c r="S4363" s="37" t="str">
        <f t="shared" si="475"/>
        <v/>
      </c>
      <c r="T4363" s="38" t="str">
        <f t="shared" si="476"/>
        <v/>
      </c>
      <c r="U4363" s="37" t="str">
        <f t="shared" si="477"/>
        <v/>
      </c>
    </row>
    <row r="4364" spans="2:21" ht="17.25">
      <c r="B4364" s="156"/>
      <c r="C4364" s="156"/>
      <c r="D4364" s="157"/>
      <c r="E4364" s="155"/>
      <c r="F4364" s="151"/>
      <c r="G4364" s="152"/>
      <c r="H4364" s="153"/>
      <c r="I4364" s="154"/>
      <c r="J4364" s="154"/>
      <c r="K4364" s="30" t="str">
        <f>IF(H4364="","",IF($C$30="간이법","",FPR(H4364,I4364,J4364)))</f>
        <v/>
      </c>
      <c r="L4364" s="30" t="str">
        <f>IF(H4364="","",IF($C$30="상세법",FPV(H4364,K4364),IF(H4364="EI",4,IF(H4364="EO",5.2,IF(H4364="EQ",3.9,IF(H4364="ILF",7.5,IF(H4364="EIF",5.4)))))))</f>
        <v/>
      </c>
      <c r="M4364" s="30" t="str">
        <f t="shared" si="471"/>
        <v/>
      </c>
      <c r="N4364" s="134"/>
      <c r="O4364" s="29"/>
      <c r="P4364" s="37" t="str">
        <f t="shared" si="472"/>
        <v/>
      </c>
      <c r="Q4364" s="38" t="str">
        <f t="shared" si="473"/>
        <v/>
      </c>
      <c r="R4364" s="37" t="str">
        <f t="shared" si="474"/>
        <v/>
      </c>
      <c r="S4364" s="37" t="str">
        <f t="shared" si="475"/>
        <v/>
      </c>
      <c r="T4364" s="38" t="str">
        <f t="shared" si="476"/>
        <v/>
      </c>
      <c r="U4364" s="37" t="str">
        <f t="shared" si="477"/>
        <v/>
      </c>
    </row>
    <row r="4365" spans="2:21" ht="17.25">
      <c r="B4365" s="156"/>
      <c r="C4365" s="156"/>
      <c r="D4365" s="157"/>
      <c r="E4365" s="155"/>
      <c r="F4365" s="151"/>
      <c r="G4365" s="152"/>
      <c r="H4365" s="153"/>
      <c r="I4365" s="154"/>
      <c r="J4365" s="154"/>
      <c r="K4365" s="30" t="str">
        <f>IF(H4365="","",IF($C$30="간이법","",FPR(H4365,I4365,J4365)))</f>
        <v/>
      </c>
      <c r="L4365" s="30" t="str">
        <f>IF(H4365="","",IF($C$30="상세법",FPV(H4365,K4365),IF(H4365="EI",4,IF(H4365="EO",5.2,IF(H4365="EQ",3.9,IF(H4365="ILF",7.5,IF(H4365="EIF",5.4)))))))</f>
        <v/>
      </c>
      <c r="M4365" s="30" t="str">
        <f t="shared" si="471"/>
        <v/>
      </c>
      <c r="N4365" s="134"/>
      <c r="O4365" s="29"/>
      <c r="P4365" s="37" t="str">
        <f t="shared" si="472"/>
        <v/>
      </c>
      <c r="Q4365" s="38" t="str">
        <f t="shared" si="473"/>
        <v/>
      </c>
      <c r="R4365" s="37" t="str">
        <f t="shared" si="474"/>
        <v/>
      </c>
      <c r="S4365" s="37" t="str">
        <f t="shared" si="475"/>
        <v/>
      </c>
      <c r="T4365" s="38" t="str">
        <f t="shared" si="476"/>
        <v/>
      </c>
      <c r="U4365" s="37" t="str">
        <f t="shared" si="477"/>
        <v/>
      </c>
    </row>
    <row r="4366" spans="2:21" ht="17.25">
      <c r="B4366" s="156"/>
      <c r="C4366" s="156"/>
      <c r="D4366" s="157"/>
      <c r="E4366" s="155"/>
      <c r="F4366" s="151"/>
      <c r="G4366" s="152"/>
      <c r="H4366" s="153"/>
      <c r="I4366" s="154"/>
      <c r="J4366" s="154"/>
      <c r="K4366" s="30" t="str">
        <f>IF(H4366="","",IF($C$30="간이법","",FPR(H4366,I4366,J4366)))</f>
        <v/>
      </c>
      <c r="L4366" s="30" t="str">
        <f>IF(H4366="","",IF($C$30="상세법",FPV(H4366,K4366),IF(H4366="EI",4,IF(H4366="EO",5.2,IF(H4366="EQ",3.9,IF(H4366="ILF",7.5,IF(H4366="EIF",5.4)))))))</f>
        <v/>
      </c>
      <c r="M4366" s="30" t="str">
        <f t="shared" si="471"/>
        <v/>
      </c>
      <c r="N4366" s="134"/>
      <c r="O4366" s="29"/>
      <c r="P4366" s="37" t="str">
        <f t="shared" si="472"/>
        <v/>
      </c>
      <c r="Q4366" s="38" t="str">
        <f t="shared" si="473"/>
        <v/>
      </c>
      <c r="R4366" s="37" t="str">
        <f t="shared" si="474"/>
        <v/>
      </c>
      <c r="S4366" s="37" t="str">
        <f t="shared" si="475"/>
        <v/>
      </c>
      <c r="T4366" s="38" t="str">
        <f t="shared" si="476"/>
        <v/>
      </c>
      <c r="U4366" s="37" t="str">
        <f t="shared" si="477"/>
        <v/>
      </c>
    </row>
    <row r="4367" spans="2:21" ht="17.25">
      <c r="B4367" s="156"/>
      <c r="C4367" s="156"/>
      <c r="D4367" s="157"/>
      <c r="E4367" s="155"/>
      <c r="F4367" s="151"/>
      <c r="G4367" s="152"/>
      <c r="H4367" s="153"/>
      <c r="I4367" s="154"/>
      <c r="J4367" s="154"/>
      <c r="K4367" s="30" t="str">
        <f>IF(H4367="","",IF($C$30="간이법","",FPR(H4367,I4367,J4367)))</f>
        <v/>
      </c>
      <c r="L4367" s="30" t="str">
        <f>IF(H4367="","",IF($C$30="상세법",FPV(H4367,K4367),IF(H4367="EI",4,IF(H4367="EO",5.2,IF(H4367="EQ",3.9,IF(H4367="ILF",7.5,IF(H4367="EIF",5.4)))))))</f>
        <v/>
      </c>
      <c r="M4367" s="30" t="str">
        <f t="shared" si="471"/>
        <v/>
      </c>
      <c r="N4367" s="134"/>
      <c r="O4367" s="29"/>
      <c r="P4367" s="37" t="str">
        <f t="shared" si="472"/>
        <v/>
      </c>
      <c r="Q4367" s="38" t="str">
        <f t="shared" si="473"/>
        <v/>
      </c>
      <c r="R4367" s="37" t="str">
        <f t="shared" si="474"/>
        <v/>
      </c>
      <c r="S4367" s="37" t="str">
        <f t="shared" si="475"/>
        <v/>
      </c>
      <c r="T4367" s="38" t="str">
        <f t="shared" si="476"/>
        <v/>
      </c>
      <c r="U4367" s="37" t="str">
        <f t="shared" si="477"/>
        <v/>
      </c>
    </row>
    <row r="4368" spans="2:21" ht="17.25">
      <c r="B4368" s="156"/>
      <c r="C4368" s="156"/>
      <c r="D4368" s="157"/>
      <c r="E4368" s="155"/>
      <c r="F4368" s="151"/>
      <c r="G4368" s="152"/>
      <c r="H4368" s="153"/>
      <c r="I4368" s="154"/>
      <c r="J4368" s="154"/>
      <c r="K4368" s="30" t="str">
        <f>IF(H4368="","",IF($C$30="간이법","",FPR(H4368,I4368,J4368)))</f>
        <v/>
      </c>
      <c r="L4368" s="30" t="str">
        <f>IF(H4368="","",IF($C$30="상세법",FPV(H4368,K4368),IF(H4368="EI",4,IF(H4368="EO",5.2,IF(H4368="EQ",3.9,IF(H4368="ILF",7.5,IF(H4368="EIF",5.4)))))))</f>
        <v/>
      </c>
      <c r="M4368" s="30" t="str">
        <f t="shared" si="471"/>
        <v/>
      </c>
      <c r="N4368" s="134"/>
      <c r="O4368" s="29"/>
      <c r="P4368" s="37" t="str">
        <f t="shared" si="472"/>
        <v/>
      </c>
      <c r="Q4368" s="38" t="str">
        <f t="shared" si="473"/>
        <v/>
      </c>
      <c r="R4368" s="37" t="str">
        <f t="shared" si="474"/>
        <v/>
      </c>
      <c r="S4368" s="37" t="str">
        <f t="shared" si="475"/>
        <v/>
      </c>
      <c r="T4368" s="38" t="str">
        <f t="shared" si="476"/>
        <v/>
      </c>
      <c r="U4368" s="37" t="str">
        <f t="shared" si="477"/>
        <v/>
      </c>
    </row>
    <row r="4369" spans="2:21" ht="17.25">
      <c r="B4369" s="156"/>
      <c r="C4369" s="156"/>
      <c r="D4369" s="157"/>
      <c r="E4369" s="155"/>
      <c r="F4369" s="151"/>
      <c r="G4369" s="152"/>
      <c r="H4369" s="153"/>
      <c r="I4369" s="154"/>
      <c r="J4369" s="154"/>
      <c r="K4369" s="30" t="str">
        <f>IF(H4369="","",IF($C$30="간이법","",FPR(H4369,I4369,J4369)))</f>
        <v/>
      </c>
      <c r="L4369" s="30" t="str">
        <f>IF(H4369="","",IF($C$30="상세법",FPV(H4369,K4369),IF(H4369="EI",4,IF(H4369="EO",5.2,IF(H4369="EQ",3.9,IF(H4369="ILF",7.5,IF(H4369="EIF",5.4)))))))</f>
        <v/>
      </c>
      <c r="M4369" s="30" t="str">
        <f t="shared" si="471"/>
        <v/>
      </c>
      <c r="N4369" s="134"/>
      <c r="O4369" s="29"/>
      <c r="P4369" s="37" t="str">
        <f t="shared" si="472"/>
        <v/>
      </c>
      <c r="Q4369" s="38" t="str">
        <f t="shared" si="473"/>
        <v/>
      </c>
      <c r="R4369" s="37" t="str">
        <f t="shared" si="474"/>
        <v/>
      </c>
      <c r="S4369" s="37" t="str">
        <f t="shared" si="475"/>
        <v/>
      </c>
      <c r="T4369" s="38" t="str">
        <f t="shared" si="476"/>
        <v/>
      </c>
      <c r="U4369" s="37" t="str">
        <f t="shared" si="477"/>
        <v/>
      </c>
    </row>
    <row r="4370" spans="2:21" ht="17.25">
      <c r="B4370" s="156"/>
      <c r="C4370" s="156"/>
      <c r="D4370" s="157"/>
      <c r="E4370" s="155"/>
      <c r="F4370" s="151"/>
      <c r="G4370" s="152"/>
      <c r="H4370" s="153"/>
      <c r="I4370" s="154"/>
      <c r="J4370" s="154"/>
      <c r="K4370" s="30" t="str">
        <f>IF(H4370="","",IF($C$30="간이법","",FPR(H4370,I4370,J4370)))</f>
        <v/>
      </c>
      <c r="L4370" s="30" t="str">
        <f>IF(H4370="","",IF($C$30="상세법",FPV(H4370,K4370),IF(H4370="EI",4,IF(H4370="EO",5.2,IF(H4370="EQ",3.9,IF(H4370="ILF",7.5,IF(H4370="EIF",5.4)))))))</f>
        <v/>
      </c>
      <c r="M4370" s="30" t="str">
        <f t="shared" si="471"/>
        <v/>
      </c>
      <c r="N4370" s="134"/>
      <c r="O4370" s="29"/>
      <c r="P4370" s="37" t="str">
        <f t="shared" si="472"/>
        <v/>
      </c>
      <c r="Q4370" s="38" t="str">
        <f t="shared" si="473"/>
        <v/>
      </c>
      <c r="R4370" s="37" t="str">
        <f t="shared" si="474"/>
        <v/>
      </c>
      <c r="S4370" s="37" t="str">
        <f t="shared" si="475"/>
        <v/>
      </c>
      <c r="T4370" s="38" t="str">
        <f t="shared" si="476"/>
        <v/>
      </c>
      <c r="U4370" s="37" t="str">
        <f t="shared" si="477"/>
        <v/>
      </c>
    </row>
    <row r="4371" spans="2:21" ht="17.25">
      <c r="B4371" s="156"/>
      <c r="C4371" s="156"/>
      <c r="D4371" s="157"/>
      <c r="E4371" s="155"/>
      <c r="F4371" s="151"/>
      <c r="G4371" s="152"/>
      <c r="H4371" s="153"/>
      <c r="I4371" s="154"/>
      <c r="J4371" s="154"/>
      <c r="K4371" s="30" t="str">
        <f>IF(H4371="","",IF($C$30="간이법","",FPR(H4371,I4371,J4371)))</f>
        <v/>
      </c>
      <c r="L4371" s="30" t="str">
        <f>IF(H4371="","",IF($C$30="상세법",FPV(H4371,K4371),IF(H4371="EI",4,IF(H4371="EO",5.2,IF(H4371="EQ",3.9,IF(H4371="ILF",7.5,IF(H4371="EIF",5.4)))))))</f>
        <v/>
      </c>
      <c r="M4371" s="30" t="str">
        <f t="shared" si="471"/>
        <v/>
      </c>
      <c r="N4371" s="134"/>
      <c r="O4371" s="29"/>
      <c r="P4371" s="37" t="str">
        <f t="shared" si="472"/>
        <v/>
      </c>
      <c r="Q4371" s="38" t="str">
        <f t="shared" si="473"/>
        <v/>
      </c>
      <c r="R4371" s="37" t="str">
        <f t="shared" si="474"/>
        <v/>
      </c>
      <c r="S4371" s="37" t="str">
        <f t="shared" si="475"/>
        <v/>
      </c>
      <c r="T4371" s="38" t="str">
        <f t="shared" si="476"/>
        <v/>
      </c>
      <c r="U4371" s="37" t="str">
        <f t="shared" si="477"/>
        <v/>
      </c>
    </row>
    <row r="4372" spans="2:21" ht="17.25">
      <c r="B4372" s="156"/>
      <c r="C4372" s="156"/>
      <c r="D4372" s="157"/>
      <c r="E4372" s="155"/>
      <c r="F4372" s="151"/>
      <c r="G4372" s="152"/>
      <c r="H4372" s="153"/>
      <c r="I4372" s="154"/>
      <c r="J4372" s="154"/>
      <c r="K4372" s="30" t="str">
        <f>IF(H4372="","",IF($C$30="간이법","",FPR(H4372,I4372,J4372)))</f>
        <v/>
      </c>
      <c r="L4372" s="30" t="str">
        <f>IF(H4372="","",IF($C$30="상세법",FPV(H4372,K4372),IF(H4372="EI",4,IF(H4372="EO",5.2,IF(H4372="EQ",3.9,IF(H4372="ILF",7.5,IF(H4372="EIF",5.4)))))))</f>
        <v/>
      </c>
      <c r="M4372" s="30" t="str">
        <f t="shared" si="471"/>
        <v/>
      </c>
      <c r="N4372" s="134"/>
      <c r="O4372" s="29"/>
      <c r="P4372" s="37" t="str">
        <f t="shared" si="472"/>
        <v/>
      </c>
      <c r="Q4372" s="38" t="str">
        <f t="shared" si="473"/>
        <v/>
      </c>
      <c r="R4372" s="37" t="str">
        <f t="shared" si="474"/>
        <v/>
      </c>
      <c r="S4372" s="37" t="str">
        <f t="shared" si="475"/>
        <v/>
      </c>
      <c r="T4372" s="38" t="str">
        <f t="shared" si="476"/>
        <v/>
      </c>
      <c r="U4372" s="37" t="str">
        <f t="shared" si="477"/>
        <v/>
      </c>
    </row>
    <row r="4373" spans="2:21" ht="17.25">
      <c r="B4373" s="156"/>
      <c r="C4373" s="156"/>
      <c r="D4373" s="157"/>
      <c r="E4373" s="155"/>
      <c r="F4373" s="151"/>
      <c r="G4373" s="152"/>
      <c r="H4373" s="153"/>
      <c r="I4373" s="154"/>
      <c r="J4373" s="154"/>
      <c r="K4373" s="30" t="str">
        <f>IF(H4373="","",IF($C$30="간이법","",FPR(H4373,I4373,J4373)))</f>
        <v/>
      </c>
      <c r="L4373" s="30" t="str">
        <f>IF(H4373="","",IF($C$30="상세법",FPV(H4373,K4373),IF(H4373="EI",4,IF(H4373="EO",5.2,IF(H4373="EQ",3.9,IF(H4373="ILF",7.5,IF(H4373="EIF",5.4)))))))</f>
        <v/>
      </c>
      <c r="M4373" s="30" t="str">
        <f t="shared" si="471"/>
        <v/>
      </c>
      <c r="N4373" s="134"/>
      <c r="O4373" s="29"/>
      <c r="P4373" s="37" t="str">
        <f t="shared" si="472"/>
        <v/>
      </c>
      <c r="Q4373" s="38" t="str">
        <f t="shared" si="473"/>
        <v/>
      </c>
      <c r="R4373" s="37" t="str">
        <f t="shared" si="474"/>
        <v/>
      </c>
      <c r="S4373" s="37" t="str">
        <f t="shared" si="475"/>
        <v/>
      </c>
      <c r="T4373" s="38" t="str">
        <f t="shared" si="476"/>
        <v/>
      </c>
      <c r="U4373" s="37" t="str">
        <f t="shared" si="477"/>
        <v/>
      </c>
    </row>
    <row r="4374" spans="2:21" ht="17.25">
      <c r="B4374" s="156"/>
      <c r="C4374" s="156"/>
      <c r="D4374" s="157"/>
      <c r="E4374" s="155"/>
      <c r="F4374" s="151"/>
      <c r="G4374" s="152"/>
      <c r="H4374" s="153"/>
      <c r="I4374" s="154"/>
      <c r="J4374" s="154"/>
      <c r="K4374" s="30" t="str">
        <f>IF(H4374="","",IF($C$30="간이법","",FPR(H4374,I4374,J4374)))</f>
        <v/>
      </c>
      <c r="L4374" s="30" t="str">
        <f>IF(H4374="","",IF($C$30="상세법",FPV(H4374,K4374),IF(H4374="EI",4,IF(H4374="EO",5.2,IF(H4374="EQ",3.9,IF(H4374="ILF",7.5,IF(H4374="EIF",5.4)))))))</f>
        <v/>
      </c>
      <c r="M4374" s="30" t="str">
        <f t="shared" si="471"/>
        <v/>
      </c>
      <c r="N4374" s="134"/>
      <c r="O4374" s="29"/>
      <c r="P4374" s="37" t="str">
        <f t="shared" si="472"/>
        <v/>
      </c>
      <c r="Q4374" s="38" t="str">
        <f t="shared" si="473"/>
        <v/>
      </c>
      <c r="R4374" s="37" t="str">
        <f t="shared" si="474"/>
        <v/>
      </c>
      <c r="S4374" s="37" t="str">
        <f t="shared" si="475"/>
        <v/>
      </c>
      <c r="T4374" s="38" t="str">
        <f t="shared" si="476"/>
        <v/>
      </c>
      <c r="U4374" s="37" t="str">
        <f t="shared" si="477"/>
        <v/>
      </c>
    </row>
    <row r="4375" spans="2:21" ht="17.25">
      <c r="B4375" s="156"/>
      <c r="C4375" s="156"/>
      <c r="D4375" s="157"/>
      <c r="E4375" s="155"/>
      <c r="F4375" s="151"/>
      <c r="G4375" s="152"/>
      <c r="H4375" s="153"/>
      <c r="I4375" s="154"/>
      <c r="J4375" s="154"/>
      <c r="K4375" s="30" t="str">
        <f>IF(H4375="","",IF($C$30="간이법","",FPR(H4375,I4375,J4375)))</f>
        <v/>
      </c>
      <c r="L4375" s="30" t="str">
        <f>IF(H4375="","",IF($C$30="상세법",FPV(H4375,K4375),IF(H4375="EI",4,IF(H4375="EO",5.2,IF(H4375="EQ",3.9,IF(H4375="ILF",7.5,IF(H4375="EIF",5.4)))))))</f>
        <v/>
      </c>
      <c r="M4375" s="30" t="str">
        <f t="shared" si="471"/>
        <v/>
      </c>
      <c r="N4375" s="134"/>
      <c r="O4375" s="29"/>
      <c r="P4375" s="37" t="str">
        <f t="shared" si="472"/>
        <v/>
      </c>
      <c r="Q4375" s="38" t="str">
        <f t="shared" si="473"/>
        <v/>
      </c>
      <c r="R4375" s="37" t="str">
        <f t="shared" si="474"/>
        <v/>
      </c>
      <c r="S4375" s="37" t="str">
        <f t="shared" si="475"/>
        <v/>
      </c>
      <c r="T4375" s="38" t="str">
        <f t="shared" si="476"/>
        <v/>
      </c>
      <c r="U4375" s="37" t="str">
        <f t="shared" si="477"/>
        <v/>
      </c>
    </row>
    <row r="4376" spans="2:21" ht="17.25">
      <c r="B4376" s="156"/>
      <c r="C4376" s="156"/>
      <c r="D4376" s="157"/>
      <c r="E4376" s="155"/>
      <c r="F4376" s="151"/>
      <c r="G4376" s="152"/>
      <c r="H4376" s="153"/>
      <c r="I4376" s="154"/>
      <c r="J4376" s="154"/>
      <c r="K4376" s="30" t="str">
        <f>IF(H4376="","",IF($C$30="간이법","",FPR(H4376,I4376,J4376)))</f>
        <v/>
      </c>
      <c r="L4376" s="30" t="str">
        <f>IF(H4376="","",IF($C$30="상세법",FPV(H4376,K4376),IF(H4376="EI",4,IF(H4376="EO",5.2,IF(H4376="EQ",3.9,IF(H4376="ILF",7.5,IF(H4376="EIF",5.4)))))))</f>
        <v/>
      </c>
      <c r="M4376" s="30" t="str">
        <f t="shared" si="471"/>
        <v/>
      </c>
      <c r="N4376" s="134"/>
      <c r="O4376" s="29"/>
      <c r="P4376" s="37" t="str">
        <f t="shared" si="472"/>
        <v/>
      </c>
      <c r="Q4376" s="38" t="str">
        <f t="shared" si="473"/>
        <v/>
      </c>
      <c r="R4376" s="37" t="str">
        <f t="shared" si="474"/>
        <v/>
      </c>
      <c r="S4376" s="37" t="str">
        <f t="shared" si="475"/>
        <v/>
      </c>
      <c r="T4376" s="38" t="str">
        <f t="shared" si="476"/>
        <v/>
      </c>
      <c r="U4376" s="37" t="str">
        <f t="shared" si="477"/>
        <v/>
      </c>
    </row>
    <row r="4377" spans="2:21" ht="17.25">
      <c r="B4377" s="156"/>
      <c r="C4377" s="156"/>
      <c r="D4377" s="157"/>
      <c r="E4377" s="155"/>
      <c r="F4377" s="151"/>
      <c r="G4377" s="152"/>
      <c r="H4377" s="153"/>
      <c r="I4377" s="154"/>
      <c r="J4377" s="154"/>
      <c r="K4377" s="30" t="str">
        <f>IF(H4377="","",IF($C$30="간이법","",FPR(H4377,I4377,J4377)))</f>
        <v/>
      </c>
      <c r="L4377" s="30" t="str">
        <f>IF(H4377="","",IF($C$30="상세법",FPV(H4377,K4377),IF(H4377="EI",4,IF(H4377="EO",5.2,IF(H4377="EQ",3.9,IF(H4377="ILF",7.5,IF(H4377="EIF",5.4)))))))</f>
        <v/>
      </c>
      <c r="M4377" s="30" t="str">
        <f t="shared" si="471"/>
        <v/>
      </c>
      <c r="N4377" s="134"/>
      <c r="O4377" s="29"/>
      <c r="P4377" s="37" t="str">
        <f t="shared" si="472"/>
        <v/>
      </c>
      <c r="Q4377" s="38" t="str">
        <f t="shared" si="473"/>
        <v/>
      </c>
      <c r="R4377" s="37" t="str">
        <f t="shared" si="474"/>
        <v/>
      </c>
      <c r="S4377" s="37" t="str">
        <f t="shared" si="475"/>
        <v/>
      </c>
      <c r="T4377" s="38" t="str">
        <f t="shared" si="476"/>
        <v/>
      </c>
      <c r="U4377" s="37" t="str">
        <f t="shared" si="477"/>
        <v/>
      </c>
    </row>
    <row r="4378" spans="2:21" ht="17.25">
      <c r="B4378" s="156"/>
      <c r="C4378" s="156"/>
      <c r="D4378" s="157"/>
      <c r="E4378" s="155"/>
      <c r="F4378" s="151"/>
      <c r="G4378" s="152"/>
      <c r="H4378" s="153"/>
      <c r="I4378" s="154"/>
      <c r="J4378" s="154"/>
      <c r="K4378" s="30" t="str">
        <f>IF(H4378="","",IF($C$30="간이법","",FPR(H4378,I4378,J4378)))</f>
        <v/>
      </c>
      <c r="L4378" s="30" t="str">
        <f>IF(H4378="","",IF($C$30="상세법",FPV(H4378,K4378),IF(H4378="EI",4,IF(H4378="EO",5.2,IF(H4378="EQ",3.9,IF(H4378="ILF",7.5,IF(H4378="EIF",5.4)))))))</f>
        <v/>
      </c>
      <c r="M4378" s="30" t="str">
        <f t="shared" si="471"/>
        <v/>
      </c>
      <c r="N4378" s="134"/>
      <c r="O4378" s="29"/>
      <c r="P4378" s="37" t="str">
        <f t="shared" si="472"/>
        <v/>
      </c>
      <c r="Q4378" s="38" t="str">
        <f t="shared" si="473"/>
        <v/>
      </c>
      <c r="R4378" s="37" t="str">
        <f t="shared" si="474"/>
        <v/>
      </c>
      <c r="S4378" s="37" t="str">
        <f t="shared" si="475"/>
        <v/>
      </c>
      <c r="T4378" s="38" t="str">
        <f t="shared" si="476"/>
        <v/>
      </c>
      <c r="U4378" s="37" t="str">
        <f t="shared" si="477"/>
        <v/>
      </c>
    </row>
    <row r="4379" spans="2:21" ht="17.25">
      <c r="B4379" s="156"/>
      <c r="C4379" s="156"/>
      <c r="D4379" s="157"/>
      <c r="E4379" s="155"/>
      <c r="F4379" s="151"/>
      <c r="G4379" s="152"/>
      <c r="H4379" s="153"/>
      <c r="I4379" s="154"/>
      <c r="J4379" s="154"/>
      <c r="K4379" s="30" t="str">
        <f>IF(H4379="","",IF($C$30="간이법","",FPR(H4379,I4379,J4379)))</f>
        <v/>
      </c>
      <c r="L4379" s="30" t="str">
        <f>IF(H4379="","",IF($C$30="상세법",FPV(H4379,K4379),IF(H4379="EI",4,IF(H4379="EO",5.2,IF(H4379="EQ",3.9,IF(H4379="ILF",7.5,IF(H4379="EIF",5.4)))))))</f>
        <v/>
      </c>
      <c r="M4379" s="30" t="str">
        <f t="shared" si="471"/>
        <v/>
      </c>
      <c r="N4379" s="134"/>
      <c r="O4379" s="29"/>
      <c r="P4379" s="37" t="str">
        <f t="shared" si="472"/>
        <v/>
      </c>
      <c r="Q4379" s="38" t="str">
        <f t="shared" si="473"/>
        <v/>
      </c>
      <c r="R4379" s="37" t="str">
        <f t="shared" si="474"/>
        <v/>
      </c>
      <c r="S4379" s="37" t="str">
        <f t="shared" si="475"/>
        <v/>
      </c>
      <c r="T4379" s="38" t="str">
        <f t="shared" si="476"/>
        <v/>
      </c>
      <c r="U4379" s="37" t="str">
        <f t="shared" si="477"/>
        <v/>
      </c>
    </row>
    <row r="4380" spans="2:21" ht="17.25">
      <c r="B4380" s="156"/>
      <c r="C4380" s="156"/>
      <c r="D4380" s="157"/>
      <c r="E4380" s="155"/>
      <c r="F4380" s="151"/>
      <c r="G4380" s="152"/>
      <c r="H4380" s="153"/>
      <c r="I4380" s="154"/>
      <c r="J4380" s="154"/>
      <c r="K4380" s="30" t="str">
        <f>IF(H4380="","",IF($C$30="간이법","",FPR(H4380,I4380,J4380)))</f>
        <v/>
      </c>
      <c r="L4380" s="30" t="str">
        <f>IF(H4380="","",IF($C$30="상세법",FPV(H4380,K4380),IF(H4380="EI",4,IF(H4380="EO",5.2,IF(H4380="EQ",3.9,IF(H4380="ILF",7.5,IF(H4380="EIF",5.4)))))))</f>
        <v/>
      </c>
      <c r="M4380" s="30" t="str">
        <f t="shared" si="471"/>
        <v/>
      </c>
      <c r="N4380" s="134"/>
      <c r="O4380" s="29"/>
      <c r="P4380" s="37" t="str">
        <f t="shared" si="472"/>
        <v/>
      </c>
      <c r="Q4380" s="38" t="str">
        <f t="shared" si="473"/>
        <v/>
      </c>
      <c r="R4380" s="37" t="str">
        <f t="shared" si="474"/>
        <v/>
      </c>
      <c r="S4380" s="37" t="str">
        <f t="shared" si="475"/>
        <v/>
      </c>
      <c r="T4380" s="38" t="str">
        <f t="shared" si="476"/>
        <v/>
      </c>
      <c r="U4380" s="37" t="str">
        <f t="shared" si="477"/>
        <v/>
      </c>
    </row>
    <row r="4381" spans="2:21" ht="17.25">
      <c r="B4381" s="156"/>
      <c r="C4381" s="156"/>
      <c r="D4381" s="157"/>
      <c r="E4381" s="155"/>
      <c r="F4381" s="151"/>
      <c r="G4381" s="152"/>
      <c r="H4381" s="153"/>
      <c r="I4381" s="154"/>
      <c r="J4381" s="154"/>
      <c r="K4381" s="30" t="str">
        <f>IF(H4381="","",IF($C$30="간이법","",FPR(H4381,I4381,J4381)))</f>
        <v/>
      </c>
      <c r="L4381" s="30" t="str">
        <f>IF(H4381="","",IF($C$30="상세법",FPV(H4381,K4381),IF(H4381="EI",4,IF(H4381="EO",5.2,IF(H4381="EQ",3.9,IF(H4381="ILF",7.5,IF(H4381="EIF",5.4)))))))</f>
        <v/>
      </c>
      <c r="M4381" s="30" t="str">
        <f t="shared" si="471"/>
        <v/>
      </c>
      <c r="N4381" s="134"/>
      <c r="O4381" s="29"/>
      <c r="P4381" s="37" t="str">
        <f t="shared" si="472"/>
        <v/>
      </c>
      <c r="Q4381" s="38" t="str">
        <f t="shared" si="473"/>
        <v/>
      </c>
      <c r="R4381" s="37" t="str">
        <f t="shared" si="474"/>
        <v/>
      </c>
      <c r="S4381" s="37" t="str">
        <f t="shared" si="475"/>
        <v/>
      </c>
      <c r="T4381" s="38" t="str">
        <f t="shared" si="476"/>
        <v/>
      </c>
      <c r="U4381" s="37" t="str">
        <f t="shared" si="477"/>
        <v/>
      </c>
    </row>
    <row r="4382" spans="2:21" ht="17.25">
      <c r="B4382" s="156"/>
      <c r="C4382" s="156"/>
      <c r="D4382" s="157"/>
      <c r="E4382" s="155"/>
      <c r="F4382" s="151"/>
      <c r="G4382" s="152"/>
      <c r="H4382" s="153"/>
      <c r="I4382" s="154"/>
      <c r="J4382" s="154"/>
      <c r="K4382" s="30" t="str">
        <f>IF(H4382="","",IF($C$30="간이법","",FPR(H4382,I4382,J4382)))</f>
        <v/>
      </c>
      <c r="L4382" s="30" t="str">
        <f>IF(H4382="","",IF($C$30="상세법",FPV(H4382,K4382),IF(H4382="EI",4,IF(H4382="EO",5.2,IF(H4382="EQ",3.9,IF(H4382="ILF",7.5,IF(H4382="EIF",5.4)))))))</f>
        <v/>
      </c>
      <c r="M4382" s="30" t="str">
        <f t="shared" si="471"/>
        <v/>
      </c>
      <c r="N4382" s="134"/>
      <c r="O4382" s="29"/>
      <c r="P4382" s="37" t="str">
        <f t="shared" si="472"/>
        <v/>
      </c>
      <c r="Q4382" s="38" t="str">
        <f t="shared" si="473"/>
        <v/>
      </c>
      <c r="R4382" s="37" t="str">
        <f t="shared" si="474"/>
        <v/>
      </c>
      <c r="S4382" s="37" t="str">
        <f t="shared" si="475"/>
        <v/>
      </c>
      <c r="T4382" s="38" t="str">
        <f t="shared" si="476"/>
        <v/>
      </c>
      <c r="U4382" s="37" t="str">
        <f t="shared" si="477"/>
        <v/>
      </c>
    </row>
    <row r="4383" spans="2:21" ht="17.25">
      <c r="B4383" s="156"/>
      <c r="C4383" s="156"/>
      <c r="D4383" s="157"/>
      <c r="E4383" s="155"/>
      <c r="F4383" s="151"/>
      <c r="G4383" s="152"/>
      <c r="H4383" s="153"/>
      <c r="I4383" s="154"/>
      <c r="J4383" s="154"/>
      <c r="K4383" s="30" t="str">
        <f>IF(H4383="","",IF($C$30="간이법","",FPR(H4383,I4383,J4383)))</f>
        <v/>
      </c>
      <c r="L4383" s="30" t="str">
        <f>IF(H4383="","",IF($C$30="상세법",FPV(H4383,K4383),IF(H4383="EI",4,IF(H4383="EO",5.2,IF(H4383="EQ",3.9,IF(H4383="ILF",7.5,IF(H4383="EIF",5.4)))))))</f>
        <v/>
      </c>
      <c r="M4383" s="30" t="str">
        <f t="shared" si="471"/>
        <v/>
      </c>
      <c r="N4383" s="134"/>
      <c r="O4383" s="29"/>
      <c r="P4383" s="37" t="str">
        <f t="shared" si="472"/>
        <v/>
      </c>
      <c r="Q4383" s="38" t="str">
        <f t="shared" si="473"/>
        <v/>
      </c>
      <c r="R4383" s="37" t="str">
        <f t="shared" si="474"/>
        <v/>
      </c>
      <c r="S4383" s="37" t="str">
        <f t="shared" si="475"/>
        <v/>
      </c>
      <c r="T4383" s="38" t="str">
        <f t="shared" si="476"/>
        <v/>
      </c>
      <c r="U4383" s="37" t="str">
        <f t="shared" si="477"/>
        <v/>
      </c>
    </row>
    <row r="4384" spans="2:21" ht="17.25">
      <c r="B4384" s="156"/>
      <c r="C4384" s="156"/>
      <c r="D4384" s="157"/>
      <c r="E4384" s="155"/>
      <c r="F4384" s="151"/>
      <c r="G4384" s="152"/>
      <c r="H4384" s="153"/>
      <c r="I4384" s="154"/>
      <c r="J4384" s="154"/>
      <c r="K4384" s="30" t="str">
        <f>IF(H4384="","",IF($C$30="간이법","",FPR(H4384,I4384,J4384)))</f>
        <v/>
      </c>
      <c r="L4384" s="30" t="str">
        <f>IF(H4384="","",IF($C$30="상세법",FPV(H4384,K4384),IF(H4384="EI",4,IF(H4384="EO",5.2,IF(H4384="EQ",3.9,IF(H4384="ILF",7.5,IF(H4384="EIF",5.4)))))))</f>
        <v/>
      </c>
      <c r="M4384" s="30" t="str">
        <f t="shared" si="471"/>
        <v/>
      </c>
      <c r="N4384" s="134"/>
      <c r="O4384" s="29"/>
      <c r="P4384" s="37" t="str">
        <f t="shared" si="472"/>
        <v/>
      </c>
      <c r="Q4384" s="38" t="str">
        <f t="shared" si="473"/>
        <v/>
      </c>
      <c r="R4384" s="37" t="str">
        <f t="shared" si="474"/>
        <v/>
      </c>
      <c r="S4384" s="37" t="str">
        <f t="shared" si="475"/>
        <v/>
      </c>
      <c r="T4384" s="38" t="str">
        <f t="shared" si="476"/>
        <v/>
      </c>
      <c r="U4384" s="37" t="str">
        <f t="shared" si="477"/>
        <v/>
      </c>
    </row>
    <row r="4385" spans="2:21" ht="17.25">
      <c r="B4385" s="156"/>
      <c r="C4385" s="156"/>
      <c r="D4385" s="157"/>
      <c r="E4385" s="155"/>
      <c r="F4385" s="151"/>
      <c r="G4385" s="152"/>
      <c r="H4385" s="153"/>
      <c r="I4385" s="154"/>
      <c r="J4385" s="154"/>
      <c r="K4385" s="30" t="str">
        <f>IF(H4385="","",IF($C$30="간이법","",FPR(H4385,I4385,J4385)))</f>
        <v/>
      </c>
      <c r="L4385" s="30" t="str">
        <f>IF(H4385="","",IF($C$30="상세법",FPV(H4385,K4385),IF(H4385="EI",4,IF(H4385="EO",5.2,IF(H4385="EQ",3.9,IF(H4385="ILF",7.5,IF(H4385="EIF",5.4)))))))</f>
        <v/>
      </c>
      <c r="M4385" s="30" t="str">
        <f t="shared" si="471"/>
        <v/>
      </c>
      <c r="N4385" s="134"/>
      <c r="O4385" s="29"/>
      <c r="P4385" s="37" t="str">
        <f t="shared" si="472"/>
        <v/>
      </c>
      <c r="Q4385" s="38" t="str">
        <f t="shared" si="473"/>
        <v/>
      </c>
      <c r="R4385" s="37" t="str">
        <f t="shared" si="474"/>
        <v/>
      </c>
      <c r="S4385" s="37" t="str">
        <f t="shared" si="475"/>
        <v/>
      </c>
      <c r="T4385" s="38" t="str">
        <f t="shared" si="476"/>
        <v/>
      </c>
      <c r="U4385" s="37" t="str">
        <f t="shared" si="477"/>
        <v/>
      </c>
    </row>
    <row r="4386" spans="2:21" ht="17.25">
      <c r="B4386" s="156"/>
      <c r="C4386" s="156"/>
      <c r="D4386" s="157"/>
      <c r="E4386" s="155"/>
      <c r="F4386" s="151"/>
      <c r="G4386" s="152"/>
      <c r="H4386" s="153"/>
      <c r="I4386" s="154"/>
      <c r="J4386" s="154"/>
      <c r="K4386" s="30" t="str">
        <f>IF(H4386="","",IF($C$30="간이법","",FPR(H4386,I4386,J4386)))</f>
        <v/>
      </c>
      <c r="L4386" s="30" t="str">
        <f>IF(H4386="","",IF($C$30="상세법",FPV(H4386,K4386),IF(H4386="EI",4,IF(H4386="EO",5.2,IF(H4386="EQ",3.9,IF(H4386="ILF",7.5,IF(H4386="EIF",5.4)))))))</f>
        <v/>
      </c>
      <c r="M4386" s="30" t="str">
        <f t="shared" si="471"/>
        <v/>
      </c>
      <c r="N4386" s="134"/>
      <c r="O4386" s="29"/>
      <c r="P4386" s="37" t="str">
        <f t="shared" si="472"/>
        <v/>
      </c>
      <c r="Q4386" s="38" t="str">
        <f t="shared" si="473"/>
        <v/>
      </c>
      <c r="R4386" s="37" t="str">
        <f t="shared" si="474"/>
        <v/>
      </c>
      <c r="S4386" s="37" t="str">
        <f t="shared" si="475"/>
        <v/>
      </c>
      <c r="T4386" s="38" t="str">
        <f t="shared" si="476"/>
        <v/>
      </c>
      <c r="U4386" s="37" t="str">
        <f t="shared" si="477"/>
        <v/>
      </c>
    </row>
    <row r="4387" spans="2:21" ht="17.25">
      <c r="B4387" s="156"/>
      <c r="C4387" s="156"/>
      <c r="D4387" s="157"/>
      <c r="E4387" s="155"/>
      <c r="F4387" s="151"/>
      <c r="G4387" s="152"/>
      <c r="H4387" s="153"/>
      <c r="I4387" s="154"/>
      <c r="J4387" s="154"/>
      <c r="K4387" s="30" t="str">
        <f>IF(H4387="","",IF($C$30="간이법","",FPR(H4387,I4387,J4387)))</f>
        <v/>
      </c>
      <c r="L4387" s="30" t="str">
        <f>IF(H4387="","",IF($C$30="상세법",FPV(H4387,K4387),IF(H4387="EI",4,IF(H4387="EO",5.2,IF(H4387="EQ",3.9,IF(H4387="ILF",7.5,IF(H4387="EIF",5.4)))))))</f>
        <v/>
      </c>
      <c r="M4387" s="30" t="str">
        <f t="shared" si="471"/>
        <v/>
      </c>
      <c r="N4387" s="134"/>
      <c r="O4387" s="29"/>
      <c r="P4387" s="37" t="str">
        <f t="shared" si="472"/>
        <v/>
      </c>
      <c r="Q4387" s="38" t="str">
        <f t="shared" si="473"/>
        <v/>
      </c>
      <c r="R4387" s="37" t="str">
        <f t="shared" si="474"/>
        <v/>
      </c>
      <c r="S4387" s="37" t="str">
        <f t="shared" si="475"/>
        <v/>
      </c>
      <c r="T4387" s="38" t="str">
        <f t="shared" si="476"/>
        <v/>
      </c>
      <c r="U4387" s="37" t="str">
        <f t="shared" si="477"/>
        <v/>
      </c>
    </row>
    <row r="4388" spans="2:21" ht="17.25">
      <c r="B4388" s="156"/>
      <c r="C4388" s="156"/>
      <c r="D4388" s="157"/>
      <c r="E4388" s="155"/>
      <c r="F4388" s="151"/>
      <c r="G4388" s="152"/>
      <c r="H4388" s="153"/>
      <c r="I4388" s="154"/>
      <c r="J4388" s="154"/>
      <c r="K4388" s="30" t="str">
        <f>IF(H4388="","",IF($C$30="간이법","",FPR(H4388,I4388,J4388)))</f>
        <v/>
      </c>
      <c r="L4388" s="30" t="str">
        <f>IF(H4388="","",IF($C$30="상세법",FPV(H4388,K4388),IF(H4388="EI",4,IF(H4388="EO",5.2,IF(H4388="EQ",3.9,IF(H4388="ILF",7.5,IF(H4388="EIF",5.4)))))))</f>
        <v/>
      </c>
      <c r="M4388" s="30" t="str">
        <f t="shared" si="471"/>
        <v/>
      </c>
      <c r="N4388" s="134"/>
      <c r="O4388" s="29"/>
      <c r="P4388" s="37" t="str">
        <f t="shared" si="472"/>
        <v/>
      </c>
      <c r="Q4388" s="38" t="str">
        <f t="shared" si="473"/>
        <v/>
      </c>
      <c r="R4388" s="37" t="str">
        <f t="shared" si="474"/>
        <v/>
      </c>
      <c r="S4388" s="37" t="str">
        <f t="shared" si="475"/>
        <v/>
      </c>
      <c r="T4388" s="38" t="str">
        <f t="shared" si="476"/>
        <v/>
      </c>
      <c r="U4388" s="37" t="str">
        <f t="shared" si="477"/>
        <v/>
      </c>
    </row>
    <row r="4389" spans="2:21" ht="17.25">
      <c r="B4389" s="156"/>
      <c r="C4389" s="156"/>
      <c r="D4389" s="157"/>
      <c r="E4389" s="155"/>
      <c r="F4389" s="151"/>
      <c r="G4389" s="152"/>
      <c r="H4389" s="153"/>
      <c r="I4389" s="154"/>
      <c r="J4389" s="154"/>
      <c r="K4389" s="30" t="str">
        <f>IF(H4389="","",IF($C$30="간이법","",FPR(H4389,I4389,J4389)))</f>
        <v/>
      </c>
      <c r="L4389" s="30" t="str">
        <f>IF(H4389="","",IF($C$30="상세법",FPV(H4389,K4389),IF(H4389="EI",4,IF(H4389="EO",5.2,IF(H4389="EQ",3.9,IF(H4389="ILF",7.5,IF(H4389="EIF",5.4)))))))</f>
        <v/>
      </c>
      <c r="M4389" s="30" t="str">
        <f t="shared" si="471"/>
        <v/>
      </c>
      <c r="N4389" s="134"/>
      <c r="O4389" s="29"/>
      <c r="P4389" s="37" t="str">
        <f t="shared" si="472"/>
        <v/>
      </c>
      <c r="Q4389" s="38" t="str">
        <f t="shared" si="473"/>
        <v/>
      </c>
      <c r="R4389" s="37" t="str">
        <f t="shared" si="474"/>
        <v/>
      </c>
      <c r="S4389" s="37" t="str">
        <f t="shared" si="475"/>
        <v/>
      </c>
      <c r="T4389" s="38" t="str">
        <f t="shared" si="476"/>
        <v/>
      </c>
      <c r="U4389" s="37" t="str">
        <f t="shared" si="477"/>
        <v/>
      </c>
    </row>
    <row r="4390" spans="2:21" ht="17.25">
      <c r="B4390" s="156"/>
      <c r="C4390" s="156"/>
      <c r="D4390" s="157"/>
      <c r="E4390" s="155"/>
      <c r="F4390" s="151"/>
      <c r="G4390" s="152"/>
      <c r="H4390" s="153"/>
      <c r="I4390" s="154"/>
      <c r="J4390" s="154"/>
      <c r="K4390" s="30" t="str">
        <f>IF(H4390="","",IF($C$30="간이법","",FPR(H4390,I4390,J4390)))</f>
        <v/>
      </c>
      <c r="L4390" s="30" t="str">
        <f>IF(H4390="","",IF($C$30="상세법",FPV(H4390,K4390),IF(H4390="EI",4,IF(H4390="EO",5.2,IF(H4390="EQ",3.9,IF(H4390="ILF",7.5,IF(H4390="EIF",5.4)))))))</f>
        <v/>
      </c>
      <c r="M4390" s="30" t="str">
        <f t="shared" si="471"/>
        <v/>
      </c>
      <c r="N4390" s="134"/>
      <c r="O4390" s="29"/>
      <c r="P4390" s="37" t="str">
        <f t="shared" si="472"/>
        <v/>
      </c>
      <c r="Q4390" s="38" t="str">
        <f t="shared" si="473"/>
        <v/>
      </c>
      <c r="R4390" s="37" t="str">
        <f t="shared" si="474"/>
        <v/>
      </c>
      <c r="S4390" s="37" t="str">
        <f t="shared" si="475"/>
        <v/>
      </c>
      <c r="T4390" s="38" t="str">
        <f t="shared" si="476"/>
        <v/>
      </c>
      <c r="U4390" s="37" t="str">
        <f t="shared" si="477"/>
        <v/>
      </c>
    </row>
    <row r="4391" spans="2:21" ht="17.25">
      <c r="B4391" s="156"/>
      <c r="C4391" s="156"/>
      <c r="D4391" s="157"/>
      <c r="E4391" s="155"/>
      <c r="F4391" s="151"/>
      <c r="G4391" s="152"/>
      <c r="H4391" s="153"/>
      <c r="I4391" s="154"/>
      <c r="J4391" s="154"/>
      <c r="K4391" s="30" t="str">
        <f>IF(H4391="","",IF($C$30="간이법","",FPR(H4391,I4391,J4391)))</f>
        <v/>
      </c>
      <c r="L4391" s="30" t="str">
        <f>IF(H4391="","",IF($C$30="상세법",FPV(H4391,K4391),IF(H4391="EI",4,IF(H4391="EO",5.2,IF(H4391="EQ",3.9,IF(H4391="ILF",7.5,IF(H4391="EIF",5.4)))))))</f>
        <v/>
      </c>
      <c r="M4391" s="30" t="str">
        <f t="shared" si="471"/>
        <v/>
      </c>
      <c r="N4391" s="134"/>
      <c r="O4391" s="29"/>
      <c r="P4391" s="37" t="str">
        <f t="shared" si="472"/>
        <v/>
      </c>
      <c r="Q4391" s="38" t="str">
        <f t="shared" si="473"/>
        <v/>
      </c>
      <c r="R4391" s="37" t="str">
        <f t="shared" si="474"/>
        <v/>
      </c>
      <c r="S4391" s="37" t="str">
        <f t="shared" si="475"/>
        <v/>
      </c>
      <c r="T4391" s="38" t="str">
        <f t="shared" si="476"/>
        <v/>
      </c>
      <c r="U4391" s="37" t="str">
        <f t="shared" si="477"/>
        <v/>
      </c>
    </row>
    <row r="4392" spans="2:21" ht="17.25">
      <c r="B4392" s="156"/>
      <c r="C4392" s="156"/>
      <c r="D4392" s="157"/>
      <c r="E4392" s="155"/>
      <c r="F4392" s="151"/>
      <c r="G4392" s="152"/>
      <c r="H4392" s="153"/>
      <c r="I4392" s="154"/>
      <c r="J4392" s="154"/>
      <c r="K4392" s="30" t="str">
        <f>IF(H4392="","",IF($C$30="간이법","",FPR(H4392,I4392,J4392)))</f>
        <v/>
      </c>
      <c r="L4392" s="30" t="str">
        <f>IF(H4392="","",IF($C$30="상세법",FPV(H4392,K4392),IF(H4392="EI",4,IF(H4392="EO",5.2,IF(H4392="EQ",3.9,IF(H4392="ILF",7.5,IF(H4392="EIF",5.4)))))))</f>
        <v/>
      </c>
      <c r="M4392" s="30" t="str">
        <f t="shared" si="471"/>
        <v/>
      </c>
      <c r="N4392" s="134"/>
      <c r="O4392" s="29"/>
      <c r="P4392" s="37" t="str">
        <f t="shared" si="472"/>
        <v/>
      </c>
      <c r="Q4392" s="38" t="str">
        <f t="shared" si="473"/>
        <v/>
      </c>
      <c r="R4392" s="37" t="str">
        <f t="shared" si="474"/>
        <v/>
      </c>
      <c r="S4392" s="37" t="str">
        <f t="shared" si="475"/>
        <v/>
      </c>
      <c r="T4392" s="38" t="str">
        <f t="shared" si="476"/>
        <v/>
      </c>
      <c r="U4392" s="37" t="str">
        <f t="shared" si="477"/>
        <v/>
      </c>
    </row>
    <row r="4393" spans="2:21" ht="17.25">
      <c r="B4393" s="156"/>
      <c r="C4393" s="156"/>
      <c r="D4393" s="157"/>
      <c r="E4393" s="155"/>
      <c r="F4393" s="151"/>
      <c r="G4393" s="152"/>
      <c r="H4393" s="153"/>
      <c r="I4393" s="154"/>
      <c r="J4393" s="154"/>
      <c r="K4393" s="30" t="str">
        <f>IF(H4393="","",IF($C$30="간이법","",FPR(H4393,I4393,J4393)))</f>
        <v/>
      </c>
      <c r="L4393" s="30" t="str">
        <f>IF(H4393="","",IF($C$30="상세법",FPV(H4393,K4393),IF(H4393="EI",4,IF(H4393="EO",5.2,IF(H4393="EQ",3.9,IF(H4393="ILF",7.5,IF(H4393="EIF",5.4)))))))</f>
        <v/>
      </c>
      <c r="M4393" s="30" t="str">
        <f t="shared" si="471"/>
        <v/>
      </c>
      <c r="N4393" s="134"/>
      <c r="O4393" s="29"/>
      <c r="P4393" s="37" t="str">
        <f t="shared" si="472"/>
        <v/>
      </c>
      <c r="Q4393" s="38" t="str">
        <f t="shared" si="473"/>
        <v/>
      </c>
      <c r="R4393" s="37" t="str">
        <f t="shared" si="474"/>
        <v/>
      </c>
      <c r="S4393" s="37" t="str">
        <f t="shared" si="475"/>
        <v/>
      </c>
      <c r="T4393" s="38" t="str">
        <f t="shared" si="476"/>
        <v/>
      </c>
      <c r="U4393" s="37" t="str">
        <f t="shared" si="477"/>
        <v/>
      </c>
    </row>
    <row r="4394" spans="2:21" ht="17.25">
      <c r="B4394" s="156"/>
      <c r="C4394" s="156"/>
      <c r="D4394" s="157"/>
      <c r="E4394" s="155"/>
      <c r="F4394" s="151"/>
      <c r="G4394" s="152"/>
      <c r="H4394" s="153"/>
      <c r="I4394" s="154"/>
      <c r="J4394" s="154"/>
      <c r="K4394" s="30" t="str">
        <f>IF(H4394="","",IF($C$30="간이법","",FPR(H4394,I4394,J4394)))</f>
        <v/>
      </c>
      <c r="L4394" s="30" t="str">
        <f>IF(H4394="","",IF($C$30="상세법",FPV(H4394,K4394),IF(H4394="EI",4,IF(H4394="EO",5.2,IF(H4394="EQ",3.9,IF(H4394="ILF",7.5,IF(H4394="EIF",5.4)))))))</f>
        <v/>
      </c>
      <c r="M4394" s="30" t="str">
        <f t="shared" si="471"/>
        <v/>
      </c>
      <c r="N4394" s="134"/>
      <c r="O4394" s="29"/>
      <c r="P4394" s="37" t="str">
        <f t="shared" si="472"/>
        <v/>
      </c>
      <c r="Q4394" s="38" t="str">
        <f t="shared" si="473"/>
        <v/>
      </c>
      <c r="R4394" s="37" t="str">
        <f t="shared" si="474"/>
        <v/>
      </c>
      <c r="S4394" s="37" t="str">
        <f t="shared" si="475"/>
        <v/>
      </c>
      <c r="T4394" s="38" t="str">
        <f t="shared" si="476"/>
        <v/>
      </c>
      <c r="U4394" s="37" t="str">
        <f t="shared" si="477"/>
        <v/>
      </c>
    </row>
    <row r="4395" spans="2:21" ht="17.25">
      <c r="B4395" s="156"/>
      <c r="C4395" s="156"/>
      <c r="D4395" s="157"/>
      <c r="E4395" s="155"/>
      <c r="F4395" s="151"/>
      <c r="G4395" s="152"/>
      <c r="H4395" s="153"/>
      <c r="I4395" s="154"/>
      <c r="J4395" s="154"/>
      <c r="K4395" s="30" t="str">
        <f>IF(H4395="","",IF($C$30="간이법","",FPR(H4395,I4395,J4395)))</f>
        <v/>
      </c>
      <c r="L4395" s="30" t="str">
        <f>IF(H4395="","",IF($C$30="상세법",FPV(H4395,K4395),IF(H4395="EI",4,IF(H4395="EO",5.2,IF(H4395="EQ",3.9,IF(H4395="ILF",7.5,IF(H4395="EIF",5.4)))))))</f>
        <v/>
      </c>
      <c r="M4395" s="30" t="str">
        <f t="shared" si="471"/>
        <v/>
      </c>
      <c r="N4395" s="134"/>
      <c r="O4395" s="29"/>
      <c r="P4395" s="37" t="str">
        <f t="shared" si="472"/>
        <v/>
      </c>
      <c r="Q4395" s="38" t="str">
        <f t="shared" si="473"/>
        <v/>
      </c>
      <c r="R4395" s="37" t="str">
        <f t="shared" si="474"/>
        <v/>
      </c>
      <c r="S4395" s="37" t="str">
        <f t="shared" si="475"/>
        <v/>
      </c>
      <c r="T4395" s="38" t="str">
        <f t="shared" si="476"/>
        <v/>
      </c>
      <c r="U4395" s="37" t="str">
        <f t="shared" si="477"/>
        <v/>
      </c>
    </row>
    <row r="4396" spans="2:21" ht="17.25">
      <c r="B4396" s="156"/>
      <c r="C4396" s="156"/>
      <c r="D4396" s="157"/>
      <c r="E4396" s="155"/>
      <c r="F4396" s="151"/>
      <c r="G4396" s="152"/>
      <c r="H4396" s="153"/>
      <c r="I4396" s="154"/>
      <c r="J4396" s="154"/>
      <c r="K4396" s="30" t="str">
        <f>IF(H4396="","",IF($C$30="간이법","",FPR(H4396,I4396,J4396)))</f>
        <v/>
      </c>
      <c r="L4396" s="30" t="str">
        <f>IF(H4396="","",IF($C$30="상세법",FPV(H4396,K4396),IF(H4396="EI",4,IF(H4396="EO",5.2,IF(H4396="EQ",3.9,IF(H4396="ILF",7.5,IF(H4396="EIF",5.4)))))))</f>
        <v/>
      </c>
      <c r="M4396" s="30" t="str">
        <f t="shared" si="471"/>
        <v/>
      </c>
      <c r="N4396" s="134"/>
      <c r="O4396" s="29"/>
      <c r="P4396" s="37" t="str">
        <f t="shared" si="472"/>
        <v/>
      </c>
      <c r="Q4396" s="38" t="str">
        <f t="shared" si="473"/>
        <v/>
      </c>
      <c r="R4396" s="37" t="str">
        <f t="shared" si="474"/>
        <v/>
      </c>
      <c r="S4396" s="37" t="str">
        <f t="shared" si="475"/>
        <v/>
      </c>
      <c r="T4396" s="38" t="str">
        <f t="shared" si="476"/>
        <v/>
      </c>
      <c r="U4396" s="37" t="str">
        <f t="shared" si="477"/>
        <v/>
      </c>
    </row>
    <row r="4397" spans="2:21" ht="17.25">
      <c r="B4397" s="156"/>
      <c r="C4397" s="156"/>
      <c r="D4397" s="157"/>
      <c r="E4397" s="155"/>
      <c r="F4397" s="151"/>
      <c r="G4397" s="152"/>
      <c r="H4397" s="153"/>
      <c r="I4397" s="154"/>
      <c r="J4397" s="154"/>
      <c r="K4397" s="30" t="str">
        <f>IF(H4397="","",IF($C$30="간이법","",FPR(H4397,I4397,J4397)))</f>
        <v/>
      </c>
      <c r="L4397" s="30" t="str">
        <f>IF(H4397="","",IF($C$30="상세법",FPV(H4397,K4397),IF(H4397="EI",4,IF(H4397="EO",5.2,IF(H4397="EQ",3.9,IF(H4397="ILF",7.5,IF(H4397="EIF",5.4)))))))</f>
        <v/>
      </c>
      <c r="M4397" s="30" t="str">
        <f t="shared" si="471"/>
        <v/>
      </c>
      <c r="N4397" s="134"/>
      <c r="O4397" s="29"/>
      <c r="P4397" s="37" t="str">
        <f t="shared" si="472"/>
        <v/>
      </c>
      <c r="Q4397" s="38" t="str">
        <f t="shared" si="473"/>
        <v/>
      </c>
      <c r="R4397" s="37" t="str">
        <f t="shared" si="474"/>
        <v/>
      </c>
      <c r="S4397" s="37" t="str">
        <f t="shared" si="475"/>
        <v/>
      </c>
      <c r="T4397" s="38" t="str">
        <f t="shared" si="476"/>
        <v/>
      </c>
      <c r="U4397" s="37" t="str">
        <f t="shared" si="477"/>
        <v/>
      </c>
    </row>
    <row r="4398" spans="2:21" ht="17.25">
      <c r="B4398" s="156"/>
      <c r="C4398" s="156"/>
      <c r="D4398" s="157"/>
      <c r="E4398" s="155"/>
      <c r="F4398" s="151"/>
      <c r="G4398" s="152"/>
      <c r="H4398" s="153"/>
      <c r="I4398" s="154"/>
      <c r="J4398" s="154"/>
      <c r="K4398" s="30" t="str">
        <f>IF(H4398="","",IF($C$30="간이법","",FPR(H4398,I4398,J4398)))</f>
        <v/>
      </c>
      <c r="L4398" s="30" t="str">
        <f>IF(H4398="","",IF($C$30="상세법",FPV(H4398,K4398),IF(H4398="EI",4,IF(H4398="EO",5.2,IF(H4398="EQ",3.9,IF(H4398="ILF",7.5,IF(H4398="EIF",5.4)))))))</f>
        <v/>
      </c>
      <c r="M4398" s="30" t="str">
        <f t="shared" si="471"/>
        <v/>
      </c>
      <c r="N4398" s="134"/>
      <c r="O4398" s="29"/>
      <c r="P4398" s="37" t="str">
        <f t="shared" si="472"/>
        <v/>
      </c>
      <c r="Q4398" s="38" t="str">
        <f t="shared" si="473"/>
        <v/>
      </c>
      <c r="R4398" s="37" t="str">
        <f t="shared" si="474"/>
        <v/>
      </c>
      <c r="S4398" s="37" t="str">
        <f t="shared" si="475"/>
        <v/>
      </c>
      <c r="T4398" s="38" t="str">
        <f t="shared" si="476"/>
        <v/>
      </c>
      <c r="U4398" s="37" t="str">
        <f t="shared" si="477"/>
        <v/>
      </c>
    </row>
    <row r="4399" spans="2:21" ht="17.25">
      <c r="B4399" s="156"/>
      <c r="C4399" s="156"/>
      <c r="D4399" s="157"/>
      <c r="E4399" s="155"/>
      <c r="F4399" s="151"/>
      <c r="G4399" s="152"/>
      <c r="H4399" s="153"/>
      <c r="I4399" s="154"/>
      <c r="J4399" s="154"/>
      <c r="K4399" s="30" t="str">
        <f>IF(H4399="","",IF($C$30="간이법","",FPR(H4399,I4399,J4399)))</f>
        <v/>
      </c>
      <c r="L4399" s="30" t="str">
        <f>IF(H4399="","",IF($C$30="상세법",FPV(H4399,K4399),IF(H4399="EI",4,IF(H4399="EO",5.2,IF(H4399="EQ",3.9,IF(H4399="ILF",7.5,IF(H4399="EIF",5.4)))))))</f>
        <v/>
      </c>
      <c r="M4399" s="30" t="str">
        <f t="shared" si="471"/>
        <v/>
      </c>
      <c r="N4399" s="134"/>
      <c r="O4399" s="29"/>
      <c r="P4399" s="37" t="str">
        <f t="shared" si="472"/>
        <v/>
      </c>
      <c r="Q4399" s="38" t="str">
        <f t="shared" si="473"/>
        <v/>
      </c>
      <c r="R4399" s="37" t="str">
        <f t="shared" si="474"/>
        <v/>
      </c>
      <c r="S4399" s="37" t="str">
        <f t="shared" si="475"/>
        <v/>
      </c>
      <c r="T4399" s="38" t="str">
        <f t="shared" si="476"/>
        <v/>
      </c>
      <c r="U4399" s="37" t="str">
        <f t="shared" si="477"/>
        <v/>
      </c>
    </row>
    <row r="4400" spans="2:21" ht="17.25">
      <c r="B4400" s="156"/>
      <c r="C4400" s="156"/>
      <c r="D4400" s="157"/>
      <c r="E4400" s="155"/>
      <c r="F4400" s="151"/>
      <c r="G4400" s="152"/>
      <c r="H4400" s="153"/>
      <c r="I4400" s="154"/>
      <c r="J4400" s="154"/>
      <c r="K4400" s="30" t="str">
        <f>IF(H4400="","",IF($C$30="간이법","",FPR(H4400,I4400,J4400)))</f>
        <v/>
      </c>
      <c r="L4400" s="30" t="str">
        <f>IF(H4400="","",IF($C$30="상세법",FPV(H4400,K4400),IF(H4400="EI",4,IF(H4400="EO",5.2,IF(H4400="EQ",3.9,IF(H4400="ILF",7.5,IF(H4400="EIF",5.4)))))))</f>
        <v/>
      </c>
      <c r="M4400" s="30" t="str">
        <f t="shared" si="471"/>
        <v/>
      </c>
      <c r="N4400" s="134"/>
      <c r="O4400" s="29"/>
      <c r="P4400" s="37" t="str">
        <f t="shared" si="472"/>
        <v/>
      </c>
      <c r="Q4400" s="38" t="str">
        <f t="shared" si="473"/>
        <v/>
      </c>
      <c r="R4400" s="37" t="str">
        <f t="shared" si="474"/>
        <v/>
      </c>
      <c r="S4400" s="37" t="str">
        <f t="shared" si="475"/>
        <v/>
      </c>
      <c r="T4400" s="38" t="str">
        <f t="shared" si="476"/>
        <v/>
      </c>
      <c r="U4400" s="37" t="str">
        <f t="shared" si="477"/>
        <v/>
      </c>
    </row>
    <row r="4401" spans="2:21" ht="17.25">
      <c r="B4401" s="156"/>
      <c r="C4401" s="156"/>
      <c r="D4401" s="157"/>
      <c r="E4401" s="155"/>
      <c r="F4401" s="151"/>
      <c r="G4401" s="152"/>
      <c r="H4401" s="153"/>
      <c r="I4401" s="154"/>
      <c r="J4401" s="154"/>
      <c r="K4401" s="30" t="str">
        <f>IF(H4401="","",IF($C$30="간이법","",FPR(H4401,I4401,J4401)))</f>
        <v/>
      </c>
      <c r="L4401" s="30" t="str">
        <f>IF(H4401="","",IF($C$30="상세법",FPV(H4401,K4401),IF(H4401="EI",4,IF(H4401="EO",5.2,IF(H4401="EQ",3.9,IF(H4401="ILF",7.5,IF(H4401="EIF",5.4)))))))</f>
        <v/>
      </c>
      <c r="M4401" s="30" t="str">
        <f t="shared" si="471"/>
        <v/>
      </c>
      <c r="N4401" s="134"/>
      <c r="O4401" s="29"/>
      <c r="P4401" s="37" t="str">
        <f t="shared" si="472"/>
        <v/>
      </c>
      <c r="Q4401" s="38" t="str">
        <f t="shared" si="473"/>
        <v/>
      </c>
      <c r="R4401" s="37" t="str">
        <f t="shared" si="474"/>
        <v/>
      </c>
      <c r="S4401" s="37" t="str">
        <f t="shared" si="475"/>
        <v/>
      </c>
      <c r="T4401" s="38" t="str">
        <f t="shared" si="476"/>
        <v/>
      </c>
      <c r="U4401" s="37" t="str">
        <f t="shared" si="477"/>
        <v/>
      </c>
    </row>
    <row r="4402" spans="2:21" ht="17.25">
      <c r="B4402" s="156"/>
      <c r="C4402" s="156"/>
      <c r="D4402" s="157"/>
      <c r="E4402" s="155"/>
      <c r="F4402" s="151"/>
      <c r="G4402" s="152"/>
      <c r="H4402" s="153"/>
      <c r="I4402" s="154"/>
      <c r="J4402" s="154"/>
      <c r="K4402" s="30" t="str">
        <f>IF(H4402="","",IF($C$30="간이법","",FPR(H4402,I4402,J4402)))</f>
        <v/>
      </c>
      <c r="L4402" s="30" t="str">
        <f>IF(H4402="","",IF($C$30="상세법",FPV(H4402,K4402),IF(H4402="EI",4,IF(H4402="EO",5.2,IF(H4402="EQ",3.9,IF(H4402="ILF",7.5,IF(H4402="EIF",5.4)))))))</f>
        <v/>
      </c>
      <c r="M4402" s="30" t="str">
        <f t="shared" si="471"/>
        <v/>
      </c>
      <c r="N4402" s="134"/>
      <c r="O4402" s="29"/>
      <c r="P4402" s="37" t="str">
        <f t="shared" si="472"/>
        <v/>
      </c>
      <c r="Q4402" s="38" t="str">
        <f t="shared" si="473"/>
        <v/>
      </c>
      <c r="R4402" s="37" t="str">
        <f t="shared" si="474"/>
        <v/>
      </c>
      <c r="S4402" s="37" t="str">
        <f t="shared" si="475"/>
        <v/>
      </c>
      <c r="T4402" s="38" t="str">
        <f t="shared" si="476"/>
        <v/>
      </c>
      <c r="U4402" s="37" t="str">
        <f t="shared" si="477"/>
        <v/>
      </c>
    </row>
    <row r="4403" spans="2:21" ht="17.25">
      <c r="B4403" s="156"/>
      <c r="C4403" s="156"/>
      <c r="D4403" s="157"/>
      <c r="E4403" s="155"/>
      <c r="F4403" s="151"/>
      <c r="G4403" s="152"/>
      <c r="H4403" s="153"/>
      <c r="I4403" s="154"/>
      <c r="J4403" s="154"/>
      <c r="K4403" s="30" t="str">
        <f>IF(H4403="","",IF($C$30="간이법","",FPR(H4403,I4403,J4403)))</f>
        <v/>
      </c>
      <c r="L4403" s="30" t="str">
        <f>IF(H4403="","",IF($C$30="상세법",FPV(H4403,K4403),IF(H4403="EI",4,IF(H4403="EO",5.2,IF(H4403="EQ",3.9,IF(H4403="ILF",7.5,IF(H4403="EIF",5.4)))))))</f>
        <v/>
      </c>
      <c r="M4403" s="30" t="str">
        <f t="shared" si="471"/>
        <v/>
      </c>
      <c r="N4403" s="134"/>
      <c r="O4403" s="29"/>
      <c r="P4403" s="37" t="str">
        <f t="shared" si="472"/>
        <v/>
      </c>
      <c r="Q4403" s="38" t="str">
        <f t="shared" si="473"/>
        <v/>
      </c>
      <c r="R4403" s="37" t="str">
        <f t="shared" si="474"/>
        <v/>
      </c>
      <c r="S4403" s="37" t="str">
        <f t="shared" si="475"/>
        <v/>
      </c>
      <c r="T4403" s="38" t="str">
        <f t="shared" si="476"/>
        <v/>
      </c>
      <c r="U4403" s="37" t="str">
        <f t="shared" si="477"/>
        <v/>
      </c>
    </row>
    <row r="4404" spans="2:21" ht="17.25">
      <c r="B4404" s="156"/>
      <c r="C4404" s="156"/>
      <c r="D4404" s="157"/>
      <c r="E4404" s="155"/>
      <c r="F4404" s="151"/>
      <c r="G4404" s="152"/>
      <c r="H4404" s="153"/>
      <c r="I4404" s="154"/>
      <c r="J4404" s="154"/>
      <c r="K4404" s="30" t="str">
        <f>IF(H4404="","",IF($C$30="간이법","",FPR(H4404,I4404,J4404)))</f>
        <v/>
      </c>
      <c r="L4404" s="30" t="str">
        <f>IF(H4404="","",IF($C$30="상세법",FPV(H4404,K4404),IF(H4404="EI",4,IF(H4404="EO",5.2,IF(H4404="EQ",3.9,IF(H4404="ILF",7.5,IF(H4404="EIF",5.4)))))))</f>
        <v/>
      </c>
      <c r="M4404" s="30" t="str">
        <f t="shared" si="471"/>
        <v/>
      </c>
      <c r="N4404" s="134"/>
      <c r="O4404" s="29"/>
      <c r="P4404" s="37" t="str">
        <f t="shared" si="472"/>
        <v/>
      </c>
      <c r="Q4404" s="38" t="str">
        <f t="shared" si="473"/>
        <v/>
      </c>
      <c r="R4404" s="37" t="str">
        <f t="shared" si="474"/>
        <v/>
      </c>
      <c r="S4404" s="37" t="str">
        <f t="shared" si="475"/>
        <v/>
      </c>
      <c r="T4404" s="38" t="str">
        <f t="shared" si="476"/>
        <v/>
      </c>
      <c r="U4404" s="37" t="str">
        <f t="shared" si="477"/>
        <v/>
      </c>
    </row>
    <row r="4405" spans="2:21" ht="17.25">
      <c r="B4405" s="156"/>
      <c r="C4405" s="156"/>
      <c r="D4405" s="157"/>
      <c r="E4405" s="155"/>
      <c r="F4405" s="151"/>
      <c r="G4405" s="152"/>
      <c r="H4405" s="153"/>
      <c r="I4405" s="154"/>
      <c r="J4405" s="154"/>
      <c r="K4405" s="30" t="str">
        <f>IF(H4405="","",IF($C$30="간이법","",FPR(H4405,I4405,J4405)))</f>
        <v/>
      </c>
      <c r="L4405" s="30" t="str">
        <f>IF(H4405="","",IF($C$30="상세법",FPV(H4405,K4405),IF(H4405="EI",4,IF(H4405="EO",5.2,IF(H4405="EQ",3.9,IF(H4405="ILF",7.5,IF(H4405="EIF",5.4)))))))</f>
        <v/>
      </c>
      <c r="M4405" s="30" t="str">
        <f t="shared" si="471"/>
        <v/>
      </c>
      <c r="N4405" s="134"/>
      <c r="O4405" s="29"/>
      <c r="P4405" s="37" t="str">
        <f t="shared" si="472"/>
        <v/>
      </c>
      <c r="Q4405" s="38" t="str">
        <f t="shared" si="473"/>
        <v/>
      </c>
      <c r="R4405" s="37" t="str">
        <f t="shared" si="474"/>
        <v/>
      </c>
      <c r="S4405" s="37" t="str">
        <f t="shared" si="475"/>
        <v/>
      </c>
      <c r="T4405" s="38" t="str">
        <f t="shared" si="476"/>
        <v/>
      </c>
      <c r="U4405" s="37" t="str">
        <f t="shared" si="477"/>
        <v/>
      </c>
    </row>
    <row r="4406" spans="2:21" ht="17.25">
      <c r="B4406" s="156"/>
      <c r="C4406" s="156"/>
      <c r="D4406" s="157"/>
      <c r="E4406" s="155"/>
      <c r="F4406" s="151"/>
      <c r="G4406" s="152"/>
      <c r="H4406" s="153"/>
      <c r="I4406" s="154"/>
      <c r="J4406" s="154"/>
      <c r="K4406" s="30" t="str">
        <f>IF(H4406="","",IF($C$30="간이법","",FPR(H4406,I4406,J4406)))</f>
        <v/>
      </c>
      <c r="L4406" s="30" t="str">
        <f>IF(H4406="","",IF($C$30="상세법",FPV(H4406,K4406),IF(H4406="EI",4,IF(H4406="EO",5.2,IF(H4406="EQ",3.9,IF(H4406="ILF",7.5,IF(H4406="EIF",5.4)))))))</f>
        <v/>
      </c>
      <c r="M4406" s="30" t="str">
        <f t="shared" si="471"/>
        <v/>
      </c>
      <c r="N4406" s="134"/>
      <c r="O4406" s="29"/>
      <c r="P4406" s="37" t="str">
        <f t="shared" si="472"/>
        <v/>
      </c>
      <c r="Q4406" s="38" t="str">
        <f t="shared" si="473"/>
        <v/>
      </c>
      <c r="R4406" s="37" t="str">
        <f t="shared" si="474"/>
        <v/>
      </c>
      <c r="S4406" s="37" t="str">
        <f t="shared" si="475"/>
        <v/>
      </c>
      <c r="T4406" s="38" t="str">
        <f t="shared" si="476"/>
        <v/>
      </c>
      <c r="U4406" s="37" t="str">
        <f t="shared" si="477"/>
        <v/>
      </c>
    </row>
    <row r="4407" spans="2:21" ht="17.25">
      <c r="B4407" s="156"/>
      <c r="C4407" s="156"/>
      <c r="D4407" s="157"/>
      <c r="E4407" s="155"/>
      <c r="F4407" s="151"/>
      <c r="G4407" s="152"/>
      <c r="H4407" s="153"/>
      <c r="I4407" s="154"/>
      <c r="J4407" s="154"/>
      <c r="K4407" s="30" t="str">
        <f>IF(H4407="","",IF($C$30="간이법","",FPR(H4407,I4407,J4407)))</f>
        <v/>
      </c>
      <c r="L4407" s="30" t="str">
        <f>IF(H4407="","",IF($C$30="상세법",FPV(H4407,K4407),IF(H4407="EI",4,IF(H4407="EO",5.2,IF(H4407="EQ",3.9,IF(H4407="ILF",7.5,IF(H4407="EIF",5.4)))))))</f>
        <v/>
      </c>
      <c r="M4407" s="30" t="str">
        <f t="shared" si="471"/>
        <v/>
      </c>
      <c r="N4407" s="134"/>
      <c r="O4407" s="29"/>
      <c r="P4407" s="37" t="str">
        <f t="shared" si="472"/>
        <v/>
      </c>
      <c r="Q4407" s="38" t="str">
        <f t="shared" si="473"/>
        <v/>
      </c>
      <c r="R4407" s="37" t="str">
        <f t="shared" si="474"/>
        <v/>
      </c>
      <c r="S4407" s="37" t="str">
        <f t="shared" si="475"/>
        <v/>
      </c>
      <c r="T4407" s="38" t="str">
        <f t="shared" si="476"/>
        <v/>
      </c>
      <c r="U4407" s="37" t="str">
        <f t="shared" si="477"/>
        <v/>
      </c>
    </row>
    <row r="4408" spans="2:21" ht="17.25">
      <c r="B4408" s="156"/>
      <c r="C4408" s="156"/>
      <c r="D4408" s="157"/>
      <c r="E4408" s="155"/>
      <c r="F4408" s="151"/>
      <c r="G4408" s="152"/>
      <c r="H4408" s="153"/>
      <c r="I4408" s="154"/>
      <c r="J4408" s="154"/>
      <c r="K4408" s="30" t="str">
        <f>IF(H4408="","",IF($C$30="간이법","",FPR(H4408,I4408,J4408)))</f>
        <v/>
      </c>
      <c r="L4408" s="30" t="str">
        <f>IF(H4408="","",IF($C$30="상세법",FPV(H4408,K4408),IF(H4408="EI",4,IF(H4408="EO",5.2,IF(H4408="EQ",3.9,IF(H4408="ILF",7.5,IF(H4408="EIF",5.4)))))))</f>
        <v/>
      </c>
      <c r="M4408" s="30" t="str">
        <f t="shared" si="471"/>
        <v/>
      </c>
      <c r="N4408" s="134"/>
      <c r="O4408" s="29"/>
      <c r="P4408" s="37" t="str">
        <f t="shared" si="472"/>
        <v/>
      </c>
      <c r="Q4408" s="38" t="str">
        <f t="shared" si="473"/>
        <v/>
      </c>
      <c r="R4408" s="37" t="str">
        <f t="shared" si="474"/>
        <v/>
      </c>
      <c r="S4408" s="37" t="str">
        <f t="shared" si="475"/>
        <v/>
      </c>
      <c r="T4408" s="38" t="str">
        <f t="shared" si="476"/>
        <v/>
      </c>
      <c r="U4408" s="37" t="str">
        <f t="shared" si="477"/>
        <v/>
      </c>
    </row>
    <row r="4409" spans="2:21" ht="17.25">
      <c r="B4409" s="156"/>
      <c r="C4409" s="156"/>
      <c r="D4409" s="157"/>
      <c r="E4409" s="155"/>
      <c r="F4409" s="151"/>
      <c r="G4409" s="152"/>
      <c r="H4409" s="153"/>
      <c r="I4409" s="154"/>
      <c r="J4409" s="154"/>
      <c r="K4409" s="30" t="str">
        <f>IF(H4409="","",IF($C$30="간이법","",FPR(H4409,I4409,J4409)))</f>
        <v/>
      </c>
      <c r="L4409" s="30" t="str">
        <f>IF(H4409="","",IF($C$30="상세법",FPV(H4409,K4409),IF(H4409="EI",4,IF(H4409="EO",5.2,IF(H4409="EQ",3.9,IF(H4409="ILF",7.5,IF(H4409="EIF",5.4)))))))</f>
        <v/>
      </c>
      <c r="M4409" s="30" t="str">
        <f t="shared" si="471"/>
        <v/>
      </c>
      <c r="N4409" s="134"/>
      <c r="O4409" s="29"/>
      <c r="P4409" s="37" t="str">
        <f t="shared" si="472"/>
        <v/>
      </c>
      <c r="Q4409" s="38" t="str">
        <f t="shared" si="473"/>
        <v/>
      </c>
      <c r="R4409" s="37" t="str">
        <f t="shared" si="474"/>
        <v/>
      </c>
      <c r="S4409" s="37" t="str">
        <f t="shared" si="475"/>
        <v/>
      </c>
      <c r="T4409" s="38" t="str">
        <f t="shared" si="476"/>
        <v/>
      </c>
      <c r="U4409" s="37" t="str">
        <f t="shared" si="477"/>
        <v/>
      </c>
    </row>
    <row r="4410" spans="2:21" ht="17.25">
      <c r="B4410" s="156"/>
      <c r="C4410" s="156"/>
      <c r="D4410" s="157"/>
      <c r="E4410" s="155"/>
      <c r="F4410" s="151"/>
      <c r="G4410" s="152"/>
      <c r="H4410" s="153"/>
      <c r="I4410" s="154"/>
      <c r="J4410" s="154"/>
      <c r="K4410" s="30" t="str">
        <f>IF(H4410="","",IF($C$30="간이법","",FPR(H4410,I4410,J4410)))</f>
        <v/>
      </c>
      <c r="L4410" s="30" t="str">
        <f>IF(H4410="","",IF($C$30="상세법",FPV(H4410,K4410),IF(H4410="EI",4,IF(H4410="EO",5.2,IF(H4410="EQ",3.9,IF(H4410="ILF",7.5,IF(H4410="EIF",5.4)))))))</f>
        <v/>
      </c>
      <c r="M4410" s="30" t="str">
        <f t="shared" si="471"/>
        <v/>
      </c>
      <c r="N4410" s="134"/>
      <c r="O4410" s="29"/>
      <c r="P4410" s="37" t="str">
        <f t="shared" si="472"/>
        <v/>
      </c>
      <c r="Q4410" s="38" t="str">
        <f t="shared" si="473"/>
        <v/>
      </c>
      <c r="R4410" s="37" t="str">
        <f t="shared" si="474"/>
        <v/>
      </c>
      <c r="S4410" s="37" t="str">
        <f t="shared" si="475"/>
        <v/>
      </c>
      <c r="T4410" s="38" t="str">
        <f t="shared" si="476"/>
        <v/>
      </c>
      <c r="U4410" s="37" t="str">
        <f t="shared" si="477"/>
        <v/>
      </c>
    </row>
    <row r="4411" spans="2:21" ht="17.25">
      <c r="B4411" s="156"/>
      <c r="C4411" s="156"/>
      <c r="D4411" s="157"/>
      <c r="E4411" s="155"/>
      <c r="F4411" s="151"/>
      <c r="G4411" s="152"/>
      <c r="H4411" s="153"/>
      <c r="I4411" s="154"/>
      <c r="J4411" s="154"/>
      <c r="K4411" s="30" t="str">
        <f>IF(H4411="","",IF($C$30="간이법","",FPR(H4411,I4411,J4411)))</f>
        <v/>
      </c>
      <c r="L4411" s="30" t="str">
        <f>IF(H4411="","",IF($C$30="상세법",FPV(H4411,K4411),IF(H4411="EI",4,IF(H4411="EO",5.2,IF(H4411="EQ",3.9,IF(H4411="ILF",7.5,IF(H4411="EIF",5.4)))))))</f>
        <v/>
      </c>
      <c r="M4411" s="30" t="str">
        <f t="shared" si="471"/>
        <v/>
      </c>
      <c r="N4411" s="134"/>
      <c r="O4411" s="29"/>
      <c r="P4411" s="37" t="str">
        <f t="shared" si="472"/>
        <v/>
      </c>
      <c r="Q4411" s="38" t="str">
        <f t="shared" si="473"/>
        <v/>
      </c>
      <c r="R4411" s="37" t="str">
        <f t="shared" si="474"/>
        <v/>
      </c>
      <c r="S4411" s="37" t="str">
        <f t="shared" si="475"/>
        <v/>
      </c>
      <c r="T4411" s="38" t="str">
        <f t="shared" si="476"/>
        <v/>
      </c>
      <c r="U4411" s="37" t="str">
        <f t="shared" si="477"/>
        <v/>
      </c>
    </row>
    <row r="4412" spans="2:21" ht="17.25">
      <c r="B4412" s="156"/>
      <c r="C4412" s="156"/>
      <c r="D4412" s="157"/>
      <c r="E4412" s="155"/>
      <c r="F4412" s="151"/>
      <c r="G4412" s="152"/>
      <c r="H4412" s="153"/>
      <c r="I4412" s="154"/>
      <c r="J4412" s="154"/>
      <c r="K4412" s="30" t="str">
        <f>IF(H4412="","",IF($C$30="간이법","",FPR(H4412,I4412,J4412)))</f>
        <v/>
      </c>
      <c r="L4412" s="30" t="str">
        <f>IF(H4412="","",IF($C$30="상세법",FPV(H4412,K4412),IF(H4412="EI",4,IF(H4412="EO",5.2,IF(H4412="EQ",3.9,IF(H4412="ILF",7.5,IF(H4412="EIF",5.4)))))))</f>
        <v/>
      </c>
      <c r="M4412" s="30" t="str">
        <f t="shared" ref="M4412:M4475" si="478">IF(OR(G4412="",$E$36="(선택)",$E$40="(선택)",$E$41="(선택)",F4412="신규 개발",F4412="수정 없이 재사용"),"",(IF(F4412="수정 후 재사용",IF($E$50&lt;=0.5,L4412*($E$36+$E$50*100*(1+0.02*($E$40*$E$41)))/100,L4412*($E$36+$E$50*100+($E$40*$E$41))/100))))</f>
        <v/>
      </c>
      <c r="N4412" s="134"/>
      <c r="O4412" s="29"/>
      <c r="P4412" s="37" t="str">
        <f t="shared" ref="P4412:P4475" si="479">IF(F4412="수정 후 재사용",IF(H4412="ILF",G4412,IF(H4412="EIF",G4412,"")),"")</f>
        <v/>
      </c>
      <c r="Q4412" s="38" t="str">
        <f t="shared" ref="Q4412:Q4475" si="480">IF(P4412&lt;&gt;"",IF(H4412="ILF", L4412/$E$46,IF(H4412="EIF", L4412/$E$46,"")),"")</f>
        <v/>
      </c>
      <c r="R4412" s="37" t="str">
        <f t="shared" ref="R4412:R4475" si="481">IF(P4412&lt;&gt;"",P4412*Q4412,"")</f>
        <v/>
      </c>
      <c r="S4412" s="37" t="str">
        <f t="shared" ref="S4412:S4475" si="482">IF(F4412="수정 후 재사용",IF(H4412="EI",G4412,IF(H4412="EO",G4412,IF(H4412="EQ",G4412,""))),"")</f>
        <v/>
      </c>
      <c r="T4412" s="38" t="str">
        <f t="shared" ref="T4412:T4475" si="483">IF(S4412&lt;&gt;"",IF(H4412="EI",L4412/$E$47,IF(H4412="EO",L4412/$E$47,IF(H4412="EQ",L4412/$E$47,""))),"")</f>
        <v/>
      </c>
      <c r="U4412" s="37" t="str">
        <f t="shared" ref="U4412:U4475" si="484">IF(S4412&lt;&gt;"",S4412*T4412,"")</f>
        <v/>
      </c>
    </row>
    <row r="4413" spans="2:21" ht="17.25">
      <c r="B4413" s="156"/>
      <c r="C4413" s="156"/>
      <c r="D4413" s="157"/>
      <c r="E4413" s="155"/>
      <c r="F4413" s="151"/>
      <c r="G4413" s="152"/>
      <c r="H4413" s="153"/>
      <c r="I4413" s="154"/>
      <c r="J4413" s="154"/>
      <c r="K4413" s="30" t="str">
        <f>IF(H4413="","",IF($C$30="간이법","",FPR(H4413,I4413,J4413)))</f>
        <v/>
      </c>
      <c r="L4413" s="30" t="str">
        <f>IF(H4413="","",IF($C$30="상세법",FPV(H4413,K4413),IF(H4413="EI",4,IF(H4413="EO",5.2,IF(H4413="EQ",3.9,IF(H4413="ILF",7.5,IF(H4413="EIF",5.4)))))))</f>
        <v/>
      </c>
      <c r="M4413" s="30" t="str">
        <f t="shared" si="478"/>
        <v/>
      </c>
      <c r="N4413" s="134"/>
      <c r="O4413" s="29"/>
      <c r="P4413" s="37" t="str">
        <f t="shared" si="479"/>
        <v/>
      </c>
      <c r="Q4413" s="38" t="str">
        <f t="shared" si="480"/>
        <v/>
      </c>
      <c r="R4413" s="37" t="str">
        <f t="shared" si="481"/>
        <v/>
      </c>
      <c r="S4413" s="37" t="str">
        <f t="shared" si="482"/>
        <v/>
      </c>
      <c r="T4413" s="38" t="str">
        <f t="shared" si="483"/>
        <v/>
      </c>
      <c r="U4413" s="37" t="str">
        <f t="shared" si="484"/>
        <v/>
      </c>
    </row>
    <row r="4414" spans="2:21" ht="17.25">
      <c r="B4414" s="156"/>
      <c r="C4414" s="156"/>
      <c r="D4414" s="157"/>
      <c r="E4414" s="155"/>
      <c r="F4414" s="151"/>
      <c r="G4414" s="152"/>
      <c r="H4414" s="153"/>
      <c r="I4414" s="154"/>
      <c r="J4414" s="154"/>
      <c r="K4414" s="30" t="str">
        <f>IF(H4414="","",IF($C$30="간이법","",FPR(H4414,I4414,J4414)))</f>
        <v/>
      </c>
      <c r="L4414" s="30" t="str">
        <f>IF(H4414="","",IF($C$30="상세법",FPV(H4414,K4414),IF(H4414="EI",4,IF(H4414="EO",5.2,IF(H4414="EQ",3.9,IF(H4414="ILF",7.5,IF(H4414="EIF",5.4)))))))</f>
        <v/>
      </c>
      <c r="M4414" s="30" t="str">
        <f t="shared" si="478"/>
        <v/>
      </c>
      <c r="N4414" s="134"/>
      <c r="O4414" s="29"/>
      <c r="P4414" s="37" t="str">
        <f t="shared" si="479"/>
        <v/>
      </c>
      <c r="Q4414" s="38" t="str">
        <f t="shared" si="480"/>
        <v/>
      </c>
      <c r="R4414" s="37" t="str">
        <f t="shared" si="481"/>
        <v/>
      </c>
      <c r="S4414" s="37" t="str">
        <f t="shared" si="482"/>
        <v/>
      </c>
      <c r="T4414" s="38" t="str">
        <f t="shared" si="483"/>
        <v/>
      </c>
      <c r="U4414" s="37" t="str">
        <f t="shared" si="484"/>
        <v/>
      </c>
    </row>
    <row r="4415" spans="2:21" ht="17.25">
      <c r="B4415" s="156"/>
      <c r="C4415" s="156"/>
      <c r="D4415" s="157"/>
      <c r="E4415" s="155"/>
      <c r="F4415" s="151"/>
      <c r="G4415" s="152"/>
      <c r="H4415" s="153"/>
      <c r="I4415" s="154"/>
      <c r="J4415" s="154"/>
      <c r="K4415" s="30" t="str">
        <f>IF(H4415="","",IF($C$30="간이법","",FPR(H4415,I4415,J4415)))</f>
        <v/>
      </c>
      <c r="L4415" s="30" t="str">
        <f>IF(H4415="","",IF($C$30="상세법",FPV(H4415,K4415),IF(H4415="EI",4,IF(H4415="EO",5.2,IF(H4415="EQ",3.9,IF(H4415="ILF",7.5,IF(H4415="EIF",5.4)))))))</f>
        <v/>
      </c>
      <c r="M4415" s="30" t="str">
        <f t="shared" si="478"/>
        <v/>
      </c>
      <c r="N4415" s="134"/>
      <c r="O4415" s="29"/>
      <c r="P4415" s="37" t="str">
        <f t="shared" si="479"/>
        <v/>
      </c>
      <c r="Q4415" s="38" t="str">
        <f t="shared" si="480"/>
        <v/>
      </c>
      <c r="R4415" s="37" t="str">
        <f t="shared" si="481"/>
        <v/>
      </c>
      <c r="S4415" s="37" t="str">
        <f t="shared" si="482"/>
        <v/>
      </c>
      <c r="T4415" s="38" t="str">
        <f t="shared" si="483"/>
        <v/>
      </c>
      <c r="U4415" s="37" t="str">
        <f t="shared" si="484"/>
        <v/>
      </c>
    </row>
    <row r="4416" spans="2:21" ht="17.25">
      <c r="B4416" s="156"/>
      <c r="C4416" s="156"/>
      <c r="D4416" s="157"/>
      <c r="E4416" s="155"/>
      <c r="F4416" s="151"/>
      <c r="G4416" s="152"/>
      <c r="H4416" s="153"/>
      <c r="I4416" s="154"/>
      <c r="J4416" s="154"/>
      <c r="K4416" s="30" t="str">
        <f>IF(H4416="","",IF($C$30="간이법","",FPR(H4416,I4416,J4416)))</f>
        <v/>
      </c>
      <c r="L4416" s="30" t="str">
        <f>IF(H4416="","",IF($C$30="상세법",FPV(H4416,K4416),IF(H4416="EI",4,IF(H4416="EO",5.2,IF(H4416="EQ",3.9,IF(H4416="ILF",7.5,IF(H4416="EIF",5.4)))))))</f>
        <v/>
      </c>
      <c r="M4416" s="30" t="str">
        <f t="shared" si="478"/>
        <v/>
      </c>
      <c r="N4416" s="134"/>
      <c r="O4416" s="29"/>
      <c r="P4416" s="37" t="str">
        <f t="shared" si="479"/>
        <v/>
      </c>
      <c r="Q4416" s="38" t="str">
        <f t="shared" si="480"/>
        <v/>
      </c>
      <c r="R4416" s="37" t="str">
        <f t="shared" si="481"/>
        <v/>
      </c>
      <c r="S4416" s="37" t="str">
        <f t="shared" si="482"/>
        <v/>
      </c>
      <c r="T4416" s="38" t="str">
        <f t="shared" si="483"/>
        <v/>
      </c>
      <c r="U4416" s="37" t="str">
        <f t="shared" si="484"/>
        <v/>
      </c>
    </row>
    <row r="4417" spans="2:21" ht="17.25">
      <c r="B4417" s="156"/>
      <c r="C4417" s="156"/>
      <c r="D4417" s="157"/>
      <c r="E4417" s="155"/>
      <c r="F4417" s="151"/>
      <c r="G4417" s="152"/>
      <c r="H4417" s="153"/>
      <c r="I4417" s="154"/>
      <c r="J4417" s="154"/>
      <c r="K4417" s="30" t="str">
        <f>IF(H4417="","",IF($C$30="간이법","",FPR(H4417,I4417,J4417)))</f>
        <v/>
      </c>
      <c r="L4417" s="30" t="str">
        <f>IF(H4417="","",IF($C$30="상세법",FPV(H4417,K4417),IF(H4417="EI",4,IF(H4417="EO",5.2,IF(H4417="EQ",3.9,IF(H4417="ILF",7.5,IF(H4417="EIF",5.4)))))))</f>
        <v/>
      </c>
      <c r="M4417" s="30" t="str">
        <f t="shared" si="478"/>
        <v/>
      </c>
      <c r="N4417" s="134"/>
      <c r="O4417" s="29"/>
      <c r="P4417" s="37" t="str">
        <f t="shared" si="479"/>
        <v/>
      </c>
      <c r="Q4417" s="38" t="str">
        <f t="shared" si="480"/>
        <v/>
      </c>
      <c r="R4417" s="37" t="str">
        <f t="shared" si="481"/>
        <v/>
      </c>
      <c r="S4417" s="37" t="str">
        <f t="shared" si="482"/>
        <v/>
      </c>
      <c r="T4417" s="38" t="str">
        <f t="shared" si="483"/>
        <v/>
      </c>
      <c r="U4417" s="37" t="str">
        <f t="shared" si="484"/>
        <v/>
      </c>
    </row>
    <row r="4418" spans="2:21" ht="17.25">
      <c r="B4418" s="156"/>
      <c r="C4418" s="156"/>
      <c r="D4418" s="157"/>
      <c r="E4418" s="155"/>
      <c r="F4418" s="151"/>
      <c r="G4418" s="152"/>
      <c r="H4418" s="153"/>
      <c r="I4418" s="154"/>
      <c r="J4418" s="154"/>
      <c r="K4418" s="30" t="str">
        <f>IF(H4418="","",IF($C$30="간이법","",FPR(H4418,I4418,J4418)))</f>
        <v/>
      </c>
      <c r="L4418" s="30" t="str">
        <f>IF(H4418="","",IF($C$30="상세법",FPV(H4418,K4418),IF(H4418="EI",4,IF(H4418="EO",5.2,IF(H4418="EQ",3.9,IF(H4418="ILF",7.5,IF(H4418="EIF",5.4)))))))</f>
        <v/>
      </c>
      <c r="M4418" s="30" t="str">
        <f t="shared" si="478"/>
        <v/>
      </c>
      <c r="N4418" s="134"/>
      <c r="O4418" s="29"/>
      <c r="P4418" s="37" t="str">
        <f t="shared" si="479"/>
        <v/>
      </c>
      <c r="Q4418" s="38" t="str">
        <f t="shared" si="480"/>
        <v/>
      </c>
      <c r="R4418" s="37" t="str">
        <f t="shared" si="481"/>
        <v/>
      </c>
      <c r="S4418" s="37" t="str">
        <f t="shared" si="482"/>
        <v/>
      </c>
      <c r="T4418" s="38" t="str">
        <f t="shared" si="483"/>
        <v/>
      </c>
      <c r="U4418" s="37" t="str">
        <f t="shared" si="484"/>
        <v/>
      </c>
    </row>
    <row r="4419" spans="2:21" ht="17.25">
      <c r="B4419" s="156"/>
      <c r="C4419" s="156"/>
      <c r="D4419" s="157"/>
      <c r="E4419" s="155"/>
      <c r="F4419" s="151"/>
      <c r="G4419" s="152"/>
      <c r="H4419" s="153"/>
      <c r="I4419" s="154"/>
      <c r="J4419" s="154"/>
      <c r="K4419" s="30" t="str">
        <f>IF(H4419="","",IF($C$30="간이법","",FPR(H4419,I4419,J4419)))</f>
        <v/>
      </c>
      <c r="L4419" s="30" t="str">
        <f>IF(H4419="","",IF($C$30="상세법",FPV(H4419,K4419),IF(H4419="EI",4,IF(H4419="EO",5.2,IF(H4419="EQ",3.9,IF(H4419="ILF",7.5,IF(H4419="EIF",5.4)))))))</f>
        <v/>
      </c>
      <c r="M4419" s="30" t="str">
        <f t="shared" si="478"/>
        <v/>
      </c>
      <c r="N4419" s="134"/>
      <c r="O4419" s="29"/>
      <c r="P4419" s="37" t="str">
        <f t="shared" si="479"/>
        <v/>
      </c>
      <c r="Q4419" s="38" t="str">
        <f t="shared" si="480"/>
        <v/>
      </c>
      <c r="R4419" s="37" t="str">
        <f t="shared" si="481"/>
        <v/>
      </c>
      <c r="S4419" s="37" t="str">
        <f t="shared" si="482"/>
        <v/>
      </c>
      <c r="T4419" s="38" t="str">
        <f t="shared" si="483"/>
        <v/>
      </c>
      <c r="U4419" s="37" t="str">
        <f t="shared" si="484"/>
        <v/>
      </c>
    </row>
    <row r="4420" spans="2:21" ht="17.25">
      <c r="B4420" s="156"/>
      <c r="C4420" s="156"/>
      <c r="D4420" s="157"/>
      <c r="E4420" s="155"/>
      <c r="F4420" s="151"/>
      <c r="G4420" s="152"/>
      <c r="H4420" s="153"/>
      <c r="I4420" s="154"/>
      <c r="J4420" s="154"/>
      <c r="K4420" s="30" t="str">
        <f>IF(H4420="","",IF($C$30="간이법","",FPR(H4420,I4420,J4420)))</f>
        <v/>
      </c>
      <c r="L4420" s="30" t="str">
        <f>IF(H4420="","",IF($C$30="상세법",FPV(H4420,K4420),IF(H4420="EI",4,IF(H4420="EO",5.2,IF(H4420="EQ",3.9,IF(H4420="ILF",7.5,IF(H4420="EIF",5.4)))))))</f>
        <v/>
      </c>
      <c r="M4420" s="30" t="str">
        <f t="shared" si="478"/>
        <v/>
      </c>
      <c r="N4420" s="134"/>
      <c r="O4420" s="29"/>
      <c r="P4420" s="37" t="str">
        <f t="shared" si="479"/>
        <v/>
      </c>
      <c r="Q4420" s="38" t="str">
        <f t="shared" si="480"/>
        <v/>
      </c>
      <c r="R4420" s="37" t="str">
        <f t="shared" si="481"/>
        <v/>
      </c>
      <c r="S4420" s="37" t="str">
        <f t="shared" si="482"/>
        <v/>
      </c>
      <c r="T4420" s="38" t="str">
        <f t="shared" si="483"/>
        <v/>
      </c>
      <c r="U4420" s="37" t="str">
        <f t="shared" si="484"/>
        <v/>
      </c>
    </row>
    <row r="4421" spans="2:21" ht="17.25">
      <c r="B4421" s="156"/>
      <c r="C4421" s="156"/>
      <c r="D4421" s="157"/>
      <c r="E4421" s="155"/>
      <c r="F4421" s="151"/>
      <c r="G4421" s="152"/>
      <c r="H4421" s="153"/>
      <c r="I4421" s="154"/>
      <c r="J4421" s="154"/>
      <c r="K4421" s="30" t="str">
        <f>IF(H4421="","",IF($C$30="간이법","",FPR(H4421,I4421,J4421)))</f>
        <v/>
      </c>
      <c r="L4421" s="30" t="str">
        <f>IF(H4421="","",IF($C$30="상세법",FPV(H4421,K4421),IF(H4421="EI",4,IF(H4421="EO",5.2,IF(H4421="EQ",3.9,IF(H4421="ILF",7.5,IF(H4421="EIF",5.4)))))))</f>
        <v/>
      </c>
      <c r="M4421" s="30" t="str">
        <f t="shared" si="478"/>
        <v/>
      </c>
      <c r="N4421" s="134"/>
      <c r="O4421" s="29"/>
      <c r="P4421" s="37" t="str">
        <f t="shared" si="479"/>
        <v/>
      </c>
      <c r="Q4421" s="38" t="str">
        <f t="shared" si="480"/>
        <v/>
      </c>
      <c r="R4421" s="37" t="str">
        <f t="shared" si="481"/>
        <v/>
      </c>
      <c r="S4421" s="37" t="str">
        <f t="shared" si="482"/>
        <v/>
      </c>
      <c r="T4421" s="38" t="str">
        <f t="shared" si="483"/>
        <v/>
      </c>
      <c r="U4421" s="37" t="str">
        <f t="shared" si="484"/>
        <v/>
      </c>
    </row>
    <row r="4422" spans="2:21" ht="17.25">
      <c r="B4422" s="156"/>
      <c r="C4422" s="156"/>
      <c r="D4422" s="157"/>
      <c r="E4422" s="155"/>
      <c r="F4422" s="151"/>
      <c r="G4422" s="152"/>
      <c r="H4422" s="153"/>
      <c r="I4422" s="154"/>
      <c r="J4422" s="154"/>
      <c r="K4422" s="30" t="str">
        <f>IF(H4422="","",IF($C$30="간이법","",FPR(H4422,I4422,J4422)))</f>
        <v/>
      </c>
      <c r="L4422" s="30" t="str">
        <f>IF(H4422="","",IF($C$30="상세법",FPV(H4422,K4422),IF(H4422="EI",4,IF(H4422="EO",5.2,IF(H4422="EQ",3.9,IF(H4422="ILF",7.5,IF(H4422="EIF",5.4)))))))</f>
        <v/>
      </c>
      <c r="M4422" s="30" t="str">
        <f t="shared" si="478"/>
        <v/>
      </c>
      <c r="N4422" s="134"/>
      <c r="O4422" s="29"/>
      <c r="P4422" s="37" t="str">
        <f t="shared" si="479"/>
        <v/>
      </c>
      <c r="Q4422" s="38" t="str">
        <f t="shared" si="480"/>
        <v/>
      </c>
      <c r="R4422" s="37" t="str">
        <f t="shared" si="481"/>
        <v/>
      </c>
      <c r="S4422" s="37" t="str">
        <f t="shared" si="482"/>
        <v/>
      </c>
      <c r="T4422" s="38" t="str">
        <f t="shared" si="483"/>
        <v/>
      </c>
      <c r="U4422" s="37" t="str">
        <f t="shared" si="484"/>
        <v/>
      </c>
    </row>
    <row r="4423" spans="2:21" ht="17.25">
      <c r="B4423" s="156"/>
      <c r="C4423" s="156"/>
      <c r="D4423" s="157"/>
      <c r="E4423" s="155"/>
      <c r="F4423" s="151"/>
      <c r="G4423" s="152"/>
      <c r="H4423" s="153"/>
      <c r="I4423" s="154"/>
      <c r="J4423" s="154"/>
      <c r="K4423" s="30" t="str">
        <f>IF(H4423="","",IF($C$30="간이법","",FPR(H4423,I4423,J4423)))</f>
        <v/>
      </c>
      <c r="L4423" s="30" t="str">
        <f>IF(H4423="","",IF($C$30="상세법",FPV(H4423,K4423),IF(H4423="EI",4,IF(H4423="EO",5.2,IF(H4423="EQ",3.9,IF(H4423="ILF",7.5,IF(H4423="EIF",5.4)))))))</f>
        <v/>
      </c>
      <c r="M4423" s="30" t="str">
        <f t="shared" si="478"/>
        <v/>
      </c>
      <c r="N4423" s="134"/>
      <c r="O4423" s="29"/>
      <c r="P4423" s="37" t="str">
        <f t="shared" si="479"/>
        <v/>
      </c>
      <c r="Q4423" s="38" t="str">
        <f t="shared" si="480"/>
        <v/>
      </c>
      <c r="R4423" s="37" t="str">
        <f t="shared" si="481"/>
        <v/>
      </c>
      <c r="S4423" s="37" t="str">
        <f t="shared" si="482"/>
        <v/>
      </c>
      <c r="T4423" s="38" t="str">
        <f t="shared" si="483"/>
        <v/>
      </c>
      <c r="U4423" s="37" t="str">
        <f t="shared" si="484"/>
        <v/>
      </c>
    </row>
    <row r="4424" spans="2:21" ht="17.25">
      <c r="B4424" s="156"/>
      <c r="C4424" s="156"/>
      <c r="D4424" s="157"/>
      <c r="E4424" s="155"/>
      <c r="F4424" s="151"/>
      <c r="G4424" s="152"/>
      <c r="H4424" s="153"/>
      <c r="I4424" s="154"/>
      <c r="J4424" s="154"/>
      <c r="K4424" s="30" t="str">
        <f>IF(H4424="","",IF($C$30="간이법","",FPR(H4424,I4424,J4424)))</f>
        <v/>
      </c>
      <c r="L4424" s="30" t="str">
        <f>IF(H4424="","",IF($C$30="상세법",FPV(H4424,K4424),IF(H4424="EI",4,IF(H4424="EO",5.2,IF(H4424="EQ",3.9,IF(H4424="ILF",7.5,IF(H4424="EIF",5.4)))))))</f>
        <v/>
      </c>
      <c r="M4424" s="30" t="str">
        <f t="shared" si="478"/>
        <v/>
      </c>
      <c r="N4424" s="134"/>
      <c r="O4424" s="29"/>
      <c r="P4424" s="37" t="str">
        <f t="shared" si="479"/>
        <v/>
      </c>
      <c r="Q4424" s="38" t="str">
        <f t="shared" si="480"/>
        <v/>
      </c>
      <c r="R4424" s="37" t="str">
        <f t="shared" si="481"/>
        <v/>
      </c>
      <c r="S4424" s="37" t="str">
        <f t="shared" si="482"/>
        <v/>
      </c>
      <c r="T4424" s="38" t="str">
        <f t="shared" si="483"/>
        <v/>
      </c>
      <c r="U4424" s="37" t="str">
        <f t="shared" si="484"/>
        <v/>
      </c>
    </row>
    <row r="4425" spans="2:21" ht="17.25">
      <c r="B4425" s="156"/>
      <c r="C4425" s="156"/>
      <c r="D4425" s="157"/>
      <c r="E4425" s="155"/>
      <c r="F4425" s="151"/>
      <c r="G4425" s="152"/>
      <c r="H4425" s="153"/>
      <c r="I4425" s="154"/>
      <c r="J4425" s="154"/>
      <c r="K4425" s="30" t="str">
        <f>IF(H4425="","",IF($C$30="간이법","",FPR(H4425,I4425,J4425)))</f>
        <v/>
      </c>
      <c r="L4425" s="30" t="str">
        <f>IF(H4425="","",IF($C$30="상세법",FPV(H4425,K4425),IF(H4425="EI",4,IF(H4425="EO",5.2,IF(H4425="EQ",3.9,IF(H4425="ILF",7.5,IF(H4425="EIF",5.4)))))))</f>
        <v/>
      </c>
      <c r="M4425" s="30" t="str">
        <f t="shared" si="478"/>
        <v/>
      </c>
      <c r="N4425" s="134"/>
      <c r="O4425" s="29"/>
      <c r="P4425" s="37" t="str">
        <f t="shared" si="479"/>
        <v/>
      </c>
      <c r="Q4425" s="38" t="str">
        <f t="shared" si="480"/>
        <v/>
      </c>
      <c r="R4425" s="37" t="str">
        <f t="shared" si="481"/>
        <v/>
      </c>
      <c r="S4425" s="37" t="str">
        <f t="shared" si="482"/>
        <v/>
      </c>
      <c r="T4425" s="38" t="str">
        <f t="shared" si="483"/>
        <v/>
      </c>
      <c r="U4425" s="37" t="str">
        <f t="shared" si="484"/>
        <v/>
      </c>
    </row>
    <row r="4426" spans="2:21" ht="17.25">
      <c r="B4426" s="156"/>
      <c r="C4426" s="156"/>
      <c r="D4426" s="157"/>
      <c r="E4426" s="155"/>
      <c r="F4426" s="151"/>
      <c r="G4426" s="152"/>
      <c r="H4426" s="153"/>
      <c r="I4426" s="154"/>
      <c r="J4426" s="154"/>
      <c r="K4426" s="30" t="str">
        <f>IF(H4426="","",IF($C$30="간이법","",FPR(H4426,I4426,J4426)))</f>
        <v/>
      </c>
      <c r="L4426" s="30" t="str">
        <f>IF(H4426="","",IF($C$30="상세법",FPV(H4426,K4426),IF(H4426="EI",4,IF(H4426="EO",5.2,IF(H4426="EQ",3.9,IF(H4426="ILF",7.5,IF(H4426="EIF",5.4)))))))</f>
        <v/>
      </c>
      <c r="M4426" s="30" t="str">
        <f t="shared" si="478"/>
        <v/>
      </c>
      <c r="N4426" s="134"/>
      <c r="O4426" s="29"/>
      <c r="P4426" s="37" t="str">
        <f t="shared" si="479"/>
        <v/>
      </c>
      <c r="Q4426" s="38" t="str">
        <f t="shared" si="480"/>
        <v/>
      </c>
      <c r="R4426" s="37" t="str">
        <f t="shared" si="481"/>
        <v/>
      </c>
      <c r="S4426" s="37" t="str">
        <f t="shared" si="482"/>
        <v/>
      </c>
      <c r="T4426" s="38" t="str">
        <f t="shared" si="483"/>
        <v/>
      </c>
      <c r="U4426" s="37" t="str">
        <f t="shared" si="484"/>
        <v/>
      </c>
    </row>
    <row r="4427" spans="2:21" ht="17.25">
      <c r="B4427" s="156"/>
      <c r="C4427" s="156"/>
      <c r="D4427" s="157"/>
      <c r="E4427" s="155"/>
      <c r="F4427" s="151"/>
      <c r="G4427" s="152"/>
      <c r="H4427" s="153"/>
      <c r="I4427" s="154"/>
      <c r="J4427" s="154"/>
      <c r="K4427" s="30" t="str">
        <f>IF(H4427="","",IF($C$30="간이법","",FPR(H4427,I4427,J4427)))</f>
        <v/>
      </c>
      <c r="L4427" s="30" t="str">
        <f>IF(H4427="","",IF($C$30="상세법",FPV(H4427,K4427),IF(H4427="EI",4,IF(H4427="EO",5.2,IF(H4427="EQ",3.9,IF(H4427="ILF",7.5,IF(H4427="EIF",5.4)))))))</f>
        <v/>
      </c>
      <c r="M4427" s="30" t="str">
        <f t="shared" si="478"/>
        <v/>
      </c>
      <c r="N4427" s="134"/>
      <c r="O4427" s="29"/>
      <c r="P4427" s="37" t="str">
        <f t="shared" si="479"/>
        <v/>
      </c>
      <c r="Q4427" s="38" t="str">
        <f t="shared" si="480"/>
        <v/>
      </c>
      <c r="R4427" s="37" t="str">
        <f t="shared" si="481"/>
        <v/>
      </c>
      <c r="S4427" s="37" t="str">
        <f t="shared" si="482"/>
        <v/>
      </c>
      <c r="T4427" s="38" t="str">
        <f t="shared" si="483"/>
        <v/>
      </c>
      <c r="U4427" s="37" t="str">
        <f t="shared" si="484"/>
        <v/>
      </c>
    </row>
    <row r="4428" spans="2:21" ht="17.25">
      <c r="B4428" s="156"/>
      <c r="C4428" s="156"/>
      <c r="D4428" s="157"/>
      <c r="E4428" s="155"/>
      <c r="F4428" s="151"/>
      <c r="G4428" s="152"/>
      <c r="H4428" s="153"/>
      <c r="I4428" s="154"/>
      <c r="J4428" s="154"/>
      <c r="K4428" s="30" t="str">
        <f>IF(H4428="","",IF($C$30="간이법","",FPR(H4428,I4428,J4428)))</f>
        <v/>
      </c>
      <c r="L4428" s="30" t="str">
        <f>IF(H4428="","",IF($C$30="상세법",FPV(H4428,K4428),IF(H4428="EI",4,IF(H4428="EO",5.2,IF(H4428="EQ",3.9,IF(H4428="ILF",7.5,IF(H4428="EIF",5.4)))))))</f>
        <v/>
      </c>
      <c r="M4428" s="30" t="str">
        <f t="shared" si="478"/>
        <v/>
      </c>
      <c r="N4428" s="134"/>
      <c r="O4428" s="29"/>
      <c r="P4428" s="37" t="str">
        <f t="shared" si="479"/>
        <v/>
      </c>
      <c r="Q4428" s="38" t="str">
        <f t="shared" si="480"/>
        <v/>
      </c>
      <c r="R4428" s="37" t="str">
        <f t="shared" si="481"/>
        <v/>
      </c>
      <c r="S4428" s="37" t="str">
        <f t="shared" si="482"/>
        <v/>
      </c>
      <c r="T4428" s="38" t="str">
        <f t="shared" si="483"/>
        <v/>
      </c>
      <c r="U4428" s="37" t="str">
        <f t="shared" si="484"/>
        <v/>
      </c>
    </row>
    <row r="4429" spans="2:21" ht="17.25">
      <c r="B4429" s="156"/>
      <c r="C4429" s="156"/>
      <c r="D4429" s="157"/>
      <c r="E4429" s="155"/>
      <c r="F4429" s="151"/>
      <c r="G4429" s="152"/>
      <c r="H4429" s="153"/>
      <c r="I4429" s="154"/>
      <c r="J4429" s="154"/>
      <c r="K4429" s="30" t="str">
        <f>IF(H4429="","",IF($C$30="간이법","",FPR(H4429,I4429,J4429)))</f>
        <v/>
      </c>
      <c r="L4429" s="30" t="str">
        <f>IF(H4429="","",IF($C$30="상세법",FPV(H4429,K4429),IF(H4429="EI",4,IF(H4429="EO",5.2,IF(H4429="EQ",3.9,IF(H4429="ILF",7.5,IF(H4429="EIF",5.4)))))))</f>
        <v/>
      </c>
      <c r="M4429" s="30" t="str">
        <f t="shared" si="478"/>
        <v/>
      </c>
      <c r="N4429" s="134"/>
      <c r="O4429" s="29"/>
      <c r="P4429" s="37" t="str">
        <f t="shared" si="479"/>
        <v/>
      </c>
      <c r="Q4429" s="38" t="str">
        <f t="shared" si="480"/>
        <v/>
      </c>
      <c r="R4429" s="37" t="str">
        <f t="shared" si="481"/>
        <v/>
      </c>
      <c r="S4429" s="37" t="str">
        <f t="shared" si="482"/>
        <v/>
      </c>
      <c r="T4429" s="38" t="str">
        <f t="shared" si="483"/>
        <v/>
      </c>
      <c r="U4429" s="37" t="str">
        <f t="shared" si="484"/>
        <v/>
      </c>
    </row>
    <row r="4430" spans="2:21" ht="17.25">
      <c r="B4430" s="156"/>
      <c r="C4430" s="156"/>
      <c r="D4430" s="157"/>
      <c r="E4430" s="155"/>
      <c r="F4430" s="151"/>
      <c r="G4430" s="152"/>
      <c r="H4430" s="153"/>
      <c r="I4430" s="154"/>
      <c r="J4430" s="154"/>
      <c r="K4430" s="30" t="str">
        <f>IF(H4430="","",IF($C$30="간이법","",FPR(H4430,I4430,J4430)))</f>
        <v/>
      </c>
      <c r="L4430" s="30" t="str">
        <f>IF(H4430="","",IF($C$30="상세법",FPV(H4430,K4430),IF(H4430="EI",4,IF(H4430="EO",5.2,IF(H4430="EQ",3.9,IF(H4430="ILF",7.5,IF(H4430="EIF",5.4)))))))</f>
        <v/>
      </c>
      <c r="M4430" s="30" t="str">
        <f t="shared" si="478"/>
        <v/>
      </c>
      <c r="N4430" s="134"/>
      <c r="O4430" s="29"/>
      <c r="P4430" s="37" t="str">
        <f t="shared" si="479"/>
        <v/>
      </c>
      <c r="Q4430" s="38" t="str">
        <f t="shared" si="480"/>
        <v/>
      </c>
      <c r="R4430" s="37" t="str">
        <f t="shared" si="481"/>
        <v/>
      </c>
      <c r="S4430" s="37" t="str">
        <f t="shared" si="482"/>
        <v/>
      </c>
      <c r="T4430" s="38" t="str">
        <f t="shared" si="483"/>
        <v/>
      </c>
      <c r="U4430" s="37" t="str">
        <f t="shared" si="484"/>
        <v/>
      </c>
    </row>
    <row r="4431" spans="2:21" ht="17.25">
      <c r="B4431" s="156"/>
      <c r="C4431" s="156"/>
      <c r="D4431" s="157"/>
      <c r="E4431" s="155"/>
      <c r="F4431" s="151"/>
      <c r="G4431" s="152"/>
      <c r="H4431" s="153"/>
      <c r="I4431" s="154"/>
      <c r="J4431" s="154"/>
      <c r="K4431" s="30" t="str">
        <f>IF(H4431="","",IF($C$30="간이법","",FPR(H4431,I4431,J4431)))</f>
        <v/>
      </c>
      <c r="L4431" s="30" t="str">
        <f>IF(H4431="","",IF($C$30="상세법",FPV(H4431,K4431),IF(H4431="EI",4,IF(H4431="EO",5.2,IF(H4431="EQ",3.9,IF(H4431="ILF",7.5,IF(H4431="EIF",5.4)))))))</f>
        <v/>
      </c>
      <c r="M4431" s="30" t="str">
        <f t="shared" si="478"/>
        <v/>
      </c>
      <c r="N4431" s="134"/>
      <c r="O4431" s="29"/>
      <c r="P4431" s="37" t="str">
        <f t="shared" si="479"/>
        <v/>
      </c>
      <c r="Q4431" s="38" t="str">
        <f t="shared" si="480"/>
        <v/>
      </c>
      <c r="R4431" s="37" t="str">
        <f t="shared" si="481"/>
        <v/>
      </c>
      <c r="S4431" s="37" t="str">
        <f t="shared" si="482"/>
        <v/>
      </c>
      <c r="T4431" s="38" t="str">
        <f t="shared" si="483"/>
        <v/>
      </c>
      <c r="U4431" s="37" t="str">
        <f t="shared" si="484"/>
        <v/>
      </c>
    </row>
    <row r="4432" spans="2:21" ht="17.25">
      <c r="B4432" s="156"/>
      <c r="C4432" s="156"/>
      <c r="D4432" s="157"/>
      <c r="E4432" s="155"/>
      <c r="F4432" s="151"/>
      <c r="G4432" s="152"/>
      <c r="H4432" s="153"/>
      <c r="I4432" s="154"/>
      <c r="J4432" s="154"/>
      <c r="K4432" s="30" t="str">
        <f>IF(H4432="","",IF($C$30="간이법","",FPR(H4432,I4432,J4432)))</f>
        <v/>
      </c>
      <c r="L4432" s="30" t="str">
        <f>IF(H4432="","",IF($C$30="상세법",FPV(H4432,K4432),IF(H4432="EI",4,IF(H4432="EO",5.2,IF(H4432="EQ",3.9,IF(H4432="ILF",7.5,IF(H4432="EIF",5.4)))))))</f>
        <v/>
      </c>
      <c r="M4432" s="30" t="str">
        <f t="shared" si="478"/>
        <v/>
      </c>
      <c r="N4432" s="134"/>
      <c r="O4432" s="29"/>
      <c r="P4432" s="37" t="str">
        <f t="shared" si="479"/>
        <v/>
      </c>
      <c r="Q4432" s="38" t="str">
        <f t="shared" si="480"/>
        <v/>
      </c>
      <c r="R4432" s="37" t="str">
        <f t="shared" si="481"/>
        <v/>
      </c>
      <c r="S4432" s="37" t="str">
        <f t="shared" si="482"/>
        <v/>
      </c>
      <c r="T4432" s="38" t="str">
        <f t="shared" si="483"/>
        <v/>
      </c>
      <c r="U4432" s="37" t="str">
        <f t="shared" si="484"/>
        <v/>
      </c>
    </row>
    <row r="4433" spans="2:21" ht="17.25">
      <c r="B4433" s="156"/>
      <c r="C4433" s="156"/>
      <c r="D4433" s="157"/>
      <c r="E4433" s="155"/>
      <c r="F4433" s="151"/>
      <c r="G4433" s="152"/>
      <c r="H4433" s="153"/>
      <c r="I4433" s="154"/>
      <c r="J4433" s="154"/>
      <c r="K4433" s="30" t="str">
        <f>IF(H4433="","",IF($C$30="간이법","",FPR(H4433,I4433,J4433)))</f>
        <v/>
      </c>
      <c r="L4433" s="30" t="str">
        <f>IF(H4433="","",IF($C$30="상세법",FPV(H4433,K4433),IF(H4433="EI",4,IF(H4433="EO",5.2,IF(H4433="EQ",3.9,IF(H4433="ILF",7.5,IF(H4433="EIF",5.4)))))))</f>
        <v/>
      </c>
      <c r="M4433" s="30" t="str">
        <f t="shared" si="478"/>
        <v/>
      </c>
      <c r="N4433" s="134"/>
      <c r="O4433" s="29"/>
      <c r="P4433" s="37" t="str">
        <f t="shared" si="479"/>
        <v/>
      </c>
      <c r="Q4433" s="38" t="str">
        <f t="shared" si="480"/>
        <v/>
      </c>
      <c r="R4433" s="37" t="str">
        <f t="shared" si="481"/>
        <v/>
      </c>
      <c r="S4433" s="37" t="str">
        <f t="shared" si="482"/>
        <v/>
      </c>
      <c r="T4433" s="38" t="str">
        <f t="shared" si="483"/>
        <v/>
      </c>
      <c r="U4433" s="37" t="str">
        <f t="shared" si="484"/>
        <v/>
      </c>
    </row>
    <row r="4434" spans="2:21" ht="17.25">
      <c r="B4434" s="156"/>
      <c r="C4434" s="156"/>
      <c r="D4434" s="157"/>
      <c r="E4434" s="155"/>
      <c r="F4434" s="151"/>
      <c r="G4434" s="152"/>
      <c r="H4434" s="153"/>
      <c r="I4434" s="154"/>
      <c r="J4434" s="154"/>
      <c r="K4434" s="30" t="str">
        <f>IF(H4434="","",IF($C$30="간이법","",FPR(H4434,I4434,J4434)))</f>
        <v/>
      </c>
      <c r="L4434" s="30" t="str">
        <f>IF(H4434="","",IF($C$30="상세법",FPV(H4434,K4434),IF(H4434="EI",4,IF(H4434="EO",5.2,IF(H4434="EQ",3.9,IF(H4434="ILF",7.5,IF(H4434="EIF",5.4)))))))</f>
        <v/>
      </c>
      <c r="M4434" s="30" t="str">
        <f t="shared" si="478"/>
        <v/>
      </c>
      <c r="N4434" s="134"/>
      <c r="O4434" s="29"/>
      <c r="P4434" s="37" t="str">
        <f t="shared" si="479"/>
        <v/>
      </c>
      <c r="Q4434" s="38" t="str">
        <f t="shared" si="480"/>
        <v/>
      </c>
      <c r="R4434" s="37" t="str">
        <f t="shared" si="481"/>
        <v/>
      </c>
      <c r="S4434" s="37" t="str">
        <f t="shared" si="482"/>
        <v/>
      </c>
      <c r="T4434" s="38" t="str">
        <f t="shared" si="483"/>
        <v/>
      </c>
      <c r="U4434" s="37" t="str">
        <f t="shared" si="484"/>
        <v/>
      </c>
    </row>
    <row r="4435" spans="2:21" ht="17.25">
      <c r="B4435" s="156"/>
      <c r="C4435" s="156"/>
      <c r="D4435" s="157"/>
      <c r="E4435" s="155"/>
      <c r="F4435" s="151"/>
      <c r="G4435" s="152"/>
      <c r="H4435" s="153"/>
      <c r="I4435" s="154"/>
      <c r="J4435" s="154"/>
      <c r="K4435" s="30" t="str">
        <f>IF(H4435="","",IF($C$30="간이법","",FPR(H4435,I4435,J4435)))</f>
        <v/>
      </c>
      <c r="L4435" s="30" t="str">
        <f>IF(H4435="","",IF($C$30="상세법",FPV(H4435,K4435),IF(H4435="EI",4,IF(H4435="EO",5.2,IF(H4435="EQ",3.9,IF(H4435="ILF",7.5,IF(H4435="EIF",5.4)))))))</f>
        <v/>
      </c>
      <c r="M4435" s="30" t="str">
        <f t="shared" si="478"/>
        <v/>
      </c>
      <c r="N4435" s="134"/>
      <c r="O4435" s="29"/>
      <c r="P4435" s="37" t="str">
        <f t="shared" si="479"/>
        <v/>
      </c>
      <c r="Q4435" s="38" t="str">
        <f t="shared" si="480"/>
        <v/>
      </c>
      <c r="R4435" s="37" t="str">
        <f t="shared" si="481"/>
        <v/>
      </c>
      <c r="S4435" s="37" t="str">
        <f t="shared" si="482"/>
        <v/>
      </c>
      <c r="T4435" s="38" t="str">
        <f t="shared" si="483"/>
        <v/>
      </c>
      <c r="U4435" s="37" t="str">
        <f t="shared" si="484"/>
        <v/>
      </c>
    </row>
    <row r="4436" spans="2:21" ht="17.25">
      <c r="B4436" s="156"/>
      <c r="C4436" s="156"/>
      <c r="D4436" s="157"/>
      <c r="E4436" s="155"/>
      <c r="F4436" s="151"/>
      <c r="G4436" s="152"/>
      <c r="H4436" s="153"/>
      <c r="I4436" s="154"/>
      <c r="J4436" s="154"/>
      <c r="K4436" s="30" t="str">
        <f>IF(H4436="","",IF($C$30="간이법","",FPR(H4436,I4436,J4436)))</f>
        <v/>
      </c>
      <c r="L4436" s="30" t="str">
        <f>IF(H4436="","",IF($C$30="상세법",FPV(H4436,K4436),IF(H4436="EI",4,IF(H4436="EO",5.2,IF(H4436="EQ",3.9,IF(H4436="ILF",7.5,IF(H4436="EIF",5.4)))))))</f>
        <v/>
      </c>
      <c r="M4436" s="30" t="str">
        <f t="shared" si="478"/>
        <v/>
      </c>
      <c r="N4436" s="134"/>
      <c r="O4436" s="29"/>
      <c r="P4436" s="37" t="str">
        <f t="shared" si="479"/>
        <v/>
      </c>
      <c r="Q4436" s="38" t="str">
        <f t="shared" si="480"/>
        <v/>
      </c>
      <c r="R4436" s="37" t="str">
        <f t="shared" si="481"/>
        <v/>
      </c>
      <c r="S4436" s="37" t="str">
        <f t="shared" si="482"/>
        <v/>
      </c>
      <c r="T4436" s="38" t="str">
        <f t="shared" si="483"/>
        <v/>
      </c>
      <c r="U4436" s="37" t="str">
        <f t="shared" si="484"/>
        <v/>
      </c>
    </row>
    <row r="4437" spans="2:21" ht="17.25">
      <c r="B4437" s="156"/>
      <c r="C4437" s="156"/>
      <c r="D4437" s="157"/>
      <c r="E4437" s="155"/>
      <c r="F4437" s="151"/>
      <c r="G4437" s="152"/>
      <c r="H4437" s="153"/>
      <c r="I4437" s="154"/>
      <c r="J4437" s="154"/>
      <c r="K4437" s="30" t="str">
        <f>IF(H4437="","",IF($C$30="간이법","",FPR(H4437,I4437,J4437)))</f>
        <v/>
      </c>
      <c r="L4437" s="30" t="str">
        <f>IF(H4437="","",IF($C$30="상세법",FPV(H4437,K4437),IF(H4437="EI",4,IF(H4437="EO",5.2,IF(H4437="EQ",3.9,IF(H4437="ILF",7.5,IF(H4437="EIF",5.4)))))))</f>
        <v/>
      </c>
      <c r="M4437" s="30" t="str">
        <f t="shared" si="478"/>
        <v/>
      </c>
      <c r="N4437" s="134"/>
      <c r="O4437" s="29"/>
      <c r="P4437" s="37" t="str">
        <f t="shared" si="479"/>
        <v/>
      </c>
      <c r="Q4437" s="38" t="str">
        <f t="shared" si="480"/>
        <v/>
      </c>
      <c r="R4437" s="37" t="str">
        <f t="shared" si="481"/>
        <v/>
      </c>
      <c r="S4437" s="37" t="str">
        <f t="shared" si="482"/>
        <v/>
      </c>
      <c r="T4437" s="38" t="str">
        <f t="shared" si="483"/>
        <v/>
      </c>
      <c r="U4437" s="37" t="str">
        <f t="shared" si="484"/>
        <v/>
      </c>
    </row>
    <row r="4438" spans="2:21" ht="17.25">
      <c r="B4438" s="156"/>
      <c r="C4438" s="156"/>
      <c r="D4438" s="157"/>
      <c r="E4438" s="155"/>
      <c r="F4438" s="151"/>
      <c r="G4438" s="152"/>
      <c r="H4438" s="153"/>
      <c r="I4438" s="154"/>
      <c r="J4438" s="154"/>
      <c r="K4438" s="30" t="str">
        <f>IF(H4438="","",IF($C$30="간이법","",FPR(H4438,I4438,J4438)))</f>
        <v/>
      </c>
      <c r="L4438" s="30" t="str">
        <f>IF(H4438="","",IF($C$30="상세법",FPV(H4438,K4438),IF(H4438="EI",4,IF(H4438="EO",5.2,IF(H4438="EQ",3.9,IF(H4438="ILF",7.5,IF(H4438="EIF",5.4)))))))</f>
        <v/>
      </c>
      <c r="M4438" s="30" t="str">
        <f t="shared" si="478"/>
        <v/>
      </c>
      <c r="N4438" s="134"/>
      <c r="O4438" s="29"/>
      <c r="P4438" s="37" t="str">
        <f t="shared" si="479"/>
        <v/>
      </c>
      <c r="Q4438" s="38" t="str">
        <f t="shared" si="480"/>
        <v/>
      </c>
      <c r="R4438" s="37" t="str">
        <f t="shared" si="481"/>
        <v/>
      </c>
      <c r="S4438" s="37" t="str">
        <f t="shared" si="482"/>
        <v/>
      </c>
      <c r="T4438" s="38" t="str">
        <f t="shared" si="483"/>
        <v/>
      </c>
      <c r="U4438" s="37" t="str">
        <f t="shared" si="484"/>
        <v/>
      </c>
    </row>
    <row r="4439" spans="2:21" ht="17.25">
      <c r="B4439" s="156"/>
      <c r="C4439" s="156"/>
      <c r="D4439" s="157"/>
      <c r="E4439" s="155"/>
      <c r="F4439" s="151"/>
      <c r="G4439" s="152"/>
      <c r="H4439" s="153"/>
      <c r="I4439" s="154"/>
      <c r="J4439" s="154"/>
      <c r="K4439" s="30" t="str">
        <f>IF(H4439="","",IF($C$30="간이법","",FPR(H4439,I4439,J4439)))</f>
        <v/>
      </c>
      <c r="L4439" s="30" t="str">
        <f>IF(H4439="","",IF($C$30="상세법",FPV(H4439,K4439),IF(H4439="EI",4,IF(H4439="EO",5.2,IF(H4439="EQ",3.9,IF(H4439="ILF",7.5,IF(H4439="EIF",5.4)))))))</f>
        <v/>
      </c>
      <c r="M4439" s="30" t="str">
        <f t="shared" si="478"/>
        <v/>
      </c>
      <c r="N4439" s="134"/>
      <c r="O4439" s="29"/>
      <c r="P4439" s="37" t="str">
        <f t="shared" si="479"/>
        <v/>
      </c>
      <c r="Q4439" s="38" t="str">
        <f t="shared" si="480"/>
        <v/>
      </c>
      <c r="R4439" s="37" t="str">
        <f t="shared" si="481"/>
        <v/>
      </c>
      <c r="S4439" s="37" t="str">
        <f t="shared" si="482"/>
        <v/>
      </c>
      <c r="T4439" s="38" t="str">
        <f t="shared" si="483"/>
        <v/>
      </c>
      <c r="U4439" s="37" t="str">
        <f t="shared" si="484"/>
        <v/>
      </c>
    </row>
    <row r="4440" spans="2:21" ht="17.25">
      <c r="B4440" s="156"/>
      <c r="C4440" s="156"/>
      <c r="D4440" s="157"/>
      <c r="E4440" s="155"/>
      <c r="F4440" s="151"/>
      <c r="G4440" s="152"/>
      <c r="H4440" s="153"/>
      <c r="I4440" s="154"/>
      <c r="J4440" s="154"/>
      <c r="K4440" s="30" t="str">
        <f>IF(H4440="","",IF($C$30="간이법","",FPR(H4440,I4440,J4440)))</f>
        <v/>
      </c>
      <c r="L4440" s="30" t="str">
        <f>IF(H4440="","",IF($C$30="상세법",FPV(H4440,K4440),IF(H4440="EI",4,IF(H4440="EO",5.2,IF(H4440="EQ",3.9,IF(H4440="ILF",7.5,IF(H4440="EIF",5.4)))))))</f>
        <v/>
      </c>
      <c r="M4440" s="30" t="str">
        <f t="shared" si="478"/>
        <v/>
      </c>
      <c r="N4440" s="134"/>
      <c r="O4440" s="29"/>
      <c r="P4440" s="37" t="str">
        <f t="shared" si="479"/>
        <v/>
      </c>
      <c r="Q4440" s="38" t="str">
        <f t="shared" si="480"/>
        <v/>
      </c>
      <c r="R4440" s="37" t="str">
        <f t="shared" si="481"/>
        <v/>
      </c>
      <c r="S4440" s="37" t="str">
        <f t="shared" si="482"/>
        <v/>
      </c>
      <c r="T4440" s="38" t="str">
        <f t="shared" si="483"/>
        <v/>
      </c>
      <c r="U4440" s="37" t="str">
        <f t="shared" si="484"/>
        <v/>
      </c>
    </row>
    <row r="4441" spans="2:21" ht="17.25">
      <c r="B4441" s="156"/>
      <c r="C4441" s="156"/>
      <c r="D4441" s="157"/>
      <c r="E4441" s="155"/>
      <c r="F4441" s="151"/>
      <c r="G4441" s="152"/>
      <c r="H4441" s="153"/>
      <c r="I4441" s="154"/>
      <c r="J4441" s="154"/>
      <c r="K4441" s="30" t="str">
        <f>IF(H4441="","",IF($C$30="간이법","",FPR(H4441,I4441,J4441)))</f>
        <v/>
      </c>
      <c r="L4441" s="30" t="str">
        <f>IF(H4441="","",IF($C$30="상세법",FPV(H4441,K4441),IF(H4441="EI",4,IF(H4441="EO",5.2,IF(H4441="EQ",3.9,IF(H4441="ILF",7.5,IF(H4441="EIF",5.4)))))))</f>
        <v/>
      </c>
      <c r="M4441" s="30" t="str">
        <f t="shared" si="478"/>
        <v/>
      </c>
      <c r="N4441" s="134"/>
      <c r="O4441" s="29"/>
      <c r="P4441" s="37" t="str">
        <f t="shared" si="479"/>
        <v/>
      </c>
      <c r="Q4441" s="38" t="str">
        <f t="shared" si="480"/>
        <v/>
      </c>
      <c r="R4441" s="37" t="str">
        <f t="shared" si="481"/>
        <v/>
      </c>
      <c r="S4441" s="37" t="str">
        <f t="shared" si="482"/>
        <v/>
      </c>
      <c r="T4441" s="38" t="str">
        <f t="shared" si="483"/>
        <v/>
      </c>
      <c r="U4441" s="37" t="str">
        <f t="shared" si="484"/>
        <v/>
      </c>
    </row>
    <row r="4442" spans="2:21" ht="17.25">
      <c r="B4442" s="156"/>
      <c r="C4442" s="156"/>
      <c r="D4442" s="157"/>
      <c r="E4442" s="155"/>
      <c r="F4442" s="151"/>
      <c r="G4442" s="152"/>
      <c r="H4442" s="153"/>
      <c r="I4442" s="154"/>
      <c r="J4442" s="154"/>
      <c r="K4442" s="30" t="str">
        <f>IF(H4442="","",IF($C$30="간이법","",FPR(H4442,I4442,J4442)))</f>
        <v/>
      </c>
      <c r="L4442" s="30" t="str">
        <f>IF(H4442="","",IF($C$30="상세법",FPV(H4442,K4442),IF(H4442="EI",4,IF(H4442="EO",5.2,IF(H4442="EQ",3.9,IF(H4442="ILF",7.5,IF(H4442="EIF",5.4)))))))</f>
        <v/>
      </c>
      <c r="M4442" s="30" t="str">
        <f t="shared" si="478"/>
        <v/>
      </c>
      <c r="N4442" s="134"/>
      <c r="O4442" s="29"/>
      <c r="P4442" s="37" t="str">
        <f t="shared" si="479"/>
        <v/>
      </c>
      <c r="Q4442" s="38" t="str">
        <f t="shared" si="480"/>
        <v/>
      </c>
      <c r="R4442" s="37" t="str">
        <f t="shared" si="481"/>
        <v/>
      </c>
      <c r="S4442" s="37" t="str">
        <f t="shared" si="482"/>
        <v/>
      </c>
      <c r="T4442" s="38" t="str">
        <f t="shared" si="483"/>
        <v/>
      </c>
      <c r="U4442" s="37" t="str">
        <f t="shared" si="484"/>
        <v/>
      </c>
    </row>
    <row r="4443" spans="2:21" ht="17.25">
      <c r="B4443" s="156"/>
      <c r="C4443" s="156"/>
      <c r="D4443" s="157"/>
      <c r="E4443" s="155"/>
      <c r="F4443" s="151"/>
      <c r="G4443" s="152"/>
      <c r="H4443" s="153"/>
      <c r="I4443" s="154"/>
      <c r="J4443" s="154"/>
      <c r="K4443" s="30" t="str">
        <f>IF(H4443="","",IF($C$30="간이법","",FPR(H4443,I4443,J4443)))</f>
        <v/>
      </c>
      <c r="L4443" s="30" t="str">
        <f>IF(H4443="","",IF($C$30="상세법",FPV(H4443,K4443),IF(H4443="EI",4,IF(H4443="EO",5.2,IF(H4443="EQ",3.9,IF(H4443="ILF",7.5,IF(H4443="EIF",5.4)))))))</f>
        <v/>
      </c>
      <c r="M4443" s="30" t="str">
        <f t="shared" si="478"/>
        <v/>
      </c>
      <c r="N4443" s="134"/>
      <c r="O4443" s="29"/>
      <c r="P4443" s="37" t="str">
        <f t="shared" si="479"/>
        <v/>
      </c>
      <c r="Q4443" s="38" t="str">
        <f t="shared" si="480"/>
        <v/>
      </c>
      <c r="R4443" s="37" t="str">
        <f t="shared" si="481"/>
        <v/>
      </c>
      <c r="S4443" s="37" t="str">
        <f t="shared" si="482"/>
        <v/>
      </c>
      <c r="T4443" s="38" t="str">
        <f t="shared" si="483"/>
        <v/>
      </c>
      <c r="U4443" s="37" t="str">
        <f t="shared" si="484"/>
        <v/>
      </c>
    </row>
    <row r="4444" spans="2:21" ht="17.25">
      <c r="B4444" s="156"/>
      <c r="C4444" s="156"/>
      <c r="D4444" s="157"/>
      <c r="E4444" s="155"/>
      <c r="F4444" s="151"/>
      <c r="G4444" s="152"/>
      <c r="H4444" s="153"/>
      <c r="I4444" s="154"/>
      <c r="J4444" s="154"/>
      <c r="K4444" s="30" t="str">
        <f>IF(H4444="","",IF($C$30="간이법","",FPR(H4444,I4444,J4444)))</f>
        <v/>
      </c>
      <c r="L4444" s="30" t="str">
        <f>IF(H4444="","",IF($C$30="상세법",FPV(H4444,K4444),IF(H4444="EI",4,IF(H4444="EO",5.2,IF(H4444="EQ",3.9,IF(H4444="ILF",7.5,IF(H4444="EIF",5.4)))))))</f>
        <v/>
      </c>
      <c r="M4444" s="30" t="str">
        <f t="shared" si="478"/>
        <v/>
      </c>
      <c r="N4444" s="134"/>
      <c r="O4444" s="29"/>
      <c r="P4444" s="37" t="str">
        <f t="shared" si="479"/>
        <v/>
      </c>
      <c r="Q4444" s="38" t="str">
        <f t="shared" si="480"/>
        <v/>
      </c>
      <c r="R4444" s="37" t="str">
        <f t="shared" si="481"/>
        <v/>
      </c>
      <c r="S4444" s="37" t="str">
        <f t="shared" si="482"/>
        <v/>
      </c>
      <c r="T4444" s="38" t="str">
        <f t="shared" si="483"/>
        <v/>
      </c>
      <c r="U4444" s="37" t="str">
        <f t="shared" si="484"/>
        <v/>
      </c>
    </row>
    <row r="4445" spans="2:21" ht="17.25">
      <c r="B4445" s="156"/>
      <c r="C4445" s="156"/>
      <c r="D4445" s="157"/>
      <c r="E4445" s="155"/>
      <c r="F4445" s="151"/>
      <c r="G4445" s="152"/>
      <c r="H4445" s="153"/>
      <c r="I4445" s="154"/>
      <c r="J4445" s="154"/>
      <c r="K4445" s="30" t="str">
        <f>IF(H4445="","",IF($C$30="간이법","",FPR(H4445,I4445,J4445)))</f>
        <v/>
      </c>
      <c r="L4445" s="30" t="str">
        <f>IF(H4445="","",IF($C$30="상세법",FPV(H4445,K4445),IF(H4445="EI",4,IF(H4445="EO",5.2,IF(H4445="EQ",3.9,IF(H4445="ILF",7.5,IF(H4445="EIF",5.4)))))))</f>
        <v/>
      </c>
      <c r="M4445" s="30" t="str">
        <f t="shared" si="478"/>
        <v/>
      </c>
      <c r="N4445" s="134"/>
      <c r="O4445" s="29"/>
      <c r="P4445" s="37" t="str">
        <f t="shared" si="479"/>
        <v/>
      </c>
      <c r="Q4445" s="38" t="str">
        <f t="shared" si="480"/>
        <v/>
      </c>
      <c r="R4445" s="37" t="str">
        <f t="shared" si="481"/>
        <v/>
      </c>
      <c r="S4445" s="37" t="str">
        <f t="shared" si="482"/>
        <v/>
      </c>
      <c r="T4445" s="38" t="str">
        <f t="shared" si="483"/>
        <v/>
      </c>
      <c r="U4445" s="37" t="str">
        <f t="shared" si="484"/>
        <v/>
      </c>
    </row>
    <row r="4446" spans="2:21" ht="17.25">
      <c r="B4446" s="156"/>
      <c r="C4446" s="156"/>
      <c r="D4446" s="157"/>
      <c r="E4446" s="155"/>
      <c r="F4446" s="151"/>
      <c r="G4446" s="152"/>
      <c r="H4446" s="153"/>
      <c r="I4446" s="154"/>
      <c r="J4446" s="154"/>
      <c r="K4446" s="30" t="str">
        <f>IF(H4446="","",IF($C$30="간이법","",FPR(H4446,I4446,J4446)))</f>
        <v/>
      </c>
      <c r="L4446" s="30" t="str">
        <f>IF(H4446="","",IF($C$30="상세법",FPV(H4446,K4446),IF(H4446="EI",4,IF(H4446="EO",5.2,IF(H4446="EQ",3.9,IF(H4446="ILF",7.5,IF(H4446="EIF",5.4)))))))</f>
        <v/>
      </c>
      <c r="M4446" s="30" t="str">
        <f t="shared" si="478"/>
        <v/>
      </c>
      <c r="N4446" s="134"/>
      <c r="O4446" s="29"/>
      <c r="P4446" s="37" t="str">
        <f t="shared" si="479"/>
        <v/>
      </c>
      <c r="Q4446" s="38" t="str">
        <f t="shared" si="480"/>
        <v/>
      </c>
      <c r="R4446" s="37" t="str">
        <f t="shared" si="481"/>
        <v/>
      </c>
      <c r="S4446" s="37" t="str">
        <f t="shared" si="482"/>
        <v/>
      </c>
      <c r="T4446" s="38" t="str">
        <f t="shared" si="483"/>
        <v/>
      </c>
      <c r="U4446" s="37" t="str">
        <f t="shared" si="484"/>
        <v/>
      </c>
    </row>
    <row r="4447" spans="2:21" ht="17.25">
      <c r="B4447" s="156"/>
      <c r="C4447" s="156"/>
      <c r="D4447" s="157"/>
      <c r="E4447" s="155"/>
      <c r="F4447" s="151"/>
      <c r="G4447" s="152"/>
      <c r="H4447" s="153"/>
      <c r="I4447" s="154"/>
      <c r="J4447" s="154"/>
      <c r="K4447" s="30" t="str">
        <f>IF(H4447="","",IF($C$30="간이법","",FPR(H4447,I4447,J4447)))</f>
        <v/>
      </c>
      <c r="L4447" s="30" t="str">
        <f>IF(H4447="","",IF($C$30="상세법",FPV(H4447,K4447),IF(H4447="EI",4,IF(H4447="EO",5.2,IF(H4447="EQ",3.9,IF(H4447="ILF",7.5,IF(H4447="EIF",5.4)))))))</f>
        <v/>
      </c>
      <c r="M4447" s="30" t="str">
        <f t="shared" si="478"/>
        <v/>
      </c>
      <c r="N4447" s="134"/>
      <c r="O4447" s="29"/>
      <c r="P4447" s="37" t="str">
        <f t="shared" si="479"/>
        <v/>
      </c>
      <c r="Q4447" s="38" t="str">
        <f t="shared" si="480"/>
        <v/>
      </c>
      <c r="R4447" s="37" t="str">
        <f t="shared" si="481"/>
        <v/>
      </c>
      <c r="S4447" s="37" t="str">
        <f t="shared" si="482"/>
        <v/>
      </c>
      <c r="T4447" s="38" t="str">
        <f t="shared" si="483"/>
        <v/>
      </c>
      <c r="U4447" s="37" t="str">
        <f t="shared" si="484"/>
        <v/>
      </c>
    </row>
    <row r="4448" spans="2:21" ht="17.25">
      <c r="B4448" s="156"/>
      <c r="C4448" s="156"/>
      <c r="D4448" s="157"/>
      <c r="E4448" s="155"/>
      <c r="F4448" s="151"/>
      <c r="G4448" s="152"/>
      <c r="H4448" s="153"/>
      <c r="I4448" s="154"/>
      <c r="J4448" s="154"/>
      <c r="K4448" s="30" t="str">
        <f>IF(H4448="","",IF($C$30="간이법","",FPR(H4448,I4448,J4448)))</f>
        <v/>
      </c>
      <c r="L4448" s="30" t="str">
        <f>IF(H4448="","",IF($C$30="상세법",FPV(H4448,K4448),IF(H4448="EI",4,IF(H4448="EO",5.2,IF(H4448="EQ",3.9,IF(H4448="ILF",7.5,IF(H4448="EIF",5.4)))))))</f>
        <v/>
      </c>
      <c r="M4448" s="30" t="str">
        <f t="shared" si="478"/>
        <v/>
      </c>
      <c r="N4448" s="134"/>
      <c r="O4448" s="29"/>
      <c r="P4448" s="37" t="str">
        <f t="shared" si="479"/>
        <v/>
      </c>
      <c r="Q4448" s="38" t="str">
        <f t="shared" si="480"/>
        <v/>
      </c>
      <c r="R4448" s="37" t="str">
        <f t="shared" si="481"/>
        <v/>
      </c>
      <c r="S4448" s="37" t="str">
        <f t="shared" si="482"/>
        <v/>
      </c>
      <c r="T4448" s="38" t="str">
        <f t="shared" si="483"/>
        <v/>
      </c>
      <c r="U4448" s="37" t="str">
        <f t="shared" si="484"/>
        <v/>
      </c>
    </row>
    <row r="4449" spans="2:21" ht="17.25">
      <c r="B4449" s="156"/>
      <c r="C4449" s="156"/>
      <c r="D4449" s="157"/>
      <c r="E4449" s="155"/>
      <c r="F4449" s="151"/>
      <c r="G4449" s="152"/>
      <c r="H4449" s="153"/>
      <c r="I4449" s="154"/>
      <c r="J4449" s="154"/>
      <c r="K4449" s="30" t="str">
        <f>IF(H4449="","",IF($C$30="간이법","",FPR(H4449,I4449,J4449)))</f>
        <v/>
      </c>
      <c r="L4449" s="30" t="str">
        <f>IF(H4449="","",IF($C$30="상세법",FPV(H4449,K4449),IF(H4449="EI",4,IF(H4449="EO",5.2,IF(H4449="EQ",3.9,IF(H4449="ILF",7.5,IF(H4449="EIF",5.4)))))))</f>
        <v/>
      </c>
      <c r="M4449" s="30" t="str">
        <f t="shared" si="478"/>
        <v/>
      </c>
      <c r="N4449" s="134"/>
      <c r="O4449" s="29"/>
      <c r="P4449" s="37" t="str">
        <f t="shared" si="479"/>
        <v/>
      </c>
      <c r="Q4449" s="38" t="str">
        <f t="shared" si="480"/>
        <v/>
      </c>
      <c r="R4449" s="37" t="str">
        <f t="shared" si="481"/>
        <v/>
      </c>
      <c r="S4449" s="37" t="str">
        <f t="shared" si="482"/>
        <v/>
      </c>
      <c r="T4449" s="38" t="str">
        <f t="shared" si="483"/>
        <v/>
      </c>
      <c r="U4449" s="37" t="str">
        <f t="shared" si="484"/>
        <v/>
      </c>
    </row>
    <row r="4450" spans="2:21" ht="17.25">
      <c r="B4450" s="156"/>
      <c r="C4450" s="156"/>
      <c r="D4450" s="157"/>
      <c r="E4450" s="155"/>
      <c r="F4450" s="151"/>
      <c r="G4450" s="152"/>
      <c r="H4450" s="153"/>
      <c r="I4450" s="154"/>
      <c r="J4450" s="154"/>
      <c r="K4450" s="30" t="str">
        <f>IF(H4450="","",IF($C$30="간이법","",FPR(H4450,I4450,J4450)))</f>
        <v/>
      </c>
      <c r="L4450" s="30" t="str">
        <f>IF(H4450="","",IF($C$30="상세법",FPV(H4450,K4450),IF(H4450="EI",4,IF(H4450="EO",5.2,IF(H4450="EQ",3.9,IF(H4450="ILF",7.5,IF(H4450="EIF",5.4)))))))</f>
        <v/>
      </c>
      <c r="M4450" s="30" t="str">
        <f t="shared" si="478"/>
        <v/>
      </c>
      <c r="N4450" s="134"/>
      <c r="O4450" s="29"/>
      <c r="P4450" s="37" t="str">
        <f t="shared" si="479"/>
        <v/>
      </c>
      <c r="Q4450" s="38" t="str">
        <f t="shared" si="480"/>
        <v/>
      </c>
      <c r="R4450" s="37" t="str">
        <f t="shared" si="481"/>
        <v/>
      </c>
      <c r="S4450" s="37" t="str">
        <f t="shared" si="482"/>
        <v/>
      </c>
      <c r="T4450" s="38" t="str">
        <f t="shared" si="483"/>
        <v/>
      </c>
      <c r="U4450" s="37" t="str">
        <f t="shared" si="484"/>
        <v/>
      </c>
    </row>
    <row r="4451" spans="2:21" ht="17.25">
      <c r="B4451" s="156"/>
      <c r="C4451" s="156"/>
      <c r="D4451" s="157"/>
      <c r="E4451" s="155"/>
      <c r="F4451" s="151"/>
      <c r="G4451" s="152"/>
      <c r="H4451" s="153"/>
      <c r="I4451" s="154"/>
      <c r="J4451" s="154"/>
      <c r="K4451" s="30" t="str">
        <f>IF(H4451="","",IF($C$30="간이법","",FPR(H4451,I4451,J4451)))</f>
        <v/>
      </c>
      <c r="L4451" s="30" t="str">
        <f>IF(H4451="","",IF($C$30="상세법",FPV(H4451,K4451),IF(H4451="EI",4,IF(H4451="EO",5.2,IF(H4451="EQ",3.9,IF(H4451="ILF",7.5,IF(H4451="EIF",5.4)))))))</f>
        <v/>
      </c>
      <c r="M4451" s="30" t="str">
        <f t="shared" si="478"/>
        <v/>
      </c>
      <c r="N4451" s="134"/>
      <c r="O4451" s="29"/>
      <c r="P4451" s="37" t="str">
        <f t="shared" si="479"/>
        <v/>
      </c>
      <c r="Q4451" s="38" t="str">
        <f t="shared" si="480"/>
        <v/>
      </c>
      <c r="R4451" s="37" t="str">
        <f t="shared" si="481"/>
        <v/>
      </c>
      <c r="S4451" s="37" t="str">
        <f t="shared" si="482"/>
        <v/>
      </c>
      <c r="T4451" s="38" t="str">
        <f t="shared" si="483"/>
        <v/>
      </c>
      <c r="U4451" s="37" t="str">
        <f t="shared" si="484"/>
        <v/>
      </c>
    </row>
    <row r="4452" spans="2:21" ht="17.25">
      <c r="B4452" s="156"/>
      <c r="C4452" s="156"/>
      <c r="D4452" s="157"/>
      <c r="E4452" s="155"/>
      <c r="F4452" s="151"/>
      <c r="G4452" s="152"/>
      <c r="H4452" s="153"/>
      <c r="I4452" s="154"/>
      <c r="J4452" s="154"/>
      <c r="K4452" s="30" t="str">
        <f>IF(H4452="","",IF($C$30="간이법","",FPR(H4452,I4452,J4452)))</f>
        <v/>
      </c>
      <c r="L4452" s="30" t="str">
        <f>IF(H4452="","",IF($C$30="상세법",FPV(H4452,K4452),IF(H4452="EI",4,IF(H4452="EO",5.2,IF(H4452="EQ",3.9,IF(H4452="ILF",7.5,IF(H4452="EIF",5.4)))))))</f>
        <v/>
      </c>
      <c r="M4452" s="30" t="str">
        <f t="shared" si="478"/>
        <v/>
      </c>
      <c r="N4452" s="134"/>
      <c r="O4452" s="29"/>
      <c r="P4452" s="37" t="str">
        <f t="shared" si="479"/>
        <v/>
      </c>
      <c r="Q4452" s="38" t="str">
        <f t="shared" si="480"/>
        <v/>
      </c>
      <c r="R4452" s="37" t="str">
        <f t="shared" si="481"/>
        <v/>
      </c>
      <c r="S4452" s="37" t="str">
        <f t="shared" si="482"/>
        <v/>
      </c>
      <c r="T4452" s="38" t="str">
        <f t="shared" si="483"/>
        <v/>
      </c>
      <c r="U4452" s="37" t="str">
        <f t="shared" si="484"/>
        <v/>
      </c>
    </row>
    <row r="4453" spans="2:21" ht="17.25">
      <c r="B4453" s="156"/>
      <c r="C4453" s="156"/>
      <c r="D4453" s="157"/>
      <c r="E4453" s="155"/>
      <c r="F4453" s="151"/>
      <c r="G4453" s="152"/>
      <c r="H4453" s="153"/>
      <c r="I4453" s="154"/>
      <c r="J4453" s="154"/>
      <c r="K4453" s="30" t="str">
        <f>IF(H4453="","",IF($C$30="간이법","",FPR(H4453,I4453,J4453)))</f>
        <v/>
      </c>
      <c r="L4453" s="30" t="str">
        <f>IF(H4453="","",IF($C$30="상세법",FPV(H4453,K4453),IF(H4453="EI",4,IF(H4453="EO",5.2,IF(H4453="EQ",3.9,IF(H4453="ILF",7.5,IF(H4453="EIF",5.4)))))))</f>
        <v/>
      </c>
      <c r="M4453" s="30" t="str">
        <f t="shared" si="478"/>
        <v/>
      </c>
      <c r="N4453" s="134"/>
      <c r="O4453" s="29"/>
      <c r="P4453" s="37" t="str">
        <f t="shared" si="479"/>
        <v/>
      </c>
      <c r="Q4453" s="38" t="str">
        <f t="shared" si="480"/>
        <v/>
      </c>
      <c r="R4453" s="37" t="str">
        <f t="shared" si="481"/>
        <v/>
      </c>
      <c r="S4453" s="37" t="str">
        <f t="shared" si="482"/>
        <v/>
      </c>
      <c r="T4453" s="38" t="str">
        <f t="shared" si="483"/>
        <v/>
      </c>
      <c r="U4453" s="37" t="str">
        <f t="shared" si="484"/>
        <v/>
      </c>
    </row>
    <row r="4454" spans="2:21" ht="17.25">
      <c r="B4454" s="156"/>
      <c r="C4454" s="156"/>
      <c r="D4454" s="157"/>
      <c r="E4454" s="155"/>
      <c r="F4454" s="151"/>
      <c r="G4454" s="152"/>
      <c r="H4454" s="153"/>
      <c r="I4454" s="154"/>
      <c r="J4454" s="154"/>
      <c r="K4454" s="30" t="str">
        <f>IF(H4454="","",IF($C$30="간이법","",FPR(H4454,I4454,J4454)))</f>
        <v/>
      </c>
      <c r="L4454" s="30" t="str">
        <f>IF(H4454="","",IF($C$30="상세법",FPV(H4454,K4454),IF(H4454="EI",4,IF(H4454="EO",5.2,IF(H4454="EQ",3.9,IF(H4454="ILF",7.5,IF(H4454="EIF",5.4)))))))</f>
        <v/>
      </c>
      <c r="M4454" s="30" t="str">
        <f t="shared" si="478"/>
        <v/>
      </c>
      <c r="N4454" s="134"/>
      <c r="O4454" s="29"/>
      <c r="P4454" s="37" t="str">
        <f t="shared" si="479"/>
        <v/>
      </c>
      <c r="Q4454" s="38" t="str">
        <f t="shared" si="480"/>
        <v/>
      </c>
      <c r="R4454" s="37" t="str">
        <f t="shared" si="481"/>
        <v/>
      </c>
      <c r="S4454" s="37" t="str">
        <f t="shared" si="482"/>
        <v/>
      </c>
      <c r="T4454" s="38" t="str">
        <f t="shared" si="483"/>
        <v/>
      </c>
      <c r="U4454" s="37" t="str">
        <f t="shared" si="484"/>
        <v/>
      </c>
    </row>
    <row r="4455" spans="2:21" ht="17.25">
      <c r="B4455" s="156"/>
      <c r="C4455" s="156"/>
      <c r="D4455" s="157"/>
      <c r="E4455" s="155"/>
      <c r="F4455" s="151"/>
      <c r="G4455" s="152"/>
      <c r="H4455" s="153"/>
      <c r="I4455" s="154"/>
      <c r="J4455" s="154"/>
      <c r="K4455" s="30" t="str">
        <f>IF(H4455="","",IF($C$30="간이법","",FPR(H4455,I4455,J4455)))</f>
        <v/>
      </c>
      <c r="L4455" s="30" t="str">
        <f>IF(H4455="","",IF($C$30="상세법",FPV(H4455,K4455),IF(H4455="EI",4,IF(H4455="EO",5.2,IF(H4455="EQ",3.9,IF(H4455="ILF",7.5,IF(H4455="EIF",5.4)))))))</f>
        <v/>
      </c>
      <c r="M4455" s="30" t="str">
        <f t="shared" si="478"/>
        <v/>
      </c>
      <c r="N4455" s="134"/>
      <c r="O4455" s="29"/>
      <c r="P4455" s="37" t="str">
        <f t="shared" si="479"/>
        <v/>
      </c>
      <c r="Q4455" s="38" t="str">
        <f t="shared" si="480"/>
        <v/>
      </c>
      <c r="R4455" s="37" t="str">
        <f t="shared" si="481"/>
        <v/>
      </c>
      <c r="S4455" s="37" t="str">
        <f t="shared" si="482"/>
        <v/>
      </c>
      <c r="T4455" s="38" t="str">
        <f t="shared" si="483"/>
        <v/>
      </c>
      <c r="U4455" s="37" t="str">
        <f t="shared" si="484"/>
        <v/>
      </c>
    </row>
    <row r="4456" spans="2:21" ht="17.25">
      <c r="B4456" s="156"/>
      <c r="C4456" s="156"/>
      <c r="D4456" s="157"/>
      <c r="E4456" s="155"/>
      <c r="F4456" s="151"/>
      <c r="G4456" s="152"/>
      <c r="H4456" s="153"/>
      <c r="I4456" s="154"/>
      <c r="J4456" s="154"/>
      <c r="K4456" s="30" t="str">
        <f>IF(H4456="","",IF($C$30="간이법","",FPR(H4456,I4456,J4456)))</f>
        <v/>
      </c>
      <c r="L4456" s="30" t="str">
        <f>IF(H4456="","",IF($C$30="상세법",FPV(H4456,K4456),IF(H4456="EI",4,IF(H4456="EO",5.2,IF(H4456="EQ",3.9,IF(H4456="ILF",7.5,IF(H4456="EIF",5.4)))))))</f>
        <v/>
      </c>
      <c r="M4456" s="30" t="str">
        <f t="shared" si="478"/>
        <v/>
      </c>
      <c r="N4456" s="134"/>
      <c r="O4456" s="29"/>
      <c r="P4456" s="37" t="str">
        <f t="shared" si="479"/>
        <v/>
      </c>
      <c r="Q4456" s="38" t="str">
        <f t="shared" si="480"/>
        <v/>
      </c>
      <c r="R4456" s="37" t="str">
        <f t="shared" si="481"/>
        <v/>
      </c>
      <c r="S4456" s="37" t="str">
        <f t="shared" si="482"/>
        <v/>
      </c>
      <c r="T4456" s="38" t="str">
        <f t="shared" si="483"/>
        <v/>
      </c>
      <c r="U4456" s="37" t="str">
        <f t="shared" si="484"/>
        <v/>
      </c>
    </row>
    <row r="4457" spans="2:21" ht="17.25">
      <c r="B4457" s="156"/>
      <c r="C4457" s="156"/>
      <c r="D4457" s="157"/>
      <c r="E4457" s="155"/>
      <c r="F4457" s="151"/>
      <c r="G4457" s="152"/>
      <c r="H4457" s="153"/>
      <c r="I4457" s="154"/>
      <c r="J4457" s="154"/>
      <c r="K4457" s="30" t="str">
        <f>IF(H4457="","",IF($C$30="간이법","",FPR(H4457,I4457,J4457)))</f>
        <v/>
      </c>
      <c r="L4457" s="30" t="str">
        <f>IF(H4457="","",IF($C$30="상세법",FPV(H4457,K4457),IF(H4457="EI",4,IF(H4457="EO",5.2,IF(H4457="EQ",3.9,IF(H4457="ILF",7.5,IF(H4457="EIF",5.4)))))))</f>
        <v/>
      </c>
      <c r="M4457" s="30" t="str">
        <f t="shared" si="478"/>
        <v/>
      </c>
      <c r="N4457" s="134"/>
      <c r="O4457" s="29"/>
      <c r="P4457" s="37" t="str">
        <f t="shared" si="479"/>
        <v/>
      </c>
      <c r="Q4457" s="38" t="str">
        <f t="shared" si="480"/>
        <v/>
      </c>
      <c r="R4457" s="37" t="str">
        <f t="shared" si="481"/>
        <v/>
      </c>
      <c r="S4457" s="37" t="str">
        <f t="shared" si="482"/>
        <v/>
      </c>
      <c r="T4457" s="38" t="str">
        <f t="shared" si="483"/>
        <v/>
      </c>
      <c r="U4457" s="37" t="str">
        <f t="shared" si="484"/>
        <v/>
      </c>
    </row>
    <row r="4458" spans="2:21" ht="17.25">
      <c r="B4458" s="156"/>
      <c r="C4458" s="156"/>
      <c r="D4458" s="157"/>
      <c r="E4458" s="155"/>
      <c r="F4458" s="151"/>
      <c r="G4458" s="152"/>
      <c r="H4458" s="153"/>
      <c r="I4458" s="154"/>
      <c r="J4458" s="154"/>
      <c r="K4458" s="30" t="str">
        <f>IF(H4458="","",IF($C$30="간이법","",FPR(H4458,I4458,J4458)))</f>
        <v/>
      </c>
      <c r="L4458" s="30" t="str">
        <f>IF(H4458="","",IF($C$30="상세법",FPV(H4458,K4458),IF(H4458="EI",4,IF(H4458="EO",5.2,IF(H4458="EQ",3.9,IF(H4458="ILF",7.5,IF(H4458="EIF",5.4)))))))</f>
        <v/>
      </c>
      <c r="M4458" s="30" t="str">
        <f t="shared" si="478"/>
        <v/>
      </c>
      <c r="N4458" s="134"/>
      <c r="O4458" s="29"/>
      <c r="P4458" s="37" t="str">
        <f t="shared" si="479"/>
        <v/>
      </c>
      <c r="Q4458" s="38" t="str">
        <f t="shared" si="480"/>
        <v/>
      </c>
      <c r="R4458" s="37" t="str">
        <f t="shared" si="481"/>
        <v/>
      </c>
      <c r="S4458" s="37" t="str">
        <f t="shared" si="482"/>
        <v/>
      </c>
      <c r="T4458" s="38" t="str">
        <f t="shared" si="483"/>
        <v/>
      </c>
      <c r="U4458" s="37" t="str">
        <f t="shared" si="484"/>
        <v/>
      </c>
    </row>
    <row r="4459" spans="2:21" ht="17.25">
      <c r="B4459" s="156"/>
      <c r="C4459" s="156"/>
      <c r="D4459" s="157"/>
      <c r="E4459" s="155"/>
      <c r="F4459" s="151"/>
      <c r="G4459" s="152"/>
      <c r="H4459" s="153"/>
      <c r="I4459" s="154"/>
      <c r="J4459" s="154"/>
      <c r="K4459" s="30" t="str">
        <f>IF(H4459="","",IF($C$30="간이법","",FPR(H4459,I4459,J4459)))</f>
        <v/>
      </c>
      <c r="L4459" s="30" t="str">
        <f>IF(H4459="","",IF($C$30="상세법",FPV(H4459,K4459),IF(H4459="EI",4,IF(H4459="EO",5.2,IF(H4459="EQ",3.9,IF(H4459="ILF",7.5,IF(H4459="EIF",5.4)))))))</f>
        <v/>
      </c>
      <c r="M4459" s="30" t="str">
        <f t="shared" si="478"/>
        <v/>
      </c>
      <c r="N4459" s="134"/>
      <c r="O4459" s="29"/>
      <c r="P4459" s="37" t="str">
        <f t="shared" si="479"/>
        <v/>
      </c>
      <c r="Q4459" s="38" t="str">
        <f t="shared" si="480"/>
        <v/>
      </c>
      <c r="R4459" s="37" t="str">
        <f t="shared" si="481"/>
        <v/>
      </c>
      <c r="S4459" s="37" t="str">
        <f t="shared" si="482"/>
        <v/>
      </c>
      <c r="T4459" s="38" t="str">
        <f t="shared" si="483"/>
        <v/>
      </c>
      <c r="U4459" s="37" t="str">
        <f t="shared" si="484"/>
        <v/>
      </c>
    </row>
    <row r="4460" spans="2:21" ht="17.25">
      <c r="B4460" s="156"/>
      <c r="C4460" s="156"/>
      <c r="D4460" s="157"/>
      <c r="E4460" s="155"/>
      <c r="F4460" s="151"/>
      <c r="G4460" s="152"/>
      <c r="H4460" s="153"/>
      <c r="I4460" s="154"/>
      <c r="J4460" s="154"/>
      <c r="K4460" s="30" t="str">
        <f>IF(H4460="","",IF($C$30="간이법","",FPR(H4460,I4460,J4460)))</f>
        <v/>
      </c>
      <c r="L4460" s="30" t="str">
        <f>IF(H4460="","",IF($C$30="상세법",FPV(H4460,K4460),IF(H4460="EI",4,IF(H4460="EO",5.2,IF(H4460="EQ",3.9,IF(H4460="ILF",7.5,IF(H4460="EIF",5.4)))))))</f>
        <v/>
      </c>
      <c r="M4460" s="30" t="str">
        <f t="shared" si="478"/>
        <v/>
      </c>
      <c r="N4460" s="134"/>
      <c r="O4460" s="29"/>
      <c r="P4460" s="37" t="str">
        <f t="shared" si="479"/>
        <v/>
      </c>
      <c r="Q4460" s="38" t="str">
        <f t="shared" si="480"/>
        <v/>
      </c>
      <c r="R4460" s="37" t="str">
        <f t="shared" si="481"/>
        <v/>
      </c>
      <c r="S4460" s="37" t="str">
        <f t="shared" si="482"/>
        <v/>
      </c>
      <c r="T4460" s="38" t="str">
        <f t="shared" si="483"/>
        <v/>
      </c>
      <c r="U4460" s="37" t="str">
        <f t="shared" si="484"/>
        <v/>
      </c>
    </row>
    <row r="4461" spans="2:21" ht="17.25">
      <c r="B4461" s="156"/>
      <c r="C4461" s="156"/>
      <c r="D4461" s="157"/>
      <c r="E4461" s="155"/>
      <c r="F4461" s="151"/>
      <c r="G4461" s="152"/>
      <c r="H4461" s="153"/>
      <c r="I4461" s="154"/>
      <c r="J4461" s="154"/>
      <c r="K4461" s="30" t="str">
        <f>IF(H4461="","",IF($C$30="간이법","",FPR(H4461,I4461,J4461)))</f>
        <v/>
      </c>
      <c r="L4461" s="30" t="str">
        <f>IF(H4461="","",IF($C$30="상세법",FPV(H4461,K4461),IF(H4461="EI",4,IF(H4461="EO",5.2,IF(H4461="EQ",3.9,IF(H4461="ILF",7.5,IF(H4461="EIF",5.4)))))))</f>
        <v/>
      </c>
      <c r="M4461" s="30" t="str">
        <f t="shared" si="478"/>
        <v/>
      </c>
      <c r="N4461" s="134"/>
      <c r="O4461" s="29"/>
      <c r="P4461" s="37" t="str">
        <f t="shared" si="479"/>
        <v/>
      </c>
      <c r="Q4461" s="38" t="str">
        <f t="shared" si="480"/>
        <v/>
      </c>
      <c r="R4461" s="37" t="str">
        <f t="shared" si="481"/>
        <v/>
      </c>
      <c r="S4461" s="37" t="str">
        <f t="shared" si="482"/>
        <v/>
      </c>
      <c r="T4461" s="38" t="str">
        <f t="shared" si="483"/>
        <v/>
      </c>
      <c r="U4461" s="37" t="str">
        <f t="shared" si="484"/>
        <v/>
      </c>
    </row>
    <row r="4462" spans="2:21" ht="17.25">
      <c r="B4462" s="156"/>
      <c r="C4462" s="156"/>
      <c r="D4462" s="157"/>
      <c r="E4462" s="155"/>
      <c r="F4462" s="151"/>
      <c r="G4462" s="152"/>
      <c r="H4462" s="153"/>
      <c r="I4462" s="154"/>
      <c r="J4462" s="154"/>
      <c r="K4462" s="30" t="str">
        <f>IF(H4462="","",IF($C$30="간이법","",FPR(H4462,I4462,J4462)))</f>
        <v/>
      </c>
      <c r="L4462" s="30" t="str">
        <f>IF(H4462="","",IF($C$30="상세법",FPV(H4462,K4462),IF(H4462="EI",4,IF(H4462="EO",5.2,IF(H4462="EQ",3.9,IF(H4462="ILF",7.5,IF(H4462="EIF",5.4)))))))</f>
        <v/>
      </c>
      <c r="M4462" s="30" t="str">
        <f t="shared" si="478"/>
        <v/>
      </c>
      <c r="N4462" s="134"/>
      <c r="O4462" s="29"/>
      <c r="P4462" s="37" t="str">
        <f t="shared" si="479"/>
        <v/>
      </c>
      <c r="Q4462" s="38" t="str">
        <f t="shared" si="480"/>
        <v/>
      </c>
      <c r="R4462" s="37" t="str">
        <f t="shared" si="481"/>
        <v/>
      </c>
      <c r="S4462" s="37" t="str">
        <f t="shared" si="482"/>
        <v/>
      </c>
      <c r="T4462" s="38" t="str">
        <f t="shared" si="483"/>
        <v/>
      </c>
      <c r="U4462" s="37" t="str">
        <f t="shared" si="484"/>
        <v/>
      </c>
    </row>
    <row r="4463" spans="2:21" ht="17.25">
      <c r="B4463" s="156"/>
      <c r="C4463" s="156"/>
      <c r="D4463" s="157"/>
      <c r="E4463" s="155"/>
      <c r="F4463" s="151"/>
      <c r="G4463" s="152"/>
      <c r="H4463" s="153"/>
      <c r="I4463" s="154"/>
      <c r="J4463" s="154"/>
      <c r="K4463" s="30" t="str">
        <f>IF(H4463="","",IF($C$30="간이법","",FPR(H4463,I4463,J4463)))</f>
        <v/>
      </c>
      <c r="L4463" s="30" t="str">
        <f>IF(H4463="","",IF($C$30="상세법",FPV(H4463,K4463),IF(H4463="EI",4,IF(H4463="EO",5.2,IF(H4463="EQ",3.9,IF(H4463="ILF",7.5,IF(H4463="EIF",5.4)))))))</f>
        <v/>
      </c>
      <c r="M4463" s="30" t="str">
        <f t="shared" si="478"/>
        <v/>
      </c>
      <c r="N4463" s="134"/>
      <c r="O4463" s="29"/>
      <c r="P4463" s="37" t="str">
        <f t="shared" si="479"/>
        <v/>
      </c>
      <c r="Q4463" s="38" t="str">
        <f t="shared" si="480"/>
        <v/>
      </c>
      <c r="R4463" s="37" t="str">
        <f t="shared" si="481"/>
        <v/>
      </c>
      <c r="S4463" s="37" t="str">
        <f t="shared" si="482"/>
        <v/>
      </c>
      <c r="T4463" s="38" t="str">
        <f t="shared" si="483"/>
        <v/>
      </c>
      <c r="U4463" s="37" t="str">
        <f t="shared" si="484"/>
        <v/>
      </c>
    </row>
    <row r="4464" spans="2:21" ht="17.25">
      <c r="B4464" s="156"/>
      <c r="C4464" s="156"/>
      <c r="D4464" s="157"/>
      <c r="E4464" s="155"/>
      <c r="F4464" s="151"/>
      <c r="G4464" s="152"/>
      <c r="H4464" s="153"/>
      <c r="I4464" s="154"/>
      <c r="J4464" s="154"/>
      <c r="K4464" s="30" t="str">
        <f>IF(H4464="","",IF($C$30="간이법","",FPR(H4464,I4464,J4464)))</f>
        <v/>
      </c>
      <c r="L4464" s="30" t="str">
        <f>IF(H4464="","",IF($C$30="상세법",FPV(H4464,K4464),IF(H4464="EI",4,IF(H4464="EO",5.2,IF(H4464="EQ",3.9,IF(H4464="ILF",7.5,IF(H4464="EIF",5.4)))))))</f>
        <v/>
      </c>
      <c r="M4464" s="30" t="str">
        <f t="shared" si="478"/>
        <v/>
      </c>
      <c r="N4464" s="134"/>
      <c r="O4464" s="29"/>
      <c r="P4464" s="37" t="str">
        <f t="shared" si="479"/>
        <v/>
      </c>
      <c r="Q4464" s="38" t="str">
        <f t="shared" si="480"/>
        <v/>
      </c>
      <c r="R4464" s="37" t="str">
        <f t="shared" si="481"/>
        <v/>
      </c>
      <c r="S4464" s="37" t="str">
        <f t="shared" si="482"/>
        <v/>
      </c>
      <c r="T4464" s="38" t="str">
        <f t="shared" si="483"/>
        <v/>
      </c>
      <c r="U4464" s="37" t="str">
        <f t="shared" si="484"/>
        <v/>
      </c>
    </row>
    <row r="4465" spans="2:21" ht="17.25">
      <c r="B4465" s="156"/>
      <c r="C4465" s="156"/>
      <c r="D4465" s="157"/>
      <c r="E4465" s="155"/>
      <c r="F4465" s="151"/>
      <c r="G4465" s="152"/>
      <c r="H4465" s="153"/>
      <c r="I4465" s="154"/>
      <c r="J4465" s="154"/>
      <c r="K4465" s="30" t="str">
        <f>IF(H4465="","",IF($C$30="간이법","",FPR(H4465,I4465,J4465)))</f>
        <v/>
      </c>
      <c r="L4465" s="30" t="str">
        <f>IF(H4465="","",IF($C$30="상세법",FPV(H4465,K4465),IF(H4465="EI",4,IF(H4465="EO",5.2,IF(H4465="EQ",3.9,IF(H4465="ILF",7.5,IF(H4465="EIF",5.4)))))))</f>
        <v/>
      </c>
      <c r="M4465" s="30" t="str">
        <f t="shared" si="478"/>
        <v/>
      </c>
      <c r="N4465" s="134"/>
      <c r="O4465" s="29"/>
      <c r="P4465" s="37" t="str">
        <f t="shared" si="479"/>
        <v/>
      </c>
      <c r="Q4465" s="38" t="str">
        <f t="shared" si="480"/>
        <v/>
      </c>
      <c r="R4465" s="37" t="str">
        <f t="shared" si="481"/>
        <v/>
      </c>
      <c r="S4465" s="37" t="str">
        <f t="shared" si="482"/>
        <v/>
      </c>
      <c r="T4465" s="38" t="str">
        <f t="shared" si="483"/>
        <v/>
      </c>
      <c r="U4465" s="37" t="str">
        <f t="shared" si="484"/>
        <v/>
      </c>
    </row>
    <row r="4466" spans="2:21" ht="17.25">
      <c r="B4466" s="156"/>
      <c r="C4466" s="156"/>
      <c r="D4466" s="157"/>
      <c r="E4466" s="155"/>
      <c r="F4466" s="151"/>
      <c r="G4466" s="152"/>
      <c r="H4466" s="153"/>
      <c r="I4466" s="154"/>
      <c r="J4466" s="154"/>
      <c r="K4466" s="30" t="str">
        <f>IF(H4466="","",IF($C$30="간이법","",FPR(H4466,I4466,J4466)))</f>
        <v/>
      </c>
      <c r="L4466" s="30" t="str">
        <f>IF(H4466="","",IF($C$30="상세법",FPV(H4466,K4466),IF(H4466="EI",4,IF(H4466="EO",5.2,IF(H4466="EQ",3.9,IF(H4466="ILF",7.5,IF(H4466="EIF",5.4)))))))</f>
        <v/>
      </c>
      <c r="M4466" s="30" t="str">
        <f t="shared" si="478"/>
        <v/>
      </c>
      <c r="N4466" s="134"/>
      <c r="O4466" s="29"/>
      <c r="P4466" s="37" t="str">
        <f t="shared" si="479"/>
        <v/>
      </c>
      <c r="Q4466" s="38" t="str">
        <f t="shared" si="480"/>
        <v/>
      </c>
      <c r="R4466" s="37" t="str">
        <f t="shared" si="481"/>
        <v/>
      </c>
      <c r="S4466" s="37" t="str">
        <f t="shared" si="482"/>
        <v/>
      </c>
      <c r="T4466" s="38" t="str">
        <f t="shared" si="483"/>
        <v/>
      </c>
      <c r="U4466" s="37" t="str">
        <f t="shared" si="484"/>
        <v/>
      </c>
    </row>
    <row r="4467" spans="2:21" ht="17.25">
      <c r="B4467" s="156"/>
      <c r="C4467" s="156"/>
      <c r="D4467" s="157"/>
      <c r="E4467" s="155"/>
      <c r="F4467" s="151"/>
      <c r="G4467" s="152"/>
      <c r="H4467" s="153"/>
      <c r="I4467" s="154"/>
      <c r="J4467" s="154"/>
      <c r="K4467" s="30" t="str">
        <f>IF(H4467="","",IF($C$30="간이법","",FPR(H4467,I4467,J4467)))</f>
        <v/>
      </c>
      <c r="L4467" s="30" t="str">
        <f>IF(H4467="","",IF($C$30="상세법",FPV(H4467,K4467),IF(H4467="EI",4,IF(H4467="EO",5.2,IF(H4467="EQ",3.9,IF(H4467="ILF",7.5,IF(H4467="EIF",5.4)))))))</f>
        <v/>
      </c>
      <c r="M4467" s="30" t="str">
        <f t="shared" si="478"/>
        <v/>
      </c>
      <c r="N4467" s="134"/>
      <c r="O4467" s="29"/>
      <c r="P4467" s="37" t="str">
        <f t="shared" si="479"/>
        <v/>
      </c>
      <c r="Q4467" s="38" t="str">
        <f t="shared" si="480"/>
        <v/>
      </c>
      <c r="R4467" s="37" t="str">
        <f t="shared" si="481"/>
        <v/>
      </c>
      <c r="S4467" s="37" t="str">
        <f t="shared" si="482"/>
        <v/>
      </c>
      <c r="T4467" s="38" t="str">
        <f t="shared" si="483"/>
        <v/>
      </c>
      <c r="U4467" s="37" t="str">
        <f t="shared" si="484"/>
        <v/>
      </c>
    </row>
    <row r="4468" spans="2:21" ht="17.25">
      <c r="B4468" s="156"/>
      <c r="C4468" s="156"/>
      <c r="D4468" s="157"/>
      <c r="E4468" s="155"/>
      <c r="F4468" s="151"/>
      <c r="G4468" s="152"/>
      <c r="H4468" s="153"/>
      <c r="I4468" s="154"/>
      <c r="J4468" s="154"/>
      <c r="K4468" s="30" t="str">
        <f>IF(H4468="","",IF($C$30="간이법","",FPR(H4468,I4468,J4468)))</f>
        <v/>
      </c>
      <c r="L4468" s="30" t="str">
        <f>IF(H4468="","",IF($C$30="상세법",FPV(H4468,K4468),IF(H4468="EI",4,IF(H4468="EO",5.2,IF(H4468="EQ",3.9,IF(H4468="ILF",7.5,IF(H4468="EIF",5.4)))))))</f>
        <v/>
      </c>
      <c r="M4468" s="30" t="str">
        <f t="shared" si="478"/>
        <v/>
      </c>
      <c r="N4468" s="134"/>
      <c r="O4468" s="29"/>
      <c r="P4468" s="37" t="str">
        <f t="shared" si="479"/>
        <v/>
      </c>
      <c r="Q4468" s="38" t="str">
        <f t="shared" si="480"/>
        <v/>
      </c>
      <c r="R4468" s="37" t="str">
        <f t="shared" si="481"/>
        <v/>
      </c>
      <c r="S4468" s="37" t="str">
        <f t="shared" si="482"/>
        <v/>
      </c>
      <c r="T4468" s="38" t="str">
        <f t="shared" si="483"/>
        <v/>
      </c>
      <c r="U4468" s="37" t="str">
        <f t="shared" si="484"/>
        <v/>
      </c>
    </row>
    <row r="4469" spans="2:21" ht="17.25">
      <c r="B4469" s="156"/>
      <c r="C4469" s="156"/>
      <c r="D4469" s="157"/>
      <c r="E4469" s="155"/>
      <c r="F4469" s="151"/>
      <c r="G4469" s="152"/>
      <c r="H4469" s="153"/>
      <c r="I4469" s="154"/>
      <c r="J4469" s="154"/>
      <c r="K4469" s="30" t="str">
        <f>IF(H4469="","",IF($C$30="간이법","",FPR(H4469,I4469,J4469)))</f>
        <v/>
      </c>
      <c r="L4469" s="30" t="str">
        <f>IF(H4469="","",IF($C$30="상세법",FPV(H4469,K4469),IF(H4469="EI",4,IF(H4469="EO",5.2,IF(H4469="EQ",3.9,IF(H4469="ILF",7.5,IF(H4469="EIF",5.4)))))))</f>
        <v/>
      </c>
      <c r="M4469" s="30" t="str">
        <f t="shared" si="478"/>
        <v/>
      </c>
      <c r="N4469" s="134"/>
      <c r="O4469" s="29"/>
      <c r="P4469" s="37" t="str">
        <f t="shared" si="479"/>
        <v/>
      </c>
      <c r="Q4469" s="38" t="str">
        <f t="shared" si="480"/>
        <v/>
      </c>
      <c r="R4469" s="37" t="str">
        <f t="shared" si="481"/>
        <v/>
      </c>
      <c r="S4469" s="37" t="str">
        <f t="shared" si="482"/>
        <v/>
      </c>
      <c r="T4469" s="38" t="str">
        <f t="shared" si="483"/>
        <v/>
      </c>
      <c r="U4469" s="37" t="str">
        <f t="shared" si="484"/>
        <v/>
      </c>
    </row>
    <row r="4470" spans="2:21" ht="17.25">
      <c r="B4470" s="156"/>
      <c r="C4470" s="156"/>
      <c r="D4470" s="157"/>
      <c r="E4470" s="155"/>
      <c r="F4470" s="151"/>
      <c r="G4470" s="152"/>
      <c r="H4470" s="153"/>
      <c r="I4470" s="154"/>
      <c r="J4470" s="154"/>
      <c r="K4470" s="30" t="str">
        <f>IF(H4470="","",IF($C$30="간이법","",FPR(H4470,I4470,J4470)))</f>
        <v/>
      </c>
      <c r="L4470" s="30" t="str">
        <f>IF(H4470="","",IF($C$30="상세법",FPV(H4470,K4470),IF(H4470="EI",4,IF(H4470="EO",5.2,IF(H4470="EQ",3.9,IF(H4470="ILF",7.5,IF(H4470="EIF",5.4)))))))</f>
        <v/>
      </c>
      <c r="M4470" s="30" t="str">
        <f t="shared" si="478"/>
        <v/>
      </c>
      <c r="N4470" s="134"/>
      <c r="O4470" s="29"/>
      <c r="P4470" s="37" t="str">
        <f t="shared" si="479"/>
        <v/>
      </c>
      <c r="Q4470" s="38" t="str">
        <f t="shared" si="480"/>
        <v/>
      </c>
      <c r="R4470" s="37" t="str">
        <f t="shared" si="481"/>
        <v/>
      </c>
      <c r="S4470" s="37" t="str">
        <f t="shared" si="482"/>
        <v/>
      </c>
      <c r="T4470" s="38" t="str">
        <f t="shared" si="483"/>
        <v/>
      </c>
      <c r="U4470" s="37" t="str">
        <f t="shared" si="484"/>
        <v/>
      </c>
    </row>
    <row r="4471" spans="2:21" ht="17.25">
      <c r="B4471" s="156"/>
      <c r="C4471" s="156"/>
      <c r="D4471" s="157"/>
      <c r="E4471" s="155"/>
      <c r="F4471" s="151"/>
      <c r="G4471" s="152"/>
      <c r="H4471" s="153"/>
      <c r="I4471" s="154"/>
      <c r="J4471" s="154"/>
      <c r="K4471" s="30" t="str">
        <f>IF(H4471="","",IF($C$30="간이법","",FPR(H4471,I4471,J4471)))</f>
        <v/>
      </c>
      <c r="L4471" s="30" t="str">
        <f>IF(H4471="","",IF($C$30="상세법",FPV(H4471,K4471),IF(H4471="EI",4,IF(H4471="EO",5.2,IF(H4471="EQ",3.9,IF(H4471="ILF",7.5,IF(H4471="EIF",5.4)))))))</f>
        <v/>
      </c>
      <c r="M4471" s="30" t="str">
        <f t="shared" si="478"/>
        <v/>
      </c>
      <c r="N4471" s="134"/>
      <c r="O4471" s="29"/>
      <c r="P4471" s="37" t="str">
        <f t="shared" si="479"/>
        <v/>
      </c>
      <c r="Q4471" s="38" t="str">
        <f t="shared" si="480"/>
        <v/>
      </c>
      <c r="R4471" s="37" t="str">
        <f t="shared" si="481"/>
        <v/>
      </c>
      <c r="S4471" s="37" t="str">
        <f t="shared" si="482"/>
        <v/>
      </c>
      <c r="T4471" s="38" t="str">
        <f t="shared" si="483"/>
        <v/>
      </c>
      <c r="U4471" s="37" t="str">
        <f t="shared" si="484"/>
        <v/>
      </c>
    </row>
    <row r="4472" spans="2:21" ht="17.25">
      <c r="B4472" s="156"/>
      <c r="C4472" s="156"/>
      <c r="D4472" s="157"/>
      <c r="E4472" s="155"/>
      <c r="F4472" s="151"/>
      <c r="G4472" s="152"/>
      <c r="H4472" s="153"/>
      <c r="I4472" s="154"/>
      <c r="J4472" s="154"/>
      <c r="K4472" s="30" t="str">
        <f>IF(H4472="","",IF($C$30="간이법","",FPR(H4472,I4472,J4472)))</f>
        <v/>
      </c>
      <c r="L4472" s="30" t="str">
        <f>IF(H4472="","",IF($C$30="상세법",FPV(H4472,K4472),IF(H4472="EI",4,IF(H4472="EO",5.2,IF(H4472="EQ",3.9,IF(H4472="ILF",7.5,IF(H4472="EIF",5.4)))))))</f>
        <v/>
      </c>
      <c r="M4472" s="30" t="str">
        <f t="shared" si="478"/>
        <v/>
      </c>
      <c r="N4472" s="134"/>
      <c r="O4472" s="29"/>
      <c r="P4472" s="37" t="str">
        <f t="shared" si="479"/>
        <v/>
      </c>
      <c r="Q4472" s="38" t="str">
        <f t="shared" si="480"/>
        <v/>
      </c>
      <c r="R4472" s="37" t="str">
        <f t="shared" si="481"/>
        <v/>
      </c>
      <c r="S4472" s="37" t="str">
        <f t="shared" si="482"/>
        <v/>
      </c>
      <c r="T4472" s="38" t="str">
        <f t="shared" si="483"/>
        <v/>
      </c>
      <c r="U4472" s="37" t="str">
        <f t="shared" si="484"/>
        <v/>
      </c>
    </row>
    <row r="4473" spans="2:21" ht="17.25">
      <c r="B4473" s="156"/>
      <c r="C4473" s="156"/>
      <c r="D4473" s="157"/>
      <c r="E4473" s="155"/>
      <c r="F4473" s="151"/>
      <c r="G4473" s="152"/>
      <c r="H4473" s="153"/>
      <c r="I4473" s="154"/>
      <c r="J4473" s="154"/>
      <c r="K4473" s="30" t="str">
        <f>IF(H4473="","",IF($C$30="간이법","",FPR(H4473,I4473,J4473)))</f>
        <v/>
      </c>
      <c r="L4473" s="30" t="str">
        <f>IF(H4473="","",IF($C$30="상세법",FPV(H4473,K4473),IF(H4473="EI",4,IF(H4473="EO",5.2,IF(H4473="EQ",3.9,IF(H4473="ILF",7.5,IF(H4473="EIF",5.4)))))))</f>
        <v/>
      </c>
      <c r="M4473" s="30" t="str">
        <f t="shared" si="478"/>
        <v/>
      </c>
      <c r="N4473" s="134"/>
      <c r="O4473" s="29"/>
      <c r="P4473" s="37" t="str">
        <f t="shared" si="479"/>
        <v/>
      </c>
      <c r="Q4473" s="38" t="str">
        <f t="shared" si="480"/>
        <v/>
      </c>
      <c r="R4473" s="37" t="str">
        <f t="shared" si="481"/>
        <v/>
      </c>
      <c r="S4473" s="37" t="str">
        <f t="shared" si="482"/>
        <v/>
      </c>
      <c r="T4473" s="38" t="str">
        <f t="shared" si="483"/>
        <v/>
      </c>
      <c r="U4473" s="37" t="str">
        <f t="shared" si="484"/>
        <v/>
      </c>
    </row>
    <row r="4474" spans="2:21" ht="17.25">
      <c r="B4474" s="156"/>
      <c r="C4474" s="156"/>
      <c r="D4474" s="157"/>
      <c r="E4474" s="155"/>
      <c r="F4474" s="151"/>
      <c r="G4474" s="152"/>
      <c r="H4474" s="153"/>
      <c r="I4474" s="154"/>
      <c r="J4474" s="154"/>
      <c r="K4474" s="30" t="str">
        <f>IF(H4474="","",IF($C$30="간이법","",FPR(H4474,I4474,J4474)))</f>
        <v/>
      </c>
      <c r="L4474" s="30" t="str">
        <f>IF(H4474="","",IF($C$30="상세법",FPV(H4474,K4474),IF(H4474="EI",4,IF(H4474="EO",5.2,IF(H4474="EQ",3.9,IF(H4474="ILF",7.5,IF(H4474="EIF",5.4)))))))</f>
        <v/>
      </c>
      <c r="M4474" s="30" t="str">
        <f t="shared" si="478"/>
        <v/>
      </c>
      <c r="N4474" s="134"/>
      <c r="O4474" s="29"/>
      <c r="P4474" s="37" t="str">
        <f t="shared" si="479"/>
        <v/>
      </c>
      <c r="Q4474" s="38" t="str">
        <f t="shared" si="480"/>
        <v/>
      </c>
      <c r="R4474" s="37" t="str">
        <f t="shared" si="481"/>
        <v/>
      </c>
      <c r="S4474" s="37" t="str">
        <f t="shared" si="482"/>
        <v/>
      </c>
      <c r="T4474" s="38" t="str">
        <f t="shared" si="483"/>
        <v/>
      </c>
      <c r="U4474" s="37" t="str">
        <f t="shared" si="484"/>
        <v/>
      </c>
    </row>
    <row r="4475" spans="2:21" ht="17.25">
      <c r="B4475" s="156"/>
      <c r="C4475" s="156"/>
      <c r="D4475" s="157"/>
      <c r="E4475" s="155"/>
      <c r="F4475" s="151"/>
      <c r="G4475" s="152"/>
      <c r="H4475" s="153"/>
      <c r="I4475" s="154"/>
      <c r="J4475" s="154"/>
      <c r="K4475" s="30" t="str">
        <f>IF(H4475="","",IF($C$30="간이법","",FPR(H4475,I4475,J4475)))</f>
        <v/>
      </c>
      <c r="L4475" s="30" t="str">
        <f>IF(H4475="","",IF($C$30="상세법",FPV(H4475,K4475),IF(H4475="EI",4,IF(H4475="EO",5.2,IF(H4475="EQ",3.9,IF(H4475="ILF",7.5,IF(H4475="EIF",5.4)))))))</f>
        <v/>
      </c>
      <c r="M4475" s="30" t="str">
        <f t="shared" si="478"/>
        <v/>
      </c>
      <c r="N4475" s="134"/>
      <c r="O4475" s="29"/>
      <c r="P4475" s="37" t="str">
        <f t="shared" si="479"/>
        <v/>
      </c>
      <c r="Q4475" s="38" t="str">
        <f t="shared" si="480"/>
        <v/>
      </c>
      <c r="R4475" s="37" t="str">
        <f t="shared" si="481"/>
        <v/>
      </c>
      <c r="S4475" s="37" t="str">
        <f t="shared" si="482"/>
        <v/>
      </c>
      <c r="T4475" s="38" t="str">
        <f t="shared" si="483"/>
        <v/>
      </c>
      <c r="U4475" s="37" t="str">
        <f t="shared" si="484"/>
        <v/>
      </c>
    </row>
    <row r="4476" spans="2:21" ht="17.25">
      <c r="B4476" s="156"/>
      <c r="C4476" s="156"/>
      <c r="D4476" s="157"/>
      <c r="E4476" s="155"/>
      <c r="F4476" s="151"/>
      <c r="G4476" s="152"/>
      <c r="H4476" s="153"/>
      <c r="I4476" s="154"/>
      <c r="J4476" s="154"/>
      <c r="K4476" s="30" t="str">
        <f>IF(H4476="","",IF($C$30="간이법","",FPR(H4476,I4476,J4476)))</f>
        <v/>
      </c>
      <c r="L4476" s="30" t="str">
        <f>IF(H4476="","",IF($C$30="상세법",FPV(H4476,K4476),IF(H4476="EI",4,IF(H4476="EO",5.2,IF(H4476="EQ",3.9,IF(H4476="ILF",7.5,IF(H4476="EIF",5.4)))))))</f>
        <v/>
      </c>
      <c r="M4476" s="30" t="str">
        <f t="shared" ref="M4476:M4539" si="485">IF(OR(G4476="",$E$36="(선택)",$E$40="(선택)",$E$41="(선택)",F4476="신규 개발",F4476="수정 없이 재사용"),"",(IF(F4476="수정 후 재사용",IF($E$50&lt;=0.5,L4476*($E$36+$E$50*100*(1+0.02*($E$40*$E$41)))/100,L4476*($E$36+$E$50*100+($E$40*$E$41))/100))))</f>
        <v/>
      </c>
      <c r="N4476" s="134"/>
      <c r="O4476" s="29"/>
      <c r="P4476" s="37" t="str">
        <f t="shared" ref="P4476:P4539" si="486">IF(F4476="수정 후 재사용",IF(H4476="ILF",G4476,IF(H4476="EIF",G4476,"")),"")</f>
        <v/>
      </c>
      <c r="Q4476" s="38" t="str">
        <f t="shared" ref="Q4476:Q4539" si="487">IF(P4476&lt;&gt;"",IF(H4476="ILF", L4476/$E$46,IF(H4476="EIF", L4476/$E$46,"")),"")</f>
        <v/>
      </c>
      <c r="R4476" s="37" t="str">
        <f t="shared" ref="R4476:R4539" si="488">IF(P4476&lt;&gt;"",P4476*Q4476,"")</f>
        <v/>
      </c>
      <c r="S4476" s="37" t="str">
        <f t="shared" ref="S4476:S4539" si="489">IF(F4476="수정 후 재사용",IF(H4476="EI",G4476,IF(H4476="EO",G4476,IF(H4476="EQ",G4476,""))),"")</f>
        <v/>
      </c>
      <c r="T4476" s="38" t="str">
        <f t="shared" ref="T4476:T4539" si="490">IF(S4476&lt;&gt;"",IF(H4476="EI",L4476/$E$47,IF(H4476="EO",L4476/$E$47,IF(H4476="EQ",L4476/$E$47,""))),"")</f>
        <v/>
      </c>
      <c r="U4476" s="37" t="str">
        <f t="shared" ref="U4476:U4539" si="491">IF(S4476&lt;&gt;"",S4476*T4476,"")</f>
        <v/>
      </c>
    </row>
    <row r="4477" spans="2:21" ht="17.25">
      <c r="B4477" s="156"/>
      <c r="C4477" s="156"/>
      <c r="D4477" s="157"/>
      <c r="E4477" s="155"/>
      <c r="F4477" s="151"/>
      <c r="G4477" s="152"/>
      <c r="H4477" s="153"/>
      <c r="I4477" s="154"/>
      <c r="J4477" s="154"/>
      <c r="K4477" s="30" t="str">
        <f>IF(H4477="","",IF($C$30="간이법","",FPR(H4477,I4477,J4477)))</f>
        <v/>
      </c>
      <c r="L4477" s="30" t="str">
        <f>IF(H4477="","",IF($C$30="상세법",FPV(H4477,K4477),IF(H4477="EI",4,IF(H4477="EO",5.2,IF(H4477="EQ",3.9,IF(H4477="ILF",7.5,IF(H4477="EIF",5.4)))))))</f>
        <v/>
      </c>
      <c r="M4477" s="30" t="str">
        <f t="shared" si="485"/>
        <v/>
      </c>
      <c r="N4477" s="134"/>
      <c r="O4477" s="29"/>
      <c r="P4477" s="37" t="str">
        <f t="shared" si="486"/>
        <v/>
      </c>
      <c r="Q4477" s="38" t="str">
        <f t="shared" si="487"/>
        <v/>
      </c>
      <c r="R4477" s="37" t="str">
        <f t="shared" si="488"/>
        <v/>
      </c>
      <c r="S4477" s="37" t="str">
        <f t="shared" si="489"/>
        <v/>
      </c>
      <c r="T4477" s="38" t="str">
        <f t="shared" si="490"/>
        <v/>
      </c>
      <c r="U4477" s="37" t="str">
        <f t="shared" si="491"/>
        <v/>
      </c>
    </row>
    <row r="4478" spans="2:21" ht="17.25">
      <c r="B4478" s="156"/>
      <c r="C4478" s="156"/>
      <c r="D4478" s="157"/>
      <c r="E4478" s="155"/>
      <c r="F4478" s="151"/>
      <c r="G4478" s="152"/>
      <c r="H4478" s="153"/>
      <c r="I4478" s="154"/>
      <c r="J4478" s="154"/>
      <c r="K4478" s="30" t="str">
        <f>IF(H4478="","",IF($C$30="간이법","",FPR(H4478,I4478,J4478)))</f>
        <v/>
      </c>
      <c r="L4478" s="30" t="str">
        <f>IF(H4478="","",IF($C$30="상세법",FPV(H4478,K4478),IF(H4478="EI",4,IF(H4478="EO",5.2,IF(H4478="EQ",3.9,IF(H4478="ILF",7.5,IF(H4478="EIF",5.4)))))))</f>
        <v/>
      </c>
      <c r="M4478" s="30" t="str">
        <f t="shared" si="485"/>
        <v/>
      </c>
      <c r="N4478" s="134"/>
      <c r="O4478" s="29"/>
      <c r="P4478" s="37" t="str">
        <f t="shared" si="486"/>
        <v/>
      </c>
      <c r="Q4478" s="38" t="str">
        <f t="shared" si="487"/>
        <v/>
      </c>
      <c r="R4478" s="37" t="str">
        <f t="shared" si="488"/>
        <v/>
      </c>
      <c r="S4478" s="37" t="str">
        <f t="shared" si="489"/>
        <v/>
      </c>
      <c r="T4478" s="38" t="str">
        <f t="shared" si="490"/>
        <v/>
      </c>
      <c r="U4478" s="37" t="str">
        <f t="shared" si="491"/>
        <v/>
      </c>
    </row>
    <row r="4479" spans="2:21" ht="17.25">
      <c r="B4479" s="156"/>
      <c r="C4479" s="156"/>
      <c r="D4479" s="157"/>
      <c r="E4479" s="155"/>
      <c r="F4479" s="151"/>
      <c r="G4479" s="152"/>
      <c r="H4479" s="153"/>
      <c r="I4479" s="154"/>
      <c r="J4479" s="154"/>
      <c r="K4479" s="30" t="str">
        <f>IF(H4479="","",IF($C$30="간이법","",FPR(H4479,I4479,J4479)))</f>
        <v/>
      </c>
      <c r="L4479" s="30" t="str">
        <f>IF(H4479="","",IF($C$30="상세법",FPV(H4479,K4479),IF(H4479="EI",4,IF(H4479="EO",5.2,IF(H4479="EQ",3.9,IF(H4479="ILF",7.5,IF(H4479="EIF",5.4)))))))</f>
        <v/>
      </c>
      <c r="M4479" s="30" t="str">
        <f t="shared" si="485"/>
        <v/>
      </c>
      <c r="N4479" s="134"/>
      <c r="O4479" s="29"/>
      <c r="P4479" s="37" t="str">
        <f t="shared" si="486"/>
        <v/>
      </c>
      <c r="Q4479" s="38" t="str">
        <f t="shared" si="487"/>
        <v/>
      </c>
      <c r="R4479" s="37" t="str">
        <f t="shared" si="488"/>
        <v/>
      </c>
      <c r="S4479" s="37" t="str">
        <f t="shared" si="489"/>
        <v/>
      </c>
      <c r="T4479" s="38" t="str">
        <f t="shared" si="490"/>
        <v/>
      </c>
      <c r="U4479" s="37" t="str">
        <f t="shared" si="491"/>
        <v/>
      </c>
    </row>
    <row r="4480" spans="2:21" ht="17.25">
      <c r="B4480" s="156"/>
      <c r="C4480" s="156"/>
      <c r="D4480" s="157"/>
      <c r="E4480" s="155"/>
      <c r="F4480" s="151"/>
      <c r="G4480" s="152"/>
      <c r="H4480" s="153"/>
      <c r="I4480" s="154"/>
      <c r="J4480" s="154"/>
      <c r="K4480" s="30" t="str">
        <f>IF(H4480="","",IF($C$30="간이법","",FPR(H4480,I4480,J4480)))</f>
        <v/>
      </c>
      <c r="L4480" s="30" t="str">
        <f>IF(H4480="","",IF($C$30="상세법",FPV(H4480,K4480),IF(H4480="EI",4,IF(H4480="EO",5.2,IF(H4480="EQ",3.9,IF(H4480="ILF",7.5,IF(H4480="EIF",5.4)))))))</f>
        <v/>
      </c>
      <c r="M4480" s="30" t="str">
        <f t="shared" si="485"/>
        <v/>
      </c>
      <c r="N4480" s="134"/>
      <c r="O4480" s="29"/>
      <c r="P4480" s="37" t="str">
        <f t="shared" si="486"/>
        <v/>
      </c>
      <c r="Q4480" s="38" t="str">
        <f t="shared" si="487"/>
        <v/>
      </c>
      <c r="R4480" s="37" t="str">
        <f t="shared" si="488"/>
        <v/>
      </c>
      <c r="S4480" s="37" t="str">
        <f t="shared" si="489"/>
        <v/>
      </c>
      <c r="T4480" s="38" t="str">
        <f t="shared" si="490"/>
        <v/>
      </c>
      <c r="U4480" s="37" t="str">
        <f t="shared" si="491"/>
        <v/>
      </c>
    </row>
    <row r="4481" spans="2:21" ht="17.25">
      <c r="B4481" s="156"/>
      <c r="C4481" s="156"/>
      <c r="D4481" s="157"/>
      <c r="E4481" s="155"/>
      <c r="F4481" s="151"/>
      <c r="G4481" s="152"/>
      <c r="H4481" s="153"/>
      <c r="I4481" s="154"/>
      <c r="J4481" s="154"/>
      <c r="K4481" s="30" t="str">
        <f>IF(H4481="","",IF($C$30="간이법","",FPR(H4481,I4481,J4481)))</f>
        <v/>
      </c>
      <c r="L4481" s="30" t="str">
        <f>IF(H4481="","",IF($C$30="상세법",FPV(H4481,K4481),IF(H4481="EI",4,IF(H4481="EO",5.2,IF(H4481="EQ",3.9,IF(H4481="ILF",7.5,IF(H4481="EIF",5.4)))))))</f>
        <v/>
      </c>
      <c r="M4481" s="30" t="str">
        <f t="shared" si="485"/>
        <v/>
      </c>
      <c r="N4481" s="134"/>
      <c r="O4481" s="29"/>
      <c r="P4481" s="37" t="str">
        <f t="shared" si="486"/>
        <v/>
      </c>
      <c r="Q4481" s="38" t="str">
        <f t="shared" si="487"/>
        <v/>
      </c>
      <c r="R4481" s="37" t="str">
        <f t="shared" si="488"/>
        <v/>
      </c>
      <c r="S4481" s="37" t="str">
        <f t="shared" si="489"/>
        <v/>
      </c>
      <c r="T4481" s="38" t="str">
        <f t="shared" si="490"/>
        <v/>
      </c>
      <c r="U4481" s="37" t="str">
        <f t="shared" si="491"/>
        <v/>
      </c>
    </row>
    <row r="4482" spans="2:21" ht="17.25">
      <c r="B4482" s="156"/>
      <c r="C4482" s="156"/>
      <c r="D4482" s="157"/>
      <c r="E4482" s="155"/>
      <c r="F4482" s="151"/>
      <c r="G4482" s="152"/>
      <c r="H4482" s="153"/>
      <c r="I4482" s="154"/>
      <c r="J4482" s="154"/>
      <c r="K4482" s="30" t="str">
        <f>IF(H4482="","",IF($C$30="간이법","",FPR(H4482,I4482,J4482)))</f>
        <v/>
      </c>
      <c r="L4482" s="30" t="str">
        <f>IF(H4482="","",IF($C$30="상세법",FPV(H4482,K4482),IF(H4482="EI",4,IF(H4482="EO",5.2,IF(H4482="EQ",3.9,IF(H4482="ILF",7.5,IF(H4482="EIF",5.4)))))))</f>
        <v/>
      </c>
      <c r="M4482" s="30" t="str">
        <f t="shared" si="485"/>
        <v/>
      </c>
      <c r="N4482" s="134"/>
      <c r="O4482" s="29"/>
      <c r="P4482" s="37" t="str">
        <f t="shared" si="486"/>
        <v/>
      </c>
      <c r="Q4482" s="38" t="str">
        <f t="shared" si="487"/>
        <v/>
      </c>
      <c r="R4482" s="37" t="str">
        <f t="shared" si="488"/>
        <v/>
      </c>
      <c r="S4482" s="37" t="str">
        <f t="shared" si="489"/>
        <v/>
      </c>
      <c r="T4482" s="38" t="str">
        <f t="shared" si="490"/>
        <v/>
      </c>
      <c r="U4482" s="37" t="str">
        <f t="shared" si="491"/>
        <v/>
      </c>
    </row>
    <row r="4483" spans="2:21" ht="17.25">
      <c r="B4483" s="156"/>
      <c r="C4483" s="156"/>
      <c r="D4483" s="157"/>
      <c r="E4483" s="155"/>
      <c r="F4483" s="151"/>
      <c r="G4483" s="152"/>
      <c r="H4483" s="153"/>
      <c r="I4483" s="154"/>
      <c r="J4483" s="154"/>
      <c r="K4483" s="30" t="str">
        <f>IF(H4483="","",IF($C$30="간이법","",FPR(H4483,I4483,J4483)))</f>
        <v/>
      </c>
      <c r="L4483" s="30" t="str">
        <f>IF(H4483="","",IF($C$30="상세법",FPV(H4483,K4483),IF(H4483="EI",4,IF(H4483="EO",5.2,IF(H4483="EQ",3.9,IF(H4483="ILF",7.5,IF(H4483="EIF",5.4)))))))</f>
        <v/>
      </c>
      <c r="M4483" s="30" t="str">
        <f t="shared" si="485"/>
        <v/>
      </c>
      <c r="N4483" s="134"/>
      <c r="O4483" s="29"/>
      <c r="P4483" s="37" t="str">
        <f t="shared" si="486"/>
        <v/>
      </c>
      <c r="Q4483" s="38" t="str">
        <f t="shared" si="487"/>
        <v/>
      </c>
      <c r="R4483" s="37" t="str">
        <f t="shared" si="488"/>
        <v/>
      </c>
      <c r="S4483" s="37" t="str">
        <f t="shared" si="489"/>
        <v/>
      </c>
      <c r="T4483" s="38" t="str">
        <f t="shared" si="490"/>
        <v/>
      </c>
      <c r="U4483" s="37" t="str">
        <f t="shared" si="491"/>
        <v/>
      </c>
    </row>
    <row r="4484" spans="2:21" ht="17.25">
      <c r="B4484" s="156"/>
      <c r="C4484" s="156"/>
      <c r="D4484" s="157"/>
      <c r="E4484" s="155"/>
      <c r="F4484" s="151"/>
      <c r="G4484" s="152"/>
      <c r="H4484" s="153"/>
      <c r="I4484" s="154"/>
      <c r="J4484" s="154"/>
      <c r="K4484" s="30" t="str">
        <f>IF(H4484="","",IF($C$30="간이법","",FPR(H4484,I4484,J4484)))</f>
        <v/>
      </c>
      <c r="L4484" s="30" t="str">
        <f>IF(H4484="","",IF($C$30="상세법",FPV(H4484,K4484),IF(H4484="EI",4,IF(H4484="EO",5.2,IF(H4484="EQ",3.9,IF(H4484="ILF",7.5,IF(H4484="EIF",5.4)))))))</f>
        <v/>
      </c>
      <c r="M4484" s="30" t="str">
        <f t="shared" si="485"/>
        <v/>
      </c>
      <c r="N4484" s="134"/>
      <c r="O4484" s="29"/>
      <c r="P4484" s="37" t="str">
        <f t="shared" si="486"/>
        <v/>
      </c>
      <c r="Q4484" s="38" t="str">
        <f t="shared" si="487"/>
        <v/>
      </c>
      <c r="R4484" s="37" t="str">
        <f t="shared" si="488"/>
        <v/>
      </c>
      <c r="S4484" s="37" t="str">
        <f t="shared" si="489"/>
        <v/>
      </c>
      <c r="T4484" s="38" t="str">
        <f t="shared" si="490"/>
        <v/>
      </c>
      <c r="U4484" s="37" t="str">
        <f t="shared" si="491"/>
        <v/>
      </c>
    </row>
    <row r="4485" spans="2:21" ht="17.25">
      <c r="B4485" s="156"/>
      <c r="C4485" s="156"/>
      <c r="D4485" s="157"/>
      <c r="E4485" s="155"/>
      <c r="F4485" s="151"/>
      <c r="G4485" s="152"/>
      <c r="H4485" s="153"/>
      <c r="I4485" s="154"/>
      <c r="J4485" s="154"/>
      <c r="K4485" s="30" t="str">
        <f>IF(H4485="","",IF($C$30="간이법","",FPR(H4485,I4485,J4485)))</f>
        <v/>
      </c>
      <c r="L4485" s="30" t="str">
        <f>IF(H4485="","",IF($C$30="상세법",FPV(H4485,K4485),IF(H4485="EI",4,IF(H4485="EO",5.2,IF(H4485="EQ",3.9,IF(H4485="ILF",7.5,IF(H4485="EIF",5.4)))))))</f>
        <v/>
      </c>
      <c r="M4485" s="30" t="str">
        <f t="shared" si="485"/>
        <v/>
      </c>
      <c r="N4485" s="134"/>
      <c r="O4485" s="29"/>
      <c r="P4485" s="37" t="str">
        <f t="shared" si="486"/>
        <v/>
      </c>
      <c r="Q4485" s="38" t="str">
        <f t="shared" si="487"/>
        <v/>
      </c>
      <c r="R4485" s="37" t="str">
        <f t="shared" si="488"/>
        <v/>
      </c>
      <c r="S4485" s="37" t="str">
        <f t="shared" si="489"/>
        <v/>
      </c>
      <c r="T4485" s="38" t="str">
        <f t="shared" si="490"/>
        <v/>
      </c>
      <c r="U4485" s="37" t="str">
        <f t="shared" si="491"/>
        <v/>
      </c>
    </row>
    <row r="4486" spans="2:21" ht="17.25">
      <c r="B4486" s="156"/>
      <c r="C4486" s="156"/>
      <c r="D4486" s="157"/>
      <c r="E4486" s="155"/>
      <c r="F4486" s="151"/>
      <c r="G4486" s="152"/>
      <c r="H4486" s="153"/>
      <c r="I4486" s="154"/>
      <c r="J4486" s="154"/>
      <c r="K4486" s="30" t="str">
        <f>IF(H4486="","",IF($C$30="간이법","",FPR(H4486,I4486,J4486)))</f>
        <v/>
      </c>
      <c r="L4486" s="30" t="str">
        <f>IF(H4486="","",IF($C$30="상세법",FPV(H4486,K4486),IF(H4486="EI",4,IF(H4486="EO",5.2,IF(H4486="EQ",3.9,IF(H4486="ILF",7.5,IF(H4486="EIF",5.4)))))))</f>
        <v/>
      </c>
      <c r="M4486" s="30" t="str">
        <f t="shared" si="485"/>
        <v/>
      </c>
      <c r="N4486" s="134"/>
      <c r="O4486" s="29"/>
      <c r="P4486" s="37" t="str">
        <f t="shared" si="486"/>
        <v/>
      </c>
      <c r="Q4486" s="38" t="str">
        <f t="shared" si="487"/>
        <v/>
      </c>
      <c r="R4486" s="37" t="str">
        <f t="shared" si="488"/>
        <v/>
      </c>
      <c r="S4486" s="37" t="str">
        <f t="shared" si="489"/>
        <v/>
      </c>
      <c r="T4486" s="38" t="str">
        <f t="shared" si="490"/>
        <v/>
      </c>
      <c r="U4486" s="37" t="str">
        <f t="shared" si="491"/>
        <v/>
      </c>
    </row>
    <row r="4487" spans="2:21" ht="17.25">
      <c r="B4487" s="156"/>
      <c r="C4487" s="156"/>
      <c r="D4487" s="157"/>
      <c r="E4487" s="155"/>
      <c r="F4487" s="151"/>
      <c r="G4487" s="152"/>
      <c r="H4487" s="153"/>
      <c r="I4487" s="154"/>
      <c r="J4487" s="154"/>
      <c r="K4487" s="30" t="str">
        <f>IF(H4487="","",IF($C$30="간이법","",FPR(H4487,I4487,J4487)))</f>
        <v/>
      </c>
      <c r="L4487" s="30" t="str">
        <f>IF(H4487="","",IF($C$30="상세법",FPV(H4487,K4487),IF(H4487="EI",4,IF(H4487="EO",5.2,IF(H4487="EQ",3.9,IF(H4487="ILF",7.5,IF(H4487="EIF",5.4)))))))</f>
        <v/>
      </c>
      <c r="M4487" s="30" t="str">
        <f t="shared" si="485"/>
        <v/>
      </c>
      <c r="N4487" s="134"/>
      <c r="O4487" s="29"/>
      <c r="P4487" s="37" t="str">
        <f t="shared" si="486"/>
        <v/>
      </c>
      <c r="Q4487" s="38" t="str">
        <f t="shared" si="487"/>
        <v/>
      </c>
      <c r="R4487" s="37" t="str">
        <f t="shared" si="488"/>
        <v/>
      </c>
      <c r="S4487" s="37" t="str">
        <f t="shared" si="489"/>
        <v/>
      </c>
      <c r="T4487" s="38" t="str">
        <f t="shared" si="490"/>
        <v/>
      </c>
      <c r="U4487" s="37" t="str">
        <f t="shared" si="491"/>
        <v/>
      </c>
    </row>
    <row r="4488" spans="2:21" ht="17.25">
      <c r="B4488" s="156"/>
      <c r="C4488" s="156"/>
      <c r="D4488" s="157"/>
      <c r="E4488" s="155"/>
      <c r="F4488" s="151"/>
      <c r="G4488" s="152"/>
      <c r="H4488" s="153"/>
      <c r="I4488" s="154"/>
      <c r="J4488" s="154"/>
      <c r="K4488" s="30" t="str">
        <f>IF(H4488="","",IF($C$30="간이법","",FPR(H4488,I4488,J4488)))</f>
        <v/>
      </c>
      <c r="L4488" s="30" t="str">
        <f>IF(H4488="","",IF($C$30="상세법",FPV(H4488,K4488),IF(H4488="EI",4,IF(H4488="EO",5.2,IF(H4488="EQ",3.9,IF(H4488="ILF",7.5,IF(H4488="EIF",5.4)))))))</f>
        <v/>
      </c>
      <c r="M4488" s="30" t="str">
        <f t="shared" si="485"/>
        <v/>
      </c>
      <c r="N4488" s="134"/>
      <c r="O4488" s="29"/>
      <c r="P4488" s="37" t="str">
        <f t="shared" si="486"/>
        <v/>
      </c>
      <c r="Q4488" s="38" t="str">
        <f t="shared" si="487"/>
        <v/>
      </c>
      <c r="R4488" s="37" t="str">
        <f t="shared" si="488"/>
        <v/>
      </c>
      <c r="S4488" s="37" t="str">
        <f t="shared" si="489"/>
        <v/>
      </c>
      <c r="T4488" s="38" t="str">
        <f t="shared" si="490"/>
        <v/>
      </c>
      <c r="U4488" s="37" t="str">
        <f t="shared" si="491"/>
        <v/>
      </c>
    </row>
    <row r="4489" spans="2:21" ht="17.25">
      <c r="B4489" s="156"/>
      <c r="C4489" s="156"/>
      <c r="D4489" s="157"/>
      <c r="E4489" s="155"/>
      <c r="F4489" s="151"/>
      <c r="G4489" s="152"/>
      <c r="H4489" s="153"/>
      <c r="I4489" s="154"/>
      <c r="J4489" s="154"/>
      <c r="K4489" s="30" t="str">
        <f>IF(H4489="","",IF($C$30="간이법","",FPR(H4489,I4489,J4489)))</f>
        <v/>
      </c>
      <c r="L4489" s="30" t="str">
        <f>IF(H4489="","",IF($C$30="상세법",FPV(H4489,K4489),IF(H4489="EI",4,IF(H4489="EO",5.2,IF(H4489="EQ",3.9,IF(H4489="ILF",7.5,IF(H4489="EIF",5.4)))))))</f>
        <v/>
      </c>
      <c r="M4489" s="30" t="str">
        <f t="shared" si="485"/>
        <v/>
      </c>
      <c r="N4489" s="134"/>
      <c r="O4489" s="29"/>
      <c r="P4489" s="37" t="str">
        <f t="shared" si="486"/>
        <v/>
      </c>
      <c r="Q4489" s="38" t="str">
        <f t="shared" si="487"/>
        <v/>
      </c>
      <c r="R4489" s="37" t="str">
        <f t="shared" si="488"/>
        <v/>
      </c>
      <c r="S4489" s="37" t="str">
        <f t="shared" si="489"/>
        <v/>
      </c>
      <c r="T4489" s="38" t="str">
        <f t="shared" si="490"/>
        <v/>
      </c>
      <c r="U4489" s="37" t="str">
        <f t="shared" si="491"/>
        <v/>
      </c>
    </row>
    <row r="4490" spans="2:21" ht="17.25">
      <c r="B4490" s="156"/>
      <c r="C4490" s="156"/>
      <c r="D4490" s="157"/>
      <c r="E4490" s="155"/>
      <c r="F4490" s="151"/>
      <c r="G4490" s="152"/>
      <c r="H4490" s="153"/>
      <c r="I4490" s="154"/>
      <c r="J4490" s="154"/>
      <c r="K4490" s="30" t="str">
        <f>IF(H4490="","",IF($C$30="간이법","",FPR(H4490,I4490,J4490)))</f>
        <v/>
      </c>
      <c r="L4490" s="30" t="str">
        <f>IF(H4490="","",IF($C$30="상세법",FPV(H4490,K4490),IF(H4490="EI",4,IF(H4490="EO",5.2,IF(H4490="EQ",3.9,IF(H4490="ILF",7.5,IF(H4490="EIF",5.4)))))))</f>
        <v/>
      </c>
      <c r="M4490" s="30" t="str">
        <f t="shared" si="485"/>
        <v/>
      </c>
      <c r="N4490" s="134"/>
      <c r="O4490" s="29"/>
      <c r="P4490" s="37" t="str">
        <f t="shared" si="486"/>
        <v/>
      </c>
      <c r="Q4490" s="38" t="str">
        <f t="shared" si="487"/>
        <v/>
      </c>
      <c r="R4490" s="37" t="str">
        <f t="shared" si="488"/>
        <v/>
      </c>
      <c r="S4490" s="37" t="str">
        <f t="shared" si="489"/>
        <v/>
      </c>
      <c r="T4490" s="38" t="str">
        <f t="shared" si="490"/>
        <v/>
      </c>
      <c r="U4490" s="37" t="str">
        <f t="shared" si="491"/>
        <v/>
      </c>
    </row>
    <row r="4491" spans="2:21" ht="17.25">
      <c r="B4491" s="156"/>
      <c r="C4491" s="156"/>
      <c r="D4491" s="157"/>
      <c r="E4491" s="155"/>
      <c r="F4491" s="151"/>
      <c r="G4491" s="152"/>
      <c r="H4491" s="153"/>
      <c r="I4491" s="154"/>
      <c r="J4491" s="154"/>
      <c r="K4491" s="30" t="str">
        <f>IF(H4491="","",IF($C$30="간이법","",FPR(H4491,I4491,J4491)))</f>
        <v/>
      </c>
      <c r="L4491" s="30" t="str">
        <f>IF(H4491="","",IF($C$30="상세법",FPV(H4491,K4491),IF(H4491="EI",4,IF(H4491="EO",5.2,IF(H4491="EQ",3.9,IF(H4491="ILF",7.5,IF(H4491="EIF",5.4)))))))</f>
        <v/>
      </c>
      <c r="M4491" s="30" t="str">
        <f t="shared" si="485"/>
        <v/>
      </c>
      <c r="N4491" s="134"/>
      <c r="O4491" s="29"/>
      <c r="P4491" s="37" t="str">
        <f t="shared" si="486"/>
        <v/>
      </c>
      <c r="Q4491" s="38" t="str">
        <f t="shared" si="487"/>
        <v/>
      </c>
      <c r="R4491" s="37" t="str">
        <f t="shared" si="488"/>
        <v/>
      </c>
      <c r="S4491" s="37" t="str">
        <f t="shared" si="489"/>
        <v/>
      </c>
      <c r="T4491" s="38" t="str">
        <f t="shared" si="490"/>
        <v/>
      </c>
      <c r="U4491" s="37" t="str">
        <f t="shared" si="491"/>
        <v/>
      </c>
    </row>
    <row r="4492" spans="2:21" ht="17.25">
      <c r="B4492" s="156"/>
      <c r="C4492" s="156"/>
      <c r="D4492" s="157"/>
      <c r="E4492" s="155"/>
      <c r="F4492" s="151"/>
      <c r="G4492" s="152"/>
      <c r="H4492" s="153"/>
      <c r="I4492" s="154"/>
      <c r="J4492" s="154"/>
      <c r="K4492" s="30" t="str">
        <f>IF(H4492="","",IF($C$30="간이법","",FPR(H4492,I4492,J4492)))</f>
        <v/>
      </c>
      <c r="L4492" s="30" t="str">
        <f>IF(H4492="","",IF($C$30="상세법",FPV(H4492,K4492),IF(H4492="EI",4,IF(H4492="EO",5.2,IF(H4492="EQ",3.9,IF(H4492="ILF",7.5,IF(H4492="EIF",5.4)))))))</f>
        <v/>
      </c>
      <c r="M4492" s="30" t="str">
        <f t="shared" si="485"/>
        <v/>
      </c>
      <c r="N4492" s="134"/>
      <c r="O4492" s="29"/>
      <c r="P4492" s="37" t="str">
        <f t="shared" si="486"/>
        <v/>
      </c>
      <c r="Q4492" s="38" t="str">
        <f t="shared" si="487"/>
        <v/>
      </c>
      <c r="R4492" s="37" t="str">
        <f t="shared" si="488"/>
        <v/>
      </c>
      <c r="S4492" s="37" t="str">
        <f t="shared" si="489"/>
        <v/>
      </c>
      <c r="T4492" s="38" t="str">
        <f t="shared" si="490"/>
        <v/>
      </c>
      <c r="U4492" s="37" t="str">
        <f t="shared" si="491"/>
        <v/>
      </c>
    </row>
    <row r="4493" spans="2:21" ht="17.25">
      <c r="B4493" s="156"/>
      <c r="C4493" s="156"/>
      <c r="D4493" s="157"/>
      <c r="E4493" s="155"/>
      <c r="F4493" s="151"/>
      <c r="G4493" s="152"/>
      <c r="H4493" s="153"/>
      <c r="I4493" s="154"/>
      <c r="J4493" s="154"/>
      <c r="K4493" s="30" t="str">
        <f>IF(H4493="","",IF($C$30="간이법","",FPR(H4493,I4493,J4493)))</f>
        <v/>
      </c>
      <c r="L4493" s="30" t="str">
        <f>IF(H4493="","",IF($C$30="상세법",FPV(H4493,K4493),IF(H4493="EI",4,IF(H4493="EO",5.2,IF(H4493="EQ",3.9,IF(H4493="ILF",7.5,IF(H4493="EIF",5.4)))))))</f>
        <v/>
      </c>
      <c r="M4493" s="30" t="str">
        <f t="shared" si="485"/>
        <v/>
      </c>
      <c r="N4493" s="134"/>
      <c r="O4493" s="29"/>
      <c r="P4493" s="37" t="str">
        <f t="shared" si="486"/>
        <v/>
      </c>
      <c r="Q4493" s="38" t="str">
        <f t="shared" si="487"/>
        <v/>
      </c>
      <c r="R4493" s="37" t="str">
        <f t="shared" si="488"/>
        <v/>
      </c>
      <c r="S4493" s="37" t="str">
        <f t="shared" si="489"/>
        <v/>
      </c>
      <c r="T4493" s="38" t="str">
        <f t="shared" si="490"/>
        <v/>
      </c>
      <c r="U4493" s="37" t="str">
        <f t="shared" si="491"/>
        <v/>
      </c>
    </row>
    <row r="4494" spans="2:21" ht="17.25">
      <c r="B4494" s="156"/>
      <c r="C4494" s="156"/>
      <c r="D4494" s="157"/>
      <c r="E4494" s="155"/>
      <c r="F4494" s="151"/>
      <c r="G4494" s="152"/>
      <c r="H4494" s="153"/>
      <c r="I4494" s="154"/>
      <c r="J4494" s="154"/>
      <c r="K4494" s="30" t="str">
        <f>IF(H4494="","",IF($C$30="간이법","",FPR(H4494,I4494,J4494)))</f>
        <v/>
      </c>
      <c r="L4494" s="30" t="str">
        <f>IF(H4494="","",IF($C$30="상세법",FPV(H4494,K4494),IF(H4494="EI",4,IF(H4494="EO",5.2,IF(H4494="EQ",3.9,IF(H4494="ILF",7.5,IF(H4494="EIF",5.4)))))))</f>
        <v/>
      </c>
      <c r="M4494" s="30" t="str">
        <f t="shared" si="485"/>
        <v/>
      </c>
      <c r="N4494" s="134"/>
      <c r="O4494" s="29"/>
      <c r="P4494" s="37" t="str">
        <f t="shared" si="486"/>
        <v/>
      </c>
      <c r="Q4494" s="38" t="str">
        <f t="shared" si="487"/>
        <v/>
      </c>
      <c r="R4494" s="37" t="str">
        <f t="shared" si="488"/>
        <v/>
      </c>
      <c r="S4494" s="37" t="str">
        <f t="shared" si="489"/>
        <v/>
      </c>
      <c r="T4494" s="38" t="str">
        <f t="shared" si="490"/>
        <v/>
      </c>
      <c r="U4494" s="37" t="str">
        <f t="shared" si="491"/>
        <v/>
      </c>
    </row>
    <row r="4495" spans="2:21" ht="17.25">
      <c r="B4495" s="156"/>
      <c r="C4495" s="156"/>
      <c r="D4495" s="157"/>
      <c r="E4495" s="155"/>
      <c r="F4495" s="151"/>
      <c r="G4495" s="152"/>
      <c r="H4495" s="153"/>
      <c r="I4495" s="154"/>
      <c r="J4495" s="154"/>
      <c r="K4495" s="30" t="str">
        <f>IF(H4495="","",IF($C$30="간이법","",FPR(H4495,I4495,J4495)))</f>
        <v/>
      </c>
      <c r="L4495" s="30" t="str">
        <f>IF(H4495="","",IF($C$30="상세법",FPV(H4495,K4495),IF(H4495="EI",4,IF(H4495="EO",5.2,IF(H4495="EQ",3.9,IF(H4495="ILF",7.5,IF(H4495="EIF",5.4)))))))</f>
        <v/>
      </c>
      <c r="M4495" s="30" t="str">
        <f t="shared" si="485"/>
        <v/>
      </c>
      <c r="N4495" s="134"/>
      <c r="O4495" s="29"/>
      <c r="P4495" s="37" t="str">
        <f t="shared" si="486"/>
        <v/>
      </c>
      <c r="Q4495" s="38" t="str">
        <f t="shared" si="487"/>
        <v/>
      </c>
      <c r="R4495" s="37" t="str">
        <f t="shared" si="488"/>
        <v/>
      </c>
      <c r="S4495" s="37" t="str">
        <f t="shared" si="489"/>
        <v/>
      </c>
      <c r="T4495" s="38" t="str">
        <f t="shared" si="490"/>
        <v/>
      </c>
      <c r="U4495" s="37" t="str">
        <f t="shared" si="491"/>
        <v/>
      </c>
    </row>
    <row r="4496" spans="2:21" ht="17.25">
      <c r="B4496" s="156"/>
      <c r="C4496" s="156"/>
      <c r="D4496" s="157"/>
      <c r="E4496" s="155"/>
      <c r="F4496" s="151"/>
      <c r="G4496" s="152"/>
      <c r="H4496" s="153"/>
      <c r="I4496" s="154"/>
      <c r="J4496" s="154"/>
      <c r="K4496" s="30" t="str">
        <f>IF(H4496="","",IF($C$30="간이법","",FPR(H4496,I4496,J4496)))</f>
        <v/>
      </c>
      <c r="L4496" s="30" t="str">
        <f>IF(H4496="","",IF($C$30="상세법",FPV(H4496,K4496),IF(H4496="EI",4,IF(H4496="EO",5.2,IF(H4496="EQ",3.9,IF(H4496="ILF",7.5,IF(H4496="EIF",5.4)))))))</f>
        <v/>
      </c>
      <c r="M4496" s="30" t="str">
        <f t="shared" si="485"/>
        <v/>
      </c>
      <c r="N4496" s="134"/>
      <c r="O4496" s="29"/>
      <c r="P4496" s="37" t="str">
        <f t="shared" si="486"/>
        <v/>
      </c>
      <c r="Q4496" s="38" t="str">
        <f t="shared" si="487"/>
        <v/>
      </c>
      <c r="R4496" s="37" t="str">
        <f t="shared" si="488"/>
        <v/>
      </c>
      <c r="S4496" s="37" t="str">
        <f t="shared" si="489"/>
        <v/>
      </c>
      <c r="T4496" s="38" t="str">
        <f t="shared" si="490"/>
        <v/>
      </c>
      <c r="U4496" s="37" t="str">
        <f t="shared" si="491"/>
        <v/>
      </c>
    </row>
    <row r="4497" spans="2:21" ht="17.25">
      <c r="B4497" s="156"/>
      <c r="C4497" s="156"/>
      <c r="D4497" s="157"/>
      <c r="E4497" s="155"/>
      <c r="F4497" s="151"/>
      <c r="G4497" s="152"/>
      <c r="H4497" s="153"/>
      <c r="I4497" s="154"/>
      <c r="J4497" s="154"/>
      <c r="K4497" s="30" t="str">
        <f>IF(H4497="","",IF($C$30="간이법","",FPR(H4497,I4497,J4497)))</f>
        <v/>
      </c>
      <c r="L4497" s="30" t="str">
        <f>IF(H4497="","",IF($C$30="상세법",FPV(H4497,K4497),IF(H4497="EI",4,IF(H4497="EO",5.2,IF(H4497="EQ",3.9,IF(H4497="ILF",7.5,IF(H4497="EIF",5.4)))))))</f>
        <v/>
      </c>
      <c r="M4497" s="30" t="str">
        <f t="shared" si="485"/>
        <v/>
      </c>
      <c r="N4497" s="134"/>
      <c r="O4497" s="29"/>
      <c r="P4497" s="37" t="str">
        <f t="shared" si="486"/>
        <v/>
      </c>
      <c r="Q4497" s="38" t="str">
        <f t="shared" si="487"/>
        <v/>
      </c>
      <c r="R4497" s="37" t="str">
        <f t="shared" si="488"/>
        <v/>
      </c>
      <c r="S4497" s="37" t="str">
        <f t="shared" si="489"/>
        <v/>
      </c>
      <c r="T4497" s="38" t="str">
        <f t="shared" si="490"/>
        <v/>
      </c>
      <c r="U4497" s="37" t="str">
        <f t="shared" si="491"/>
        <v/>
      </c>
    </row>
    <row r="4498" spans="2:21" ht="17.25">
      <c r="B4498" s="156"/>
      <c r="C4498" s="156"/>
      <c r="D4498" s="157"/>
      <c r="E4498" s="155"/>
      <c r="F4498" s="151"/>
      <c r="G4498" s="152"/>
      <c r="H4498" s="153"/>
      <c r="I4498" s="154"/>
      <c r="J4498" s="154"/>
      <c r="K4498" s="30" t="str">
        <f>IF(H4498="","",IF($C$30="간이법","",FPR(H4498,I4498,J4498)))</f>
        <v/>
      </c>
      <c r="L4498" s="30" t="str">
        <f>IF(H4498="","",IF($C$30="상세법",FPV(H4498,K4498),IF(H4498="EI",4,IF(H4498="EO",5.2,IF(H4498="EQ",3.9,IF(H4498="ILF",7.5,IF(H4498="EIF",5.4)))))))</f>
        <v/>
      </c>
      <c r="M4498" s="30" t="str">
        <f t="shared" si="485"/>
        <v/>
      </c>
      <c r="N4498" s="134"/>
      <c r="O4498" s="29"/>
      <c r="P4498" s="37" t="str">
        <f t="shared" si="486"/>
        <v/>
      </c>
      <c r="Q4498" s="38" t="str">
        <f t="shared" si="487"/>
        <v/>
      </c>
      <c r="R4498" s="37" t="str">
        <f t="shared" si="488"/>
        <v/>
      </c>
      <c r="S4498" s="37" t="str">
        <f t="shared" si="489"/>
        <v/>
      </c>
      <c r="T4498" s="38" t="str">
        <f t="shared" si="490"/>
        <v/>
      </c>
      <c r="U4498" s="37" t="str">
        <f t="shared" si="491"/>
        <v/>
      </c>
    </row>
    <row r="4499" spans="2:21" ht="17.25">
      <c r="B4499" s="156"/>
      <c r="C4499" s="156"/>
      <c r="D4499" s="157"/>
      <c r="E4499" s="155"/>
      <c r="F4499" s="151"/>
      <c r="G4499" s="152"/>
      <c r="H4499" s="153"/>
      <c r="I4499" s="154"/>
      <c r="J4499" s="154"/>
      <c r="K4499" s="30" t="str">
        <f>IF(H4499="","",IF($C$30="간이법","",FPR(H4499,I4499,J4499)))</f>
        <v/>
      </c>
      <c r="L4499" s="30" t="str">
        <f>IF(H4499="","",IF($C$30="상세법",FPV(H4499,K4499),IF(H4499="EI",4,IF(H4499="EO",5.2,IF(H4499="EQ",3.9,IF(H4499="ILF",7.5,IF(H4499="EIF",5.4)))))))</f>
        <v/>
      </c>
      <c r="M4499" s="30" t="str">
        <f t="shared" si="485"/>
        <v/>
      </c>
      <c r="N4499" s="134"/>
      <c r="O4499" s="29"/>
      <c r="P4499" s="37" t="str">
        <f t="shared" si="486"/>
        <v/>
      </c>
      <c r="Q4499" s="38" t="str">
        <f t="shared" si="487"/>
        <v/>
      </c>
      <c r="R4499" s="37" t="str">
        <f t="shared" si="488"/>
        <v/>
      </c>
      <c r="S4499" s="37" t="str">
        <f t="shared" si="489"/>
        <v/>
      </c>
      <c r="T4499" s="38" t="str">
        <f t="shared" si="490"/>
        <v/>
      </c>
      <c r="U4499" s="37" t="str">
        <f t="shared" si="491"/>
        <v/>
      </c>
    </row>
    <row r="4500" spans="2:21" ht="17.25">
      <c r="B4500" s="156"/>
      <c r="C4500" s="156"/>
      <c r="D4500" s="157"/>
      <c r="E4500" s="155"/>
      <c r="F4500" s="151"/>
      <c r="G4500" s="152"/>
      <c r="H4500" s="153"/>
      <c r="I4500" s="154"/>
      <c r="J4500" s="154"/>
      <c r="K4500" s="30" t="str">
        <f>IF(H4500="","",IF($C$30="간이법","",FPR(H4500,I4500,J4500)))</f>
        <v/>
      </c>
      <c r="L4500" s="30" t="str">
        <f>IF(H4500="","",IF($C$30="상세법",FPV(H4500,K4500),IF(H4500="EI",4,IF(H4500="EO",5.2,IF(H4500="EQ",3.9,IF(H4500="ILF",7.5,IF(H4500="EIF",5.4)))))))</f>
        <v/>
      </c>
      <c r="M4500" s="30" t="str">
        <f t="shared" si="485"/>
        <v/>
      </c>
      <c r="N4500" s="134"/>
      <c r="O4500" s="29"/>
      <c r="P4500" s="37" t="str">
        <f t="shared" si="486"/>
        <v/>
      </c>
      <c r="Q4500" s="38" t="str">
        <f t="shared" si="487"/>
        <v/>
      </c>
      <c r="R4500" s="37" t="str">
        <f t="shared" si="488"/>
        <v/>
      </c>
      <c r="S4500" s="37" t="str">
        <f t="shared" si="489"/>
        <v/>
      </c>
      <c r="T4500" s="38" t="str">
        <f t="shared" si="490"/>
        <v/>
      </c>
      <c r="U4500" s="37" t="str">
        <f t="shared" si="491"/>
        <v/>
      </c>
    </row>
    <row r="4501" spans="2:21" ht="17.25">
      <c r="B4501" s="156"/>
      <c r="C4501" s="156"/>
      <c r="D4501" s="157"/>
      <c r="E4501" s="155"/>
      <c r="F4501" s="151"/>
      <c r="G4501" s="152"/>
      <c r="H4501" s="153"/>
      <c r="I4501" s="154"/>
      <c r="J4501" s="154"/>
      <c r="K4501" s="30" t="str">
        <f>IF(H4501="","",IF($C$30="간이법","",FPR(H4501,I4501,J4501)))</f>
        <v/>
      </c>
      <c r="L4501" s="30" t="str">
        <f>IF(H4501="","",IF($C$30="상세법",FPV(H4501,K4501),IF(H4501="EI",4,IF(H4501="EO",5.2,IF(H4501="EQ",3.9,IF(H4501="ILF",7.5,IF(H4501="EIF",5.4)))))))</f>
        <v/>
      </c>
      <c r="M4501" s="30" t="str">
        <f t="shared" si="485"/>
        <v/>
      </c>
      <c r="N4501" s="134"/>
      <c r="O4501" s="29"/>
      <c r="P4501" s="37" t="str">
        <f t="shared" si="486"/>
        <v/>
      </c>
      <c r="Q4501" s="38" t="str">
        <f t="shared" si="487"/>
        <v/>
      </c>
      <c r="R4501" s="37" t="str">
        <f t="shared" si="488"/>
        <v/>
      </c>
      <c r="S4501" s="37" t="str">
        <f t="shared" si="489"/>
        <v/>
      </c>
      <c r="T4501" s="38" t="str">
        <f t="shared" si="490"/>
        <v/>
      </c>
      <c r="U4501" s="37" t="str">
        <f t="shared" si="491"/>
        <v/>
      </c>
    </row>
    <row r="4502" spans="2:21" ht="17.25">
      <c r="B4502" s="156"/>
      <c r="C4502" s="156"/>
      <c r="D4502" s="157"/>
      <c r="E4502" s="155"/>
      <c r="F4502" s="151"/>
      <c r="G4502" s="152"/>
      <c r="H4502" s="153"/>
      <c r="I4502" s="154"/>
      <c r="J4502" s="154"/>
      <c r="K4502" s="30" t="str">
        <f>IF(H4502="","",IF($C$30="간이법","",FPR(H4502,I4502,J4502)))</f>
        <v/>
      </c>
      <c r="L4502" s="30" t="str">
        <f>IF(H4502="","",IF($C$30="상세법",FPV(H4502,K4502),IF(H4502="EI",4,IF(H4502="EO",5.2,IF(H4502="EQ",3.9,IF(H4502="ILF",7.5,IF(H4502="EIF",5.4)))))))</f>
        <v/>
      </c>
      <c r="M4502" s="30" t="str">
        <f t="shared" si="485"/>
        <v/>
      </c>
      <c r="N4502" s="134"/>
      <c r="O4502" s="29"/>
      <c r="P4502" s="37" t="str">
        <f t="shared" si="486"/>
        <v/>
      </c>
      <c r="Q4502" s="38" t="str">
        <f t="shared" si="487"/>
        <v/>
      </c>
      <c r="R4502" s="37" t="str">
        <f t="shared" si="488"/>
        <v/>
      </c>
      <c r="S4502" s="37" t="str">
        <f t="shared" si="489"/>
        <v/>
      </c>
      <c r="T4502" s="38" t="str">
        <f t="shared" si="490"/>
        <v/>
      </c>
      <c r="U4502" s="37" t="str">
        <f t="shared" si="491"/>
        <v/>
      </c>
    </row>
    <row r="4503" spans="2:21" ht="17.25">
      <c r="B4503" s="156"/>
      <c r="C4503" s="156"/>
      <c r="D4503" s="157"/>
      <c r="E4503" s="155"/>
      <c r="F4503" s="151"/>
      <c r="G4503" s="152"/>
      <c r="H4503" s="153"/>
      <c r="I4503" s="154"/>
      <c r="J4503" s="154"/>
      <c r="K4503" s="30" t="str">
        <f>IF(H4503="","",IF($C$30="간이법","",FPR(H4503,I4503,J4503)))</f>
        <v/>
      </c>
      <c r="L4503" s="30" t="str">
        <f>IF(H4503="","",IF($C$30="상세법",FPV(H4503,K4503),IF(H4503="EI",4,IF(H4503="EO",5.2,IF(H4503="EQ",3.9,IF(H4503="ILF",7.5,IF(H4503="EIF",5.4)))))))</f>
        <v/>
      </c>
      <c r="M4503" s="30" t="str">
        <f t="shared" si="485"/>
        <v/>
      </c>
      <c r="N4503" s="134"/>
      <c r="O4503" s="29"/>
      <c r="P4503" s="37" t="str">
        <f t="shared" si="486"/>
        <v/>
      </c>
      <c r="Q4503" s="38" t="str">
        <f t="shared" si="487"/>
        <v/>
      </c>
      <c r="R4503" s="37" t="str">
        <f t="shared" si="488"/>
        <v/>
      </c>
      <c r="S4503" s="37" t="str">
        <f t="shared" si="489"/>
        <v/>
      </c>
      <c r="T4503" s="38" t="str">
        <f t="shared" si="490"/>
        <v/>
      </c>
      <c r="U4503" s="37" t="str">
        <f t="shared" si="491"/>
        <v/>
      </c>
    </row>
    <row r="4504" spans="2:21" ht="17.25">
      <c r="B4504" s="156"/>
      <c r="C4504" s="156"/>
      <c r="D4504" s="157"/>
      <c r="E4504" s="155"/>
      <c r="F4504" s="151"/>
      <c r="G4504" s="152"/>
      <c r="H4504" s="153"/>
      <c r="I4504" s="154"/>
      <c r="J4504" s="154"/>
      <c r="K4504" s="30" t="str">
        <f>IF(H4504="","",IF($C$30="간이법","",FPR(H4504,I4504,J4504)))</f>
        <v/>
      </c>
      <c r="L4504" s="30" t="str">
        <f>IF(H4504="","",IF($C$30="상세법",FPV(H4504,K4504),IF(H4504="EI",4,IF(H4504="EO",5.2,IF(H4504="EQ",3.9,IF(H4504="ILF",7.5,IF(H4504="EIF",5.4)))))))</f>
        <v/>
      </c>
      <c r="M4504" s="30" t="str">
        <f t="shared" si="485"/>
        <v/>
      </c>
      <c r="N4504" s="134"/>
      <c r="O4504" s="29"/>
      <c r="P4504" s="37" t="str">
        <f t="shared" si="486"/>
        <v/>
      </c>
      <c r="Q4504" s="38" t="str">
        <f t="shared" si="487"/>
        <v/>
      </c>
      <c r="R4504" s="37" t="str">
        <f t="shared" si="488"/>
        <v/>
      </c>
      <c r="S4504" s="37" t="str">
        <f t="shared" si="489"/>
        <v/>
      </c>
      <c r="T4504" s="38" t="str">
        <f t="shared" si="490"/>
        <v/>
      </c>
      <c r="U4504" s="37" t="str">
        <f t="shared" si="491"/>
        <v/>
      </c>
    </row>
    <row r="4505" spans="2:21" ht="17.25">
      <c r="B4505" s="156"/>
      <c r="C4505" s="156"/>
      <c r="D4505" s="157"/>
      <c r="E4505" s="155"/>
      <c r="F4505" s="151"/>
      <c r="G4505" s="152"/>
      <c r="H4505" s="153"/>
      <c r="I4505" s="154"/>
      <c r="J4505" s="154"/>
      <c r="K4505" s="30" t="str">
        <f>IF(H4505="","",IF($C$30="간이법","",FPR(H4505,I4505,J4505)))</f>
        <v/>
      </c>
      <c r="L4505" s="30" t="str">
        <f>IF(H4505="","",IF($C$30="상세법",FPV(H4505,K4505),IF(H4505="EI",4,IF(H4505="EO",5.2,IF(H4505="EQ",3.9,IF(H4505="ILF",7.5,IF(H4505="EIF",5.4)))))))</f>
        <v/>
      </c>
      <c r="M4505" s="30" t="str">
        <f t="shared" si="485"/>
        <v/>
      </c>
      <c r="N4505" s="134"/>
      <c r="O4505" s="29"/>
      <c r="P4505" s="37" t="str">
        <f t="shared" si="486"/>
        <v/>
      </c>
      <c r="Q4505" s="38" t="str">
        <f t="shared" si="487"/>
        <v/>
      </c>
      <c r="R4505" s="37" t="str">
        <f t="shared" si="488"/>
        <v/>
      </c>
      <c r="S4505" s="37" t="str">
        <f t="shared" si="489"/>
        <v/>
      </c>
      <c r="T4505" s="38" t="str">
        <f t="shared" si="490"/>
        <v/>
      </c>
      <c r="U4505" s="37" t="str">
        <f t="shared" si="491"/>
        <v/>
      </c>
    </row>
    <row r="4506" spans="2:21" ht="17.25">
      <c r="B4506" s="156"/>
      <c r="C4506" s="156"/>
      <c r="D4506" s="157"/>
      <c r="E4506" s="155"/>
      <c r="F4506" s="151"/>
      <c r="G4506" s="152"/>
      <c r="H4506" s="153"/>
      <c r="I4506" s="154"/>
      <c r="J4506" s="154"/>
      <c r="K4506" s="30" t="str">
        <f>IF(H4506="","",IF($C$30="간이법","",FPR(H4506,I4506,J4506)))</f>
        <v/>
      </c>
      <c r="L4506" s="30" t="str">
        <f>IF(H4506="","",IF($C$30="상세법",FPV(H4506,K4506),IF(H4506="EI",4,IF(H4506="EO",5.2,IF(H4506="EQ",3.9,IF(H4506="ILF",7.5,IF(H4506="EIF",5.4)))))))</f>
        <v/>
      </c>
      <c r="M4506" s="30" t="str">
        <f t="shared" si="485"/>
        <v/>
      </c>
      <c r="N4506" s="134"/>
      <c r="O4506" s="29"/>
      <c r="P4506" s="37" t="str">
        <f t="shared" si="486"/>
        <v/>
      </c>
      <c r="Q4506" s="38" t="str">
        <f t="shared" si="487"/>
        <v/>
      </c>
      <c r="R4506" s="37" t="str">
        <f t="shared" si="488"/>
        <v/>
      </c>
      <c r="S4506" s="37" t="str">
        <f t="shared" si="489"/>
        <v/>
      </c>
      <c r="T4506" s="38" t="str">
        <f t="shared" si="490"/>
        <v/>
      </c>
      <c r="U4506" s="37" t="str">
        <f t="shared" si="491"/>
        <v/>
      </c>
    </row>
    <row r="4507" spans="2:21" ht="17.25">
      <c r="B4507" s="156"/>
      <c r="C4507" s="156"/>
      <c r="D4507" s="157"/>
      <c r="E4507" s="155"/>
      <c r="F4507" s="151"/>
      <c r="G4507" s="152"/>
      <c r="H4507" s="153"/>
      <c r="I4507" s="154"/>
      <c r="J4507" s="154"/>
      <c r="K4507" s="30" t="str">
        <f>IF(H4507="","",IF($C$30="간이법","",FPR(H4507,I4507,J4507)))</f>
        <v/>
      </c>
      <c r="L4507" s="30" t="str">
        <f>IF(H4507="","",IF($C$30="상세법",FPV(H4507,K4507),IF(H4507="EI",4,IF(H4507="EO",5.2,IF(H4507="EQ",3.9,IF(H4507="ILF",7.5,IF(H4507="EIF",5.4)))))))</f>
        <v/>
      </c>
      <c r="M4507" s="30" t="str">
        <f t="shared" si="485"/>
        <v/>
      </c>
      <c r="N4507" s="134"/>
      <c r="O4507" s="29"/>
      <c r="P4507" s="37" t="str">
        <f t="shared" si="486"/>
        <v/>
      </c>
      <c r="Q4507" s="38" t="str">
        <f t="shared" si="487"/>
        <v/>
      </c>
      <c r="R4507" s="37" t="str">
        <f t="shared" si="488"/>
        <v/>
      </c>
      <c r="S4507" s="37" t="str">
        <f t="shared" si="489"/>
        <v/>
      </c>
      <c r="T4507" s="38" t="str">
        <f t="shared" si="490"/>
        <v/>
      </c>
      <c r="U4507" s="37" t="str">
        <f t="shared" si="491"/>
        <v/>
      </c>
    </row>
    <row r="4508" spans="2:21" ht="17.25">
      <c r="B4508" s="156"/>
      <c r="C4508" s="156"/>
      <c r="D4508" s="157"/>
      <c r="E4508" s="155"/>
      <c r="F4508" s="151"/>
      <c r="G4508" s="152"/>
      <c r="H4508" s="153"/>
      <c r="I4508" s="154"/>
      <c r="J4508" s="154"/>
      <c r="K4508" s="30" t="str">
        <f>IF(H4508="","",IF($C$30="간이법","",FPR(H4508,I4508,J4508)))</f>
        <v/>
      </c>
      <c r="L4508" s="30" t="str">
        <f>IF(H4508="","",IF($C$30="상세법",FPV(H4508,K4508),IF(H4508="EI",4,IF(H4508="EO",5.2,IF(H4508="EQ",3.9,IF(H4508="ILF",7.5,IF(H4508="EIF",5.4)))))))</f>
        <v/>
      </c>
      <c r="M4508" s="30" t="str">
        <f t="shared" si="485"/>
        <v/>
      </c>
      <c r="N4508" s="134"/>
      <c r="O4508" s="29"/>
      <c r="P4508" s="37" t="str">
        <f t="shared" si="486"/>
        <v/>
      </c>
      <c r="Q4508" s="38" t="str">
        <f t="shared" si="487"/>
        <v/>
      </c>
      <c r="R4508" s="37" t="str">
        <f t="shared" si="488"/>
        <v/>
      </c>
      <c r="S4508" s="37" t="str">
        <f t="shared" si="489"/>
        <v/>
      </c>
      <c r="T4508" s="38" t="str">
        <f t="shared" si="490"/>
        <v/>
      </c>
      <c r="U4508" s="37" t="str">
        <f t="shared" si="491"/>
        <v/>
      </c>
    </row>
    <row r="4509" spans="2:21" ht="17.25">
      <c r="B4509" s="156"/>
      <c r="C4509" s="156"/>
      <c r="D4509" s="157"/>
      <c r="E4509" s="155"/>
      <c r="F4509" s="151"/>
      <c r="G4509" s="152"/>
      <c r="H4509" s="153"/>
      <c r="I4509" s="154"/>
      <c r="J4509" s="154"/>
      <c r="K4509" s="30" t="str">
        <f>IF(H4509="","",IF($C$30="간이법","",FPR(H4509,I4509,J4509)))</f>
        <v/>
      </c>
      <c r="L4509" s="30" t="str">
        <f>IF(H4509="","",IF($C$30="상세법",FPV(H4509,K4509),IF(H4509="EI",4,IF(H4509="EO",5.2,IF(H4509="EQ",3.9,IF(H4509="ILF",7.5,IF(H4509="EIF",5.4)))))))</f>
        <v/>
      </c>
      <c r="M4509" s="30" t="str">
        <f t="shared" si="485"/>
        <v/>
      </c>
      <c r="N4509" s="134"/>
      <c r="O4509" s="29"/>
      <c r="P4509" s="37" t="str">
        <f t="shared" si="486"/>
        <v/>
      </c>
      <c r="Q4509" s="38" t="str">
        <f t="shared" si="487"/>
        <v/>
      </c>
      <c r="R4509" s="37" t="str">
        <f t="shared" si="488"/>
        <v/>
      </c>
      <c r="S4509" s="37" t="str">
        <f t="shared" si="489"/>
        <v/>
      </c>
      <c r="T4509" s="38" t="str">
        <f t="shared" si="490"/>
        <v/>
      </c>
      <c r="U4509" s="37" t="str">
        <f t="shared" si="491"/>
        <v/>
      </c>
    </row>
    <row r="4510" spans="2:21" ht="17.25">
      <c r="B4510" s="156"/>
      <c r="C4510" s="156"/>
      <c r="D4510" s="157"/>
      <c r="E4510" s="155"/>
      <c r="F4510" s="151"/>
      <c r="G4510" s="152"/>
      <c r="H4510" s="153"/>
      <c r="I4510" s="154"/>
      <c r="J4510" s="154"/>
      <c r="K4510" s="30" t="str">
        <f>IF(H4510="","",IF($C$30="간이법","",FPR(H4510,I4510,J4510)))</f>
        <v/>
      </c>
      <c r="L4510" s="30" t="str">
        <f>IF(H4510="","",IF($C$30="상세법",FPV(H4510,K4510),IF(H4510="EI",4,IF(H4510="EO",5.2,IF(H4510="EQ",3.9,IF(H4510="ILF",7.5,IF(H4510="EIF",5.4)))))))</f>
        <v/>
      </c>
      <c r="M4510" s="30" t="str">
        <f t="shared" si="485"/>
        <v/>
      </c>
      <c r="N4510" s="134"/>
      <c r="O4510" s="29"/>
      <c r="P4510" s="37" t="str">
        <f t="shared" si="486"/>
        <v/>
      </c>
      <c r="Q4510" s="38" t="str">
        <f t="shared" si="487"/>
        <v/>
      </c>
      <c r="R4510" s="37" t="str">
        <f t="shared" si="488"/>
        <v/>
      </c>
      <c r="S4510" s="37" t="str">
        <f t="shared" si="489"/>
        <v/>
      </c>
      <c r="T4510" s="38" t="str">
        <f t="shared" si="490"/>
        <v/>
      </c>
      <c r="U4510" s="37" t="str">
        <f t="shared" si="491"/>
        <v/>
      </c>
    </row>
    <row r="4511" spans="2:21" ht="17.25">
      <c r="B4511" s="156"/>
      <c r="C4511" s="156"/>
      <c r="D4511" s="157"/>
      <c r="E4511" s="155"/>
      <c r="F4511" s="151"/>
      <c r="G4511" s="152"/>
      <c r="H4511" s="153"/>
      <c r="I4511" s="154"/>
      <c r="J4511" s="154"/>
      <c r="K4511" s="30" t="str">
        <f>IF(H4511="","",IF($C$30="간이법","",FPR(H4511,I4511,J4511)))</f>
        <v/>
      </c>
      <c r="L4511" s="30" t="str">
        <f>IF(H4511="","",IF($C$30="상세법",FPV(H4511,K4511),IF(H4511="EI",4,IF(H4511="EO",5.2,IF(H4511="EQ",3.9,IF(H4511="ILF",7.5,IF(H4511="EIF",5.4)))))))</f>
        <v/>
      </c>
      <c r="M4511" s="30" t="str">
        <f t="shared" si="485"/>
        <v/>
      </c>
      <c r="N4511" s="134"/>
      <c r="O4511" s="29"/>
      <c r="P4511" s="37" t="str">
        <f t="shared" si="486"/>
        <v/>
      </c>
      <c r="Q4511" s="38" t="str">
        <f t="shared" si="487"/>
        <v/>
      </c>
      <c r="R4511" s="37" t="str">
        <f t="shared" si="488"/>
        <v/>
      </c>
      <c r="S4511" s="37" t="str">
        <f t="shared" si="489"/>
        <v/>
      </c>
      <c r="T4511" s="38" t="str">
        <f t="shared" si="490"/>
        <v/>
      </c>
      <c r="U4511" s="37" t="str">
        <f t="shared" si="491"/>
        <v/>
      </c>
    </row>
    <row r="4512" spans="2:21" ht="17.25">
      <c r="B4512" s="156"/>
      <c r="C4512" s="156"/>
      <c r="D4512" s="157"/>
      <c r="E4512" s="155"/>
      <c r="F4512" s="151"/>
      <c r="G4512" s="152"/>
      <c r="H4512" s="153"/>
      <c r="I4512" s="154"/>
      <c r="J4512" s="154"/>
      <c r="K4512" s="30" t="str">
        <f>IF(H4512="","",IF($C$30="간이법","",FPR(H4512,I4512,J4512)))</f>
        <v/>
      </c>
      <c r="L4512" s="30" t="str">
        <f>IF(H4512="","",IF($C$30="상세법",FPV(H4512,K4512),IF(H4512="EI",4,IF(H4512="EO",5.2,IF(H4512="EQ",3.9,IF(H4512="ILF",7.5,IF(H4512="EIF",5.4)))))))</f>
        <v/>
      </c>
      <c r="M4512" s="30" t="str">
        <f t="shared" si="485"/>
        <v/>
      </c>
      <c r="N4512" s="134"/>
      <c r="O4512" s="29"/>
      <c r="P4512" s="37" t="str">
        <f t="shared" si="486"/>
        <v/>
      </c>
      <c r="Q4512" s="38" t="str">
        <f t="shared" si="487"/>
        <v/>
      </c>
      <c r="R4512" s="37" t="str">
        <f t="shared" si="488"/>
        <v/>
      </c>
      <c r="S4512" s="37" t="str">
        <f t="shared" si="489"/>
        <v/>
      </c>
      <c r="T4512" s="38" t="str">
        <f t="shared" si="490"/>
        <v/>
      </c>
      <c r="U4512" s="37" t="str">
        <f t="shared" si="491"/>
        <v/>
      </c>
    </row>
    <row r="4513" spans="2:21" ht="17.25">
      <c r="B4513" s="156"/>
      <c r="C4513" s="156"/>
      <c r="D4513" s="157"/>
      <c r="E4513" s="155"/>
      <c r="F4513" s="151"/>
      <c r="G4513" s="152"/>
      <c r="H4513" s="153"/>
      <c r="I4513" s="154"/>
      <c r="J4513" s="154"/>
      <c r="K4513" s="30" t="str">
        <f>IF(H4513="","",IF($C$30="간이법","",FPR(H4513,I4513,J4513)))</f>
        <v/>
      </c>
      <c r="L4513" s="30" t="str">
        <f>IF(H4513="","",IF($C$30="상세법",FPV(H4513,K4513),IF(H4513="EI",4,IF(H4513="EO",5.2,IF(H4513="EQ",3.9,IF(H4513="ILF",7.5,IF(H4513="EIF",5.4)))))))</f>
        <v/>
      </c>
      <c r="M4513" s="30" t="str">
        <f t="shared" si="485"/>
        <v/>
      </c>
      <c r="N4513" s="134"/>
      <c r="O4513" s="29"/>
      <c r="P4513" s="37" t="str">
        <f t="shared" si="486"/>
        <v/>
      </c>
      <c r="Q4513" s="38" t="str">
        <f t="shared" si="487"/>
        <v/>
      </c>
      <c r="R4513" s="37" t="str">
        <f t="shared" si="488"/>
        <v/>
      </c>
      <c r="S4513" s="37" t="str">
        <f t="shared" si="489"/>
        <v/>
      </c>
      <c r="T4513" s="38" t="str">
        <f t="shared" si="490"/>
        <v/>
      </c>
      <c r="U4513" s="37" t="str">
        <f t="shared" si="491"/>
        <v/>
      </c>
    </row>
    <row r="4514" spans="2:21" ht="17.25">
      <c r="B4514" s="156"/>
      <c r="C4514" s="156"/>
      <c r="D4514" s="157"/>
      <c r="E4514" s="155"/>
      <c r="F4514" s="151"/>
      <c r="G4514" s="152"/>
      <c r="H4514" s="153"/>
      <c r="I4514" s="154"/>
      <c r="J4514" s="154"/>
      <c r="K4514" s="30" t="str">
        <f>IF(H4514="","",IF($C$30="간이법","",FPR(H4514,I4514,J4514)))</f>
        <v/>
      </c>
      <c r="L4514" s="30" t="str">
        <f>IF(H4514="","",IF($C$30="상세법",FPV(H4514,K4514),IF(H4514="EI",4,IF(H4514="EO",5.2,IF(H4514="EQ",3.9,IF(H4514="ILF",7.5,IF(H4514="EIF",5.4)))))))</f>
        <v/>
      </c>
      <c r="M4514" s="30" t="str">
        <f t="shared" si="485"/>
        <v/>
      </c>
      <c r="N4514" s="134"/>
      <c r="O4514" s="29"/>
      <c r="P4514" s="37" t="str">
        <f t="shared" si="486"/>
        <v/>
      </c>
      <c r="Q4514" s="38" t="str">
        <f t="shared" si="487"/>
        <v/>
      </c>
      <c r="R4514" s="37" t="str">
        <f t="shared" si="488"/>
        <v/>
      </c>
      <c r="S4514" s="37" t="str">
        <f t="shared" si="489"/>
        <v/>
      </c>
      <c r="T4514" s="38" t="str">
        <f t="shared" si="490"/>
        <v/>
      </c>
      <c r="U4514" s="37" t="str">
        <f t="shared" si="491"/>
        <v/>
      </c>
    </row>
    <row r="4515" spans="2:21" ht="17.25">
      <c r="B4515" s="156"/>
      <c r="C4515" s="156"/>
      <c r="D4515" s="157"/>
      <c r="E4515" s="155"/>
      <c r="F4515" s="151"/>
      <c r="G4515" s="152"/>
      <c r="H4515" s="153"/>
      <c r="I4515" s="154"/>
      <c r="J4515" s="154"/>
      <c r="K4515" s="30" t="str">
        <f>IF(H4515="","",IF($C$30="간이법","",FPR(H4515,I4515,J4515)))</f>
        <v/>
      </c>
      <c r="L4515" s="30" t="str">
        <f>IF(H4515="","",IF($C$30="상세법",FPV(H4515,K4515),IF(H4515="EI",4,IF(H4515="EO",5.2,IF(H4515="EQ",3.9,IF(H4515="ILF",7.5,IF(H4515="EIF",5.4)))))))</f>
        <v/>
      </c>
      <c r="M4515" s="30" t="str">
        <f t="shared" si="485"/>
        <v/>
      </c>
      <c r="N4515" s="134"/>
      <c r="O4515" s="29"/>
      <c r="P4515" s="37" t="str">
        <f t="shared" si="486"/>
        <v/>
      </c>
      <c r="Q4515" s="38" t="str">
        <f t="shared" si="487"/>
        <v/>
      </c>
      <c r="R4515" s="37" t="str">
        <f t="shared" si="488"/>
        <v/>
      </c>
      <c r="S4515" s="37" t="str">
        <f t="shared" si="489"/>
        <v/>
      </c>
      <c r="T4515" s="38" t="str">
        <f t="shared" si="490"/>
        <v/>
      </c>
      <c r="U4515" s="37" t="str">
        <f t="shared" si="491"/>
        <v/>
      </c>
    </row>
    <row r="4516" spans="2:21" ht="17.25">
      <c r="B4516" s="156"/>
      <c r="C4516" s="156"/>
      <c r="D4516" s="157"/>
      <c r="E4516" s="155"/>
      <c r="F4516" s="151"/>
      <c r="G4516" s="152"/>
      <c r="H4516" s="153"/>
      <c r="I4516" s="154"/>
      <c r="J4516" s="154"/>
      <c r="K4516" s="30" t="str">
        <f>IF(H4516="","",IF($C$30="간이법","",FPR(H4516,I4516,J4516)))</f>
        <v/>
      </c>
      <c r="L4516" s="30" t="str">
        <f>IF(H4516="","",IF($C$30="상세법",FPV(H4516,K4516),IF(H4516="EI",4,IF(H4516="EO",5.2,IF(H4516="EQ",3.9,IF(H4516="ILF",7.5,IF(H4516="EIF",5.4)))))))</f>
        <v/>
      </c>
      <c r="M4516" s="30" t="str">
        <f t="shared" si="485"/>
        <v/>
      </c>
      <c r="N4516" s="134"/>
      <c r="O4516" s="29"/>
      <c r="P4516" s="37" t="str">
        <f t="shared" si="486"/>
        <v/>
      </c>
      <c r="Q4516" s="38" t="str">
        <f t="shared" si="487"/>
        <v/>
      </c>
      <c r="R4516" s="37" t="str">
        <f t="shared" si="488"/>
        <v/>
      </c>
      <c r="S4516" s="37" t="str">
        <f t="shared" si="489"/>
        <v/>
      </c>
      <c r="T4516" s="38" t="str">
        <f t="shared" si="490"/>
        <v/>
      </c>
      <c r="U4516" s="37" t="str">
        <f t="shared" si="491"/>
        <v/>
      </c>
    </row>
    <row r="4517" spans="2:21" ht="17.25">
      <c r="B4517" s="156"/>
      <c r="C4517" s="156"/>
      <c r="D4517" s="157"/>
      <c r="E4517" s="155"/>
      <c r="F4517" s="151"/>
      <c r="G4517" s="152"/>
      <c r="H4517" s="153"/>
      <c r="I4517" s="154"/>
      <c r="J4517" s="154"/>
      <c r="K4517" s="30" t="str">
        <f>IF(H4517="","",IF($C$30="간이법","",FPR(H4517,I4517,J4517)))</f>
        <v/>
      </c>
      <c r="L4517" s="30" t="str">
        <f>IF(H4517="","",IF($C$30="상세법",FPV(H4517,K4517),IF(H4517="EI",4,IF(H4517="EO",5.2,IF(H4517="EQ",3.9,IF(H4517="ILF",7.5,IF(H4517="EIF",5.4)))))))</f>
        <v/>
      </c>
      <c r="M4517" s="30" t="str">
        <f t="shared" si="485"/>
        <v/>
      </c>
      <c r="N4517" s="134"/>
      <c r="O4517" s="29"/>
      <c r="P4517" s="37" t="str">
        <f t="shared" si="486"/>
        <v/>
      </c>
      <c r="Q4517" s="38" t="str">
        <f t="shared" si="487"/>
        <v/>
      </c>
      <c r="R4517" s="37" t="str">
        <f t="shared" si="488"/>
        <v/>
      </c>
      <c r="S4517" s="37" t="str">
        <f t="shared" si="489"/>
        <v/>
      </c>
      <c r="T4517" s="38" t="str">
        <f t="shared" si="490"/>
        <v/>
      </c>
      <c r="U4517" s="37" t="str">
        <f t="shared" si="491"/>
        <v/>
      </c>
    </row>
    <row r="4518" spans="2:21" ht="17.25">
      <c r="B4518" s="156"/>
      <c r="C4518" s="156"/>
      <c r="D4518" s="157"/>
      <c r="E4518" s="155"/>
      <c r="F4518" s="151"/>
      <c r="G4518" s="152"/>
      <c r="H4518" s="153"/>
      <c r="I4518" s="154"/>
      <c r="J4518" s="154"/>
      <c r="K4518" s="30" t="str">
        <f>IF(H4518="","",IF($C$30="간이법","",FPR(H4518,I4518,J4518)))</f>
        <v/>
      </c>
      <c r="L4518" s="30" t="str">
        <f>IF(H4518="","",IF($C$30="상세법",FPV(H4518,K4518),IF(H4518="EI",4,IF(H4518="EO",5.2,IF(H4518="EQ",3.9,IF(H4518="ILF",7.5,IF(H4518="EIF",5.4)))))))</f>
        <v/>
      </c>
      <c r="M4518" s="30" t="str">
        <f t="shared" si="485"/>
        <v/>
      </c>
      <c r="N4518" s="134"/>
      <c r="O4518" s="29"/>
      <c r="P4518" s="37" t="str">
        <f t="shared" si="486"/>
        <v/>
      </c>
      <c r="Q4518" s="38" t="str">
        <f t="shared" si="487"/>
        <v/>
      </c>
      <c r="R4518" s="37" t="str">
        <f t="shared" si="488"/>
        <v/>
      </c>
      <c r="S4518" s="37" t="str">
        <f t="shared" si="489"/>
        <v/>
      </c>
      <c r="T4518" s="38" t="str">
        <f t="shared" si="490"/>
        <v/>
      </c>
      <c r="U4518" s="37" t="str">
        <f t="shared" si="491"/>
        <v/>
      </c>
    </row>
    <row r="4519" spans="2:21" ht="17.25">
      <c r="B4519" s="156"/>
      <c r="C4519" s="156"/>
      <c r="D4519" s="157"/>
      <c r="E4519" s="155"/>
      <c r="F4519" s="151"/>
      <c r="G4519" s="152"/>
      <c r="H4519" s="153"/>
      <c r="I4519" s="154"/>
      <c r="J4519" s="154"/>
      <c r="K4519" s="30" t="str">
        <f>IF(H4519="","",IF($C$30="간이법","",FPR(H4519,I4519,J4519)))</f>
        <v/>
      </c>
      <c r="L4519" s="30" t="str">
        <f>IF(H4519="","",IF($C$30="상세법",FPV(H4519,K4519),IF(H4519="EI",4,IF(H4519="EO",5.2,IF(H4519="EQ",3.9,IF(H4519="ILF",7.5,IF(H4519="EIF",5.4)))))))</f>
        <v/>
      </c>
      <c r="M4519" s="30" t="str">
        <f t="shared" si="485"/>
        <v/>
      </c>
      <c r="N4519" s="134"/>
      <c r="O4519" s="29"/>
      <c r="P4519" s="37" t="str">
        <f t="shared" si="486"/>
        <v/>
      </c>
      <c r="Q4519" s="38" t="str">
        <f t="shared" si="487"/>
        <v/>
      </c>
      <c r="R4519" s="37" t="str">
        <f t="shared" si="488"/>
        <v/>
      </c>
      <c r="S4519" s="37" t="str">
        <f t="shared" si="489"/>
        <v/>
      </c>
      <c r="T4519" s="38" t="str">
        <f t="shared" si="490"/>
        <v/>
      </c>
      <c r="U4519" s="37" t="str">
        <f t="shared" si="491"/>
        <v/>
      </c>
    </row>
    <row r="4520" spans="2:21" ht="17.25">
      <c r="B4520" s="156"/>
      <c r="C4520" s="156"/>
      <c r="D4520" s="157"/>
      <c r="E4520" s="155"/>
      <c r="F4520" s="151"/>
      <c r="G4520" s="152"/>
      <c r="H4520" s="153"/>
      <c r="I4520" s="154"/>
      <c r="J4520" s="154"/>
      <c r="K4520" s="30" t="str">
        <f>IF(H4520="","",IF($C$30="간이법","",FPR(H4520,I4520,J4520)))</f>
        <v/>
      </c>
      <c r="L4520" s="30" t="str">
        <f>IF(H4520="","",IF($C$30="상세법",FPV(H4520,K4520),IF(H4520="EI",4,IF(H4520="EO",5.2,IF(H4520="EQ",3.9,IF(H4520="ILF",7.5,IF(H4520="EIF",5.4)))))))</f>
        <v/>
      </c>
      <c r="M4520" s="30" t="str">
        <f t="shared" si="485"/>
        <v/>
      </c>
      <c r="N4520" s="134"/>
      <c r="O4520" s="29"/>
      <c r="P4520" s="37" t="str">
        <f t="shared" si="486"/>
        <v/>
      </c>
      <c r="Q4520" s="38" t="str">
        <f t="shared" si="487"/>
        <v/>
      </c>
      <c r="R4520" s="37" t="str">
        <f t="shared" si="488"/>
        <v/>
      </c>
      <c r="S4520" s="37" t="str">
        <f t="shared" si="489"/>
        <v/>
      </c>
      <c r="T4520" s="38" t="str">
        <f t="shared" si="490"/>
        <v/>
      </c>
      <c r="U4520" s="37" t="str">
        <f t="shared" si="491"/>
        <v/>
      </c>
    </row>
    <row r="4521" spans="2:21" ht="17.25">
      <c r="B4521" s="156"/>
      <c r="C4521" s="156"/>
      <c r="D4521" s="157"/>
      <c r="E4521" s="155"/>
      <c r="F4521" s="151"/>
      <c r="G4521" s="152"/>
      <c r="H4521" s="153"/>
      <c r="I4521" s="154"/>
      <c r="J4521" s="154"/>
      <c r="K4521" s="30" t="str">
        <f>IF(H4521="","",IF($C$30="간이법","",FPR(H4521,I4521,J4521)))</f>
        <v/>
      </c>
      <c r="L4521" s="30" t="str">
        <f>IF(H4521="","",IF($C$30="상세법",FPV(H4521,K4521),IF(H4521="EI",4,IF(H4521="EO",5.2,IF(H4521="EQ",3.9,IF(H4521="ILF",7.5,IF(H4521="EIF",5.4)))))))</f>
        <v/>
      </c>
      <c r="M4521" s="30" t="str">
        <f t="shared" si="485"/>
        <v/>
      </c>
      <c r="N4521" s="134"/>
      <c r="O4521" s="29"/>
      <c r="P4521" s="37" t="str">
        <f t="shared" si="486"/>
        <v/>
      </c>
      <c r="Q4521" s="38" t="str">
        <f t="shared" si="487"/>
        <v/>
      </c>
      <c r="R4521" s="37" t="str">
        <f t="shared" si="488"/>
        <v/>
      </c>
      <c r="S4521" s="37" t="str">
        <f t="shared" si="489"/>
        <v/>
      </c>
      <c r="T4521" s="38" t="str">
        <f t="shared" si="490"/>
        <v/>
      </c>
      <c r="U4521" s="37" t="str">
        <f t="shared" si="491"/>
        <v/>
      </c>
    </row>
    <row r="4522" spans="2:21" ht="17.25">
      <c r="B4522" s="156"/>
      <c r="C4522" s="156"/>
      <c r="D4522" s="157"/>
      <c r="E4522" s="155"/>
      <c r="F4522" s="151"/>
      <c r="G4522" s="152"/>
      <c r="H4522" s="153"/>
      <c r="I4522" s="154"/>
      <c r="J4522" s="154"/>
      <c r="K4522" s="30" t="str">
        <f>IF(H4522="","",IF($C$30="간이법","",FPR(H4522,I4522,J4522)))</f>
        <v/>
      </c>
      <c r="L4522" s="30" t="str">
        <f>IF(H4522="","",IF($C$30="상세법",FPV(H4522,K4522),IF(H4522="EI",4,IF(H4522="EO",5.2,IF(H4522="EQ",3.9,IF(H4522="ILF",7.5,IF(H4522="EIF",5.4)))))))</f>
        <v/>
      </c>
      <c r="M4522" s="30" t="str">
        <f t="shared" si="485"/>
        <v/>
      </c>
      <c r="N4522" s="134"/>
      <c r="O4522" s="29"/>
      <c r="P4522" s="37" t="str">
        <f t="shared" si="486"/>
        <v/>
      </c>
      <c r="Q4522" s="38" t="str">
        <f t="shared" si="487"/>
        <v/>
      </c>
      <c r="R4522" s="37" t="str">
        <f t="shared" si="488"/>
        <v/>
      </c>
      <c r="S4522" s="37" t="str">
        <f t="shared" si="489"/>
        <v/>
      </c>
      <c r="T4522" s="38" t="str">
        <f t="shared" si="490"/>
        <v/>
      </c>
      <c r="U4522" s="37" t="str">
        <f t="shared" si="491"/>
        <v/>
      </c>
    </row>
    <row r="4523" spans="2:21" ht="17.25">
      <c r="B4523" s="156"/>
      <c r="C4523" s="156"/>
      <c r="D4523" s="157"/>
      <c r="E4523" s="155"/>
      <c r="F4523" s="151"/>
      <c r="G4523" s="152"/>
      <c r="H4523" s="153"/>
      <c r="I4523" s="154"/>
      <c r="J4523" s="154"/>
      <c r="K4523" s="30" t="str">
        <f>IF(H4523="","",IF($C$30="간이법","",FPR(H4523,I4523,J4523)))</f>
        <v/>
      </c>
      <c r="L4523" s="30" t="str">
        <f>IF(H4523="","",IF($C$30="상세법",FPV(H4523,K4523),IF(H4523="EI",4,IF(H4523="EO",5.2,IF(H4523="EQ",3.9,IF(H4523="ILF",7.5,IF(H4523="EIF",5.4)))))))</f>
        <v/>
      </c>
      <c r="M4523" s="30" t="str">
        <f t="shared" si="485"/>
        <v/>
      </c>
      <c r="N4523" s="134"/>
      <c r="O4523" s="29"/>
      <c r="P4523" s="37" t="str">
        <f t="shared" si="486"/>
        <v/>
      </c>
      <c r="Q4523" s="38" t="str">
        <f t="shared" si="487"/>
        <v/>
      </c>
      <c r="R4523" s="37" t="str">
        <f t="shared" si="488"/>
        <v/>
      </c>
      <c r="S4523" s="37" t="str">
        <f t="shared" si="489"/>
        <v/>
      </c>
      <c r="T4523" s="38" t="str">
        <f t="shared" si="490"/>
        <v/>
      </c>
      <c r="U4523" s="37" t="str">
        <f t="shared" si="491"/>
        <v/>
      </c>
    </row>
    <row r="4524" spans="2:21" ht="17.25">
      <c r="B4524" s="156"/>
      <c r="C4524" s="156"/>
      <c r="D4524" s="157"/>
      <c r="E4524" s="155"/>
      <c r="F4524" s="151"/>
      <c r="G4524" s="152"/>
      <c r="H4524" s="153"/>
      <c r="I4524" s="154"/>
      <c r="J4524" s="154"/>
      <c r="K4524" s="30" t="str">
        <f>IF(H4524="","",IF($C$30="간이법","",FPR(H4524,I4524,J4524)))</f>
        <v/>
      </c>
      <c r="L4524" s="30" t="str">
        <f>IF(H4524="","",IF($C$30="상세법",FPV(H4524,K4524),IF(H4524="EI",4,IF(H4524="EO",5.2,IF(H4524="EQ",3.9,IF(H4524="ILF",7.5,IF(H4524="EIF",5.4)))))))</f>
        <v/>
      </c>
      <c r="M4524" s="30" t="str">
        <f t="shared" si="485"/>
        <v/>
      </c>
      <c r="N4524" s="134"/>
      <c r="O4524" s="29"/>
      <c r="P4524" s="37" t="str">
        <f t="shared" si="486"/>
        <v/>
      </c>
      <c r="Q4524" s="38" t="str">
        <f t="shared" si="487"/>
        <v/>
      </c>
      <c r="R4524" s="37" t="str">
        <f t="shared" si="488"/>
        <v/>
      </c>
      <c r="S4524" s="37" t="str">
        <f t="shared" si="489"/>
        <v/>
      </c>
      <c r="T4524" s="38" t="str">
        <f t="shared" si="490"/>
        <v/>
      </c>
      <c r="U4524" s="37" t="str">
        <f t="shared" si="491"/>
        <v/>
      </c>
    </row>
    <row r="4525" spans="2:21" ht="17.25">
      <c r="B4525" s="156"/>
      <c r="C4525" s="156"/>
      <c r="D4525" s="157"/>
      <c r="E4525" s="155"/>
      <c r="F4525" s="151"/>
      <c r="G4525" s="152"/>
      <c r="H4525" s="153"/>
      <c r="I4525" s="154"/>
      <c r="J4525" s="154"/>
      <c r="K4525" s="30" t="str">
        <f>IF(H4525="","",IF($C$30="간이법","",FPR(H4525,I4525,J4525)))</f>
        <v/>
      </c>
      <c r="L4525" s="30" t="str">
        <f>IF(H4525="","",IF($C$30="상세법",FPV(H4525,K4525),IF(H4525="EI",4,IF(H4525="EO",5.2,IF(H4525="EQ",3.9,IF(H4525="ILF",7.5,IF(H4525="EIF",5.4)))))))</f>
        <v/>
      </c>
      <c r="M4525" s="30" t="str">
        <f t="shared" si="485"/>
        <v/>
      </c>
      <c r="N4525" s="134"/>
      <c r="O4525" s="29"/>
      <c r="P4525" s="37" t="str">
        <f t="shared" si="486"/>
        <v/>
      </c>
      <c r="Q4525" s="38" t="str">
        <f t="shared" si="487"/>
        <v/>
      </c>
      <c r="R4525" s="37" t="str">
        <f t="shared" si="488"/>
        <v/>
      </c>
      <c r="S4525" s="37" t="str">
        <f t="shared" si="489"/>
        <v/>
      </c>
      <c r="T4525" s="38" t="str">
        <f t="shared" si="490"/>
        <v/>
      </c>
      <c r="U4525" s="37" t="str">
        <f t="shared" si="491"/>
        <v/>
      </c>
    </row>
    <row r="4526" spans="2:21" ht="17.25">
      <c r="B4526" s="156"/>
      <c r="C4526" s="156"/>
      <c r="D4526" s="157"/>
      <c r="E4526" s="155"/>
      <c r="F4526" s="151"/>
      <c r="G4526" s="152"/>
      <c r="H4526" s="153"/>
      <c r="I4526" s="154"/>
      <c r="J4526" s="154"/>
      <c r="K4526" s="30" t="str">
        <f>IF(H4526="","",IF($C$30="간이법","",FPR(H4526,I4526,J4526)))</f>
        <v/>
      </c>
      <c r="L4526" s="30" t="str">
        <f>IF(H4526="","",IF($C$30="상세법",FPV(H4526,K4526),IF(H4526="EI",4,IF(H4526="EO",5.2,IF(H4526="EQ",3.9,IF(H4526="ILF",7.5,IF(H4526="EIF",5.4)))))))</f>
        <v/>
      </c>
      <c r="M4526" s="30" t="str">
        <f t="shared" si="485"/>
        <v/>
      </c>
      <c r="N4526" s="134"/>
      <c r="O4526" s="29"/>
      <c r="P4526" s="37" t="str">
        <f t="shared" si="486"/>
        <v/>
      </c>
      <c r="Q4526" s="38" t="str">
        <f t="shared" si="487"/>
        <v/>
      </c>
      <c r="R4526" s="37" t="str">
        <f t="shared" si="488"/>
        <v/>
      </c>
      <c r="S4526" s="37" t="str">
        <f t="shared" si="489"/>
        <v/>
      </c>
      <c r="T4526" s="38" t="str">
        <f t="shared" si="490"/>
        <v/>
      </c>
      <c r="U4526" s="37" t="str">
        <f t="shared" si="491"/>
        <v/>
      </c>
    </row>
    <row r="4527" spans="2:21" ht="17.25">
      <c r="B4527" s="156"/>
      <c r="C4527" s="156"/>
      <c r="D4527" s="157"/>
      <c r="E4527" s="155"/>
      <c r="F4527" s="151"/>
      <c r="G4527" s="152"/>
      <c r="H4527" s="153"/>
      <c r="I4527" s="154"/>
      <c r="J4527" s="154"/>
      <c r="K4527" s="30" t="str">
        <f>IF(H4527="","",IF($C$30="간이법","",FPR(H4527,I4527,J4527)))</f>
        <v/>
      </c>
      <c r="L4527" s="30" t="str">
        <f>IF(H4527="","",IF($C$30="상세법",FPV(H4527,K4527),IF(H4527="EI",4,IF(H4527="EO",5.2,IF(H4527="EQ",3.9,IF(H4527="ILF",7.5,IF(H4527="EIF",5.4)))))))</f>
        <v/>
      </c>
      <c r="M4527" s="30" t="str">
        <f t="shared" si="485"/>
        <v/>
      </c>
      <c r="N4527" s="134"/>
      <c r="O4527" s="29"/>
      <c r="P4527" s="37" t="str">
        <f t="shared" si="486"/>
        <v/>
      </c>
      <c r="Q4527" s="38" t="str">
        <f t="shared" si="487"/>
        <v/>
      </c>
      <c r="R4527" s="37" t="str">
        <f t="shared" si="488"/>
        <v/>
      </c>
      <c r="S4527" s="37" t="str">
        <f t="shared" si="489"/>
        <v/>
      </c>
      <c r="T4527" s="38" t="str">
        <f t="shared" si="490"/>
        <v/>
      </c>
      <c r="U4527" s="37" t="str">
        <f t="shared" si="491"/>
        <v/>
      </c>
    </row>
    <row r="4528" spans="2:21" ht="17.25">
      <c r="B4528" s="156"/>
      <c r="C4528" s="156"/>
      <c r="D4528" s="157"/>
      <c r="E4528" s="155"/>
      <c r="F4528" s="151"/>
      <c r="G4528" s="152"/>
      <c r="H4528" s="153"/>
      <c r="I4528" s="154"/>
      <c r="J4528" s="154"/>
      <c r="K4528" s="30" t="str">
        <f>IF(H4528="","",IF($C$30="간이법","",FPR(H4528,I4528,J4528)))</f>
        <v/>
      </c>
      <c r="L4528" s="30" t="str">
        <f>IF(H4528="","",IF($C$30="상세법",FPV(H4528,K4528),IF(H4528="EI",4,IF(H4528="EO",5.2,IF(H4528="EQ",3.9,IF(H4528="ILF",7.5,IF(H4528="EIF",5.4)))))))</f>
        <v/>
      </c>
      <c r="M4528" s="30" t="str">
        <f t="shared" si="485"/>
        <v/>
      </c>
      <c r="N4528" s="134"/>
      <c r="O4528" s="29"/>
      <c r="P4528" s="37" t="str">
        <f t="shared" si="486"/>
        <v/>
      </c>
      <c r="Q4528" s="38" t="str">
        <f t="shared" si="487"/>
        <v/>
      </c>
      <c r="R4528" s="37" t="str">
        <f t="shared" si="488"/>
        <v/>
      </c>
      <c r="S4528" s="37" t="str">
        <f t="shared" si="489"/>
        <v/>
      </c>
      <c r="T4528" s="38" t="str">
        <f t="shared" si="490"/>
        <v/>
      </c>
      <c r="U4528" s="37" t="str">
        <f t="shared" si="491"/>
        <v/>
      </c>
    </row>
    <row r="4529" spans="2:21" ht="17.25">
      <c r="B4529" s="156"/>
      <c r="C4529" s="156"/>
      <c r="D4529" s="157"/>
      <c r="E4529" s="155"/>
      <c r="F4529" s="151"/>
      <c r="G4529" s="152"/>
      <c r="H4529" s="153"/>
      <c r="I4529" s="154"/>
      <c r="J4529" s="154"/>
      <c r="K4529" s="30" t="str">
        <f>IF(H4529="","",IF($C$30="간이법","",FPR(H4529,I4529,J4529)))</f>
        <v/>
      </c>
      <c r="L4529" s="30" t="str">
        <f>IF(H4529="","",IF($C$30="상세법",FPV(H4529,K4529),IF(H4529="EI",4,IF(H4529="EO",5.2,IF(H4529="EQ",3.9,IF(H4529="ILF",7.5,IF(H4529="EIF",5.4)))))))</f>
        <v/>
      </c>
      <c r="M4529" s="30" t="str">
        <f t="shared" si="485"/>
        <v/>
      </c>
      <c r="N4529" s="134"/>
      <c r="O4529" s="29"/>
      <c r="P4529" s="37" t="str">
        <f t="shared" si="486"/>
        <v/>
      </c>
      <c r="Q4529" s="38" t="str">
        <f t="shared" si="487"/>
        <v/>
      </c>
      <c r="R4529" s="37" t="str">
        <f t="shared" si="488"/>
        <v/>
      </c>
      <c r="S4529" s="37" t="str">
        <f t="shared" si="489"/>
        <v/>
      </c>
      <c r="T4529" s="38" t="str">
        <f t="shared" si="490"/>
        <v/>
      </c>
      <c r="U4529" s="37" t="str">
        <f t="shared" si="491"/>
        <v/>
      </c>
    </row>
    <row r="4530" spans="2:21" ht="17.25">
      <c r="B4530" s="156"/>
      <c r="C4530" s="156"/>
      <c r="D4530" s="157"/>
      <c r="E4530" s="155"/>
      <c r="F4530" s="151"/>
      <c r="G4530" s="152"/>
      <c r="H4530" s="153"/>
      <c r="I4530" s="154"/>
      <c r="J4530" s="154"/>
      <c r="K4530" s="30" t="str">
        <f>IF(H4530="","",IF($C$30="간이법","",FPR(H4530,I4530,J4530)))</f>
        <v/>
      </c>
      <c r="L4530" s="30" t="str">
        <f>IF(H4530="","",IF($C$30="상세법",FPV(H4530,K4530),IF(H4530="EI",4,IF(H4530="EO",5.2,IF(H4530="EQ",3.9,IF(H4530="ILF",7.5,IF(H4530="EIF",5.4)))))))</f>
        <v/>
      </c>
      <c r="M4530" s="30" t="str">
        <f t="shared" si="485"/>
        <v/>
      </c>
      <c r="N4530" s="134"/>
      <c r="O4530" s="29"/>
      <c r="P4530" s="37" t="str">
        <f t="shared" si="486"/>
        <v/>
      </c>
      <c r="Q4530" s="38" t="str">
        <f t="shared" si="487"/>
        <v/>
      </c>
      <c r="R4530" s="37" t="str">
        <f t="shared" si="488"/>
        <v/>
      </c>
      <c r="S4530" s="37" t="str">
        <f t="shared" si="489"/>
        <v/>
      </c>
      <c r="T4530" s="38" t="str">
        <f t="shared" si="490"/>
        <v/>
      </c>
      <c r="U4530" s="37" t="str">
        <f t="shared" si="491"/>
        <v/>
      </c>
    </row>
    <row r="4531" spans="2:21" ht="17.25">
      <c r="B4531" s="156"/>
      <c r="C4531" s="156"/>
      <c r="D4531" s="157"/>
      <c r="E4531" s="155"/>
      <c r="F4531" s="151"/>
      <c r="G4531" s="152"/>
      <c r="H4531" s="153"/>
      <c r="I4531" s="154"/>
      <c r="J4531" s="154"/>
      <c r="K4531" s="30" t="str">
        <f>IF(H4531="","",IF($C$30="간이법","",FPR(H4531,I4531,J4531)))</f>
        <v/>
      </c>
      <c r="L4531" s="30" t="str">
        <f>IF(H4531="","",IF($C$30="상세법",FPV(H4531,K4531),IF(H4531="EI",4,IF(H4531="EO",5.2,IF(H4531="EQ",3.9,IF(H4531="ILF",7.5,IF(H4531="EIF",5.4)))))))</f>
        <v/>
      </c>
      <c r="M4531" s="30" t="str">
        <f t="shared" si="485"/>
        <v/>
      </c>
      <c r="N4531" s="134"/>
      <c r="O4531" s="29"/>
      <c r="P4531" s="37" t="str">
        <f t="shared" si="486"/>
        <v/>
      </c>
      <c r="Q4531" s="38" t="str">
        <f t="shared" si="487"/>
        <v/>
      </c>
      <c r="R4531" s="37" t="str">
        <f t="shared" si="488"/>
        <v/>
      </c>
      <c r="S4531" s="37" t="str">
        <f t="shared" si="489"/>
        <v/>
      </c>
      <c r="T4531" s="38" t="str">
        <f t="shared" si="490"/>
        <v/>
      </c>
      <c r="U4531" s="37" t="str">
        <f t="shared" si="491"/>
        <v/>
      </c>
    </row>
    <row r="4532" spans="2:21" ht="17.25">
      <c r="B4532" s="156"/>
      <c r="C4532" s="156"/>
      <c r="D4532" s="157"/>
      <c r="E4532" s="155"/>
      <c r="F4532" s="151"/>
      <c r="G4532" s="152"/>
      <c r="H4532" s="153"/>
      <c r="I4532" s="154"/>
      <c r="J4532" s="154"/>
      <c r="K4532" s="30" t="str">
        <f>IF(H4532="","",IF($C$30="간이법","",FPR(H4532,I4532,J4532)))</f>
        <v/>
      </c>
      <c r="L4532" s="30" t="str">
        <f>IF(H4532="","",IF($C$30="상세법",FPV(H4532,K4532),IF(H4532="EI",4,IF(H4532="EO",5.2,IF(H4532="EQ",3.9,IF(H4532="ILF",7.5,IF(H4532="EIF",5.4)))))))</f>
        <v/>
      </c>
      <c r="M4532" s="30" t="str">
        <f t="shared" si="485"/>
        <v/>
      </c>
      <c r="N4532" s="134"/>
      <c r="O4532" s="29"/>
      <c r="P4532" s="37" t="str">
        <f t="shared" si="486"/>
        <v/>
      </c>
      <c r="Q4532" s="38" t="str">
        <f t="shared" si="487"/>
        <v/>
      </c>
      <c r="R4532" s="37" t="str">
        <f t="shared" si="488"/>
        <v/>
      </c>
      <c r="S4532" s="37" t="str">
        <f t="shared" si="489"/>
        <v/>
      </c>
      <c r="T4532" s="38" t="str">
        <f t="shared" si="490"/>
        <v/>
      </c>
      <c r="U4532" s="37" t="str">
        <f t="shared" si="491"/>
        <v/>
      </c>
    </row>
    <row r="4533" spans="2:21" ht="17.25">
      <c r="B4533" s="156"/>
      <c r="C4533" s="156"/>
      <c r="D4533" s="157"/>
      <c r="E4533" s="155"/>
      <c r="F4533" s="151"/>
      <c r="G4533" s="152"/>
      <c r="H4533" s="153"/>
      <c r="I4533" s="154"/>
      <c r="J4533" s="154"/>
      <c r="K4533" s="30" t="str">
        <f>IF(H4533="","",IF($C$30="간이법","",FPR(H4533,I4533,J4533)))</f>
        <v/>
      </c>
      <c r="L4533" s="30" t="str">
        <f>IF(H4533="","",IF($C$30="상세법",FPV(H4533,K4533),IF(H4533="EI",4,IF(H4533="EO",5.2,IF(H4533="EQ",3.9,IF(H4533="ILF",7.5,IF(H4533="EIF",5.4)))))))</f>
        <v/>
      </c>
      <c r="M4533" s="30" t="str">
        <f t="shared" si="485"/>
        <v/>
      </c>
      <c r="N4533" s="134"/>
      <c r="O4533" s="29"/>
      <c r="P4533" s="37" t="str">
        <f t="shared" si="486"/>
        <v/>
      </c>
      <c r="Q4533" s="38" t="str">
        <f t="shared" si="487"/>
        <v/>
      </c>
      <c r="R4533" s="37" t="str">
        <f t="shared" si="488"/>
        <v/>
      </c>
      <c r="S4533" s="37" t="str">
        <f t="shared" si="489"/>
        <v/>
      </c>
      <c r="T4533" s="38" t="str">
        <f t="shared" si="490"/>
        <v/>
      </c>
      <c r="U4533" s="37" t="str">
        <f t="shared" si="491"/>
        <v/>
      </c>
    </row>
    <row r="4534" spans="2:21" ht="17.25">
      <c r="B4534" s="156"/>
      <c r="C4534" s="156"/>
      <c r="D4534" s="157"/>
      <c r="E4534" s="155"/>
      <c r="F4534" s="151"/>
      <c r="G4534" s="152"/>
      <c r="H4534" s="153"/>
      <c r="I4534" s="154"/>
      <c r="J4534" s="154"/>
      <c r="K4534" s="30" t="str">
        <f>IF(H4534="","",IF($C$30="간이법","",FPR(H4534,I4534,J4534)))</f>
        <v/>
      </c>
      <c r="L4534" s="30" t="str">
        <f>IF(H4534="","",IF($C$30="상세법",FPV(H4534,K4534),IF(H4534="EI",4,IF(H4534="EO",5.2,IF(H4534="EQ",3.9,IF(H4534="ILF",7.5,IF(H4534="EIF",5.4)))))))</f>
        <v/>
      </c>
      <c r="M4534" s="30" t="str">
        <f t="shared" si="485"/>
        <v/>
      </c>
      <c r="N4534" s="134"/>
      <c r="O4534" s="29"/>
      <c r="P4534" s="37" t="str">
        <f t="shared" si="486"/>
        <v/>
      </c>
      <c r="Q4534" s="38" t="str">
        <f t="shared" si="487"/>
        <v/>
      </c>
      <c r="R4534" s="37" t="str">
        <f t="shared" si="488"/>
        <v/>
      </c>
      <c r="S4534" s="37" t="str">
        <f t="shared" si="489"/>
        <v/>
      </c>
      <c r="T4534" s="38" t="str">
        <f t="shared" si="490"/>
        <v/>
      </c>
      <c r="U4534" s="37" t="str">
        <f t="shared" si="491"/>
        <v/>
      </c>
    </row>
    <row r="4535" spans="2:21" ht="17.25">
      <c r="B4535" s="156"/>
      <c r="C4535" s="156"/>
      <c r="D4535" s="157"/>
      <c r="E4535" s="155"/>
      <c r="F4535" s="151"/>
      <c r="G4535" s="152"/>
      <c r="H4535" s="153"/>
      <c r="I4535" s="154"/>
      <c r="J4535" s="154"/>
      <c r="K4535" s="30" t="str">
        <f>IF(H4535="","",IF($C$30="간이법","",FPR(H4535,I4535,J4535)))</f>
        <v/>
      </c>
      <c r="L4535" s="30" t="str">
        <f>IF(H4535="","",IF($C$30="상세법",FPV(H4535,K4535),IF(H4535="EI",4,IF(H4535="EO",5.2,IF(H4535="EQ",3.9,IF(H4535="ILF",7.5,IF(H4535="EIF",5.4)))))))</f>
        <v/>
      </c>
      <c r="M4535" s="30" t="str">
        <f t="shared" si="485"/>
        <v/>
      </c>
      <c r="N4535" s="134"/>
      <c r="O4535" s="29"/>
      <c r="P4535" s="37" t="str">
        <f t="shared" si="486"/>
        <v/>
      </c>
      <c r="Q4535" s="38" t="str">
        <f t="shared" si="487"/>
        <v/>
      </c>
      <c r="R4535" s="37" t="str">
        <f t="shared" si="488"/>
        <v/>
      </c>
      <c r="S4535" s="37" t="str">
        <f t="shared" si="489"/>
        <v/>
      </c>
      <c r="T4535" s="38" t="str">
        <f t="shared" si="490"/>
        <v/>
      </c>
      <c r="U4535" s="37" t="str">
        <f t="shared" si="491"/>
        <v/>
      </c>
    </row>
    <row r="4536" spans="2:21" ht="17.25">
      <c r="B4536" s="156"/>
      <c r="C4536" s="156"/>
      <c r="D4536" s="157"/>
      <c r="E4536" s="155"/>
      <c r="F4536" s="151"/>
      <c r="G4536" s="152"/>
      <c r="H4536" s="153"/>
      <c r="I4536" s="154"/>
      <c r="J4536" s="154"/>
      <c r="K4536" s="30" t="str">
        <f>IF(H4536="","",IF($C$30="간이법","",FPR(H4536,I4536,J4536)))</f>
        <v/>
      </c>
      <c r="L4536" s="30" t="str">
        <f>IF(H4536="","",IF($C$30="상세법",FPV(H4536,K4536),IF(H4536="EI",4,IF(H4536="EO",5.2,IF(H4536="EQ",3.9,IF(H4536="ILF",7.5,IF(H4536="EIF",5.4)))))))</f>
        <v/>
      </c>
      <c r="M4536" s="30" t="str">
        <f t="shared" si="485"/>
        <v/>
      </c>
      <c r="N4536" s="134"/>
      <c r="O4536" s="29"/>
      <c r="P4536" s="37" t="str">
        <f t="shared" si="486"/>
        <v/>
      </c>
      <c r="Q4536" s="38" t="str">
        <f t="shared" si="487"/>
        <v/>
      </c>
      <c r="R4536" s="37" t="str">
        <f t="shared" si="488"/>
        <v/>
      </c>
      <c r="S4536" s="37" t="str">
        <f t="shared" si="489"/>
        <v/>
      </c>
      <c r="T4536" s="38" t="str">
        <f t="shared" si="490"/>
        <v/>
      </c>
      <c r="U4536" s="37" t="str">
        <f t="shared" si="491"/>
        <v/>
      </c>
    </row>
    <row r="4537" spans="2:21" ht="17.25">
      <c r="B4537" s="156"/>
      <c r="C4537" s="156"/>
      <c r="D4537" s="157"/>
      <c r="E4537" s="155"/>
      <c r="F4537" s="151"/>
      <c r="G4537" s="152"/>
      <c r="H4537" s="153"/>
      <c r="I4537" s="154"/>
      <c r="J4537" s="154"/>
      <c r="K4537" s="30" t="str">
        <f>IF(H4537="","",IF($C$30="간이법","",FPR(H4537,I4537,J4537)))</f>
        <v/>
      </c>
      <c r="L4537" s="30" t="str">
        <f>IF(H4537="","",IF($C$30="상세법",FPV(H4537,K4537),IF(H4537="EI",4,IF(H4537="EO",5.2,IF(H4537="EQ",3.9,IF(H4537="ILF",7.5,IF(H4537="EIF",5.4)))))))</f>
        <v/>
      </c>
      <c r="M4537" s="30" t="str">
        <f t="shared" si="485"/>
        <v/>
      </c>
      <c r="N4537" s="134"/>
      <c r="O4537" s="29"/>
      <c r="P4537" s="37" t="str">
        <f t="shared" si="486"/>
        <v/>
      </c>
      <c r="Q4537" s="38" t="str">
        <f t="shared" si="487"/>
        <v/>
      </c>
      <c r="R4537" s="37" t="str">
        <f t="shared" si="488"/>
        <v/>
      </c>
      <c r="S4537" s="37" t="str">
        <f t="shared" si="489"/>
        <v/>
      </c>
      <c r="T4537" s="38" t="str">
        <f t="shared" si="490"/>
        <v/>
      </c>
      <c r="U4537" s="37" t="str">
        <f t="shared" si="491"/>
        <v/>
      </c>
    </row>
    <row r="4538" spans="2:21" ht="17.25">
      <c r="B4538" s="156"/>
      <c r="C4538" s="156"/>
      <c r="D4538" s="157"/>
      <c r="E4538" s="155"/>
      <c r="F4538" s="151"/>
      <c r="G4538" s="152"/>
      <c r="H4538" s="153"/>
      <c r="I4538" s="154"/>
      <c r="J4538" s="154"/>
      <c r="K4538" s="30" t="str">
        <f>IF(H4538="","",IF($C$30="간이법","",FPR(H4538,I4538,J4538)))</f>
        <v/>
      </c>
      <c r="L4538" s="30" t="str">
        <f>IF(H4538="","",IF($C$30="상세법",FPV(H4538,K4538),IF(H4538="EI",4,IF(H4538="EO",5.2,IF(H4538="EQ",3.9,IF(H4538="ILF",7.5,IF(H4538="EIF",5.4)))))))</f>
        <v/>
      </c>
      <c r="M4538" s="30" t="str">
        <f t="shared" si="485"/>
        <v/>
      </c>
      <c r="N4538" s="134"/>
      <c r="O4538" s="29"/>
      <c r="P4538" s="37" t="str">
        <f t="shared" si="486"/>
        <v/>
      </c>
      <c r="Q4538" s="38" t="str">
        <f t="shared" si="487"/>
        <v/>
      </c>
      <c r="R4538" s="37" t="str">
        <f t="shared" si="488"/>
        <v/>
      </c>
      <c r="S4538" s="37" t="str">
        <f t="shared" si="489"/>
        <v/>
      </c>
      <c r="T4538" s="38" t="str">
        <f t="shared" si="490"/>
        <v/>
      </c>
      <c r="U4538" s="37" t="str">
        <f t="shared" si="491"/>
        <v/>
      </c>
    </row>
    <row r="4539" spans="2:21" ht="17.25">
      <c r="B4539" s="156"/>
      <c r="C4539" s="156"/>
      <c r="D4539" s="157"/>
      <c r="E4539" s="155"/>
      <c r="F4539" s="151"/>
      <c r="G4539" s="152"/>
      <c r="H4539" s="153"/>
      <c r="I4539" s="154"/>
      <c r="J4539" s="154"/>
      <c r="K4539" s="30" t="str">
        <f>IF(H4539="","",IF($C$30="간이법","",FPR(H4539,I4539,J4539)))</f>
        <v/>
      </c>
      <c r="L4539" s="30" t="str">
        <f>IF(H4539="","",IF($C$30="상세법",FPV(H4539,K4539),IF(H4539="EI",4,IF(H4539="EO",5.2,IF(H4539="EQ",3.9,IF(H4539="ILF",7.5,IF(H4539="EIF",5.4)))))))</f>
        <v/>
      </c>
      <c r="M4539" s="30" t="str">
        <f t="shared" si="485"/>
        <v/>
      </c>
      <c r="N4539" s="134"/>
      <c r="O4539" s="29"/>
      <c r="P4539" s="37" t="str">
        <f t="shared" si="486"/>
        <v/>
      </c>
      <c r="Q4539" s="38" t="str">
        <f t="shared" si="487"/>
        <v/>
      </c>
      <c r="R4539" s="37" t="str">
        <f t="shared" si="488"/>
        <v/>
      </c>
      <c r="S4539" s="37" t="str">
        <f t="shared" si="489"/>
        <v/>
      </c>
      <c r="T4539" s="38" t="str">
        <f t="shared" si="490"/>
        <v/>
      </c>
      <c r="U4539" s="37" t="str">
        <f t="shared" si="491"/>
        <v/>
      </c>
    </row>
    <row r="4540" spans="2:21" ht="17.25">
      <c r="B4540" s="156"/>
      <c r="C4540" s="156"/>
      <c r="D4540" s="157"/>
      <c r="E4540" s="155"/>
      <c r="F4540" s="151"/>
      <c r="G4540" s="152"/>
      <c r="H4540" s="153"/>
      <c r="I4540" s="154"/>
      <c r="J4540" s="154"/>
      <c r="K4540" s="30" t="str">
        <f>IF(H4540="","",IF($C$30="간이법","",FPR(H4540,I4540,J4540)))</f>
        <v/>
      </c>
      <c r="L4540" s="30" t="str">
        <f>IF(H4540="","",IF($C$30="상세법",FPV(H4540,K4540),IF(H4540="EI",4,IF(H4540="EO",5.2,IF(H4540="EQ",3.9,IF(H4540="ILF",7.5,IF(H4540="EIF",5.4)))))))</f>
        <v/>
      </c>
      <c r="M4540" s="30" t="str">
        <f t="shared" ref="M4540:M4603" si="492">IF(OR(G4540="",$E$36="(선택)",$E$40="(선택)",$E$41="(선택)",F4540="신규 개발",F4540="수정 없이 재사용"),"",(IF(F4540="수정 후 재사용",IF($E$50&lt;=0.5,L4540*($E$36+$E$50*100*(1+0.02*($E$40*$E$41)))/100,L4540*($E$36+$E$50*100+($E$40*$E$41))/100))))</f>
        <v/>
      </c>
      <c r="N4540" s="134"/>
      <c r="O4540" s="29"/>
      <c r="P4540" s="37" t="str">
        <f t="shared" ref="P4540:P4603" si="493">IF(F4540="수정 후 재사용",IF(H4540="ILF",G4540,IF(H4540="EIF",G4540,"")),"")</f>
        <v/>
      </c>
      <c r="Q4540" s="38" t="str">
        <f t="shared" ref="Q4540:Q4603" si="494">IF(P4540&lt;&gt;"",IF(H4540="ILF", L4540/$E$46,IF(H4540="EIF", L4540/$E$46,"")),"")</f>
        <v/>
      </c>
      <c r="R4540" s="37" t="str">
        <f t="shared" ref="R4540:R4603" si="495">IF(P4540&lt;&gt;"",P4540*Q4540,"")</f>
        <v/>
      </c>
      <c r="S4540" s="37" t="str">
        <f t="shared" ref="S4540:S4603" si="496">IF(F4540="수정 후 재사용",IF(H4540="EI",G4540,IF(H4540="EO",G4540,IF(H4540="EQ",G4540,""))),"")</f>
        <v/>
      </c>
      <c r="T4540" s="38" t="str">
        <f t="shared" ref="T4540:T4603" si="497">IF(S4540&lt;&gt;"",IF(H4540="EI",L4540/$E$47,IF(H4540="EO",L4540/$E$47,IF(H4540="EQ",L4540/$E$47,""))),"")</f>
        <v/>
      </c>
      <c r="U4540" s="37" t="str">
        <f t="shared" ref="U4540:U4603" si="498">IF(S4540&lt;&gt;"",S4540*T4540,"")</f>
        <v/>
      </c>
    </row>
    <row r="4541" spans="2:21" ht="17.25">
      <c r="B4541" s="156"/>
      <c r="C4541" s="156"/>
      <c r="D4541" s="157"/>
      <c r="E4541" s="155"/>
      <c r="F4541" s="151"/>
      <c r="G4541" s="152"/>
      <c r="H4541" s="153"/>
      <c r="I4541" s="154"/>
      <c r="J4541" s="154"/>
      <c r="K4541" s="30" t="str">
        <f>IF(H4541="","",IF($C$30="간이법","",FPR(H4541,I4541,J4541)))</f>
        <v/>
      </c>
      <c r="L4541" s="30" t="str">
        <f>IF(H4541="","",IF($C$30="상세법",FPV(H4541,K4541),IF(H4541="EI",4,IF(H4541="EO",5.2,IF(H4541="EQ",3.9,IF(H4541="ILF",7.5,IF(H4541="EIF",5.4)))))))</f>
        <v/>
      </c>
      <c r="M4541" s="30" t="str">
        <f t="shared" si="492"/>
        <v/>
      </c>
      <c r="N4541" s="134"/>
      <c r="O4541" s="29"/>
      <c r="P4541" s="37" t="str">
        <f t="shared" si="493"/>
        <v/>
      </c>
      <c r="Q4541" s="38" t="str">
        <f t="shared" si="494"/>
        <v/>
      </c>
      <c r="R4541" s="37" t="str">
        <f t="shared" si="495"/>
        <v/>
      </c>
      <c r="S4541" s="37" t="str">
        <f t="shared" si="496"/>
        <v/>
      </c>
      <c r="T4541" s="38" t="str">
        <f t="shared" si="497"/>
        <v/>
      </c>
      <c r="U4541" s="37" t="str">
        <f t="shared" si="498"/>
        <v/>
      </c>
    </row>
    <row r="4542" spans="2:21" ht="17.25">
      <c r="B4542" s="156"/>
      <c r="C4542" s="156"/>
      <c r="D4542" s="157"/>
      <c r="E4542" s="155"/>
      <c r="F4542" s="151"/>
      <c r="G4542" s="152"/>
      <c r="H4542" s="153"/>
      <c r="I4542" s="154"/>
      <c r="J4542" s="154"/>
      <c r="K4542" s="30" t="str">
        <f>IF(H4542="","",IF($C$30="간이법","",FPR(H4542,I4542,J4542)))</f>
        <v/>
      </c>
      <c r="L4542" s="30" t="str">
        <f>IF(H4542="","",IF($C$30="상세법",FPV(H4542,K4542),IF(H4542="EI",4,IF(H4542="EO",5.2,IF(H4542="EQ",3.9,IF(H4542="ILF",7.5,IF(H4542="EIF",5.4)))))))</f>
        <v/>
      </c>
      <c r="M4542" s="30" t="str">
        <f t="shared" si="492"/>
        <v/>
      </c>
      <c r="N4542" s="134"/>
      <c r="O4542" s="29"/>
      <c r="P4542" s="37" t="str">
        <f t="shared" si="493"/>
        <v/>
      </c>
      <c r="Q4542" s="38" t="str">
        <f t="shared" si="494"/>
        <v/>
      </c>
      <c r="R4542" s="37" t="str">
        <f t="shared" si="495"/>
        <v/>
      </c>
      <c r="S4542" s="37" t="str">
        <f t="shared" si="496"/>
        <v/>
      </c>
      <c r="T4542" s="38" t="str">
        <f t="shared" si="497"/>
        <v/>
      </c>
      <c r="U4542" s="37" t="str">
        <f t="shared" si="498"/>
        <v/>
      </c>
    </row>
    <row r="4543" spans="2:21" ht="17.25">
      <c r="B4543" s="156"/>
      <c r="C4543" s="156"/>
      <c r="D4543" s="157"/>
      <c r="E4543" s="155"/>
      <c r="F4543" s="151"/>
      <c r="G4543" s="152"/>
      <c r="H4543" s="153"/>
      <c r="I4543" s="154"/>
      <c r="J4543" s="154"/>
      <c r="K4543" s="30" t="str">
        <f>IF(H4543="","",IF($C$30="간이법","",FPR(H4543,I4543,J4543)))</f>
        <v/>
      </c>
      <c r="L4543" s="30" t="str">
        <f>IF(H4543="","",IF($C$30="상세법",FPV(H4543,K4543),IF(H4543="EI",4,IF(H4543="EO",5.2,IF(H4543="EQ",3.9,IF(H4543="ILF",7.5,IF(H4543="EIF",5.4)))))))</f>
        <v/>
      </c>
      <c r="M4543" s="30" t="str">
        <f t="shared" si="492"/>
        <v/>
      </c>
      <c r="N4543" s="134"/>
      <c r="O4543" s="29"/>
      <c r="P4543" s="37" t="str">
        <f t="shared" si="493"/>
        <v/>
      </c>
      <c r="Q4543" s="38" t="str">
        <f t="shared" si="494"/>
        <v/>
      </c>
      <c r="R4543" s="37" t="str">
        <f t="shared" si="495"/>
        <v/>
      </c>
      <c r="S4543" s="37" t="str">
        <f t="shared" si="496"/>
        <v/>
      </c>
      <c r="T4543" s="38" t="str">
        <f t="shared" si="497"/>
        <v/>
      </c>
      <c r="U4543" s="37" t="str">
        <f t="shared" si="498"/>
        <v/>
      </c>
    </row>
    <row r="4544" spans="2:21" ht="17.25">
      <c r="B4544" s="156"/>
      <c r="C4544" s="156"/>
      <c r="D4544" s="157"/>
      <c r="E4544" s="155"/>
      <c r="F4544" s="151"/>
      <c r="G4544" s="152"/>
      <c r="H4544" s="153"/>
      <c r="I4544" s="154"/>
      <c r="J4544" s="154"/>
      <c r="K4544" s="30" t="str">
        <f>IF(H4544="","",IF($C$30="간이법","",FPR(H4544,I4544,J4544)))</f>
        <v/>
      </c>
      <c r="L4544" s="30" t="str">
        <f>IF(H4544="","",IF($C$30="상세법",FPV(H4544,K4544),IF(H4544="EI",4,IF(H4544="EO",5.2,IF(H4544="EQ",3.9,IF(H4544="ILF",7.5,IF(H4544="EIF",5.4)))))))</f>
        <v/>
      </c>
      <c r="M4544" s="30" t="str">
        <f t="shared" si="492"/>
        <v/>
      </c>
      <c r="N4544" s="134"/>
      <c r="O4544" s="29"/>
      <c r="P4544" s="37" t="str">
        <f t="shared" si="493"/>
        <v/>
      </c>
      <c r="Q4544" s="38" t="str">
        <f t="shared" si="494"/>
        <v/>
      </c>
      <c r="R4544" s="37" t="str">
        <f t="shared" si="495"/>
        <v/>
      </c>
      <c r="S4544" s="37" t="str">
        <f t="shared" si="496"/>
        <v/>
      </c>
      <c r="T4544" s="38" t="str">
        <f t="shared" si="497"/>
        <v/>
      </c>
      <c r="U4544" s="37" t="str">
        <f t="shared" si="498"/>
        <v/>
      </c>
    </row>
    <row r="4545" spans="2:21" ht="17.25">
      <c r="B4545" s="156"/>
      <c r="C4545" s="156"/>
      <c r="D4545" s="157"/>
      <c r="E4545" s="155"/>
      <c r="F4545" s="151"/>
      <c r="G4545" s="152"/>
      <c r="H4545" s="153"/>
      <c r="I4545" s="154"/>
      <c r="J4545" s="154"/>
      <c r="K4545" s="30" t="str">
        <f>IF(H4545="","",IF($C$30="간이법","",FPR(H4545,I4545,J4545)))</f>
        <v/>
      </c>
      <c r="L4545" s="30" t="str">
        <f>IF(H4545="","",IF($C$30="상세법",FPV(H4545,K4545),IF(H4545="EI",4,IF(H4545="EO",5.2,IF(H4545="EQ",3.9,IF(H4545="ILF",7.5,IF(H4545="EIF",5.4)))))))</f>
        <v/>
      </c>
      <c r="M4545" s="30" t="str">
        <f t="shared" si="492"/>
        <v/>
      </c>
      <c r="N4545" s="134"/>
      <c r="O4545" s="29"/>
      <c r="P4545" s="37" t="str">
        <f t="shared" si="493"/>
        <v/>
      </c>
      <c r="Q4545" s="38" t="str">
        <f t="shared" si="494"/>
        <v/>
      </c>
      <c r="R4545" s="37" t="str">
        <f t="shared" si="495"/>
        <v/>
      </c>
      <c r="S4545" s="37" t="str">
        <f t="shared" si="496"/>
        <v/>
      </c>
      <c r="T4545" s="38" t="str">
        <f t="shared" si="497"/>
        <v/>
      </c>
      <c r="U4545" s="37" t="str">
        <f t="shared" si="498"/>
        <v/>
      </c>
    </row>
    <row r="4546" spans="2:21" ht="17.25">
      <c r="B4546" s="156"/>
      <c r="C4546" s="156"/>
      <c r="D4546" s="157"/>
      <c r="E4546" s="155"/>
      <c r="F4546" s="151"/>
      <c r="G4546" s="152"/>
      <c r="H4546" s="153"/>
      <c r="I4546" s="154"/>
      <c r="J4546" s="154"/>
      <c r="K4546" s="30" t="str">
        <f>IF(H4546="","",IF($C$30="간이법","",FPR(H4546,I4546,J4546)))</f>
        <v/>
      </c>
      <c r="L4546" s="30" t="str">
        <f>IF(H4546="","",IF($C$30="상세법",FPV(H4546,K4546),IF(H4546="EI",4,IF(H4546="EO",5.2,IF(H4546="EQ",3.9,IF(H4546="ILF",7.5,IF(H4546="EIF",5.4)))))))</f>
        <v/>
      </c>
      <c r="M4546" s="30" t="str">
        <f t="shared" si="492"/>
        <v/>
      </c>
      <c r="N4546" s="134"/>
      <c r="O4546" s="29"/>
      <c r="P4546" s="37" t="str">
        <f t="shared" si="493"/>
        <v/>
      </c>
      <c r="Q4546" s="38" t="str">
        <f t="shared" si="494"/>
        <v/>
      </c>
      <c r="R4546" s="37" t="str">
        <f t="shared" si="495"/>
        <v/>
      </c>
      <c r="S4546" s="37" t="str">
        <f t="shared" si="496"/>
        <v/>
      </c>
      <c r="T4546" s="38" t="str">
        <f t="shared" si="497"/>
        <v/>
      </c>
      <c r="U4546" s="37" t="str">
        <f t="shared" si="498"/>
        <v/>
      </c>
    </row>
    <row r="4547" spans="2:21" ht="17.25">
      <c r="B4547" s="156"/>
      <c r="C4547" s="156"/>
      <c r="D4547" s="157"/>
      <c r="E4547" s="155"/>
      <c r="F4547" s="151"/>
      <c r="G4547" s="152"/>
      <c r="H4547" s="153"/>
      <c r="I4547" s="154"/>
      <c r="J4547" s="154"/>
      <c r="K4547" s="30" t="str">
        <f>IF(H4547="","",IF($C$30="간이법","",FPR(H4547,I4547,J4547)))</f>
        <v/>
      </c>
      <c r="L4547" s="30" t="str">
        <f>IF(H4547="","",IF($C$30="상세법",FPV(H4547,K4547),IF(H4547="EI",4,IF(H4547="EO",5.2,IF(H4547="EQ",3.9,IF(H4547="ILF",7.5,IF(H4547="EIF",5.4)))))))</f>
        <v/>
      </c>
      <c r="M4547" s="30" t="str">
        <f t="shared" si="492"/>
        <v/>
      </c>
      <c r="N4547" s="134"/>
      <c r="O4547" s="29"/>
      <c r="P4547" s="37" t="str">
        <f t="shared" si="493"/>
        <v/>
      </c>
      <c r="Q4547" s="38" t="str">
        <f t="shared" si="494"/>
        <v/>
      </c>
      <c r="R4547" s="37" t="str">
        <f t="shared" si="495"/>
        <v/>
      </c>
      <c r="S4547" s="37" t="str">
        <f t="shared" si="496"/>
        <v/>
      </c>
      <c r="T4547" s="38" t="str">
        <f t="shared" si="497"/>
        <v/>
      </c>
      <c r="U4547" s="37" t="str">
        <f t="shared" si="498"/>
        <v/>
      </c>
    </row>
    <row r="4548" spans="2:21" ht="17.25">
      <c r="B4548" s="156"/>
      <c r="C4548" s="156"/>
      <c r="D4548" s="157"/>
      <c r="E4548" s="155"/>
      <c r="F4548" s="151"/>
      <c r="G4548" s="152"/>
      <c r="H4548" s="153"/>
      <c r="I4548" s="154"/>
      <c r="J4548" s="154"/>
      <c r="K4548" s="30" t="str">
        <f>IF(H4548="","",IF($C$30="간이법","",FPR(H4548,I4548,J4548)))</f>
        <v/>
      </c>
      <c r="L4548" s="30" t="str">
        <f>IF(H4548="","",IF($C$30="상세법",FPV(H4548,K4548),IF(H4548="EI",4,IF(H4548="EO",5.2,IF(H4548="EQ",3.9,IF(H4548="ILF",7.5,IF(H4548="EIF",5.4)))))))</f>
        <v/>
      </c>
      <c r="M4548" s="30" t="str">
        <f t="shared" si="492"/>
        <v/>
      </c>
      <c r="N4548" s="134"/>
      <c r="O4548" s="29"/>
      <c r="P4548" s="37" t="str">
        <f t="shared" si="493"/>
        <v/>
      </c>
      <c r="Q4548" s="38" t="str">
        <f t="shared" si="494"/>
        <v/>
      </c>
      <c r="R4548" s="37" t="str">
        <f t="shared" si="495"/>
        <v/>
      </c>
      <c r="S4548" s="37" t="str">
        <f t="shared" si="496"/>
        <v/>
      </c>
      <c r="T4548" s="38" t="str">
        <f t="shared" si="497"/>
        <v/>
      </c>
      <c r="U4548" s="37" t="str">
        <f t="shared" si="498"/>
        <v/>
      </c>
    </row>
    <row r="4549" spans="2:21" ht="17.25">
      <c r="B4549" s="156"/>
      <c r="C4549" s="156"/>
      <c r="D4549" s="157"/>
      <c r="E4549" s="155"/>
      <c r="F4549" s="151"/>
      <c r="G4549" s="152"/>
      <c r="H4549" s="153"/>
      <c r="I4549" s="154"/>
      <c r="J4549" s="154"/>
      <c r="K4549" s="30" t="str">
        <f>IF(H4549="","",IF($C$30="간이법","",FPR(H4549,I4549,J4549)))</f>
        <v/>
      </c>
      <c r="L4549" s="30" t="str">
        <f>IF(H4549="","",IF($C$30="상세법",FPV(H4549,K4549),IF(H4549="EI",4,IF(H4549="EO",5.2,IF(H4549="EQ",3.9,IF(H4549="ILF",7.5,IF(H4549="EIF",5.4)))))))</f>
        <v/>
      </c>
      <c r="M4549" s="30" t="str">
        <f t="shared" si="492"/>
        <v/>
      </c>
      <c r="N4549" s="134"/>
      <c r="O4549" s="29"/>
      <c r="P4549" s="37" t="str">
        <f t="shared" si="493"/>
        <v/>
      </c>
      <c r="Q4549" s="38" t="str">
        <f t="shared" si="494"/>
        <v/>
      </c>
      <c r="R4549" s="37" t="str">
        <f t="shared" si="495"/>
        <v/>
      </c>
      <c r="S4549" s="37" t="str">
        <f t="shared" si="496"/>
        <v/>
      </c>
      <c r="T4549" s="38" t="str">
        <f t="shared" si="497"/>
        <v/>
      </c>
      <c r="U4549" s="37" t="str">
        <f t="shared" si="498"/>
        <v/>
      </c>
    </row>
    <row r="4550" spans="2:21" ht="17.25">
      <c r="B4550" s="156"/>
      <c r="C4550" s="156"/>
      <c r="D4550" s="157"/>
      <c r="E4550" s="155"/>
      <c r="F4550" s="151"/>
      <c r="G4550" s="152"/>
      <c r="H4550" s="153"/>
      <c r="I4550" s="154"/>
      <c r="J4550" s="154"/>
      <c r="K4550" s="30" t="str">
        <f>IF(H4550="","",IF($C$30="간이법","",FPR(H4550,I4550,J4550)))</f>
        <v/>
      </c>
      <c r="L4550" s="30" t="str">
        <f>IF(H4550="","",IF($C$30="상세법",FPV(H4550,K4550),IF(H4550="EI",4,IF(H4550="EO",5.2,IF(H4550="EQ",3.9,IF(H4550="ILF",7.5,IF(H4550="EIF",5.4)))))))</f>
        <v/>
      </c>
      <c r="M4550" s="30" t="str">
        <f t="shared" si="492"/>
        <v/>
      </c>
      <c r="N4550" s="134"/>
      <c r="O4550" s="29"/>
      <c r="P4550" s="37" t="str">
        <f t="shared" si="493"/>
        <v/>
      </c>
      <c r="Q4550" s="38" t="str">
        <f t="shared" si="494"/>
        <v/>
      </c>
      <c r="R4550" s="37" t="str">
        <f t="shared" si="495"/>
        <v/>
      </c>
      <c r="S4550" s="37" t="str">
        <f t="shared" si="496"/>
        <v/>
      </c>
      <c r="T4550" s="38" t="str">
        <f t="shared" si="497"/>
        <v/>
      </c>
      <c r="U4550" s="37" t="str">
        <f t="shared" si="498"/>
        <v/>
      </c>
    </row>
    <row r="4551" spans="2:21" ht="17.25">
      <c r="B4551" s="156"/>
      <c r="C4551" s="156"/>
      <c r="D4551" s="157"/>
      <c r="E4551" s="155"/>
      <c r="F4551" s="151"/>
      <c r="G4551" s="152"/>
      <c r="H4551" s="153"/>
      <c r="I4551" s="154"/>
      <c r="J4551" s="154"/>
      <c r="K4551" s="30" t="str">
        <f>IF(H4551="","",IF($C$30="간이법","",FPR(H4551,I4551,J4551)))</f>
        <v/>
      </c>
      <c r="L4551" s="30" t="str">
        <f>IF(H4551="","",IF($C$30="상세법",FPV(H4551,K4551),IF(H4551="EI",4,IF(H4551="EO",5.2,IF(H4551="EQ",3.9,IF(H4551="ILF",7.5,IF(H4551="EIF",5.4)))))))</f>
        <v/>
      </c>
      <c r="M4551" s="30" t="str">
        <f t="shared" si="492"/>
        <v/>
      </c>
      <c r="N4551" s="134"/>
      <c r="O4551" s="29"/>
      <c r="P4551" s="37" t="str">
        <f t="shared" si="493"/>
        <v/>
      </c>
      <c r="Q4551" s="38" t="str">
        <f t="shared" si="494"/>
        <v/>
      </c>
      <c r="R4551" s="37" t="str">
        <f t="shared" si="495"/>
        <v/>
      </c>
      <c r="S4551" s="37" t="str">
        <f t="shared" si="496"/>
        <v/>
      </c>
      <c r="T4551" s="38" t="str">
        <f t="shared" si="497"/>
        <v/>
      </c>
      <c r="U4551" s="37" t="str">
        <f t="shared" si="498"/>
        <v/>
      </c>
    </row>
    <row r="4552" spans="2:21" ht="17.25">
      <c r="B4552" s="156"/>
      <c r="C4552" s="156"/>
      <c r="D4552" s="157"/>
      <c r="E4552" s="155"/>
      <c r="F4552" s="151"/>
      <c r="G4552" s="152"/>
      <c r="H4552" s="153"/>
      <c r="I4552" s="154"/>
      <c r="J4552" s="154"/>
      <c r="K4552" s="30" t="str">
        <f>IF(H4552="","",IF($C$30="간이법","",FPR(H4552,I4552,J4552)))</f>
        <v/>
      </c>
      <c r="L4552" s="30" t="str">
        <f>IF(H4552="","",IF($C$30="상세법",FPV(H4552,K4552),IF(H4552="EI",4,IF(H4552="EO",5.2,IF(H4552="EQ",3.9,IF(H4552="ILF",7.5,IF(H4552="EIF",5.4)))))))</f>
        <v/>
      </c>
      <c r="M4552" s="30" t="str">
        <f t="shared" si="492"/>
        <v/>
      </c>
      <c r="N4552" s="134"/>
      <c r="O4552" s="29"/>
      <c r="P4552" s="37" t="str">
        <f t="shared" si="493"/>
        <v/>
      </c>
      <c r="Q4552" s="38" t="str">
        <f t="shared" si="494"/>
        <v/>
      </c>
      <c r="R4552" s="37" t="str">
        <f t="shared" si="495"/>
        <v/>
      </c>
      <c r="S4552" s="37" t="str">
        <f t="shared" si="496"/>
        <v/>
      </c>
      <c r="T4552" s="38" t="str">
        <f t="shared" si="497"/>
        <v/>
      </c>
      <c r="U4552" s="37" t="str">
        <f t="shared" si="498"/>
        <v/>
      </c>
    </row>
    <row r="4553" spans="2:21" ht="17.25">
      <c r="B4553" s="156"/>
      <c r="C4553" s="156"/>
      <c r="D4553" s="157"/>
      <c r="E4553" s="155"/>
      <c r="F4553" s="151"/>
      <c r="G4553" s="152"/>
      <c r="H4553" s="153"/>
      <c r="I4553" s="154"/>
      <c r="J4553" s="154"/>
      <c r="K4553" s="30" t="str">
        <f>IF(H4553="","",IF($C$30="간이법","",FPR(H4553,I4553,J4553)))</f>
        <v/>
      </c>
      <c r="L4553" s="30" t="str">
        <f>IF(H4553="","",IF($C$30="상세법",FPV(H4553,K4553),IF(H4553="EI",4,IF(H4553="EO",5.2,IF(H4553="EQ",3.9,IF(H4553="ILF",7.5,IF(H4553="EIF",5.4)))))))</f>
        <v/>
      </c>
      <c r="M4553" s="30" t="str">
        <f t="shared" si="492"/>
        <v/>
      </c>
      <c r="N4553" s="134"/>
      <c r="O4553" s="29"/>
      <c r="P4553" s="37" t="str">
        <f t="shared" si="493"/>
        <v/>
      </c>
      <c r="Q4553" s="38" t="str">
        <f t="shared" si="494"/>
        <v/>
      </c>
      <c r="R4553" s="37" t="str">
        <f t="shared" si="495"/>
        <v/>
      </c>
      <c r="S4553" s="37" t="str">
        <f t="shared" si="496"/>
        <v/>
      </c>
      <c r="T4553" s="38" t="str">
        <f t="shared" si="497"/>
        <v/>
      </c>
      <c r="U4553" s="37" t="str">
        <f t="shared" si="498"/>
        <v/>
      </c>
    </row>
    <row r="4554" spans="2:21" ht="17.25">
      <c r="B4554" s="156"/>
      <c r="C4554" s="156"/>
      <c r="D4554" s="157"/>
      <c r="E4554" s="155"/>
      <c r="F4554" s="151"/>
      <c r="G4554" s="152"/>
      <c r="H4554" s="153"/>
      <c r="I4554" s="154"/>
      <c r="J4554" s="154"/>
      <c r="K4554" s="30" t="str">
        <f>IF(H4554="","",IF($C$30="간이법","",FPR(H4554,I4554,J4554)))</f>
        <v/>
      </c>
      <c r="L4554" s="30" t="str">
        <f>IF(H4554="","",IF($C$30="상세법",FPV(H4554,K4554),IF(H4554="EI",4,IF(H4554="EO",5.2,IF(H4554="EQ",3.9,IF(H4554="ILF",7.5,IF(H4554="EIF",5.4)))))))</f>
        <v/>
      </c>
      <c r="M4554" s="30" t="str">
        <f t="shared" si="492"/>
        <v/>
      </c>
      <c r="N4554" s="134"/>
      <c r="O4554" s="29"/>
      <c r="P4554" s="37" t="str">
        <f t="shared" si="493"/>
        <v/>
      </c>
      <c r="Q4554" s="38" t="str">
        <f t="shared" si="494"/>
        <v/>
      </c>
      <c r="R4554" s="37" t="str">
        <f t="shared" si="495"/>
        <v/>
      </c>
      <c r="S4554" s="37" t="str">
        <f t="shared" si="496"/>
        <v/>
      </c>
      <c r="T4554" s="38" t="str">
        <f t="shared" si="497"/>
        <v/>
      </c>
      <c r="U4554" s="37" t="str">
        <f t="shared" si="498"/>
        <v/>
      </c>
    </row>
    <row r="4555" spans="2:21" ht="17.25">
      <c r="B4555" s="156"/>
      <c r="C4555" s="156"/>
      <c r="D4555" s="157"/>
      <c r="E4555" s="155"/>
      <c r="F4555" s="151"/>
      <c r="G4555" s="152"/>
      <c r="H4555" s="153"/>
      <c r="I4555" s="154"/>
      <c r="J4555" s="154"/>
      <c r="K4555" s="30" t="str">
        <f>IF(H4555="","",IF($C$30="간이법","",FPR(H4555,I4555,J4555)))</f>
        <v/>
      </c>
      <c r="L4555" s="30" t="str">
        <f>IF(H4555="","",IF($C$30="상세법",FPV(H4555,K4555),IF(H4555="EI",4,IF(H4555="EO",5.2,IF(H4555="EQ",3.9,IF(H4555="ILF",7.5,IF(H4555="EIF",5.4)))))))</f>
        <v/>
      </c>
      <c r="M4555" s="30" t="str">
        <f t="shared" si="492"/>
        <v/>
      </c>
      <c r="N4555" s="134"/>
      <c r="O4555" s="29"/>
      <c r="P4555" s="37" t="str">
        <f t="shared" si="493"/>
        <v/>
      </c>
      <c r="Q4555" s="38" t="str">
        <f t="shared" si="494"/>
        <v/>
      </c>
      <c r="R4555" s="37" t="str">
        <f t="shared" si="495"/>
        <v/>
      </c>
      <c r="S4555" s="37" t="str">
        <f t="shared" si="496"/>
        <v/>
      </c>
      <c r="T4555" s="38" t="str">
        <f t="shared" si="497"/>
        <v/>
      </c>
      <c r="U4555" s="37" t="str">
        <f t="shared" si="498"/>
        <v/>
      </c>
    </row>
    <row r="4556" spans="2:21" ht="17.25">
      <c r="B4556" s="156"/>
      <c r="C4556" s="156"/>
      <c r="D4556" s="157"/>
      <c r="E4556" s="155"/>
      <c r="F4556" s="151"/>
      <c r="G4556" s="152"/>
      <c r="H4556" s="153"/>
      <c r="I4556" s="154"/>
      <c r="J4556" s="154"/>
      <c r="K4556" s="30" t="str">
        <f>IF(H4556="","",IF($C$30="간이법","",FPR(H4556,I4556,J4556)))</f>
        <v/>
      </c>
      <c r="L4556" s="30" t="str">
        <f>IF(H4556="","",IF($C$30="상세법",FPV(H4556,K4556),IF(H4556="EI",4,IF(H4556="EO",5.2,IF(H4556="EQ",3.9,IF(H4556="ILF",7.5,IF(H4556="EIF",5.4)))))))</f>
        <v/>
      </c>
      <c r="M4556" s="30" t="str">
        <f t="shared" si="492"/>
        <v/>
      </c>
      <c r="N4556" s="134"/>
      <c r="O4556" s="29"/>
      <c r="P4556" s="37" t="str">
        <f t="shared" si="493"/>
        <v/>
      </c>
      <c r="Q4556" s="38" t="str">
        <f t="shared" si="494"/>
        <v/>
      </c>
      <c r="R4556" s="37" t="str">
        <f t="shared" si="495"/>
        <v/>
      </c>
      <c r="S4556" s="37" t="str">
        <f t="shared" si="496"/>
        <v/>
      </c>
      <c r="T4556" s="38" t="str">
        <f t="shared" si="497"/>
        <v/>
      </c>
      <c r="U4556" s="37" t="str">
        <f t="shared" si="498"/>
        <v/>
      </c>
    </row>
    <row r="4557" spans="2:21" ht="17.25">
      <c r="B4557" s="156"/>
      <c r="C4557" s="156"/>
      <c r="D4557" s="157"/>
      <c r="E4557" s="155"/>
      <c r="F4557" s="151"/>
      <c r="G4557" s="152"/>
      <c r="H4557" s="153"/>
      <c r="I4557" s="154"/>
      <c r="J4557" s="154"/>
      <c r="K4557" s="30" t="str">
        <f>IF(H4557="","",IF($C$30="간이법","",FPR(H4557,I4557,J4557)))</f>
        <v/>
      </c>
      <c r="L4557" s="30" t="str">
        <f>IF(H4557="","",IF($C$30="상세법",FPV(H4557,K4557),IF(H4557="EI",4,IF(H4557="EO",5.2,IF(H4557="EQ",3.9,IF(H4557="ILF",7.5,IF(H4557="EIF",5.4)))))))</f>
        <v/>
      </c>
      <c r="M4557" s="30" t="str">
        <f t="shared" si="492"/>
        <v/>
      </c>
      <c r="N4557" s="134"/>
      <c r="O4557" s="29"/>
      <c r="P4557" s="37" t="str">
        <f t="shared" si="493"/>
        <v/>
      </c>
      <c r="Q4557" s="38" t="str">
        <f t="shared" si="494"/>
        <v/>
      </c>
      <c r="R4557" s="37" t="str">
        <f t="shared" si="495"/>
        <v/>
      </c>
      <c r="S4557" s="37" t="str">
        <f t="shared" si="496"/>
        <v/>
      </c>
      <c r="T4557" s="38" t="str">
        <f t="shared" si="497"/>
        <v/>
      </c>
      <c r="U4557" s="37" t="str">
        <f t="shared" si="498"/>
        <v/>
      </c>
    </row>
    <row r="4558" spans="2:21" ht="17.25">
      <c r="B4558" s="156"/>
      <c r="C4558" s="156"/>
      <c r="D4558" s="157"/>
      <c r="E4558" s="155"/>
      <c r="F4558" s="151"/>
      <c r="G4558" s="152"/>
      <c r="H4558" s="153"/>
      <c r="I4558" s="154"/>
      <c r="J4558" s="154"/>
      <c r="K4558" s="30" t="str">
        <f>IF(H4558="","",IF($C$30="간이법","",FPR(H4558,I4558,J4558)))</f>
        <v/>
      </c>
      <c r="L4558" s="30" t="str">
        <f>IF(H4558="","",IF($C$30="상세법",FPV(H4558,K4558),IF(H4558="EI",4,IF(H4558="EO",5.2,IF(H4558="EQ",3.9,IF(H4558="ILF",7.5,IF(H4558="EIF",5.4)))))))</f>
        <v/>
      </c>
      <c r="M4558" s="30" t="str">
        <f t="shared" si="492"/>
        <v/>
      </c>
      <c r="N4558" s="134"/>
      <c r="O4558" s="29"/>
      <c r="P4558" s="37" t="str">
        <f t="shared" si="493"/>
        <v/>
      </c>
      <c r="Q4558" s="38" t="str">
        <f t="shared" si="494"/>
        <v/>
      </c>
      <c r="R4558" s="37" t="str">
        <f t="shared" si="495"/>
        <v/>
      </c>
      <c r="S4558" s="37" t="str">
        <f t="shared" si="496"/>
        <v/>
      </c>
      <c r="T4558" s="38" t="str">
        <f t="shared" si="497"/>
        <v/>
      </c>
      <c r="U4558" s="37" t="str">
        <f t="shared" si="498"/>
        <v/>
      </c>
    </row>
    <row r="4559" spans="2:21" ht="17.25">
      <c r="B4559" s="156"/>
      <c r="C4559" s="156"/>
      <c r="D4559" s="157"/>
      <c r="E4559" s="155"/>
      <c r="F4559" s="151"/>
      <c r="G4559" s="152"/>
      <c r="H4559" s="153"/>
      <c r="I4559" s="154"/>
      <c r="J4559" s="154"/>
      <c r="K4559" s="30" t="str">
        <f>IF(H4559="","",IF($C$30="간이법","",FPR(H4559,I4559,J4559)))</f>
        <v/>
      </c>
      <c r="L4559" s="30" t="str">
        <f>IF(H4559="","",IF($C$30="상세법",FPV(H4559,K4559),IF(H4559="EI",4,IF(H4559="EO",5.2,IF(H4559="EQ",3.9,IF(H4559="ILF",7.5,IF(H4559="EIF",5.4)))))))</f>
        <v/>
      </c>
      <c r="M4559" s="30" t="str">
        <f t="shared" si="492"/>
        <v/>
      </c>
      <c r="N4559" s="134"/>
      <c r="O4559" s="29"/>
      <c r="P4559" s="37" t="str">
        <f t="shared" si="493"/>
        <v/>
      </c>
      <c r="Q4559" s="38" t="str">
        <f t="shared" si="494"/>
        <v/>
      </c>
      <c r="R4559" s="37" t="str">
        <f t="shared" si="495"/>
        <v/>
      </c>
      <c r="S4559" s="37" t="str">
        <f t="shared" si="496"/>
        <v/>
      </c>
      <c r="T4559" s="38" t="str">
        <f t="shared" si="497"/>
        <v/>
      </c>
      <c r="U4559" s="37" t="str">
        <f t="shared" si="498"/>
        <v/>
      </c>
    </row>
    <row r="4560" spans="2:21" ht="17.25">
      <c r="B4560" s="156"/>
      <c r="C4560" s="156"/>
      <c r="D4560" s="157"/>
      <c r="E4560" s="155"/>
      <c r="F4560" s="151"/>
      <c r="G4560" s="152"/>
      <c r="H4560" s="153"/>
      <c r="I4560" s="154"/>
      <c r="J4560" s="154"/>
      <c r="K4560" s="30" t="str">
        <f>IF(H4560="","",IF($C$30="간이법","",FPR(H4560,I4560,J4560)))</f>
        <v/>
      </c>
      <c r="L4560" s="30" t="str">
        <f>IF(H4560="","",IF($C$30="상세법",FPV(H4560,K4560),IF(H4560="EI",4,IF(H4560="EO",5.2,IF(H4560="EQ",3.9,IF(H4560="ILF",7.5,IF(H4560="EIF",5.4)))))))</f>
        <v/>
      </c>
      <c r="M4560" s="30" t="str">
        <f t="shared" si="492"/>
        <v/>
      </c>
      <c r="N4560" s="134"/>
      <c r="O4560" s="29"/>
      <c r="P4560" s="37" t="str">
        <f t="shared" si="493"/>
        <v/>
      </c>
      <c r="Q4560" s="38" t="str">
        <f t="shared" si="494"/>
        <v/>
      </c>
      <c r="R4560" s="37" t="str">
        <f t="shared" si="495"/>
        <v/>
      </c>
      <c r="S4560" s="37" t="str">
        <f t="shared" si="496"/>
        <v/>
      </c>
      <c r="T4560" s="38" t="str">
        <f t="shared" si="497"/>
        <v/>
      </c>
      <c r="U4560" s="37" t="str">
        <f t="shared" si="498"/>
        <v/>
      </c>
    </row>
    <row r="4561" spans="2:21" ht="17.25">
      <c r="B4561" s="156"/>
      <c r="C4561" s="156"/>
      <c r="D4561" s="157"/>
      <c r="E4561" s="155"/>
      <c r="F4561" s="151"/>
      <c r="G4561" s="152"/>
      <c r="H4561" s="153"/>
      <c r="I4561" s="154"/>
      <c r="J4561" s="154"/>
      <c r="K4561" s="30" t="str">
        <f>IF(H4561="","",IF($C$30="간이법","",FPR(H4561,I4561,J4561)))</f>
        <v/>
      </c>
      <c r="L4561" s="30" t="str">
        <f>IF(H4561="","",IF($C$30="상세법",FPV(H4561,K4561),IF(H4561="EI",4,IF(H4561="EO",5.2,IF(H4561="EQ",3.9,IF(H4561="ILF",7.5,IF(H4561="EIF",5.4)))))))</f>
        <v/>
      </c>
      <c r="M4561" s="30" t="str">
        <f t="shared" si="492"/>
        <v/>
      </c>
      <c r="N4561" s="134"/>
      <c r="O4561" s="29"/>
      <c r="P4561" s="37" t="str">
        <f t="shared" si="493"/>
        <v/>
      </c>
      <c r="Q4561" s="38" t="str">
        <f t="shared" si="494"/>
        <v/>
      </c>
      <c r="R4561" s="37" t="str">
        <f t="shared" si="495"/>
        <v/>
      </c>
      <c r="S4561" s="37" t="str">
        <f t="shared" si="496"/>
        <v/>
      </c>
      <c r="T4561" s="38" t="str">
        <f t="shared" si="497"/>
        <v/>
      </c>
      <c r="U4561" s="37" t="str">
        <f t="shared" si="498"/>
        <v/>
      </c>
    </row>
    <row r="4562" spans="2:21" ht="17.25">
      <c r="B4562" s="156"/>
      <c r="C4562" s="156"/>
      <c r="D4562" s="157"/>
      <c r="E4562" s="155"/>
      <c r="F4562" s="151"/>
      <c r="G4562" s="152"/>
      <c r="H4562" s="153"/>
      <c r="I4562" s="154"/>
      <c r="J4562" s="154"/>
      <c r="K4562" s="30" t="str">
        <f>IF(H4562="","",IF($C$30="간이법","",FPR(H4562,I4562,J4562)))</f>
        <v/>
      </c>
      <c r="L4562" s="30" t="str">
        <f>IF(H4562="","",IF($C$30="상세법",FPV(H4562,K4562),IF(H4562="EI",4,IF(H4562="EO",5.2,IF(H4562="EQ",3.9,IF(H4562="ILF",7.5,IF(H4562="EIF",5.4)))))))</f>
        <v/>
      </c>
      <c r="M4562" s="30" t="str">
        <f t="shared" si="492"/>
        <v/>
      </c>
      <c r="N4562" s="134"/>
      <c r="O4562" s="29"/>
      <c r="P4562" s="37" t="str">
        <f t="shared" si="493"/>
        <v/>
      </c>
      <c r="Q4562" s="38" t="str">
        <f t="shared" si="494"/>
        <v/>
      </c>
      <c r="R4562" s="37" t="str">
        <f t="shared" si="495"/>
        <v/>
      </c>
      <c r="S4562" s="37" t="str">
        <f t="shared" si="496"/>
        <v/>
      </c>
      <c r="T4562" s="38" t="str">
        <f t="shared" si="497"/>
        <v/>
      </c>
      <c r="U4562" s="37" t="str">
        <f t="shared" si="498"/>
        <v/>
      </c>
    </row>
    <row r="4563" spans="2:21" ht="17.25">
      <c r="B4563" s="156"/>
      <c r="C4563" s="156"/>
      <c r="D4563" s="157"/>
      <c r="E4563" s="155"/>
      <c r="F4563" s="151"/>
      <c r="G4563" s="152"/>
      <c r="H4563" s="153"/>
      <c r="I4563" s="154"/>
      <c r="J4563" s="154"/>
      <c r="K4563" s="30" t="str">
        <f>IF(H4563="","",IF($C$30="간이법","",FPR(H4563,I4563,J4563)))</f>
        <v/>
      </c>
      <c r="L4563" s="30" t="str">
        <f>IF(H4563="","",IF($C$30="상세법",FPV(H4563,K4563),IF(H4563="EI",4,IF(H4563="EO",5.2,IF(H4563="EQ",3.9,IF(H4563="ILF",7.5,IF(H4563="EIF",5.4)))))))</f>
        <v/>
      </c>
      <c r="M4563" s="30" t="str">
        <f t="shared" si="492"/>
        <v/>
      </c>
      <c r="N4563" s="134"/>
      <c r="O4563" s="29"/>
      <c r="P4563" s="37" t="str">
        <f t="shared" si="493"/>
        <v/>
      </c>
      <c r="Q4563" s="38" t="str">
        <f t="shared" si="494"/>
        <v/>
      </c>
      <c r="R4563" s="37" t="str">
        <f t="shared" si="495"/>
        <v/>
      </c>
      <c r="S4563" s="37" t="str">
        <f t="shared" si="496"/>
        <v/>
      </c>
      <c r="T4563" s="38" t="str">
        <f t="shared" si="497"/>
        <v/>
      </c>
      <c r="U4563" s="37" t="str">
        <f t="shared" si="498"/>
        <v/>
      </c>
    </row>
    <row r="4564" spans="2:21" ht="17.25">
      <c r="B4564" s="156"/>
      <c r="C4564" s="156"/>
      <c r="D4564" s="157"/>
      <c r="E4564" s="155"/>
      <c r="F4564" s="151"/>
      <c r="G4564" s="152"/>
      <c r="H4564" s="153"/>
      <c r="I4564" s="154"/>
      <c r="J4564" s="154"/>
      <c r="K4564" s="30" t="str">
        <f>IF(H4564="","",IF($C$30="간이법","",FPR(H4564,I4564,J4564)))</f>
        <v/>
      </c>
      <c r="L4564" s="30" t="str">
        <f>IF(H4564="","",IF($C$30="상세법",FPV(H4564,K4564),IF(H4564="EI",4,IF(H4564="EO",5.2,IF(H4564="EQ",3.9,IF(H4564="ILF",7.5,IF(H4564="EIF",5.4)))))))</f>
        <v/>
      </c>
      <c r="M4564" s="30" t="str">
        <f t="shared" si="492"/>
        <v/>
      </c>
      <c r="N4564" s="134"/>
      <c r="O4564" s="29"/>
      <c r="P4564" s="37" t="str">
        <f t="shared" si="493"/>
        <v/>
      </c>
      <c r="Q4564" s="38" t="str">
        <f t="shared" si="494"/>
        <v/>
      </c>
      <c r="R4564" s="37" t="str">
        <f t="shared" si="495"/>
        <v/>
      </c>
      <c r="S4564" s="37" t="str">
        <f t="shared" si="496"/>
        <v/>
      </c>
      <c r="T4564" s="38" t="str">
        <f t="shared" si="497"/>
        <v/>
      </c>
      <c r="U4564" s="37" t="str">
        <f t="shared" si="498"/>
        <v/>
      </c>
    </row>
    <row r="4565" spans="2:21" ht="17.25">
      <c r="B4565" s="156"/>
      <c r="C4565" s="156"/>
      <c r="D4565" s="157"/>
      <c r="E4565" s="155"/>
      <c r="F4565" s="151"/>
      <c r="G4565" s="152"/>
      <c r="H4565" s="153"/>
      <c r="I4565" s="154"/>
      <c r="J4565" s="154"/>
      <c r="K4565" s="30" t="str">
        <f>IF(H4565="","",IF($C$30="간이법","",FPR(H4565,I4565,J4565)))</f>
        <v/>
      </c>
      <c r="L4565" s="30" t="str">
        <f>IF(H4565="","",IF($C$30="상세법",FPV(H4565,K4565),IF(H4565="EI",4,IF(H4565="EO",5.2,IF(H4565="EQ",3.9,IF(H4565="ILF",7.5,IF(H4565="EIF",5.4)))))))</f>
        <v/>
      </c>
      <c r="M4565" s="30" t="str">
        <f t="shared" si="492"/>
        <v/>
      </c>
      <c r="N4565" s="134"/>
      <c r="O4565" s="29"/>
      <c r="P4565" s="37" t="str">
        <f t="shared" si="493"/>
        <v/>
      </c>
      <c r="Q4565" s="38" t="str">
        <f t="shared" si="494"/>
        <v/>
      </c>
      <c r="R4565" s="37" t="str">
        <f t="shared" si="495"/>
        <v/>
      </c>
      <c r="S4565" s="37" t="str">
        <f t="shared" si="496"/>
        <v/>
      </c>
      <c r="T4565" s="38" t="str">
        <f t="shared" si="497"/>
        <v/>
      </c>
      <c r="U4565" s="37" t="str">
        <f t="shared" si="498"/>
        <v/>
      </c>
    </row>
    <row r="4566" spans="2:21" ht="17.25">
      <c r="B4566" s="156"/>
      <c r="C4566" s="156"/>
      <c r="D4566" s="157"/>
      <c r="E4566" s="155"/>
      <c r="F4566" s="151"/>
      <c r="G4566" s="152"/>
      <c r="H4566" s="153"/>
      <c r="I4566" s="154"/>
      <c r="J4566" s="154"/>
      <c r="K4566" s="30" t="str">
        <f>IF(H4566="","",IF($C$30="간이법","",FPR(H4566,I4566,J4566)))</f>
        <v/>
      </c>
      <c r="L4566" s="30" t="str">
        <f>IF(H4566="","",IF($C$30="상세법",FPV(H4566,K4566),IF(H4566="EI",4,IF(H4566="EO",5.2,IF(H4566="EQ",3.9,IF(H4566="ILF",7.5,IF(H4566="EIF",5.4)))))))</f>
        <v/>
      </c>
      <c r="M4566" s="30" t="str">
        <f t="shared" si="492"/>
        <v/>
      </c>
      <c r="N4566" s="134"/>
      <c r="O4566" s="29"/>
      <c r="P4566" s="37" t="str">
        <f t="shared" si="493"/>
        <v/>
      </c>
      <c r="Q4566" s="38" t="str">
        <f t="shared" si="494"/>
        <v/>
      </c>
      <c r="R4566" s="37" t="str">
        <f t="shared" si="495"/>
        <v/>
      </c>
      <c r="S4566" s="37" t="str">
        <f t="shared" si="496"/>
        <v/>
      </c>
      <c r="T4566" s="38" t="str">
        <f t="shared" si="497"/>
        <v/>
      </c>
      <c r="U4566" s="37" t="str">
        <f t="shared" si="498"/>
        <v/>
      </c>
    </row>
    <row r="4567" spans="2:21" ht="17.25">
      <c r="B4567" s="156"/>
      <c r="C4567" s="156"/>
      <c r="D4567" s="157"/>
      <c r="E4567" s="155"/>
      <c r="F4567" s="151"/>
      <c r="G4567" s="152"/>
      <c r="H4567" s="153"/>
      <c r="I4567" s="154"/>
      <c r="J4567" s="154"/>
      <c r="K4567" s="30" t="str">
        <f>IF(H4567="","",IF($C$30="간이법","",FPR(H4567,I4567,J4567)))</f>
        <v/>
      </c>
      <c r="L4567" s="30" t="str">
        <f>IF(H4567="","",IF($C$30="상세법",FPV(H4567,K4567),IF(H4567="EI",4,IF(H4567="EO",5.2,IF(H4567="EQ",3.9,IF(H4567="ILF",7.5,IF(H4567="EIF",5.4)))))))</f>
        <v/>
      </c>
      <c r="M4567" s="30" t="str">
        <f t="shared" si="492"/>
        <v/>
      </c>
      <c r="N4567" s="134"/>
      <c r="O4567" s="29"/>
      <c r="P4567" s="37" t="str">
        <f t="shared" si="493"/>
        <v/>
      </c>
      <c r="Q4567" s="38" t="str">
        <f t="shared" si="494"/>
        <v/>
      </c>
      <c r="R4567" s="37" t="str">
        <f t="shared" si="495"/>
        <v/>
      </c>
      <c r="S4567" s="37" t="str">
        <f t="shared" si="496"/>
        <v/>
      </c>
      <c r="T4567" s="38" t="str">
        <f t="shared" si="497"/>
        <v/>
      </c>
      <c r="U4567" s="37" t="str">
        <f t="shared" si="498"/>
        <v/>
      </c>
    </row>
    <row r="4568" spans="2:21" ht="17.25">
      <c r="B4568" s="156"/>
      <c r="C4568" s="156"/>
      <c r="D4568" s="157"/>
      <c r="E4568" s="155"/>
      <c r="F4568" s="151"/>
      <c r="G4568" s="152"/>
      <c r="H4568" s="153"/>
      <c r="I4568" s="154"/>
      <c r="J4568" s="154"/>
      <c r="K4568" s="30" t="str">
        <f>IF(H4568="","",IF($C$30="간이법","",FPR(H4568,I4568,J4568)))</f>
        <v/>
      </c>
      <c r="L4568" s="30" t="str">
        <f>IF(H4568="","",IF($C$30="상세법",FPV(H4568,K4568),IF(H4568="EI",4,IF(H4568="EO",5.2,IF(H4568="EQ",3.9,IF(H4568="ILF",7.5,IF(H4568="EIF",5.4)))))))</f>
        <v/>
      </c>
      <c r="M4568" s="30" t="str">
        <f t="shared" si="492"/>
        <v/>
      </c>
      <c r="N4568" s="134"/>
      <c r="O4568" s="29"/>
      <c r="P4568" s="37" t="str">
        <f t="shared" si="493"/>
        <v/>
      </c>
      <c r="Q4568" s="38" t="str">
        <f t="shared" si="494"/>
        <v/>
      </c>
      <c r="R4568" s="37" t="str">
        <f t="shared" si="495"/>
        <v/>
      </c>
      <c r="S4568" s="37" t="str">
        <f t="shared" si="496"/>
        <v/>
      </c>
      <c r="T4568" s="38" t="str">
        <f t="shared" si="497"/>
        <v/>
      </c>
      <c r="U4568" s="37" t="str">
        <f t="shared" si="498"/>
        <v/>
      </c>
    </row>
    <row r="4569" spans="2:21" ht="17.25">
      <c r="B4569" s="156"/>
      <c r="C4569" s="156"/>
      <c r="D4569" s="157"/>
      <c r="E4569" s="155"/>
      <c r="F4569" s="151"/>
      <c r="G4569" s="152"/>
      <c r="H4569" s="153"/>
      <c r="I4569" s="154"/>
      <c r="J4569" s="154"/>
      <c r="K4569" s="30" t="str">
        <f>IF(H4569="","",IF($C$30="간이법","",FPR(H4569,I4569,J4569)))</f>
        <v/>
      </c>
      <c r="L4569" s="30" t="str">
        <f>IF(H4569="","",IF($C$30="상세법",FPV(H4569,K4569),IF(H4569="EI",4,IF(H4569="EO",5.2,IF(H4569="EQ",3.9,IF(H4569="ILF",7.5,IF(H4569="EIF",5.4)))))))</f>
        <v/>
      </c>
      <c r="M4569" s="30" t="str">
        <f t="shared" si="492"/>
        <v/>
      </c>
      <c r="N4569" s="134"/>
      <c r="O4569" s="29"/>
      <c r="P4569" s="37" t="str">
        <f t="shared" si="493"/>
        <v/>
      </c>
      <c r="Q4569" s="38" t="str">
        <f t="shared" si="494"/>
        <v/>
      </c>
      <c r="R4569" s="37" t="str">
        <f t="shared" si="495"/>
        <v/>
      </c>
      <c r="S4569" s="37" t="str">
        <f t="shared" si="496"/>
        <v/>
      </c>
      <c r="T4569" s="38" t="str">
        <f t="shared" si="497"/>
        <v/>
      </c>
      <c r="U4569" s="37" t="str">
        <f t="shared" si="498"/>
        <v/>
      </c>
    </row>
    <row r="4570" spans="2:21" ht="17.25">
      <c r="B4570" s="156"/>
      <c r="C4570" s="156"/>
      <c r="D4570" s="157"/>
      <c r="E4570" s="155"/>
      <c r="F4570" s="151"/>
      <c r="G4570" s="152"/>
      <c r="H4570" s="153"/>
      <c r="I4570" s="154"/>
      <c r="J4570" s="154"/>
      <c r="K4570" s="30" t="str">
        <f>IF(H4570="","",IF($C$30="간이법","",FPR(H4570,I4570,J4570)))</f>
        <v/>
      </c>
      <c r="L4570" s="30" t="str">
        <f>IF(H4570="","",IF($C$30="상세법",FPV(H4570,K4570),IF(H4570="EI",4,IF(H4570="EO",5.2,IF(H4570="EQ",3.9,IF(H4570="ILF",7.5,IF(H4570="EIF",5.4)))))))</f>
        <v/>
      </c>
      <c r="M4570" s="30" t="str">
        <f t="shared" si="492"/>
        <v/>
      </c>
      <c r="N4570" s="134"/>
      <c r="O4570" s="29"/>
      <c r="P4570" s="37" t="str">
        <f t="shared" si="493"/>
        <v/>
      </c>
      <c r="Q4570" s="38" t="str">
        <f t="shared" si="494"/>
        <v/>
      </c>
      <c r="R4570" s="37" t="str">
        <f t="shared" si="495"/>
        <v/>
      </c>
      <c r="S4570" s="37" t="str">
        <f t="shared" si="496"/>
        <v/>
      </c>
      <c r="T4570" s="38" t="str">
        <f t="shared" si="497"/>
        <v/>
      </c>
      <c r="U4570" s="37" t="str">
        <f t="shared" si="498"/>
        <v/>
      </c>
    </row>
    <row r="4571" spans="2:21" ht="17.25">
      <c r="B4571" s="156"/>
      <c r="C4571" s="156"/>
      <c r="D4571" s="157"/>
      <c r="E4571" s="155"/>
      <c r="F4571" s="151"/>
      <c r="G4571" s="152"/>
      <c r="H4571" s="153"/>
      <c r="I4571" s="154"/>
      <c r="J4571" s="154"/>
      <c r="K4571" s="30" t="str">
        <f>IF(H4571="","",IF($C$30="간이법","",FPR(H4571,I4571,J4571)))</f>
        <v/>
      </c>
      <c r="L4571" s="30" t="str">
        <f>IF(H4571="","",IF($C$30="상세법",FPV(H4571,K4571),IF(H4571="EI",4,IF(H4571="EO",5.2,IF(H4571="EQ",3.9,IF(H4571="ILF",7.5,IF(H4571="EIF",5.4)))))))</f>
        <v/>
      </c>
      <c r="M4571" s="30" t="str">
        <f t="shared" si="492"/>
        <v/>
      </c>
      <c r="N4571" s="134"/>
      <c r="O4571" s="29"/>
      <c r="P4571" s="37" t="str">
        <f t="shared" si="493"/>
        <v/>
      </c>
      <c r="Q4571" s="38" t="str">
        <f t="shared" si="494"/>
        <v/>
      </c>
      <c r="R4571" s="37" t="str">
        <f t="shared" si="495"/>
        <v/>
      </c>
      <c r="S4571" s="37" t="str">
        <f t="shared" si="496"/>
        <v/>
      </c>
      <c r="T4571" s="38" t="str">
        <f t="shared" si="497"/>
        <v/>
      </c>
      <c r="U4571" s="37" t="str">
        <f t="shared" si="498"/>
        <v/>
      </c>
    </row>
    <row r="4572" spans="2:21" ht="17.25">
      <c r="B4572" s="156"/>
      <c r="C4572" s="156"/>
      <c r="D4572" s="157"/>
      <c r="E4572" s="155"/>
      <c r="F4572" s="151"/>
      <c r="G4572" s="152"/>
      <c r="H4572" s="153"/>
      <c r="I4572" s="154"/>
      <c r="J4572" s="154"/>
      <c r="K4572" s="30" t="str">
        <f>IF(H4572="","",IF($C$30="간이법","",FPR(H4572,I4572,J4572)))</f>
        <v/>
      </c>
      <c r="L4572" s="30" t="str">
        <f>IF(H4572="","",IF($C$30="상세법",FPV(H4572,K4572),IF(H4572="EI",4,IF(H4572="EO",5.2,IF(H4572="EQ",3.9,IF(H4572="ILF",7.5,IF(H4572="EIF",5.4)))))))</f>
        <v/>
      </c>
      <c r="M4572" s="30" t="str">
        <f t="shared" si="492"/>
        <v/>
      </c>
      <c r="N4572" s="134"/>
      <c r="O4572" s="29"/>
      <c r="P4572" s="37" t="str">
        <f t="shared" si="493"/>
        <v/>
      </c>
      <c r="Q4572" s="38" t="str">
        <f t="shared" si="494"/>
        <v/>
      </c>
      <c r="R4572" s="37" t="str">
        <f t="shared" si="495"/>
        <v/>
      </c>
      <c r="S4572" s="37" t="str">
        <f t="shared" si="496"/>
        <v/>
      </c>
      <c r="T4572" s="38" t="str">
        <f t="shared" si="497"/>
        <v/>
      </c>
      <c r="U4572" s="37" t="str">
        <f t="shared" si="498"/>
        <v/>
      </c>
    </row>
    <row r="4573" spans="2:21" ht="17.25">
      <c r="B4573" s="156"/>
      <c r="C4573" s="156"/>
      <c r="D4573" s="157"/>
      <c r="E4573" s="155"/>
      <c r="F4573" s="151"/>
      <c r="G4573" s="152"/>
      <c r="H4573" s="153"/>
      <c r="I4573" s="154"/>
      <c r="J4573" s="154"/>
      <c r="K4573" s="30" t="str">
        <f>IF(H4573="","",IF($C$30="간이법","",FPR(H4573,I4573,J4573)))</f>
        <v/>
      </c>
      <c r="L4573" s="30" t="str">
        <f>IF(H4573="","",IF($C$30="상세법",FPV(H4573,K4573),IF(H4573="EI",4,IF(H4573="EO",5.2,IF(H4573="EQ",3.9,IF(H4573="ILF",7.5,IF(H4573="EIF",5.4)))))))</f>
        <v/>
      </c>
      <c r="M4573" s="30" t="str">
        <f t="shared" si="492"/>
        <v/>
      </c>
      <c r="N4573" s="134"/>
      <c r="O4573" s="29"/>
      <c r="P4573" s="37" t="str">
        <f t="shared" si="493"/>
        <v/>
      </c>
      <c r="Q4573" s="38" t="str">
        <f t="shared" si="494"/>
        <v/>
      </c>
      <c r="R4573" s="37" t="str">
        <f t="shared" si="495"/>
        <v/>
      </c>
      <c r="S4573" s="37" t="str">
        <f t="shared" si="496"/>
        <v/>
      </c>
      <c r="T4573" s="38" t="str">
        <f t="shared" si="497"/>
        <v/>
      </c>
      <c r="U4573" s="37" t="str">
        <f t="shared" si="498"/>
        <v/>
      </c>
    </row>
    <row r="4574" spans="2:21" ht="17.25">
      <c r="B4574" s="156"/>
      <c r="C4574" s="156"/>
      <c r="D4574" s="157"/>
      <c r="E4574" s="155"/>
      <c r="F4574" s="151"/>
      <c r="G4574" s="152"/>
      <c r="H4574" s="153"/>
      <c r="I4574" s="154"/>
      <c r="J4574" s="154"/>
      <c r="K4574" s="30" t="str">
        <f>IF(H4574="","",IF($C$30="간이법","",FPR(H4574,I4574,J4574)))</f>
        <v/>
      </c>
      <c r="L4574" s="30" t="str">
        <f>IF(H4574="","",IF($C$30="상세법",FPV(H4574,K4574),IF(H4574="EI",4,IF(H4574="EO",5.2,IF(H4574="EQ",3.9,IF(H4574="ILF",7.5,IF(H4574="EIF",5.4)))))))</f>
        <v/>
      </c>
      <c r="M4574" s="30" t="str">
        <f t="shared" si="492"/>
        <v/>
      </c>
      <c r="N4574" s="134"/>
      <c r="O4574" s="29"/>
      <c r="P4574" s="37" t="str">
        <f t="shared" si="493"/>
        <v/>
      </c>
      <c r="Q4574" s="38" t="str">
        <f t="shared" si="494"/>
        <v/>
      </c>
      <c r="R4574" s="37" t="str">
        <f t="shared" si="495"/>
        <v/>
      </c>
      <c r="S4574" s="37" t="str">
        <f t="shared" si="496"/>
        <v/>
      </c>
      <c r="T4574" s="38" t="str">
        <f t="shared" si="497"/>
        <v/>
      </c>
      <c r="U4574" s="37" t="str">
        <f t="shared" si="498"/>
        <v/>
      </c>
    </row>
    <row r="4575" spans="2:21" ht="17.25">
      <c r="B4575" s="156"/>
      <c r="C4575" s="156"/>
      <c r="D4575" s="157"/>
      <c r="E4575" s="155"/>
      <c r="F4575" s="151"/>
      <c r="G4575" s="152"/>
      <c r="H4575" s="153"/>
      <c r="I4575" s="154"/>
      <c r="J4575" s="154"/>
      <c r="K4575" s="30" t="str">
        <f>IF(H4575="","",IF($C$30="간이법","",FPR(H4575,I4575,J4575)))</f>
        <v/>
      </c>
      <c r="L4575" s="30" t="str">
        <f>IF(H4575="","",IF($C$30="상세법",FPV(H4575,K4575),IF(H4575="EI",4,IF(H4575="EO",5.2,IF(H4575="EQ",3.9,IF(H4575="ILF",7.5,IF(H4575="EIF",5.4)))))))</f>
        <v/>
      </c>
      <c r="M4575" s="30" t="str">
        <f t="shared" si="492"/>
        <v/>
      </c>
      <c r="N4575" s="134"/>
      <c r="O4575" s="29"/>
      <c r="P4575" s="37" t="str">
        <f t="shared" si="493"/>
        <v/>
      </c>
      <c r="Q4575" s="38" t="str">
        <f t="shared" si="494"/>
        <v/>
      </c>
      <c r="R4575" s="37" t="str">
        <f t="shared" si="495"/>
        <v/>
      </c>
      <c r="S4575" s="37" t="str">
        <f t="shared" si="496"/>
        <v/>
      </c>
      <c r="T4575" s="38" t="str">
        <f t="shared" si="497"/>
        <v/>
      </c>
      <c r="U4575" s="37" t="str">
        <f t="shared" si="498"/>
        <v/>
      </c>
    </row>
    <row r="4576" spans="2:21" ht="17.25">
      <c r="B4576" s="156"/>
      <c r="C4576" s="156"/>
      <c r="D4576" s="157"/>
      <c r="E4576" s="155"/>
      <c r="F4576" s="151"/>
      <c r="G4576" s="152"/>
      <c r="H4576" s="153"/>
      <c r="I4576" s="154"/>
      <c r="J4576" s="154"/>
      <c r="K4576" s="30" t="str">
        <f>IF(H4576="","",IF($C$30="간이법","",FPR(H4576,I4576,J4576)))</f>
        <v/>
      </c>
      <c r="L4576" s="30" t="str">
        <f>IF(H4576="","",IF($C$30="상세법",FPV(H4576,K4576),IF(H4576="EI",4,IF(H4576="EO",5.2,IF(H4576="EQ",3.9,IF(H4576="ILF",7.5,IF(H4576="EIF",5.4)))))))</f>
        <v/>
      </c>
      <c r="M4576" s="30" t="str">
        <f t="shared" si="492"/>
        <v/>
      </c>
      <c r="N4576" s="134"/>
      <c r="O4576" s="29"/>
      <c r="P4576" s="37" t="str">
        <f t="shared" si="493"/>
        <v/>
      </c>
      <c r="Q4576" s="38" t="str">
        <f t="shared" si="494"/>
        <v/>
      </c>
      <c r="R4576" s="37" t="str">
        <f t="shared" si="495"/>
        <v/>
      </c>
      <c r="S4576" s="37" t="str">
        <f t="shared" si="496"/>
        <v/>
      </c>
      <c r="T4576" s="38" t="str">
        <f t="shared" si="497"/>
        <v/>
      </c>
      <c r="U4576" s="37" t="str">
        <f t="shared" si="498"/>
        <v/>
      </c>
    </row>
    <row r="4577" spans="2:21" ht="17.25">
      <c r="B4577" s="156"/>
      <c r="C4577" s="156"/>
      <c r="D4577" s="157"/>
      <c r="E4577" s="155"/>
      <c r="F4577" s="151"/>
      <c r="G4577" s="152"/>
      <c r="H4577" s="153"/>
      <c r="I4577" s="154"/>
      <c r="J4577" s="154"/>
      <c r="K4577" s="30" t="str">
        <f>IF(H4577="","",IF($C$30="간이법","",FPR(H4577,I4577,J4577)))</f>
        <v/>
      </c>
      <c r="L4577" s="30" t="str">
        <f>IF(H4577="","",IF($C$30="상세법",FPV(H4577,K4577),IF(H4577="EI",4,IF(H4577="EO",5.2,IF(H4577="EQ",3.9,IF(H4577="ILF",7.5,IF(H4577="EIF",5.4)))))))</f>
        <v/>
      </c>
      <c r="M4577" s="30" t="str">
        <f t="shared" si="492"/>
        <v/>
      </c>
      <c r="N4577" s="134"/>
      <c r="O4577" s="29"/>
      <c r="P4577" s="37" t="str">
        <f t="shared" si="493"/>
        <v/>
      </c>
      <c r="Q4577" s="38" t="str">
        <f t="shared" si="494"/>
        <v/>
      </c>
      <c r="R4577" s="37" t="str">
        <f t="shared" si="495"/>
        <v/>
      </c>
      <c r="S4577" s="37" t="str">
        <f t="shared" si="496"/>
        <v/>
      </c>
      <c r="T4577" s="38" t="str">
        <f t="shared" si="497"/>
        <v/>
      </c>
      <c r="U4577" s="37" t="str">
        <f t="shared" si="498"/>
        <v/>
      </c>
    </row>
    <row r="4578" spans="2:21" ht="17.25">
      <c r="B4578" s="156"/>
      <c r="C4578" s="156"/>
      <c r="D4578" s="157"/>
      <c r="E4578" s="155"/>
      <c r="F4578" s="151"/>
      <c r="G4578" s="152"/>
      <c r="H4578" s="153"/>
      <c r="I4578" s="154"/>
      <c r="J4578" s="154"/>
      <c r="K4578" s="30" t="str">
        <f>IF(H4578="","",IF($C$30="간이법","",FPR(H4578,I4578,J4578)))</f>
        <v/>
      </c>
      <c r="L4578" s="30" t="str">
        <f>IF(H4578="","",IF($C$30="상세법",FPV(H4578,K4578),IF(H4578="EI",4,IF(H4578="EO",5.2,IF(H4578="EQ",3.9,IF(H4578="ILF",7.5,IF(H4578="EIF",5.4)))))))</f>
        <v/>
      </c>
      <c r="M4578" s="30" t="str">
        <f t="shared" si="492"/>
        <v/>
      </c>
      <c r="N4578" s="134"/>
      <c r="O4578" s="29"/>
      <c r="P4578" s="37" t="str">
        <f t="shared" si="493"/>
        <v/>
      </c>
      <c r="Q4578" s="38" t="str">
        <f t="shared" si="494"/>
        <v/>
      </c>
      <c r="R4578" s="37" t="str">
        <f t="shared" si="495"/>
        <v/>
      </c>
      <c r="S4578" s="37" t="str">
        <f t="shared" si="496"/>
        <v/>
      </c>
      <c r="T4578" s="38" t="str">
        <f t="shared" si="497"/>
        <v/>
      </c>
      <c r="U4578" s="37" t="str">
        <f t="shared" si="498"/>
        <v/>
      </c>
    </row>
    <row r="4579" spans="2:21" ht="17.25">
      <c r="B4579" s="156"/>
      <c r="C4579" s="156"/>
      <c r="D4579" s="157"/>
      <c r="E4579" s="155"/>
      <c r="F4579" s="151"/>
      <c r="G4579" s="152"/>
      <c r="H4579" s="153"/>
      <c r="I4579" s="154"/>
      <c r="J4579" s="154"/>
      <c r="K4579" s="30" t="str">
        <f>IF(H4579="","",IF($C$30="간이법","",FPR(H4579,I4579,J4579)))</f>
        <v/>
      </c>
      <c r="L4579" s="30" t="str">
        <f>IF(H4579="","",IF($C$30="상세법",FPV(H4579,K4579),IF(H4579="EI",4,IF(H4579="EO",5.2,IF(H4579="EQ",3.9,IF(H4579="ILF",7.5,IF(H4579="EIF",5.4)))))))</f>
        <v/>
      </c>
      <c r="M4579" s="30" t="str">
        <f t="shared" si="492"/>
        <v/>
      </c>
      <c r="N4579" s="134"/>
      <c r="O4579" s="29"/>
      <c r="P4579" s="37" t="str">
        <f t="shared" si="493"/>
        <v/>
      </c>
      <c r="Q4579" s="38" t="str">
        <f t="shared" si="494"/>
        <v/>
      </c>
      <c r="R4579" s="37" t="str">
        <f t="shared" si="495"/>
        <v/>
      </c>
      <c r="S4579" s="37" t="str">
        <f t="shared" si="496"/>
        <v/>
      </c>
      <c r="T4579" s="38" t="str">
        <f t="shared" si="497"/>
        <v/>
      </c>
      <c r="U4579" s="37" t="str">
        <f t="shared" si="498"/>
        <v/>
      </c>
    </row>
    <row r="4580" spans="2:21" ht="17.25">
      <c r="B4580" s="156"/>
      <c r="C4580" s="156"/>
      <c r="D4580" s="157"/>
      <c r="E4580" s="155"/>
      <c r="F4580" s="151"/>
      <c r="G4580" s="152"/>
      <c r="H4580" s="153"/>
      <c r="I4580" s="154"/>
      <c r="J4580" s="154"/>
      <c r="K4580" s="30" t="str">
        <f>IF(H4580="","",IF($C$30="간이법","",FPR(H4580,I4580,J4580)))</f>
        <v/>
      </c>
      <c r="L4580" s="30" t="str">
        <f>IF(H4580="","",IF($C$30="상세법",FPV(H4580,K4580),IF(H4580="EI",4,IF(H4580="EO",5.2,IF(H4580="EQ",3.9,IF(H4580="ILF",7.5,IF(H4580="EIF",5.4)))))))</f>
        <v/>
      </c>
      <c r="M4580" s="30" t="str">
        <f t="shared" si="492"/>
        <v/>
      </c>
      <c r="N4580" s="134"/>
      <c r="O4580" s="29"/>
      <c r="P4580" s="37" t="str">
        <f t="shared" si="493"/>
        <v/>
      </c>
      <c r="Q4580" s="38" t="str">
        <f t="shared" si="494"/>
        <v/>
      </c>
      <c r="R4580" s="37" t="str">
        <f t="shared" si="495"/>
        <v/>
      </c>
      <c r="S4580" s="37" t="str">
        <f t="shared" si="496"/>
        <v/>
      </c>
      <c r="T4580" s="38" t="str">
        <f t="shared" si="497"/>
        <v/>
      </c>
      <c r="U4580" s="37" t="str">
        <f t="shared" si="498"/>
        <v/>
      </c>
    </row>
    <row r="4581" spans="2:21" ht="17.25">
      <c r="B4581" s="156"/>
      <c r="C4581" s="156"/>
      <c r="D4581" s="157"/>
      <c r="E4581" s="155"/>
      <c r="F4581" s="151"/>
      <c r="G4581" s="152"/>
      <c r="H4581" s="153"/>
      <c r="I4581" s="154"/>
      <c r="J4581" s="154"/>
      <c r="K4581" s="30" t="str">
        <f>IF(H4581="","",IF($C$30="간이법","",FPR(H4581,I4581,J4581)))</f>
        <v/>
      </c>
      <c r="L4581" s="30" t="str">
        <f>IF(H4581="","",IF($C$30="상세법",FPV(H4581,K4581),IF(H4581="EI",4,IF(H4581="EO",5.2,IF(H4581="EQ",3.9,IF(H4581="ILF",7.5,IF(H4581="EIF",5.4)))))))</f>
        <v/>
      </c>
      <c r="M4581" s="30" t="str">
        <f t="shared" si="492"/>
        <v/>
      </c>
      <c r="N4581" s="134"/>
      <c r="O4581" s="29"/>
      <c r="P4581" s="37" t="str">
        <f t="shared" si="493"/>
        <v/>
      </c>
      <c r="Q4581" s="38" t="str">
        <f t="shared" si="494"/>
        <v/>
      </c>
      <c r="R4581" s="37" t="str">
        <f t="shared" si="495"/>
        <v/>
      </c>
      <c r="S4581" s="37" t="str">
        <f t="shared" si="496"/>
        <v/>
      </c>
      <c r="T4581" s="38" t="str">
        <f t="shared" si="497"/>
        <v/>
      </c>
      <c r="U4581" s="37" t="str">
        <f t="shared" si="498"/>
        <v/>
      </c>
    </row>
    <row r="4582" spans="2:21" ht="17.25">
      <c r="B4582" s="156"/>
      <c r="C4582" s="156"/>
      <c r="D4582" s="157"/>
      <c r="E4582" s="155"/>
      <c r="F4582" s="151"/>
      <c r="G4582" s="152"/>
      <c r="H4582" s="153"/>
      <c r="I4582" s="154"/>
      <c r="J4582" s="154"/>
      <c r="K4582" s="30" t="str">
        <f>IF(H4582="","",IF($C$30="간이법","",FPR(H4582,I4582,J4582)))</f>
        <v/>
      </c>
      <c r="L4582" s="30" t="str">
        <f>IF(H4582="","",IF($C$30="상세법",FPV(H4582,K4582),IF(H4582="EI",4,IF(H4582="EO",5.2,IF(H4582="EQ",3.9,IF(H4582="ILF",7.5,IF(H4582="EIF",5.4)))))))</f>
        <v/>
      </c>
      <c r="M4582" s="30" t="str">
        <f t="shared" si="492"/>
        <v/>
      </c>
      <c r="N4582" s="134"/>
      <c r="O4582" s="29"/>
      <c r="P4582" s="37" t="str">
        <f t="shared" si="493"/>
        <v/>
      </c>
      <c r="Q4582" s="38" t="str">
        <f t="shared" si="494"/>
        <v/>
      </c>
      <c r="R4582" s="37" t="str">
        <f t="shared" si="495"/>
        <v/>
      </c>
      <c r="S4582" s="37" t="str">
        <f t="shared" si="496"/>
        <v/>
      </c>
      <c r="T4582" s="38" t="str">
        <f t="shared" si="497"/>
        <v/>
      </c>
      <c r="U4582" s="37" t="str">
        <f t="shared" si="498"/>
        <v/>
      </c>
    </row>
    <row r="4583" spans="2:21" ht="17.25">
      <c r="B4583" s="156"/>
      <c r="C4583" s="156"/>
      <c r="D4583" s="157"/>
      <c r="E4583" s="155"/>
      <c r="F4583" s="151"/>
      <c r="G4583" s="152"/>
      <c r="H4583" s="153"/>
      <c r="I4583" s="154"/>
      <c r="J4583" s="154"/>
      <c r="K4583" s="30" t="str">
        <f>IF(H4583="","",IF($C$30="간이법","",FPR(H4583,I4583,J4583)))</f>
        <v/>
      </c>
      <c r="L4583" s="30" t="str">
        <f>IF(H4583="","",IF($C$30="상세법",FPV(H4583,K4583),IF(H4583="EI",4,IF(H4583="EO",5.2,IF(H4583="EQ",3.9,IF(H4583="ILF",7.5,IF(H4583="EIF",5.4)))))))</f>
        <v/>
      </c>
      <c r="M4583" s="30" t="str">
        <f t="shared" si="492"/>
        <v/>
      </c>
      <c r="N4583" s="134"/>
      <c r="O4583" s="29"/>
      <c r="P4583" s="37" t="str">
        <f t="shared" si="493"/>
        <v/>
      </c>
      <c r="Q4583" s="38" t="str">
        <f t="shared" si="494"/>
        <v/>
      </c>
      <c r="R4583" s="37" t="str">
        <f t="shared" si="495"/>
        <v/>
      </c>
      <c r="S4583" s="37" t="str">
        <f t="shared" si="496"/>
        <v/>
      </c>
      <c r="T4583" s="38" t="str">
        <f t="shared" si="497"/>
        <v/>
      </c>
      <c r="U4583" s="37" t="str">
        <f t="shared" si="498"/>
        <v/>
      </c>
    </row>
    <row r="4584" spans="2:21" ht="17.25">
      <c r="B4584" s="156"/>
      <c r="C4584" s="156"/>
      <c r="D4584" s="157"/>
      <c r="E4584" s="155"/>
      <c r="F4584" s="151"/>
      <c r="G4584" s="152"/>
      <c r="H4584" s="153"/>
      <c r="I4584" s="154"/>
      <c r="J4584" s="154"/>
      <c r="K4584" s="30" t="str">
        <f>IF(H4584="","",IF($C$30="간이법","",FPR(H4584,I4584,J4584)))</f>
        <v/>
      </c>
      <c r="L4584" s="30" t="str">
        <f>IF(H4584="","",IF($C$30="상세법",FPV(H4584,K4584),IF(H4584="EI",4,IF(H4584="EO",5.2,IF(H4584="EQ",3.9,IF(H4584="ILF",7.5,IF(H4584="EIF",5.4)))))))</f>
        <v/>
      </c>
      <c r="M4584" s="30" t="str">
        <f t="shared" si="492"/>
        <v/>
      </c>
      <c r="N4584" s="134"/>
      <c r="O4584" s="29"/>
      <c r="P4584" s="37" t="str">
        <f t="shared" si="493"/>
        <v/>
      </c>
      <c r="Q4584" s="38" t="str">
        <f t="shared" si="494"/>
        <v/>
      </c>
      <c r="R4584" s="37" t="str">
        <f t="shared" si="495"/>
        <v/>
      </c>
      <c r="S4584" s="37" t="str">
        <f t="shared" si="496"/>
        <v/>
      </c>
      <c r="T4584" s="38" t="str">
        <f t="shared" si="497"/>
        <v/>
      </c>
      <c r="U4584" s="37" t="str">
        <f t="shared" si="498"/>
        <v/>
      </c>
    </row>
    <row r="4585" spans="2:21" ht="17.25">
      <c r="B4585" s="156"/>
      <c r="C4585" s="156"/>
      <c r="D4585" s="157"/>
      <c r="E4585" s="155"/>
      <c r="F4585" s="151"/>
      <c r="G4585" s="152"/>
      <c r="H4585" s="153"/>
      <c r="I4585" s="154"/>
      <c r="J4585" s="154"/>
      <c r="K4585" s="30" t="str">
        <f>IF(H4585="","",IF($C$30="간이법","",FPR(H4585,I4585,J4585)))</f>
        <v/>
      </c>
      <c r="L4585" s="30" t="str">
        <f>IF(H4585="","",IF($C$30="상세법",FPV(H4585,K4585),IF(H4585="EI",4,IF(H4585="EO",5.2,IF(H4585="EQ",3.9,IF(H4585="ILF",7.5,IF(H4585="EIF",5.4)))))))</f>
        <v/>
      </c>
      <c r="M4585" s="30" t="str">
        <f t="shared" si="492"/>
        <v/>
      </c>
      <c r="N4585" s="134"/>
      <c r="O4585" s="29"/>
      <c r="P4585" s="37" t="str">
        <f t="shared" si="493"/>
        <v/>
      </c>
      <c r="Q4585" s="38" t="str">
        <f t="shared" si="494"/>
        <v/>
      </c>
      <c r="R4585" s="37" t="str">
        <f t="shared" si="495"/>
        <v/>
      </c>
      <c r="S4585" s="37" t="str">
        <f t="shared" si="496"/>
        <v/>
      </c>
      <c r="T4585" s="38" t="str">
        <f t="shared" si="497"/>
        <v/>
      </c>
      <c r="U4585" s="37" t="str">
        <f t="shared" si="498"/>
        <v/>
      </c>
    </row>
    <row r="4586" spans="2:21" ht="17.25">
      <c r="B4586" s="156"/>
      <c r="C4586" s="156"/>
      <c r="D4586" s="157"/>
      <c r="E4586" s="155"/>
      <c r="F4586" s="151"/>
      <c r="G4586" s="152"/>
      <c r="H4586" s="153"/>
      <c r="I4586" s="154"/>
      <c r="J4586" s="154"/>
      <c r="K4586" s="30" t="str">
        <f>IF(H4586="","",IF($C$30="간이법","",FPR(H4586,I4586,J4586)))</f>
        <v/>
      </c>
      <c r="L4586" s="30" t="str">
        <f>IF(H4586="","",IF($C$30="상세법",FPV(H4586,K4586),IF(H4586="EI",4,IF(H4586="EO",5.2,IF(H4586="EQ",3.9,IF(H4586="ILF",7.5,IF(H4586="EIF",5.4)))))))</f>
        <v/>
      </c>
      <c r="M4586" s="30" t="str">
        <f t="shared" si="492"/>
        <v/>
      </c>
      <c r="N4586" s="134"/>
      <c r="O4586" s="29"/>
      <c r="P4586" s="37" t="str">
        <f t="shared" si="493"/>
        <v/>
      </c>
      <c r="Q4586" s="38" t="str">
        <f t="shared" si="494"/>
        <v/>
      </c>
      <c r="R4586" s="37" t="str">
        <f t="shared" si="495"/>
        <v/>
      </c>
      <c r="S4586" s="37" t="str">
        <f t="shared" si="496"/>
        <v/>
      </c>
      <c r="T4586" s="38" t="str">
        <f t="shared" si="497"/>
        <v/>
      </c>
      <c r="U4586" s="37" t="str">
        <f t="shared" si="498"/>
        <v/>
      </c>
    </row>
    <row r="4587" spans="2:21" ht="17.25">
      <c r="B4587" s="156"/>
      <c r="C4587" s="156"/>
      <c r="D4587" s="157"/>
      <c r="E4587" s="155"/>
      <c r="F4587" s="151"/>
      <c r="G4587" s="152"/>
      <c r="H4587" s="153"/>
      <c r="I4587" s="154"/>
      <c r="J4587" s="154"/>
      <c r="K4587" s="30" t="str">
        <f>IF(H4587="","",IF($C$30="간이법","",FPR(H4587,I4587,J4587)))</f>
        <v/>
      </c>
      <c r="L4587" s="30" t="str">
        <f>IF(H4587="","",IF($C$30="상세법",FPV(H4587,K4587),IF(H4587="EI",4,IF(H4587="EO",5.2,IF(H4587="EQ",3.9,IF(H4587="ILF",7.5,IF(H4587="EIF",5.4)))))))</f>
        <v/>
      </c>
      <c r="M4587" s="30" t="str">
        <f t="shared" si="492"/>
        <v/>
      </c>
      <c r="N4587" s="134"/>
      <c r="O4587" s="29"/>
      <c r="P4587" s="37" t="str">
        <f t="shared" si="493"/>
        <v/>
      </c>
      <c r="Q4587" s="38" t="str">
        <f t="shared" si="494"/>
        <v/>
      </c>
      <c r="R4587" s="37" t="str">
        <f t="shared" si="495"/>
        <v/>
      </c>
      <c r="S4587" s="37" t="str">
        <f t="shared" si="496"/>
        <v/>
      </c>
      <c r="T4587" s="38" t="str">
        <f t="shared" si="497"/>
        <v/>
      </c>
      <c r="U4587" s="37" t="str">
        <f t="shared" si="498"/>
        <v/>
      </c>
    </row>
    <row r="4588" spans="2:21" ht="17.25">
      <c r="B4588" s="156"/>
      <c r="C4588" s="156"/>
      <c r="D4588" s="157"/>
      <c r="E4588" s="155"/>
      <c r="F4588" s="151"/>
      <c r="G4588" s="152"/>
      <c r="H4588" s="153"/>
      <c r="I4588" s="154"/>
      <c r="J4588" s="154"/>
      <c r="K4588" s="30" t="str">
        <f>IF(H4588="","",IF($C$30="간이법","",FPR(H4588,I4588,J4588)))</f>
        <v/>
      </c>
      <c r="L4588" s="30" t="str">
        <f>IF(H4588="","",IF($C$30="상세법",FPV(H4588,K4588),IF(H4588="EI",4,IF(H4588="EO",5.2,IF(H4588="EQ",3.9,IF(H4588="ILF",7.5,IF(H4588="EIF",5.4)))))))</f>
        <v/>
      </c>
      <c r="M4588" s="30" t="str">
        <f t="shared" si="492"/>
        <v/>
      </c>
      <c r="N4588" s="134"/>
      <c r="O4588" s="29"/>
      <c r="P4588" s="37" t="str">
        <f t="shared" si="493"/>
        <v/>
      </c>
      <c r="Q4588" s="38" t="str">
        <f t="shared" si="494"/>
        <v/>
      </c>
      <c r="R4588" s="37" t="str">
        <f t="shared" si="495"/>
        <v/>
      </c>
      <c r="S4588" s="37" t="str">
        <f t="shared" si="496"/>
        <v/>
      </c>
      <c r="T4588" s="38" t="str">
        <f t="shared" si="497"/>
        <v/>
      </c>
      <c r="U4588" s="37" t="str">
        <f t="shared" si="498"/>
        <v/>
      </c>
    </row>
    <row r="4589" spans="2:21" ht="17.25">
      <c r="B4589" s="156"/>
      <c r="C4589" s="156"/>
      <c r="D4589" s="157"/>
      <c r="E4589" s="155"/>
      <c r="F4589" s="151"/>
      <c r="G4589" s="152"/>
      <c r="H4589" s="153"/>
      <c r="I4589" s="154"/>
      <c r="J4589" s="154"/>
      <c r="K4589" s="30" t="str">
        <f>IF(H4589="","",IF($C$30="간이법","",FPR(H4589,I4589,J4589)))</f>
        <v/>
      </c>
      <c r="L4589" s="30" t="str">
        <f>IF(H4589="","",IF($C$30="상세법",FPV(H4589,K4589),IF(H4589="EI",4,IF(H4589="EO",5.2,IF(H4589="EQ",3.9,IF(H4589="ILF",7.5,IF(H4589="EIF",5.4)))))))</f>
        <v/>
      </c>
      <c r="M4589" s="30" t="str">
        <f t="shared" si="492"/>
        <v/>
      </c>
      <c r="N4589" s="134"/>
      <c r="O4589" s="29"/>
      <c r="P4589" s="37" t="str">
        <f t="shared" si="493"/>
        <v/>
      </c>
      <c r="Q4589" s="38" t="str">
        <f t="shared" si="494"/>
        <v/>
      </c>
      <c r="R4589" s="37" t="str">
        <f t="shared" si="495"/>
        <v/>
      </c>
      <c r="S4589" s="37" t="str">
        <f t="shared" si="496"/>
        <v/>
      </c>
      <c r="T4589" s="38" t="str">
        <f t="shared" si="497"/>
        <v/>
      </c>
      <c r="U4589" s="37" t="str">
        <f t="shared" si="498"/>
        <v/>
      </c>
    </row>
    <row r="4590" spans="2:21" ht="17.25">
      <c r="B4590" s="156"/>
      <c r="C4590" s="156"/>
      <c r="D4590" s="157"/>
      <c r="E4590" s="155"/>
      <c r="F4590" s="151"/>
      <c r="G4590" s="152"/>
      <c r="H4590" s="153"/>
      <c r="I4590" s="154"/>
      <c r="J4590" s="154"/>
      <c r="K4590" s="30" t="str">
        <f>IF(H4590="","",IF($C$30="간이법","",FPR(H4590,I4590,J4590)))</f>
        <v/>
      </c>
      <c r="L4590" s="30" t="str">
        <f>IF(H4590="","",IF($C$30="상세법",FPV(H4590,K4590),IF(H4590="EI",4,IF(H4590="EO",5.2,IF(H4590="EQ",3.9,IF(H4590="ILF",7.5,IF(H4590="EIF",5.4)))))))</f>
        <v/>
      </c>
      <c r="M4590" s="30" t="str">
        <f t="shared" si="492"/>
        <v/>
      </c>
      <c r="N4590" s="134"/>
      <c r="O4590" s="29"/>
      <c r="P4590" s="37" t="str">
        <f t="shared" si="493"/>
        <v/>
      </c>
      <c r="Q4590" s="38" t="str">
        <f t="shared" si="494"/>
        <v/>
      </c>
      <c r="R4590" s="37" t="str">
        <f t="shared" si="495"/>
        <v/>
      </c>
      <c r="S4590" s="37" t="str">
        <f t="shared" si="496"/>
        <v/>
      </c>
      <c r="T4590" s="38" t="str">
        <f t="shared" si="497"/>
        <v/>
      </c>
      <c r="U4590" s="37" t="str">
        <f t="shared" si="498"/>
        <v/>
      </c>
    </row>
    <row r="4591" spans="2:21" ht="17.25">
      <c r="B4591" s="156"/>
      <c r="C4591" s="156"/>
      <c r="D4591" s="157"/>
      <c r="E4591" s="155"/>
      <c r="F4591" s="151"/>
      <c r="G4591" s="152"/>
      <c r="H4591" s="153"/>
      <c r="I4591" s="154"/>
      <c r="J4591" s="154"/>
      <c r="K4591" s="30" t="str">
        <f>IF(H4591="","",IF($C$30="간이법","",FPR(H4591,I4591,J4591)))</f>
        <v/>
      </c>
      <c r="L4591" s="30" t="str">
        <f>IF(H4591="","",IF($C$30="상세법",FPV(H4591,K4591),IF(H4591="EI",4,IF(H4591="EO",5.2,IF(H4591="EQ",3.9,IF(H4591="ILF",7.5,IF(H4591="EIF",5.4)))))))</f>
        <v/>
      </c>
      <c r="M4591" s="30" t="str">
        <f t="shared" si="492"/>
        <v/>
      </c>
      <c r="N4591" s="134"/>
      <c r="O4591" s="29"/>
      <c r="P4591" s="37" t="str">
        <f t="shared" si="493"/>
        <v/>
      </c>
      <c r="Q4591" s="38" t="str">
        <f t="shared" si="494"/>
        <v/>
      </c>
      <c r="R4591" s="37" t="str">
        <f t="shared" si="495"/>
        <v/>
      </c>
      <c r="S4591" s="37" t="str">
        <f t="shared" si="496"/>
        <v/>
      </c>
      <c r="T4591" s="38" t="str">
        <f t="shared" si="497"/>
        <v/>
      </c>
      <c r="U4591" s="37" t="str">
        <f t="shared" si="498"/>
        <v/>
      </c>
    </row>
    <row r="4592" spans="2:21" ht="17.25">
      <c r="B4592" s="156"/>
      <c r="C4592" s="156"/>
      <c r="D4592" s="157"/>
      <c r="E4592" s="155"/>
      <c r="F4592" s="151"/>
      <c r="G4592" s="152"/>
      <c r="H4592" s="153"/>
      <c r="I4592" s="154"/>
      <c r="J4592" s="154"/>
      <c r="K4592" s="30" t="str">
        <f>IF(H4592="","",IF($C$30="간이법","",FPR(H4592,I4592,J4592)))</f>
        <v/>
      </c>
      <c r="L4592" s="30" t="str">
        <f>IF(H4592="","",IF($C$30="상세법",FPV(H4592,K4592),IF(H4592="EI",4,IF(H4592="EO",5.2,IF(H4592="EQ",3.9,IF(H4592="ILF",7.5,IF(H4592="EIF",5.4)))))))</f>
        <v/>
      </c>
      <c r="M4592" s="30" t="str">
        <f t="shared" si="492"/>
        <v/>
      </c>
      <c r="N4592" s="134"/>
      <c r="O4592" s="29"/>
      <c r="P4592" s="37" t="str">
        <f t="shared" si="493"/>
        <v/>
      </c>
      <c r="Q4592" s="38" t="str">
        <f t="shared" si="494"/>
        <v/>
      </c>
      <c r="R4592" s="37" t="str">
        <f t="shared" si="495"/>
        <v/>
      </c>
      <c r="S4592" s="37" t="str">
        <f t="shared" si="496"/>
        <v/>
      </c>
      <c r="T4592" s="38" t="str">
        <f t="shared" si="497"/>
        <v/>
      </c>
      <c r="U4592" s="37" t="str">
        <f t="shared" si="498"/>
        <v/>
      </c>
    </row>
    <row r="4593" spans="2:21" ht="17.25">
      <c r="B4593" s="156"/>
      <c r="C4593" s="156"/>
      <c r="D4593" s="157"/>
      <c r="E4593" s="155"/>
      <c r="F4593" s="151"/>
      <c r="G4593" s="152"/>
      <c r="H4593" s="153"/>
      <c r="I4593" s="154"/>
      <c r="J4593" s="154"/>
      <c r="K4593" s="30" t="str">
        <f>IF(H4593="","",IF($C$30="간이법","",FPR(H4593,I4593,J4593)))</f>
        <v/>
      </c>
      <c r="L4593" s="30" t="str">
        <f>IF(H4593="","",IF($C$30="상세법",FPV(H4593,K4593),IF(H4593="EI",4,IF(H4593="EO",5.2,IF(H4593="EQ",3.9,IF(H4593="ILF",7.5,IF(H4593="EIF",5.4)))))))</f>
        <v/>
      </c>
      <c r="M4593" s="30" t="str">
        <f t="shared" si="492"/>
        <v/>
      </c>
      <c r="N4593" s="134"/>
      <c r="O4593" s="29"/>
      <c r="P4593" s="37" t="str">
        <f t="shared" si="493"/>
        <v/>
      </c>
      <c r="Q4593" s="38" t="str">
        <f t="shared" si="494"/>
        <v/>
      </c>
      <c r="R4593" s="37" t="str">
        <f t="shared" si="495"/>
        <v/>
      </c>
      <c r="S4593" s="37" t="str">
        <f t="shared" si="496"/>
        <v/>
      </c>
      <c r="T4593" s="38" t="str">
        <f t="shared" si="497"/>
        <v/>
      </c>
      <c r="U4593" s="37" t="str">
        <f t="shared" si="498"/>
        <v/>
      </c>
    </row>
    <row r="4594" spans="2:21" ht="17.25">
      <c r="B4594" s="156"/>
      <c r="C4594" s="156"/>
      <c r="D4594" s="157"/>
      <c r="E4594" s="155"/>
      <c r="F4594" s="151"/>
      <c r="G4594" s="152"/>
      <c r="H4594" s="153"/>
      <c r="I4594" s="154"/>
      <c r="J4594" s="154"/>
      <c r="K4594" s="30" t="str">
        <f>IF(H4594="","",IF($C$30="간이법","",FPR(H4594,I4594,J4594)))</f>
        <v/>
      </c>
      <c r="L4594" s="30" t="str">
        <f>IF(H4594="","",IF($C$30="상세법",FPV(H4594,K4594),IF(H4594="EI",4,IF(H4594="EO",5.2,IF(H4594="EQ",3.9,IF(H4594="ILF",7.5,IF(H4594="EIF",5.4)))))))</f>
        <v/>
      </c>
      <c r="M4594" s="30" t="str">
        <f t="shared" si="492"/>
        <v/>
      </c>
      <c r="N4594" s="134"/>
      <c r="O4594" s="29"/>
      <c r="P4594" s="37" t="str">
        <f t="shared" si="493"/>
        <v/>
      </c>
      <c r="Q4594" s="38" t="str">
        <f t="shared" si="494"/>
        <v/>
      </c>
      <c r="R4594" s="37" t="str">
        <f t="shared" si="495"/>
        <v/>
      </c>
      <c r="S4594" s="37" t="str">
        <f t="shared" si="496"/>
        <v/>
      </c>
      <c r="T4594" s="38" t="str">
        <f t="shared" si="497"/>
        <v/>
      </c>
      <c r="U4594" s="37" t="str">
        <f t="shared" si="498"/>
        <v/>
      </c>
    </row>
    <row r="4595" spans="2:21" ht="17.25">
      <c r="B4595" s="156"/>
      <c r="C4595" s="156"/>
      <c r="D4595" s="157"/>
      <c r="E4595" s="155"/>
      <c r="F4595" s="151"/>
      <c r="G4595" s="152"/>
      <c r="H4595" s="153"/>
      <c r="I4595" s="154"/>
      <c r="J4595" s="154"/>
      <c r="K4595" s="30" t="str">
        <f>IF(H4595="","",IF($C$30="간이법","",FPR(H4595,I4595,J4595)))</f>
        <v/>
      </c>
      <c r="L4595" s="30" t="str">
        <f>IF(H4595="","",IF($C$30="상세법",FPV(H4595,K4595),IF(H4595="EI",4,IF(H4595="EO",5.2,IF(H4595="EQ",3.9,IF(H4595="ILF",7.5,IF(H4595="EIF",5.4)))))))</f>
        <v/>
      </c>
      <c r="M4595" s="30" t="str">
        <f t="shared" si="492"/>
        <v/>
      </c>
      <c r="N4595" s="134"/>
      <c r="O4595" s="29"/>
      <c r="P4595" s="37" t="str">
        <f t="shared" si="493"/>
        <v/>
      </c>
      <c r="Q4595" s="38" t="str">
        <f t="shared" si="494"/>
        <v/>
      </c>
      <c r="R4595" s="37" t="str">
        <f t="shared" si="495"/>
        <v/>
      </c>
      <c r="S4595" s="37" t="str">
        <f t="shared" si="496"/>
        <v/>
      </c>
      <c r="T4595" s="38" t="str">
        <f t="shared" si="497"/>
        <v/>
      </c>
      <c r="U4595" s="37" t="str">
        <f t="shared" si="498"/>
        <v/>
      </c>
    </row>
    <row r="4596" spans="2:21" ht="17.25">
      <c r="B4596" s="156"/>
      <c r="C4596" s="156"/>
      <c r="D4596" s="157"/>
      <c r="E4596" s="155"/>
      <c r="F4596" s="151"/>
      <c r="G4596" s="152"/>
      <c r="H4596" s="153"/>
      <c r="I4596" s="154"/>
      <c r="J4596" s="154"/>
      <c r="K4596" s="30" t="str">
        <f>IF(H4596="","",IF($C$30="간이법","",FPR(H4596,I4596,J4596)))</f>
        <v/>
      </c>
      <c r="L4596" s="30" t="str">
        <f>IF(H4596="","",IF($C$30="상세법",FPV(H4596,K4596),IF(H4596="EI",4,IF(H4596="EO",5.2,IF(H4596="EQ",3.9,IF(H4596="ILF",7.5,IF(H4596="EIF",5.4)))))))</f>
        <v/>
      </c>
      <c r="M4596" s="30" t="str">
        <f t="shared" si="492"/>
        <v/>
      </c>
      <c r="N4596" s="134"/>
      <c r="O4596" s="29"/>
      <c r="P4596" s="37" t="str">
        <f t="shared" si="493"/>
        <v/>
      </c>
      <c r="Q4596" s="38" t="str">
        <f t="shared" si="494"/>
        <v/>
      </c>
      <c r="R4596" s="37" t="str">
        <f t="shared" si="495"/>
        <v/>
      </c>
      <c r="S4596" s="37" t="str">
        <f t="shared" si="496"/>
        <v/>
      </c>
      <c r="T4596" s="38" t="str">
        <f t="shared" si="497"/>
        <v/>
      </c>
      <c r="U4596" s="37" t="str">
        <f t="shared" si="498"/>
        <v/>
      </c>
    </row>
    <row r="4597" spans="2:21" ht="17.25">
      <c r="B4597" s="156"/>
      <c r="C4597" s="156"/>
      <c r="D4597" s="157"/>
      <c r="E4597" s="155"/>
      <c r="F4597" s="151"/>
      <c r="G4597" s="152"/>
      <c r="H4597" s="153"/>
      <c r="I4597" s="154"/>
      <c r="J4597" s="154"/>
      <c r="K4597" s="30" t="str">
        <f>IF(H4597="","",IF($C$30="간이법","",FPR(H4597,I4597,J4597)))</f>
        <v/>
      </c>
      <c r="L4597" s="30" t="str">
        <f>IF(H4597="","",IF($C$30="상세법",FPV(H4597,K4597),IF(H4597="EI",4,IF(H4597="EO",5.2,IF(H4597="EQ",3.9,IF(H4597="ILF",7.5,IF(H4597="EIF",5.4)))))))</f>
        <v/>
      </c>
      <c r="M4597" s="30" t="str">
        <f t="shared" si="492"/>
        <v/>
      </c>
      <c r="N4597" s="134"/>
      <c r="O4597" s="29"/>
      <c r="P4597" s="37" t="str">
        <f t="shared" si="493"/>
        <v/>
      </c>
      <c r="Q4597" s="38" t="str">
        <f t="shared" si="494"/>
        <v/>
      </c>
      <c r="R4597" s="37" t="str">
        <f t="shared" si="495"/>
        <v/>
      </c>
      <c r="S4597" s="37" t="str">
        <f t="shared" si="496"/>
        <v/>
      </c>
      <c r="T4597" s="38" t="str">
        <f t="shared" si="497"/>
        <v/>
      </c>
      <c r="U4597" s="37" t="str">
        <f t="shared" si="498"/>
        <v/>
      </c>
    </row>
    <row r="4598" spans="2:21" ht="17.25">
      <c r="B4598" s="156"/>
      <c r="C4598" s="156"/>
      <c r="D4598" s="157"/>
      <c r="E4598" s="155"/>
      <c r="F4598" s="151"/>
      <c r="G4598" s="152"/>
      <c r="H4598" s="153"/>
      <c r="I4598" s="154"/>
      <c r="J4598" s="154"/>
      <c r="K4598" s="30" t="str">
        <f>IF(H4598="","",IF($C$30="간이법","",FPR(H4598,I4598,J4598)))</f>
        <v/>
      </c>
      <c r="L4598" s="30" t="str">
        <f>IF(H4598="","",IF($C$30="상세법",FPV(H4598,K4598),IF(H4598="EI",4,IF(H4598="EO",5.2,IF(H4598="EQ",3.9,IF(H4598="ILF",7.5,IF(H4598="EIF",5.4)))))))</f>
        <v/>
      </c>
      <c r="M4598" s="30" t="str">
        <f t="shared" si="492"/>
        <v/>
      </c>
      <c r="N4598" s="134"/>
      <c r="O4598" s="29"/>
      <c r="P4598" s="37" t="str">
        <f t="shared" si="493"/>
        <v/>
      </c>
      <c r="Q4598" s="38" t="str">
        <f t="shared" si="494"/>
        <v/>
      </c>
      <c r="R4598" s="37" t="str">
        <f t="shared" si="495"/>
        <v/>
      </c>
      <c r="S4598" s="37" t="str">
        <f t="shared" si="496"/>
        <v/>
      </c>
      <c r="T4598" s="38" t="str">
        <f t="shared" si="497"/>
        <v/>
      </c>
      <c r="U4598" s="37" t="str">
        <f t="shared" si="498"/>
        <v/>
      </c>
    </row>
    <row r="4599" spans="2:21" ht="17.25">
      <c r="B4599" s="156"/>
      <c r="C4599" s="156"/>
      <c r="D4599" s="157"/>
      <c r="E4599" s="155"/>
      <c r="F4599" s="151"/>
      <c r="G4599" s="152"/>
      <c r="H4599" s="153"/>
      <c r="I4599" s="154"/>
      <c r="J4599" s="154"/>
      <c r="K4599" s="30" t="str">
        <f>IF(H4599="","",IF($C$30="간이법","",FPR(H4599,I4599,J4599)))</f>
        <v/>
      </c>
      <c r="L4599" s="30" t="str">
        <f>IF(H4599="","",IF($C$30="상세법",FPV(H4599,K4599),IF(H4599="EI",4,IF(H4599="EO",5.2,IF(H4599="EQ",3.9,IF(H4599="ILF",7.5,IF(H4599="EIF",5.4)))))))</f>
        <v/>
      </c>
      <c r="M4599" s="30" t="str">
        <f t="shared" si="492"/>
        <v/>
      </c>
      <c r="N4599" s="134"/>
      <c r="O4599" s="29"/>
      <c r="P4599" s="37" t="str">
        <f t="shared" si="493"/>
        <v/>
      </c>
      <c r="Q4599" s="38" t="str">
        <f t="shared" si="494"/>
        <v/>
      </c>
      <c r="R4599" s="37" t="str">
        <f t="shared" si="495"/>
        <v/>
      </c>
      <c r="S4599" s="37" t="str">
        <f t="shared" si="496"/>
        <v/>
      </c>
      <c r="T4599" s="38" t="str">
        <f t="shared" si="497"/>
        <v/>
      </c>
      <c r="U4599" s="37" t="str">
        <f t="shared" si="498"/>
        <v/>
      </c>
    </row>
    <row r="4600" spans="2:21" ht="17.25">
      <c r="B4600" s="156"/>
      <c r="C4600" s="156"/>
      <c r="D4600" s="157"/>
      <c r="E4600" s="155"/>
      <c r="F4600" s="151"/>
      <c r="G4600" s="152"/>
      <c r="H4600" s="153"/>
      <c r="I4600" s="154"/>
      <c r="J4600" s="154"/>
      <c r="K4600" s="30" t="str">
        <f>IF(H4600="","",IF($C$30="간이법","",FPR(H4600,I4600,J4600)))</f>
        <v/>
      </c>
      <c r="L4600" s="30" t="str">
        <f>IF(H4600="","",IF($C$30="상세법",FPV(H4600,K4600),IF(H4600="EI",4,IF(H4600="EO",5.2,IF(H4600="EQ",3.9,IF(H4600="ILF",7.5,IF(H4600="EIF",5.4)))))))</f>
        <v/>
      </c>
      <c r="M4600" s="30" t="str">
        <f t="shared" si="492"/>
        <v/>
      </c>
      <c r="N4600" s="134"/>
      <c r="O4600" s="29"/>
      <c r="P4600" s="37" t="str">
        <f t="shared" si="493"/>
        <v/>
      </c>
      <c r="Q4600" s="38" t="str">
        <f t="shared" si="494"/>
        <v/>
      </c>
      <c r="R4600" s="37" t="str">
        <f t="shared" si="495"/>
        <v/>
      </c>
      <c r="S4600" s="37" t="str">
        <f t="shared" si="496"/>
        <v/>
      </c>
      <c r="T4600" s="38" t="str">
        <f t="shared" si="497"/>
        <v/>
      </c>
      <c r="U4600" s="37" t="str">
        <f t="shared" si="498"/>
        <v/>
      </c>
    </row>
    <row r="4601" spans="2:21" ht="17.25">
      <c r="B4601" s="156"/>
      <c r="C4601" s="156"/>
      <c r="D4601" s="157"/>
      <c r="E4601" s="155"/>
      <c r="F4601" s="151"/>
      <c r="G4601" s="152"/>
      <c r="H4601" s="153"/>
      <c r="I4601" s="154"/>
      <c r="J4601" s="154"/>
      <c r="K4601" s="30" t="str">
        <f>IF(H4601="","",IF($C$30="간이법","",FPR(H4601,I4601,J4601)))</f>
        <v/>
      </c>
      <c r="L4601" s="30" t="str">
        <f>IF(H4601="","",IF($C$30="상세법",FPV(H4601,K4601),IF(H4601="EI",4,IF(H4601="EO",5.2,IF(H4601="EQ",3.9,IF(H4601="ILF",7.5,IF(H4601="EIF",5.4)))))))</f>
        <v/>
      </c>
      <c r="M4601" s="30" t="str">
        <f t="shared" si="492"/>
        <v/>
      </c>
      <c r="N4601" s="134"/>
      <c r="O4601" s="29"/>
      <c r="P4601" s="37" t="str">
        <f t="shared" si="493"/>
        <v/>
      </c>
      <c r="Q4601" s="38" t="str">
        <f t="shared" si="494"/>
        <v/>
      </c>
      <c r="R4601" s="37" t="str">
        <f t="shared" si="495"/>
        <v/>
      </c>
      <c r="S4601" s="37" t="str">
        <f t="shared" si="496"/>
        <v/>
      </c>
      <c r="T4601" s="38" t="str">
        <f t="shared" si="497"/>
        <v/>
      </c>
      <c r="U4601" s="37" t="str">
        <f t="shared" si="498"/>
        <v/>
      </c>
    </row>
    <row r="4602" spans="2:21" ht="17.25">
      <c r="B4602" s="156"/>
      <c r="C4602" s="156"/>
      <c r="D4602" s="157"/>
      <c r="E4602" s="155"/>
      <c r="F4602" s="151"/>
      <c r="G4602" s="152"/>
      <c r="H4602" s="153"/>
      <c r="I4602" s="154"/>
      <c r="J4602" s="154"/>
      <c r="K4602" s="30" t="str">
        <f>IF(H4602="","",IF($C$30="간이법","",FPR(H4602,I4602,J4602)))</f>
        <v/>
      </c>
      <c r="L4602" s="30" t="str">
        <f>IF(H4602="","",IF($C$30="상세법",FPV(H4602,K4602),IF(H4602="EI",4,IF(H4602="EO",5.2,IF(H4602="EQ",3.9,IF(H4602="ILF",7.5,IF(H4602="EIF",5.4)))))))</f>
        <v/>
      </c>
      <c r="M4602" s="30" t="str">
        <f t="shared" si="492"/>
        <v/>
      </c>
      <c r="N4602" s="134"/>
      <c r="O4602" s="29"/>
      <c r="P4602" s="37" t="str">
        <f t="shared" si="493"/>
        <v/>
      </c>
      <c r="Q4602" s="38" t="str">
        <f t="shared" si="494"/>
        <v/>
      </c>
      <c r="R4602" s="37" t="str">
        <f t="shared" si="495"/>
        <v/>
      </c>
      <c r="S4602" s="37" t="str">
        <f t="shared" si="496"/>
        <v/>
      </c>
      <c r="T4602" s="38" t="str">
        <f t="shared" si="497"/>
        <v/>
      </c>
      <c r="U4602" s="37" t="str">
        <f t="shared" si="498"/>
        <v/>
      </c>
    </row>
    <row r="4603" spans="2:21" ht="17.25">
      <c r="B4603" s="156"/>
      <c r="C4603" s="156"/>
      <c r="D4603" s="157"/>
      <c r="E4603" s="155"/>
      <c r="F4603" s="151"/>
      <c r="G4603" s="152"/>
      <c r="H4603" s="153"/>
      <c r="I4603" s="154"/>
      <c r="J4603" s="154"/>
      <c r="K4603" s="30" t="str">
        <f>IF(H4603="","",IF($C$30="간이법","",FPR(H4603,I4603,J4603)))</f>
        <v/>
      </c>
      <c r="L4603" s="30" t="str">
        <f>IF(H4603="","",IF($C$30="상세법",FPV(H4603,K4603),IF(H4603="EI",4,IF(H4603="EO",5.2,IF(H4603="EQ",3.9,IF(H4603="ILF",7.5,IF(H4603="EIF",5.4)))))))</f>
        <v/>
      </c>
      <c r="M4603" s="30" t="str">
        <f t="shared" si="492"/>
        <v/>
      </c>
      <c r="N4603" s="134"/>
      <c r="O4603" s="29"/>
      <c r="P4603" s="37" t="str">
        <f t="shared" si="493"/>
        <v/>
      </c>
      <c r="Q4603" s="38" t="str">
        <f t="shared" si="494"/>
        <v/>
      </c>
      <c r="R4603" s="37" t="str">
        <f t="shared" si="495"/>
        <v/>
      </c>
      <c r="S4603" s="37" t="str">
        <f t="shared" si="496"/>
        <v/>
      </c>
      <c r="T4603" s="38" t="str">
        <f t="shared" si="497"/>
        <v/>
      </c>
      <c r="U4603" s="37" t="str">
        <f t="shared" si="498"/>
        <v/>
      </c>
    </row>
    <row r="4604" spans="2:21" ht="17.25">
      <c r="B4604" s="156"/>
      <c r="C4604" s="156"/>
      <c r="D4604" s="157"/>
      <c r="E4604" s="155"/>
      <c r="F4604" s="151"/>
      <c r="G4604" s="152"/>
      <c r="H4604" s="153"/>
      <c r="I4604" s="154"/>
      <c r="J4604" s="154"/>
      <c r="K4604" s="30" t="str">
        <f>IF(H4604="","",IF($C$30="간이법","",FPR(H4604,I4604,J4604)))</f>
        <v/>
      </c>
      <c r="L4604" s="30" t="str">
        <f>IF(H4604="","",IF($C$30="상세법",FPV(H4604,K4604),IF(H4604="EI",4,IF(H4604="EO",5.2,IF(H4604="EQ",3.9,IF(H4604="ILF",7.5,IF(H4604="EIF",5.4)))))))</f>
        <v/>
      </c>
      <c r="M4604" s="30" t="str">
        <f t="shared" ref="M4604:M4667" si="499">IF(OR(G4604="",$E$36="(선택)",$E$40="(선택)",$E$41="(선택)",F4604="신규 개발",F4604="수정 없이 재사용"),"",(IF(F4604="수정 후 재사용",IF($E$50&lt;=0.5,L4604*($E$36+$E$50*100*(1+0.02*($E$40*$E$41)))/100,L4604*($E$36+$E$50*100+($E$40*$E$41))/100))))</f>
        <v/>
      </c>
      <c r="N4604" s="134"/>
      <c r="O4604" s="29"/>
      <c r="P4604" s="37" t="str">
        <f t="shared" ref="P4604:P4667" si="500">IF(F4604="수정 후 재사용",IF(H4604="ILF",G4604,IF(H4604="EIF",G4604,"")),"")</f>
        <v/>
      </c>
      <c r="Q4604" s="38" t="str">
        <f t="shared" ref="Q4604:Q4667" si="501">IF(P4604&lt;&gt;"",IF(H4604="ILF", L4604/$E$46,IF(H4604="EIF", L4604/$E$46,"")),"")</f>
        <v/>
      </c>
      <c r="R4604" s="37" t="str">
        <f t="shared" ref="R4604:R4667" si="502">IF(P4604&lt;&gt;"",P4604*Q4604,"")</f>
        <v/>
      </c>
      <c r="S4604" s="37" t="str">
        <f t="shared" ref="S4604:S4667" si="503">IF(F4604="수정 후 재사용",IF(H4604="EI",G4604,IF(H4604="EO",G4604,IF(H4604="EQ",G4604,""))),"")</f>
        <v/>
      </c>
      <c r="T4604" s="38" t="str">
        <f t="shared" ref="T4604:T4667" si="504">IF(S4604&lt;&gt;"",IF(H4604="EI",L4604/$E$47,IF(H4604="EO",L4604/$E$47,IF(H4604="EQ",L4604/$E$47,""))),"")</f>
        <v/>
      </c>
      <c r="U4604" s="37" t="str">
        <f t="shared" ref="U4604:U4667" si="505">IF(S4604&lt;&gt;"",S4604*T4604,"")</f>
        <v/>
      </c>
    </row>
    <row r="4605" spans="2:21" ht="17.25">
      <c r="B4605" s="156"/>
      <c r="C4605" s="156"/>
      <c r="D4605" s="157"/>
      <c r="E4605" s="155"/>
      <c r="F4605" s="151"/>
      <c r="G4605" s="152"/>
      <c r="H4605" s="153"/>
      <c r="I4605" s="154"/>
      <c r="J4605" s="154"/>
      <c r="K4605" s="30" t="str">
        <f>IF(H4605="","",IF($C$30="간이법","",FPR(H4605,I4605,J4605)))</f>
        <v/>
      </c>
      <c r="L4605" s="30" t="str">
        <f>IF(H4605="","",IF($C$30="상세법",FPV(H4605,K4605),IF(H4605="EI",4,IF(H4605="EO",5.2,IF(H4605="EQ",3.9,IF(H4605="ILF",7.5,IF(H4605="EIF",5.4)))))))</f>
        <v/>
      </c>
      <c r="M4605" s="30" t="str">
        <f t="shared" si="499"/>
        <v/>
      </c>
      <c r="N4605" s="134"/>
      <c r="O4605" s="29"/>
      <c r="P4605" s="37" t="str">
        <f t="shared" si="500"/>
        <v/>
      </c>
      <c r="Q4605" s="38" t="str">
        <f t="shared" si="501"/>
        <v/>
      </c>
      <c r="R4605" s="37" t="str">
        <f t="shared" si="502"/>
        <v/>
      </c>
      <c r="S4605" s="37" t="str">
        <f t="shared" si="503"/>
        <v/>
      </c>
      <c r="T4605" s="38" t="str">
        <f t="shared" si="504"/>
        <v/>
      </c>
      <c r="U4605" s="37" t="str">
        <f t="shared" si="505"/>
        <v/>
      </c>
    </row>
    <row r="4606" spans="2:21" ht="17.25">
      <c r="B4606" s="156"/>
      <c r="C4606" s="156"/>
      <c r="D4606" s="157"/>
      <c r="E4606" s="155"/>
      <c r="F4606" s="151"/>
      <c r="G4606" s="152"/>
      <c r="H4606" s="153"/>
      <c r="I4606" s="154"/>
      <c r="J4606" s="154"/>
      <c r="K4606" s="30" t="str">
        <f>IF(H4606="","",IF($C$30="간이법","",FPR(H4606,I4606,J4606)))</f>
        <v/>
      </c>
      <c r="L4606" s="30" t="str">
        <f>IF(H4606="","",IF($C$30="상세법",FPV(H4606,K4606),IF(H4606="EI",4,IF(H4606="EO",5.2,IF(H4606="EQ",3.9,IF(H4606="ILF",7.5,IF(H4606="EIF",5.4)))))))</f>
        <v/>
      </c>
      <c r="M4606" s="30" t="str">
        <f t="shared" si="499"/>
        <v/>
      </c>
      <c r="N4606" s="134"/>
      <c r="O4606" s="29"/>
      <c r="P4606" s="37" t="str">
        <f t="shared" si="500"/>
        <v/>
      </c>
      <c r="Q4606" s="38" t="str">
        <f t="shared" si="501"/>
        <v/>
      </c>
      <c r="R4606" s="37" t="str">
        <f t="shared" si="502"/>
        <v/>
      </c>
      <c r="S4606" s="37" t="str">
        <f t="shared" si="503"/>
        <v/>
      </c>
      <c r="T4606" s="38" t="str">
        <f t="shared" si="504"/>
        <v/>
      </c>
      <c r="U4606" s="37" t="str">
        <f t="shared" si="505"/>
        <v/>
      </c>
    </row>
    <row r="4607" spans="2:21" ht="17.25">
      <c r="B4607" s="156"/>
      <c r="C4607" s="156"/>
      <c r="D4607" s="157"/>
      <c r="E4607" s="155"/>
      <c r="F4607" s="151"/>
      <c r="G4607" s="152"/>
      <c r="H4607" s="153"/>
      <c r="I4607" s="154"/>
      <c r="J4607" s="154"/>
      <c r="K4607" s="30" t="str">
        <f>IF(H4607="","",IF($C$30="간이법","",FPR(H4607,I4607,J4607)))</f>
        <v/>
      </c>
      <c r="L4607" s="30" t="str">
        <f>IF(H4607="","",IF($C$30="상세법",FPV(H4607,K4607),IF(H4607="EI",4,IF(H4607="EO",5.2,IF(H4607="EQ",3.9,IF(H4607="ILF",7.5,IF(H4607="EIF",5.4)))))))</f>
        <v/>
      </c>
      <c r="M4607" s="30" t="str">
        <f t="shared" si="499"/>
        <v/>
      </c>
      <c r="N4607" s="134"/>
      <c r="O4607" s="29"/>
      <c r="P4607" s="37" t="str">
        <f t="shared" si="500"/>
        <v/>
      </c>
      <c r="Q4607" s="38" t="str">
        <f t="shared" si="501"/>
        <v/>
      </c>
      <c r="R4607" s="37" t="str">
        <f t="shared" si="502"/>
        <v/>
      </c>
      <c r="S4607" s="37" t="str">
        <f t="shared" si="503"/>
        <v/>
      </c>
      <c r="T4607" s="38" t="str">
        <f t="shared" si="504"/>
        <v/>
      </c>
      <c r="U4607" s="37" t="str">
        <f t="shared" si="505"/>
        <v/>
      </c>
    </row>
    <row r="4608" spans="2:21" ht="17.25">
      <c r="B4608" s="156"/>
      <c r="C4608" s="156"/>
      <c r="D4608" s="157"/>
      <c r="E4608" s="155"/>
      <c r="F4608" s="151"/>
      <c r="G4608" s="152"/>
      <c r="H4608" s="153"/>
      <c r="I4608" s="154"/>
      <c r="J4608" s="154"/>
      <c r="K4608" s="30" t="str">
        <f>IF(H4608="","",IF($C$30="간이법","",FPR(H4608,I4608,J4608)))</f>
        <v/>
      </c>
      <c r="L4608" s="30" t="str">
        <f>IF(H4608="","",IF($C$30="상세법",FPV(H4608,K4608),IF(H4608="EI",4,IF(H4608="EO",5.2,IF(H4608="EQ",3.9,IF(H4608="ILF",7.5,IF(H4608="EIF",5.4)))))))</f>
        <v/>
      </c>
      <c r="M4608" s="30" t="str">
        <f t="shared" si="499"/>
        <v/>
      </c>
      <c r="N4608" s="134"/>
      <c r="O4608" s="29"/>
      <c r="P4608" s="37" t="str">
        <f t="shared" si="500"/>
        <v/>
      </c>
      <c r="Q4608" s="38" t="str">
        <f t="shared" si="501"/>
        <v/>
      </c>
      <c r="R4608" s="37" t="str">
        <f t="shared" si="502"/>
        <v/>
      </c>
      <c r="S4608" s="37" t="str">
        <f t="shared" si="503"/>
        <v/>
      </c>
      <c r="T4608" s="38" t="str">
        <f t="shared" si="504"/>
        <v/>
      </c>
      <c r="U4608" s="37" t="str">
        <f t="shared" si="505"/>
        <v/>
      </c>
    </row>
    <row r="4609" spans="2:21" ht="17.25">
      <c r="B4609" s="156"/>
      <c r="C4609" s="156"/>
      <c r="D4609" s="157"/>
      <c r="E4609" s="155"/>
      <c r="F4609" s="151"/>
      <c r="G4609" s="152"/>
      <c r="H4609" s="153"/>
      <c r="I4609" s="154"/>
      <c r="J4609" s="154"/>
      <c r="K4609" s="30" t="str">
        <f>IF(H4609="","",IF($C$30="간이법","",FPR(H4609,I4609,J4609)))</f>
        <v/>
      </c>
      <c r="L4609" s="30" t="str">
        <f>IF(H4609="","",IF($C$30="상세법",FPV(H4609,K4609),IF(H4609="EI",4,IF(H4609="EO",5.2,IF(H4609="EQ",3.9,IF(H4609="ILF",7.5,IF(H4609="EIF",5.4)))))))</f>
        <v/>
      </c>
      <c r="M4609" s="30" t="str">
        <f t="shared" si="499"/>
        <v/>
      </c>
      <c r="N4609" s="134"/>
      <c r="O4609" s="29"/>
      <c r="P4609" s="37" t="str">
        <f t="shared" si="500"/>
        <v/>
      </c>
      <c r="Q4609" s="38" t="str">
        <f t="shared" si="501"/>
        <v/>
      </c>
      <c r="R4609" s="37" t="str">
        <f t="shared" si="502"/>
        <v/>
      </c>
      <c r="S4609" s="37" t="str">
        <f t="shared" si="503"/>
        <v/>
      </c>
      <c r="T4609" s="38" t="str">
        <f t="shared" si="504"/>
        <v/>
      </c>
      <c r="U4609" s="37" t="str">
        <f t="shared" si="505"/>
        <v/>
      </c>
    </row>
    <row r="4610" spans="2:21" ht="17.25">
      <c r="B4610" s="156"/>
      <c r="C4610" s="156"/>
      <c r="D4610" s="157"/>
      <c r="E4610" s="155"/>
      <c r="F4610" s="151"/>
      <c r="G4610" s="152"/>
      <c r="H4610" s="153"/>
      <c r="I4610" s="154"/>
      <c r="J4610" s="154"/>
      <c r="K4610" s="30" t="str">
        <f>IF(H4610="","",IF($C$30="간이법","",FPR(H4610,I4610,J4610)))</f>
        <v/>
      </c>
      <c r="L4610" s="30" t="str">
        <f>IF(H4610="","",IF($C$30="상세법",FPV(H4610,K4610),IF(H4610="EI",4,IF(H4610="EO",5.2,IF(H4610="EQ",3.9,IF(H4610="ILF",7.5,IF(H4610="EIF",5.4)))))))</f>
        <v/>
      </c>
      <c r="M4610" s="30" t="str">
        <f t="shared" si="499"/>
        <v/>
      </c>
      <c r="N4610" s="134"/>
      <c r="O4610" s="29"/>
      <c r="P4610" s="37" t="str">
        <f t="shared" si="500"/>
        <v/>
      </c>
      <c r="Q4610" s="38" t="str">
        <f t="shared" si="501"/>
        <v/>
      </c>
      <c r="R4610" s="37" t="str">
        <f t="shared" si="502"/>
        <v/>
      </c>
      <c r="S4610" s="37" t="str">
        <f t="shared" si="503"/>
        <v/>
      </c>
      <c r="T4610" s="38" t="str">
        <f t="shared" si="504"/>
        <v/>
      </c>
      <c r="U4610" s="37" t="str">
        <f t="shared" si="505"/>
        <v/>
      </c>
    </row>
    <row r="4611" spans="2:21" ht="17.25">
      <c r="B4611" s="156"/>
      <c r="C4611" s="156"/>
      <c r="D4611" s="157"/>
      <c r="E4611" s="155"/>
      <c r="F4611" s="151"/>
      <c r="G4611" s="152"/>
      <c r="H4611" s="153"/>
      <c r="I4611" s="154"/>
      <c r="J4611" s="154"/>
      <c r="K4611" s="30" t="str">
        <f>IF(H4611="","",IF($C$30="간이법","",FPR(H4611,I4611,J4611)))</f>
        <v/>
      </c>
      <c r="L4611" s="30" t="str">
        <f>IF(H4611="","",IF($C$30="상세법",FPV(H4611,K4611),IF(H4611="EI",4,IF(H4611="EO",5.2,IF(H4611="EQ",3.9,IF(H4611="ILF",7.5,IF(H4611="EIF",5.4)))))))</f>
        <v/>
      </c>
      <c r="M4611" s="30" t="str">
        <f t="shared" si="499"/>
        <v/>
      </c>
      <c r="N4611" s="134"/>
      <c r="O4611" s="29"/>
      <c r="P4611" s="37" t="str">
        <f t="shared" si="500"/>
        <v/>
      </c>
      <c r="Q4611" s="38" t="str">
        <f t="shared" si="501"/>
        <v/>
      </c>
      <c r="R4611" s="37" t="str">
        <f t="shared" si="502"/>
        <v/>
      </c>
      <c r="S4611" s="37" t="str">
        <f t="shared" si="503"/>
        <v/>
      </c>
      <c r="T4611" s="38" t="str">
        <f t="shared" si="504"/>
        <v/>
      </c>
      <c r="U4611" s="37" t="str">
        <f t="shared" si="505"/>
        <v/>
      </c>
    </row>
    <row r="4612" spans="2:21" ht="17.25">
      <c r="B4612" s="156"/>
      <c r="C4612" s="156"/>
      <c r="D4612" s="157"/>
      <c r="E4612" s="155"/>
      <c r="F4612" s="151"/>
      <c r="G4612" s="152"/>
      <c r="H4612" s="153"/>
      <c r="I4612" s="154"/>
      <c r="J4612" s="154"/>
      <c r="K4612" s="30" t="str">
        <f>IF(H4612="","",IF($C$30="간이법","",FPR(H4612,I4612,J4612)))</f>
        <v/>
      </c>
      <c r="L4612" s="30" t="str">
        <f>IF(H4612="","",IF($C$30="상세법",FPV(H4612,K4612),IF(H4612="EI",4,IF(H4612="EO",5.2,IF(H4612="EQ",3.9,IF(H4612="ILF",7.5,IF(H4612="EIF",5.4)))))))</f>
        <v/>
      </c>
      <c r="M4612" s="30" t="str">
        <f t="shared" si="499"/>
        <v/>
      </c>
      <c r="N4612" s="134"/>
      <c r="O4612" s="29"/>
      <c r="P4612" s="37" t="str">
        <f t="shared" si="500"/>
        <v/>
      </c>
      <c r="Q4612" s="38" t="str">
        <f t="shared" si="501"/>
        <v/>
      </c>
      <c r="R4612" s="37" t="str">
        <f t="shared" si="502"/>
        <v/>
      </c>
      <c r="S4612" s="37" t="str">
        <f t="shared" si="503"/>
        <v/>
      </c>
      <c r="T4612" s="38" t="str">
        <f t="shared" si="504"/>
        <v/>
      </c>
      <c r="U4612" s="37" t="str">
        <f t="shared" si="505"/>
        <v/>
      </c>
    </row>
    <row r="4613" spans="2:21" ht="17.25">
      <c r="B4613" s="156"/>
      <c r="C4613" s="156"/>
      <c r="D4613" s="157"/>
      <c r="E4613" s="155"/>
      <c r="F4613" s="151"/>
      <c r="G4613" s="152"/>
      <c r="H4613" s="153"/>
      <c r="I4613" s="154"/>
      <c r="J4613" s="154"/>
      <c r="K4613" s="30" t="str">
        <f>IF(H4613="","",IF($C$30="간이법","",FPR(H4613,I4613,J4613)))</f>
        <v/>
      </c>
      <c r="L4613" s="30" t="str">
        <f>IF(H4613="","",IF($C$30="상세법",FPV(H4613,K4613),IF(H4613="EI",4,IF(H4613="EO",5.2,IF(H4613="EQ",3.9,IF(H4613="ILF",7.5,IF(H4613="EIF",5.4)))))))</f>
        <v/>
      </c>
      <c r="M4613" s="30" t="str">
        <f t="shared" si="499"/>
        <v/>
      </c>
      <c r="N4613" s="134"/>
      <c r="O4613" s="29"/>
      <c r="P4613" s="37" t="str">
        <f t="shared" si="500"/>
        <v/>
      </c>
      <c r="Q4613" s="38" t="str">
        <f t="shared" si="501"/>
        <v/>
      </c>
      <c r="R4613" s="37" t="str">
        <f t="shared" si="502"/>
        <v/>
      </c>
      <c r="S4613" s="37" t="str">
        <f t="shared" si="503"/>
        <v/>
      </c>
      <c r="T4613" s="38" t="str">
        <f t="shared" si="504"/>
        <v/>
      </c>
      <c r="U4613" s="37" t="str">
        <f t="shared" si="505"/>
        <v/>
      </c>
    </row>
    <row r="4614" spans="2:21" ht="17.25">
      <c r="B4614" s="156"/>
      <c r="C4614" s="156"/>
      <c r="D4614" s="157"/>
      <c r="E4614" s="155"/>
      <c r="F4614" s="151"/>
      <c r="G4614" s="152"/>
      <c r="H4614" s="153"/>
      <c r="I4614" s="154"/>
      <c r="J4614" s="154"/>
      <c r="K4614" s="30" t="str">
        <f>IF(H4614="","",IF($C$30="간이법","",FPR(H4614,I4614,J4614)))</f>
        <v/>
      </c>
      <c r="L4614" s="30" t="str">
        <f>IF(H4614="","",IF($C$30="상세법",FPV(H4614,K4614),IF(H4614="EI",4,IF(H4614="EO",5.2,IF(H4614="EQ",3.9,IF(H4614="ILF",7.5,IF(H4614="EIF",5.4)))))))</f>
        <v/>
      </c>
      <c r="M4614" s="30" t="str">
        <f t="shared" si="499"/>
        <v/>
      </c>
      <c r="N4614" s="134"/>
      <c r="O4614" s="29"/>
      <c r="P4614" s="37" t="str">
        <f t="shared" si="500"/>
        <v/>
      </c>
      <c r="Q4614" s="38" t="str">
        <f t="shared" si="501"/>
        <v/>
      </c>
      <c r="R4614" s="37" t="str">
        <f t="shared" si="502"/>
        <v/>
      </c>
      <c r="S4614" s="37" t="str">
        <f t="shared" si="503"/>
        <v/>
      </c>
      <c r="T4614" s="38" t="str">
        <f t="shared" si="504"/>
        <v/>
      </c>
      <c r="U4614" s="37" t="str">
        <f t="shared" si="505"/>
        <v/>
      </c>
    </row>
    <row r="4615" spans="2:21" ht="17.25">
      <c r="B4615" s="156"/>
      <c r="C4615" s="156"/>
      <c r="D4615" s="157"/>
      <c r="E4615" s="155"/>
      <c r="F4615" s="151"/>
      <c r="G4615" s="152"/>
      <c r="H4615" s="153"/>
      <c r="I4615" s="154"/>
      <c r="J4615" s="154"/>
      <c r="K4615" s="30" t="str">
        <f>IF(H4615="","",IF($C$30="간이법","",FPR(H4615,I4615,J4615)))</f>
        <v/>
      </c>
      <c r="L4615" s="30" t="str">
        <f>IF(H4615="","",IF($C$30="상세법",FPV(H4615,K4615),IF(H4615="EI",4,IF(H4615="EO",5.2,IF(H4615="EQ",3.9,IF(H4615="ILF",7.5,IF(H4615="EIF",5.4)))))))</f>
        <v/>
      </c>
      <c r="M4615" s="30" t="str">
        <f t="shared" si="499"/>
        <v/>
      </c>
      <c r="N4615" s="134"/>
      <c r="O4615" s="29"/>
      <c r="P4615" s="37" t="str">
        <f t="shared" si="500"/>
        <v/>
      </c>
      <c r="Q4615" s="38" t="str">
        <f t="shared" si="501"/>
        <v/>
      </c>
      <c r="R4615" s="37" t="str">
        <f t="shared" si="502"/>
        <v/>
      </c>
      <c r="S4615" s="37" t="str">
        <f t="shared" si="503"/>
        <v/>
      </c>
      <c r="T4615" s="38" t="str">
        <f t="shared" si="504"/>
        <v/>
      </c>
      <c r="U4615" s="37" t="str">
        <f t="shared" si="505"/>
        <v/>
      </c>
    </row>
    <row r="4616" spans="2:21" ht="17.25">
      <c r="B4616" s="156"/>
      <c r="C4616" s="156"/>
      <c r="D4616" s="157"/>
      <c r="E4616" s="155"/>
      <c r="F4616" s="151"/>
      <c r="G4616" s="152"/>
      <c r="H4616" s="153"/>
      <c r="I4616" s="154"/>
      <c r="J4616" s="154"/>
      <c r="K4616" s="30" t="str">
        <f>IF(H4616="","",IF($C$30="간이법","",FPR(H4616,I4616,J4616)))</f>
        <v/>
      </c>
      <c r="L4616" s="30" t="str">
        <f>IF(H4616="","",IF($C$30="상세법",FPV(H4616,K4616),IF(H4616="EI",4,IF(H4616="EO",5.2,IF(H4616="EQ",3.9,IF(H4616="ILF",7.5,IF(H4616="EIF",5.4)))))))</f>
        <v/>
      </c>
      <c r="M4616" s="30" t="str">
        <f t="shared" si="499"/>
        <v/>
      </c>
      <c r="N4616" s="134"/>
      <c r="O4616" s="29"/>
      <c r="P4616" s="37" t="str">
        <f t="shared" si="500"/>
        <v/>
      </c>
      <c r="Q4616" s="38" t="str">
        <f t="shared" si="501"/>
        <v/>
      </c>
      <c r="R4616" s="37" t="str">
        <f t="shared" si="502"/>
        <v/>
      </c>
      <c r="S4616" s="37" t="str">
        <f t="shared" si="503"/>
        <v/>
      </c>
      <c r="T4616" s="38" t="str">
        <f t="shared" si="504"/>
        <v/>
      </c>
      <c r="U4616" s="37" t="str">
        <f t="shared" si="505"/>
        <v/>
      </c>
    </row>
    <row r="4617" spans="2:21" ht="17.25">
      <c r="B4617" s="156"/>
      <c r="C4617" s="156"/>
      <c r="D4617" s="157"/>
      <c r="E4617" s="155"/>
      <c r="F4617" s="151"/>
      <c r="G4617" s="152"/>
      <c r="H4617" s="153"/>
      <c r="I4617" s="154"/>
      <c r="J4617" s="154"/>
      <c r="K4617" s="30" t="str">
        <f>IF(H4617="","",IF($C$30="간이법","",FPR(H4617,I4617,J4617)))</f>
        <v/>
      </c>
      <c r="L4617" s="30" t="str">
        <f>IF(H4617="","",IF($C$30="상세법",FPV(H4617,K4617),IF(H4617="EI",4,IF(H4617="EO",5.2,IF(H4617="EQ",3.9,IF(H4617="ILF",7.5,IF(H4617="EIF",5.4)))))))</f>
        <v/>
      </c>
      <c r="M4617" s="30" t="str">
        <f t="shared" si="499"/>
        <v/>
      </c>
      <c r="N4617" s="134"/>
      <c r="O4617" s="29"/>
      <c r="P4617" s="37" t="str">
        <f t="shared" si="500"/>
        <v/>
      </c>
      <c r="Q4617" s="38" t="str">
        <f t="shared" si="501"/>
        <v/>
      </c>
      <c r="R4617" s="37" t="str">
        <f t="shared" si="502"/>
        <v/>
      </c>
      <c r="S4617" s="37" t="str">
        <f t="shared" si="503"/>
        <v/>
      </c>
      <c r="T4617" s="38" t="str">
        <f t="shared" si="504"/>
        <v/>
      </c>
      <c r="U4617" s="37" t="str">
        <f t="shared" si="505"/>
        <v/>
      </c>
    </row>
    <row r="4618" spans="2:21" ht="17.25">
      <c r="B4618" s="156"/>
      <c r="C4618" s="156"/>
      <c r="D4618" s="157"/>
      <c r="E4618" s="155"/>
      <c r="F4618" s="151"/>
      <c r="G4618" s="152"/>
      <c r="H4618" s="153"/>
      <c r="I4618" s="154"/>
      <c r="J4618" s="154"/>
      <c r="K4618" s="30" t="str">
        <f>IF(H4618="","",IF($C$30="간이법","",FPR(H4618,I4618,J4618)))</f>
        <v/>
      </c>
      <c r="L4618" s="30" t="str">
        <f>IF(H4618="","",IF($C$30="상세법",FPV(H4618,K4618),IF(H4618="EI",4,IF(H4618="EO",5.2,IF(H4618="EQ",3.9,IF(H4618="ILF",7.5,IF(H4618="EIF",5.4)))))))</f>
        <v/>
      </c>
      <c r="M4618" s="30" t="str">
        <f t="shared" si="499"/>
        <v/>
      </c>
      <c r="N4618" s="134"/>
      <c r="O4618" s="29"/>
      <c r="P4618" s="37" t="str">
        <f t="shared" si="500"/>
        <v/>
      </c>
      <c r="Q4618" s="38" t="str">
        <f t="shared" si="501"/>
        <v/>
      </c>
      <c r="R4618" s="37" t="str">
        <f t="shared" si="502"/>
        <v/>
      </c>
      <c r="S4618" s="37" t="str">
        <f t="shared" si="503"/>
        <v/>
      </c>
      <c r="T4618" s="38" t="str">
        <f t="shared" si="504"/>
        <v/>
      </c>
      <c r="U4618" s="37" t="str">
        <f t="shared" si="505"/>
        <v/>
      </c>
    </row>
    <row r="4619" spans="2:21" ht="17.25">
      <c r="B4619" s="156"/>
      <c r="C4619" s="156"/>
      <c r="D4619" s="157"/>
      <c r="E4619" s="155"/>
      <c r="F4619" s="151"/>
      <c r="G4619" s="152"/>
      <c r="H4619" s="153"/>
      <c r="I4619" s="154"/>
      <c r="J4619" s="154"/>
      <c r="K4619" s="30" t="str">
        <f>IF(H4619="","",IF($C$30="간이법","",FPR(H4619,I4619,J4619)))</f>
        <v/>
      </c>
      <c r="L4619" s="30" t="str">
        <f>IF(H4619="","",IF($C$30="상세법",FPV(H4619,K4619),IF(H4619="EI",4,IF(H4619="EO",5.2,IF(H4619="EQ",3.9,IF(H4619="ILF",7.5,IF(H4619="EIF",5.4)))))))</f>
        <v/>
      </c>
      <c r="M4619" s="30" t="str">
        <f t="shared" si="499"/>
        <v/>
      </c>
      <c r="N4619" s="134"/>
      <c r="O4619" s="29"/>
      <c r="P4619" s="37" t="str">
        <f t="shared" si="500"/>
        <v/>
      </c>
      <c r="Q4619" s="38" t="str">
        <f t="shared" si="501"/>
        <v/>
      </c>
      <c r="R4619" s="37" t="str">
        <f t="shared" si="502"/>
        <v/>
      </c>
      <c r="S4619" s="37" t="str">
        <f t="shared" si="503"/>
        <v/>
      </c>
      <c r="T4619" s="38" t="str">
        <f t="shared" si="504"/>
        <v/>
      </c>
      <c r="U4619" s="37" t="str">
        <f t="shared" si="505"/>
        <v/>
      </c>
    </row>
    <row r="4620" spans="2:21" ht="17.25">
      <c r="B4620" s="156"/>
      <c r="C4620" s="156"/>
      <c r="D4620" s="157"/>
      <c r="E4620" s="155"/>
      <c r="F4620" s="151"/>
      <c r="G4620" s="152"/>
      <c r="H4620" s="153"/>
      <c r="I4620" s="154"/>
      <c r="J4620" s="154"/>
      <c r="K4620" s="30" t="str">
        <f>IF(H4620="","",IF($C$30="간이법","",FPR(H4620,I4620,J4620)))</f>
        <v/>
      </c>
      <c r="L4620" s="30" t="str">
        <f>IF(H4620="","",IF($C$30="상세법",FPV(H4620,K4620),IF(H4620="EI",4,IF(H4620="EO",5.2,IF(H4620="EQ",3.9,IF(H4620="ILF",7.5,IF(H4620="EIF",5.4)))))))</f>
        <v/>
      </c>
      <c r="M4620" s="30" t="str">
        <f t="shared" si="499"/>
        <v/>
      </c>
      <c r="N4620" s="134"/>
      <c r="O4620" s="29"/>
      <c r="P4620" s="37" t="str">
        <f t="shared" si="500"/>
        <v/>
      </c>
      <c r="Q4620" s="38" t="str">
        <f t="shared" si="501"/>
        <v/>
      </c>
      <c r="R4620" s="37" t="str">
        <f t="shared" si="502"/>
        <v/>
      </c>
      <c r="S4620" s="37" t="str">
        <f t="shared" si="503"/>
        <v/>
      </c>
      <c r="T4620" s="38" t="str">
        <f t="shared" si="504"/>
        <v/>
      </c>
      <c r="U4620" s="37" t="str">
        <f t="shared" si="505"/>
        <v/>
      </c>
    </row>
    <row r="4621" spans="2:21" ht="17.25">
      <c r="B4621" s="156"/>
      <c r="C4621" s="156"/>
      <c r="D4621" s="157"/>
      <c r="E4621" s="155"/>
      <c r="F4621" s="151"/>
      <c r="G4621" s="152"/>
      <c r="H4621" s="153"/>
      <c r="I4621" s="154"/>
      <c r="J4621" s="154"/>
      <c r="K4621" s="30" t="str">
        <f>IF(H4621="","",IF($C$30="간이법","",FPR(H4621,I4621,J4621)))</f>
        <v/>
      </c>
      <c r="L4621" s="30" t="str">
        <f>IF(H4621="","",IF($C$30="상세법",FPV(H4621,K4621),IF(H4621="EI",4,IF(H4621="EO",5.2,IF(H4621="EQ",3.9,IF(H4621="ILF",7.5,IF(H4621="EIF",5.4)))))))</f>
        <v/>
      </c>
      <c r="M4621" s="30" t="str">
        <f t="shared" si="499"/>
        <v/>
      </c>
      <c r="N4621" s="134"/>
      <c r="O4621" s="29"/>
      <c r="P4621" s="37" t="str">
        <f t="shared" si="500"/>
        <v/>
      </c>
      <c r="Q4621" s="38" t="str">
        <f t="shared" si="501"/>
        <v/>
      </c>
      <c r="R4621" s="37" t="str">
        <f t="shared" si="502"/>
        <v/>
      </c>
      <c r="S4621" s="37" t="str">
        <f t="shared" si="503"/>
        <v/>
      </c>
      <c r="T4621" s="38" t="str">
        <f t="shared" si="504"/>
        <v/>
      </c>
      <c r="U4621" s="37" t="str">
        <f t="shared" si="505"/>
        <v/>
      </c>
    </row>
    <row r="4622" spans="2:21" ht="17.25">
      <c r="B4622" s="156"/>
      <c r="C4622" s="156"/>
      <c r="D4622" s="157"/>
      <c r="E4622" s="155"/>
      <c r="F4622" s="151"/>
      <c r="G4622" s="152"/>
      <c r="H4622" s="153"/>
      <c r="I4622" s="154"/>
      <c r="J4622" s="154"/>
      <c r="K4622" s="30" t="str">
        <f>IF(H4622="","",IF($C$30="간이법","",FPR(H4622,I4622,J4622)))</f>
        <v/>
      </c>
      <c r="L4622" s="30" t="str">
        <f>IF(H4622="","",IF($C$30="상세법",FPV(H4622,K4622),IF(H4622="EI",4,IF(H4622="EO",5.2,IF(H4622="EQ",3.9,IF(H4622="ILF",7.5,IF(H4622="EIF",5.4)))))))</f>
        <v/>
      </c>
      <c r="M4622" s="30" t="str">
        <f t="shared" si="499"/>
        <v/>
      </c>
      <c r="N4622" s="134"/>
      <c r="O4622" s="29"/>
      <c r="P4622" s="37" t="str">
        <f t="shared" si="500"/>
        <v/>
      </c>
      <c r="Q4622" s="38" t="str">
        <f t="shared" si="501"/>
        <v/>
      </c>
      <c r="R4622" s="37" t="str">
        <f t="shared" si="502"/>
        <v/>
      </c>
      <c r="S4622" s="37" t="str">
        <f t="shared" si="503"/>
        <v/>
      </c>
      <c r="T4622" s="38" t="str">
        <f t="shared" si="504"/>
        <v/>
      </c>
      <c r="U4622" s="37" t="str">
        <f t="shared" si="505"/>
        <v/>
      </c>
    </row>
    <row r="4623" spans="2:21" ht="17.25">
      <c r="B4623" s="156"/>
      <c r="C4623" s="156"/>
      <c r="D4623" s="157"/>
      <c r="E4623" s="155"/>
      <c r="F4623" s="151"/>
      <c r="G4623" s="152"/>
      <c r="H4623" s="153"/>
      <c r="I4623" s="154"/>
      <c r="J4623" s="154"/>
      <c r="K4623" s="30" t="str">
        <f>IF(H4623="","",IF($C$30="간이법","",FPR(H4623,I4623,J4623)))</f>
        <v/>
      </c>
      <c r="L4623" s="30" t="str">
        <f>IF(H4623="","",IF($C$30="상세법",FPV(H4623,K4623),IF(H4623="EI",4,IF(H4623="EO",5.2,IF(H4623="EQ",3.9,IF(H4623="ILF",7.5,IF(H4623="EIF",5.4)))))))</f>
        <v/>
      </c>
      <c r="M4623" s="30" t="str">
        <f t="shared" si="499"/>
        <v/>
      </c>
      <c r="N4623" s="134"/>
      <c r="O4623" s="29"/>
      <c r="P4623" s="37" t="str">
        <f t="shared" si="500"/>
        <v/>
      </c>
      <c r="Q4623" s="38" t="str">
        <f t="shared" si="501"/>
        <v/>
      </c>
      <c r="R4623" s="37" t="str">
        <f t="shared" si="502"/>
        <v/>
      </c>
      <c r="S4623" s="37" t="str">
        <f t="shared" si="503"/>
        <v/>
      </c>
      <c r="T4623" s="38" t="str">
        <f t="shared" si="504"/>
        <v/>
      </c>
      <c r="U4623" s="37" t="str">
        <f t="shared" si="505"/>
        <v/>
      </c>
    </row>
    <row r="4624" spans="2:21" ht="17.25">
      <c r="B4624" s="156"/>
      <c r="C4624" s="156"/>
      <c r="D4624" s="157"/>
      <c r="E4624" s="155"/>
      <c r="F4624" s="151"/>
      <c r="G4624" s="152"/>
      <c r="H4624" s="153"/>
      <c r="I4624" s="154"/>
      <c r="J4624" s="154"/>
      <c r="K4624" s="30" t="str">
        <f>IF(H4624="","",IF($C$30="간이법","",FPR(H4624,I4624,J4624)))</f>
        <v/>
      </c>
      <c r="L4624" s="30" t="str">
        <f>IF(H4624="","",IF($C$30="상세법",FPV(H4624,K4624),IF(H4624="EI",4,IF(H4624="EO",5.2,IF(H4624="EQ",3.9,IF(H4624="ILF",7.5,IF(H4624="EIF",5.4)))))))</f>
        <v/>
      </c>
      <c r="M4624" s="30" t="str">
        <f t="shared" si="499"/>
        <v/>
      </c>
      <c r="N4624" s="134"/>
      <c r="O4624" s="29"/>
      <c r="P4624" s="37" t="str">
        <f t="shared" si="500"/>
        <v/>
      </c>
      <c r="Q4624" s="38" t="str">
        <f t="shared" si="501"/>
        <v/>
      </c>
      <c r="R4624" s="37" t="str">
        <f t="shared" si="502"/>
        <v/>
      </c>
      <c r="S4624" s="37" t="str">
        <f t="shared" si="503"/>
        <v/>
      </c>
      <c r="T4624" s="38" t="str">
        <f t="shared" si="504"/>
        <v/>
      </c>
      <c r="U4624" s="37" t="str">
        <f t="shared" si="505"/>
        <v/>
      </c>
    </row>
    <row r="4625" spans="2:21" ht="17.25">
      <c r="B4625" s="156"/>
      <c r="C4625" s="156"/>
      <c r="D4625" s="157"/>
      <c r="E4625" s="155"/>
      <c r="F4625" s="151"/>
      <c r="G4625" s="152"/>
      <c r="H4625" s="153"/>
      <c r="I4625" s="154"/>
      <c r="J4625" s="154"/>
      <c r="K4625" s="30" t="str">
        <f>IF(H4625="","",IF($C$30="간이법","",FPR(H4625,I4625,J4625)))</f>
        <v/>
      </c>
      <c r="L4625" s="30" t="str">
        <f>IF(H4625="","",IF($C$30="상세법",FPV(H4625,K4625),IF(H4625="EI",4,IF(H4625="EO",5.2,IF(H4625="EQ",3.9,IF(H4625="ILF",7.5,IF(H4625="EIF",5.4)))))))</f>
        <v/>
      </c>
      <c r="M4625" s="30" t="str">
        <f t="shared" si="499"/>
        <v/>
      </c>
      <c r="N4625" s="134"/>
      <c r="O4625" s="29"/>
      <c r="P4625" s="37" t="str">
        <f t="shared" si="500"/>
        <v/>
      </c>
      <c r="Q4625" s="38" t="str">
        <f t="shared" si="501"/>
        <v/>
      </c>
      <c r="R4625" s="37" t="str">
        <f t="shared" si="502"/>
        <v/>
      </c>
      <c r="S4625" s="37" t="str">
        <f t="shared" si="503"/>
        <v/>
      </c>
      <c r="T4625" s="38" t="str">
        <f t="shared" si="504"/>
        <v/>
      </c>
      <c r="U4625" s="37" t="str">
        <f t="shared" si="505"/>
        <v/>
      </c>
    </row>
    <row r="4626" spans="2:21" ht="17.25">
      <c r="B4626" s="156"/>
      <c r="C4626" s="156"/>
      <c r="D4626" s="157"/>
      <c r="E4626" s="155"/>
      <c r="F4626" s="151"/>
      <c r="G4626" s="152"/>
      <c r="H4626" s="153"/>
      <c r="I4626" s="154"/>
      <c r="J4626" s="154"/>
      <c r="K4626" s="30" t="str">
        <f>IF(H4626="","",IF($C$30="간이법","",FPR(H4626,I4626,J4626)))</f>
        <v/>
      </c>
      <c r="L4626" s="30" t="str">
        <f>IF(H4626="","",IF($C$30="상세법",FPV(H4626,K4626),IF(H4626="EI",4,IF(H4626="EO",5.2,IF(H4626="EQ",3.9,IF(H4626="ILF",7.5,IF(H4626="EIF",5.4)))))))</f>
        <v/>
      </c>
      <c r="M4626" s="30" t="str">
        <f t="shared" si="499"/>
        <v/>
      </c>
      <c r="N4626" s="134"/>
      <c r="O4626" s="29"/>
      <c r="P4626" s="37" t="str">
        <f t="shared" si="500"/>
        <v/>
      </c>
      <c r="Q4626" s="38" t="str">
        <f t="shared" si="501"/>
        <v/>
      </c>
      <c r="R4626" s="37" t="str">
        <f t="shared" si="502"/>
        <v/>
      </c>
      <c r="S4626" s="37" t="str">
        <f t="shared" si="503"/>
        <v/>
      </c>
      <c r="T4626" s="38" t="str">
        <f t="shared" si="504"/>
        <v/>
      </c>
      <c r="U4626" s="37" t="str">
        <f t="shared" si="505"/>
        <v/>
      </c>
    </row>
    <row r="4627" spans="2:21" ht="17.25">
      <c r="B4627" s="156"/>
      <c r="C4627" s="156"/>
      <c r="D4627" s="157"/>
      <c r="E4627" s="155"/>
      <c r="F4627" s="151"/>
      <c r="G4627" s="152"/>
      <c r="H4627" s="153"/>
      <c r="I4627" s="154"/>
      <c r="J4627" s="154"/>
      <c r="K4627" s="30" t="str">
        <f>IF(H4627="","",IF($C$30="간이법","",FPR(H4627,I4627,J4627)))</f>
        <v/>
      </c>
      <c r="L4627" s="30" t="str">
        <f>IF(H4627="","",IF($C$30="상세법",FPV(H4627,K4627),IF(H4627="EI",4,IF(H4627="EO",5.2,IF(H4627="EQ",3.9,IF(H4627="ILF",7.5,IF(H4627="EIF",5.4)))))))</f>
        <v/>
      </c>
      <c r="M4627" s="30" t="str">
        <f t="shared" si="499"/>
        <v/>
      </c>
      <c r="N4627" s="134"/>
      <c r="O4627" s="29"/>
      <c r="P4627" s="37" t="str">
        <f t="shared" si="500"/>
        <v/>
      </c>
      <c r="Q4627" s="38" t="str">
        <f t="shared" si="501"/>
        <v/>
      </c>
      <c r="R4627" s="37" t="str">
        <f t="shared" si="502"/>
        <v/>
      </c>
      <c r="S4627" s="37" t="str">
        <f t="shared" si="503"/>
        <v/>
      </c>
      <c r="T4627" s="38" t="str">
        <f t="shared" si="504"/>
        <v/>
      </c>
      <c r="U4627" s="37" t="str">
        <f t="shared" si="505"/>
        <v/>
      </c>
    </row>
    <row r="4628" spans="2:21" ht="17.25">
      <c r="B4628" s="156"/>
      <c r="C4628" s="156"/>
      <c r="D4628" s="157"/>
      <c r="E4628" s="155"/>
      <c r="F4628" s="151"/>
      <c r="G4628" s="152"/>
      <c r="H4628" s="153"/>
      <c r="I4628" s="154"/>
      <c r="J4628" s="154"/>
      <c r="K4628" s="30" t="str">
        <f>IF(H4628="","",IF($C$30="간이법","",FPR(H4628,I4628,J4628)))</f>
        <v/>
      </c>
      <c r="L4628" s="30" t="str">
        <f>IF(H4628="","",IF($C$30="상세법",FPV(H4628,K4628),IF(H4628="EI",4,IF(H4628="EO",5.2,IF(H4628="EQ",3.9,IF(H4628="ILF",7.5,IF(H4628="EIF",5.4)))))))</f>
        <v/>
      </c>
      <c r="M4628" s="30" t="str">
        <f t="shared" si="499"/>
        <v/>
      </c>
      <c r="N4628" s="134"/>
      <c r="O4628" s="29"/>
      <c r="P4628" s="37" t="str">
        <f t="shared" si="500"/>
        <v/>
      </c>
      <c r="Q4628" s="38" t="str">
        <f t="shared" si="501"/>
        <v/>
      </c>
      <c r="R4628" s="37" t="str">
        <f t="shared" si="502"/>
        <v/>
      </c>
      <c r="S4628" s="37" t="str">
        <f t="shared" si="503"/>
        <v/>
      </c>
      <c r="T4628" s="38" t="str">
        <f t="shared" si="504"/>
        <v/>
      </c>
      <c r="U4628" s="37" t="str">
        <f t="shared" si="505"/>
        <v/>
      </c>
    </row>
    <row r="4629" spans="2:21" ht="17.25">
      <c r="B4629" s="156"/>
      <c r="C4629" s="156"/>
      <c r="D4629" s="157"/>
      <c r="E4629" s="155"/>
      <c r="F4629" s="151"/>
      <c r="G4629" s="152"/>
      <c r="H4629" s="153"/>
      <c r="I4629" s="154"/>
      <c r="J4629" s="154"/>
      <c r="K4629" s="30" t="str">
        <f>IF(H4629="","",IF($C$30="간이법","",FPR(H4629,I4629,J4629)))</f>
        <v/>
      </c>
      <c r="L4629" s="30" t="str">
        <f>IF(H4629="","",IF($C$30="상세법",FPV(H4629,K4629),IF(H4629="EI",4,IF(H4629="EO",5.2,IF(H4629="EQ",3.9,IF(H4629="ILF",7.5,IF(H4629="EIF",5.4)))))))</f>
        <v/>
      </c>
      <c r="M4629" s="30" t="str">
        <f t="shared" si="499"/>
        <v/>
      </c>
      <c r="N4629" s="134"/>
      <c r="O4629" s="29"/>
      <c r="P4629" s="37" t="str">
        <f t="shared" si="500"/>
        <v/>
      </c>
      <c r="Q4629" s="38" t="str">
        <f t="shared" si="501"/>
        <v/>
      </c>
      <c r="R4629" s="37" t="str">
        <f t="shared" si="502"/>
        <v/>
      </c>
      <c r="S4629" s="37" t="str">
        <f t="shared" si="503"/>
        <v/>
      </c>
      <c r="T4629" s="38" t="str">
        <f t="shared" si="504"/>
        <v/>
      </c>
      <c r="U4629" s="37" t="str">
        <f t="shared" si="505"/>
        <v/>
      </c>
    </row>
    <row r="4630" spans="2:21" ht="17.25">
      <c r="B4630" s="156"/>
      <c r="C4630" s="156"/>
      <c r="D4630" s="157"/>
      <c r="E4630" s="155"/>
      <c r="F4630" s="151"/>
      <c r="G4630" s="152"/>
      <c r="H4630" s="153"/>
      <c r="I4630" s="154"/>
      <c r="J4630" s="154"/>
      <c r="K4630" s="30" t="str">
        <f>IF(H4630="","",IF($C$30="간이법","",FPR(H4630,I4630,J4630)))</f>
        <v/>
      </c>
      <c r="L4630" s="30" t="str">
        <f>IF(H4630="","",IF($C$30="상세법",FPV(H4630,K4630),IF(H4630="EI",4,IF(H4630="EO",5.2,IF(H4630="EQ",3.9,IF(H4630="ILF",7.5,IF(H4630="EIF",5.4)))))))</f>
        <v/>
      </c>
      <c r="M4630" s="30" t="str">
        <f t="shared" si="499"/>
        <v/>
      </c>
      <c r="N4630" s="134"/>
      <c r="O4630" s="29"/>
      <c r="P4630" s="37" t="str">
        <f t="shared" si="500"/>
        <v/>
      </c>
      <c r="Q4630" s="38" t="str">
        <f t="shared" si="501"/>
        <v/>
      </c>
      <c r="R4630" s="37" t="str">
        <f t="shared" si="502"/>
        <v/>
      </c>
      <c r="S4630" s="37" t="str">
        <f t="shared" si="503"/>
        <v/>
      </c>
      <c r="T4630" s="38" t="str">
        <f t="shared" si="504"/>
        <v/>
      </c>
      <c r="U4630" s="37" t="str">
        <f t="shared" si="505"/>
        <v/>
      </c>
    </row>
    <row r="4631" spans="2:21" ht="17.25">
      <c r="B4631" s="156"/>
      <c r="C4631" s="156"/>
      <c r="D4631" s="157"/>
      <c r="E4631" s="155"/>
      <c r="F4631" s="151"/>
      <c r="G4631" s="152"/>
      <c r="H4631" s="153"/>
      <c r="I4631" s="154"/>
      <c r="J4631" s="154"/>
      <c r="K4631" s="30" t="str">
        <f>IF(H4631="","",IF($C$30="간이법","",FPR(H4631,I4631,J4631)))</f>
        <v/>
      </c>
      <c r="L4631" s="30" t="str">
        <f>IF(H4631="","",IF($C$30="상세법",FPV(H4631,K4631),IF(H4631="EI",4,IF(H4631="EO",5.2,IF(H4631="EQ",3.9,IF(H4631="ILF",7.5,IF(H4631="EIF",5.4)))))))</f>
        <v/>
      </c>
      <c r="M4631" s="30" t="str">
        <f t="shared" si="499"/>
        <v/>
      </c>
      <c r="N4631" s="134"/>
      <c r="O4631" s="29"/>
      <c r="P4631" s="37" t="str">
        <f t="shared" si="500"/>
        <v/>
      </c>
      <c r="Q4631" s="38" t="str">
        <f t="shared" si="501"/>
        <v/>
      </c>
      <c r="R4631" s="37" t="str">
        <f t="shared" si="502"/>
        <v/>
      </c>
      <c r="S4631" s="37" t="str">
        <f t="shared" si="503"/>
        <v/>
      </c>
      <c r="T4631" s="38" t="str">
        <f t="shared" si="504"/>
        <v/>
      </c>
      <c r="U4631" s="37" t="str">
        <f t="shared" si="505"/>
        <v/>
      </c>
    </row>
    <row r="4632" spans="2:21" ht="17.25">
      <c r="B4632" s="156"/>
      <c r="C4632" s="156"/>
      <c r="D4632" s="157"/>
      <c r="E4632" s="155"/>
      <c r="F4632" s="151"/>
      <c r="G4632" s="152"/>
      <c r="H4632" s="153"/>
      <c r="I4632" s="154"/>
      <c r="J4632" s="154"/>
      <c r="K4632" s="30" t="str">
        <f>IF(H4632="","",IF($C$30="간이법","",FPR(H4632,I4632,J4632)))</f>
        <v/>
      </c>
      <c r="L4632" s="30" t="str">
        <f>IF(H4632="","",IF($C$30="상세법",FPV(H4632,K4632),IF(H4632="EI",4,IF(H4632="EO",5.2,IF(H4632="EQ",3.9,IF(H4632="ILF",7.5,IF(H4632="EIF",5.4)))))))</f>
        <v/>
      </c>
      <c r="M4632" s="30" t="str">
        <f t="shared" si="499"/>
        <v/>
      </c>
      <c r="N4632" s="134"/>
      <c r="O4632" s="29"/>
      <c r="P4632" s="37" t="str">
        <f t="shared" si="500"/>
        <v/>
      </c>
      <c r="Q4632" s="38" t="str">
        <f t="shared" si="501"/>
        <v/>
      </c>
      <c r="R4632" s="37" t="str">
        <f t="shared" si="502"/>
        <v/>
      </c>
      <c r="S4632" s="37" t="str">
        <f t="shared" si="503"/>
        <v/>
      </c>
      <c r="T4632" s="38" t="str">
        <f t="shared" si="504"/>
        <v/>
      </c>
      <c r="U4632" s="37" t="str">
        <f t="shared" si="505"/>
        <v/>
      </c>
    </row>
    <row r="4633" spans="2:21" ht="17.25">
      <c r="B4633" s="156"/>
      <c r="C4633" s="156"/>
      <c r="D4633" s="157"/>
      <c r="E4633" s="155"/>
      <c r="F4633" s="151"/>
      <c r="G4633" s="152"/>
      <c r="H4633" s="153"/>
      <c r="I4633" s="154"/>
      <c r="J4633" s="154"/>
      <c r="K4633" s="30" t="str">
        <f>IF(H4633="","",IF($C$30="간이법","",FPR(H4633,I4633,J4633)))</f>
        <v/>
      </c>
      <c r="L4633" s="30" t="str">
        <f>IF(H4633="","",IF($C$30="상세법",FPV(H4633,K4633),IF(H4633="EI",4,IF(H4633="EO",5.2,IF(H4633="EQ",3.9,IF(H4633="ILF",7.5,IF(H4633="EIF",5.4)))))))</f>
        <v/>
      </c>
      <c r="M4633" s="30" t="str">
        <f t="shared" si="499"/>
        <v/>
      </c>
      <c r="N4633" s="134"/>
      <c r="O4633" s="29"/>
      <c r="P4633" s="37" t="str">
        <f t="shared" si="500"/>
        <v/>
      </c>
      <c r="Q4633" s="38" t="str">
        <f t="shared" si="501"/>
        <v/>
      </c>
      <c r="R4633" s="37" t="str">
        <f t="shared" si="502"/>
        <v/>
      </c>
      <c r="S4633" s="37" t="str">
        <f t="shared" si="503"/>
        <v/>
      </c>
      <c r="T4633" s="38" t="str">
        <f t="shared" si="504"/>
        <v/>
      </c>
      <c r="U4633" s="37" t="str">
        <f t="shared" si="505"/>
        <v/>
      </c>
    </row>
    <row r="4634" spans="2:21" ht="17.25">
      <c r="B4634" s="156"/>
      <c r="C4634" s="156"/>
      <c r="D4634" s="157"/>
      <c r="E4634" s="155"/>
      <c r="F4634" s="151"/>
      <c r="G4634" s="152"/>
      <c r="H4634" s="153"/>
      <c r="I4634" s="154"/>
      <c r="J4634" s="154"/>
      <c r="K4634" s="30" t="str">
        <f>IF(H4634="","",IF($C$30="간이법","",FPR(H4634,I4634,J4634)))</f>
        <v/>
      </c>
      <c r="L4634" s="30" t="str">
        <f>IF(H4634="","",IF($C$30="상세법",FPV(H4634,K4634),IF(H4634="EI",4,IF(H4634="EO",5.2,IF(H4634="EQ",3.9,IF(H4634="ILF",7.5,IF(H4634="EIF",5.4)))))))</f>
        <v/>
      </c>
      <c r="M4634" s="30" t="str">
        <f t="shared" si="499"/>
        <v/>
      </c>
      <c r="N4634" s="134"/>
      <c r="O4634" s="29"/>
      <c r="P4634" s="37" t="str">
        <f t="shared" si="500"/>
        <v/>
      </c>
      <c r="Q4634" s="38" t="str">
        <f t="shared" si="501"/>
        <v/>
      </c>
      <c r="R4634" s="37" t="str">
        <f t="shared" si="502"/>
        <v/>
      </c>
      <c r="S4634" s="37" t="str">
        <f t="shared" si="503"/>
        <v/>
      </c>
      <c r="T4634" s="38" t="str">
        <f t="shared" si="504"/>
        <v/>
      </c>
      <c r="U4634" s="37" t="str">
        <f t="shared" si="505"/>
        <v/>
      </c>
    </row>
    <row r="4635" spans="2:21" ht="17.25">
      <c r="B4635" s="156"/>
      <c r="C4635" s="156"/>
      <c r="D4635" s="157"/>
      <c r="E4635" s="155"/>
      <c r="F4635" s="151"/>
      <c r="G4635" s="152"/>
      <c r="H4635" s="153"/>
      <c r="I4635" s="154"/>
      <c r="J4635" s="154"/>
      <c r="K4635" s="30" t="str">
        <f>IF(H4635="","",IF($C$30="간이법","",FPR(H4635,I4635,J4635)))</f>
        <v/>
      </c>
      <c r="L4635" s="30" t="str">
        <f>IF(H4635="","",IF($C$30="상세법",FPV(H4635,K4635),IF(H4635="EI",4,IF(H4635="EO",5.2,IF(H4635="EQ",3.9,IF(H4635="ILF",7.5,IF(H4635="EIF",5.4)))))))</f>
        <v/>
      </c>
      <c r="M4635" s="30" t="str">
        <f t="shared" si="499"/>
        <v/>
      </c>
      <c r="N4635" s="134"/>
      <c r="O4635" s="29"/>
      <c r="P4635" s="37" t="str">
        <f t="shared" si="500"/>
        <v/>
      </c>
      <c r="Q4635" s="38" t="str">
        <f t="shared" si="501"/>
        <v/>
      </c>
      <c r="R4635" s="37" t="str">
        <f t="shared" si="502"/>
        <v/>
      </c>
      <c r="S4635" s="37" t="str">
        <f t="shared" si="503"/>
        <v/>
      </c>
      <c r="T4635" s="38" t="str">
        <f t="shared" si="504"/>
        <v/>
      </c>
      <c r="U4635" s="37" t="str">
        <f t="shared" si="505"/>
        <v/>
      </c>
    </row>
    <row r="4636" spans="2:21" ht="17.25">
      <c r="B4636" s="156"/>
      <c r="C4636" s="156"/>
      <c r="D4636" s="157"/>
      <c r="E4636" s="155"/>
      <c r="F4636" s="151"/>
      <c r="G4636" s="152"/>
      <c r="H4636" s="153"/>
      <c r="I4636" s="154"/>
      <c r="J4636" s="154"/>
      <c r="K4636" s="30" t="str">
        <f>IF(H4636="","",IF($C$30="간이법","",FPR(H4636,I4636,J4636)))</f>
        <v/>
      </c>
      <c r="L4636" s="30" t="str">
        <f>IF(H4636="","",IF($C$30="상세법",FPV(H4636,K4636),IF(H4636="EI",4,IF(H4636="EO",5.2,IF(H4636="EQ",3.9,IF(H4636="ILF",7.5,IF(H4636="EIF",5.4)))))))</f>
        <v/>
      </c>
      <c r="M4636" s="30" t="str">
        <f t="shared" si="499"/>
        <v/>
      </c>
      <c r="N4636" s="134"/>
      <c r="O4636" s="29"/>
      <c r="P4636" s="37" t="str">
        <f t="shared" si="500"/>
        <v/>
      </c>
      <c r="Q4636" s="38" t="str">
        <f t="shared" si="501"/>
        <v/>
      </c>
      <c r="R4636" s="37" t="str">
        <f t="shared" si="502"/>
        <v/>
      </c>
      <c r="S4636" s="37" t="str">
        <f t="shared" si="503"/>
        <v/>
      </c>
      <c r="T4636" s="38" t="str">
        <f t="shared" si="504"/>
        <v/>
      </c>
      <c r="U4636" s="37" t="str">
        <f t="shared" si="505"/>
        <v/>
      </c>
    </row>
    <row r="4637" spans="2:21" ht="17.25">
      <c r="B4637" s="156"/>
      <c r="C4637" s="156"/>
      <c r="D4637" s="157"/>
      <c r="E4637" s="155"/>
      <c r="F4637" s="151"/>
      <c r="G4637" s="152"/>
      <c r="H4637" s="153"/>
      <c r="I4637" s="154"/>
      <c r="J4637" s="154"/>
      <c r="K4637" s="30" t="str">
        <f>IF(H4637="","",IF($C$30="간이법","",FPR(H4637,I4637,J4637)))</f>
        <v/>
      </c>
      <c r="L4637" s="30" t="str">
        <f>IF(H4637="","",IF($C$30="상세법",FPV(H4637,K4637),IF(H4637="EI",4,IF(H4637="EO",5.2,IF(H4637="EQ",3.9,IF(H4637="ILF",7.5,IF(H4637="EIF",5.4)))))))</f>
        <v/>
      </c>
      <c r="M4637" s="30" t="str">
        <f t="shared" si="499"/>
        <v/>
      </c>
      <c r="N4637" s="134"/>
      <c r="O4637" s="29"/>
      <c r="P4637" s="37" t="str">
        <f t="shared" si="500"/>
        <v/>
      </c>
      <c r="Q4637" s="38" t="str">
        <f t="shared" si="501"/>
        <v/>
      </c>
      <c r="R4637" s="37" t="str">
        <f t="shared" si="502"/>
        <v/>
      </c>
      <c r="S4637" s="37" t="str">
        <f t="shared" si="503"/>
        <v/>
      </c>
      <c r="T4637" s="38" t="str">
        <f t="shared" si="504"/>
        <v/>
      </c>
      <c r="U4637" s="37" t="str">
        <f t="shared" si="505"/>
        <v/>
      </c>
    </row>
    <row r="4638" spans="2:21" ht="17.25">
      <c r="B4638" s="156"/>
      <c r="C4638" s="156"/>
      <c r="D4638" s="157"/>
      <c r="E4638" s="155"/>
      <c r="F4638" s="151"/>
      <c r="G4638" s="152"/>
      <c r="H4638" s="153"/>
      <c r="I4638" s="154"/>
      <c r="J4638" s="154"/>
      <c r="K4638" s="30" t="str">
        <f>IF(H4638="","",IF($C$30="간이법","",FPR(H4638,I4638,J4638)))</f>
        <v/>
      </c>
      <c r="L4638" s="30" t="str">
        <f>IF(H4638="","",IF($C$30="상세법",FPV(H4638,K4638),IF(H4638="EI",4,IF(H4638="EO",5.2,IF(H4638="EQ",3.9,IF(H4638="ILF",7.5,IF(H4638="EIF",5.4)))))))</f>
        <v/>
      </c>
      <c r="M4638" s="30" t="str">
        <f t="shared" si="499"/>
        <v/>
      </c>
      <c r="N4638" s="134"/>
      <c r="O4638" s="29"/>
      <c r="P4638" s="37" t="str">
        <f t="shared" si="500"/>
        <v/>
      </c>
      <c r="Q4638" s="38" t="str">
        <f t="shared" si="501"/>
        <v/>
      </c>
      <c r="R4638" s="37" t="str">
        <f t="shared" si="502"/>
        <v/>
      </c>
      <c r="S4638" s="37" t="str">
        <f t="shared" si="503"/>
        <v/>
      </c>
      <c r="T4638" s="38" t="str">
        <f t="shared" si="504"/>
        <v/>
      </c>
      <c r="U4638" s="37" t="str">
        <f t="shared" si="505"/>
        <v/>
      </c>
    </row>
    <row r="4639" spans="2:21" ht="17.25">
      <c r="B4639" s="156"/>
      <c r="C4639" s="156"/>
      <c r="D4639" s="157"/>
      <c r="E4639" s="155"/>
      <c r="F4639" s="151"/>
      <c r="G4639" s="152"/>
      <c r="H4639" s="153"/>
      <c r="I4639" s="154"/>
      <c r="J4639" s="154"/>
      <c r="K4639" s="30" t="str">
        <f>IF(H4639="","",IF($C$30="간이법","",FPR(H4639,I4639,J4639)))</f>
        <v/>
      </c>
      <c r="L4639" s="30" t="str">
        <f>IF(H4639="","",IF($C$30="상세법",FPV(H4639,K4639),IF(H4639="EI",4,IF(H4639="EO",5.2,IF(H4639="EQ",3.9,IF(H4639="ILF",7.5,IF(H4639="EIF",5.4)))))))</f>
        <v/>
      </c>
      <c r="M4639" s="30" t="str">
        <f t="shared" si="499"/>
        <v/>
      </c>
      <c r="N4639" s="134"/>
      <c r="O4639" s="29"/>
      <c r="P4639" s="37" t="str">
        <f t="shared" si="500"/>
        <v/>
      </c>
      <c r="Q4639" s="38" t="str">
        <f t="shared" si="501"/>
        <v/>
      </c>
      <c r="R4639" s="37" t="str">
        <f t="shared" si="502"/>
        <v/>
      </c>
      <c r="S4639" s="37" t="str">
        <f t="shared" si="503"/>
        <v/>
      </c>
      <c r="T4639" s="38" t="str">
        <f t="shared" si="504"/>
        <v/>
      </c>
      <c r="U4639" s="37" t="str">
        <f t="shared" si="505"/>
        <v/>
      </c>
    </row>
    <row r="4640" spans="2:21" ht="17.25">
      <c r="B4640" s="156"/>
      <c r="C4640" s="156"/>
      <c r="D4640" s="157"/>
      <c r="E4640" s="155"/>
      <c r="F4640" s="151"/>
      <c r="G4640" s="152"/>
      <c r="H4640" s="153"/>
      <c r="I4640" s="154"/>
      <c r="J4640" s="154"/>
      <c r="K4640" s="30" t="str">
        <f>IF(H4640="","",IF($C$30="간이법","",FPR(H4640,I4640,J4640)))</f>
        <v/>
      </c>
      <c r="L4640" s="30" t="str">
        <f>IF(H4640="","",IF($C$30="상세법",FPV(H4640,K4640),IF(H4640="EI",4,IF(H4640="EO",5.2,IF(H4640="EQ",3.9,IF(H4640="ILF",7.5,IF(H4640="EIF",5.4)))))))</f>
        <v/>
      </c>
      <c r="M4640" s="30" t="str">
        <f t="shared" si="499"/>
        <v/>
      </c>
      <c r="N4640" s="134"/>
      <c r="O4640" s="29"/>
      <c r="P4640" s="37" t="str">
        <f t="shared" si="500"/>
        <v/>
      </c>
      <c r="Q4640" s="38" t="str">
        <f t="shared" si="501"/>
        <v/>
      </c>
      <c r="R4640" s="37" t="str">
        <f t="shared" si="502"/>
        <v/>
      </c>
      <c r="S4640" s="37" t="str">
        <f t="shared" si="503"/>
        <v/>
      </c>
      <c r="T4640" s="38" t="str">
        <f t="shared" si="504"/>
        <v/>
      </c>
      <c r="U4640" s="37" t="str">
        <f t="shared" si="505"/>
        <v/>
      </c>
    </row>
    <row r="4641" spans="2:21" ht="17.25">
      <c r="B4641" s="156"/>
      <c r="C4641" s="156"/>
      <c r="D4641" s="157"/>
      <c r="E4641" s="155"/>
      <c r="F4641" s="151"/>
      <c r="G4641" s="152"/>
      <c r="H4641" s="153"/>
      <c r="I4641" s="154"/>
      <c r="J4641" s="154"/>
      <c r="K4641" s="30" t="str">
        <f>IF(H4641="","",IF($C$30="간이법","",FPR(H4641,I4641,J4641)))</f>
        <v/>
      </c>
      <c r="L4641" s="30" t="str">
        <f>IF(H4641="","",IF($C$30="상세법",FPV(H4641,K4641),IF(H4641="EI",4,IF(H4641="EO",5.2,IF(H4641="EQ",3.9,IF(H4641="ILF",7.5,IF(H4641="EIF",5.4)))))))</f>
        <v/>
      </c>
      <c r="M4641" s="30" t="str">
        <f t="shared" si="499"/>
        <v/>
      </c>
      <c r="N4641" s="134"/>
      <c r="O4641" s="29"/>
      <c r="P4641" s="37" t="str">
        <f t="shared" si="500"/>
        <v/>
      </c>
      <c r="Q4641" s="38" t="str">
        <f t="shared" si="501"/>
        <v/>
      </c>
      <c r="R4641" s="37" t="str">
        <f t="shared" si="502"/>
        <v/>
      </c>
      <c r="S4641" s="37" t="str">
        <f t="shared" si="503"/>
        <v/>
      </c>
      <c r="T4641" s="38" t="str">
        <f t="shared" si="504"/>
        <v/>
      </c>
      <c r="U4641" s="37" t="str">
        <f t="shared" si="505"/>
        <v/>
      </c>
    </row>
    <row r="4642" spans="2:21" ht="17.25">
      <c r="B4642" s="156"/>
      <c r="C4642" s="156"/>
      <c r="D4642" s="157"/>
      <c r="E4642" s="155"/>
      <c r="F4642" s="151"/>
      <c r="G4642" s="152"/>
      <c r="H4642" s="153"/>
      <c r="I4642" s="154"/>
      <c r="J4642" s="154"/>
      <c r="K4642" s="30" t="str">
        <f>IF(H4642="","",IF($C$30="간이법","",FPR(H4642,I4642,J4642)))</f>
        <v/>
      </c>
      <c r="L4642" s="30" t="str">
        <f>IF(H4642="","",IF($C$30="상세법",FPV(H4642,K4642),IF(H4642="EI",4,IF(H4642="EO",5.2,IF(H4642="EQ",3.9,IF(H4642="ILF",7.5,IF(H4642="EIF",5.4)))))))</f>
        <v/>
      </c>
      <c r="M4642" s="30" t="str">
        <f t="shared" si="499"/>
        <v/>
      </c>
      <c r="N4642" s="134"/>
      <c r="O4642" s="29"/>
      <c r="P4642" s="37" t="str">
        <f t="shared" si="500"/>
        <v/>
      </c>
      <c r="Q4642" s="38" t="str">
        <f t="shared" si="501"/>
        <v/>
      </c>
      <c r="R4642" s="37" t="str">
        <f t="shared" si="502"/>
        <v/>
      </c>
      <c r="S4642" s="37" t="str">
        <f t="shared" si="503"/>
        <v/>
      </c>
      <c r="T4642" s="38" t="str">
        <f t="shared" si="504"/>
        <v/>
      </c>
      <c r="U4642" s="37" t="str">
        <f t="shared" si="505"/>
        <v/>
      </c>
    </row>
    <row r="4643" spans="2:21" ht="17.25">
      <c r="B4643" s="156"/>
      <c r="C4643" s="156"/>
      <c r="D4643" s="157"/>
      <c r="E4643" s="155"/>
      <c r="F4643" s="151"/>
      <c r="G4643" s="152"/>
      <c r="H4643" s="153"/>
      <c r="I4643" s="154"/>
      <c r="J4643" s="154"/>
      <c r="K4643" s="30" t="str">
        <f>IF(H4643="","",IF($C$30="간이법","",FPR(H4643,I4643,J4643)))</f>
        <v/>
      </c>
      <c r="L4643" s="30" t="str">
        <f>IF(H4643="","",IF($C$30="상세법",FPV(H4643,K4643),IF(H4643="EI",4,IF(H4643="EO",5.2,IF(H4643="EQ",3.9,IF(H4643="ILF",7.5,IF(H4643="EIF",5.4)))))))</f>
        <v/>
      </c>
      <c r="M4643" s="30" t="str">
        <f t="shared" si="499"/>
        <v/>
      </c>
      <c r="N4643" s="134"/>
      <c r="O4643" s="29"/>
      <c r="P4643" s="37" t="str">
        <f t="shared" si="500"/>
        <v/>
      </c>
      <c r="Q4643" s="38" t="str">
        <f t="shared" si="501"/>
        <v/>
      </c>
      <c r="R4643" s="37" t="str">
        <f t="shared" si="502"/>
        <v/>
      </c>
      <c r="S4643" s="37" t="str">
        <f t="shared" si="503"/>
        <v/>
      </c>
      <c r="T4643" s="38" t="str">
        <f t="shared" si="504"/>
        <v/>
      </c>
      <c r="U4643" s="37" t="str">
        <f t="shared" si="505"/>
        <v/>
      </c>
    </row>
    <row r="4644" spans="2:21" ht="17.25">
      <c r="B4644" s="156"/>
      <c r="C4644" s="156"/>
      <c r="D4644" s="157"/>
      <c r="E4644" s="155"/>
      <c r="F4644" s="151"/>
      <c r="G4644" s="152"/>
      <c r="H4644" s="153"/>
      <c r="I4644" s="154"/>
      <c r="J4644" s="154"/>
      <c r="K4644" s="30" t="str">
        <f>IF(H4644="","",IF($C$30="간이법","",FPR(H4644,I4644,J4644)))</f>
        <v/>
      </c>
      <c r="L4644" s="30" t="str">
        <f>IF(H4644="","",IF($C$30="상세법",FPV(H4644,K4644),IF(H4644="EI",4,IF(H4644="EO",5.2,IF(H4644="EQ",3.9,IF(H4644="ILF",7.5,IF(H4644="EIF",5.4)))))))</f>
        <v/>
      </c>
      <c r="M4644" s="30" t="str">
        <f t="shared" si="499"/>
        <v/>
      </c>
      <c r="N4644" s="134"/>
      <c r="O4644" s="29"/>
      <c r="P4644" s="37" t="str">
        <f t="shared" si="500"/>
        <v/>
      </c>
      <c r="Q4644" s="38" t="str">
        <f t="shared" si="501"/>
        <v/>
      </c>
      <c r="R4644" s="37" t="str">
        <f t="shared" si="502"/>
        <v/>
      </c>
      <c r="S4644" s="37" t="str">
        <f t="shared" si="503"/>
        <v/>
      </c>
      <c r="T4644" s="38" t="str">
        <f t="shared" si="504"/>
        <v/>
      </c>
      <c r="U4644" s="37" t="str">
        <f t="shared" si="505"/>
        <v/>
      </c>
    </row>
    <row r="4645" spans="2:21" ht="17.25">
      <c r="B4645" s="156"/>
      <c r="C4645" s="156"/>
      <c r="D4645" s="157"/>
      <c r="E4645" s="155"/>
      <c r="F4645" s="151"/>
      <c r="G4645" s="152"/>
      <c r="H4645" s="153"/>
      <c r="I4645" s="154"/>
      <c r="J4645" s="154"/>
      <c r="K4645" s="30" t="str">
        <f>IF(H4645="","",IF($C$30="간이법","",FPR(H4645,I4645,J4645)))</f>
        <v/>
      </c>
      <c r="L4645" s="30" t="str">
        <f>IF(H4645="","",IF($C$30="상세법",FPV(H4645,K4645),IF(H4645="EI",4,IF(H4645="EO",5.2,IF(H4645="EQ",3.9,IF(H4645="ILF",7.5,IF(H4645="EIF",5.4)))))))</f>
        <v/>
      </c>
      <c r="M4645" s="30" t="str">
        <f t="shared" si="499"/>
        <v/>
      </c>
      <c r="N4645" s="134"/>
      <c r="O4645" s="29"/>
      <c r="P4645" s="37" t="str">
        <f t="shared" si="500"/>
        <v/>
      </c>
      <c r="Q4645" s="38" t="str">
        <f t="shared" si="501"/>
        <v/>
      </c>
      <c r="R4645" s="37" t="str">
        <f t="shared" si="502"/>
        <v/>
      </c>
      <c r="S4645" s="37" t="str">
        <f t="shared" si="503"/>
        <v/>
      </c>
      <c r="T4645" s="38" t="str">
        <f t="shared" si="504"/>
        <v/>
      </c>
      <c r="U4645" s="37" t="str">
        <f t="shared" si="505"/>
        <v/>
      </c>
    </row>
    <row r="4646" spans="2:21" ht="17.25">
      <c r="B4646" s="156"/>
      <c r="C4646" s="156"/>
      <c r="D4646" s="157"/>
      <c r="E4646" s="155"/>
      <c r="F4646" s="151"/>
      <c r="G4646" s="152"/>
      <c r="H4646" s="153"/>
      <c r="I4646" s="154"/>
      <c r="J4646" s="154"/>
      <c r="K4646" s="30" t="str">
        <f>IF(H4646="","",IF($C$30="간이법","",FPR(H4646,I4646,J4646)))</f>
        <v/>
      </c>
      <c r="L4646" s="30" t="str">
        <f>IF(H4646="","",IF($C$30="상세법",FPV(H4646,K4646),IF(H4646="EI",4,IF(H4646="EO",5.2,IF(H4646="EQ",3.9,IF(H4646="ILF",7.5,IF(H4646="EIF",5.4)))))))</f>
        <v/>
      </c>
      <c r="M4646" s="30" t="str">
        <f t="shared" si="499"/>
        <v/>
      </c>
      <c r="N4646" s="134"/>
      <c r="O4646" s="29"/>
      <c r="P4646" s="37" t="str">
        <f t="shared" si="500"/>
        <v/>
      </c>
      <c r="Q4646" s="38" t="str">
        <f t="shared" si="501"/>
        <v/>
      </c>
      <c r="R4646" s="37" t="str">
        <f t="shared" si="502"/>
        <v/>
      </c>
      <c r="S4646" s="37" t="str">
        <f t="shared" si="503"/>
        <v/>
      </c>
      <c r="T4646" s="38" t="str">
        <f t="shared" si="504"/>
        <v/>
      </c>
      <c r="U4646" s="37" t="str">
        <f t="shared" si="505"/>
        <v/>
      </c>
    </row>
    <row r="4647" spans="2:21" ht="17.25">
      <c r="B4647" s="156"/>
      <c r="C4647" s="156"/>
      <c r="D4647" s="157"/>
      <c r="E4647" s="155"/>
      <c r="F4647" s="151"/>
      <c r="G4647" s="152"/>
      <c r="H4647" s="153"/>
      <c r="I4647" s="154"/>
      <c r="J4647" s="154"/>
      <c r="K4647" s="30" t="str">
        <f>IF(H4647="","",IF($C$30="간이법","",FPR(H4647,I4647,J4647)))</f>
        <v/>
      </c>
      <c r="L4647" s="30" t="str">
        <f>IF(H4647="","",IF($C$30="상세법",FPV(H4647,K4647),IF(H4647="EI",4,IF(H4647="EO",5.2,IF(H4647="EQ",3.9,IF(H4647="ILF",7.5,IF(H4647="EIF",5.4)))))))</f>
        <v/>
      </c>
      <c r="M4647" s="30" t="str">
        <f t="shared" si="499"/>
        <v/>
      </c>
      <c r="N4647" s="134"/>
      <c r="O4647" s="29"/>
      <c r="P4647" s="37" t="str">
        <f t="shared" si="500"/>
        <v/>
      </c>
      <c r="Q4647" s="38" t="str">
        <f t="shared" si="501"/>
        <v/>
      </c>
      <c r="R4647" s="37" t="str">
        <f t="shared" si="502"/>
        <v/>
      </c>
      <c r="S4647" s="37" t="str">
        <f t="shared" si="503"/>
        <v/>
      </c>
      <c r="T4647" s="38" t="str">
        <f t="shared" si="504"/>
        <v/>
      </c>
      <c r="U4647" s="37" t="str">
        <f t="shared" si="505"/>
        <v/>
      </c>
    </row>
    <row r="4648" spans="2:21" ht="17.25">
      <c r="B4648" s="156"/>
      <c r="C4648" s="156"/>
      <c r="D4648" s="157"/>
      <c r="E4648" s="155"/>
      <c r="F4648" s="151"/>
      <c r="G4648" s="152"/>
      <c r="H4648" s="153"/>
      <c r="I4648" s="154"/>
      <c r="J4648" s="154"/>
      <c r="K4648" s="30" t="str">
        <f>IF(H4648="","",IF($C$30="간이법","",FPR(H4648,I4648,J4648)))</f>
        <v/>
      </c>
      <c r="L4648" s="30" t="str">
        <f>IF(H4648="","",IF($C$30="상세법",FPV(H4648,K4648),IF(H4648="EI",4,IF(H4648="EO",5.2,IF(H4648="EQ",3.9,IF(H4648="ILF",7.5,IF(H4648="EIF",5.4)))))))</f>
        <v/>
      </c>
      <c r="M4648" s="30" t="str">
        <f t="shared" si="499"/>
        <v/>
      </c>
      <c r="N4648" s="134"/>
      <c r="O4648" s="29"/>
      <c r="P4648" s="37" t="str">
        <f t="shared" si="500"/>
        <v/>
      </c>
      <c r="Q4648" s="38" t="str">
        <f t="shared" si="501"/>
        <v/>
      </c>
      <c r="R4648" s="37" t="str">
        <f t="shared" si="502"/>
        <v/>
      </c>
      <c r="S4648" s="37" t="str">
        <f t="shared" si="503"/>
        <v/>
      </c>
      <c r="T4648" s="38" t="str">
        <f t="shared" si="504"/>
        <v/>
      </c>
      <c r="U4648" s="37" t="str">
        <f t="shared" si="505"/>
        <v/>
      </c>
    </row>
    <row r="4649" spans="2:21" ht="17.25">
      <c r="B4649" s="156"/>
      <c r="C4649" s="156"/>
      <c r="D4649" s="157"/>
      <c r="E4649" s="155"/>
      <c r="F4649" s="151"/>
      <c r="G4649" s="152"/>
      <c r="H4649" s="153"/>
      <c r="I4649" s="154"/>
      <c r="J4649" s="154"/>
      <c r="K4649" s="30" t="str">
        <f>IF(H4649="","",IF($C$30="간이법","",FPR(H4649,I4649,J4649)))</f>
        <v/>
      </c>
      <c r="L4649" s="30" t="str">
        <f>IF(H4649="","",IF($C$30="상세법",FPV(H4649,K4649),IF(H4649="EI",4,IF(H4649="EO",5.2,IF(H4649="EQ",3.9,IF(H4649="ILF",7.5,IF(H4649="EIF",5.4)))))))</f>
        <v/>
      </c>
      <c r="M4649" s="30" t="str">
        <f t="shared" si="499"/>
        <v/>
      </c>
      <c r="N4649" s="134"/>
      <c r="O4649" s="29"/>
      <c r="P4649" s="37" t="str">
        <f t="shared" si="500"/>
        <v/>
      </c>
      <c r="Q4649" s="38" t="str">
        <f t="shared" si="501"/>
        <v/>
      </c>
      <c r="R4649" s="37" t="str">
        <f t="shared" si="502"/>
        <v/>
      </c>
      <c r="S4649" s="37" t="str">
        <f t="shared" si="503"/>
        <v/>
      </c>
      <c r="T4649" s="38" t="str">
        <f t="shared" si="504"/>
        <v/>
      </c>
      <c r="U4649" s="37" t="str">
        <f t="shared" si="505"/>
        <v/>
      </c>
    </row>
    <row r="4650" spans="2:21" ht="17.25">
      <c r="B4650" s="156"/>
      <c r="C4650" s="156"/>
      <c r="D4650" s="157"/>
      <c r="E4650" s="155"/>
      <c r="F4650" s="151"/>
      <c r="G4650" s="152"/>
      <c r="H4650" s="153"/>
      <c r="I4650" s="154"/>
      <c r="J4650" s="154"/>
      <c r="K4650" s="30" t="str">
        <f>IF(H4650="","",IF($C$30="간이법","",FPR(H4650,I4650,J4650)))</f>
        <v/>
      </c>
      <c r="L4650" s="30" t="str">
        <f>IF(H4650="","",IF($C$30="상세법",FPV(H4650,K4650),IF(H4650="EI",4,IF(H4650="EO",5.2,IF(H4650="EQ",3.9,IF(H4650="ILF",7.5,IF(H4650="EIF",5.4)))))))</f>
        <v/>
      </c>
      <c r="M4650" s="30" t="str">
        <f t="shared" si="499"/>
        <v/>
      </c>
      <c r="N4650" s="134"/>
      <c r="O4650" s="29"/>
      <c r="P4650" s="37" t="str">
        <f t="shared" si="500"/>
        <v/>
      </c>
      <c r="Q4650" s="38" t="str">
        <f t="shared" si="501"/>
        <v/>
      </c>
      <c r="R4650" s="37" t="str">
        <f t="shared" si="502"/>
        <v/>
      </c>
      <c r="S4650" s="37" t="str">
        <f t="shared" si="503"/>
        <v/>
      </c>
      <c r="T4650" s="38" t="str">
        <f t="shared" si="504"/>
        <v/>
      </c>
      <c r="U4650" s="37" t="str">
        <f t="shared" si="505"/>
        <v/>
      </c>
    </row>
    <row r="4651" spans="2:21" ht="17.25">
      <c r="B4651" s="156"/>
      <c r="C4651" s="156"/>
      <c r="D4651" s="157"/>
      <c r="E4651" s="155"/>
      <c r="F4651" s="151"/>
      <c r="G4651" s="152"/>
      <c r="H4651" s="153"/>
      <c r="I4651" s="154"/>
      <c r="J4651" s="154"/>
      <c r="K4651" s="30" t="str">
        <f>IF(H4651="","",IF($C$30="간이법","",FPR(H4651,I4651,J4651)))</f>
        <v/>
      </c>
      <c r="L4651" s="30" t="str">
        <f>IF(H4651="","",IF($C$30="상세법",FPV(H4651,K4651),IF(H4651="EI",4,IF(H4651="EO",5.2,IF(H4651="EQ",3.9,IF(H4651="ILF",7.5,IF(H4651="EIF",5.4)))))))</f>
        <v/>
      </c>
      <c r="M4651" s="30" t="str">
        <f t="shared" si="499"/>
        <v/>
      </c>
      <c r="N4651" s="134"/>
      <c r="O4651" s="29"/>
      <c r="P4651" s="37" t="str">
        <f t="shared" si="500"/>
        <v/>
      </c>
      <c r="Q4651" s="38" t="str">
        <f t="shared" si="501"/>
        <v/>
      </c>
      <c r="R4651" s="37" t="str">
        <f t="shared" si="502"/>
        <v/>
      </c>
      <c r="S4651" s="37" t="str">
        <f t="shared" si="503"/>
        <v/>
      </c>
      <c r="T4651" s="38" t="str">
        <f t="shared" si="504"/>
        <v/>
      </c>
      <c r="U4651" s="37" t="str">
        <f t="shared" si="505"/>
        <v/>
      </c>
    </row>
    <row r="4652" spans="2:21" ht="17.25">
      <c r="B4652" s="156"/>
      <c r="C4652" s="156"/>
      <c r="D4652" s="157"/>
      <c r="E4652" s="155"/>
      <c r="F4652" s="151"/>
      <c r="G4652" s="152"/>
      <c r="H4652" s="153"/>
      <c r="I4652" s="154"/>
      <c r="J4652" s="154"/>
      <c r="K4652" s="30" t="str">
        <f>IF(H4652="","",IF($C$30="간이법","",FPR(H4652,I4652,J4652)))</f>
        <v/>
      </c>
      <c r="L4652" s="30" t="str">
        <f>IF(H4652="","",IF($C$30="상세법",FPV(H4652,K4652),IF(H4652="EI",4,IF(H4652="EO",5.2,IF(H4652="EQ",3.9,IF(H4652="ILF",7.5,IF(H4652="EIF",5.4)))))))</f>
        <v/>
      </c>
      <c r="M4652" s="30" t="str">
        <f t="shared" si="499"/>
        <v/>
      </c>
      <c r="N4652" s="134"/>
      <c r="O4652" s="29"/>
      <c r="P4652" s="37" t="str">
        <f t="shared" si="500"/>
        <v/>
      </c>
      <c r="Q4652" s="38" t="str">
        <f t="shared" si="501"/>
        <v/>
      </c>
      <c r="R4652" s="37" t="str">
        <f t="shared" si="502"/>
        <v/>
      </c>
      <c r="S4652" s="37" t="str">
        <f t="shared" si="503"/>
        <v/>
      </c>
      <c r="T4652" s="38" t="str">
        <f t="shared" si="504"/>
        <v/>
      </c>
      <c r="U4652" s="37" t="str">
        <f t="shared" si="505"/>
        <v/>
      </c>
    </row>
    <row r="4653" spans="2:21" ht="17.25">
      <c r="B4653" s="156"/>
      <c r="C4653" s="156"/>
      <c r="D4653" s="157"/>
      <c r="E4653" s="155"/>
      <c r="F4653" s="151"/>
      <c r="G4653" s="152"/>
      <c r="H4653" s="153"/>
      <c r="I4653" s="154"/>
      <c r="J4653" s="154"/>
      <c r="K4653" s="30" t="str">
        <f>IF(H4653="","",IF($C$30="간이법","",FPR(H4653,I4653,J4653)))</f>
        <v/>
      </c>
      <c r="L4653" s="30" t="str">
        <f>IF(H4653="","",IF($C$30="상세법",FPV(H4653,K4653),IF(H4653="EI",4,IF(H4653="EO",5.2,IF(H4653="EQ",3.9,IF(H4653="ILF",7.5,IF(H4653="EIF",5.4)))))))</f>
        <v/>
      </c>
      <c r="M4653" s="30" t="str">
        <f t="shared" si="499"/>
        <v/>
      </c>
      <c r="N4653" s="134"/>
      <c r="O4653" s="29"/>
      <c r="P4653" s="37" t="str">
        <f t="shared" si="500"/>
        <v/>
      </c>
      <c r="Q4653" s="38" t="str">
        <f t="shared" si="501"/>
        <v/>
      </c>
      <c r="R4653" s="37" t="str">
        <f t="shared" si="502"/>
        <v/>
      </c>
      <c r="S4653" s="37" t="str">
        <f t="shared" si="503"/>
        <v/>
      </c>
      <c r="T4653" s="38" t="str">
        <f t="shared" si="504"/>
        <v/>
      </c>
      <c r="U4653" s="37" t="str">
        <f t="shared" si="505"/>
        <v/>
      </c>
    </row>
    <row r="4654" spans="2:21" ht="17.25">
      <c r="B4654" s="156"/>
      <c r="C4654" s="156"/>
      <c r="D4654" s="157"/>
      <c r="E4654" s="155"/>
      <c r="F4654" s="151"/>
      <c r="G4654" s="152"/>
      <c r="H4654" s="153"/>
      <c r="I4654" s="154"/>
      <c r="J4654" s="154"/>
      <c r="K4654" s="30" t="str">
        <f>IF(H4654="","",IF($C$30="간이법","",FPR(H4654,I4654,J4654)))</f>
        <v/>
      </c>
      <c r="L4654" s="30" t="str">
        <f>IF(H4654="","",IF($C$30="상세법",FPV(H4654,K4654),IF(H4654="EI",4,IF(H4654="EO",5.2,IF(H4654="EQ",3.9,IF(H4654="ILF",7.5,IF(H4654="EIF",5.4)))))))</f>
        <v/>
      </c>
      <c r="M4654" s="30" t="str">
        <f t="shared" si="499"/>
        <v/>
      </c>
      <c r="N4654" s="134"/>
      <c r="O4654" s="29"/>
      <c r="P4654" s="37" t="str">
        <f t="shared" si="500"/>
        <v/>
      </c>
      <c r="Q4654" s="38" t="str">
        <f t="shared" si="501"/>
        <v/>
      </c>
      <c r="R4654" s="37" t="str">
        <f t="shared" si="502"/>
        <v/>
      </c>
      <c r="S4654" s="37" t="str">
        <f t="shared" si="503"/>
        <v/>
      </c>
      <c r="T4654" s="38" t="str">
        <f t="shared" si="504"/>
        <v/>
      </c>
      <c r="U4654" s="37" t="str">
        <f t="shared" si="505"/>
        <v/>
      </c>
    </row>
    <row r="4655" spans="2:21" ht="17.25">
      <c r="B4655" s="156"/>
      <c r="C4655" s="156"/>
      <c r="D4655" s="157"/>
      <c r="E4655" s="155"/>
      <c r="F4655" s="151"/>
      <c r="G4655" s="152"/>
      <c r="H4655" s="153"/>
      <c r="I4655" s="154"/>
      <c r="J4655" s="154"/>
      <c r="K4655" s="30" t="str">
        <f>IF(H4655="","",IF($C$30="간이법","",FPR(H4655,I4655,J4655)))</f>
        <v/>
      </c>
      <c r="L4655" s="30" t="str">
        <f>IF(H4655="","",IF($C$30="상세법",FPV(H4655,K4655),IF(H4655="EI",4,IF(H4655="EO",5.2,IF(H4655="EQ",3.9,IF(H4655="ILF",7.5,IF(H4655="EIF",5.4)))))))</f>
        <v/>
      </c>
      <c r="M4655" s="30" t="str">
        <f t="shared" si="499"/>
        <v/>
      </c>
      <c r="N4655" s="134"/>
      <c r="O4655" s="29"/>
      <c r="P4655" s="37" t="str">
        <f t="shared" si="500"/>
        <v/>
      </c>
      <c r="Q4655" s="38" t="str">
        <f t="shared" si="501"/>
        <v/>
      </c>
      <c r="R4655" s="37" t="str">
        <f t="shared" si="502"/>
        <v/>
      </c>
      <c r="S4655" s="37" t="str">
        <f t="shared" si="503"/>
        <v/>
      </c>
      <c r="T4655" s="38" t="str">
        <f t="shared" si="504"/>
        <v/>
      </c>
      <c r="U4655" s="37" t="str">
        <f t="shared" si="505"/>
        <v/>
      </c>
    </row>
    <row r="4656" spans="2:21" ht="17.25">
      <c r="B4656" s="156"/>
      <c r="C4656" s="156"/>
      <c r="D4656" s="157"/>
      <c r="E4656" s="155"/>
      <c r="F4656" s="151"/>
      <c r="G4656" s="152"/>
      <c r="H4656" s="153"/>
      <c r="I4656" s="154"/>
      <c r="J4656" s="154"/>
      <c r="K4656" s="30" t="str">
        <f>IF(H4656="","",IF($C$30="간이법","",FPR(H4656,I4656,J4656)))</f>
        <v/>
      </c>
      <c r="L4656" s="30" t="str">
        <f>IF(H4656="","",IF($C$30="상세법",FPV(H4656,K4656),IF(H4656="EI",4,IF(H4656="EO",5.2,IF(H4656="EQ",3.9,IF(H4656="ILF",7.5,IF(H4656="EIF",5.4)))))))</f>
        <v/>
      </c>
      <c r="M4656" s="30" t="str">
        <f t="shared" si="499"/>
        <v/>
      </c>
      <c r="N4656" s="134"/>
      <c r="O4656" s="29"/>
      <c r="P4656" s="37" t="str">
        <f t="shared" si="500"/>
        <v/>
      </c>
      <c r="Q4656" s="38" t="str">
        <f t="shared" si="501"/>
        <v/>
      </c>
      <c r="R4656" s="37" t="str">
        <f t="shared" si="502"/>
        <v/>
      </c>
      <c r="S4656" s="37" t="str">
        <f t="shared" si="503"/>
        <v/>
      </c>
      <c r="T4656" s="38" t="str">
        <f t="shared" si="504"/>
        <v/>
      </c>
      <c r="U4656" s="37" t="str">
        <f t="shared" si="505"/>
        <v/>
      </c>
    </row>
    <row r="4657" spans="2:21" ht="17.25">
      <c r="B4657" s="156"/>
      <c r="C4657" s="156"/>
      <c r="D4657" s="157"/>
      <c r="E4657" s="155"/>
      <c r="F4657" s="151"/>
      <c r="G4657" s="152"/>
      <c r="H4657" s="153"/>
      <c r="I4657" s="154"/>
      <c r="J4657" s="154"/>
      <c r="K4657" s="30" t="str">
        <f>IF(H4657="","",IF($C$30="간이법","",FPR(H4657,I4657,J4657)))</f>
        <v/>
      </c>
      <c r="L4657" s="30" t="str">
        <f>IF(H4657="","",IF($C$30="상세법",FPV(H4657,K4657),IF(H4657="EI",4,IF(H4657="EO",5.2,IF(H4657="EQ",3.9,IF(H4657="ILF",7.5,IF(H4657="EIF",5.4)))))))</f>
        <v/>
      </c>
      <c r="M4657" s="30" t="str">
        <f t="shared" si="499"/>
        <v/>
      </c>
      <c r="N4657" s="134"/>
      <c r="O4657" s="29"/>
      <c r="P4657" s="37" t="str">
        <f t="shared" si="500"/>
        <v/>
      </c>
      <c r="Q4657" s="38" t="str">
        <f t="shared" si="501"/>
        <v/>
      </c>
      <c r="R4657" s="37" t="str">
        <f t="shared" si="502"/>
        <v/>
      </c>
      <c r="S4657" s="37" t="str">
        <f t="shared" si="503"/>
        <v/>
      </c>
      <c r="T4657" s="38" t="str">
        <f t="shared" si="504"/>
        <v/>
      </c>
      <c r="U4657" s="37" t="str">
        <f t="shared" si="505"/>
        <v/>
      </c>
    </row>
    <row r="4658" spans="2:21" ht="17.25">
      <c r="B4658" s="156"/>
      <c r="C4658" s="156"/>
      <c r="D4658" s="157"/>
      <c r="E4658" s="155"/>
      <c r="F4658" s="151"/>
      <c r="G4658" s="152"/>
      <c r="H4658" s="153"/>
      <c r="I4658" s="154"/>
      <c r="J4658" s="154"/>
      <c r="K4658" s="30" t="str">
        <f>IF(H4658="","",IF($C$30="간이법","",FPR(H4658,I4658,J4658)))</f>
        <v/>
      </c>
      <c r="L4658" s="30" t="str">
        <f>IF(H4658="","",IF($C$30="상세법",FPV(H4658,K4658),IF(H4658="EI",4,IF(H4658="EO",5.2,IF(H4658="EQ",3.9,IF(H4658="ILF",7.5,IF(H4658="EIF",5.4)))))))</f>
        <v/>
      </c>
      <c r="M4658" s="30" t="str">
        <f t="shared" si="499"/>
        <v/>
      </c>
      <c r="N4658" s="134"/>
      <c r="O4658" s="29"/>
      <c r="P4658" s="37" t="str">
        <f t="shared" si="500"/>
        <v/>
      </c>
      <c r="Q4658" s="38" t="str">
        <f t="shared" si="501"/>
        <v/>
      </c>
      <c r="R4658" s="37" t="str">
        <f t="shared" si="502"/>
        <v/>
      </c>
      <c r="S4658" s="37" t="str">
        <f t="shared" si="503"/>
        <v/>
      </c>
      <c r="T4658" s="38" t="str">
        <f t="shared" si="504"/>
        <v/>
      </c>
      <c r="U4658" s="37" t="str">
        <f t="shared" si="505"/>
        <v/>
      </c>
    </row>
    <row r="4659" spans="2:21" ht="17.25">
      <c r="B4659" s="156"/>
      <c r="C4659" s="156"/>
      <c r="D4659" s="157"/>
      <c r="E4659" s="155"/>
      <c r="F4659" s="151"/>
      <c r="G4659" s="152"/>
      <c r="H4659" s="153"/>
      <c r="I4659" s="154"/>
      <c r="J4659" s="154"/>
      <c r="K4659" s="30" t="str">
        <f>IF(H4659="","",IF($C$30="간이법","",FPR(H4659,I4659,J4659)))</f>
        <v/>
      </c>
      <c r="L4659" s="30" t="str">
        <f>IF(H4659="","",IF($C$30="상세법",FPV(H4659,K4659),IF(H4659="EI",4,IF(H4659="EO",5.2,IF(H4659="EQ",3.9,IF(H4659="ILF",7.5,IF(H4659="EIF",5.4)))))))</f>
        <v/>
      </c>
      <c r="M4659" s="30" t="str">
        <f t="shared" si="499"/>
        <v/>
      </c>
      <c r="N4659" s="134"/>
      <c r="O4659" s="29"/>
      <c r="P4659" s="37" t="str">
        <f t="shared" si="500"/>
        <v/>
      </c>
      <c r="Q4659" s="38" t="str">
        <f t="shared" si="501"/>
        <v/>
      </c>
      <c r="R4659" s="37" t="str">
        <f t="shared" si="502"/>
        <v/>
      </c>
      <c r="S4659" s="37" t="str">
        <f t="shared" si="503"/>
        <v/>
      </c>
      <c r="T4659" s="38" t="str">
        <f t="shared" si="504"/>
        <v/>
      </c>
      <c r="U4659" s="37" t="str">
        <f t="shared" si="505"/>
        <v/>
      </c>
    </row>
    <row r="4660" spans="2:21" ht="17.25">
      <c r="B4660" s="156"/>
      <c r="C4660" s="156"/>
      <c r="D4660" s="157"/>
      <c r="E4660" s="155"/>
      <c r="F4660" s="151"/>
      <c r="G4660" s="152"/>
      <c r="H4660" s="153"/>
      <c r="I4660" s="154"/>
      <c r="J4660" s="154"/>
      <c r="K4660" s="30" t="str">
        <f>IF(H4660="","",IF($C$30="간이법","",FPR(H4660,I4660,J4660)))</f>
        <v/>
      </c>
      <c r="L4660" s="30" t="str">
        <f>IF(H4660="","",IF($C$30="상세법",FPV(H4660,K4660),IF(H4660="EI",4,IF(H4660="EO",5.2,IF(H4660="EQ",3.9,IF(H4660="ILF",7.5,IF(H4660="EIF",5.4)))))))</f>
        <v/>
      </c>
      <c r="M4660" s="30" t="str">
        <f t="shared" si="499"/>
        <v/>
      </c>
      <c r="N4660" s="134"/>
      <c r="O4660" s="29"/>
      <c r="P4660" s="37" t="str">
        <f t="shared" si="500"/>
        <v/>
      </c>
      <c r="Q4660" s="38" t="str">
        <f t="shared" si="501"/>
        <v/>
      </c>
      <c r="R4660" s="37" t="str">
        <f t="shared" si="502"/>
        <v/>
      </c>
      <c r="S4660" s="37" t="str">
        <f t="shared" si="503"/>
        <v/>
      </c>
      <c r="T4660" s="38" t="str">
        <f t="shared" si="504"/>
        <v/>
      </c>
      <c r="U4660" s="37" t="str">
        <f t="shared" si="505"/>
        <v/>
      </c>
    </row>
    <row r="4661" spans="2:21" ht="17.25">
      <c r="B4661" s="156"/>
      <c r="C4661" s="156"/>
      <c r="D4661" s="157"/>
      <c r="E4661" s="155"/>
      <c r="F4661" s="151"/>
      <c r="G4661" s="152"/>
      <c r="H4661" s="153"/>
      <c r="I4661" s="154"/>
      <c r="J4661" s="154"/>
      <c r="K4661" s="30" t="str">
        <f>IF(H4661="","",IF($C$30="간이법","",FPR(H4661,I4661,J4661)))</f>
        <v/>
      </c>
      <c r="L4661" s="30" t="str">
        <f>IF(H4661="","",IF($C$30="상세법",FPV(H4661,K4661),IF(H4661="EI",4,IF(H4661="EO",5.2,IF(H4661="EQ",3.9,IF(H4661="ILF",7.5,IF(H4661="EIF",5.4)))))))</f>
        <v/>
      </c>
      <c r="M4661" s="30" t="str">
        <f t="shared" si="499"/>
        <v/>
      </c>
      <c r="N4661" s="134"/>
      <c r="O4661" s="29"/>
      <c r="P4661" s="37" t="str">
        <f t="shared" si="500"/>
        <v/>
      </c>
      <c r="Q4661" s="38" t="str">
        <f t="shared" si="501"/>
        <v/>
      </c>
      <c r="R4661" s="37" t="str">
        <f t="shared" si="502"/>
        <v/>
      </c>
      <c r="S4661" s="37" t="str">
        <f t="shared" si="503"/>
        <v/>
      </c>
      <c r="T4661" s="38" t="str">
        <f t="shared" si="504"/>
        <v/>
      </c>
      <c r="U4661" s="37" t="str">
        <f t="shared" si="505"/>
        <v/>
      </c>
    </row>
    <row r="4662" spans="2:21" ht="17.25">
      <c r="B4662" s="156"/>
      <c r="C4662" s="156"/>
      <c r="D4662" s="157"/>
      <c r="E4662" s="155"/>
      <c r="F4662" s="151"/>
      <c r="G4662" s="152"/>
      <c r="H4662" s="153"/>
      <c r="I4662" s="154"/>
      <c r="J4662" s="154"/>
      <c r="K4662" s="30" t="str">
        <f>IF(H4662="","",IF($C$30="간이법","",FPR(H4662,I4662,J4662)))</f>
        <v/>
      </c>
      <c r="L4662" s="30" t="str">
        <f>IF(H4662="","",IF($C$30="상세법",FPV(H4662,K4662),IF(H4662="EI",4,IF(H4662="EO",5.2,IF(H4662="EQ",3.9,IF(H4662="ILF",7.5,IF(H4662="EIF",5.4)))))))</f>
        <v/>
      </c>
      <c r="M4662" s="30" t="str">
        <f t="shared" si="499"/>
        <v/>
      </c>
      <c r="N4662" s="134"/>
      <c r="O4662" s="29"/>
      <c r="P4662" s="37" t="str">
        <f t="shared" si="500"/>
        <v/>
      </c>
      <c r="Q4662" s="38" t="str">
        <f t="shared" si="501"/>
        <v/>
      </c>
      <c r="R4662" s="37" t="str">
        <f t="shared" si="502"/>
        <v/>
      </c>
      <c r="S4662" s="37" t="str">
        <f t="shared" si="503"/>
        <v/>
      </c>
      <c r="T4662" s="38" t="str">
        <f t="shared" si="504"/>
        <v/>
      </c>
      <c r="U4662" s="37" t="str">
        <f t="shared" si="505"/>
        <v/>
      </c>
    </row>
    <row r="4663" spans="2:21" ht="17.25">
      <c r="B4663" s="156"/>
      <c r="C4663" s="156"/>
      <c r="D4663" s="157"/>
      <c r="E4663" s="155"/>
      <c r="F4663" s="151"/>
      <c r="G4663" s="152"/>
      <c r="H4663" s="153"/>
      <c r="I4663" s="154"/>
      <c r="J4663" s="154"/>
      <c r="K4663" s="30" t="str">
        <f>IF(H4663="","",IF($C$30="간이법","",FPR(H4663,I4663,J4663)))</f>
        <v/>
      </c>
      <c r="L4663" s="30" t="str">
        <f>IF(H4663="","",IF($C$30="상세법",FPV(H4663,K4663),IF(H4663="EI",4,IF(H4663="EO",5.2,IF(H4663="EQ",3.9,IF(H4663="ILF",7.5,IF(H4663="EIF",5.4)))))))</f>
        <v/>
      </c>
      <c r="M4663" s="30" t="str">
        <f t="shared" si="499"/>
        <v/>
      </c>
      <c r="N4663" s="134"/>
      <c r="O4663" s="29"/>
      <c r="P4663" s="37" t="str">
        <f t="shared" si="500"/>
        <v/>
      </c>
      <c r="Q4663" s="38" t="str">
        <f t="shared" si="501"/>
        <v/>
      </c>
      <c r="R4663" s="37" t="str">
        <f t="shared" si="502"/>
        <v/>
      </c>
      <c r="S4663" s="37" t="str">
        <f t="shared" si="503"/>
        <v/>
      </c>
      <c r="T4663" s="38" t="str">
        <f t="shared" si="504"/>
        <v/>
      </c>
      <c r="U4663" s="37" t="str">
        <f t="shared" si="505"/>
        <v/>
      </c>
    </row>
    <row r="4664" spans="2:21" ht="17.25">
      <c r="B4664" s="156"/>
      <c r="C4664" s="156"/>
      <c r="D4664" s="157"/>
      <c r="E4664" s="155"/>
      <c r="F4664" s="151"/>
      <c r="G4664" s="152"/>
      <c r="H4664" s="153"/>
      <c r="I4664" s="154"/>
      <c r="J4664" s="154"/>
      <c r="K4664" s="30" t="str">
        <f>IF(H4664="","",IF($C$30="간이법","",FPR(H4664,I4664,J4664)))</f>
        <v/>
      </c>
      <c r="L4664" s="30" t="str">
        <f>IF(H4664="","",IF($C$30="상세법",FPV(H4664,K4664),IF(H4664="EI",4,IF(H4664="EO",5.2,IF(H4664="EQ",3.9,IF(H4664="ILF",7.5,IF(H4664="EIF",5.4)))))))</f>
        <v/>
      </c>
      <c r="M4664" s="30" t="str">
        <f t="shared" si="499"/>
        <v/>
      </c>
      <c r="N4664" s="134"/>
      <c r="O4664" s="29"/>
      <c r="P4664" s="37" t="str">
        <f t="shared" si="500"/>
        <v/>
      </c>
      <c r="Q4664" s="38" t="str">
        <f t="shared" si="501"/>
        <v/>
      </c>
      <c r="R4664" s="37" t="str">
        <f t="shared" si="502"/>
        <v/>
      </c>
      <c r="S4664" s="37" t="str">
        <f t="shared" si="503"/>
        <v/>
      </c>
      <c r="T4664" s="38" t="str">
        <f t="shared" si="504"/>
        <v/>
      </c>
      <c r="U4664" s="37" t="str">
        <f t="shared" si="505"/>
        <v/>
      </c>
    </row>
    <row r="4665" spans="2:21" ht="17.25">
      <c r="B4665" s="156"/>
      <c r="C4665" s="156"/>
      <c r="D4665" s="157"/>
      <c r="E4665" s="155"/>
      <c r="F4665" s="151"/>
      <c r="G4665" s="152"/>
      <c r="H4665" s="153"/>
      <c r="I4665" s="154"/>
      <c r="J4665" s="154"/>
      <c r="K4665" s="30" t="str">
        <f>IF(H4665="","",IF($C$30="간이법","",FPR(H4665,I4665,J4665)))</f>
        <v/>
      </c>
      <c r="L4665" s="30" t="str">
        <f>IF(H4665="","",IF($C$30="상세법",FPV(H4665,K4665),IF(H4665="EI",4,IF(H4665="EO",5.2,IF(H4665="EQ",3.9,IF(H4665="ILF",7.5,IF(H4665="EIF",5.4)))))))</f>
        <v/>
      </c>
      <c r="M4665" s="30" t="str">
        <f t="shared" si="499"/>
        <v/>
      </c>
      <c r="N4665" s="134"/>
      <c r="O4665" s="29"/>
      <c r="P4665" s="37" t="str">
        <f t="shared" si="500"/>
        <v/>
      </c>
      <c r="Q4665" s="38" t="str">
        <f t="shared" si="501"/>
        <v/>
      </c>
      <c r="R4665" s="37" t="str">
        <f t="shared" si="502"/>
        <v/>
      </c>
      <c r="S4665" s="37" t="str">
        <f t="shared" si="503"/>
        <v/>
      </c>
      <c r="T4665" s="38" t="str">
        <f t="shared" si="504"/>
        <v/>
      </c>
      <c r="U4665" s="37" t="str">
        <f t="shared" si="505"/>
        <v/>
      </c>
    </row>
    <row r="4666" spans="2:21" ht="17.25">
      <c r="B4666" s="156"/>
      <c r="C4666" s="156"/>
      <c r="D4666" s="157"/>
      <c r="E4666" s="155"/>
      <c r="F4666" s="151"/>
      <c r="G4666" s="152"/>
      <c r="H4666" s="153"/>
      <c r="I4666" s="154"/>
      <c r="J4666" s="154"/>
      <c r="K4666" s="30" t="str">
        <f>IF(H4666="","",IF($C$30="간이법","",FPR(H4666,I4666,J4666)))</f>
        <v/>
      </c>
      <c r="L4666" s="30" t="str">
        <f>IF(H4666="","",IF($C$30="상세법",FPV(H4666,K4666),IF(H4666="EI",4,IF(H4666="EO",5.2,IF(H4666="EQ",3.9,IF(H4666="ILF",7.5,IF(H4666="EIF",5.4)))))))</f>
        <v/>
      </c>
      <c r="M4666" s="30" t="str">
        <f t="shared" si="499"/>
        <v/>
      </c>
      <c r="N4666" s="134"/>
      <c r="O4666" s="29"/>
      <c r="P4666" s="37" t="str">
        <f t="shared" si="500"/>
        <v/>
      </c>
      <c r="Q4666" s="38" t="str">
        <f t="shared" si="501"/>
        <v/>
      </c>
      <c r="R4666" s="37" t="str">
        <f t="shared" si="502"/>
        <v/>
      </c>
      <c r="S4666" s="37" t="str">
        <f t="shared" si="503"/>
        <v/>
      </c>
      <c r="T4666" s="38" t="str">
        <f t="shared" si="504"/>
        <v/>
      </c>
      <c r="U4666" s="37" t="str">
        <f t="shared" si="505"/>
        <v/>
      </c>
    </row>
    <row r="4667" spans="2:21" ht="17.25">
      <c r="B4667" s="156"/>
      <c r="C4667" s="156"/>
      <c r="D4667" s="157"/>
      <c r="E4667" s="155"/>
      <c r="F4667" s="151"/>
      <c r="G4667" s="152"/>
      <c r="H4667" s="153"/>
      <c r="I4667" s="154"/>
      <c r="J4667" s="154"/>
      <c r="K4667" s="30" t="str">
        <f>IF(H4667="","",IF($C$30="간이법","",FPR(H4667,I4667,J4667)))</f>
        <v/>
      </c>
      <c r="L4667" s="30" t="str">
        <f>IF(H4667="","",IF($C$30="상세법",FPV(H4667,K4667),IF(H4667="EI",4,IF(H4667="EO",5.2,IF(H4667="EQ",3.9,IF(H4667="ILF",7.5,IF(H4667="EIF",5.4)))))))</f>
        <v/>
      </c>
      <c r="M4667" s="30" t="str">
        <f t="shared" si="499"/>
        <v/>
      </c>
      <c r="N4667" s="134"/>
      <c r="O4667" s="29"/>
      <c r="P4667" s="37" t="str">
        <f t="shared" si="500"/>
        <v/>
      </c>
      <c r="Q4667" s="38" t="str">
        <f t="shared" si="501"/>
        <v/>
      </c>
      <c r="R4667" s="37" t="str">
        <f t="shared" si="502"/>
        <v/>
      </c>
      <c r="S4667" s="37" t="str">
        <f t="shared" si="503"/>
        <v/>
      </c>
      <c r="T4667" s="38" t="str">
        <f t="shared" si="504"/>
        <v/>
      </c>
      <c r="U4667" s="37" t="str">
        <f t="shared" si="505"/>
        <v/>
      </c>
    </row>
    <row r="4668" spans="2:21" ht="17.25">
      <c r="B4668" s="156"/>
      <c r="C4668" s="156"/>
      <c r="D4668" s="157"/>
      <c r="E4668" s="155"/>
      <c r="F4668" s="151"/>
      <c r="G4668" s="152"/>
      <c r="H4668" s="153"/>
      <c r="I4668" s="154"/>
      <c r="J4668" s="154"/>
      <c r="K4668" s="30" t="str">
        <f>IF(H4668="","",IF($C$30="간이법","",FPR(H4668,I4668,J4668)))</f>
        <v/>
      </c>
      <c r="L4668" s="30" t="str">
        <f>IF(H4668="","",IF($C$30="상세법",FPV(H4668,K4668),IF(H4668="EI",4,IF(H4668="EO",5.2,IF(H4668="EQ",3.9,IF(H4668="ILF",7.5,IF(H4668="EIF",5.4)))))))</f>
        <v/>
      </c>
      <c r="M4668" s="30" t="str">
        <f t="shared" ref="M4668:M4731" si="506">IF(OR(G4668="",$E$36="(선택)",$E$40="(선택)",$E$41="(선택)",F4668="신규 개발",F4668="수정 없이 재사용"),"",(IF(F4668="수정 후 재사용",IF($E$50&lt;=0.5,L4668*($E$36+$E$50*100*(1+0.02*($E$40*$E$41)))/100,L4668*($E$36+$E$50*100+($E$40*$E$41))/100))))</f>
        <v/>
      </c>
      <c r="N4668" s="134"/>
      <c r="O4668" s="29"/>
      <c r="P4668" s="37" t="str">
        <f t="shared" ref="P4668:P4731" si="507">IF(F4668="수정 후 재사용",IF(H4668="ILF",G4668,IF(H4668="EIF",G4668,"")),"")</f>
        <v/>
      </c>
      <c r="Q4668" s="38" t="str">
        <f t="shared" ref="Q4668:Q4731" si="508">IF(P4668&lt;&gt;"",IF(H4668="ILF", L4668/$E$46,IF(H4668="EIF", L4668/$E$46,"")),"")</f>
        <v/>
      </c>
      <c r="R4668" s="37" t="str">
        <f t="shared" ref="R4668:R4731" si="509">IF(P4668&lt;&gt;"",P4668*Q4668,"")</f>
        <v/>
      </c>
      <c r="S4668" s="37" t="str">
        <f t="shared" ref="S4668:S4731" si="510">IF(F4668="수정 후 재사용",IF(H4668="EI",G4668,IF(H4668="EO",G4668,IF(H4668="EQ",G4668,""))),"")</f>
        <v/>
      </c>
      <c r="T4668" s="38" t="str">
        <f t="shared" ref="T4668:T4731" si="511">IF(S4668&lt;&gt;"",IF(H4668="EI",L4668/$E$47,IF(H4668="EO",L4668/$E$47,IF(H4668="EQ",L4668/$E$47,""))),"")</f>
        <v/>
      </c>
      <c r="U4668" s="37" t="str">
        <f t="shared" ref="U4668:U4731" si="512">IF(S4668&lt;&gt;"",S4668*T4668,"")</f>
        <v/>
      </c>
    </row>
    <row r="4669" spans="2:21" ht="17.25">
      <c r="B4669" s="156"/>
      <c r="C4669" s="156"/>
      <c r="D4669" s="157"/>
      <c r="E4669" s="155"/>
      <c r="F4669" s="151"/>
      <c r="G4669" s="152"/>
      <c r="H4669" s="153"/>
      <c r="I4669" s="154"/>
      <c r="J4669" s="154"/>
      <c r="K4669" s="30" t="str">
        <f>IF(H4669="","",IF($C$30="간이법","",FPR(H4669,I4669,J4669)))</f>
        <v/>
      </c>
      <c r="L4669" s="30" t="str">
        <f>IF(H4669="","",IF($C$30="상세법",FPV(H4669,K4669),IF(H4669="EI",4,IF(H4669="EO",5.2,IF(H4669="EQ",3.9,IF(H4669="ILF",7.5,IF(H4669="EIF",5.4)))))))</f>
        <v/>
      </c>
      <c r="M4669" s="30" t="str">
        <f t="shared" si="506"/>
        <v/>
      </c>
      <c r="N4669" s="134"/>
      <c r="O4669" s="29"/>
      <c r="P4669" s="37" t="str">
        <f t="shared" si="507"/>
        <v/>
      </c>
      <c r="Q4669" s="38" t="str">
        <f t="shared" si="508"/>
        <v/>
      </c>
      <c r="R4669" s="37" t="str">
        <f t="shared" si="509"/>
        <v/>
      </c>
      <c r="S4669" s="37" t="str">
        <f t="shared" si="510"/>
        <v/>
      </c>
      <c r="T4669" s="38" t="str">
        <f t="shared" si="511"/>
        <v/>
      </c>
      <c r="U4669" s="37" t="str">
        <f t="shared" si="512"/>
        <v/>
      </c>
    </row>
    <row r="4670" spans="2:21" ht="17.25">
      <c r="B4670" s="156"/>
      <c r="C4670" s="156"/>
      <c r="D4670" s="157"/>
      <c r="E4670" s="155"/>
      <c r="F4670" s="151"/>
      <c r="G4670" s="152"/>
      <c r="H4670" s="153"/>
      <c r="I4670" s="154"/>
      <c r="J4670" s="154"/>
      <c r="K4670" s="30" t="str">
        <f>IF(H4670="","",IF($C$30="간이법","",FPR(H4670,I4670,J4670)))</f>
        <v/>
      </c>
      <c r="L4670" s="30" t="str">
        <f>IF(H4670="","",IF($C$30="상세법",FPV(H4670,K4670),IF(H4670="EI",4,IF(H4670="EO",5.2,IF(H4670="EQ",3.9,IF(H4670="ILF",7.5,IF(H4670="EIF",5.4)))))))</f>
        <v/>
      </c>
      <c r="M4670" s="30" t="str">
        <f t="shared" si="506"/>
        <v/>
      </c>
      <c r="N4670" s="134"/>
      <c r="O4670" s="29"/>
      <c r="P4670" s="37" t="str">
        <f t="shared" si="507"/>
        <v/>
      </c>
      <c r="Q4670" s="38" t="str">
        <f t="shared" si="508"/>
        <v/>
      </c>
      <c r="R4670" s="37" t="str">
        <f t="shared" si="509"/>
        <v/>
      </c>
      <c r="S4670" s="37" t="str">
        <f t="shared" si="510"/>
        <v/>
      </c>
      <c r="T4670" s="38" t="str">
        <f t="shared" si="511"/>
        <v/>
      </c>
      <c r="U4670" s="37" t="str">
        <f t="shared" si="512"/>
        <v/>
      </c>
    </row>
    <row r="4671" spans="2:21" ht="17.25">
      <c r="B4671" s="156"/>
      <c r="C4671" s="156"/>
      <c r="D4671" s="157"/>
      <c r="E4671" s="155"/>
      <c r="F4671" s="151"/>
      <c r="G4671" s="152"/>
      <c r="H4671" s="153"/>
      <c r="I4671" s="154"/>
      <c r="J4671" s="154"/>
      <c r="K4671" s="30" t="str">
        <f>IF(H4671="","",IF($C$30="간이법","",FPR(H4671,I4671,J4671)))</f>
        <v/>
      </c>
      <c r="L4671" s="30" t="str">
        <f>IF(H4671="","",IF($C$30="상세법",FPV(H4671,K4671),IF(H4671="EI",4,IF(H4671="EO",5.2,IF(H4671="EQ",3.9,IF(H4671="ILF",7.5,IF(H4671="EIF",5.4)))))))</f>
        <v/>
      </c>
      <c r="M4671" s="30" t="str">
        <f t="shared" si="506"/>
        <v/>
      </c>
      <c r="N4671" s="134"/>
      <c r="O4671" s="29"/>
      <c r="P4671" s="37" t="str">
        <f t="shared" si="507"/>
        <v/>
      </c>
      <c r="Q4671" s="38" t="str">
        <f t="shared" si="508"/>
        <v/>
      </c>
      <c r="R4671" s="37" t="str">
        <f t="shared" si="509"/>
        <v/>
      </c>
      <c r="S4671" s="37" t="str">
        <f t="shared" si="510"/>
        <v/>
      </c>
      <c r="T4671" s="38" t="str">
        <f t="shared" si="511"/>
        <v/>
      </c>
      <c r="U4671" s="37" t="str">
        <f t="shared" si="512"/>
        <v/>
      </c>
    </row>
    <row r="4672" spans="2:21" ht="17.25">
      <c r="B4672" s="156"/>
      <c r="C4672" s="156"/>
      <c r="D4672" s="157"/>
      <c r="E4672" s="155"/>
      <c r="F4672" s="151"/>
      <c r="G4672" s="152"/>
      <c r="H4672" s="153"/>
      <c r="I4672" s="154"/>
      <c r="J4672" s="154"/>
      <c r="K4672" s="30" t="str">
        <f>IF(H4672="","",IF($C$30="간이법","",FPR(H4672,I4672,J4672)))</f>
        <v/>
      </c>
      <c r="L4672" s="30" t="str">
        <f>IF(H4672="","",IF($C$30="상세법",FPV(H4672,K4672),IF(H4672="EI",4,IF(H4672="EO",5.2,IF(H4672="EQ",3.9,IF(H4672="ILF",7.5,IF(H4672="EIF",5.4)))))))</f>
        <v/>
      </c>
      <c r="M4672" s="30" t="str">
        <f t="shared" si="506"/>
        <v/>
      </c>
      <c r="N4672" s="134"/>
      <c r="O4672" s="29"/>
      <c r="P4672" s="37" t="str">
        <f t="shared" si="507"/>
        <v/>
      </c>
      <c r="Q4672" s="38" t="str">
        <f t="shared" si="508"/>
        <v/>
      </c>
      <c r="R4672" s="37" t="str">
        <f t="shared" si="509"/>
        <v/>
      </c>
      <c r="S4672" s="37" t="str">
        <f t="shared" si="510"/>
        <v/>
      </c>
      <c r="T4672" s="38" t="str">
        <f t="shared" si="511"/>
        <v/>
      </c>
      <c r="U4672" s="37" t="str">
        <f t="shared" si="512"/>
        <v/>
      </c>
    </row>
    <row r="4673" spans="2:21" ht="17.25">
      <c r="B4673" s="156"/>
      <c r="C4673" s="156"/>
      <c r="D4673" s="157"/>
      <c r="E4673" s="155"/>
      <c r="F4673" s="151"/>
      <c r="G4673" s="152"/>
      <c r="H4673" s="153"/>
      <c r="I4673" s="154"/>
      <c r="J4673" s="154"/>
      <c r="K4673" s="30" t="str">
        <f>IF(H4673="","",IF($C$30="간이법","",FPR(H4673,I4673,J4673)))</f>
        <v/>
      </c>
      <c r="L4673" s="30" t="str">
        <f>IF(H4673="","",IF($C$30="상세법",FPV(H4673,K4673),IF(H4673="EI",4,IF(H4673="EO",5.2,IF(H4673="EQ",3.9,IF(H4673="ILF",7.5,IF(H4673="EIF",5.4)))))))</f>
        <v/>
      </c>
      <c r="M4673" s="30" t="str">
        <f t="shared" si="506"/>
        <v/>
      </c>
      <c r="N4673" s="134"/>
      <c r="O4673" s="29"/>
      <c r="P4673" s="37" t="str">
        <f t="shared" si="507"/>
        <v/>
      </c>
      <c r="Q4673" s="38" t="str">
        <f t="shared" si="508"/>
        <v/>
      </c>
      <c r="R4673" s="37" t="str">
        <f t="shared" si="509"/>
        <v/>
      </c>
      <c r="S4673" s="37" t="str">
        <f t="shared" si="510"/>
        <v/>
      </c>
      <c r="T4673" s="38" t="str">
        <f t="shared" si="511"/>
        <v/>
      </c>
      <c r="U4673" s="37" t="str">
        <f t="shared" si="512"/>
        <v/>
      </c>
    </row>
    <row r="4674" spans="2:21" ht="17.25">
      <c r="B4674" s="156"/>
      <c r="C4674" s="156"/>
      <c r="D4674" s="157"/>
      <c r="E4674" s="155"/>
      <c r="F4674" s="151"/>
      <c r="G4674" s="152"/>
      <c r="H4674" s="153"/>
      <c r="I4674" s="154"/>
      <c r="J4674" s="154"/>
      <c r="K4674" s="30" t="str">
        <f>IF(H4674="","",IF($C$30="간이법","",FPR(H4674,I4674,J4674)))</f>
        <v/>
      </c>
      <c r="L4674" s="30" t="str">
        <f>IF(H4674="","",IF($C$30="상세법",FPV(H4674,K4674),IF(H4674="EI",4,IF(H4674="EO",5.2,IF(H4674="EQ",3.9,IF(H4674="ILF",7.5,IF(H4674="EIF",5.4)))))))</f>
        <v/>
      </c>
      <c r="M4674" s="30" t="str">
        <f t="shared" si="506"/>
        <v/>
      </c>
      <c r="N4674" s="134"/>
      <c r="O4674" s="29"/>
      <c r="P4674" s="37" t="str">
        <f t="shared" si="507"/>
        <v/>
      </c>
      <c r="Q4674" s="38" t="str">
        <f t="shared" si="508"/>
        <v/>
      </c>
      <c r="R4674" s="37" t="str">
        <f t="shared" si="509"/>
        <v/>
      </c>
      <c r="S4674" s="37" t="str">
        <f t="shared" si="510"/>
        <v/>
      </c>
      <c r="T4674" s="38" t="str">
        <f t="shared" si="511"/>
        <v/>
      </c>
      <c r="U4674" s="37" t="str">
        <f t="shared" si="512"/>
        <v/>
      </c>
    </row>
    <row r="4675" spans="2:21" ht="17.25">
      <c r="B4675" s="156"/>
      <c r="C4675" s="156"/>
      <c r="D4675" s="157"/>
      <c r="E4675" s="155"/>
      <c r="F4675" s="151"/>
      <c r="G4675" s="152"/>
      <c r="H4675" s="153"/>
      <c r="I4675" s="154"/>
      <c r="J4675" s="154"/>
      <c r="K4675" s="30" t="str">
        <f>IF(H4675="","",IF($C$30="간이법","",FPR(H4675,I4675,J4675)))</f>
        <v/>
      </c>
      <c r="L4675" s="30" t="str">
        <f>IF(H4675="","",IF($C$30="상세법",FPV(H4675,K4675),IF(H4675="EI",4,IF(H4675="EO",5.2,IF(H4675="EQ",3.9,IF(H4675="ILF",7.5,IF(H4675="EIF",5.4)))))))</f>
        <v/>
      </c>
      <c r="M4675" s="30" t="str">
        <f t="shared" si="506"/>
        <v/>
      </c>
      <c r="N4675" s="134"/>
      <c r="O4675" s="29"/>
      <c r="P4675" s="37" t="str">
        <f t="shared" si="507"/>
        <v/>
      </c>
      <c r="Q4675" s="38" t="str">
        <f t="shared" si="508"/>
        <v/>
      </c>
      <c r="R4675" s="37" t="str">
        <f t="shared" si="509"/>
        <v/>
      </c>
      <c r="S4675" s="37" t="str">
        <f t="shared" si="510"/>
        <v/>
      </c>
      <c r="T4675" s="38" t="str">
        <f t="shared" si="511"/>
        <v/>
      </c>
      <c r="U4675" s="37" t="str">
        <f t="shared" si="512"/>
        <v/>
      </c>
    </row>
    <row r="4676" spans="2:21" ht="17.25">
      <c r="B4676" s="156"/>
      <c r="C4676" s="156"/>
      <c r="D4676" s="157"/>
      <c r="E4676" s="155"/>
      <c r="F4676" s="151"/>
      <c r="G4676" s="152"/>
      <c r="H4676" s="153"/>
      <c r="I4676" s="154"/>
      <c r="J4676" s="154"/>
      <c r="K4676" s="30" t="str">
        <f>IF(H4676="","",IF($C$30="간이법","",FPR(H4676,I4676,J4676)))</f>
        <v/>
      </c>
      <c r="L4676" s="30" t="str">
        <f>IF(H4676="","",IF($C$30="상세법",FPV(H4676,K4676),IF(H4676="EI",4,IF(H4676="EO",5.2,IF(H4676="EQ",3.9,IF(H4676="ILF",7.5,IF(H4676="EIF",5.4)))))))</f>
        <v/>
      </c>
      <c r="M4676" s="30" t="str">
        <f t="shared" si="506"/>
        <v/>
      </c>
      <c r="N4676" s="134"/>
      <c r="O4676" s="29"/>
      <c r="P4676" s="37" t="str">
        <f t="shared" si="507"/>
        <v/>
      </c>
      <c r="Q4676" s="38" t="str">
        <f t="shared" si="508"/>
        <v/>
      </c>
      <c r="R4676" s="37" t="str">
        <f t="shared" si="509"/>
        <v/>
      </c>
      <c r="S4676" s="37" t="str">
        <f t="shared" si="510"/>
        <v/>
      </c>
      <c r="T4676" s="38" t="str">
        <f t="shared" si="511"/>
        <v/>
      </c>
      <c r="U4676" s="37" t="str">
        <f t="shared" si="512"/>
        <v/>
      </c>
    </row>
    <row r="4677" spans="2:21" ht="17.25">
      <c r="B4677" s="156"/>
      <c r="C4677" s="156"/>
      <c r="D4677" s="157"/>
      <c r="E4677" s="155"/>
      <c r="F4677" s="151"/>
      <c r="G4677" s="152"/>
      <c r="H4677" s="153"/>
      <c r="I4677" s="154"/>
      <c r="J4677" s="154"/>
      <c r="K4677" s="30" t="str">
        <f>IF(H4677="","",IF($C$30="간이법","",FPR(H4677,I4677,J4677)))</f>
        <v/>
      </c>
      <c r="L4677" s="30" t="str">
        <f>IF(H4677="","",IF($C$30="상세법",FPV(H4677,K4677),IF(H4677="EI",4,IF(H4677="EO",5.2,IF(H4677="EQ",3.9,IF(H4677="ILF",7.5,IF(H4677="EIF",5.4)))))))</f>
        <v/>
      </c>
      <c r="M4677" s="30" t="str">
        <f t="shared" si="506"/>
        <v/>
      </c>
      <c r="N4677" s="134"/>
      <c r="O4677" s="29"/>
      <c r="P4677" s="37" t="str">
        <f t="shared" si="507"/>
        <v/>
      </c>
      <c r="Q4677" s="38" t="str">
        <f t="shared" si="508"/>
        <v/>
      </c>
      <c r="R4677" s="37" t="str">
        <f t="shared" si="509"/>
        <v/>
      </c>
      <c r="S4677" s="37" t="str">
        <f t="shared" si="510"/>
        <v/>
      </c>
      <c r="T4677" s="38" t="str">
        <f t="shared" si="511"/>
        <v/>
      </c>
      <c r="U4677" s="37" t="str">
        <f t="shared" si="512"/>
        <v/>
      </c>
    </row>
    <row r="4678" spans="2:21" ht="17.25">
      <c r="B4678" s="156"/>
      <c r="C4678" s="156"/>
      <c r="D4678" s="157"/>
      <c r="E4678" s="155"/>
      <c r="F4678" s="151"/>
      <c r="G4678" s="152"/>
      <c r="H4678" s="153"/>
      <c r="I4678" s="154"/>
      <c r="J4678" s="154"/>
      <c r="K4678" s="30" t="str">
        <f>IF(H4678="","",IF($C$30="간이법","",FPR(H4678,I4678,J4678)))</f>
        <v/>
      </c>
      <c r="L4678" s="30" t="str">
        <f>IF(H4678="","",IF($C$30="상세법",FPV(H4678,K4678),IF(H4678="EI",4,IF(H4678="EO",5.2,IF(H4678="EQ",3.9,IF(H4678="ILF",7.5,IF(H4678="EIF",5.4)))))))</f>
        <v/>
      </c>
      <c r="M4678" s="30" t="str">
        <f t="shared" si="506"/>
        <v/>
      </c>
      <c r="N4678" s="134"/>
      <c r="O4678" s="29"/>
      <c r="P4678" s="37" t="str">
        <f t="shared" si="507"/>
        <v/>
      </c>
      <c r="Q4678" s="38" t="str">
        <f t="shared" si="508"/>
        <v/>
      </c>
      <c r="R4678" s="37" t="str">
        <f t="shared" si="509"/>
        <v/>
      </c>
      <c r="S4678" s="37" t="str">
        <f t="shared" si="510"/>
        <v/>
      </c>
      <c r="T4678" s="38" t="str">
        <f t="shared" si="511"/>
        <v/>
      </c>
      <c r="U4678" s="37" t="str">
        <f t="shared" si="512"/>
        <v/>
      </c>
    </row>
    <row r="4679" spans="2:21" ht="17.25">
      <c r="B4679" s="156"/>
      <c r="C4679" s="156"/>
      <c r="D4679" s="157"/>
      <c r="E4679" s="155"/>
      <c r="F4679" s="151"/>
      <c r="G4679" s="152"/>
      <c r="H4679" s="153"/>
      <c r="I4679" s="154"/>
      <c r="J4679" s="154"/>
      <c r="K4679" s="30" t="str">
        <f>IF(H4679="","",IF($C$30="간이법","",FPR(H4679,I4679,J4679)))</f>
        <v/>
      </c>
      <c r="L4679" s="30" t="str">
        <f>IF(H4679="","",IF($C$30="상세법",FPV(H4679,K4679),IF(H4679="EI",4,IF(H4679="EO",5.2,IF(H4679="EQ",3.9,IF(H4679="ILF",7.5,IF(H4679="EIF",5.4)))))))</f>
        <v/>
      </c>
      <c r="M4679" s="30" t="str">
        <f t="shared" si="506"/>
        <v/>
      </c>
      <c r="N4679" s="134"/>
      <c r="O4679" s="29"/>
      <c r="P4679" s="37" t="str">
        <f t="shared" si="507"/>
        <v/>
      </c>
      <c r="Q4679" s="38" t="str">
        <f t="shared" si="508"/>
        <v/>
      </c>
      <c r="R4679" s="37" t="str">
        <f t="shared" si="509"/>
        <v/>
      </c>
      <c r="S4679" s="37" t="str">
        <f t="shared" si="510"/>
        <v/>
      </c>
      <c r="T4679" s="38" t="str">
        <f t="shared" si="511"/>
        <v/>
      </c>
      <c r="U4679" s="37" t="str">
        <f t="shared" si="512"/>
        <v/>
      </c>
    </row>
    <row r="4680" spans="2:21" ht="17.25">
      <c r="B4680" s="156"/>
      <c r="C4680" s="156"/>
      <c r="D4680" s="157"/>
      <c r="E4680" s="155"/>
      <c r="F4680" s="151"/>
      <c r="G4680" s="152"/>
      <c r="H4680" s="153"/>
      <c r="I4680" s="154"/>
      <c r="J4680" s="154"/>
      <c r="K4680" s="30" t="str">
        <f>IF(H4680="","",IF($C$30="간이법","",FPR(H4680,I4680,J4680)))</f>
        <v/>
      </c>
      <c r="L4680" s="30" t="str">
        <f>IF(H4680="","",IF($C$30="상세법",FPV(H4680,K4680),IF(H4680="EI",4,IF(H4680="EO",5.2,IF(H4680="EQ",3.9,IF(H4680="ILF",7.5,IF(H4680="EIF",5.4)))))))</f>
        <v/>
      </c>
      <c r="M4680" s="30" t="str">
        <f t="shared" si="506"/>
        <v/>
      </c>
      <c r="N4680" s="134"/>
      <c r="O4680" s="29"/>
      <c r="P4680" s="37" t="str">
        <f t="shared" si="507"/>
        <v/>
      </c>
      <c r="Q4680" s="38" t="str">
        <f t="shared" si="508"/>
        <v/>
      </c>
      <c r="R4680" s="37" t="str">
        <f t="shared" si="509"/>
        <v/>
      </c>
      <c r="S4680" s="37" t="str">
        <f t="shared" si="510"/>
        <v/>
      </c>
      <c r="T4680" s="38" t="str">
        <f t="shared" si="511"/>
        <v/>
      </c>
      <c r="U4680" s="37" t="str">
        <f t="shared" si="512"/>
        <v/>
      </c>
    </row>
    <row r="4681" spans="2:21" ht="17.25">
      <c r="B4681" s="156"/>
      <c r="C4681" s="156"/>
      <c r="D4681" s="157"/>
      <c r="E4681" s="155"/>
      <c r="F4681" s="151"/>
      <c r="G4681" s="152"/>
      <c r="H4681" s="153"/>
      <c r="I4681" s="154"/>
      <c r="J4681" s="154"/>
      <c r="K4681" s="30" t="str">
        <f>IF(H4681="","",IF($C$30="간이법","",FPR(H4681,I4681,J4681)))</f>
        <v/>
      </c>
      <c r="L4681" s="30" t="str">
        <f>IF(H4681="","",IF($C$30="상세법",FPV(H4681,K4681),IF(H4681="EI",4,IF(H4681="EO",5.2,IF(H4681="EQ",3.9,IF(H4681="ILF",7.5,IF(H4681="EIF",5.4)))))))</f>
        <v/>
      </c>
      <c r="M4681" s="30" t="str">
        <f t="shared" si="506"/>
        <v/>
      </c>
      <c r="N4681" s="134"/>
      <c r="O4681" s="29"/>
      <c r="P4681" s="37" t="str">
        <f t="shared" si="507"/>
        <v/>
      </c>
      <c r="Q4681" s="38" t="str">
        <f t="shared" si="508"/>
        <v/>
      </c>
      <c r="R4681" s="37" t="str">
        <f t="shared" si="509"/>
        <v/>
      </c>
      <c r="S4681" s="37" t="str">
        <f t="shared" si="510"/>
        <v/>
      </c>
      <c r="T4681" s="38" t="str">
        <f t="shared" si="511"/>
        <v/>
      </c>
      <c r="U4681" s="37" t="str">
        <f t="shared" si="512"/>
        <v/>
      </c>
    </row>
    <row r="4682" spans="2:21" ht="17.25">
      <c r="B4682" s="156"/>
      <c r="C4682" s="156"/>
      <c r="D4682" s="157"/>
      <c r="E4682" s="155"/>
      <c r="F4682" s="151"/>
      <c r="G4682" s="152"/>
      <c r="H4682" s="153"/>
      <c r="I4682" s="154"/>
      <c r="J4682" s="154"/>
      <c r="K4682" s="30" t="str">
        <f>IF(H4682="","",IF($C$30="간이법","",FPR(H4682,I4682,J4682)))</f>
        <v/>
      </c>
      <c r="L4682" s="30" t="str">
        <f>IF(H4682="","",IF($C$30="상세법",FPV(H4682,K4682),IF(H4682="EI",4,IF(H4682="EO",5.2,IF(H4682="EQ",3.9,IF(H4682="ILF",7.5,IF(H4682="EIF",5.4)))))))</f>
        <v/>
      </c>
      <c r="M4682" s="30" t="str">
        <f t="shared" si="506"/>
        <v/>
      </c>
      <c r="N4682" s="134"/>
      <c r="O4682" s="29"/>
      <c r="P4682" s="37" t="str">
        <f t="shared" si="507"/>
        <v/>
      </c>
      <c r="Q4682" s="38" t="str">
        <f t="shared" si="508"/>
        <v/>
      </c>
      <c r="R4682" s="37" t="str">
        <f t="shared" si="509"/>
        <v/>
      </c>
      <c r="S4682" s="37" t="str">
        <f t="shared" si="510"/>
        <v/>
      </c>
      <c r="T4682" s="38" t="str">
        <f t="shared" si="511"/>
        <v/>
      </c>
      <c r="U4682" s="37" t="str">
        <f t="shared" si="512"/>
        <v/>
      </c>
    </row>
    <row r="4683" spans="2:21" ht="17.25">
      <c r="B4683" s="156"/>
      <c r="C4683" s="156"/>
      <c r="D4683" s="157"/>
      <c r="E4683" s="155"/>
      <c r="F4683" s="151"/>
      <c r="G4683" s="152"/>
      <c r="H4683" s="153"/>
      <c r="I4683" s="154"/>
      <c r="J4683" s="154"/>
      <c r="K4683" s="30" t="str">
        <f>IF(H4683="","",IF($C$30="간이법","",FPR(H4683,I4683,J4683)))</f>
        <v/>
      </c>
      <c r="L4683" s="30" t="str">
        <f>IF(H4683="","",IF($C$30="상세법",FPV(H4683,K4683),IF(H4683="EI",4,IF(H4683="EO",5.2,IF(H4683="EQ",3.9,IF(H4683="ILF",7.5,IF(H4683="EIF",5.4)))))))</f>
        <v/>
      </c>
      <c r="M4683" s="30" t="str">
        <f t="shared" si="506"/>
        <v/>
      </c>
      <c r="N4683" s="134"/>
      <c r="O4683" s="29"/>
      <c r="P4683" s="37" t="str">
        <f t="shared" si="507"/>
        <v/>
      </c>
      <c r="Q4683" s="38" t="str">
        <f t="shared" si="508"/>
        <v/>
      </c>
      <c r="R4683" s="37" t="str">
        <f t="shared" si="509"/>
        <v/>
      </c>
      <c r="S4683" s="37" t="str">
        <f t="shared" si="510"/>
        <v/>
      </c>
      <c r="T4683" s="38" t="str">
        <f t="shared" si="511"/>
        <v/>
      </c>
      <c r="U4683" s="37" t="str">
        <f t="shared" si="512"/>
        <v/>
      </c>
    </row>
    <row r="4684" spans="2:21" ht="17.25">
      <c r="B4684" s="156"/>
      <c r="C4684" s="156"/>
      <c r="D4684" s="157"/>
      <c r="E4684" s="155"/>
      <c r="F4684" s="151"/>
      <c r="G4684" s="152"/>
      <c r="H4684" s="153"/>
      <c r="I4684" s="154"/>
      <c r="J4684" s="154"/>
      <c r="K4684" s="30" t="str">
        <f>IF(H4684="","",IF($C$30="간이법","",FPR(H4684,I4684,J4684)))</f>
        <v/>
      </c>
      <c r="L4684" s="30" t="str">
        <f>IF(H4684="","",IF($C$30="상세법",FPV(H4684,K4684),IF(H4684="EI",4,IF(H4684="EO",5.2,IF(H4684="EQ",3.9,IF(H4684="ILF",7.5,IF(H4684="EIF",5.4)))))))</f>
        <v/>
      </c>
      <c r="M4684" s="30" t="str">
        <f t="shared" si="506"/>
        <v/>
      </c>
      <c r="N4684" s="134"/>
      <c r="O4684" s="29"/>
      <c r="P4684" s="37" t="str">
        <f t="shared" si="507"/>
        <v/>
      </c>
      <c r="Q4684" s="38" t="str">
        <f t="shared" si="508"/>
        <v/>
      </c>
      <c r="R4684" s="37" t="str">
        <f t="shared" si="509"/>
        <v/>
      </c>
      <c r="S4684" s="37" t="str">
        <f t="shared" si="510"/>
        <v/>
      </c>
      <c r="T4684" s="38" t="str">
        <f t="shared" si="511"/>
        <v/>
      </c>
      <c r="U4684" s="37" t="str">
        <f t="shared" si="512"/>
        <v/>
      </c>
    </row>
    <row r="4685" spans="2:21" ht="17.25">
      <c r="B4685" s="156"/>
      <c r="C4685" s="156"/>
      <c r="D4685" s="157"/>
      <c r="E4685" s="155"/>
      <c r="F4685" s="151"/>
      <c r="G4685" s="152"/>
      <c r="H4685" s="153"/>
      <c r="I4685" s="154"/>
      <c r="J4685" s="154"/>
      <c r="K4685" s="30" t="str">
        <f>IF(H4685="","",IF($C$30="간이법","",FPR(H4685,I4685,J4685)))</f>
        <v/>
      </c>
      <c r="L4685" s="30" t="str">
        <f>IF(H4685="","",IF($C$30="상세법",FPV(H4685,K4685),IF(H4685="EI",4,IF(H4685="EO",5.2,IF(H4685="EQ",3.9,IF(H4685="ILF",7.5,IF(H4685="EIF",5.4)))))))</f>
        <v/>
      </c>
      <c r="M4685" s="30" t="str">
        <f t="shared" si="506"/>
        <v/>
      </c>
      <c r="N4685" s="134"/>
      <c r="O4685" s="29"/>
      <c r="P4685" s="37" t="str">
        <f t="shared" si="507"/>
        <v/>
      </c>
      <c r="Q4685" s="38" t="str">
        <f t="shared" si="508"/>
        <v/>
      </c>
      <c r="R4685" s="37" t="str">
        <f t="shared" si="509"/>
        <v/>
      </c>
      <c r="S4685" s="37" t="str">
        <f t="shared" si="510"/>
        <v/>
      </c>
      <c r="T4685" s="38" t="str">
        <f t="shared" si="511"/>
        <v/>
      </c>
      <c r="U4685" s="37" t="str">
        <f t="shared" si="512"/>
        <v/>
      </c>
    </row>
    <row r="4686" spans="2:21" ht="17.25">
      <c r="B4686" s="156"/>
      <c r="C4686" s="156"/>
      <c r="D4686" s="157"/>
      <c r="E4686" s="155"/>
      <c r="F4686" s="151"/>
      <c r="G4686" s="152"/>
      <c r="H4686" s="153"/>
      <c r="I4686" s="154"/>
      <c r="J4686" s="154"/>
      <c r="K4686" s="30" t="str">
        <f>IF(H4686="","",IF($C$30="간이법","",FPR(H4686,I4686,J4686)))</f>
        <v/>
      </c>
      <c r="L4686" s="30" t="str">
        <f>IF(H4686="","",IF($C$30="상세법",FPV(H4686,K4686),IF(H4686="EI",4,IF(H4686="EO",5.2,IF(H4686="EQ",3.9,IF(H4686="ILF",7.5,IF(H4686="EIF",5.4)))))))</f>
        <v/>
      </c>
      <c r="M4686" s="30" t="str">
        <f t="shared" si="506"/>
        <v/>
      </c>
      <c r="N4686" s="134"/>
      <c r="O4686" s="29"/>
      <c r="P4686" s="37" t="str">
        <f t="shared" si="507"/>
        <v/>
      </c>
      <c r="Q4686" s="38" t="str">
        <f t="shared" si="508"/>
        <v/>
      </c>
      <c r="R4686" s="37" t="str">
        <f t="shared" si="509"/>
        <v/>
      </c>
      <c r="S4686" s="37" t="str">
        <f t="shared" si="510"/>
        <v/>
      </c>
      <c r="T4686" s="38" t="str">
        <f t="shared" si="511"/>
        <v/>
      </c>
      <c r="U4686" s="37" t="str">
        <f t="shared" si="512"/>
        <v/>
      </c>
    </row>
    <row r="4687" spans="2:21" ht="17.25">
      <c r="B4687" s="156"/>
      <c r="C4687" s="156"/>
      <c r="D4687" s="157"/>
      <c r="E4687" s="155"/>
      <c r="F4687" s="151"/>
      <c r="G4687" s="152"/>
      <c r="H4687" s="153"/>
      <c r="I4687" s="154"/>
      <c r="J4687" s="154"/>
      <c r="K4687" s="30" t="str">
        <f>IF(H4687="","",IF($C$30="간이법","",FPR(H4687,I4687,J4687)))</f>
        <v/>
      </c>
      <c r="L4687" s="30" t="str">
        <f>IF(H4687="","",IF($C$30="상세법",FPV(H4687,K4687),IF(H4687="EI",4,IF(H4687="EO",5.2,IF(H4687="EQ",3.9,IF(H4687="ILF",7.5,IF(H4687="EIF",5.4)))))))</f>
        <v/>
      </c>
      <c r="M4687" s="30" t="str">
        <f t="shared" si="506"/>
        <v/>
      </c>
      <c r="N4687" s="134"/>
      <c r="O4687" s="29"/>
      <c r="P4687" s="37" t="str">
        <f t="shared" si="507"/>
        <v/>
      </c>
      <c r="Q4687" s="38" t="str">
        <f t="shared" si="508"/>
        <v/>
      </c>
      <c r="R4687" s="37" t="str">
        <f t="shared" si="509"/>
        <v/>
      </c>
      <c r="S4687" s="37" t="str">
        <f t="shared" si="510"/>
        <v/>
      </c>
      <c r="T4687" s="38" t="str">
        <f t="shared" si="511"/>
        <v/>
      </c>
      <c r="U4687" s="37" t="str">
        <f t="shared" si="512"/>
        <v/>
      </c>
    </row>
    <row r="4688" spans="2:21" ht="17.25">
      <c r="B4688" s="156"/>
      <c r="C4688" s="156"/>
      <c r="D4688" s="157"/>
      <c r="E4688" s="155"/>
      <c r="F4688" s="151"/>
      <c r="G4688" s="152"/>
      <c r="H4688" s="153"/>
      <c r="I4688" s="154"/>
      <c r="J4688" s="154"/>
      <c r="K4688" s="30" t="str">
        <f>IF(H4688="","",IF($C$30="간이법","",FPR(H4688,I4688,J4688)))</f>
        <v/>
      </c>
      <c r="L4688" s="30" t="str">
        <f>IF(H4688="","",IF($C$30="상세법",FPV(H4688,K4688),IF(H4688="EI",4,IF(H4688="EO",5.2,IF(H4688="EQ",3.9,IF(H4688="ILF",7.5,IF(H4688="EIF",5.4)))))))</f>
        <v/>
      </c>
      <c r="M4688" s="30" t="str">
        <f t="shared" si="506"/>
        <v/>
      </c>
      <c r="N4688" s="134"/>
      <c r="O4688" s="29"/>
      <c r="P4688" s="37" t="str">
        <f t="shared" si="507"/>
        <v/>
      </c>
      <c r="Q4688" s="38" t="str">
        <f t="shared" si="508"/>
        <v/>
      </c>
      <c r="R4688" s="37" t="str">
        <f t="shared" si="509"/>
        <v/>
      </c>
      <c r="S4688" s="37" t="str">
        <f t="shared" si="510"/>
        <v/>
      </c>
      <c r="T4688" s="38" t="str">
        <f t="shared" si="511"/>
        <v/>
      </c>
      <c r="U4688" s="37" t="str">
        <f t="shared" si="512"/>
        <v/>
      </c>
    </row>
    <row r="4689" spans="2:21" ht="17.25">
      <c r="B4689" s="156"/>
      <c r="C4689" s="156"/>
      <c r="D4689" s="157"/>
      <c r="E4689" s="155"/>
      <c r="F4689" s="151"/>
      <c r="G4689" s="152"/>
      <c r="H4689" s="153"/>
      <c r="I4689" s="154"/>
      <c r="J4689" s="154"/>
      <c r="K4689" s="30" t="str">
        <f>IF(H4689="","",IF($C$30="간이법","",FPR(H4689,I4689,J4689)))</f>
        <v/>
      </c>
      <c r="L4689" s="30" t="str">
        <f>IF(H4689="","",IF($C$30="상세법",FPV(H4689,K4689),IF(H4689="EI",4,IF(H4689="EO",5.2,IF(H4689="EQ",3.9,IF(H4689="ILF",7.5,IF(H4689="EIF",5.4)))))))</f>
        <v/>
      </c>
      <c r="M4689" s="30" t="str">
        <f t="shared" si="506"/>
        <v/>
      </c>
      <c r="N4689" s="134"/>
      <c r="O4689" s="29"/>
      <c r="P4689" s="37" t="str">
        <f t="shared" si="507"/>
        <v/>
      </c>
      <c r="Q4689" s="38" t="str">
        <f t="shared" si="508"/>
        <v/>
      </c>
      <c r="R4689" s="37" t="str">
        <f t="shared" si="509"/>
        <v/>
      </c>
      <c r="S4689" s="37" t="str">
        <f t="shared" si="510"/>
        <v/>
      </c>
      <c r="T4689" s="38" t="str">
        <f t="shared" si="511"/>
        <v/>
      </c>
      <c r="U4689" s="37" t="str">
        <f t="shared" si="512"/>
        <v/>
      </c>
    </row>
    <row r="4690" spans="2:21" ht="17.25">
      <c r="B4690" s="156"/>
      <c r="C4690" s="156"/>
      <c r="D4690" s="157"/>
      <c r="E4690" s="155"/>
      <c r="F4690" s="151"/>
      <c r="G4690" s="152"/>
      <c r="H4690" s="153"/>
      <c r="I4690" s="154"/>
      <c r="J4690" s="154"/>
      <c r="K4690" s="30" t="str">
        <f>IF(H4690="","",IF($C$30="간이법","",FPR(H4690,I4690,J4690)))</f>
        <v/>
      </c>
      <c r="L4690" s="30" t="str">
        <f>IF(H4690="","",IF($C$30="상세법",FPV(H4690,K4690),IF(H4690="EI",4,IF(H4690="EO",5.2,IF(H4690="EQ",3.9,IF(H4690="ILF",7.5,IF(H4690="EIF",5.4)))))))</f>
        <v/>
      </c>
      <c r="M4690" s="30" t="str">
        <f t="shared" si="506"/>
        <v/>
      </c>
      <c r="N4690" s="134"/>
      <c r="O4690" s="29"/>
      <c r="P4690" s="37" t="str">
        <f t="shared" si="507"/>
        <v/>
      </c>
      <c r="Q4690" s="38" t="str">
        <f t="shared" si="508"/>
        <v/>
      </c>
      <c r="R4690" s="37" t="str">
        <f t="shared" si="509"/>
        <v/>
      </c>
      <c r="S4690" s="37" t="str">
        <f t="shared" si="510"/>
        <v/>
      </c>
      <c r="T4690" s="38" t="str">
        <f t="shared" si="511"/>
        <v/>
      </c>
      <c r="U4690" s="37" t="str">
        <f t="shared" si="512"/>
        <v/>
      </c>
    </row>
    <row r="4691" spans="2:21" ht="17.25">
      <c r="B4691" s="156"/>
      <c r="C4691" s="156"/>
      <c r="D4691" s="157"/>
      <c r="E4691" s="155"/>
      <c r="F4691" s="151"/>
      <c r="G4691" s="152"/>
      <c r="H4691" s="153"/>
      <c r="I4691" s="154"/>
      <c r="J4691" s="154"/>
      <c r="K4691" s="30" t="str">
        <f>IF(H4691="","",IF($C$30="간이법","",FPR(H4691,I4691,J4691)))</f>
        <v/>
      </c>
      <c r="L4691" s="30" t="str">
        <f>IF(H4691="","",IF($C$30="상세법",FPV(H4691,K4691),IF(H4691="EI",4,IF(H4691="EO",5.2,IF(H4691="EQ",3.9,IF(H4691="ILF",7.5,IF(H4691="EIF",5.4)))))))</f>
        <v/>
      </c>
      <c r="M4691" s="30" t="str">
        <f t="shared" si="506"/>
        <v/>
      </c>
      <c r="N4691" s="134"/>
      <c r="O4691" s="29"/>
      <c r="P4691" s="37" t="str">
        <f t="shared" si="507"/>
        <v/>
      </c>
      <c r="Q4691" s="38" t="str">
        <f t="shared" si="508"/>
        <v/>
      </c>
      <c r="R4691" s="37" t="str">
        <f t="shared" si="509"/>
        <v/>
      </c>
      <c r="S4691" s="37" t="str">
        <f t="shared" si="510"/>
        <v/>
      </c>
      <c r="T4691" s="38" t="str">
        <f t="shared" si="511"/>
        <v/>
      </c>
      <c r="U4691" s="37" t="str">
        <f t="shared" si="512"/>
        <v/>
      </c>
    </row>
    <row r="4692" spans="2:21" ht="17.25">
      <c r="B4692" s="156"/>
      <c r="C4692" s="156"/>
      <c r="D4692" s="157"/>
      <c r="E4692" s="155"/>
      <c r="F4692" s="151"/>
      <c r="G4692" s="152"/>
      <c r="H4692" s="153"/>
      <c r="I4692" s="154"/>
      <c r="J4692" s="154"/>
      <c r="K4692" s="30" t="str">
        <f>IF(H4692="","",IF($C$30="간이법","",FPR(H4692,I4692,J4692)))</f>
        <v/>
      </c>
      <c r="L4692" s="30" t="str">
        <f>IF(H4692="","",IF($C$30="상세법",FPV(H4692,K4692),IF(H4692="EI",4,IF(H4692="EO",5.2,IF(H4692="EQ",3.9,IF(H4692="ILF",7.5,IF(H4692="EIF",5.4)))))))</f>
        <v/>
      </c>
      <c r="M4692" s="30" t="str">
        <f t="shared" si="506"/>
        <v/>
      </c>
      <c r="N4692" s="134"/>
      <c r="O4692" s="29"/>
      <c r="P4692" s="37" t="str">
        <f t="shared" si="507"/>
        <v/>
      </c>
      <c r="Q4692" s="38" t="str">
        <f t="shared" si="508"/>
        <v/>
      </c>
      <c r="R4692" s="37" t="str">
        <f t="shared" si="509"/>
        <v/>
      </c>
      <c r="S4692" s="37" t="str">
        <f t="shared" si="510"/>
        <v/>
      </c>
      <c r="T4692" s="38" t="str">
        <f t="shared" si="511"/>
        <v/>
      </c>
      <c r="U4692" s="37" t="str">
        <f t="shared" si="512"/>
        <v/>
      </c>
    </row>
    <row r="4693" spans="2:21" ht="17.25">
      <c r="B4693" s="156"/>
      <c r="C4693" s="156"/>
      <c r="D4693" s="157"/>
      <c r="E4693" s="155"/>
      <c r="F4693" s="151"/>
      <c r="G4693" s="152"/>
      <c r="H4693" s="153"/>
      <c r="I4693" s="154"/>
      <c r="J4693" s="154"/>
      <c r="K4693" s="30" t="str">
        <f>IF(H4693="","",IF($C$30="간이법","",FPR(H4693,I4693,J4693)))</f>
        <v/>
      </c>
      <c r="L4693" s="30" t="str">
        <f>IF(H4693="","",IF($C$30="상세법",FPV(H4693,K4693),IF(H4693="EI",4,IF(H4693="EO",5.2,IF(H4693="EQ",3.9,IF(H4693="ILF",7.5,IF(H4693="EIF",5.4)))))))</f>
        <v/>
      </c>
      <c r="M4693" s="30" t="str">
        <f t="shared" si="506"/>
        <v/>
      </c>
      <c r="N4693" s="134"/>
      <c r="O4693" s="29"/>
      <c r="P4693" s="37" t="str">
        <f t="shared" si="507"/>
        <v/>
      </c>
      <c r="Q4693" s="38" t="str">
        <f t="shared" si="508"/>
        <v/>
      </c>
      <c r="R4693" s="37" t="str">
        <f t="shared" si="509"/>
        <v/>
      </c>
      <c r="S4693" s="37" t="str">
        <f t="shared" si="510"/>
        <v/>
      </c>
      <c r="T4693" s="38" t="str">
        <f t="shared" si="511"/>
        <v/>
      </c>
      <c r="U4693" s="37" t="str">
        <f t="shared" si="512"/>
        <v/>
      </c>
    </row>
    <row r="4694" spans="2:21" ht="17.25">
      <c r="B4694" s="156"/>
      <c r="C4694" s="156"/>
      <c r="D4694" s="157"/>
      <c r="E4694" s="155"/>
      <c r="F4694" s="151"/>
      <c r="G4694" s="152"/>
      <c r="H4694" s="153"/>
      <c r="I4694" s="154"/>
      <c r="J4694" s="154"/>
      <c r="K4694" s="30" t="str">
        <f>IF(H4694="","",IF($C$30="간이법","",FPR(H4694,I4694,J4694)))</f>
        <v/>
      </c>
      <c r="L4694" s="30" t="str">
        <f>IF(H4694="","",IF($C$30="상세법",FPV(H4694,K4694),IF(H4694="EI",4,IF(H4694="EO",5.2,IF(H4694="EQ",3.9,IF(H4694="ILF",7.5,IF(H4694="EIF",5.4)))))))</f>
        <v/>
      </c>
      <c r="M4694" s="30" t="str">
        <f t="shared" si="506"/>
        <v/>
      </c>
      <c r="N4694" s="134"/>
      <c r="O4694" s="29"/>
      <c r="P4694" s="37" t="str">
        <f t="shared" si="507"/>
        <v/>
      </c>
      <c r="Q4694" s="38" t="str">
        <f t="shared" si="508"/>
        <v/>
      </c>
      <c r="R4694" s="37" t="str">
        <f t="shared" si="509"/>
        <v/>
      </c>
      <c r="S4694" s="37" t="str">
        <f t="shared" si="510"/>
        <v/>
      </c>
      <c r="T4694" s="38" t="str">
        <f t="shared" si="511"/>
        <v/>
      </c>
      <c r="U4694" s="37" t="str">
        <f t="shared" si="512"/>
        <v/>
      </c>
    </row>
    <row r="4695" spans="2:21" ht="17.25">
      <c r="B4695" s="156"/>
      <c r="C4695" s="156"/>
      <c r="D4695" s="157"/>
      <c r="E4695" s="155"/>
      <c r="F4695" s="151"/>
      <c r="G4695" s="152"/>
      <c r="H4695" s="153"/>
      <c r="I4695" s="154"/>
      <c r="J4695" s="154"/>
      <c r="K4695" s="30" t="str">
        <f>IF(H4695="","",IF($C$30="간이법","",FPR(H4695,I4695,J4695)))</f>
        <v/>
      </c>
      <c r="L4695" s="30" t="str">
        <f>IF(H4695="","",IF($C$30="상세법",FPV(H4695,K4695),IF(H4695="EI",4,IF(H4695="EO",5.2,IF(H4695="EQ",3.9,IF(H4695="ILF",7.5,IF(H4695="EIF",5.4)))))))</f>
        <v/>
      </c>
      <c r="M4695" s="30" t="str">
        <f t="shared" si="506"/>
        <v/>
      </c>
      <c r="N4695" s="134"/>
      <c r="O4695" s="29"/>
      <c r="P4695" s="37" t="str">
        <f t="shared" si="507"/>
        <v/>
      </c>
      <c r="Q4695" s="38" t="str">
        <f t="shared" si="508"/>
        <v/>
      </c>
      <c r="R4695" s="37" t="str">
        <f t="shared" si="509"/>
        <v/>
      </c>
      <c r="S4695" s="37" t="str">
        <f t="shared" si="510"/>
        <v/>
      </c>
      <c r="T4695" s="38" t="str">
        <f t="shared" si="511"/>
        <v/>
      </c>
      <c r="U4695" s="37" t="str">
        <f t="shared" si="512"/>
        <v/>
      </c>
    </row>
    <row r="4696" spans="2:21" ht="17.25">
      <c r="B4696" s="156"/>
      <c r="C4696" s="156"/>
      <c r="D4696" s="157"/>
      <c r="E4696" s="155"/>
      <c r="F4696" s="151"/>
      <c r="G4696" s="152"/>
      <c r="H4696" s="153"/>
      <c r="I4696" s="154"/>
      <c r="J4696" s="154"/>
      <c r="K4696" s="30" t="str">
        <f>IF(H4696="","",IF($C$30="간이법","",FPR(H4696,I4696,J4696)))</f>
        <v/>
      </c>
      <c r="L4696" s="30" t="str">
        <f>IF(H4696="","",IF($C$30="상세법",FPV(H4696,K4696),IF(H4696="EI",4,IF(H4696="EO",5.2,IF(H4696="EQ",3.9,IF(H4696="ILF",7.5,IF(H4696="EIF",5.4)))))))</f>
        <v/>
      </c>
      <c r="M4696" s="30" t="str">
        <f t="shared" si="506"/>
        <v/>
      </c>
      <c r="N4696" s="134"/>
      <c r="O4696" s="29"/>
      <c r="P4696" s="37" t="str">
        <f t="shared" si="507"/>
        <v/>
      </c>
      <c r="Q4696" s="38" t="str">
        <f t="shared" si="508"/>
        <v/>
      </c>
      <c r="R4696" s="37" t="str">
        <f t="shared" si="509"/>
        <v/>
      </c>
      <c r="S4696" s="37" t="str">
        <f t="shared" si="510"/>
        <v/>
      </c>
      <c r="T4696" s="38" t="str">
        <f t="shared" si="511"/>
        <v/>
      </c>
      <c r="U4696" s="37" t="str">
        <f t="shared" si="512"/>
        <v/>
      </c>
    </row>
    <row r="4697" spans="2:21" ht="17.25">
      <c r="B4697" s="156"/>
      <c r="C4697" s="156"/>
      <c r="D4697" s="157"/>
      <c r="E4697" s="155"/>
      <c r="F4697" s="151"/>
      <c r="G4697" s="152"/>
      <c r="H4697" s="153"/>
      <c r="I4697" s="154"/>
      <c r="J4697" s="154"/>
      <c r="K4697" s="30" t="str">
        <f>IF(H4697="","",IF($C$30="간이법","",FPR(H4697,I4697,J4697)))</f>
        <v/>
      </c>
      <c r="L4697" s="30" t="str">
        <f>IF(H4697="","",IF($C$30="상세법",FPV(H4697,K4697),IF(H4697="EI",4,IF(H4697="EO",5.2,IF(H4697="EQ",3.9,IF(H4697="ILF",7.5,IF(H4697="EIF",5.4)))))))</f>
        <v/>
      </c>
      <c r="M4697" s="30" t="str">
        <f t="shared" si="506"/>
        <v/>
      </c>
      <c r="N4697" s="134"/>
      <c r="O4697" s="29"/>
      <c r="P4697" s="37" t="str">
        <f t="shared" si="507"/>
        <v/>
      </c>
      <c r="Q4697" s="38" t="str">
        <f t="shared" si="508"/>
        <v/>
      </c>
      <c r="R4697" s="37" t="str">
        <f t="shared" si="509"/>
        <v/>
      </c>
      <c r="S4697" s="37" t="str">
        <f t="shared" si="510"/>
        <v/>
      </c>
      <c r="T4697" s="38" t="str">
        <f t="shared" si="511"/>
        <v/>
      </c>
      <c r="U4697" s="37" t="str">
        <f t="shared" si="512"/>
        <v/>
      </c>
    </row>
    <row r="4698" spans="2:21" ht="17.25">
      <c r="B4698" s="156"/>
      <c r="C4698" s="156"/>
      <c r="D4698" s="157"/>
      <c r="E4698" s="155"/>
      <c r="F4698" s="151"/>
      <c r="G4698" s="152"/>
      <c r="H4698" s="153"/>
      <c r="I4698" s="154"/>
      <c r="J4698" s="154"/>
      <c r="K4698" s="30" t="str">
        <f>IF(H4698="","",IF($C$30="간이법","",FPR(H4698,I4698,J4698)))</f>
        <v/>
      </c>
      <c r="L4698" s="30" t="str">
        <f>IF(H4698="","",IF($C$30="상세법",FPV(H4698,K4698),IF(H4698="EI",4,IF(H4698="EO",5.2,IF(H4698="EQ",3.9,IF(H4698="ILF",7.5,IF(H4698="EIF",5.4)))))))</f>
        <v/>
      </c>
      <c r="M4698" s="30" t="str">
        <f t="shared" si="506"/>
        <v/>
      </c>
      <c r="N4698" s="134"/>
      <c r="O4698" s="29"/>
      <c r="P4698" s="37" t="str">
        <f t="shared" si="507"/>
        <v/>
      </c>
      <c r="Q4698" s="38" t="str">
        <f t="shared" si="508"/>
        <v/>
      </c>
      <c r="R4698" s="37" t="str">
        <f t="shared" si="509"/>
        <v/>
      </c>
      <c r="S4698" s="37" t="str">
        <f t="shared" si="510"/>
        <v/>
      </c>
      <c r="T4698" s="38" t="str">
        <f t="shared" si="511"/>
        <v/>
      </c>
      <c r="U4698" s="37" t="str">
        <f t="shared" si="512"/>
        <v/>
      </c>
    </row>
    <row r="4699" spans="2:21" ht="17.25">
      <c r="B4699" s="156"/>
      <c r="C4699" s="156"/>
      <c r="D4699" s="157"/>
      <c r="E4699" s="155"/>
      <c r="F4699" s="151"/>
      <c r="G4699" s="152"/>
      <c r="H4699" s="153"/>
      <c r="I4699" s="154"/>
      <c r="J4699" s="154"/>
      <c r="K4699" s="30" t="str">
        <f>IF(H4699="","",IF($C$30="간이법","",FPR(H4699,I4699,J4699)))</f>
        <v/>
      </c>
      <c r="L4699" s="30" t="str">
        <f>IF(H4699="","",IF($C$30="상세법",FPV(H4699,K4699),IF(H4699="EI",4,IF(H4699="EO",5.2,IF(H4699="EQ",3.9,IF(H4699="ILF",7.5,IF(H4699="EIF",5.4)))))))</f>
        <v/>
      </c>
      <c r="M4699" s="30" t="str">
        <f t="shared" si="506"/>
        <v/>
      </c>
      <c r="N4699" s="134"/>
      <c r="O4699" s="29"/>
      <c r="P4699" s="37" t="str">
        <f t="shared" si="507"/>
        <v/>
      </c>
      <c r="Q4699" s="38" t="str">
        <f t="shared" si="508"/>
        <v/>
      </c>
      <c r="R4699" s="37" t="str">
        <f t="shared" si="509"/>
        <v/>
      </c>
      <c r="S4699" s="37" t="str">
        <f t="shared" si="510"/>
        <v/>
      </c>
      <c r="T4699" s="38" t="str">
        <f t="shared" si="511"/>
        <v/>
      </c>
      <c r="U4699" s="37" t="str">
        <f t="shared" si="512"/>
        <v/>
      </c>
    </row>
    <row r="4700" spans="2:21" ht="17.25">
      <c r="B4700" s="156"/>
      <c r="C4700" s="156"/>
      <c r="D4700" s="157"/>
      <c r="E4700" s="155"/>
      <c r="F4700" s="151"/>
      <c r="G4700" s="152"/>
      <c r="H4700" s="153"/>
      <c r="I4700" s="154"/>
      <c r="J4700" s="154"/>
      <c r="K4700" s="30" t="str">
        <f>IF(H4700="","",IF($C$30="간이법","",FPR(H4700,I4700,J4700)))</f>
        <v/>
      </c>
      <c r="L4700" s="30" t="str">
        <f>IF(H4700="","",IF($C$30="상세법",FPV(H4700,K4700),IF(H4700="EI",4,IF(H4700="EO",5.2,IF(H4700="EQ",3.9,IF(H4700="ILF",7.5,IF(H4700="EIF",5.4)))))))</f>
        <v/>
      </c>
      <c r="M4700" s="30" t="str">
        <f t="shared" si="506"/>
        <v/>
      </c>
      <c r="N4700" s="134"/>
      <c r="O4700" s="29"/>
      <c r="P4700" s="37" t="str">
        <f t="shared" si="507"/>
        <v/>
      </c>
      <c r="Q4700" s="38" t="str">
        <f t="shared" si="508"/>
        <v/>
      </c>
      <c r="R4700" s="37" t="str">
        <f t="shared" si="509"/>
        <v/>
      </c>
      <c r="S4700" s="37" t="str">
        <f t="shared" si="510"/>
        <v/>
      </c>
      <c r="T4700" s="38" t="str">
        <f t="shared" si="511"/>
        <v/>
      </c>
      <c r="U4700" s="37" t="str">
        <f t="shared" si="512"/>
        <v/>
      </c>
    </row>
    <row r="4701" spans="2:21" ht="17.25">
      <c r="B4701" s="156"/>
      <c r="C4701" s="156"/>
      <c r="D4701" s="157"/>
      <c r="E4701" s="155"/>
      <c r="F4701" s="151"/>
      <c r="G4701" s="152"/>
      <c r="H4701" s="153"/>
      <c r="I4701" s="154"/>
      <c r="J4701" s="154"/>
      <c r="K4701" s="30" t="str">
        <f>IF(H4701="","",IF($C$30="간이법","",FPR(H4701,I4701,J4701)))</f>
        <v/>
      </c>
      <c r="L4701" s="30" t="str">
        <f>IF(H4701="","",IF($C$30="상세법",FPV(H4701,K4701),IF(H4701="EI",4,IF(H4701="EO",5.2,IF(H4701="EQ",3.9,IF(H4701="ILF",7.5,IF(H4701="EIF",5.4)))))))</f>
        <v/>
      </c>
      <c r="M4701" s="30" t="str">
        <f t="shared" si="506"/>
        <v/>
      </c>
      <c r="N4701" s="134"/>
      <c r="O4701" s="29"/>
      <c r="P4701" s="37" t="str">
        <f t="shared" si="507"/>
        <v/>
      </c>
      <c r="Q4701" s="38" t="str">
        <f t="shared" si="508"/>
        <v/>
      </c>
      <c r="R4701" s="37" t="str">
        <f t="shared" si="509"/>
        <v/>
      </c>
      <c r="S4701" s="37" t="str">
        <f t="shared" si="510"/>
        <v/>
      </c>
      <c r="T4701" s="38" t="str">
        <f t="shared" si="511"/>
        <v/>
      </c>
      <c r="U4701" s="37" t="str">
        <f t="shared" si="512"/>
        <v/>
      </c>
    </row>
    <row r="4702" spans="2:21" ht="17.25">
      <c r="B4702" s="156"/>
      <c r="C4702" s="156"/>
      <c r="D4702" s="157"/>
      <c r="E4702" s="155"/>
      <c r="F4702" s="151"/>
      <c r="G4702" s="152"/>
      <c r="H4702" s="153"/>
      <c r="I4702" s="154"/>
      <c r="J4702" s="154"/>
      <c r="K4702" s="30" t="str">
        <f>IF(H4702="","",IF($C$30="간이법","",FPR(H4702,I4702,J4702)))</f>
        <v/>
      </c>
      <c r="L4702" s="30" t="str">
        <f>IF(H4702="","",IF($C$30="상세법",FPV(H4702,K4702),IF(H4702="EI",4,IF(H4702="EO",5.2,IF(H4702="EQ",3.9,IF(H4702="ILF",7.5,IF(H4702="EIF",5.4)))))))</f>
        <v/>
      </c>
      <c r="M4702" s="30" t="str">
        <f t="shared" si="506"/>
        <v/>
      </c>
      <c r="N4702" s="134"/>
      <c r="O4702" s="29"/>
      <c r="P4702" s="37" t="str">
        <f t="shared" si="507"/>
        <v/>
      </c>
      <c r="Q4702" s="38" t="str">
        <f t="shared" si="508"/>
        <v/>
      </c>
      <c r="R4702" s="37" t="str">
        <f t="shared" si="509"/>
        <v/>
      </c>
      <c r="S4702" s="37" t="str">
        <f t="shared" si="510"/>
        <v/>
      </c>
      <c r="T4702" s="38" t="str">
        <f t="shared" si="511"/>
        <v/>
      </c>
      <c r="U4702" s="37" t="str">
        <f t="shared" si="512"/>
        <v/>
      </c>
    </row>
    <row r="4703" spans="2:21" ht="17.25">
      <c r="B4703" s="156"/>
      <c r="C4703" s="156"/>
      <c r="D4703" s="157"/>
      <c r="E4703" s="155"/>
      <c r="F4703" s="151"/>
      <c r="G4703" s="152"/>
      <c r="H4703" s="153"/>
      <c r="I4703" s="154"/>
      <c r="J4703" s="154"/>
      <c r="K4703" s="30" t="str">
        <f>IF(H4703="","",IF($C$30="간이법","",FPR(H4703,I4703,J4703)))</f>
        <v/>
      </c>
      <c r="L4703" s="30" t="str">
        <f>IF(H4703="","",IF($C$30="상세법",FPV(H4703,K4703),IF(H4703="EI",4,IF(H4703="EO",5.2,IF(H4703="EQ",3.9,IF(H4703="ILF",7.5,IF(H4703="EIF",5.4)))))))</f>
        <v/>
      </c>
      <c r="M4703" s="30" t="str">
        <f t="shared" si="506"/>
        <v/>
      </c>
      <c r="N4703" s="134"/>
      <c r="O4703" s="29"/>
      <c r="P4703" s="37" t="str">
        <f t="shared" si="507"/>
        <v/>
      </c>
      <c r="Q4703" s="38" t="str">
        <f t="shared" si="508"/>
        <v/>
      </c>
      <c r="R4703" s="37" t="str">
        <f t="shared" si="509"/>
        <v/>
      </c>
      <c r="S4703" s="37" t="str">
        <f t="shared" si="510"/>
        <v/>
      </c>
      <c r="T4703" s="38" t="str">
        <f t="shared" si="511"/>
        <v/>
      </c>
      <c r="U4703" s="37" t="str">
        <f t="shared" si="512"/>
        <v/>
      </c>
    </row>
    <row r="4704" spans="2:21" ht="17.25">
      <c r="B4704" s="156"/>
      <c r="C4704" s="156"/>
      <c r="D4704" s="157"/>
      <c r="E4704" s="155"/>
      <c r="F4704" s="151"/>
      <c r="G4704" s="152"/>
      <c r="H4704" s="153"/>
      <c r="I4704" s="154"/>
      <c r="J4704" s="154"/>
      <c r="K4704" s="30" t="str">
        <f>IF(H4704="","",IF($C$30="간이법","",FPR(H4704,I4704,J4704)))</f>
        <v/>
      </c>
      <c r="L4704" s="30" t="str">
        <f>IF(H4704="","",IF($C$30="상세법",FPV(H4704,K4704),IF(H4704="EI",4,IF(H4704="EO",5.2,IF(H4704="EQ",3.9,IF(H4704="ILF",7.5,IF(H4704="EIF",5.4)))))))</f>
        <v/>
      </c>
      <c r="M4704" s="30" t="str">
        <f t="shared" si="506"/>
        <v/>
      </c>
      <c r="N4704" s="134"/>
      <c r="O4704" s="29"/>
      <c r="P4704" s="37" t="str">
        <f t="shared" si="507"/>
        <v/>
      </c>
      <c r="Q4704" s="38" t="str">
        <f t="shared" si="508"/>
        <v/>
      </c>
      <c r="R4704" s="37" t="str">
        <f t="shared" si="509"/>
        <v/>
      </c>
      <c r="S4704" s="37" t="str">
        <f t="shared" si="510"/>
        <v/>
      </c>
      <c r="T4704" s="38" t="str">
        <f t="shared" si="511"/>
        <v/>
      </c>
      <c r="U4704" s="37" t="str">
        <f t="shared" si="512"/>
        <v/>
      </c>
    </row>
    <row r="4705" spans="2:21" ht="17.25">
      <c r="B4705" s="156"/>
      <c r="C4705" s="156"/>
      <c r="D4705" s="157"/>
      <c r="E4705" s="155"/>
      <c r="F4705" s="151"/>
      <c r="G4705" s="152"/>
      <c r="H4705" s="153"/>
      <c r="I4705" s="154"/>
      <c r="J4705" s="154"/>
      <c r="K4705" s="30" t="str">
        <f>IF(H4705="","",IF($C$30="간이법","",FPR(H4705,I4705,J4705)))</f>
        <v/>
      </c>
      <c r="L4705" s="30" t="str">
        <f>IF(H4705="","",IF($C$30="상세법",FPV(H4705,K4705),IF(H4705="EI",4,IF(H4705="EO",5.2,IF(H4705="EQ",3.9,IF(H4705="ILF",7.5,IF(H4705="EIF",5.4)))))))</f>
        <v/>
      </c>
      <c r="M4705" s="30" t="str">
        <f t="shared" si="506"/>
        <v/>
      </c>
      <c r="N4705" s="134"/>
      <c r="O4705" s="29"/>
      <c r="P4705" s="37" t="str">
        <f t="shared" si="507"/>
        <v/>
      </c>
      <c r="Q4705" s="38" t="str">
        <f t="shared" si="508"/>
        <v/>
      </c>
      <c r="R4705" s="37" t="str">
        <f t="shared" si="509"/>
        <v/>
      </c>
      <c r="S4705" s="37" t="str">
        <f t="shared" si="510"/>
        <v/>
      </c>
      <c r="T4705" s="38" t="str">
        <f t="shared" si="511"/>
        <v/>
      </c>
      <c r="U4705" s="37" t="str">
        <f t="shared" si="512"/>
        <v/>
      </c>
    </row>
    <row r="4706" spans="2:21" ht="17.25">
      <c r="B4706" s="156"/>
      <c r="C4706" s="156"/>
      <c r="D4706" s="157"/>
      <c r="E4706" s="155"/>
      <c r="F4706" s="151"/>
      <c r="G4706" s="152"/>
      <c r="H4706" s="153"/>
      <c r="I4706" s="154"/>
      <c r="J4706" s="154"/>
      <c r="K4706" s="30" t="str">
        <f>IF(H4706="","",IF($C$30="간이법","",FPR(H4706,I4706,J4706)))</f>
        <v/>
      </c>
      <c r="L4706" s="30" t="str">
        <f>IF(H4706="","",IF($C$30="상세법",FPV(H4706,K4706),IF(H4706="EI",4,IF(H4706="EO",5.2,IF(H4706="EQ",3.9,IF(H4706="ILF",7.5,IF(H4706="EIF",5.4)))))))</f>
        <v/>
      </c>
      <c r="M4706" s="30" t="str">
        <f t="shared" si="506"/>
        <v/>
      </c>
      <c r="N4706" s="134"/>
      <c r="O4706" s="29"/>
      <c r="P4706" s="37" t="str">
        <f t="shared" si="507"/>
        <v/>
      </c>
      <c r="Q4706" s="38" t="str">
        <f t="shared" si="508"/>
        <v/>
      </c>
      <c r="R4706" s="37" t="str">
        <f t="shared" si="509"/>
        <v/>
      </c>
      <c r="S4706" s="37" t="str">
        <f t="shared" si="510"/>
        <v/>
      </c>
      <c r="T4706" s="38" t="str">
        <f t="shared" si="511"/>
        <v/>
      </c>
      <c r="U4706" s="37" t="str">
        <f t="shared" si="512"/>
        <v/>
      </c>
    </row>
    <row r="4707" spans="2:21" ht="17.25">
      <c r="B4707" s="156"/>
      <c r="C4707" s="156"/>
      <c r="D4707" s="157"/>
      <c r="E4707" s="155"/>
      <c r="F4707" s="151"/>
      <c r="G4707" s="152"/>
      <c r="H4707" s="153"/>
      <c r="I4707" s="154"/>
      <c r="J4707" s="154"/>
      <c r="K4707" s="30" t="str">
        <f>IF(H4707="","",IF($C$30="간이법","",FPR(H4707,I4707,J4707)))</f>
        <v/>
      </c>
      <c r="L4707" s="30" t="str">
        <f>IF(H4707="","",IF($C$30="상세법",FPV(H4707,K4707),IF(H4707="EI",4,IF(H4707="EO",5.2,IF(H4707="EQ",3.9,IF(H4707="ILF",7.5,IF(H4707="EIF",5.4)))))))</f>
        <v/>
      </c>
      <c r="M4707" s="30" t="str">
        <f t="shared" si="506"/>
        <v/>
      </c>
      <c r="N4707" s="134"/>
      <c r="O4707" s="29"/>
      <c r="P4707" s="37" t="str">
        <f t="shared" si="507"/>
        <v/>
      </c>
      <c r="Q4707" s="38" t="str">
        <f t="shared" si="508"/>
        <v/>
      </c>
      <c r="R4707" s="37" t="str">
        <f t="shared" si="509"/>
        <v/>
      </c>
      <c r="S4707" s="37" t="str">
        <f t="shared" si="510"/>
        <v/>
      </c>
      <c r="T4707" s="38" t="str">
        <f t="shared" si="511"/>
        <v/>
      </c>
      <c r="U4707" s="37" t="str">
        <f t="shared" si="512"/>
        <v/>
      </c>
    </row>
    <row r="4708" spans="2:21" ht="17.25">
      <c r="B4708" s="156"/>
      <c r="C4708" s="156"/>
      <c r="D4708" s="157"/>
      <c r="E4708" s="155"/>
      <c r="F4708" s="151"/>
      <c r="G4708" s="152"/>
      <c r="H4708" s="153"/>
      <c r="I4708" s="154"/>
      <c r="J4708" s="154"/>
      <c r="K4708" s="30" t="str">
        <f>IF(H4708="","",IF($C$30="간이법","",FPR(H4708,I4708,J4708)))</f>
        <v/>
      </c>
      <c r="L4708" s="30" t="str">
        <f>IF(H4708="","",IF($C$30="상세법",FPV(H4708,K4708),IF(H4708="EI",4,IF(H4708="EO",5.2,IF(H4708="EQ",3.9,IF(H4708="ILF",7.5,IF(H4708="EIF",5.4)))))))</f>
        <v/>
      </c>
      <c r="M4708" s="30" t="str">
        <f t="shared" si="506"/>
        <v/>
      </c>
      <c r="N4708" s="134"/>
      <c r="O4708" s="29"/>
      <c r="P4708" s="37" t="str">
        <f t="shared" si="507"/>
        <v/>
      </c>
      <c r="Q4708" s="38" t="str">
        <f t="shared" si="508"/>
        <v/>
      </c>
      <c r="R4708" s="37" t="str">
        <f t="shared" si="509"/>
        <v/>
      </c>
      <c r="S4708" s="37" t="str">
        <f t="shared" si="510"/>
        <v/>
      </c>
      <c r="T4708" s="38" t="str">
        <f t="shared" si="511"/>
        <v/>
      </c>
      <c r="U4708" s="37" t="str">
        <f t="shared" si="512"/>
        <v/>
      </c>
    </row>
    <row r="4709" spans="2:21" ht="17.25">
      <c r="B4709" s="156"/>
      <c r="C4709" s="156"/>
      <c r="D4709" s="157"/>
      <c r="E4709" s="155"/>
      <c r="F4709" s="151"/>
      <c r="G4709" s="152"/>
      <c r="H4709" s="153"/>
      <c r="I4709" s="154"/>
      <c r="J4709" s="154"/>
      <c r="K4709" s="30" t="str">
        <f>IF(H4709="","",IF($C$30="간이법","",FPR(H4709,I4709,J4709)))</f>
        <v/>
      </c>
      <c r="L4709" s="30" t="str">
        <f>IF(H4709="","",IF($C$30="상세법",FPV(H4709,K4709),IF(H4709="EI",4,IF(H4709="EO",5.2,IF(H4709="EQ",3.9,IF(H4709="ILF",7.5,IF(H4709="EIF",5.4)))))))</f>
        <v/>
      </c>
      <c r="M4709" s="30" t="str">
        <f t="shared" si="506"/>
        <v/>
      </c>
      <c r="N4709" s="134"/>
      <c r="O4709" s="29"/>
      <c r="P4709" s="37" t="str">
        <f t="shared" si="507"/>
        <v/>
      </c>
      <c r="Q4709" s="38" t="str">
        <f t="shared" si="508"/>
        <v/>
      </c>
      <c r="R4709" s="37" t="str">
        <f t="shared" si="509"/>
        <v/>
      </c>
      <c r="S4709" s="37" t="str">
        <f t="shared" si="510"/>
        <v/>
      </c>
      <c r="T4709" s="38" t="str">
        <f t="shared" si="511"/>
        <v/>
      </c>
      <c r="U4709" s="37" t="str">
        <f t="shared" si="512"/>
        <v/>
      </c>
    </row>
    <row r="4710" spans="2:21" ht="17.25">
      <c r="B4710" s="156"/>
      <c r="C4710" s="156"/>
      <c r="D4710" s="157"/>
      <c r="E4710" s="155"/>
      <c r="F4710" s="151"/>
      <c r="G4710" s="152"/>
      <c r="H4710" s="153"/>
      <c r="I4710" s="154"/>
      <c r="J4710" s="154"/>
      <c r="K4710" s="30" t="str">
        <f>IF(H4710="","",IF($C$30="간이법","",FPR(H4710,I4710,J4710)))</f>
        <v/>
      </c>
      <c r="L4710" s="30" t="str">
        <f>IF(H4710="","",IF($C$30="상세법",FPV(H4710,K4710),IF(H4710="EI",4,IF(H4710="EO",5.2,IF(H4710="EQ",3.9,IF(H4710="ILF",7.5,IF(H4710="EIF",5.4)))))))</f>
        <v/>
      </c>
      <c r="M4710" s="30" t="str">
        <f t="shared" si="506"/>
        <v/>
      </c>
      <c r="N4710" s="134"/>
      <c r="O4710" s="29"/>
      <c r="P4710" s="37" t="str">
        <f t="shared" si="507"/>
        <v/>
      </c>
      <c r="Q4710" s="38" t="str">
        <f t="shared" si="508"/>
        <v/>
      </c>
      <c r="R4710" s="37" t="str">
        <f t="shared" si="509"/>
        <v/>
      </c>
      <c r="S4710" s="37" t="str">
        <f t="shared" si="510"/>
        <v/>
      </c>
      <c r="T4710" s="38" t="str">
        <f t="shared" si="511"/>
        <v/>
      </c>
      <c r="U4710" s="37" t="str">
        <f t="shared" si="512"/>
        <v/>
      </c>
    </row>
    <row r="4711" spans="2:21" ht="17.25">
      <c r="B4711" s="156"/>
      <c r="C4711" s="156"/>
      <c r="D4711" s="157"/>
      <c r="E4711" s="155"/>
      <c r="F4711" s="151"/>
      <c r="G4711" s="152"/>
      <c r="H4711" s="153"/>
      <c r="I4711" s="154"/>
      <c r="J4711" s="154"/>
      <c r="K4711" s="30" t="str">
        <f>IF(H4711="","",IF($C$30="간이법","",FPR(H4711,I4711,J4711)))</f>
        <v/>
      </c>
      <c r="L4711" s="30" t="str">
        <f>IF(H4711="","",IF($C$30="상세법",FPV(H4711,K4711),IF(H4711="EI",4,IF(H4711="EO",5.2,IF(H4711="EQ",3.9,IF(H4711="ILF",7.5,IF(H4711="EIF",5.4)))))))</f>
        <v/>
      </c>
      <c r="M4711" s="30" t="str">
        <f t="shared" si="506"/>
        <v/>
      </c>
      <c r="N4711" s="134"/>
      <c r="O4711" s="29"/>
      <c r="P4711" s="37" t="str">
        <f t="shared" si="507"/>
        <v/>
      </c>
      <c r="Q4711" s="38" t="str">
        <f t="shared" si="508"/>
        <v/>
      </c>
      <c r="R4711" s="37" t="str">
        <f t="shared" si="509"/>
        <v/>
      </c>
      <c r="S4711" s="37" t="str">
        <f t="shared" si="510"/>
        <v/>
      </c>
      <c r="T4711" s="38" t="str">
        <f t="shared" si="511"/>
        <v/>
      </c>
      <c r="U4711" s="37" t="str">
        <f t="shared" si="512"/>
        <v/>
      </c>
    </row>
    <row r="4712" spans="2:21" ht="17.25">
      <c r="B4712" s="156"/>
      <c r="C4712" s="156"/>
      <c r="D4712" s="157"/>
      <c r="E4712" s="155"/>
      <c r="F4712" s="151"/>
      <c r="G4712" s="152"/>
      <c r="H4712" s="153"/>
      <c r="I4712" s="154"/>
      <c r="J4712" s="154"/>
      <c r="K4712" s="30" t="str">
        <f>IF(H4712="","",IF($C$30="간이법","",FPR(H4712,I4712,J4712)))</f>
        <v/>
      </c>
      <c r="L4712" s="30" t="str">
        <f>IF(H4712="","",IF($C$30="상세법",FPV(H4712,K4712),IF(H4712="EI",4,IF(H4712="EO",5.2,IF(H4712="EQ",3.9,IF(H4712="ILF",7.5,IF(H4712="EIF",5.4)))))))</f>
        <v/>
      </c>
      <c r="M4712" s="30" t="str">
        <f t="shared" si="506"/>
        <v/>
      </c>
      <c r="N4712" s="134"/>
      <c r="O4712" s="29"/>
      <c r="P4712" s="37" t="str">
        <f t="shared" si="507"/>
        <v/>
      </c>
      <c r="Q4712" s="38" t="str">
        <f t="shared" si="508"/>
        <v/>
      </c>
      <c r="R4712" s="37" t="str">
        <f t="shared" si="509"/>
        <v/>
      </c>
      <c r="S4712" s="37" t="str">
        <f t="shared" si="510"/>
        <v/>
      </c>
      <c r="T4712" s="38" t="str">
        <f t="shared" si="511"/>
        <v/>
      </c>
      <c r="U4712" s="37" t="str">
        <f t="shared" si="512"/>
        <v/>
      </c>
    </row>
    <row r="4713" spans="2:21" ht="17.25">
      <c r="B4713" s="156"/>
      <c r="C4713" s="156"/>
      <c r="D4713" s="157"/>
      <c r="E4713" s="155"/>
      <c r="F4713" s="151"/>
      <c r="G4713" s="152"/>
      <c r="H4713" s="153"/>
      <c r="I4713" s="154"/>
      <c r="J4713" s="154"/>
      <c r="K4713" s="30" t="str">
        <f>IF(H4713="","",IF($C$30="간이법","",FPR(H4713,I4713,J4713)))</f>
        <v/>
      </c>
      <c r="L4713" s="30" t="str">
        <f>IF(H4713="","",IF($C$30="상세법",FPV(H4713,K4713),IF(H4713="EI",4,IF(H4713="EO",5.2,IF(H4713="EQ",3.9,IF(H4713="ILF",7.5,IF(H4713="EIF",5.4)))))))</f>
        <v/>
      </c>
      <c r="M4713" s="30" t="str">
        <f t="shared" si="506"/>
        <v/>
      </c>
      <c r="N4713" s="134"/>
      <c r="O4713" s="29"/>
      <c r="P4713" s="37" t="str">
        <f t="shared" si="507"/>
        <v/>
      </c>
      <c r="Q4713" s="38" t="str">
        <f t="shared" si="508"/>
        <v/>
      </c>
      <c r="R4713" s="37" t="str">
        <f t="shared" si="509"/>
        <v/>
      </c>
      <c r="S4713" s="37" t="str">
        <f t="shared" si="510"/>
        <v/>
      </c>
      <c r="T4713" s="38" t="str">
        <f t="shared" si="511"/>
        <v/>
      </c>
      <c r="U4713" s="37" t="str">
        <f t="shared" si="512"/>
        <v/>
      </c>
    </row>
    <row r="4714" spans="2:21" ht="17.25">
      <c r="B4714" s="156"/>
      <c r="C4714" s="156"/>
      <c r="D4714" s="157"/>
      <c r="E4714" s="155"/>
      <c r="F4714" s="151"/>
      <c r="G4714" s="152"/>
      <c r="H4714" s="153"/>
      <c r="I4714" s="154"/>
      <c r="J4714" s="154"/>
      <c r="K4714" s="30" t="str">
        <f>IF(H4714="","",IF($C$30="간이법","",FPR(H4714,I4714,J4714)))</f>
        <v/>
      </c>
      <c r="L4714" s="30" t="str">
        <f>IF(H4714="","",IF($C$30="상세법",FPV(H4714,K4714),IF(H4714="EI",4,IF(H4714="EO",5.2,IF(H4714="EQ",3.9,IF(H4714="ILF",7.5,IF(H4714="EIF",5.4)))))))</f>
        <v/>
      </c>
      <c r="M4714" s="30" t="str">
        <f t="shared" si="506"/>
        <v/>
      </c>
      <c r="N4714" s="134"/>
      <c r="O4714" s="29"/>
      <c r="P4714" s="37" t="str">
        <f t="shared" si="507"/>
        <v/>
      </c>
      <c r="Q4714" s="38" t="str">
        <f t="shared" si="508"/>
        <v/>
      </c>
      <c r="R4714" s="37" t="str">
        <f t="shared" si="509"/>
        <v/>
      </c>
      <c r="S4714" s="37" t="str">
        <f t="shared" si="510"/>
        <v/>
      </c>
      <c r="T4714" s="38" t="str">
        <f t="shared" si="511"/>
        <v/>
      </c>
      <c r="U4714" s="37" t="str">
        <f t="shared" si="512"/>
        <v/>
      </c>
    </row>
    <row r="4715" spans="2:21" ht="17.25">
      <c r="B4715" s="156"/>
      <c r="C4715" s="156"/>
      <c r="D4715" s="157"/>
      <c r="E4715" s="155"/>
      <c r="F4715" s="151"/>
      <c r="G4715" s="152"/>
      <c r="H4715" s="153"/>
      <c r="I4715" s="154"/>
      <c r="J4715" s="154"/>
      <c r="K4715" s="30" t="str">
        <f>IF(H4715="","",IF($C$30="간이법","",FPR(H4715,I4715,J4715)))</f>
        <v/>
      </c>
      <c r="L4715" s="30" t="str">
        <f>IF(H4715="","",IF($C$30="상세법",FPV(H4715,K4715),IF(H4715="EI",4,IF(H4715="EO",5.2,IF(H4715="EQ",3.9,IF(H4715="ILF",7.5,IF(H4715="EIF",5.4)))))))</f>
        <v/>
      </c>
      <c r="M4715" s="30" t="str">
        <f t="shared" si="506"/>
        <v/>
      </c>
      <c r="N4715" s="134"/>
      <c r="O4715" s="29"/>
      <c r="P4715" s="37" t="str">
        <f t="shared" si="507"/>
        <v/>
      </c>
      <c r="Q4715" s="38" t="str">
        <f t="shared" si="508"/>
        <v/>
      </c>
      <c r="R4715" s="37" t="str">
        <f t="shared" si="509"/>
        <v/>
      </c>
      <c r="S4715" s="37" t="str">
        <f t="shared" si="510"/>
        <v/>
      </c>
      <c r="T4715" s="38" t="str">
        <f t="shared" si="511"/>
        <v/>
      </c>
      <c r="U4715" s="37" t="str">
        <f t="shared" si="512"/>
        <v/>
      </c>
    </row>
    <row r="4716" spans="2:21" ht="17.25">
      <c r="B4716" s="156"/>
      <c r="C4716" s="156"/>
      <c r="D4716" s="157"/>
      <c r="E4716" s="155"/>
      <c r="F4716" s="151"/>
      <c r="G4716" s="152"/>
      <c r="H4716" s="153"/>
      <c r="I4716" s="154"/>
      <c r="J4716" s="154"/>
      <c r="K4716" s="30" t="str">
        <f>IF(H4716="","",IF($C$30="간이법","",FPR(H4716,I4716,J4716)))</f>
        <v/>
      </c>
      <c r="L4716" s="30" t="str">
        <f>IF(H4716="","",IF($C$30="상세법",FPV(H4716,K4716),IF(H4716="EI",4,IF(H4716="EO",5.2,IF(H4716="EQ",3.9,IF(H4716="ILF",7.5,IF(H4716="EIF",5.4)))))))</f>
        <v/>
      </c>
      <c r="M4716" s="30" t="str">
        <f t="shared" si="506"/>
        <v/>
      </c>
      <c r="N4716" s="134"/>
      <c r="O4716" s="29"/>
      <c r="P4716" s="37" t="str">
        <f t="shared" si="507"/>
        <v/>
      </c>
      <c r="Q4716" s="38" t="str">
        <f t="shared" si="508"/>
        <v/>
      </c>
      <c r="R4716" s="37" t="str">
        <f t="shared" si="509"/>
        <v/>
      </c>
      <c r="S4716" s="37" t="str">
        <f t="shared" si="510"/>
        <v/>
      </c>
      <c r="T4716" s="38" t="str">
        <f t="shared" si="511"/>
        <v/>
      </c>
      <c r="U4716" s="37" t="str">
        <f t="shared" si="512"/>
        <v/>
      </c>
    </row>
    <row r="4717" spans="2:21" ht="17.25">
      <c r="B4717" s="156"/>
      <c r="C4717" s="156"/>
      <c r="D4717" s="157"/>
      <c r="E4717" s="155"/>
      <c r="F4717" s="151"/>
      <c r="G4717" s="152"/>
      <c r="H4717" s="153"/>
      <c r="I4717" s="154"/>
      <c r="J4717" s="154"/>
      <c r="K4717" s="30" t="str">
        <f>IF(H4717="","",IF($C$30="간이법","",FPR(H4717,I4717,J4717)))</f>
        <v/>
      </c>
      <c r="L4717" s="30" t="str">
        <f>IF(H4717="","",IF($C$30="상세법",FPV(H4717,K4717),IF(H4717="EI",4,IF(H4717="EO",5.2,IF(H4717="EQ",3.9,IF(H4717="ILF",7.5,IF(H4717="EIF",5.4)))))))</f>
        <v/>
      </c>
      <c r="M4717" s="30" t="str">
        <f t="shared" si="506"/>
        <v/>
      </c>
      <c r="N4717" s="134"/>
      <c r="O4717" s="29"/>
      <c r="P4717" s="37" t="str">
        <f t="shared" si="507"/>
        <v/>
      </c>
      <c r="Q4717" s="38" t="str">
        <f t="shared" si="508"/>
        <v/>
      </c>
      <c r="R4717" s="37" t="str">
        <f t="shared" si="509"/>
        <v/>
      </c>
      <c r="S4717" s="37" t="str">
        <f t="shared" si="510"/>
        <v/>
      </c>
      <c r="T4717" s="38" t="str">
        <f t="shared" si="511"/>
        <v/>
      </c>
      <c r="U4717" s="37" t="str">
        <f t="shared" si="512"/>
        <v/>
      </c>
    </row>
    <row r="4718" spans="2:21" ht="17.25">
      <c r="B4718" s="156"/>
      <c r="C4718" s="156"/>
      <c r="D4718" s="157"/>
      <c r="E4718" s="155"/>
      <c r="F4718" s="151"/>
      <c r="G4718" s="152"/>
      <c r="H4718" s="153"/>
      <c r="I4718" s="154"/>
      <c r="J4718" s="154"/>
      <c r="K4718" s="30" t="str">
        <f>IF(H4718="","",IF($C$30="간이법","",FPR(H4718,I4718,J4718)))</f>
        <v/>
      </c>
      <c r="L4718" s="30" t="str">
        <f>IF(H4718="","",IF($C$30="상세법",FPV(H4718,K4718),IF(H4718="EI",4,IF(H4718="EO",5.2,IF(H4718="EQ",3.9,IF(H4718="ILF",7.5,IF(H4718="EIF",5.4)))))))</f>
        <v/>
      </c>
      <c r="M4718" s="30" t="str">
        <f t="shared" si="506"/>
        <v/>
      </c>
      <c r="N4718" s="134"/>
      <c r="O4718" s="29"/>
      <c r="P4718" s="37" t="str">
        <f t="shared" si="507"/>
        <v/>
      </c>
      <c r="Q4718" s="38" t="str">
        <f t="shared" si="508"/>
        <v/>
      </c>
      <c r="R4718" s="37" t="str">
        <f t="shared" si="509"/>
        <v/>
      </c>
      <c r="S4718" s="37" t="str">
        <f t="shared" si="510"/>
        <v/>
      </c>
      <c r="T4718" s="38" t="str">
        <f t="shared" si="511"/>
        <v/>
      </c>
      <c r="U4718" s="37" t="str">
        <f t="shared" si="512"/>
        <v/>
      </c>
    </row>
    <row r="4719" spans="2:21" ht="17.25">
      <c r="B4719" s="156"/>
      <c r="C4719" s="156"/>
      <c r="D4719" s="157"/>
      <c r="E4719" s="155"/>
      <c r="F4719" s="151"/>
      <c r="G4719" s="152"/>
      <c r="H4719" s="153"/>
      <c r="I4719" s="154"/>
      <c r="J4719" s="154"/>
      <c r="K4719" s="30" t="str">
        <f>IF(H4719="","",IF($C$30="간이법","",FPR(H4719,I4719,J4719)))</f>
        <v/>
      </c>
      <c r="L4719" s="30" t="str">
        <f>IF(H4719="","",IF($C$30="상세법",FPV(H4719,K4719),IF(H4719="EI",4,IF(H4719="EO",5.2,IF(H4719="EQ",3.9,IF(H4719="ILF",7.5,IF(H4719="EIF",5.4)))))))</f>
        <v/>
      </c>
      <c r="M4719" s="30" t="str">
        <f t="shared" si="506"/>
        <v/>
      </c>
      <c r="N4719" s="134"/>
      <c r="O4719" s="29"/>
      <c r="P4719" s="37" t="str">
        <f t="shared" si="507"/>
        <v/>
      </c>
      <c r="Q4719" s="38" t="str">
        <f t="shared" si="508"/>
        <v/>
      </c>
      <c r="R4719" s="37" t="str">
        <f t="shared" si="509"/>
        <v/>
      </c>
      <c r="S4719" s="37" t="str">
        <f t="shared" si="510"/>
        <v/>
      </c>
      <c r="T4719" s="38" t="str">
        <f t="shared" si="511"/>
        <v/>
      </c>
      <c r="U4719" s="37" t="str">
        <f t="shared" si="512"/>
        <v/>
      </c>
    </row>
    <row r="4720" spans="2:21" ht="17.25">
      <c r="B4720" s="156"/>
      <c r="C4720" s="156"/>
      <c r="D4720" s="157"/>
      <c r="E4720" s="155"/>
      <c r="F4720" s="151"/>
      <c r="G4720" s="152"/>
      <c r="H4720" s="153"/>
      <c r="I4720" s="154"/>
      <c r="J4720" s="154"/>
      <c r="K4720" s="30" t="str">
        <f>IF(H4720="","",IF($C$30="간이법","",FPR(H4720,I4720,J4720)))</f>
        <v/>
      </c>
      <c r="L4720" s="30" t="str">
        <f>IF(H4720="","",IF($C$30="상세법",FPV(H4720,K4720),IF(H4720="EI",4,IF(H4720="EO",5.2,IF(H4720="EQ",3.9,IF(H4720="ILF",7.5,IF(H4720="EIF",5.4)))))))</f>
        <v/>
      </c>
      <c r="M4720" s="30" t="str">
        <f t="shared" si="506"/>
        <v/>
      </c>
      <c r="N4720" s="134"/>
      <c r="O4720" s="29"/>
      <c r="P4720" s="37" t="str">
        <f t="shared" si="507"/>
        <v/>
      </c>
      <c r="Q4720" s="38" t="str">
        <f t="shared" si="508"/>
        <v/>
      </c>
      <c r="R4720" s="37" t="str">
        <f t="shared" si="509"/>
        <v/>
      </c>
      <c r="S4720" s="37" t="str">
        <f t="shared" si="510"/>
        <v/>
      </c>
      <c r="T4720" s="38" t="str">
        <f t="shared" si="511"/>
        <v/>
      </c>
      <c r="U4720" s="37" t="str">
        <f t="shared" si="512"/>
        <v/>
      </c>
    </row>
    <row r="4721" spans="2:21" ht="17.25">
      <c r="B4721" s="156"/>
      <c r="C4721" s="156"/>
      <c r="D4721" s="157"/>
      <c r="E4721" s="155"/>
      <c r="F4721" s="151"/>
      <c r="G4721" s="152"/>
      <c r="H4721" s="153"/>
      <c r="I4721" s="154"/>
      <c r="J4721" s="154"/>
      <c r="K4721" s="30" t="str">
        <f>IF(H4721="","",IF($C$30="간이법","",FPR(H4721,I4721,J4721)))</f>
        <v/>
      </c>
      <c r="L4721" s="30" t="str">
        <f>IF(H4721="","",IF($C$30="상세법",FPV(H4721,K4721),IF(H4721="EI",4,IF(H4721="EO",5.2,IF(H4721="EQ",3.9,IF(H4721="ILF",7.5,IF(H4721="EIF",5.4)))))))</f>
        <v/>
      </c>
      <c r="M4721" s="30" t="str">
        <f t="shared" si="506"/>
        <v/>
      </c>
      <c r="N4721" s="134"/>
      <c r="O4721" s="29"/>
      <c r="P4721" s="37" t="str">
        <f t="shared" si="507"/>
        <v/>
      </c>
      <c r="Q4721" s="38" t="str">
        <f t="shared" si="508"/>
        <v/>
      </c>
      <c r="R4721" s="37" t="str">
        <f t="shared" si="509"/>
        <v/>
      </c>
      <c r="S4721" s="37" t="str">
        <f t="shared" si="510"/>
        <v/>
      </c>
      <c r="T4721" s="38" t="str">
        <f t="shared" si="511"/>
        <v/>
      </c>
      <c r="U4721" s="37" t="str">
        <f t="shared" si="512"/>
        <v/>
      </c>
    </row>
    <row r="4722" spans="2:21" ht="17.25">
      <c r="B4722" s="156"/>
      <c r="C4722" s="156"/>
      <c r="D4722" s="157"/>
      <c r="E4722" s="155"/>
      <c r="F4722" s="151"/>
      <c r="G4722" s="152"/>
      <c r="H4722" s="153"/>
      <c r="I4722" s="154"/>
      <c r="J4722" s="154"/>
      <c r="K4722" s="30" t="str">
        <f>IF(H4722="","",IF($C$30="간이법","",FPR(H4722,I4722,J4722)))</f>
        <v/>
      </c>
      <c r="L4722" s="30" t="str">
        <f>IF(H4722="","",IF($C$30="상세법",FPV(H4722,K4722),IF(H4722="EI",4,IF(H4722="EO",5.2,IF(H4722="EQ",3.9,IF(H4722="ILF",7.5,IF(H4722="EIF",5.4)))))))</f>
        <v/>
      </c>
      <c r="M4722" s="30" t="str">
        <f t="shared" si="506"/>
        <v/>
      </c>
      <c r="N4722" s="134"/>
      <c r="O4722" s="29"/>
      <c r="P4722" s="37" t="str">
        <f t="shared" si="507"/>
        <v/>
      </c>
      <c r="Q4722" s="38" t="str">
        <f t="shared" si="508"/>
        <v/>
      </c>
      <c r="R4722" s="37" t="str">
        <f t="shared" si="509"/>
        <v/>
      </c>
      <c r="S4722" s="37" t="str">
        <f t="shared" si="510"/>
        <v/>
      </c>
      <c r="T4722" s="38" t="str">
        <f t="shared" si="511"/>
        <v/>
      </c>
      <c r="U4722" s="37" t="str">
        <f t="shared" si="512"/>
        <v/>
      </c>
    </row>
    <row r="4723" spans="2:21" ht="17.25">
      <c r="B4723" s="156"/>
      <c r="C4723" s="156"/>
      <c r="D4723" s="157"/>
      <c r="E4723" s="155"/>
      <c r="F4723" s="151"/>
      <c r="G4723" s="152"/>
      <c r="H4723" s="153"/>
      <c r="I4723" s="154"/>
      <c r="J4723" s="154"/>
      <c r="K4723" s="30" t="str">
        <f>IF(H4723="","",IF($C$30="간이법","",FPR(H4723,I4723,J4723)))</f>
        <v/>
      </c>
      <c r="L4723" s="30" t="str">
        <f>IF(H4723="","",IF($C$30="상세법",FPV(H4723,K4723),IF(H4723="EI",4,IF(H4723="EO",5.2,IF(H4723="EQ",3.9,IF(H4723="ILF",7.5,IF(H4723="EIF",5.4)))))))</f>
        <v/>
      </c>
      <c r="M4723" s="30" t="str">
        <f t="shared" si="506"/>
        <v/>
      </c>
      <c r="N4723" s="134"/>
      <c r="O4723" s="29"/>
      <c r="P4723" s="37" t="str">
        <f t="shared" si="507"/>
        <v/>
      </c>
      <c r="Q4723" s="38" t="str">
        <f t="shared" si="508"/>
        <v/>
      </c>
      <c r="R4723" s="37" t="str">
        <f t="shared" si="509"/>
        <v/>
      </c>
      <c r="S4723" s="37" t="str">
        <f t="shared" si="510"/>
        <v/>
      </c>
      <c r="T4723" s="38" t="str">
        <f t="shared" si="511"/>
        <v/>
      </c>
      <c r="U4723" s="37" t="str">
        <f t="shared" si="512"/>
        <v/>
      </c>
    </row>
    <row r="4724" spans="2:21" ht="17.25">
      <c r="B4724" s="156"/>
      <c r="C4724" s="156"/>
      <c r="D4724" s="157"/>
      <c r="E4724" s="155"/>
      <c r="F4724" s="151"/>
      <c r="G4724" s="152"/>
      <c r="H4724" s="153"/>
      <c r="I4724" s="154"/>
      <c r="J4724" s="154"/>
      <c r="K4724" s="30" t="str">
        <f>IF(H4724="","",IF($C$30="간이법","",FPR(H4724,I4724,J4724)))</f>
        <v/>
      </c>
      <c r="L4724" s="30" t="str">
        <f>IF(H4724="","",IF($C$30="상세법",FPV(H4724,K4724),IF(H4724="EI",4,IF(H4724="EO",5.2,IF(H4724="EQ",3.9,IF(H4724="ILF",7.5,IF(H4724="EIF",5.4)))))))</f>
        <v/>
      </c>
      <c r="M4724" s="30" t="str">
        <f t="shared" si="506"/>
        <v/>
      </c>
      <c r="N4724" s="134"/>
      <c r="O4724" s="29"/>
      <c r="P4724" s="37" t="str">
        <f t="shared" si="507"/>
        <v/>
      </c>
      <c r="Q4724" s="38" t="str">
        <f t="shared" si="508"/>
        <v/>
      </c>
      <c r="R4724" s="37" t="str">
        <f t="shared" si="509"/>
        <v/>
      </c>
      <c r="S4724" s="37" t="str">
        <f t="shared" si="510"/>
        <v/>
      </c>
      <c r="T4724" s="38" t="str">
        <f t="shared" si="511"/>
        <v/>
      </c>
      <c r="U4724" s="37" t="str">
        <f t="shared" si="512"/>
        <v/>
      </c>
    </row>
    <row r="4725" spans="2:21" ht="17.25">
      <c r="B4725" s="156"/>
      <c r="C4725" s="156"/>
      <c r="D4725" s="157"/>
      <c r="E4725" s="155"/>
      <c r="F4725" s="151"/>
      <c r="G4725" s="152"/>
      <c r="H4725" s="153"/>
      <c r="I4725" s="154"/>
      <c r="J4725" s="154"/>
      <c r="K4725" s="30" t="str">
        <f>IF(H4725="","",IF($C$30="간이법","",FPR(H4725,I4725,J4725)))</f>
        <v/>
      </c>
      <c r="L4725" s="30" t="str">
        <f>IF(H4725="","",IF($C$30="상세법",FPV(H4725,K4725),IF(H4725="EI",4,IF(H4725="EO",5.2,IF(H4725="EQ",3.9,IF(H4725="ILF",7.5,IF(H4725="EIF",5.4)))))))</f>
        <v/>
      </c>
      <c r="M4725" s="30" t="str">
        <f t="shared" si="506"/>
        <v/>
      </c>
      <c r="N4725" s="134"/>
      <c r="O4725" s="29"/>
      <c r="P4725" s="37" t="str">
        <f t="shared" si="507"/>
        <v/>
      </c>
      <c r="Q4725" s="38" t="str">
        <f t="shared" si="508"/>
        <v/>
      </c>
      <c r="R4725" s="37" t="str">
        <f t="shared" si="509"/>
        <v/>
      </c>
      <c r="S4725" s="37" t="str">
        <f t="shared" si="510"/>
        <v/>
      </c>
      <c r="T4725" s="38" t="str">
        <f t="shared" si="511"/>
        <v/>
      </c>
      <c r="U4725" s="37" t="str">
        <f t="shared" si="512"/>
        <v/>
      </c>
    </row>
    <row r="4726" spans="2:21" ht="17.25">
      <c r="B4726" s="156"/>
      <c r="C4726" s="156"/>
      <c r="D4726" s="157"/>
      <c r="E4726" s="155"/>
      <c r="F4726" s="151"/>
      <c r="G4726" s="152"/>
      <c r="H4726" s="153"/>
      <c r="I4726" s="154"/>
      <c r="J4726" s="154"/>
      <c r="K4726" s="30" t="str">
        <f>IF(H4726="","",IF($C$30="간이법","",FPR(H4726,I4726,J4726)))</f>
        <v/>
      </c>
      <c r="L4726" s="30" t="str">
        <f>IF(H4726="","",IF($C$30="상세법",FPV(H4726,K4726),IF(H4726="EI",4,IF(H4726="EO",5.2,IF(H4726="EQ",3.9,IF(H4726="ILF",7.5,IF(H4726="EIF",5.4)))))))</f>
        <v/>
      </c>
      <c r="M4726" s="30" t="str">
        <f t="shared" si="506"/>
        <v/>
      </c>
      <c r="N4726" s="134"/>
      <c r="O4726" s="29"/>
      <c r="P4726" s="37" t="str">
        <f t="shared" si="507"/>
        <v/>
      </c>
      <c r="Q4726" s="38" t="str">
        <f t="shared" si="508"/>
        <v/>
      </c>
      <c r="R4726" s="37" t="str">
        <f t="shared" si="509"/>
        <v/>
      </c>
      <c r="S4726" s="37" t="str">
        <f t="shared" si="510"/>
        <v/>
      </c>
      <c r="T4726" s="38" t="str">
        <f t="shared" si="511"/>
        <v/>
      </c>
      <c r="U4726" s="37" t="str">
        <f t="shared" si="512"/>
        <v/>
      </c>
    </row>
    <row r="4727" spans="2:21" ht="17.25">
      <c r="B4727" s="156"/>
      <c r="C4727" s="156"/>
      <c r="D4727" s="157"/>
      <c r="E4727" s="155"/>
      <c r="F4727" s="151"/>
      <c r="G4727" s="152"/>
      <c r="H4727" s="153"/>
      <c r="I4727" s="154"/>
      <c r="J4727" s="154"/>
      <c r="K4727" s="30" t="str">
        <f>IF(H4727="","",IF($C$30="간이법","",FPR(H4727,I4727,J4727)))</f>
        <v/>
      </c>
      <c r="L4727" s="30" t="str">
        <f>IF(H4727="","",IF($C$30="상세법",FPV(H4727,K4727),IF(H4727="EI",4,IF(H4727="EO",5.2,IF(H4727="EQ",3.9,IF(H4727="ILF",7.5,IF(H4727="EIF",5.4)))))))</f>
        <v/>
      </c>
      <c r="M4727" s="30" t="str">
        <f t="shared" si="506"/>
        <v/>
      </c>
      <c r="N4727" s="134"/>
      <c r="O4727" s="29"/>
      <c r="P4727" s="37" t="str">
        <f t="shared" si="507"/>
        <v/>
      </c>
      <c r="Q4727" s="38" t="str">
        <f t="shared" si="508"/>
        <v/>
      </c>
      <c r="R4727" s="37" t="str">
        <f t="shared" si="509"/>
        <v/>
      </c>
      <c r="S4727" s="37" t="str">
        <f t="shared" si="510"/>
        <v/>
      </c>
      <c r="T4727" s="38" t="str">
        <f t="shared" si="511"/>
        <v/>
      </c>
      <c r="U4727" s="37" t="str">
        <f t="shared" si="512"/>
        <v/>
      </c>
    </row>
    <row r="4728" spans="2:21" ht="17.25">
      <c r="B4728" s="156"/>
      <c r="C4728" s="156"/>
      <c r="D4728" s="157"/>
      <c r="E4728" s="155"/>
      <c r="F4728" s="151"/>
      <c r="G4728" s="152"/>
      <c r="H4728" s="153"/>
      <c r="I4728" s="154"/>
      <c r="J4728" s="154"/>
      <c r="K4728" s="30" t="str">
        <f>IF(H4728="","",IF($C$30="간이법","",FPR(H4728,I4728,J4728)))</f>
        <v/>
      </c>
      <c r="L4728" s="30" t="str">
        <f>IF(H4728="","",IF($C$30="상세법",FPV(H4728,K4728),IF(H4728="EI",4,IF(H4728="EO",5.2,IF(H4728="EQ",3.9,IF(H4728="ILF",7.5,IF(H4728="EIF",5.4)))))))</f>
        <v/>
      </c>
      <c r="M4728" s="30" t="str">
        <f t="shared" si="506"/>
        <v/>
      </c>
      <c r="N4728" s="134"/>
      <c r="O4728" s="29"/>
      <c r="P4728" s="37" t="str">
        <f t="shared" si="507"/>
        <v/>
      </c>
      <c r="Q4728" s="38" t="str">
        <f t="shared" si="508"/>
        <v/>
      </c>
      <c r="R4728" s="37" t="str">
        <f t="shared" si="509"/>
        <v/>
      </c>
      <c r="S4728" s="37" t="str">
        <f t="shared" si="510"/>
        <v/>
      </c>
      <c r="T4728" s="38" t="str">
        <f t="shared" si="511"/>
        <v/>
      </c>
      <c r="U4728" s="37" t="str">
        <f t="shared" si="512"/>
        <v/>
      </c>
    </row>
    <row r="4729" spans="2:21" ht="17.25">
      <c r="B4729" s="156"/>
      <c r="C4729" s="156"/>
      <c r="D4729" s="157"/>
      <c r="E4729" s="155"/>
      <c r="F4729" s="151"/>
      <c r="G4729" s="152"/>
      <c r="H4729" s="153"/>
      <c r="I4729" s="154"/>
      <c r="J4729" s="154"/>
      <c r="K4729" s="30" t="str">
        <f>IF(H4729="","",IF($C$30="간이법","",FPR(H4729,I4729,J4729)))</f>
        <v/>
      </c>
      <c r="L4729" s="30" t="str">
        <f>IF(H4729="","",IF($C$30="상세법",FPV(H4729,K4729),IF(H4729="EI",4,IF(H4729="EO",5.2,IF(H4729="EQ",3.9,IF(H4729="ILF",7.5,IF(H4729="EIF",5.4)))))))</f>
        <v/>
      </c>
      <c r="M4729" s="30" t="str">
        <f t="shared" si="506"/>
        <v/>
      </c>
      <c r="N4729" s="134"/>
      <c r="O4729" s="29"/>
      <c r="P4729" s="37" t="str">
        <f t="shared" si="507"/>
        <v/>
      </c>
      <c r="Q4729" s="38" t="str">
        <f t="shared" si="508"/>
        <v/>
      </c>
      <c r="R4729" s="37" t="str">
        <f t="shared" si="509"/>
        <v/>
      </c>
      <c r="S4729" s="37" t="str">
        <f t="shared" si="510"/>
        <v/>
      </c>
      <c r="T4729" s="38" t="str">
        <f t="shared" si="511"/>
        <v/>
      </c>
      <c r="U4729" s="37" t="str">
        <f t="shared" si="512"/>
        <v/>
      </c>
    </row>
    <row r="4730" spans="2:21" ht="17.25">
      <c r="B4730" s="156"/>
      <c r="C4730" s="156"/>
      <c r="D4730" s="157"/>
      <c r="E4730" s="155"/>
      <c r="F4730" s="151"/>
      <c r="G4730" s="152"/>
      <c r="H4730" s="153"/>
      <c r="I4730" s="154"/>
      <c r="J4730" s="154"/>
      <c r="K4730" s="30" t="str">
        <f>IF(H4730="","",IF($C$30="간이법","",FPR(H4730,I4730,J4730)))</f>
        <v/>
      </c>
      <c r="L4730" s="30" t="str">
        <f>IF(H4730="","",IF($C$30="상세법",FPV(H4730,K4730),IF(H4730="EI",4,IF(H4730="EO",5.2,IF(H4730="EQ",3.9,IF(H4730="ILF",7.5,IF(H4730="EIF",5.4)))))))</f>
        <v/>
      </c>
      <c r="M4730" s="30" t="str">
        <f t="shared" si="506"/>
        <v/>
      </c>
      <c r="N4730" s="134"/>
      <c r="O4730" s="29"/>
      <c r="P4730" s="37" t="str">
        <f t="shared" si="507"/>
        <v/>
      </c>
      <c r="Q4730" s="38" t="str">
        <f t="shared" si="508"/>
        <v/>
      </c>
      <c r="R4730" s="37" t="str">
        <f t="shared" si="509"/>
        <v/>
      </c>
      <c r="S4730" s="37" t="str">
        <f t="shared" si="510"/>
        <v/>
      </c>
      <c r="T4730" s="38" t="str">
        <f t="shared" si="511"/>
        <v/>
      </c>
      <c r="U4730" s="37" t="str">
        <f t="shared" si="512"/>
        <v/>
      </c>
    </row>
    <row r="4731" spans="2:21" ht="17.25">
      <c r="B4731" s="156"/>
      <c r="C4731" s="156"/>
      <c r="D4731" s="157"/>
      <c r="E4731" s="155"/>
      <c r="F4731" s="151"/>
      <c r="G4731" s="152"/>
      <c r="H4731" s="153"/>
      <c r="I4731" s="154"/>
      <c r="J4731" s="154"/>
      <c r="K4731" s="30" t="str">
        <f>IF(H4731="","",IF($C$30="간이법","",FPR(H4731,I4731,J4731)))</f>
        <v/>
      </c>
      <c r="L4731" s="30" t="str">
        <f>IF(H4731="","",IF($C$30="상세법",FPV(H4731,K4731),IF(H4731="EI",4,IF(H4731="EO",5.2,IF(H4731="EQ",3.9,IF(H4731="ILF",7.5,IF(H4731="EIF",5.4)))))))</f>
        <v/>
      </c>
      <c r="M4731" s="30" t="str">
        <f t="shared" si="506"/>
        <v/>
      </c>
      <c r="N4731" s="134"/>
      <c r="O4731" s="29"/>
      <c r="P4731" s="37" t="str">
        <f t="shared" si="507"/>
        <v/>
      </c>
      <c r="Q4731" s="38" t="str">
        <f t="shared" si="508"/>
        <v/>
      </c>
      <c r="R4731" s="37" t="str">
        <f t="shared" si="509"/>
        <v/>
      </c>
      <c r="S4731" s="37" t="str">
        <f t="shared" si="510"/>
        <v/>
      </c>
      <c r="T4731" s="38" t="str">
        <f t="shared" si="511"/>
        <v/>
      </c>
      <c r="U4731" s="37" t="str">
        <f t="shared" si="512"/>
        <v/>
      </c>
    </row>
    <row r="4732" spans="2:21" ht="17.25">
      <c r="B4732" s="156"/>
      <c r="C4732" s="156"/>
      <c r="D4732" s="157"/>
      <c r="E4732" s="155"/>
      <c r="F4732" s="151"/>
      <c r="G4732" s="152"/>
      <c r="H4732" s="153"/>
      <c r="I4732" s="154"/>
      <c r="J4732" s="154"/>
      <c r="K4732" s="30" t="str">
        <f>IF(H4732="","",IF($C$30="간이법","",FPR(H4732,I4732,J4732)))</f>
        <v/>
      </c>
      <c r="L4732" s="30" t="str">
        <f>IF(H4732="","",IF($C$30="상세법",FPV(H4732,K4732),IF(H4732="EI",4,IF(H4732="EO",5.2,IF(H4732="EQ",3.9,IF(H4732="ILF",7.5,IF(H4732="EIF",5.4)))))))</f>
        <v/>
      </c>
      <c r="M4732" s="30" t="str">
        <f t="shared" ref="M4732:M4795" si="513">IF(OR(G4732="",$E$36="(선택)",$E$40="(선택)",$E$41="(선택)",F4732="신규 개발",F4732="수정 없이 재사용"),"",(IF(F4732="수정 후 재사용",IF($E$50&lt;=0.5,L4732*($E$36+$E$50*100*(1+0.02*($E$40*$E$41)))/100,L4732*($E$36+$E$50*100+($E$40*$E$41))/100))))</f>
        <v/>
      </c>
      <c r="N4732" s="134"/>
      <c r="O4732" s="29"/>
      <c r="P4732" s="37" t="str">
        <f t="shared" ref="P4732:P4795" si="514">IF(F4732="수정 후 재사용",IF(H4732="ILF",G4732,IF(H4732="EIF",G4732,"")),"")</f>
        <v/>
      </c>
      <c r="Q4732" s="38" t="str">
        <f t="shared" ref="Q4732:Q4795" si="515">IF(P4732&lt;&gt;"",IF(H4732="ILF", L4732/$E$46,IF(H4732="EIF", L4732/$E$46,"")),"")</f>
        <v/>
      </c>
      <c r="R4732" s="37" t="str">
        <f t="shared" ref="R4732:R4795" si="516">IF(P4732&lt;&gt;"",P4732*Q4732,"")</f>
        <v/>
      </c>
      <c r="S4732" s="37" t="str">
        <f t="shared" ref="S4732:S4795" si="517">IF(F4732="수정 후 재사용",IF(H4732="EI",G4732,IF(H4732="EO",G4732,IF(H4732="EQ",G4732,""))),"")</f>
        <v/>
      </c>
      <c r="T4732" s="38" t="str">
        <f t="shared" ref="T4732:T4795" si="518">IF(S4732&lt;&gt;"",IF(H4732="EI",L4732/$E$47,IF(H4732="EO",L4732/$E$47,IF(H4732="EQ",L4732/$E$47,""))),"")</f>
        <v/>
      </c>
      <c r="U4732" s="37" t="str">
        <f t="shared" ref="U4732:U4795" si="519">IF(S4732&lt;&gt;"",S4732*T4732,"")</f>
        <v/>
      </c>
    </row>
    <row r="4733" spans="2:21" ht="17.25">
      <c r="B4733" s="156"/>
      <c r="C4733" s="156"/>
      <c r="D4733" s="157"/>
      <c r="E4733" s="155"/>
      <c r="F4733" s="151"/>
      <c r="G4733" s="152"/>
      <c r="H4733" s="153"/>
      <c r="I4733" s="154"/>
      <c r="J4733" s="154"/>
      <c r="K4733" s="30" t="str">
        <f>IF(H4733="","",IF($C$30="간이법","",FPR(H4733,I4733,J4733)))</f>
        <v/>
      </c>
      <c r="L4733" s="30" t="str">
        <f>IF(H4733="","",IF($C$30="상세법",FPV(H4733,K4733),IF(H4733="EI",4,IF(H4733="EO",5.2,IF(H4733="EQ",3.9,IF(H4733="ILF",7.5,IF(H4733="EIF",5.4)))))))</f>
        <v/>
      </c>
      <c r="M4733" s="30" t="str">
        <f t="shared" si="513"/>
        <v/>
      </c>
      <c r="N4733" s="134"/>
      <c r="O4733" s="29"/>
      <c r="P4733" s="37" t="str">
        <f t="shared" si="514"/>
        <v/>
      </c>
      <c r="Q4733" s="38" t="str">
        <f t="shared" si="515"/>
        <v/>
      </c>
      <c r="R4733" s="37" t="str">
        <f t="shared" si="516"/>
        <v/>
      </c>
      <c r="S4733" s="37" t="str">
        <f t="shared" si="517"/>
        <v/>
      </c>
      <c r="T4733" s="38" t="str">
        <f t="shared" si="518"/>
        <v/>
      </c>
      <c r="U4733" s="37" t="str">
        <f t="shared" si="519"/>
        <v/>
      </c>
    </row>
    <row r="4734" spans="2:21" ht="17.25">
      <c r="B4734" s="156"/>
      <c r="C4734" s="156"/>
      <c r="D4734" s="157"/>
      <c r="E4734" s="155"/>
      <c r="F4734" s="151"/>
      <c r="G4734" s="152"/>
      <c r="H4734" s="153"/>
      <c r="I4734" s="154"/>
      <c r="J4734" s="154"/>
      <c r="K4734" s="30" t="str">
        <f>IF(H4734="","",IF($C$30="간이법","",FPR(H4734,I4734,J4734)))</f>
        <v/>
      </c>
      <c r="L4734" s="30" t="str">
        <f>IF(H4734="","",IF($C$30="상세법",FPV(H4734,K4734),IF(H4734="EI",4,IF(H4734="EO",5.2,IF(H4734="EQ",3.9,IF(H4734="ILF",7.5,IF(H4734="EIF",5.4)))))))</f>
        <v/>
      </c>
      <c r="M4734" s="30" t="str">
        <f t="shared" si="513"/>
        <v/>
      </c>
      <c r="N4734" s="134"/>
      <c r="O4734" s="29"/>
      <c r="P4734" s="37" t="str">
        <f t="shared" si="514"/>
        <v/>
      </c>
      <c r="Q4734" s="38" t="str">
        <f t="shared" si="515"/>
        <v/>
      </c>
      <c r="R4734" s="37" t="str">
        <f t="shared" si="516"/>
        <v/>
      </c>
      <c r="S4734" s="37" t="str">
        <f t="shared" si="517"/>
        <v/>
      </c>
      <c r="T4734" s="38" t="str">
        <f t="shared" si="518"/>
        <v/>
      </c>
      <c r="U4734" s="37" t="str">
        <f t="shared" si="519"/>
        <v/>
      </c>
    </row>
    <row r="4735" spans="2:21" ht="17.25">
      <c r="B4735" s="156"/>
      <c r="C4735" s="156"/>
      <c r="D4735" s="157"/>
      <c r="E4735" s="155"/>
      <c r="F4735" s="151"/>
      <c r="G4735" s="152"/>
      <c r="H4735" s="153"/>
      <c r="I4735" s="154"/>
      <c r="J4735" s="154"/>
      <c r="K4735" s="30" t="str">
        <f>IF(H4735="","",IF($C$30="간이법","",FPR(H4735,I4735,J4735)))</f>
        <v/>
      </c>
      <c r="L4735" s="30" t="str">
        <f>IF(H4735="","",IF($C$30="상세법",FPV(H4735,K4735),IF(H4735="EI",4,IF(H4735="EO",5.2,IF(H4735="EQ",3.9,IF(H4735="ILF",7.5,IF(H4735="EIF",5.4)))))))</f>
        <v/>
      </c>
      <c r="M4735" s="30" t="str">
        <f t="shared" si="513"/>
        <v/>
      </c>
      <c r="N4735" s="134"/>
      <c r="O4735" s="29"/>
      <c r="P4735" s="37" t="str">
        <f t="shared" si="514"/>
        <v/>
      </c>
      <c r="Q4735" s="38" t="str">
        <f t="shared" si="515"/>
        <v/>
      </c>
      <c r="R4735" s="37" t="str">
        <f t="shared" si="516"/>
        <v/>
      </c>
      <c r="S4735" s="37" t="str">
        <f t="shared" si="517"/>
        <v/>
      </c>
      <c r="T4735" s="38" t="str">
        <f t="shared" si="518"/>
        <v/>
      </c>
      <c r="U4735" s="37" t="str">
        <f t="shared" si="519"/>
        <v/>
      </c>
    </row>
    <row r="4736" spans="2:21" ht="17.25">
      <c r="B4736" s="156"/>
      <c r="C4736" s="156"/>
      <c r="D4736" s="157"/>
      <c r="E4736" s="155"/>
      <c r="F4736" s="151"/>
      <c r="G4736" s="152"/>
      <c r="H4736" s="153"/>
      <c r="I4736" s="154"/>
      <c r="J4736" s="154"/>
      <c r="K4736" s="30" t="str">
        <f>IF(H4736="","",IF($C$30="간이법","",FPR(H4736,I4736,J4736)))</f>
        <v/>
      </c>
      <c r="L4736" s="30" t="str">
        <f>IF(H4736="","",IF($C$30="상세법",FPV(H4736,K4736),IF(H4736="EI",4,IF(H4736="EO",5.2,IF(H4736="EQ",3.9,IF(H4736="ILF",7.5,IF(H4736="EIF",5.4)))))))</f>
        <v/>
      </c>
      <c r="M4736" s="30" t="str">
        <f t="shared" si="513"/>
        <v/>
      </c>
      <c r="N4736" s="134"/>
      <c r="O4736" s="29"/>
      <c r="P4736" s="37" t="str">
        <f t="shared" si="514"/>
        <v/>
      </c>
      <c r="Q4736" s="38" t="str">
        <f t="shared" si="515"/>
        <v/>
      </c>
      <c r="R4736" s="37" t="str">
        <f t="shared" si="516"/>
        <v/>
      </c>
      <c r="S4736" s="37" t="str">
        <f t="shared" si="517"/>
        <v/>
      </c>
      <c r="T4736" s="38" t="str">
        <f t="shared" si="518"/>
        <v/>
      </c>
      <c r="U4736" s="37" t="str">
        <f t="shared" si="519"/>
        <v/>
      </c>
    </row>
    <row r="4737" spans="2:21" ht="17.25">
      <c r="B4737" s="156"/>
      <c r="C4737" s="156"/>
      <c r="D4737" s="157"/>
      <c r="E4737" s="155"/>
      <c r="F4737" s="151"/>
      <c r="G4737" s="152"/>
      <c r="H4737" s="153"/>
      <c r="I4737" s="154"/>
      <c r="J4737" s="154"/>
      <c r="K4737" s="30" t="str">
        <f>IF(H4737="","",IF($C$30="간이법","",FPR(H4737,I4737,J4737)))</f>
        <v/>
      </c>
      <c r="L4737" s="30" t="str">
        <f>IF(H4737="","",IF($C$30="상세법",FPV(H4737,K4737),IF(H4737="EI",4,IF(H4737="EO",5.2,IF(H4737="EQ",3.9,IF(H4737="ILF",7.5,IF(H4737="EIF",5.4)))))))</f>
        <v/>
      </c>
      <c r="M4737" s="30" t="str">
        <f t="shared" si="513"/>
        <v/>
      </c>
      <c r="N4737" s="134"/>
      <c r="O4737" s="29"/>
      <c r="P4737" s="37" t="str">
        <f t="shared" si="514"/>
        <v/>
      </c>
      <c r="Q4737" s="38" t="str">
        <f t="shared" si="515"/>
        <v/>
      </c>
      <c r="R4737" s="37" t="str">
        <f t="shared" si="516"/>
        <v/>
      </c>
      <c r="S4737" s="37" t="str">
        <f t="shared" si="517"/>
        <v/>
      </c>
      <c r="T4737" s="38" t="str">
        <f t="shared" si="518"/>
        <v/>
      </c>
      <c r="U4737" s="37" t="str">
        <f t="shared" si="519"/>
        <v/>
      </c>
    </row>
    <row r="4738" spans="2:21" ht="17.25">
      <c r="B4738" s="156"/>
      <c r="C4738" s="156"/>
      <c r="D4738" s="157"/>
      <c r="E4738" s="155"/>
      <c r="F4738" s="151"/>
      <c r="G4738" s="152"/>
      <c r="H4738" s="153"/>
      <c r="I4738" s="154"/>
      <c r="J4738" s="154"/>
      <c r="K4738" s="30" t="str">
        <f>IF(H4738="","",IF($C$30="간이법","",FPR(H4738,I4738,J4738)))</f>
        <v/>
      </c>
      <c r="L4738" s="30" t="str">
        <f>IF(H4738="","",IF($C$30="상세법",FPV(H4738,K4738),IF(H4738="EI",4,IF(H4738="EO",5.2,IF(H4738="EQ",3.9,IF(H4738="ILF",7.5,IF(H4738="EIF",5.4)))))))</f>
        <v/>
      </c>
      <c r="M4738" s="30" t="str">
        <f t="shared" si="513"/>
        <v/>
      </c>
      <c r="N4738" s="134"/>
      <c r="O4738" s="29"/>
      <c r="P4738" s="37" t="str">
        <f t="shared" si="514"/>
        <v/>
      </c>
      <c r="Q4738" s="38" t="str">
        <f t="shared" si="515"/>
        <v/>
      </c>
      <c r="R4738" s="37" t="str">
        <f t="shared" si="516"/>
        <v/>
      </c>
      <c r="S4738" s="37" t="str">
        <f t="shared" si="517"/>
        <v/>
      </c>
      <c r="T4738" s="38" t="str">
        <f t="shared" si="518"/>
        <v/>
      </c>
      <c r="U4738" s="37" t="str">
        <f t="shared" si="519"/>
        <v/>
      </c>
    </row>
    <row r="4739" spans="2:21" ht="17.25">
      <c r="B4739" s="156"/>
      <c r="C4739" s="156"/>
      <c r="D4739" s="157"/>
      <c r="E4739" s="155"/>
      <c r="F4739" s="151"/>
      <c r="G4739" s="152"/>
      <c r="H4739" s="153"/>
      <c r="I4739" s="154"/>
      <c r="J4739" s="154"/>
      <c r="K4739" s="30" t="str">
        <f>IF(H4739="","",IF($C$30="간이법","",FPR(H4739,I4739,J4739)))</f>
        <v/>
      </c>
      <c r="L4739" s="30" t="str">
        <f>IF(H4739="","",IF($C$30="상세법",FPV(H4739,K4739),IF(H4739="EI",4,IF(H4739="EO",5.2,IF(H4739="EQ",3.9,IF(H4739="ILF",7.5,IF(H4739="EIF",5.4)))))))</f>
        <v/>
      </c>
      <c r="M4739" s="30" t="str">
        <f t="shared" si="513"/>
        <v/>
      </c>
      <c r="N4739" s="134"/>
      <c r="O4739" s="29"/>
      <c r="P4739" s="37" t="str">
        <f t="shared" si="514"/>
        <v/>
      </c>
      <c r="Q4739" s="38" t="str">
        <f t="shared" si="515"/>
        <v/>
      </c>
      <c r="R4739" s="37" t="str">
        <f t="shared" si="516"/>
        <v/>
      </c>
      <c r="S4739" s="37" t="str">
        <f t="shared" si="517"/>
        <v/>
      </c>
      <c r="T4739" s="38" t="str">
        <f t="shared" si="518"/>
        <v/>
      </c>
      <c r="U4739" s="37" t="str">
        <f t="shared" si="519"/>
        <v/>
      </c>
    </row>
    <row r="4740" spans="2:21" ht="17.25">
      <c r="B4740" s="156"/>
      <c r="C4740" s="156"/>
      <c r="D4740" s="157"/>
      <c r="E4740" s="155"/>
      <c r="F4740" s="151"/>
      <c r="G4740" s="152"/>
      <c r="H4740" s="153"/>
      <c r="I4740" s="154"/>
      <c r="J4740" s="154"/>
      <c r="K4740" s="30" t="str">
        <f>IF(H4740="","",IF($C$30="간이법","",FPR(H4740,I4740,J4740)))</f>
        <v/>
      </c>
      <c r="L4740" s="30" t="str">
        <f>IF(H4740="","",IF($C$30="상세법",FPV(H4740,K4740),IF(H4740="EI",4,IF(H4740="EO",5.2,IF(H4740="EQ",3.9,IF(H4740="ILF",7.5,IF(H4740="EIF",5.4)))))))</f>
        <v/>
      </c>
      <c r="M4740" s="30" t="str">
        <f t="shared" si="513"/>
        <v/>
      </c>
      <c r="N4740" s="134"/>
      <c r="O4740" s="29"/>
      <c r="P4740" s="37" t="str">
        <f t="shared" si="514"/>
        <v/>
      </c>
      <c r="Q4740" s="38" t="str">
        <f t="shared" si="515"/>
        <v/>
      </c>
      <c r="R4740" s="37" t="str">
        <f t="shared" si="516"/>
        <v/>
      </c>
      <c r="S4740" s="37" t="str">
        <f t="shared" si="517"/>
        <v/>
      </c>
      <c r="T4740" s="38" t="str">
        <f t="shared" si="518"/>
        <v/>
      </c>
      <c r="U4740" s="37" t="str">
        <f t="shared" si="519"/>
        <v/>
      </c>
    </row>
    <row r="4741" spans="2:21" ht="17.25">
      <c r="B4741" s="156"/>
      <c r="C4741" s="156"/>
      <c r="D4741" s="157"/>
      <c r="E4741" s="155"/>
      <c r="F4741" s="151"/>
      <c r="G4741" s="152"/>
      <c r="H4741" s="153"/>
      <c r="I4741" s="154"/>
      <c r="J4741" s="154"/>
      <c r="K4741" s="30" t="str">
        <f>IF(H4741="","",IF($C$30="간이법","",FPR(H4741,I4741,J4741)))</f>
        <v/>
      </c>
      <c r="L4741" s="30" t="str">
        <f>IF(H4741="","",IF($C$30="상세법",FPV(H4741,K4741),IF(H4741="EI",4,IF(H4741="EO",5.2,IF(H4741="EQ",3.9,IF(H4741="ILF",7.5,IF(H4741="EIF",5.4)))))))</f>
        <v/>
      </c>
      <c r="M4741" s="30" t="str">
        <f t="shared" si="513"/>
        <v/>
      </c>
      <c r="N4741" s="134"/>
      <c r="O4741" s="29"/>
      <c r="P4741" s="37" t="str">
        <f t="shared" si="514"/>
        <v/>
      </c>
      <c r="Q4741" s="38" t="str">
        <f t="shared" si="515"/>
        <v/>
      </c>
      <c r="R4741" s="37" t="str">
        <f t="shared" si="516"/>
        <v/>
      </c>
      <c r="S4741" s="37" t="str">
        <f t="shared" si="517"/>
        <v/>
      </c>
      <c r="T4741" s="38" t="str">
        <f t="shared" si="518"/>
        <v/>
      </c>
      <c r="U4741" s="37" t="str">
        <f t="shared" si="519"/>
        <v/>
      </c>
    </row>
    <row r="4742" spans="2:21" ht="17.25">
      <c r="B4742" s="156"/>
      <c r="C4742" s="156"/>
      <c r="D4742" s="157"/>
      <c r="E4742" s="155"/>
      <c r="F4742" s="151"/>
      <c r="G4742" s="152"/>
      <c r="H4742" s="153"/>
      <c r="I4742" s="154"/>
      <c r="J4742" s="154"/>
      <c r="K4742" s="30" t="str">
        <f>IF(H4742="","",IF($C$30="간이법","",FPR(H4742,I4742,J4742)))</f>
        <v/>
      </c>
      <c r="L4742" s="30" t="str">
        <f>IF(H4742="","",IF($C$30="상세법",FPV(H4742,K4742),IF(H4742="EI",4,IF(H4742="EO",5.2,IF(H4742="EQ",3.9,IF(H4742="ILF",7.5,IF(H4742="EIF",5.4)))))))</f>
        <v/>
      </c>
      <c r="M4742" s="30" t="str">
        <f t="shared" si="513"/>
        <v/>
      </c>
      <c r="N4742" s="134"/>
      <c r="O4742" s="29"/>
      <c r="P4742" s="37" t="str">
        <f t="shared" si="514"/>
        <v/>
      </c>
      <c r="Q4742" s="38" t="str">
        <f t="shared" si="515"/>
        <v/>
      </c>
      <c r="R4742" s="37" t="str">
        <f t="shared" si="516"/>
        <v/>
      </c>
      <c r="S4742" s="37" t="str">
        <f t="shared" si="517"/>
        <v/>
      </c>
      <c r="T4742" s="38" t="str">
        <f t="shared" si="518"/>
        <v/>
      </c>
      <c r="U4742" s="37" t="str">
        <f t="shared" si="519"/>
        <v/>
      </c>
    </row>
    <row r="4743" spans="2:21" ht="17.25">
      <c r="B4743" s="156"/>
      <c r="C4743" s="156"/>
      <c r="D4743" s="157"/>
      <c r="E4743" s="155"/>
      <c r="F4743" s="151"/>
      <c r="G4743" s="152"/>
      <c r="H4743" s="153"/>
      <c r="I4743" s="154"/>
      <c r="J4743" s="154"/>
      <c r="K4743" s="30" t="str">
        <f>IF(H4743="","",IF($C$30="간이법","",FPR(H4743,I4743,J4743)))</f>
        <v/>
      </c>
      <c r="L4743" s="30" t="str">
        <f>IF(H4743="","",IF($C$30="상세법",FPV(H4743,K4743),IF(H4743="EI",4,IF(H4743="EO",5.2,IF(H4743="EQ",3.9,IF(H4743="ILF",7.5,IF(H4743="EIF",5.4)))))))</f>
        <v/>
      </c>
      <c r="M4743" s="30" t="str">
        <f t="shared" si="513"/>
        <v/>
      </c>
      <c r="N4743" s="134"/>
      <c r="O4743" s="29"/>
      <c r="P4743" s="37" t="str">
        <f t="shared" si="514"/>
        <v/>
      </c>
      <c r="Q4743" s="38" t="str">
        <f t="shared" si="515"/>
        <v/>
      </c>
      <c r="R4743" s="37" t="str">
        <f t="shared" si="516"/>
        <v/>
      </c>
      <c r="S4743" s="37" t="str">
        <f t="shared" si="517"/>
        <v/>
      </c>
      <c r="T4743" s="38" t="str">
        <f t="shared" si="518"/>
        <v/>
      </c>
      <c r="U4743" s="37" t="str">
        <f t="shared" si="519"/>
        <v/>
      </c>
    </row>
    <row r="4744" spans="2:21" ht="17.25">
      <c r="B4744" s="156"/>
      <c r="C4744" s="156"/>
      <c r="D4744" s="157"/>
      <c r="E4744" s="155"/>
      <c r="F4744" s="151"/>
      <c r="G4744" s="152"/>
      <c r="H4744" s="153"/>
      <c r="I4744" s="154"/>
      <c r="J4744" s="154"/>
      <c r="K4744" s="30" t="str">
        <f>IF(H4744="","",IF($C$30="간이법","",FPR(H4744,I4744,J4744)))</f>
        <v/>
      </c>
      <c r="L4744" s="30" t="str">
        <f>IF(H4744="","",IF($C$30="상세법",FPV(H4744,K4744),IF(H4744="EI",4,IF(H4744="EO",5.2,IF(H4744="EQ",3.9,IF(H4744="ILF",7.5,IF(H4744="EIF",5.4)))))))</f>
        <v/>
      </c>
      <c r="M4744" s="30" t="str">
        <f t="shared" si="513"/>
        <v/>
      </c>
      <c r="N4744" s="134"/>
      <c r="O4744" s="29"/>
      <c r="P4744" s="37" t="str">
        <f t="shared" si="514"/>
        <v/>
      </c>
      <c r="Q4744" s="38" t="str">
        <f t="shared" si="515"/>
        <v/>
      </c>
      <c r="R4744" s="37" t="str">
        <f t="shared" si="516"/>
        <v/>
      </c>
      <c r="S4744" s="37" t="str">
        <f t="shared" si="517"/>
        <v/>
      </c>
      <c r="T4744" s="38" t="str">
        <f t="shared" si="518"/>
        <v/>
      </c>
      <c r="U4744" s="37" t="str">
        <f t="shared" si="519"/>
        <v/>
      </c>
    </row>
    <row r="4745" spans="2:21" ht="17.25">
      <c r="B4745" s="156"/>
      <c r="C4745" s="156"/>
      <c r="D4745" s="157"/>
      <c r="E4745" s="155"/>
      <c r="F4745" s="151"/>
      <c r="G4745" s="152"/>
      <c r="H4745" s="153"/>
      <c r="I4745" s="154"/>
      <c r="J4745" s="154"/>
      <c r="K4745" s="30" t="str">
        <f>IF(H4745="","",IF($C$30="간이법","",FPR(H4745,I4745,J4745)))</f>
        <v/>
      </c>
      <c r="L4745" s="30" t="str">
        <f>IF(H4745="","",IF($C$30="상세법",FPV(H4745,K4745),IF(H4745="EI",4,IF(H4745="EO",5.2,IF(H4745="EQ",3.9,IF(H4745="ILF",7.5,IF(H4745="EIF",5.4)))))))</f>
        <v/>
      </c>
      <c r="M4745" s="30" t="str">
        <f t="shared" si="513"/>
        <v/>
      </c>
      <c r="N4745" s="134"/>
      <c r="O4745" s="29"/>
      <c r="P4745" s="37" t="str">
        <f t="shared" si="514"/>
        <v/>
      </c>
      <c r="Q4745" s="38" t="str">
        <f t="shared" si="515"/>
        <v/>
      </c>
      <c r="R4745" s="37" t="str">
        <f t="shared" si="516"/>
        <v/>
      </c>
      <c r="S4745" s="37" t="str">
        <f t="shared" si="517"/>
        <v/>
      </c>
      <c r="T4745" s="38" t="str">
        <f t="shared" si="518"/>
        <v/>
      </c>
      <c r="U4745" s="37" t="str">
        <f t="shared" si="519"/>
        <v/>
      </c>
    </row>
    <row r="4746" spans="2:21" ht="17.25">
      <c r="B4746" s="156"/>
      <c r="C4746" s="156"/>
      <c r="D4746" s="157"/>
      <c r="E4746" s="155"/>
      <c r="F4746" s="151"/>
      <c r="G4746" s="152"/>
      <c r="H4746" s="153"/>
      <c r="I4746" s="154"/>
      <c r="J4746" s="154"/>
      <c r="K4746" s="30" t="str">
        <f>IF(H4746="","",IF($C$30="간이법","",FPR(H4746,I4746,J4746)))</f>
        <v/>
      </c>
      <c r="L4746" s="30" t="str">
        <f>IF(H4746="","",IF($C$30="상세법",FPV(H4746,K4746),IF(H4746="EI",4,IF(H4746="EO",5.2,IF(H4746="EQ",3.9,IF(H4746="ILF",7.5,IF(H4746="EIF",5.4)))))))</f>
        <v/>
      </c>
      <c r="M4746" s="30" t="str">
        <f t="shared" si="513"/>
        <v/>
      </c>
      <c r="N4746" s="134"/>
      <c r="O4746" s="29"/>
      <c r="P4746" s="37" t="str">
        <f t="shared" si="514"/>
        <v/>
      </c>
      <c r="Q4746" s="38" t="str">
        <f t="shared" si="515"/>
        <v/>
      </c>
      <c r="R4746" s="37" t="str">
        <f t="shared" si="516"/>
        <v/>
      </c>
      <c r="S4746" s="37" t="str">
        <f t="shared" si="517"/>
        <v/>
      </c>
      <c r="T4746" s="38" t="str">
        <f t="shared" si="518"/>
        <v/>
      </c>
      <c r="U4746" s="37" t="str">
        <f t="shared" si="519"/>
        <v/>
      </c>
    </row>
    <row r="4747" spans="2:21" ht="17.25">
      <c r="B4747" s="156"/>
      <c r="C4747" s="156"/>
      <c r="D4747" s="157"/>
      <c r="E4747" s="155"/>
      <c r="F4747" s="151"/>
      <c r="G4747" s="152"/>
      <c r="H4747" s="153"/>
      <c r="I4747" s="154"/>
      <c r="J4747" s="154"/>
      <c r="K4747" s="30" t="str">
        <f>IF(H4747="","",IF($C$30="간이법","",FPR(H4747,I4747,J4747)))</f>
        <v/>
      </c>
      <c r="L4747" s="30" t="str">
        <f>IF(H4747="","",IF($C$30="상세법",FPV(H4747,K4747),IF(H4747="EI",4,IF(H4747="EO",5.2,IF(H4747="EQ",3.9,IF(H4747="ILF",7.5,IF(H4747="EIF",5.4)))))))</f>
        <v/>
      </c>
      <c r="M4747" s="30" t="str">
        <f t="shared" si="513"/>
        <v/>
      </c>
      <c r="N4747" s="134"/>
      <c r="O4747" s="29"/>
      <c r="P4747" s="37" t="str">
        <f t="shared" si="514"/>
        <v/>
      </c>
      <c r="Q4747" s="38" t="str">
        <f t="shared" si="515"/>
        <v/>
      </c>
      <c r="R4747" s="37" t="str">
        <f t="shared" si="516"/>
        <v/>
      </c>
      <c r="S4747" s="37" t="str">
        <f t="shared" si="517"/>
        <v/>
      </c>
      <c r="T4747" s="38" t="str">
        <f t="shared" si="518"/>
        <v/>
      </c>
      <c r="U4747" s="37" t="str">
        <f t="shared" si="519"/>
        <v/>
      </c>
    </row>
    <row r="4748" spans="2:21" ht="17.25">
      <c r="B4748" s="156"/>
      <c r="C4748" s="156"/>
      <c r="D4748" s="157"/>
      <c r="E4748" s="155"/>
      <c r="F4748" s="151"/>
      <c r="G4748" s="152"/>
      <c r="H4748" s="153"/>
      <c r="I4748" s="154"/>
      <c r="J4748" s="154"/>
      <c r="K4748" s="30" t="str">
        <f>IF(H4748="","",IF($C$30="간이법","",FPR(H4748,I4748,J4748)))</f>
        <v/>
      </c>
      <c r="L4748" s="30" t="str">
        <f>IF(H4748="","",IF($C$30="상세법",FPV(H4748,K4748),IF(H4748="EI",4,IF(H4748="EO",5.2,IF(H4748="EQ",3.9,IF(H4748="ILF",7.5,IF(H4748="EIF",5.4)))))))</f>
        <v/>
      </c>
      <c r="M4748" s="30" t="str">
        <f t="shared" si="513"/>
        <v/>
      </c>
      <c r="N4748" s="134"/>
      <c r="O4748" s="29"/>
      <c r="P4748" s="37" t="str">
        <f t="shared" si="514"/>
        <v/>
      </c>
      <c r="Q4748" s="38" t="str">
        <f t="shared" si="515"/>
        <v/>
      </c>
      <c r="R4748" s="37" t="str">
        <f t="shared" si="516"/>
        <v/>
      </c>
      <c r="S4748" s="37" t="str">
        <f t="shared" si="517"/>
        <v/>
      </c>
      <c r="T4748" s="38" t="str">
        <f t="shared" si="518"/>
        <v/>
      </c>
      <c r="U4748" s="37" t="str">
        <f t="shared" si="519"/>
        <v/>
      </c>
    </row>
    <row r="4749" spans="2:21" ht="17.25">
      <c r="B4749" s="156"/>
      <c r="C4749" s="156"/>
      <c r="D4749" s="157"/>
      <c r="E4749" s="155"/>
      <c r="F4749" s="151"/>
      <c r="G4749" s="152"/>
      <c r="H4749" s="153"/>
      <c r="I4749" s="154"/>
      <c r="J4749" s="154"/>
      <c r="K4749" s="30" t="str">
        <f>IF(H4749="","",IF($C$30="간이법","",FPR(H4749,I4749,J4749)))</f>
        <v/>
      </c>
      <c r="L4749" s="30" t="str">
        <f>IF(H4749="","",IF($C$30="상세법",FPV(H4749,K4749),IF(H4749="EI",4,IF(H4749="EO",5.2,IF(H4749="EQ",3.9,IF(H4749="ILF",7.5,IF(H4749="EIF",5.4)))))))</f>
        <v/>
      </c>
      <c r="M4749" s="30" t="str">
        <f t="shared" si="513"/>
        <v/>
      </c>
      <c r="N4749" s="134"/>
      <c r="O4749" s="29"/>
      <c r="P4749" s="37" t="str">
        <f t="shared" si="514"/>
        <v/>
      </c>
      <c r="Q4749" s="38" t="str">
        <f t="shared" si="515"/>
        <v/>
      </c>
      <c r="R4749" s="37" t="str">
        <f t="shared" si="516"/>
        <v/>
      </c>
      <c r="S4749" s="37" t="str">
        <f t="shared" si="517"/>
        <v/>
      </c>
      <c r="T4749" s="38" t="str">
        <f t="shared" si="518"/>
        <v/>
      </c>
      <c r="U4749" s="37" t="str">
        <f t="shared" si="519"/>
        <v/>
      </c>
    </row>
    <row r="4750" spans="2:21" ht="17.25">
      <c r="B4750" s="156"/>
      <c r="C4750" s="156"/>
      <c r="D4750" s="157"/>
      <c r="E4750" s="155"/>
      <c r="F4750" s="151"/>
      <c r="G4750" s="152"/>
      <c r="H4750" s="153"/>
      <c r="I4750" s="154"/>
      <c r="J4750" s="154"/>
      <c r="K4750" s="30" t="str">
        <f>IF(H4750="","",IF($C$30="간이법","",FPR(H4750,I4750,J4750)))</f>
        <v/>
      </c>
      <c r="L4750" s="30" t="str">
        <f>IF(H4750="","",IF($C$30="상세법",FPV(H4750,K4750),IF(H4750="EI",4,IF(H4750="EO",5.2,IF(H4750="EQ",3.9,IF(H4750="ILF",7.5,IF(H4750="EIF",5.4)))))))</f>
        <v/>
      </c>
      <c r="M4750" s="30" t="str">
        <f t="shared" si="513"/>
        <v/>
      </c>
      <c r="N4750" s="134"/>
      <c r="O4750" s="29"/>
      <c r="P4750" s="37" t="str">
        <f t="shared" si="514"/>
        <v/>
      </c>
      <c r="Q4750" s="38" t="str">
        <f t="shared" si="515"/>
        <v/>
      </c>
      <c r="R4750" s="37" t="str">
        <f t="shared" si="516"/>
        <v/>
      </c>
      <c r="S4750" s="37" t="str">
        <f t="shared" si="517"/>
        <v/>
      </c>
      <c r="T4750" s="38" t="str">
        <f t="shared" si="518"/>
        <v/>
      </c>
      <c r="U4750" s="37" t="str">
        <f t="shared" si="519"/>
        <v/>
      </c>
    </row>
    <row r="4751" spans="2:21" ht="17.25">
      <c r="B4751" s="156"/>
      <c r="C4751" s="156"/>
      <c r="D4751" s="157"/>
      <c r="E4751" s="155"/>
      <c r="F4751" s="151"/>
      <c r="G4751" s="152"/>
      <c r="H4751" s="153"/>
      <c r="I4751" s="154"/>
      <c r="J4751" s="154"/>
      <c r="K4751" s="30" t="str">
        <f>IF(H4751="","",IF($C$30="간이법","",FPR(H4751,I4751,J4751)))</f>
        <v/>
      </c>
      <c r="L4751" s="30" t="str">
        <f>IF(H4751="","",IF($C$30="상세법",FPV(H4751,K4751),IF(H4751="EI",4,IF(H4751="EO",5.2,IF(H4751="EQ",3.9,IF(H4751="ILF",7.5,IF(H4751="EIF",5.4)))))))</f>
        <v/>
      </c>
      <c r="M4751" s="30" t="str">
        <f t="shared" si="513"/>
        <v/>
      </c>
      <c r="N4751" s="134"/>
      <c r="O4751" s="29"/>
      <c r="P4751" s="37" t="str">
        <f t="shared" si="514"/>
        <v/>
      </c>
      <c r="Q4751" s="38" t="str">
        <f t="shared" si="515"/>
        <v/>
      </c>
      <c r="R4751" s="37" t="str">
        <f t="shared" si="516"/>
        <v/>
      </c>
      <c r="S4751" s="37" t="str">
        <f t="shared" si="517"/>
        <v/>
      </c>
      <c r="T4751" s="38" t="str">
        <f t="shared" si="518"/>
        <v/>
      </c>
      <c r="U4751" s="37" t="str">
        <f t="shared" si="519"/>
        <v/>
      </c>
    </row>
    <row r="4752" spans="2:21" ht="17.25">
      <c r="B4752" s="156"/>
      <c r="C4752" s="156"/>
      <c r="D4752" s="157"/>
      <c r="E4752" s="155"/>
      <c r="F4752" s="151"/>
      <c r="G4752" s="152"/>
      <c r="H4752" s="153"/>
      <c r="I4752" s="154"/>
      <c r="J4752" s="154"/>
      <c r="K4752" s="30" t="str">
        <f>IF(H4752="","",IF($C$30="간이법","",FPR(H4752,I4752,J4752)))</f>
        <v/>
      </c>
      <c r="L4752" s="30" t="str">
        <f>IF(H4752="","",IF($C$30="상세법",FPV(H4752,K4752),IF(H4752="EI",4,IF(H4752="EO",5.2,IF(H4752="EQ",3.9,IF(H4752="ILF",7.5,IF(H4752="EIF",5.4)))))))</f>
        <v/>
      </c>
      <c r="M4752" s="30" t="str">
        <f t="shared" si="513"/>
        <v/>
      </c>
      <c r="N4752" s="134"/>
      <c r="O4752" s="29"/>
      <c r="P4752" s="37" t="str">
        <f t="shared" si="514"/>
        <v/>
      </c>
      <c r="Q4752" s="38" t="str">
        <f t="shared" si="515"/>
        <v/>
      </c>
      <c r="R4752" s="37" t="str">
        <f t="shared" si="516"/>
        <v/>
      </c>
      <c r="S4752" s="37" t="str">
        <f t="shared" si="517"/>
        <v/>
      </c>
      <c r="T4752" s="38" t="str">
        <f t="shared" si="518"/>
        <v/>
      </c>
      <c r="U4752" s="37" t="str">
        <f t="shared" si="519"/>
        <v/>
      </c>
    </row>
    <row r="4753" spans="2:21" ht="17.25">
      <c r="B4753" s="156"/>
      <c r="C4753" s="156"/>
      <c r="D4753" s="157"/>
      <c r="E4753" s="155"/>
      <c r="F4753" s="151"/>
      <c r="G4753" s="152"/>
      <c r="H4753" s="153"/>
      <c r="I4753" s="154"/>
      <c r="J4753" s="154"/>
      <c r="K4753" s="30" t="str">
        <f>IF(H4753="","",IF($C$30="간이법","",FPR(H4753,I4753,J4753)))</f>
        <v/>
      </c>
      <c r="L4753" s="30" t="str">
        <f>IF(H4753="","",IF($C$30="상세법",FPV(H4753,K4753),IF(H4753="EI",4,IF(H4753="EO",5.2,IF(H4753="EQ",3.9,IF(H4753="ILF",7.5,IF(H4753="EIF",5.4)))))))</f>
        <v/>
      </c>
      <c r="M4753" s="30" t="str">
        <f t="shared" si="513"/>
        <v/>
      </c>
      <c r="N4753" s="134"/>
      <c r="O4753" s="29"/>
      <c r="P4753" s="37" t="str">
        <f t="shared" si="514"/>
        <v/>
      </c>
      <c r="Q4753" s="38" t="str">
        <f t="shared" si="515"/>
        <v/>
      </c>
      <c r="R4753" s="37" t="str">
        <f t="shared" si="516"/>
        <v/>
      </c>
      <c r="S4753" s="37" t="str">
        <f t="shared" si="517"/>
        <v/>
      </c>
      <c r="T4753" s="38" t="str">
        <f t="shared" si="518"/>
        <v/>
      </c>
      <c r="U4753" s="37" t="str">
        <f t="shared" si="519"/>
        <v/>
      </c>
    </row>
    <row r="4754" spans="2:21" ht="17.25">
      <c r="B4754" s="156"/>
      <c r="C4754" s="156"/>
      <c r="D4754" s="157"/>
      <c r="E4754" s="155"/>
      <c r="F4754" s="151"/>
      <c r="G4754" s="152"/>
      <c r="H4754" s="153"/>
      <c r="I4754" s="154"/>
      <c r="J4754" s="154"/>
      <c r="K4754" s="30" t="str">
        <f>IF(H4754="","",IF($C$30="간이법","",FPR(H4754,I4754,J4754)))</f>
        <v/>
      </c>
      <c r="L4754" s="30" t="str">
        <f>IF(H4754="","",IF($C$30="상세법",FPV(H4754,K4754),IF(H4754="EI",4,IF(H4754="EO",5.2,IF(H4754="EQ",3.9,IF(H4754="ILF",7.5,IF(H4754="EIF",5.4)))))))</f>
        <v/>
      </c>
      <c r="M4754" s="30" t="str">
        <f t="shared" si="513"/>
        <v/>
      </c>
      <c r="N4754" s="134"/>
      <c r="O4754" s="29"/>
      <c r="P4754" s="37" t="str">
        <f t="shared" si="514"/>
        <v/>
      </c>
      <c r="Q4754" s="38" t="str">
        <f t="shared" si="515"/>
        <v/>
      </c>
      <c r="R4754" s="37" t="str">
        <f t="shared" si="516"/>
        <v/>
      </c>
      <c r="S4754" s="37" t="str">
        <f t="shared" si="517"/>
        <v/>
      </c>
      <c r="T4754" s="38" t="str">
        <f t="shared" si="518"/>
        <v/>
      </c>
      <c r="U4754" s="37" t="str">
        <f t="shared" si="519"/>
        <v/>
      </c>
    </row>
    <row r="4755" spans="2:21" ht="17.25">
      <c r="B4755" s="156"/>
      <c r="C4755" s="156"/>
      <c r="D4755" s="157"/>
      <c r="E4755" s="155"/>
      <c r="F4755" s="151"/>
      <c r="G4755" s="152"/>
      <c r="H4755" s="153"/>
      <c r="I4755" s="154"/>
      <c r="J4755" s="154"/>
      <c r="K4755" s="30" t="str">
        <f>IF(H4755="","",IF($C$30="간이법","",FPR(H4755,I4755,J4755)))</f>
        <v/>
      </c>
      <c r="L4755" s="30" t="str">
        <f>IF(H4755="","",IF($C$30="상세법",FPV(H4755,K4755),IF(H4755="EI",4,IF(H4755="EO",5.2,IF(H4755="EQ",3.9,IF(H4755="ILF",7.5,IF(H4755="EIF",5.4)))))))</f>
        <v/>
      </c>
      <c r="M4755" s="30" t="str">
        <f t="shared" si="513"/>
        <v/>
      </c>
      <c r="N4755" s="134"/>
      <c r="O4755" s="29"/>
      <c r="P4755" s="37" t="str">
        <f t="shared" si="514"/>
        <v/>
      </c>
      <c r="Q4755" s="38" t="str">
        <f t="shared" si="515"/>
        <v/>
      </c>
      <c r="R4755" s="37" t="str">
        <f t="shared" si="516"/>
        <v/>
      </c>
      <c r="S4755" s="37" t="str">
        <f t="shared" si="517"/>
        <v/>
      </c>
      <c r="T4755" s="38" t="str">
        <f t="shared" si="518"/>
        <v/>
      </c>
      <c r="U4755" s="37" t="str">
        <f t="shared" si="519"/>
        <v/>
      </c>
    </row>
    <row r="4756" spans="2:21" ht="17.25">
      <c r="B4756" s="156"/>
      <c r="C4756" s="156"/>
      <c r="D4756" s="157"/>
      <c r="E4756" s="155"/>
      <c r="F4756" s="151"/>
      <c r="G4756" s="152"/>
      <c r="H4756" s="153"/>
      <c r="I4756" s="154"/>
      <c r="J4756" s="154"/>
      <c r="K4756" s="30" t="str">
        <f>IF(H4756="","",IF($C$30="간이법","",FPR(H4756,I4756,J4756)))</f>
        <v/>
      </c>
      <c r="L4756" s="30" t="str">
        <f>IF(H4756="","",IF($C$30="상세법",FPV(H4756,K4756),IF(H4756="EI",4,IF(H4756="EO",5.2,IF(H4756="EQ",3.9,IF(H4756="ILF",7.5,IF(H4756="EIF",5.4)))))))</f>
        <v/>
      </c>
      <c r="M4756" s="30" t="str">
        <f t="shared" si="513"/>
        <v/>
      </c>
      <c r="N4756" s="134"/>
      <c r="O4756" s="29"/>
      <c r="P4756" s="37" t="str">
        <f t="shared" si="514"/>
        <v/>
      </c>
      <c r="Q4756" s="38" t="str">
        <f t="shared" si="515"/>
        <v/>
      </c>
      <c r="R4756" s="37" t="str">
        <f t="shared" si="516"/>
        <v/>
      </c>
      <c r="S4756" s="37" t="str">
        <f t="shared" si="517"/>
        <v/>
      </c>
      <c r="T4756" s="38" t="str">
        <f t="shared" si="518"/>
        <v/>
      </c>
      <c r="U4756" s="37" t="str">
        <f t="shared" si="519"/>
        <v/>
      </c>
    </row>
    <row r="4757" spans="2:21" ht="17.25">
      <c r="B4757" s="156"/>
      <c r="C4757" s="156"/>
      <c r="D4757" s="157"/>
      <c r="E4757" s="155"/>
      <c r="F4757" s="151"/>
      <c r="G4757" s="152"/>
      <c r="H4757" s="153"/>
      <c r="I4757" s="154"/>
      <c r="J4757" s="154"/>
      <c r="K4757" s="30" t="str">
        <f>IF(H4757="","",IF($C$30="간이법","",FPR(H4757,I4757,J4757)))</f>
        <v/>
      </c>
      <c r="L4757" s="30" t="str">
        <f>IF(H4757="","",IF($C$30="상세법",FPV(H4757,K4757),IF(H4757="EI",4,IF(H4757="EO",5.2,IF(H4757="EQ",3.9,IF(H4757="ILF",7.5,IF(H4757="EIF",5.4)))))))</f>
        <v/>
      </c>
      <c r="M4757" s="30" t="str">
        <f t="shared" si="513"/>
        <v/>
      </c>
      <c r="N4757" s="134"/>
      <c r="O4757" s="29"/>
      <c r="P4757" s="37" t="str">
        <f t="shared" si="514"/>
        <v/>
      </c>
      <c r="Q4757" s="38" t="str">
        <f t="shared" si="515"/>
        <v/>
      </c>
      <c r="R4757" s="37" t="str">
        <f t="shared" si="516"/>
        <v/>
      </c>
      <c r="S4757" s="37" t="str">
        <f t="shared" si="517"/>
        <v/>
      </c>
      <c r="T4757" s="38" t="str">
        <f t="shared" si="518"/>
        <v/>
      </c>
      <c r="U4757" s="37" t="str">
        <f t="shared" si="519"/>
        <v/>
      </c>
    </row>
    <row r="4758" spans="2:21" ht="17.25">
      <c r="B4758" s="156"/>
      <c r="C4758" s="156"/>
      <c r="D4758" s="157"/>
      <c r="E4758" s="155"/>
      <c r="F4758" s="151"/>
      <c r="G4758" s="152"/>
      <c r="H4758" s="153"/>
      <c r="I4758" s="154"/>
      <c r="J4758" s="154"/>
      <c r="K4758" s="30" t="str">
        <f>IF(H4758="","",IF($C$30="간이법","",FPR(H4758,I4758,J4758)))</f>
        <v/>
      </c>
      <c r="L4758" s="30" t="str">
        <f>IF(H4758="","",IF($C$30="상세법",FPV(H4758,K4758),IF(H4758="EI",4,IF(H4758="EO",5.2,IF(H4758="EQ",3.9,IF(H4758="ILF",7.5,IF(H4758="EIF",5.4)))))))</f>
        <v/>
      </c>
      <c r="M4758" s="30" t="str">
        <f t="shared" si="513"/>
        <v/>
      </c>
      <c r="N4758" s="134"/>
      <c r="O4758" s="29"/>
      <c r="P4758" s="37" t="str">
        <f t="shared" si="514"/>
        <v/>
      </c>
      <c r="Q4758" s="38" t="str">
        <f t="shared" si="515"/>
        <v/>
      </c>
      <c r="R4758" s="37" t="str">
        <f t="shared" si="516"/>
        <v/>
      </c>
      <c r="S4758" s="37" t="str">
        <f t="shared" si="517"/>
        <v/>
      </c>
      <c r="T4758" s="38" t="str">
        <f t="shared" si="518"/>
        <v/>
      </c>
      <c r="U4758" s="37" t="str">
        <f t="shared" si="519"/>
        <v/>
      </c>
    </row>
    <row r="4759" spans="2:21" ht="17.25">
      <c r="B4759" s="156"/>
      <c r="C4759" s="156"/>
      <c r="D4759" s="157"/>
      <c r="E4759" s="155"/>
      <c r="F4759" s="151"/>
      <c r="G4759" s="152"/>
      <c r="H4759" s="153"/>
      <c r="I4759" s="154"/>
      <c r="J4759" s="154"/>
      <c r="K4759" s="30" t="str">
        <f>IF(H4759="","",IF($C$30="간이법","",FPR(H4759,I4759,J4759)))</f>
        <v/>
      </c>
      <c r="L4759" s="30" t="str">
        <f>IF(H4759="","",IF($C$30="상세법",FPV(H4759,K4759),IF(H4759="EI",4,IF(H4759="EO",5.2,IF(H4759="EQ",3.9,IF(H4759="ILF",7.5,IF(H4759="EIF",5.4)))))))</f>
        <v/>
      </c>
      <c r="M4759" s="30" t="str">
        <f t="shared" si="513"/>
        <v/>
      </c>
      <c r="N4759" s="134"/>
      <c r="O4759" s="29"/>
      <c r="P4759" s="37" t="str">
        <f t="shared" si="514"/>
        <v/>
      </c>
      <c r="Q4759" s="38" t="str">
        <f t="shared" si="515"/>
        <v/>
      </c>
      <c r="R4759" s="37" t="str">
        <f t="shared" si="516"/>
        <v/>
      </c>
      <c r="S4759" s="37" t="str">
        <f t="shared" si="517"/>
        <v/>
      </c>
      <c r="T4759" s="38" t="str">
        <f t="shared" si="518"/>
        <v/>
      </c>
      <c r="U4759" s="37" t="str">
        <f t="shared" si="519"/>
        <v/>
      </c>
    </row>
    <row r="4760" spans="2:21" ht="17.25">
      <c r="B4760" s="156"/>
      <c r="C4760" s="156"/>
      <c r="D4760" s="157"/>
      <c r="E4760" s="155"/>
      <c r="F4760" s="151"/>
      <c r="G4760" s="152"/>
      <c r="H4760" s="153"/>
      <c r="I4760" s="154"/>
      <c r="J4760" s="154"/>
      <c r="K4760" s="30" t="str">
        <f>IF(H4760="","",IF($C$30="간이법","",FPR(H4760,I4760,J4760)))</f>
        <v/>
      </c>
      <c r="L4760" s="30" t="str">
        <f>IF(H4760="","",IF($C$30="상세법",FPV(H4760,K4760),IF(H4760="EI",4,IF(H4760="EO",5.2,IF(H4760="EQ",3.9,IF(H4760="ILF",7.5,IF(H4760="EIF",5.4)))))))</f>
        <v/>
      </c>
      <c r="M4760" s="30" t="str">
        <f t="shared" si="513"/>
        <v/>
      </c>
      <c r="N4760" s="134"/>
      <c r="O4760" s="29"/>
      <c r="P4760" s="37" t="str">
        <f t="shared" si="514"/>
        <v/>
      </c>
      <c r="Q4760" s="38" t="str">
        <f t="shared" si="515"/>
        <v/>
      </c>
      <c r="R4760" s="37" t="str">
        <f t="shared" si="516"/>
        <v/>
      </c>
      <c r="S4760" s="37" t="str">
        <f t="shared" si="517"/>
        <v/>
      </c>
      <c r="T4760" s="38" t="str">
        <f t="shared" si="518"/>
        <v/>
      </c>
      <c r="U4760" s="37" t="str">
        <f t="shared" si="519"/>
        <v/>
      </c>
    </row>
    <row r="4761" spans="2:21" ht="17.25">
      <c r="B4761" s="156"/>
      <c r="C4761" s="156"/>
      <c r="D4761" s="157"/>
      <c r="E4761" s="155"/>
      <c r="F4761" s="151"/>
      <c r="G4761" s="152"/>
      <c r="H4761" s="153"/>
      <c r="I4761" s="154"/>
      <c r="J4761" s="154"/>
      <c r="K4761" s="30" t="str">
        <f>IF(H4761="","",IF($C$30="간이법","",FPR(H4761,I4761,J4761)))</f>
        <v/>
      </c>
      <c r="L4761" s="30" t="str">
        <f>IF(H4761="","",IF($C$30="상세법",FPV(H4761,K4761),IF(H4761="EI",4,IF(H4761="EO",5.2,IF(H4761="EQ",3.9,IF(H4761="ILF",7.5,IF(H4761="EIF",5.4)))))))</f>
        <v/>
      </c>
      <c r="M4761" s="30" t="str">
        <f t="shared" si="513"/>
        <v/>
      </c>
      <c r="N4761" s="134"/>
      <c r="O4761" s="29"/>
      <c r="P4761" s="37" t="str">
        <f t="shared" si="514"/>
        <v/>
      </c>
      <c r="Q4761" s="38" t="str">
        <f t="shared" si="515"/>
        <v/>
      </c>
      <c r="R4761" s="37" t="str">
        <f t="shared" si="516"/>
        <v/>
      </c>
      <c r="S4761" s="37" t="str">
        <f t="shared" si="517"/>
        <v/>
      </c>
      <c r="T4761" s="38" t="str">
        <f t="shared" si="518"/>
        <v/>
      </c>
      <c r="U4761" s="37" t="str">
        <f t="shared" si="519"/>
        <v/>
      </c>
    </row>
    <row r="4762" spans="2:21" ht="17.25">
      <c r="B4762" s="156"/>
      <c r="C4762" s="156"/>
      <c r="D4762" s="157"/>
      <c r="E4762" s="155"/>
      <c r="F4762" s="151"/>
      <c r="G4762" s="152"/>
      <c r="H4762" s="153"/>
      <c r="I4762" s="154"/>
      <c r="J4762" s="154"/>
      <c r="K4762" s="30" t="str">
        <f>IF(H4762="","",IF($C$30="간이법","",FPR(H4762,I4762,J4762)))</f>
        <v/>
      </c>
      <c r="L4762" s="30" t="str">
        <f>IF(H4762="","",IF($C$30="상세법",FPV(H4762,K4762),IF(H4762="EI",4,IF(H4762="EO",5.2,IF(H4762="EQ",3.9,IF(H4762="ILF",7.5,IF(H4762="EIF",5.4)))))))</f>
        <v/>
      </c>
      <c r="M4762" s="30" t="str">
        <f t="shared" si="513"/>
        <v/>
      </c>
      <c r="N4762" s="134"/>
      <c r="O4762" s="29"/>
      <c r="P4762" s="37" t="str">
        <f t="shared" si="514"/>
        <v/>
      </c>
      <c r="Q4762" s="38" t="str">
        <f t="shared" si="515"/>
        <v/>
      </c>
      <c r="R4762" s="37" t="str">
        <f t="shared" si="516"/>
        <v/>
      </c>
      <c r="S4762" s="37" t="str">
        <f t="shared" si="517"/>
        <v/>
      </c>
      <c r="T4762" s="38" t="str">
        <f t="shared" si="518"/>
        <v/>
      </c>
      <c r="U4762" s="37" t="str">
        <f t="shared" si="519"/>
        <v/>
      </c>
    </row>
    <row r="4763" spans="2:21" ht="17.25">
      <c r="B4763" s="156"/>
      <c r="C4763" s="156"/>
      <c r="D4763" s="157"/>
      <c r="E4763" s="155"/>
      <c r="F4763" s="151"/>
      <c r="G4763" s="152"/>
      <c r="H4763" s="153"/>
      <c r="I4763" s="154"/>
      <c r="J4763" s="154"/>
      <c r="K4763" s="30" t="str">
        <f>IF(H4763="","",IF($C$30="간이법","",FPR(H4763,I4763,J4763)))</f>
        <v/>
      </c>
      <c r="L4763" s="30" t="str">
        <f>IF(H4763="","",IF($C$30="상세법",FPV(H4763,K4763),IF(H4763="EI",4,IF(H4763="EO",5.2,IF(H4763="EQ",3.9,IF(H4763="ILF",7.5,IF(H4763="EIF",5.4)))))))</f>
        <v/>
      </c>
      <c r="M4763" s="30" t="str">
        <f t="shared" si="513"/>
        <v/>
      </c>
      <c r="N4763" s="134"/>
      <c r="O4763" s="29"/>
      <c r="P4763" s="37" t="str">
        <f t="shared" si="514"/>
        <v/>
      </c>
      <c r="Q4763" s="38" t="str">
        <f t="shared" si="515"/>
        <v/>
      </c>
      <c r="R4763" s="37" t="str">
        <f t="shared" si="516"/>
        <v/>
      </c>
      <c r="S4763" s="37" t="str">
        <f t="shared" si="517"/>
        <v/>
      </c>
      <c r="T4763" s="38" t="str">
        <f t="shared" si="518"/>
        <v/>
      </c>
      <c r="U4763" s="37" t="str">
        <f t="shared" si="519"/>
        <v/>
      </c>
    </row>
    <row r="4764" spans="2:21" ht="17.25">
      <c r="B4764" s="156"/>
      <c r="C4764" s="156"/>
      <c r="D4764" s="157"/>
      <c r="E4764" s="155"/>
      <c r="F4764" s="151"/>
      <c r="G4764" s="152"/>
      <c r="H4764" s="153"/>
      <c r="I4764" s="154"/>
      <c r="J4764" s="154"/>
      <c r="K4764" s="30" t="str">
        <f>IF(H4764="","",IF($C$30="간이법","",FPR(H4764,I4764,J4764)))</f>
        <v/>
      </c>
      <c r="L4764" s="30" t="str">
        <f>IF(H4764="","",IF($C$30="상세법",FPV(H4764,K4764),IF(H4764="EI",4,IF(H4764="EO",5.2,IF(H4764="EQ",3.9,IF(H4764="ILF",7.5,IF(H4764="EIF",5.4)))))))</f>
        <v/>
      </c>
      <c r="M4764" s="30" t="str">
        <f t="shared" si="513"/>
        <v/>
      </c>
      <c r="N4764" s="134"/>
      <c r="O4764" s="29"/>
      <c r="P4764" s="37" t="str">
        <f t="shared" si="514"/>
        <v/>
      </c>
      <c r="Q4764" s="38" t="str">
        <f t="shared" si="515"/>
        <v/>
      </c>
      <c r="R4764" s="37" t="str">
        <f t="shared" si="516"/>
        <v/>
      </c>
      <c r="S4764" s="37" t="str">
        <f t="shared" si="517"/>
        <v/>
      </c>
      <c r="T4764" s="38" t="str">
        <f t="shared" si="518"/>
        <v/>
      </c>
      <c r="U4764" s="37" t="str">
        <f t="shared" si="519"/>
        <v/>
      </c>
    </row>
    <row r="4765" spans="2:21" ht="17.25">
      <c r="B4765" s="156"/>
      <c r="C4765" s="156"/>
      <c r="D4765" s="157"/>
      <c r="E4765" s="155"/>
      <c r="F4765" s="151"/>
      <c r="G4765" s="152"/>
      <c r="H4765" s="153"/>
      <c r="I4765" s="154"/>
      <c r="J4765" s="154"/>
      <c r="K4765" s="30" t="str">
        <f>IF(H4765="","",IF($C$30="간이법","",FPR(H4765,I4765,J4765)))</f>
        <v/>
      </c>
      <c r="L4765" s="30" t="str">
        <f>IF(H4765="","",IF($C$30="상세법",FPV(H4765,K4765),IF(H4765="EI",4,IF(H4765="EO",5.2,IF(H4765="EQ",3.9,IF(H4765="ILF",7.5,IF(H4765="EIF",5.4)))))))</f>
        <v/>
      </c>
      <c r="M4765" s="30" t="str">
        <f t="shared" si="513"/>
        <v/>
      </c>
      <c r="N4765" s="134"/>
      <c r="O4765" s="29"/>
      <c r="P4765" s="37" t="str">
        <f t="shared" si="514"/>
        <v/>
      </c>
      <c r="Q4765" s="38" t="str">
        <f t="shared" si="515"/>
        <v/>
      </c>
      <c r="R4765" s="37" t="str">
        <f t="shared" si="516"/>
        <v/>
      </c>
      <c r="S4765" s="37" t="str">
        <f t="shared" si="517"/>
        <v/>
      </c>
      <c r="T4765" s="38" t="str">
        <f t="shared" si="518"/>
        <v/>
      </c>
      <c r="U4765" s="37" t="str">
        <f t="shared" si="519"/>
        <v/>
      </c>
    </row>
    <row r="4766" spans="2:21" ht="17.25">
      <c r="B4766" s="156"/>
      <c r="C4766" s="156"/>
      <c r="D4766" s="157"/>
      <c r="E4766" s="155"/>
      <c r="F4766" s="151"/>
      <c r="G4766" s="152"/>
      <c r="H4766" s="153"/>
      <c r="I4766" s="154"/>
      <c r="J4766" s="154"/>
      <c r="K4766" s="30" t="str">
        <f>IF(H4766="","",IF($C$30="간이법","",FPR(H4766,I4766,J4766)))</f>
        <v/>
      </c>
      <c r="L4766" s="30" t="str">
        <f>IF(H4766="","",IF($C$30="상세법",FPV(H4766,K4766),IF(H4766="EI",4,IF(H4766="EO",5.2,IF(H4766="EQ",3.9,IF(H4766="ILF",7.5,IF(H4766="EIF",5.4)))))))</f>
        <v/>
      </c>
      <c r="M4766" s="30" t="str">
        <f t="shared" si="513"/>
        <v/>
      </c>
      <c r="N4766" s="134"/>
      <c r="O4766" s="29"/>
      <c r="P4766" s="37" t="str">
        <f t="shared" si="514"/>
        <v/>
      </c>
      <c r="Q4766" s="38" t="str">
        <f t="shared" si="515"/>
        <v/>
      </c>
      <c r="R4766" s="37" t="str">
        <f t="shared" si="516"/>
        <v/>
      </c>
      <c r="S4766" s="37" t="str">
        <f t="shared" si="517"/>
        <v/>
      </c>
      <c r="T4766" s="38" t="str">
        <f t="shared" si="518"/>
        <v/>
      </c>
      <c r="U4766" s="37" t="str">
        <f t="shared" si="519"/>
        <v/>
      </c>
    </row>
    <row r="4767" spans="2:21" ht="17.25">
      <c r="B4767" s="156"/>
      <c r="C4767" s="156"/>
      <c r="D4767" s="157"/>
      <c r="E4767" s="155"/>
      <c r="F4767" s="151"/>
      <c r="G4767" s="152"/>
      <c r="H4767" s="153"/>
      <c r="I4767" s="154"/>
      <c r="J4767" s="154"/>
      <c r="K4767" s="30" t="str">
        <f>IF(H4767="","",IF($C$30="간이법","",FPR(H4767,I4767,J4767)))</f>
        <v/>
      </c>
      <c r="L4767" s="30" t="str">
        <f>IF(H4767="","",IF($C$30="상세법",FPV(H4767,K4767),IF(H4767="EI",4,IF(H4767="EO",5.2,IF(H4767="EQ",3.9,IF(H4767="ILF",7.5,IF(H4767="EIF",5.4)))))))</f>
        <v/>
      </c>
      <c r="M4767" s="30" t="str">
        <f t="shared" si="513"/>
        <v/>
      </c>
      <c r="N4767" s="134"/>
      <c r="O4767" s="29"/>
      <c r="P4767" s="37" t="str">
        <f t="shared" si="514"/>
        <v/>
      </c>
      <c r="Q4767" s="38" t="str">
        <f t="shared" si="515"/>
        <v/>
      </c>
      <c r="R4767" s="37" t="str">
        <f t="shared" si="516"/>
        <v/>
      </c>
      <c r="S4767" s="37" t="str">
        <f t="shared" si="517"/>
        <v/>
      </c>
      <c r="T4767" s="38" t="str">
        <f t="shared" si="518"/>
        <v/>
      </c>
      <c r="U4767" s="37" t="str">
        <f t="shared" si="519"/>
        <v/>
      </c>
    </row>
    <row r="4768" spans="2:21" ht="17.25">
      <c r="B4768" s="156"/>
      <c r="C4768" s="156"/>
      <c r="D4768" s="157"/>
      <c r="E4768" s="155"/>
      <c r="F4768" s="151"/>
      <c r="G4768" s="152"/>
      <c r="H4768" s="153"/>
      <c r="I4768" s="154"/>
      <c r="J4768" s="154"/>
      <c r="K4768" s="30" t="str">
        <f>IF(H4768="","",IF($C$30="간이법","",FPR(H4768,I4768,J4768)))</f>
        <v/>
      </c>
      <c r="L4768" s="30" t="str">
        <f>IF(H4768="","",IF($C$30="상세법",FPV(H4768,K4768),IF(H4768="EI",4,IF(H4768="EO",5.2,IF(H4768="EQ",3.9,IF(H4768="ILF",7.5,IF(H4768="EIF",5.4)))))))</f>
        <v/>
      </c>
      <c r="M4768" s="30" t="str">
        <f t="shared" si="513"/>
        <v/>
      </c>
      <c r="N4768" s="134"/>
      <c r="O4768" s="29"/>
      <c r="P4768" s="37" t="str">
        <f t="shared" si="514"/>
        <v/>
      </c>
      <c r="Q4768" s="38" t="str">
        <f t="shared" si="515"/>
        <v/>
      </c>
      <c r="R4768" s="37" t="str">
        <f t="shared" si="516"/>
        <v/>
      </c>
      <c r="S4768" s="37" t="str">
        <f t="shared" si="517"/>
        <v/>
      </c>
      <c r="T4768" s="38" t="str">
        <f t="shared" si="518"/>
        <v/>
      </c>
      <c r="U4768" s="37" t="str">
        <f t="shared" si="519"/>
        <v/>
      </c>
    </row>
    <row r="4769" spans="2:21" ht="17.25">
      <c r="B4769" s="156"/>
      <c r="C4769" s="156"/>
      <c r="D4769" s="157"/>
      <c r="E4769" s="155"/>
      <c r="F4769" s="151"/>
      <c r="G4769" s="152"/>
      <c r="H4769" s="153"/>
      <c r="I4769" s="154"/>
      <c r="J4769" s="154"/>
      <c r="K4769" s="30" t="str">
        <f>IF(H4769="","",IF($C$30="간이법","",FPR(H4769,I4769,J4769)))</f>
        <v/>
      </c>
      <c r="L4769" s="30" t="str">
        <f>IF(H4769="","",IF($C$30="상세법",FPV(H4769,K4769),IF(H4769="EI",4,IF(H4769="EO",5.2,IF(H4769="EQ",3.9,IF(H4769="ILF",7.5,IF(H4769="EIF",5.4)))))))</f>
        <v/>
      </c>
      <c r="M4769" s="30" t="str">
        <f t="shared" si="513"/>
        <v/>
      </c>
      <c r="N4769" s="134"/>
      <c r="O4769" s="29"/>
      <c r="P4769" s="37" t="str">
        <f t="shared" si="514"/>
        <v/>
      </c>
      <c r="Q4769" s="38" t="str">
        <f t="shared" si="515"/>
        <v/>
      </c>
      <c r="R4769" s="37" t="str">
        <f t="shared" si="516"/>
        <v/>
      </c>
      <c r="S4769" s="37" t="str">
        <f t="shared" si="517"/>
        <v/>
      </c>
      <c r="T4769" s="38" t="str">
        <f t="shared" si="518"/>
        <v/>
      </c>
      <c r="U4769" s="37" t="str">
        <f t="shared" si="519"/>
        <v/>
      </c>
    </row>
    <row r="4770" spans="2:21" ht="17.25">
      <c r="B4770" s="156"/>
      <c r="C4770" s="156"/>
      <c r="D4770" s="157"/>
      <c r="E4770" s="155"/>
      <c r="F4770" s="151"/>
      <c r="G4770" s="152"/>
      <c r="H4770" s="153"/>
      <c r="I4770" s="154"/>
      <c r="J4770" s="154"/>
      <c r="K4770" s="30" t="str">
        <f>IF(H4770="","",IF($C$30="간이법","",FPR(H4770,I4770,J4770)))</f>
        <v/>
      </c>
      <c r="L4770" s="30" t="str">
        <f>IF(H4770="","",IF($C$30="상세법",FPV(H4770,K4770),IF(H4770="EI",4,IF(H4770="EO",5.2,IF(H4770="EQ",3.9,IF(H4770="ILF",7.5,IF(H4770="EIF",5.4)))))))</f>
        <v/>
      </c>
      <c r="M4770" s="30" t="str">
        <f t="shared" si="513"/>
        <v/>
      </c>
      <c r="N4770" s="134"/>
      <c r="O4770" s="29"/>
      <c r="P4770" s="37" t="str">
        <f t="shared" si="514"/>
        <v/>
      </c>
      <c r="Q4770" s="38" t="str">
        <f t="shared" si="515"/>
        <v/>
      </c>
      <c r="R4770" s="37" t="str">
        <f t="shared" si="516"/>
        <v/>
      </c>
      <c r="S4770" s="37" t="str">
        <f t="shared" si="517"/>
        <v/>
      </c>
      <c r="T4770" s="38" t="str">
        <f t="shared" si="518"/>
        <v/>
      </c>
      <c r="U4770" s="37" t="str">
        <f t="shared" si="519"/>
        <v/>
      </c>
    </row>
    <row r="4771" spans="2:21" ht="17.25">
      <c r="B4771" s="156"/>
      <c r="C4771" s="156"/>
      <c r="D4771" s="157"/>
      <c r="E4771" s="155"/>
      <c r="F4771" s="151"/>
      <c r="G4771" s="152"/>
      <c r="H4771" s="153"/>
      <c r="I4771" s="154"/>
      <c r="J4771" s="154"/>
      <c r="K4771" s="30" t="str">
        <f>IF(H4771="","",IF($C$30="간이법","",FPR(H4771,I4771,J4771)))</f>
        <v/>
      </c>
      <c r="L4771" s="30" t="str">
        <f>IF(H4771="","",IF($C$30="상세법",FPV(H4771,K4771),IF(H4771="EI",4,IF(H4771="EO",5.2,IF(H4771="EQ",3.9,IF(H4771="ILF",7.5,IF(H4771="EIF",5.4)))))))</f>
        <v/>
      </c>
      <c r="M4771" s="30" t="str">
        <f t="shared" si="513"/>
        <v/>
      </c>
      <c r="N4771" s="134"/>
      <c r="O4771" s="29"/>
      <c r="P4771" s="37" t="str">
        <f t="shared" si="514"/>
        <v/>
      </c>
      <c r="Q4771" s="38" t="str">
        <f t="shared" si="515"/>
        <v/>
      </c>
      <c r="R4771" s="37" t="str">
        <f t="shared" si="516"/>
        <v/>
      </c>
      <c r="S4771" s="37" t="str">
        <f t="shared" si="517"/>
        <v/>
      </c>
      <c r="T4771" s="38" t="str">
        <f t="shared" si="518"/>
        <v/>
      </c>
      <c r="U4771" s="37" t="str">
        <f t="shared" si="519"/>
        <v/>
      </c>
    </row>
    <row r="4772" spans="2:21" ht="17.25">
      <c r="B4772" s="156"/>
      <c r="C4772" s="156"/>
      <c r="D4772" s="157"/>
      <c r="E4772" s="155"/>
      <c r="F4772" s="151"/>
      <c r="G4772" s="152"/>
      <c r="H4772" s="153"/>
      <c r="I4772" s="154"/>
      <c r="J4772" s="154"/>
      <c r="K4772" s="30" t="str">
        <f>IF(H4772="","",IF($C$30="간이법","",FPR(H4772,I4772,J4772)))</f>
        <v/>
      </c>
      <c r="L4772" s="30" t="str">
        <f>IF(H4772="","",IF($C$30="상세법",FPV(H4772,K4772),IF(H4772="EI",4,IF(H4772="EO",5.2,IF(H4772="EQ",3.9,IF(H4772="ILF",7.5,IF(H4772="EIF",5.4)))))))</f>
        <v/>
      </c>
      <c r="M4772" s="30" t="str">
        <f t="shared" si="513"/>
        <v/>
      </c>
      <c r="N4772" s="134"/>
      <c r="O4772" s="29"/>
      <c r="P4772" s="37" t="str">
        <f t="shared" si="514"/>
        <v/>
      </c>
      <c r="Q4772" s="38" t="str">
        <f t="shared" si="515"/>
        <v/>
      </c>
      <c r="R4772" s="37" t="str">
        <f t="shared" si="516"/>
        <v/>
      </c>
      <c r="S4772" s="37" t="str">
        <f t="shared" si="517"/>
        <v/>
      </c>
      <c r="T4772" s="38" t="str">
        <f t="shared" si="518"/>
        <v/>
      </c>
      <c r="U4772" s="37" t="str">
        <f t="shared" si="519"/>
        <v/>
      </c>
    </row>
    <row r="4773" spans="2:21" ht="17.25">
      <c r="B4773" s="156"/>
      <c r="C4773" s="156"/>
      <c r="D4773" s="157"/>
      <c r="E4773" s="155"/>
      <c r="F4773" s="151"/>
      <c r="G4773" s="152"/>
      <c r="H4773" s="153"/>
      <c r="I4773" s="154"/>
      <c r="J4773" s="154"/>
      <c r="K4773" s="30" t="str">
        <f>IF(H4773="","",IF($C$30="간이법","",FPR(H4773,I4773,J4773)))</f>
        <v/>
      </c>
      <c r="L4773" s="30" t="str">
        <f>IF(H4773="","",IF($C$30="상세법",FPV(H4773,K4773),IF(H4773="EI",4,IF(H4773="EO",5.2,IF(H4773="EQ",3.9,IF(H4773="ILF",7.5,IF(H4773="EIF",5.4)))))))</f>
        <v/>
      </c>
      <c r="M4773" s="30" t="str">
        <f t="shared" si="513"/>
        <v/>
      </c>
      <c r="N4773" s="134"/>
      <c r="O4773" s="29"/>
      <c r="P4773" s="37" t="str">
        <f t="shared" si="514"/>
        <v/>
      </c>
      <c r="Q4773" s="38" t="str">
        <f t="shared" si="515"/>
        <v/>
      </c>
      <c r="R4773" s="37" t="str">
        <f t="shared" si="516"/>
        <v/>
      </c>
      <c r="S4773" s="37" t="str">
        <f t="shared" si="517"/>
        <v/>
      </c>
      <c r="T4773" s="38" t="str">
        <f t="shared" si="518"/>
        <v/>
      </c>
      <c r="U4773" s="37" t="str">
        <f t="shared" si="519"/>
        <v/>
      </c>
    </row>
    <row r="4774" spans="2:21" ht="17.25">
      <c r="B4774" s="156"/>
      <c r="C4774" s="156"/>
      <c r="D4774" s="157"/>
      <c r="E4774" s="155"/>
      <c r="F4774" s="151"/>
      <c r="G4774" s="152"/>
      <c r="H4774" s="153"/>
      <c r="I4774" s="154"/>
      <c r="J4774" s="154"/>
      <c r="K4774" s="30" t="str">
        <f>IF(H4774="","",IF($C$30="간이법","",FPR(H4774,I4774,J4774)))</f>
        <v/>
      </c>
      <c r="L4774" s="30" t="str">
        <f>IF(H4774="","",IF($C$30="상세법",FPV(H4774,K4774),IF(H4774="EI",4,IF(H4774="EO",5.2,IF(H4774="EQ",3.9,IF(H4774="ILF",7.5,IF(H4774="EIF",5.4)))))))</f>
        <v/>
      </c>
      <c r="M4774" s="30" t="str">
        <f t="shared" si="513"/>
        <v/>
      </c>
      <c r="N4774" s="134"/>
      <c r="O4774" s="29"/>
      <c r="P4774" s="37" t="str">
        <f t="shared" si="514"/>
        <v/>
      </c>
      <c r="Q4774" s="38" t="str">
        <f t="shared" si="515"/>
        <v/>
      </c>
      <c r="R4774" s="37" t="str">
        <f t="shared" si="516"/>
        <v/>
      </c>
      <c r="S4774" s="37" t="str">
        <f t="shared" si="517"/>
        <v/>
      </c>
      <c r="T4774" s="38" t="str">
        <f t="shared" si="518"/>
        <v/>
      </c>
      <c r="U4774" s="37" t="str">
        <f t="shared" si="519"/>
        <v/>
      </c>
    </row>
    <row r="4775" spans="2:21" ht="17.25">
      <c r="B4775" s="156"/>
      <c r="C4775" s="156"/>
      <c r="D4775" s="157"/>
      <c r="E4775" s="155"/>
      <c r="F4775" s="151"/>
      <c r="G4775" s="152"/>
      <c r="H4775" s="153"/>
      <c r="I4775" s="154"/>
      <c r="J4775" s="154"/>
      <c r="K4775" s="30" t="str">
        <f>IF(H4775="","",IF($C$30="간이법","",FPR(H4775,I4775,J4775)))</f>
        <v/>
      </c>
      <c r="L4775" s="30" t="str">
        <f>IF(H4775="","",IF($C$30="상세법",FPV(H4775,K4775),IF(H4775="EI",4,IF(H4775="EO",5.2,IF(H4775="EQ",3.9,IF(H4775="ILF",7.5,IF(H4775="EIF",5.4)))))))</f>
        <v/>
      </c>
      <c r="M4775" s="30" t="str">
        <f t="shared" si="513"/>
        <v/>
      </c>
      <c r="N4775" s="134"/>
      <c r="O4775" s="29"/>
      <c r="P4775" s="37" t="str">
        <f t="shared" si="514"/>
        <v/>
      </c>
      <c r="Q4775" s="38" t="str">
        <f t="shared" si="515"/>
        <v/>
      </c>
      <c r="R4775" s="37" t="str">
        <f t="shared" si="516"/>
        <v/>
      </c>
      <c r="S4775" s="37" t="str">
        <f t="shared" si="517"/>
        <v/>
      </c>
      <c r="T4775" s="38" t="str">
        <f t="shared" si="518"/>
        <v/>
      </c>
      <c r="U4775" s="37" t="str">
        <f t="shared" si="519"/>
        <v/>
      </c>
    </row>
    <row r="4776" spans="2:21" ht="17.25">
      <c r="B4776" s="156"/>
      <c r="C4776" s="156"/>
      <c r="D4776" s="157"/>
      <c r="E4776" s="155"/>
      <c r="F4776" s="151"/>
      <c r="G4776" s="152"/>
      <c r="H4776" s="153"/>
      <c r="I4776" s="154"/>
      <c r="J4776" s="154"/>
      <c r="K4776" s="30" t="str">
        <f>IF(H4776="","",IF($C$30="간이법","",FPR(H4776,I4776,J4776)))</f>
        <v/>
      </c>
      <c r="L4776" s="30" t="str">
        <f>IF(H4776="","",IF($C$30="상세법",FPV(H4776,K4776),IF(H4776="EI",4,IF(H4776="EO",5.2,IF(H4776="EQ",3.9,IF(H4776="ILF",7.5,IF(H4776="EIF",5.4)))))))</f>
        <v/>
      </c>
      <c r="M4776" s="30" t="str">
        <f t="shared" si="513"/>
        <v/>
      </c>
      <c r="N4776" s="134"/>
      <c r="O4776" s="29"/>
      <c r="P4776" s="37" t="str">
        <f t="shared" si="514"/>
        <v/>
      </c>
      <c r="Q4776" s="38" t="str">
        <f t="shared" si="515"/>
        <v/>
      </c>
      <c r="R4776" s="37" t="str">
        <f t="shared" si="516"/>
        <v/>
      </c>
      <c r="S4776" s="37" t="str">
        <f t="shared" si="517"/>
        <v/>
      </c>
      <c r="T4776" s="38" t="str">
        <f t="shared" si="518"/>
        <v/>
      </c>
      <c r="U4776" s="37" t="str">
        <f t="shared" si="519"/>
        <v/>
      </c>
    </row>
    <row r="4777" spans="2:21" ht="17.25">
      <c r="B4777" s="156"/>
      <c r="C4777" s="156"/>
      <c r="D4777" s="157"/>
      <c r="E4777" s="155"/>
      <c r="F4777" s="151"/>
      <c r="G4777" s="152"/>
      <c r="H4777" s="153"/>
      <c r="I4777" s="154"/>
      <c r="J4777" s="154"/>
      <c r="K4777" s="30" t="str">
        <f>IF(H4777="","",IF($C$30="간이법","",FPR(H4777,I4777,J4777)))</f>
        <v/>
      </c>
      <c r="L4777" s="30" t="str">
        <f>IF(H4777="","",IF($C$30="상세법",FPV(H4777,K4777),IF(H4777="EI",4,IF(H4777="EO",5.2,IF(H4777="EQ",3.9,IF(H4777="ILF",7.5,IF(H4777="EIF",5.4)))))))</f>
        <v/>
      </c>
      <c r="M4777" s="30" t="str">
        <f t="shared" si="513"/>
        <v/>
      </c>
      <c r="N4777" s="134"/>
      <c r="O4777" s="29"/>
      <c r="P4777" s="37" t="str">
        <f t="shared" si="514"/>
        <v/>
      </c>
      <c r="Q4777" s="38" t="str">
        <f t="shared" si="515"/>
        <v/>
      </c>
      <c r="R4777" s="37" t="str">
        <f t="shared" si="516"/>
        <v/>
      </c>
      <c r="S4777" s="37" t="str">
        <f t="shared" si="517"/>
        <v/>
      </c>
      <c r="T4777" s="38" t="str">
        <f t="shared" si="518"/>
        <v/>
      </c>
      <c r="U4777" s="37" t="str">
        <f t="shared" si="519"/>
        <v/>
      </c>
    </row>
    <row r="4778" spans="2:21" ht="17.25">
      <c r="B4778" s="156"/>
      <c r="C4778" s="156"/>
      <c r="D4778" s="157"/>
      <c r="E4778" s="155"/>
      <c r="F4778" s="151"/>
      <c r="G4778" s="152"/>
      <c r="H4778" s="153"/>
      <c r="I4778" s="154"/>
      <c r="J4778" s="154"/>
      <c r="K4778" s="30" t="str">
        <f>IF(H4778="","",IF($C$30="간이법","",FPR(H4778,I4778,J4778)))</f>
        <v/>
      </c>
      <c r="L4778" s="30" t="str">
        <f>IF(H4778="","",IF($C$30="상세법",FPV(H4778,K4778),IF(H4778="EI",4,IF(H4778="EO",5.2,IF(H4778="EQ",3.9,IF(H4778="ILF",7.5,IF(H4778="EIF",5.4)))))))</f>
        <v/>
      </c>
      <c r="M4778" s="30" t="str">
        <f t="shared" si="513"/>
        <v/>
      </c>
      <c r="N4778" s="134"/>
      <c r="O4778" s="29"/>
      <c r="P4778" s="37" t="str">
        <f t="shared" si="514"/>
        <v/>
      </c>
      <c r="Q4778" s="38" t="str">
        <f t="shared" si="515"/>
        <v/>
      </c>
      <c r="R4778" s="37" t="str">
        <f t="shared" si="516"/>
        <v/>
      </c>
      <c r="S4778" s="37" t="str">
        <f t="shared" si="517"/>
        <v/>
      </c>
      <c r="T4778" s="38" t="str">
        <f t="shared" si="518"/>
        <v/>
      </c>
      <c r="U4778" s="37" t="str">
        <f t="shared" si="519"/>
        <v/>
      </c>
    </row>
    <row r="4779" spans="2:21" ht="17.25">
      <c r="B4779" s="156"/>
      <c r="C4779" s="156"/>
      <c r="D4779" s="157"/>
      <c r="E4779" s="155"/>
      <c r="F4779" s="151"/>
      <c r="G4779" s="152"/>
      <c r="H4779" s="153"/>
      <c r="I4779" s="154"/>
      <c r="J4779" s="154"/>
      <c r="K4779" s="30" t="str">
        <f>IF(H4779="","",IF($C$30="간이법","",FPR(H4779,I4779,J4779)))</f>
        <v/>
      </c>
      <c r="L4779" s="30" t="str">
        <f>IF(H4779="","",IF($C$30="상세법",FPV(H4779,K4779),IF(H4779="EI",4,IF(H4779="EO",5.2,IF(H4779="EQ",3.9,IF(H4779="ILF",7.5,IF(H4779="EIF",5.4)))))))</f>
        <v/>
      </c>
      <c r="M4779" s="30" t="str">
        <f t="shared" si="513"/>
        <v/>
      </c>
      <c r="N4779" s="134"/>
      <c r="O4779" s="29"/>
      <c r="P4779" s="37" t="str">
        <f t="shared" si="514"/>
        <v/>
      </c>
      <c r="Q4779" s="38" t="str">
        <f t="shared" si="515"/>
        <v/>
      </c>
      <c r="R4779" s="37" t="str">
        <f t="shared" si="516"/>
        <v/>
      </c>
      <c r="S4779" s="37" t="str">
        <f t="shared" si="517"/>
        <v/>
      </c>
      <c r="T4779" s="38" t="str">
        <f t="shared" si="518"/>
        <v/>
      </c>
      <c r="U4779" s="37" t="str">
        <f t="shared" si="519"/>
        <v/>
      </c>
    </row>
    <row r="4780" spans="2:21" ht="17.25">
      <c r="B4780" s="156"/>
      <c r="C4780" s="156"/>
      <c r="D4780" s="157"/>
      <c r="E4780" s="155"/>
      <c r="F4780" s="151"/>
      <c r="G4780" s="152"/>
      <c r="H4780" s="153"/>
      <c r="I4780" s="154"/>
      <c r="J4780" s="154"/>
      <c r="K4780" s="30" t="str">
        <f>IF(H4780="","",IF($C$30="간이법","",FPR(H4780,I4780,J4780)))</f>
        <v/>
      </c>
      <c r="L4780" s="30" t="str">
        <f>IF(H4780="","",IF($C$30="상세법",FPV(H4780,K4780),IF(H4780="EI",4,IF(H4780="EO",5.2,IF(H4780="EQ",3.9,IF(H4780="ILF",7.5,IF(H4780="EIF",5.4)))))))</f>
        <v/>
      </c>
      <c r="M4780" s="30" t="str">
        <f t="shared" si="513"/>
        <v/>
      </c>
      <c r="N4780" s="134"/>
      <c r="O4780" s="29"/>
      <c r="P4780" s="37" t="str">
        <f t="shared" si="514"/>
        <v/>
      </c>
      <c r="Q4780" s="38" t="str">
        <f t="shared" si="515"/>
        <v/>
      </c>
      <c r="R4780" s="37" t="str">
        <f t="shared" si="516"/>
        <v/>
      </c>
      <c r="S4780" s="37" t="str">
        <f t="shared" si="517"/>
        <v/>
      </c>
      <c r="T4780" s="38" t="str">
        <f t="shared" si="518"/>
        <v/>
      </c>
      <c r="U4780" s="37" t="str">
        <f t="shared" si="519"/>
        <v/>
      </c>
    </row>
    <row r="4781" spans="2:21" ht="17.25">
      <c r="B4781" s="156"/>
      <c r="C4781" s="156"/>
      <c r="D4781" s="157"/>
      <c r="E4781" s="155"/>
      <c r="F4781" s="151"/>
      <c r="G4781" s="152"/>
      <c r="H4781" s="153"/>
      <c r="I4781" s="154"/>
      <c r="J4781" s="154"/>
      <c r="K4781" s="30" t="str">
        <f>IF(H4781="","",IF($C$30="간이법","",FPR(H4781,I4781,J4781)))</f>
        <v/>
      </c>
      <c r="L4781" s="30" t="str">
        <f>IF(H4781="","",IF($C$30="상세법",FPV(H4781,K4781),IF(H4781="EI",4,IF(H4781="EO",5.2,IF(H4781="EQ",3.9,IF(H4781="ILF",7.5,IF(H4781="EIF",5.4)))))))</f>
        <v/>
      </c>
      <c r="M4781" s="30" t="str">
        <f t="shared" si="513"/>
        <v/>
      </c>
      <c r="N4781" s="134"/>
      <c r="O4781" s="29"/>
      <c r="P4781" s="37" t="str">
        <f t="shared" si="514"/>
        <v/>
      </c>
      <c r="Q4781" s="38" t="str">
        <f t="shared" si="515"/>
        <v/>
      </c>
      <c r="R4781" s="37" t="str">
        <f t="shared" si="516"/>
        <v/>
      </c>
      <c r="S4781" s="37" t="str">
        <f t="shared" si="517"/>
        <v/>
      </c>
      <c r="T4781" s="38" t="str">
        <f t="shared" si="518"/>
        <v/>
      </c>
      <c r="U4781" s="37" t="str">
        <f t="shared" si="519"/>
        <v/>
      </c>
    </row>
    <row r="4782" spans="2:21" ht="17.25">
      <c r="B4782" s="156"/>
      <c r="C4782" s="156"/>
      <c r="D4782" s="157"/>
      <c r="E4782" s="155"/>
      <c r="F4782" s="151"/>
      <c r="G4782" s="152"/>
      <c r="H4782" s="153"/>
      <c r="I4782" s="154"/>
      <c r="J4782" s="154"/>
      <c r="K4782" s="30" t="str">
        <f>IF(H4782="","",IF($C$30="간이법","",FPR(H4782,I4782,J4782)))</f>
        <v/>
      </c>
      <c r="L4782" s="30" t="str">
        <f>IF(H4782="","",IF($C$30="상세법",FPV(H4782,K4782),IF(H4782="EI",4,IF(H4782="EO",5.2,IF(H4782="EQ",3.9,IF(H4782="ILF",7.5,IF(H4782="EIF",5.4)))))))</f>
        <v/>
      </c>
      <c r="M4782" s="30" t="str">
        <f t="shared" si="513"/>
        <v/>
      </c>
      <c r="N4782" s="134"/>
      <c r="O4782" s="29"/>
      <c r="P4782" s="37" t="str">
        <f t="shared" si="514"/>
        <v/>
      </c>
      <c r="Q4782" s="38" t="str">
        <f t="shared" si="515"/>
        <v/>
      </c>
      <c r="R4782" s="37" t="str">
        <f t="shared" si="516"/>
        <v/>
      </c>
      <c r="S4782" s="37" t="str">
        <f t="shared" si="517"/>
        <v/>
      </c>
      <c r="T4782" s="38" t="str">
        <f t="shared" si="518"/>
        <v/>
      </c>
      <c r="U4782" s="37" t="str">
        <f t="shared" si="519"/>
        <v/>
      </c>
    </row>
    <row r="4783" spans="2:21" ht="17.25">
      <c r="B4783" s="156"/>
      <c r="C4783" s="156"/>
      <c r="D4783" s="157"/>
      <c r="E4783" s="155"/>
      <c r="F4783" s="151"/>
      <c r="G4783" s="152"/>
      <c r="H4783" s="153"/>
      <c r="I4783" s="154"/>
      <c r="J4783" s="154"/>
      <c r="K4783" s="30" t="str">
        <f>IF(H4783="","",IF($C$30="간이법","",FPR(H4783,I4783,J4783)))</f>
        <v/>
      </c>
      <c r="L4783" s="30" t="str">
        <f>IF(H4783="","",IF($C$30="상세법",FPV(H4783,K4783),IF(H4783="EI",4,IF(H4783="EO",5.2,IF(H4783="EQ",3.9,IF(H4783="ILF",7.5,IF(H4783="EIF",5.4)))))))</f>
        <v/>
      </c>
      <c r="M4783" s="30" t="str">
        <f t="shared" si="513"/>
        <v/>
      </c>
      <c r="N4783" s="134"/>
      <c r="O4783" s="29"/>
      <c r="P4783" s="37" t="str">
        <f t="shared" si="514"/>
        <v/>
      </c>
      <c r="Q4783" s="38" t="str">
        <f t="shared" si="515"/>
        <v/>
      </c>
      <c r="R4783" s="37" t="str">
        <f t="shared" si="516"/>
        <v/>
      </c>
      <c r="S4783" s="37" t="str">
        <f t="shared" si="517"/>
        <v/>
      </c>
      <c r="T4783" s="38" t="str">
        <f t="shared" si="518"/>
        <v/>
      </c>
      <c r="U4783" s="37" t="str">
        <f t="shared" si="519"/>
        <v/>
      </c>
    </row>
    <row r="4784" spans="2:21" ht="17.25">
      <c r="B4784" s="156"/>
      <c r="C4784" s="156"/>
      <c r="D4784" s="157"/>
      <c r="E4784" s="155"/>
      <c r="F4784" s="151"/>
      <c r="G4784" s="152"/>
      <c r="H4784" s="153"/>
      <c r="I4784" s="154"/>
      <c r="J4784" s="154"/>
      <c r="K4784" s="30" t="str">
        <f>IF(H4784="","",IF($C$30="간이법","",FPR(H4784,I4784,J4784)))</f>
        <v/>
      </c>
      <c r="L4784" s="30" t="str">
        <f>IF(H4784="","",IF($C$30="상세법",FPV(H4784,K4784),IF(H4784="EI",4,IF(H4784="EO",5.2,IF(H4784="EQ",3.9,IF(H4784="ILF",7.5,IF(H4784="EIF",5.4)))))))</f>
        <v/>
      </c>
      <c r="M4784" s="30" t="str">
        <f t="shared" si="513"/>
        <v/>
      </c>
      <c r="N4784" s="134"/>
      <c r="O4784" s="29"/>
      <c r="P4784" s="37" t="str">
        <f t="shared" si="514"/>
        <v/>
      </c>
      <c r="Q4784" s="38" t="str">
        <f t="shared" si="515"/>
        <v/>
      </c>
      <c r="R4784" s="37" t="str">
        <f t="shared" si="516"/>
        <v/>
      </c>
      <c r="S4784" s="37" t="str">
        <f t="shared" si="517"/>
        <v/>
      </c>
      <c r="T4784" s="38" t="str">
        <f t="shared" si="518"/>
        <v/>
      </c>
      <c r="U4784" s="37" t="str">
        <f t="shared" si="519"/>
        <v/>
      </c>
    </row>
    <row r="4785" spans="2:21" ht="17.25">
      <c r="B4785" s="156"/>
      <c r="C4785" s="156"/>
      <c r="D4785" s="157"/>
      <c r="E4785" s="155"/>
      <c r="F4785" s="151"/>
      <c r="G4785" s="152"/>
      <c r="H4785" s="153"/>
      <c r="I4785" s="154"/>
      <c r="J4785" s="154"/>
      <c r="K4785" s="30" t="str">
        <f>IF(H4785="","",IF($C$30="간이법","",FPR(H4785,I4785,J4785)))</f>
        <v/>
      </c>
      <c r="L4785" s="30" t="str">
        <f>IF(H4785="","",IF($C$30="상세법",FPV(H4785,K4785),IF(H4785="EI",4,IF(H4785="EO",5.2,IF(H4785="EQ",3.9,IF(H4785="ILF",7.5,IF(H4785="EIF",5.4)))))))</f>
        <v/>
      </c>
      <c r="M4785" s="30" t="str">
        <f t="shared" si="513"/>
        <v/>
      </c>
      <c r="N4785" s="134"/>
      <c r="O4785" s="29"/>
      <c r="P4785" s="37" t="str">
        <f t="shared" si="514"/>
        <v/>
      </c>
      <c r="Q4785" s="38" t="str">
        <f t="shared" si="515"/>
        <v/>
      </c>
      <c r="R4785" s="37" t="str">
        <f t="shared" si="516"/>
        <v/>
      </c>
      <c r="S4785" s="37" t="str">
        <f t="shared" si="517"/>
        <v/>
      </c>
      <c r="T4785" s="38" t="str">
        <f t="shared" si="518"/>
        <v/>
      </c>
      <c r="U4785" s="37" t="str">
        <f t="shared" si="519"/>
        <v/>
      </c>
    </row>
    <row r="4786" spans="2:21" ht="17.25">
      <c r="B4786" s="156"/>
      <c r="C4786" s="156"/>
      <c r="D4786" s="157"/>
      <c r="E4786" s="155"/>
      <c r="F4786" s="151"/>
      <c r="G4786" s="152"/>
      <c r="H4786" s="153"/>
      <c r="I4786" s="154"/>
      <c r="J4786" s="154"/>
      <c r="K4786" s="30" t="str">
        <f>IF(H4786="","",IF($C$30="간이법","",FPR(H4786,I4786,J4786)))</f>
        <v/>
      </c>
      <c r="L4786" s="30" t="str">
        <f>IF(H4786="","",IF($C$30="상세법",FPV(H4786,K4786),IF(H4786="EI",4,IF(H4786="EO",5.2,IF(H4786="EQ",3.9,IF(H4786="ILF",7.5,IF(H4786="EIF",5.4)))))))</f>
        <v/>
      </c>
      <c r="M4786" s="30" t="str">
        <f t="shared" si="513"/>
        <v/>
      </c>
      <c r="N4786" s="134"/>
      <c r="O4786" s="29"/>
      <c r="P4786" s="37" t="str">
        <f t="shared" si="514"/>
        <v/>
      </c>
      <c r="Q4786" s="38" t="str">
        <f t="shared" si="515"/>
        <v/>
      </c>
      <c r="R4786" s="37" t="str">
        <f t="shared" si="516"/>
        <v/>
      </c>
      <c r="S4786" s="37" t="str">
        <f t="shared" si="517"/>
        <v/>
      </c>
      <c r="T4786" s="38" t="str">
        <f t="shared" si="518"/>
        <v/>
      </c>
      <c r="U4786" s="37" t="str">
        <f t="shared" si="519"/>
        <v/>
      </c>
    </row>
    <row r="4787" spans="2:21" ht="17.25">
      <c r="B4787" s="156"/>
      <c r="C4787" s="156"/>
      <c r="D4787" s="157"/>
      <c r="E4787" s="155"/>
      <c r="F4787" s="151"/>
      <c r="G4787" s="152"/>
      <c r="H4787" s="153"/>
      <c r="I4787" s="154"/>
      <c r="J4787" s="154"/>
      <c r="K4787" s="30" t="str">
        <f>IF(H4787="","",IF($C$30="간이법","",FPR(H4787,I4787,J4787)))</f>
        <v/>
      </c>
      <c r="L4787" s="30" t="str">
        <f>IF(H4787="","",IF($C$30="상세법",FPV(H4787,K4787),IF(H4787="EI",4,IF(H4787="EO",5.2,IF(H4787="EQ",3.9,IF(H4787="ILF",7.5,IF(H4787="EIF",5.4)))))))</f>
        <v/>
      </c>
      <c r="M4787" s="30" t="str">
        <f t="shared" si="513"/>
        <v/>
      </c>
      <c r="N4787" s="134"/>
      <c r="O4787" s="29"/>
      <c r="P4787" s="37" t="str">
        <f t="shared" si="514"/>
        <v/>
      </c>
      <c r="Q4787" s="38" t="str">
        <f t="shared" si="515"/>
        <v/>
      </c>
      <c r="R4787" s="37" t="str">
        <f t="shared" si="516"/>
        <v/>
      </c>
      <c r="S4787" s="37" t="str">
        <f t="shared" si="517"/>
        <v/>
      </c>
      <c r="T4787" s="38" t="str">
        <f t="shared" si="518"/>
        <v/>
      </c>
      <c r="U4787" s="37" t="str">
        <f t="shared" si="519"/>
        <v/>
      </c>
    </row>
    <row r="4788" spans="2:21" ht="17.25">
      <c r="B4788" s="156"/>
      <c r="C4788" s="156"/>
      <c r="D4788" s="157"/>
      <c r="E4788" s="155"/>
      <c r="F4788" s="151"/>
      <c r="G4788" s="152"/>
      <c r="H4788" s="153"/>
      <c r="I4788" s="154"/>
      <c r="J4788" s="154"/>
      <c r="K4788" s="30" t="str">
        <f>IF(H4788="","",IF($C$30="간이법","",FPR(H4788,I4788,J4788)))</f>
        <v/>
      </c>
      <c r="L4788" s="30" t="str">
        <f>IF(H4788="","",IF($C$30="상세법",FPV(H4788,K4788),IF(H4788="EI",4,IF(H4788="EO",5.2,IF(H4788="EQ",3.9,IF(H4788="ILF",7.5,IF(H4788="EIF",5.4)))))))</f>
        <v/>
      </c>
      <c r="M4788" s="30" t="str">
        <f t="shared" si="513"/>
        <v/>
      </c>
      <c r="N4788" s="134"/>
      <c r="O4788" s="29"/>
      <c r="P4788" s="37" t="str">
        <f t="shared" si="514"/>
        <v/>
      </c>
      <c r="Q4788" s="38" t="str">
        <f t="shared" si="515"/>
        <v/>
      </c>
      <c r="R4788" s="37" t="str">
        <f t="shared" si="516"/>
        <v/>
      </c>
      <c r="S4788" s="37" t="str">
        <f t="shared" si="517"/>
        <v/>
      </c>
      <c r="T4788" s="38" t="str">
        <f t="shared" si="518"/>
        <v/>
      </c>
      <c r="U4788" s="37" t="str">
        <f t="shared" si="519"/>
        <v/>
      </c>
    </row>
    <row r="4789" spans="2:21" ht="17.25">
      <c r="B4789" s="156"/>
      <c r="C4789" s="156"/>
      <c r="D4789" s="157"/>
      <c r="E4789" s="155"/>
      <c r="F4789" s="151"/>
      <c r="G4789" s="152"/>
      <c r="H4789" s="153"/>
      <c r="I4789" s="154"/>
      <c r="J4789" s="154"/>
      <c r="K4789" s="30" t="str">
        <f>IF(H4789="","",IF($C$30="간이법","",FPR(H4789,I4789,J4789)))</f>
        <v/>
      </c>
      <c r="L4789" s="30" t="str">
        <f>IF(H4789="","",IF($C$30="상세법",FPV(H4789,K4789),IF(H4789="EI",4,IF(H4789="EO",5.2,IF(H4789="EQ",3.9,IF(H4789="ILF",7.5,IF(H4789="EIF",5.4)))))))</f>
        <v/>
      </c>
      <c r="M4789" s="30" t="str">
        <f t="shared" si="513"/>
        <v/>
      </c>
      <c r="N4789" s="134"/>
      <c r="O4789" s="29"/>
      <c r="P4789" s="37" t="str">
        <f t="shared" si="514"/>
        <v/>
      </c>
      <c r="Q4789" s="38" t="str">
        <f t="shared" si="515"/>
        <v/>
      </c>
      <c r="R4789" s="37" t="str">
        <f t="shared" si="516"/>
        <v/>
      </c>
      <c r="S4789" s="37" t="str">
        <f t="shared" si="517"/>
        <v/>
      </c>
      <c r="T4789" s="38" t="str">
        <f t="shared" si="518"/>
        <v/>
      </c>
      <c r="U4789" s="37" t="str">
        <f t="shared" si="519"/>
        <v/>
      </c>
    </row>
    <row r="4790" spans="2:21" ht="17.25">
      <c r="B4790" s="156"/>
      <c r="C4790" s="156"/>
      <c r="D4790" s="157"/>
      <c r="E4790" s="155"/>
      <c r="F4790" s="151"/>
      <c r="G4790" s="152"/>
      <c r="H4790" s="153"/>
      <c r="I4790" s="154"/>
      <c r="J4790" s="154"/>
      <c r="K4790" s="30" t="str">
        <f>IF(H4790="","",IF($C$30="간이법","",FPR(H4790,I4790,J4790)))</f>
        <v/>
      </c>
      <c r="L4790" s="30" t="str">
        <f>IF(H4790="","",IF($C$30="상세법",FPV(H4790,K4790),IF(H4790="EI",4,IF(H4790="EO",5.2,IF(H4790="EQ",3.9,IF(H4790="ILF",7.5,IF(H4790="EIF",5.4)))))))</f>
        <v/>
      </c>
      <c r="M4790" s="30" t="str">
        <f t="shared" si="513"/>
        <v/>
      </c>
      <c r="N4790" s="134"/>
      <c r="O4790" s="29"/>
      <c r="P4790" s="37" t="str">
        <f t="shared" si="514"/>
        <v/>
      </c>
      <c r="Q4790" s="38" t="str">
        <f t="shared" si="515"/>
        <v/>
      </c>
      <c r="R4790" s="37" t="str">
        <f t="shared" si="516"/>
        <v/>
      </c>
      <c r="S4790" s="37" t="str">
        <f t="shared" si="517"/>
        <v/>
      </c>
      <c r="T4790" s="38" t="str">
        <f t="shared" si="518"/>
        <v/>
      </c>
      <c r="U4790" s="37" t="str">
        <f t="shared" si="519"/>
        <v/>
      </c>
    </row>
    <row r="4791" spans="2:21" ht="17.25">
      <c r="B4791" s="156"/>
      <c r="C4791" s="156"/>
      <c r="D4791" s="157"/>
      <c r="E4791" s="155"/>
      <c r="F4791" s="151"/>
      <c r="G4791" s="152"/>
      <c r="H4791" s="153"/>
      <c r="I4791" s="154"/>
      <c r="J4791" s="154"/>
      <c r="K4791" s="30" t="str">
        <f>IF(H4791="","",IF($C$30="간이법","",FPR(H4791,I4791,J4791)))</f>
        <v/>
      </c>
      <c r="L4791" s="30" t="str">
        <f>IF(H4791="","",IF($C$30="상세법",FPV(H4791,K4791),IF(H4791="EI",4,IF(H4791="EO",5.2,IF(H4791="EQ",3.9,IF(H4791="ILF",7.5,IF(H4791="EIF",5.4)))))))</f>
        <v/>
      </c>
      <c r="M4791" s="30" t="str">
        <f t="shared" si="513"/>
        <v/>
      </c>
      <c r="N4791" s="134"/>
      <c r="O4791" s="29"/>
      <c r="P4791" s="37" t="str">
        <f t="shared" si="514"/>
        <v/>
      </c>
      <c r="Q4791" s="38" t="str">
        <f t="shared" si="515"/>
        <v/>
      </c>
      <c r="R4791" s="37" t="str">
        <f t="shared" si="516"/>
        <v/>
      </c>
      <c r="S4791" s="37" t="str">
        <f t="shared" si="517"/>
        <v/>
      </c>
      <c r="T4791" s="38" t="str">
        <f t="shared" si="518"/>
        <v/>
      </c>
      <c r="U4791" s="37" t="str">
        <f t="shared" si="519"/>
        <v/>
      </c>
    </row>
    <row r="4792" spans="2:21" ht="17.25">
      <c r="B4792" s="156"/>
      <c r="C4792" s="156"/>
      <c r="D4792" s="157"/>
      <c r="E4792" s="155"/>
      <c r="F4792" s="151"/>
      <c r="G4792" s="152"/>
      <c r="H4792" s="153"/>
      <c r="I4792" s="154"/>
      <c r="J4792" s="154"/>
      <c r="K4792" s="30" t="str">
        <f>IF(H4792="","",IF($C$30="간이법","",FPR(H4792,I4792,J4792)))</f>
        <v/>
      </c>
      <c r="L4792" s="30" t="str">
        <f>IF(H4792="","",IF($C$30="상세법",FPV(H4792,K4792),IF(H4792="EI",4,IF(H4792="EO",5.2,IF(H4792="EQ",3.9,IF(H4792="ILF",7.5,IF(H4792="EIF",5.4)))))))</f>
        <v/>
      </c>
      <c r="M4792" s="30" t="str">
        <f t="shared" si="513"/>
        <v/>
      </c>
      <c r="N4792" s="134"/>
      <c r="O4792" s="29"/>
      <c r="P4792" s="37" t="str">
        <f t="shared" si="514"/>
        <v/>
      </c>
      <c r="Q4792" s="38" t="str">
        <f t="shared" si="515"/>
        <v/>
      </c>
      <c r="R4792" s="37" t="str">
        <f t="shared" si="516"/>
        <v/>
      </c>
      <c r="S4792" s="37" t="str">
        <f t="shared" si="517"/>
        <v/>
      </c>
      <c r="T4792" s="38" t="str">
        <f t="shared" si="518"/>
        <v/>
      </c>
      <c r="U4792" s="37" t="str">
        <f t="shared" si="519"/>
        <v/>
      </c>
    </row>
    <row r="4793" spans="2:21" ht="17.25">
      <c r="B4793" s="156"/>
      <c r="C4793" s="156"/>
      <c r="D4793" s="157"/>
      <c r="E4793" s="155"/>
      <c r="F4793" s="151"/>
      <c r="G4793" s="152"/>
      <c r="H4793" s="153"/>
      <c r="I4793" s="154"/>
      <c r="J4793" s="154"/>
      <c r="K4793" s="30" t="str">
        <f>IF(H4793="","",IF($C$30="간이법","",FPR(H4793,I4793,J4793)))</f>
        <v/>
      </c>
      <c r="L4793" s="30" t="str">
        <f>IF(H4793="","",IF($C$30="상세법",FPV(H4793,K4793),IF(H4793="EI",4,IF(H4793="EO",5.2,IF(H4793="EQ",3.9,IF(H4793="ILF",7.5,IF(H4793="EIF",5.4)))))))</f>
        <v/>
      </c>
      <c r="M4793" s="30" t="str">
        <f t="shared" si="513"/>
        <v/>
      </c>
      <c r="N4793" s="134"/>
      <c r="O4793" s="29"/>
      <c r="P4793" s="37" t="str">
        <f t="shared" si="514"/>
        <v/>
      </c>
      <c r="Q4793" s="38" t="str">
        <f t="shared" si="515"/>
        <v/>
      </c>
      <c r="R4793" s="37" t="str">
        <f t="shared" si="516"/>
        <v/>
      </c>
      <c r="S4793" s="37" t="str">
        <f t="shared" si="517"/>
        <v/>
      </c>
      <c r="T4793" s="38" t="str">
        <f t="shared" si="518"/>
        <v/>
      </c>
      <c r="U4793" s="37" t="str">
        <f t="shared" si="519"/>
        <v/>
      </c>
    </row>
    <row r="4794" spans="2:21" ht="17.25">
      <c r="B4794" s="156"/>
      <c r="C4794" s="156"/>
      <c r="D4794" s="157"/>
      <c r="E4794" s="155"/>
      <c r="F4794" s="151"/>
      <c r="G4794" s="152"/>
      <c r="H4794" s="153"/>
      <c r="I4794" s="154"/>
      <c r="J4794" s="154"/>
      <c r="K4794" s="30" t="str">
        <f>IF(H4794="","",IF($C$30="간이법","",FPR(H4794,I4794,J4794)))</f>
        <v/>
      </c>
      <c r="L4794" s="30" t="str">
        <f>IF(H4794="","",IF($C$30="상세법",FPV(H4794,K4794),IF(H4794="EI",4,IF(H4794="EO",5.2,IF(H4794="EQ",3.9,IF(H4794="ILF",7.5,IF(H4794="EIF",5.4)))))))</f>
        <v/>
      </c>
      <c r="M4794" s="30" t="str">
        <f t="shared" si="513"/>
        <v/>
      </c>
      <c r="N4794" s="134"/>
      <c r="O4794" s="29"/>
      <c r="P4794" s="37" t="str">
        <f t="shared" si="514"/>
        <v/>
      </c>
      <c r="Q4794" s="38" t="str">
        <f t="shared" si="515"/>
        <v/>
      </c>
      <c r="R4794" s="37" t="str">
        <f t="shared" si="516"/>
        <v/>
      </c>
      <c r="S4794" s="37" t="str">
        <f t="shared" si="517"/>
        <v/>
      </c>
      <c r="T4794" s="38" t="str">
        <f t="shared" si="518"/>
        <v/>
      </c>
      <c r="U4794" s="37" t="str">
        <f t="shared" si="519"/>
        <v/>
      </c>
    </row>
    <row r="4795" spans="2:21" ht="17.25">
      <c r="B4795" s="156"/>
      <c r="C4795" s="156"/>
      <c r="D4795" s="157"/>
      <c r="E4795" s="155"/>
      <c r="F4795" s="151"/>
      <c r="G4795" s="152"/>
      <c r="H4795" s="153"/>
      <c r="I4795" s="154"/>
      <c r="J4795" s="154"/>
      <c r="K4795" s="30" t="str">
        <f>IF(H4795="","",IF($C$30="간이법","",FPR(H4795,I4795,J4795)))</f>
        <v/>
      </c>
      <c r="L4795" s="30" t="str">
        <f>IF(H4795="","",IF($C$30="상세법",FPV(H4795,K4795),IF(H4795="EI",4,IF(H4795="EO",5.2,IF(H4795="EQ",3.9,IF(H4795="ILF",7.5,IF(H4795="EIF",5.4)))))))</f>
        <v/>
      </c>
      <c r="M4795" s="30" t="str">
        <f t="shared" si="513"/>
        <v/>
      </c>
      <c r="N4795" s="134"/>
      <c r="O4795" s="29"/>
      <c r="P4795" s="37" t="str">
        <f t="shared" si="514"/>
        <v/>
      </c>
      <c r="Q4795" s="38" t="str">
        <f t="shared" si="515"/>
        <v/>
      </c>
      <c r="R4795" s="37" t="str">
        <f t="shared" si="516"/>
        <v/>
      </c>
      <c r="S4795" s="37" t="str">
        <f t="shared" si="517"/>
        <v/>
      </c>
      <c r="T4795" s="38" t="str">
        <f t="shared" si="518"/>
        <v/>
      </c>
      <c r="U4795" s="37" t="str">
        <f t="shared" si="519"/>
        <v/>
      </c>
    </row>
    <row r="4796" spans="2:21" ht="17.25">
      <c r="B4796" s="156"/>
      <c r="C4796" s="156"/>
      <c r="D4796" s="157"/>
      <c r="E4796" s="155"/>
      <c r="F4796" s="151"/>
      <c r="G4796" s="152"/>
      <c r="H4796" s="153"/>
      <c r="I4796" s="154"/>
      <c r="J4796" s="154"/>
      <c r="K4796" s="30" t="str">
        <f>IF(H4796="","",IF($C$30="간이법","",FPR(H4796,I4796,J4796)))</f>
        <v/>
      </c>
      <c r="L4796" s="30" t="str">
        <f>IF(H4796="","",IF($C$30="상세법",FPV(H4796,K4796),IF(H4796="EI",4,IF(H4796="EO",5.2,IF(H4796="EQ",3.9,IF(H4796="ILF",7.5,IF(H4796="EIF",5.4)))))))</f>
        <v/>
      </c>
      <c r="M4796" s="30" t="str">
        <f t="shared" ref="M4796:M4859" si="520">IF(OR(G4796="",$E$36="(선택)",$E$40="(선택)",$E$41="(선택)",F4796="신규 개발",F4796="수정 없이 재사용"),"",(IF(F4796="수정 후 재사용",IF($E$50&lt;=0.5,L4796*($E$36+$E$50*100*(1+0.02*($E$40*$E$41)))/100,L4796*($E$36+$E$50*100+($E$40*$E$41))/100))))</f>
        <v/>
      </c>
      <c r="N4796" s="134"/>
      <c r="O4796" s="29"/>
      <c r="P4796" s="37" t="str">
        <f t="shared" ref="P4796:P4859" si="521">IF(F4796="수정 후 재사용",IF(H4796="ILF",G4796,IF(H4796="EIF",G4796,"")),"")</f>
        <v/>
      </c>
      <c r="Q4796" s="38" t="str">
        <f t="shared" ref="Q4796:Q4859" si="522">IF(P4796&lt;&gt;"",IF(H4796="ILF", L4796/$E$46,IF(H4796="EIF", L4796/$E$46,"")),"")</f>
        <v/>
      </c>
      <c r="R4796" s="37" t="str">
        <f t="shared" ref="R4796:R4859" si="523">IF(P4796&lt;&gt;"",P4796*Q4796,"")</f>
        <v/>
      </c>
      <c r="S4796" s="37" t="str">
        <f t="shared" ref="S4796:S4859" si="524">IF(F4796="수정 후 재사용",IF(H4796="EI",G4796,IF(H4796="EO",G4796,IF(H4796="EQ",G4796,""))),"")</f>
        <v/>
      </c>
      <c r="T4796" s="38" t="str">
        <f t="shared" ref="T4796:T4859" si="525">IF(S4796&lt;&gt;"",IF(H4796="EI",L4796/$E$47,IF(H4796="EO",L4796/$E$47,IF(H4796="EQ",L4796/$E$47,""))),"")</f>
        <v/>
      </c>
      <c r="U4796" s="37" t="str">
        <f t="shared" ref="U4796:U4859" si="526">IF(S4796&lt;&gt;"",S4796*T4796,"")</f>
        <v/>
      </c>
    </row>
    <row r="4797" spans="2:21" ht="17.25">
      <c r="B4797" s="156"/>
      <c r="C4797" s="156"/>
      <c r="D4797" s="157"/>
      <c r="E4797" s="155"/>
      <c r="F4797" s="151"/>
      <c r="G4797" s="152"/>
      <c r="H4797" s="153"/>
      <c r="I4797" s="154"/>
      <c r="J4797" s="154"/>
      <c r="K4797" s="30" t="str">
        <f>IF(H4797="","",IF($C$30="간이법","",FPR(H4797,I4797,J4797)))</f>
        <v/>
      </c>
      <c r="L4797" s="30" t="str">
        <f>IF(H4797="","",IF($C$30="상세법",FPV(H4797,K4797),IF(H4797="EI",4,IF(H4797="EO",5.2,IF(H4797="EQ",3.9,IF(H4797="ILF",7.5,IF(H4797="EIF",5.4)))))))</f>
        <v/>
      </c>
      <c r="M4797" s="30" t="str">
        <f t="shared" si="520"/>
        <v/>
      </c>
      <c r="N4797" s="134"/>
      <c r="O4797" s="29"/>
      <c r="P4797" s="37" t="str">
        <f t="shared" si="521"/>
        <v/>
      </c>
      <c r="Q4797" s="38" t="str">
        <f t="shared" si="522"/>
        <v/>
      </c>
      <c r="R4797" s="37" t="str">
        <f t="shared" si="523"/>
        <v/>
      </c>
      <c r="S4797" s="37" t="str">
        <f t="shared" si="524"/>
        <v/>
      </c>
      <c r="T4797" s="38" t="str">
        <f t="shared" si="525"/>
        <v/>
      </c>
      <c r="U4797" s="37" t="str">
        <f t="shared" si="526"/>
        <v/>
      </c>
    </row>
    <row r="4798" spans="2:21" ht="17.25">
      <c r="B4798" s="156"/>
      <c r="C4798" s="156"/>
      <c r="D4798" s="157"/>
      <c r="E4798" s="155"/>
      <c r="F4798" s="151"/>
      <c r="G4798" s="152"/>
      <c r="H4798" s="153"/>
      <c r="I4798" s="154"/>
      <c r="J4798" s="154"/>
      <c r="K4798" s="30" t="str">
        <f>IF(H4798="","",IF($C$30="간이법","",FPR(H4798,I4798,J4798)))</f>
        <v/>
      </c>
      <c r="L4798" s="30" t="str">
        <f>IF(H4798="","",IF($C$30="상세법",FPV(H4798,K4798),IF(H4798="EI",4,IF(H4798="EO",5.2,IF(H4798="EQ",3.9,IF(H4798="ILF",7.5,IF(H4798="EIF",5.4)))))))</f>
        <v/>
      </c>
      <c r="M4798" s="30" t="str">
        <f t="shared" si="520"/>
        <v/>
      </c>
      <c r="N4798" s="134"/>
      <c r="O4798" s="29"/>
      <c r="P4798" s="37" t="str">
        <f t="shared" si="521"/>
        <v/>
      </c>
      <c r="Q4798" s="38" t="str">
        <f t="shared" si="522"/>
        <v/>
      </c>
      <c r="R4798" s="37" t="str">
        <f t="shared" si="523"/>
        <v/>
      </c>
      <c r="S4798" s="37" t="str">
        <f t="shared" si="524"/>
        <v/>
      </c>
      <c r="T4798" s="38" t="str">
        <f t="shared" si="525"/>
        <v/>
      </c>
      <c r="U4798" s="37" t="str">
        <f t="shared" si="526"/>
        <v/>
      </c>
    </row>
    <row r="4799" spans="2:21" ht="17.25">
      <c r="B4799" s="156"/>
      <c r="C4799" s="156"/>
      <c r="D4799" s="157"/>
      <c r="E4799" s="155"/>
      <c r="F4799" s="151"/>
      <c r="G4799" s="152"/>
      <c r="H4799" s="153"/>
      <c r="I4799" s="154"/>
      <c r="J4799" s="154"/>
      <c r="K4799" s="30" t="str">
        <f>IF(H4799="","",IF($C$30="간이법","",FPR(H4799,I4799,J4799)))</f>
        <v/>
      </c>
      <c r="L4799" s="30" t="str">
        <f>IF(H4799="","",IF($C$30="상세법",FPV(H4799,K4799),IF(H4799="EI",4,IF(H4799="EO",5.2,IF(H4799="EQ",3.9,IF(H4799="ILF",7.5,IF(H4799="EIF",5.4)))))))</f>
        <v/>
      </c>
      <c r="M4799" s="30" t="str">
        <f t="shared" si="520"/>
        <v/>
      </c>
      <c r="N4799" s="134"/>
      <c r="O4799" s="29"/>
      <c r="P4799" s="37" t="str">
        <f t="shared" si="521"/>
        <v/>
      </c>
      <c r="Q4799" s="38" t="str">
        <f t="shared" si="522"/>
        <v/>
      </c>
      <c r="R4799" s="37" t="str">
        <f t="shared" si="523"/>
        <v/>
      </c>
      <c r="S4799" s="37" t="str">
        <f t="shared" si="524"/>
        <v/>
      </c>
      <c r="T4799" s="38" t="str">
        <f t="shared" si="525"/>
        <v/>
      </c>
      <c r="U4799" s="37" t="str">
        <f t="shared" si="526"/>
        <v/>
      </c>
    </row>
    <row r="4800" spans="2:21" ht="17.25">
      <c r="B4800" s="156"/>
      <c r="C4800" s="156"/>
      <c r="D4800" s="157"/>
      <c r="E4800" s="155"/>
      <c r="F4800" s="151"/>
      <c r="G4800" s="152"/>
      <c r="H4800" s="153"/>
      <c r="I4800" s="154"/>
      <c r="J4800" s="154"/>
      <c r="K4800" s="30" t="str">
        <f>IF(H4800="","",IF($C$30="간이법","",FPR(H4800,I4800,J4800)))</f>
        <v/>
      </c>
      <c r="L4800" s="30" t="str">
        <f>IF(H4800="","",IF($C$30="상세법",FPV(H4800,K4800),IF(H4800="EI",4,IF(H4800="EO",5.2,IF(H4800="EQ",3.9,IF(H4800="ILF",7.5,IF(H4800="EIF",5.4)))))))</f>
        <v/>
      </c>
      <c r="M4800" s="30" t="str">
        <f t="shared" si="520"/>
        <v/>
      </c>
      <c r="N4800" s="134"/>
      <c r="O4800" s="29"/>
      <c r="P4800" s="37" t="str">
        <f t="shared" si="521"/>
        <v/>
      </c>
      <c r="Q4800" s="38" t="str">
        <f t="shared" si="522"/>
        <v/>
      </c>
      <c r="R4800" s="37" t="str">
        <f t="shared" si="523"/>
        <v/>
      </c>
      <c r="S4800" s="37" t="str">
        <f t="shared" si="524"/>
        <v/>
      </c>
      <c r="T4800" s="38" t="str">
        <f t="shared" si="525"/>
        <v/>
      </c>
      <c r="U4800" s="37" t="str">
        <f t="shared" si="526"/>
        <v/>
      </c>
    </row>
    <row r="4801" spans="2:21" ht="17.25">
      <c r="B4801" s="156"/>
      <c r="C4801" s="156"/>
      <c r="D4801" s="157"/>
      <c r="E4801" s="155"/>
      <c r="F4801" s="151"/>
      <c r="G4801" s="152"/>
      <c r="H4801" s="153"/>
      <c r="I4801" s="154"/>
      <c r="J4801" s="154"/>
      <c r="K4801" s="30" t="str">
        <f>IF(H4801="","",IF($C$30="간이법","",FPR(H4801,I4801,J4801)))</f>
        <v/>
      </c>
      <c r="L4801" s="30" t="str">
        <f>IF(H4801="","",IF($C$30="상세법",FPV(H4801,K4801),IF(H4801="EI",4,IF(H4801="EO",5.2,IF(H4801="EQ",3.9,IF(H4801="ILF",7.5,IF(H4801="EIF",5.4)))))))</f>
        <v/>
      </c>
      <c r="M4801" s="30" t="str">
        <f t="shared" si="520"/>
        <v/>
      </c>
      <c r="N4801" s="134"/>
      <c r="O4801" s="29"/>
      <c r="P4801" s="37" t="str">
        <f t="shared" si="521"/>
        <v/>
      </c>
      <c r="Q4801" s="38" t="str">
        <f t="shared" si="522"/>
        <v/>
      </c>
      <c r="R4801" s="37" t="str">
        <f t="shared" si="523"/>
        <v/>
      </c>
      <c r="S4801" s="37" t="str">
        <f t="shared" si="524"/>
        <v/>
      </c>
      <c r="T4801" s="38" t="str">
        <f t="shared" si="525"/>
        <v/>
      </c>
      <c r="U4801" s="37" t="str">
        <f t="shared" si="526"/>
        <v/>
      </c>
    </row>
    <row r="4802" spans="2:21" ht="17.25">
      <c r="B4802" s="156"/>
      <c r="C4802" s="156"/>
      <c r="D4802" s="157"/>
      <c r="E4802" s="155"/>
      <c r="F4802" s="151"/>
      <c r="G4802" s="152"/>
      <c r="H4802" s="153"/>
      <c r="I4802" s="154"/>
      <c r="J4802" s="154"/>
      <c r="K4802" s="30" t="str">
        <f>IF(H4802="","",IF($C$30="간이법","",FPR(H4802,I4802,J4802)))</f>
        <v/>
      </c>
      <c r="L4802" s="30" t="str">
        <f>IF(H4802="","",IF($C$30="상세법",FPV(H4802,K4802),IF(H4802="EI",4,IF(H4802="EO",5.2,IF(H4802="EQ",3.9,IF(H4802="ILF",7.5,IF(H4802="EIF",5.4)))))))</f>
        <v/>
      </c>
      <c r="M4802" s="30" t="str">
        <f t="shared" si="520"/>
        <v/>
      </c>
      <c r="N4802" s="134"/>
      <c r="O4802" s="29"/>
      <c r="P4802" s="37" t="str">
        <f t="shared" si="521"/>
        <v/>
      </c>
      <c r="Q4802" s="38" t="str">
        <f t="shared" si="522"/>
        <v/>
      </c>
      <c r="R4802" s="37" t="str">
        <f t="shared" si="523"/>
        <v/>
      </c>
      <c r="S4802" s="37" t="str">
        <f t="shared" si="524"/>
        <v/>
      </c>
      <c r="T4802" s="38" t="str">
        <f t="shared" si="525"/>
        <v/>
      </c>
      <c r="U4802" s="37" t="str">
        <f t="shared" si="526"/>
        <v/>
      </c>
    </row>
    <row r="4803" spans="2:21" ht="17.25">
      <c r="B4803" s="156"/>
      <c r="C4803" s="156"/>
      <c r="D4803" s="157"/>
      <c r="E4803" s="155"/>
      <c r="F4803" s="151"/>
      <c r="G4803" s="152"/>
      <c r="H4803" s="153"/>
      <c r="I4803" s="154"/>
      <c r="J4803" s="154"/>
      <c r="K4803" s="30" t="str">
        <f>IF(H4803="","",IF($C$30="간이법","",FPR(H4803,I4803,J4803)))</f>
        <v/>
      </c>
      <c r="L4803" s="30" t="str">
        <f>IF(H4803="","",IF($C$30="상세법",FPV(H4803,K4803),IF(H4803="EI",4,IF(H4803="EO",5.2,IF(H4803="EQ",3.9,IF(H4803="ILF",7.5,IF(H4803="EIF",5.4)))))))</f>
        <v/>
      </c>
      <c r="M4803" s="30" t="str">
        <f t="shared" si="520"/>
        <v/>
      </c>
      <c r="N4803" s="134"/>
      <c r="O4803" s="29"/>
      <c r="P4803" s="37" t="str">
        <f t="shared" si="521"/>
        <v/>
      </c>
      <c r="Q4803" s="38" t="str">
        <f t="shared" si="522"/>
        <v/>
      </c>
      <c r="R4803" s="37" t="str">
        <f t="shared" si="523"/>
        <v/>
      </c>
      <c r="S4803" s="37" t="str">
        <f t="shared" si="524"/>
        <v/>
      </c>
      <c r="T4803" s="38" t="str">
        <f t="shared" si="525"/>
        <v/>
      </c>
      <c r="U4803" s="37" t="str">
        <f t="shared" si="526"/>
        <v/>
      </c>
    </row>
    <row r="4804" spans="2:21" ht="17.25">
      <c r="B4804" s="156"/>
      <c r="C4804" s="156"/>
      <c r="D4804" s="157"/>
      <c r="E4804" s="155"/>
      <c r="F4804" s="151"/>
      <c r="G4804" s="152"/>
      <c r="H4804" s="153"/>
      <c r="I4804" s="154"/>
      <c r="J4804" s="154"/>
      <c r="K4804" s="30" t="str">
        <f>IF(H4804="","",IF($C$30="간이법","",FPR(H4804,I4804,J4804)))</f>
        <v/>
      </c>
      <c r="L4804" s="30" t="str">
        <f>IF(H4804="","",IF($C$30="상세법",FPV(H4804,K4804),IF(H4804="EI",4,IF(H4804="EO",5.2,IF(H4804="EQ",3.9,IF(H4804="ILF",7.5,IF(H4804="EIF",5.4)))))))</f>
        <v/>
      </c>
      <c r="M4804" s="30" t="str">
        <f t="shared" si="520"/>
        <v/>
      </c>
      <c r="N4804" s="134"/>
      <c r="O4804" s="29"/>
      <c r="P4804" s="37" t="str">
        <f t="shared" si="521"/>
        <v/>
      </c>
      <c r="Q4804" s="38" t="str">
        <f t="shared" si="522"/>
        <v/>
      </c>
      <c r="R4804" s="37" t="str">
        <f t="shared" si="523"/>
        <v/>
      </c>
      <c r="S4804" s="37" t="str">
        <f t="shared" si="524"/>
        <v/>
      </c>
      <c r="T4804" s="38" t="str">
        <f t="shared" si="525"/>
        <v/>
      </c>
      <c r="U4804" s="37" t="str">
        <f t="shared" si="526"/>
        <v/>
      </c>
    </row>
    <row r="4805" spans="2:21" ht="17.25">
      <c r="B4805" s="156"/>
      <c r="C4805" s="156"/>
      <c r="D4805" s="157"/>
      <c r="E4805" s="155"/>
      <c r="F4805" s="151"/>
      <c r="G4805" s="152"/>
      <c r="H4805" s="153"/>
      <c r="I4805" s="154"/>
      <c r="J4805" s="154"/>
      <c r="K4805" s="30" t="str">
        <f>IF(H4805="","",IF($C$30="간이법","",FPR(H4805,I4805,J4805)))</f>
        <v/>
      </c>
      <c r="L4805" s="30" t="str">
        <f>IF(H4805="","",IF($C$30="상세법",FPV(H4805,K4805),IF(H4805="EI",4,IF(H4805="EO",5.2,IF(H4805="EQ",3.9,IF(H4805="ILF",7.5,IF(H4805="EIF",5.4)))))))</f>
        <v/>
      </c>
      <c r="M4805" s="30" t="str">
        <f t="shared" si="520"/>
        <v/>
      </c>
      <c r="N4805" s="134"/>
      <c r="O4805" s="29"/>
      <c r="P4805" s="37" t="str">
        <f t="shared" si="521"/>
        <v/>
      </c>
      <c r="Q4805" s="38" t="str">
        <f t="shared" si="522"/>
        <v/>
      </c>
      <c r="R4805" s="37" t="str">
        <f t="shared" si="523"/>
        <v/>
      </c>
      <c r="S4805" s="37" t="str">
        <f t="shared" si="524"/>
        <v/>
      </c>
      <c r="T4805" s="38" t="str">
        <f t="shared" si="525"/>
        <v/>
      </c>
      <c r="U4805" s="37" t="str">
        <f t="shared" si="526"/>
        <v/>
      </c>
    </row>
    <row r="4806" spans="2:21" ht="17.25">
      <c r="B4806" s="156"/>
      <c r="C4806" s="156"/>
      <c r="D4806" s="157"/>
      <c r="E4806" s="155"/>
      <c r="F4806" s="151"/>
      <c r="G4806" s="152"/>
      <c r="H4806" s="153"/>
      <c r="I4806" s="154"/>
      <c r="J4806" s="154"/>
      <c r="K4806" s="30" t="str">
        <f>IF(H4806="","",IF($C$30="간이법","",FPR(H4806,I4806,J4806)))</f>
        <v/>
      </c>
      <c r="L4806" s="30" t="str">
        <f>IF(H4806="","",IF($C$30="상세법",FPV(H4806,K4806),IF(H4806="EI",4,IF(H4806="EO",5.2,IF(H4806="EQ",3.9,IF(H4806="ILF",7.5,IF(H4806="EIF",5.4)))))))</f>
        <v/>
      </c>
      <c r="M4806" s="30" t="str">
        <f t="shared" si="520"/>
        <v/>
      </c>
      <c r="N4806" s="134"/>
      <c r="O4806" s="29"/>
      <c r="P4806" s="37" t="str">
        <f t="shared" si="521"/>
        <v/>
      </c>
      <c r="Q4806" s="38" t="str">
        <f t="shared" si="522"/>
        <v/>
      </c>
      <c r="R4806" s="37" t="str">
        <f t="shared" si="523"/>
        <v/>
      </c>
      <c r="S4806" s="37" t="str">
        <f t="shared" si="524"/>
        <v/>
      </c>
      <c r="T4806" s="38" t="str">
        <f t="shared" si="525"/>
        <v/>
      </c>
      <c r="U4806" s="37" t="str">
        <f t="shared" si="526"/>
        <v/>
      </c>
    </row>
    <row r="4807" spans="2:21" ht="17.25">
      <c r="B4807" s="156"/>
      <c r="C4807" s="156"/>
      <c r="D4807" s="157"/>
      <c r="E4807" s="155"/>
      <c r="F4807" s="151"/>
      <c r="G4807" s="152"/>
      <c r="H4807" s="153"/>
      <c r="I4807" s="154"/>
      <c r="J4807" s="154"/>
      <c r="K4807" s="30" t="str">
        <f>IF(H4807="","",IF($C$30="간이법","",FPR(H4807,I4807,J4807)))</f>
        <v/>
      </c>
      <c r="L4807" s="30" t="str">
        <f>IF(H4807="","",IF($C$30="상세법",FPV(H4807,K4807),IF(H4807="EI",4,IF(H4807="EO",5.2,IF(H4807="EQ",3.9,IF(H4807="ILF",7.5,IF(H4807="EIF",5.4)))))))</f>
        <v/>
      </c>
      <c r="M4807" s="30" t="str">
        <f t="shared" si="520"/>
        <v/>
      </c>
      <c r="N4807" s="134"/>
      <c r="O4807" s="29"/>
      <c r="P4807" s="37" t="str">
        <f t="shared" si="521"/>
        <v/>
      </c>
      <c r="Q4807" s="38" t="str">
        <f t="shared" si="522"/>
        <v/>
      </c>
      <c r="R4807" s="37" t="str">
        <f t="shared" si="523"/>
        <v/>
      </c>
      <c r="S4807" s="37" t="str">
        <f t="shared" si="524"/>
        <v/>
      </c>
      <c r="T4807" s="38" t="str">
        <f t="shared" si="525"/>
        <v/>
      </c>
      <c r="U4807" s="37" t="str">
        <f t="shared" si="526"/>
        <v/>
      </c>
    </row>
    <row r="4808" spans="2:21" ht="17.25">
      <c r="B4808" s="156"/>
      <c r="C4808" s="156"/>
      <c r="D4808" s="157"/>
      <c r="E4808" s="155"/>
      <c r="F4808" s="151"/>
      <c r="G4808" s="152"/>
      <c r="H4808" s="153"/>
      <c r="I4808" s="154"/>
      <c r="J4808" s="154"/>
      <c r="K4808" s="30" t="str">
        <f>IF(H4808="","",IF($C$30="간이법","",FPR(H4808,I4808,J4808)))</f>
        <v/>
      </c>
      <c r="L4808" s="30" t="str">
        <f>IF(H4808="","",IF($C$30="상세법",FPV(H4808,K4808),IF(H4808="EI",4,IF(H4808="EO",5.2,IF(H4808="EQ",3.9,IF(H4808="ILF",7.5,IF(H4808="EIF",5.4)))))))</f>
        <v/>
      </c>
      <c r="M4808" s="30" t="str">
        <f t="shared" si="520"/>
        <v/>
      </c>
      <c r="N4808" s="134"/>
      <c r="O4808" s="29"/>
      <c r="P4808" s="37" t="str">
        <f t="shared" si="521"/>
        <v/>
      </c>
      <c r="Q4808" s="38" t="str">
        <f t="shared" si="522"/>
        <v/>
      </c>
      <c r="R4808" s="37" t="str">
        <f t="shared" si="523"/>
        <v/>
      </c>
      <c r="S4808" s="37" t="str">
        <f t="shared" si="524"/>
        <v/>
      </c>
      <c r="T4808" s="38" t="str">
        <f t="shared" si="525"/>
        <v/>
      </c>
      <c r="U4808" s="37" t="str">
        <f t="shared" si="526"/>
        <v/>
      </c>
    </row>
    <row r="4809" spans="2:21" ht="17.25">
      <c r="B4809" s="156"/>
      <c r="C4809" s="156"/>
      <c r="D4809" s="157"/>
      <c r="E4809" s="155"/>
      <c r="F4809" s="151"/>
      <c r="G4809" s="152"/>
      <c r="H4809" s="153"/>
      <c r="I4809" s="154"/>
      <c r="J4809" s="154"/>
      <c r="K4809" s="30" t="str">
        <f>IF(H4809="","",IF($C$30="간이법","",FPR(H4809,I4809,J4809)))</f>
        <v/>
      </c>
      <c r="L4809" s="30" t="str">
        <f>IF(H4809="","",IF($C$30="상세법",FPV(H4809,K4809),IF(H4809="EI",4,IF(H4809="EO",5.2,IF(H4809="EQ",3.9,IF(H4809="ILF",7.5,IF(H4809="EIF",5.4)))))))</f>
        <v/>
      </c>
      <c r="M4809" s="30" t="str">
        <f t="shared" si="520"/>
        <v/>
      </c>
      <c r="N4809" s="134"/>
      <c r="O4809" s="29"/>
      <c r="P4809" s="37" t="str">
        <f t="shared" si="521"/>
        <v/>
      </c>
      <c r="Q4809" s="38" t="str">
        <f t="shared" si="522"/>
        <v/>
      </c>
      <c r="R4809" s="37" t="str">
        <f t="shared" si="523"/>
        <v/>
      </c>
      <c r="S4809" s="37" t="str">
        <f t="shared" si="524"/>
        <v/>
      </c>
      <c r="T4809" s="38" t="str">
        <f t="shared" si="525"/>
        <v/>
      </c>
      <c r="U4809" s="37" t="str">
        <f t="shared" si="526"/>
        <v/>
      </c>
    </row>
    <row r="4810" spans="2:21" ht="17.25">
      <c r="B4810" s="156"/>
      <c r="C4810" s="156"/>
      <c r="D4810" s="157"/>
      <c r="E4810" s="155"/>
      <c r="F4810" s="151"/>
      <c r="G4810" s="152"/>
      <c r="H4810" s="153"/>
      <c r="I4810" s="154"/>
      <c r="J4810" s="154"/>
      <c r="K4810" s="30" t="str">
        <f>IF(H4810="","",IF($C$30="간이법","",FPR(H4810,I4810,J4810)))</f>
        <v/>
      </c>
      <c r="L4810" s="30" t="str">
        <f>IF(H4810="","",IF($C$30="상세법",FPV(H4810,K4810),IF(H4810="EI",4,IF(H4810="EO",5.2,IF(H4810="EQ",3.9,IF(H4810="ILF",7.5,IF(H4810="EIF",5.4)))))))</f>
        <v/>
      </c>
      <c r="M4810" s="30" t="str">
        <f t="shared" si="520"/>
        <v/>
      </c>
      <c r="N4810" s="134"/>
      <c r="O4810" s="29"/>
      <c r="P4810" s="37" t="str">
        <f t="shared" si="521"/>
        <v/>
      </c>
      <c r="Q4810" s="38" t="str">
        <f t="shared" si="522"/>
        <v/>
      </c>
      <c r="R4810" s="37" t="str">
        <f t="shared" si="523"/>
        <v/>
      </c>
      <c r="S4810" s="37" t="str">
        <f t="shared" si="524"/>
        <v/>
      </c>
      <c r="T4810" s="38" t="str">
        <f t="shared" si="525"/>
        <v/>
      </c>
      <c r="U4810" s="37" t="str">
        <f t="shared" si="526"/>
        <v/>
      </c>
    </row>
    <row r="4811" spans="2:21" ht="17.25">
      <c r="B4811" s="156"/>
      <c r="C4811" s="156"/>
      <c r="D4811" s="157"/>
      <c r="E4811" s="155"/>
      <c r="F4811" s="151"/>
      <c r="G4811" s="152"/>
      <c r="H4811" s="153"/>
      <c r="I4811" s="154"/>
      <c r="J4811" s="154"/>
      <c r="K4811" s="30" t="str">
        <f>IF(H4811="","",IF($C$30="간이법","",FPR(H4811,I4811,J4811)))</f>
        <v/>
      </c>
      <c r="L4811" s="30" t="str">
        <f>IF(H4811="","",IF($C$30="상세법",FPV(H4811,K4811),IF(H4811="EI",4,IF(H4811="EO",5.2,IF(H4811="EQ",3.9,IF(H4811="ILF",7.5,IF(H4811="EIF",5.4)))))))</f>
        <v/>
      </c>
      <c r="M4811" s="30" t="str">
        <f t="shared" si="520"/>
        <v/>
      </c>
      <c r="N4811" s="134"/>
      <c r="O4811" s="29"/>
      <c r="P4811" s="37" t="str">
        <f t="shared" si="521"/>
        <v/>
      </c>
      <c r="Q4811" s="38" t="str">
        <f t="shared" si="522"/>
        <v/>
      </c>
      <c r="R4811" s="37" t="str">
        <f t="shared" si="523"/>
        <v/>
      </c>
      <c r="S4811" s="37" t="str">
        <f t="shared" si="524"/>
        <v/>
      </c>
      <c r="T4811" s="38" t="str">
        <f t="shared" si="525"/>
        <v/>
      </c>
      <c r="U4811" s="37" t="str">
        <f t="shared" si="526"/>
        <v/>
      </c>
    </row>
    <row r="4812" spans="2:21" ht="17.25">
      <c r="B4812" s="156"/>
      <c r="C4812" s="156"/>
      <c r="D4812" s="157"/>
      <c r="E4812" s="155"/>
      <c r="F4812" s="151"/>
      <c r="G4812" s="152"/>
      <c r="H4812" s="153"/>
      <c r="I4812" s="154"/>
      <c r="J4812" s="154"/>
      <c r="K4812" s="30" t="str">
        <f>IF(H4812="","",IF($C$30="간이법","",FPR(H4812,I4812,J4812)))</f>
        <v/>
      </c>
      <c r="L4812" s="30" t="str">
        <f>IF(H4812="","",IF($C$30="상세법",FPV(H4812,K4812),IF(H4812="EI",4,IF(H4812="EO",5.2,IF(H4812="EQ",3.9,IF(H4812="ILF",7.5,IF(H4812="EIF",5.4)))))))</f>
        <v/>
      </c>
      <c r="M4812" s="30" t="str">
        <f t="shared" si="520"/>
        <v/>
      </c>
      <c r="N4812" s="134"/>
      <c r="O4812" s="29"/>
      <c r="P4812" s="37" t="str">
        <f t="shared" si="521"/>
        <v/>
      </c>
      <c r="Q4812" s="38" t="str">
        <f t="shared" si="522"/>
        <v/>
      </c>
      <c r="R4812" s="37" t="str">
        <f t="shared" si="523"/>
        <v/>
      </c>
      <c r="S4812" s="37" t="str">
        <f t="shared" si="524"/>
        <v/>
      </c>
      <c r="T4812" s="38" t="str">
        <f t="shared" si="525"/>
        <v/>
      </c>
      <c r="U4812" s="37" t="str">
        <f t="shared" si="526"/>
        <v/>
      </c>
    </row>
    <row r="4813" spans="2:21" ht="17.25">
      <c r="B4813" s="156"/>
      <c r="C4813" s="156"/>
      <c r="D4813" s="157"/>
      <c r="E4813" s="155"/>
      <c r="F4813" s="151"/>
      <c r="G4813" s="152"/>
      <c r="H4813" s="153"/>
      <c r="I4813" s="154"/>
      <c r="J4813" s="154"/>
      <c r="K4813" s="30" t="str">
        <f>IF(H4813="","",IF($C$30="간이법","",FPR(H4813,I4813,J4813)))</f>
        <v/>
      </c>
      <c r="L4813" s="30" t="str">
        <f>IF(H4813="","",IF($C$30="상세법",FPV(H4813,K4813),IF(H4813="EI",4,IF(H4813="EO",5.2,IF(H4813="EQ",3.9,IF(H4813="ILF",7.5,IF(H4813="EIF",5.4)))))))</f>
        <v/>
      </c>
      <c r="M4813" s="30" t="str">
        <f t="shared" si="520"/>
        <v/>
      </c>
      <c r="N4813" s="134"/>
      <c r="O4813" s="29"/>
      <c r="P4813" s="37" t="str">
        <f t="shared" si="521"/>
        <v/>
      </c>
      <c r="Q4813" s="38" t="str">
        <f t="shared" si="522"/>
        <v/>
      </c>
      <c r="R4813" s="37" t="str">
        <f t="shared" si="523"/>
        <v/>
      </c>
      <c r="S4813" s="37" t="str">
        <f t="shared" si="524"/>
        <v/>
      </c>
      <c r="T4813" s="38" t="str">
        <f t="shared" si="525"/>
        <v/>
      </c>
      <c r="U4813" s="37" t="str">
        <f t="shared" si="526"/>
        <v/>
      </c>
    </row>
    <row r="4814" spans="2:21" ht="17.25">
      <c r="B4814" s="156"/>
      <c r="C4814" s="156"/>
      <c r="D4814" s="157"/>
      <c r="E4814" s="155"/>
      <c r="F4814" s="151"/>
      <c r="G4814" s="152"/>
      <c r="H4814" s="153"/>
      <c r="I4814" s="154"/>
      <c r="J4814" s="154"/>
      <c r="K4814" s="30" t="str">
        <f>IF(H4814="","",IF($C$30="간이법","",FPR(H4814,I4814,J4814)))</f>
        <v/>
      </c>
      <c r="L4814" s="30" t="str">
        <f>IF(H4814="","",IF($C$30="상세법",FPV(H4814,K4814),IF(H4814="EI",4,IF(H4814="EO",5.2,IF(H4814="EQ",3.9,IF(H4814="ILF",7.5,IF(H4814="EIF",5.4)))))))</f>
        <v/>
      </c>
      <c r="M4814" s="30" t="str">
        <f t="shared" si="520"/>
        <v/>
      </c>
      <c r="N4814" s="134"/>
      <c r="O4814" s="29"/>
      <c r="P4814" s="37" t="str">
        <f t="shared" si="521"/>
        <v/>
      </c>
      <c r="Q4814" s="38" t="str">
        <f t="shared" si="522"/>
        <v/>
      </c>
      <c r="R4814" s="37" t="str">
        <f t="shared" si="523"/>
        <v/>
      </c>
      <c r="S4814" s="37" t="str">
        <f t="shared" si="524"/>
        <v/>
      </c>
      <c r="T4814" s="38" t="str">
        <f t="shared" si="525"/>
        <v/>
      </c>
      <c r="U4814" s="37" t="str">
        <f t="shared" si="526"/>
        <v/>
      </c>
    </row>
    <row r="4815" spans="2:21" ht="17.25">
      <c r="B4815" s="156"/>
      <c r="C4815" s="156"/>
      <c r="D4815" s="157"/>
      <c r="E4815" s="155"/>
      <c r="F4815" s="151"/>
      <c r="G4815" s="152"/>
      <c r="H4815" s="153"/>
      <c r="I4815" s="154"/>
      <c r="J4815" s="154"/>
      <c r="K4815" s="30" t="str">
        <f>IF(H4815="","",IF($C$30="간이법","",FPR(H4815,I4815,J4815)))</f>
        <v/>
      </c>
      <c r="L4815" s="30" t="str">
        <f>IF(H4815="","",IF($C$30="상세법",FPV(H4815,K4815),IF(H4815="EI",4,IF(H4815="EO",5.2,IF(H4815="EQ",3.9,IF(H4815="ILF",7.5,IF(H4815="EIF",5.4)))))))</f>
        <v/>
      </c>
      <c r="M4815" s="30" t="str">
        <f t="shared" si="520"/>
        <v/>
      </c>
      <c r="N4815" s="134"/>
      <c r="O4815" s="29"/>
      <c r="P4815" s="37" t="str">
        <f t="shared" si="521"/>
        <v/>
      </c>
      <c r="Q4815" s="38" t="str">
        <f t="shared" si="522"/>
        <v/>
      </c>
      <c r="R4815" s="37" t="str">
        <f t="shared" si="523"/>
        <v/>
      </c>
      <c r="S4815" s="37" t="str">
        <f t="shared" si="524"/>
        <v/>
      </c>
      <c r="T4815" s="38" t="str">
        <f t="shared" si="525"/>
        <v/>
      </c>
      <c r="U4815" s="37" t="str">
        <f t="shared" si="526"/>
        <v/>
      </c>
    </row>
    <row r="4816" spans="2:21" ht="17.25">
      <c r="B4816" s="156"/>
      <c r="C4816" s="156"/>
      <c r="D4816" s="157"/>
      <c r="E4816" s="155"/>
      <c r="F4816" s="151"/>
      <c r="G4816" s="152"/>
      <c r="H4816" s="153"/>
      <c r="I4816" s="154"/>
      <c r="J4816" s="154"/>
      <c r="K4816" s="30" t="str">
        <f>IF(H4816="","",IF($C$30="간이법","",FPR(H4816,I4816,J4816)))</f>
        <v/>
      </c>
      <c r="L4816" s="30" t="str">
        <f>IF(H4816="","",IF($C$30="상세법",FPV(H4816,K4816),IF(H4816="EI",4,IF(H4816="EO",5.2,IF(H4816="EQ",3.9,IF(H4816="ILF",7.5,IF(H4816="EIF",5.4)))))))</f>
        <v/>
      </c>
      <c r="M4816" s="30" t="str">
        <f t="shared" si="520"/>
        <v/>
      </c>
      <c r="N4816" s="134"/>
      <c r="O4816" s="29"/>
      <c r="P4816" s="37" t="str">
        <f t="shared" si="521"/>
        <v/>
      </c>
      <c r="Q4816" s="38" t="str">
        <f t="shared" si="522"/>
        <v/>
      </c>
      <c r="R4816" s="37" t="str">
        <f t="shared" si="523"/>
        <v/>
      </c>
      <c r="S4816" s="37" t="str">
        <f t="shared" si="524"/>
        <v/>
      </c>
      <c r="T4816" s="38" t="str">
        <f t="shared" si="525"/>
        <v/>
      </c>
      <c r="U4816" s="37" t="str">
        <f t="shared" si="526"/>
        <v/>
      </c>
    </row>
    <row r="4817" spans="2:21" ht="17.25">
      <c r="B4817" s="156"/>
      <c r="C4817" s="156"/>
      <c r="D4817" s="157"/>
      <c r="E4817" s="155"/>
      <c r="F4817" s="151"/>
      <c r="G4817" s="152"/>
      <c r="H4817" s="153"/>
      <c r="I4817" s="154"/>
      <c r="J4817" s="154"/>
      <c r="K4817" s="30" t="str">
        <f>IF(H4817="","",IF($C$30="간이법","",FPR(H4817,I4817,J4817)))</f>
        <v/>
      </c>
      <c r="L4817" s="30" t="str">
        <f>IF(H4817="","",IF($C$30="상세법",FPV(H4817,K4817),IF(H4817="EI",4,IF(H4817="EO",5.2,IF(H4817="EQ",3.9,IF(H4817="ILF",7.5,IF(H4817="EIF",5.4)))))))</f>
        <v/>
      </c>
      <c r="M4817" s="30" t="str">
        <f t="shared" si="520"/>
        <v/>
      </c>
      <c r="N4817" s="134"/>
      <c r="O4817" s="29"/>
      <c r="P4817" s="37" t="str">
        <f t="shared" si="521"/>
        <v/>
      </c>
      <c r="Q4817" s="38" t="str">
        <f t="shared" si="522"/>
        <v/>
      </c>
      <c r="R4817" s="37" t="str">
        <f t="shared" si="523"/>
        <v/>
      </c>
      <c r="S4817" s="37" t="str">
        <f t="shared" si="524"/>
        <v/>
      </c>
      <c r="T4817" s="38" t="str">
        <f t="shared" si="525"/>
        <v/>
      </c>
      <c r="U4817" s="37" t="str">
        <f t="shared" si="526"/>
        <v/>
      </c>
    </row>
    <row r="4818" spans="2:21" ht="17.25">
      <c r="B4818" s="156"/>
      <c r="C4818" s="156"/>
      <c r="D4818" s="157"/>
      <c r="E4818" s="155"/>
      <c r="F4818" s="151"/>
      <c r="G4818" s="152"/>
      <c r="H4818" s="153"/>
      <c r="I4818" s="154"/>
      <c r="J4818" s="154"/>
      <c r="K4818" s="30" t="str">
        <f>IF(H4818="","",IF($C$30="간이법","",FPR(H4818,I4818,J4818)))</f>
        <v/>
      </c>
      <c r="L4818" s="30" t="str">
        <f>IF(H4818="","",IF($C$30="상세법",FPV(H4818,K4818),IF(H4818="EI",4,IF(H4818="EO",5.2,IF(H4818="EQ",3.9,IF(H4818="ILF",7.5,IF(H4818="EIF",5.4)))))))</f>
        <v/>
      </c>
      <c r="M4818" s="30" t="str">
        <f t="shared" si="520"/>
        <v/>
      </c>
      <c r="N4818" s="134"/>
      <c r="O4818" s="29"/>
      <c r="P4818" s="37" t="str">
        <f t="shared" si="521"/>
        <v/>
      </c>
      <c r="Q4818" s="38" t="str">
        <f t="shared" si="522"/>
        <v/>
      </c>
      <c r="R4818" s="37" t="str">
        <f t="shared" si="523"/>
        <v/>
      </c>
      <c r="S4818" s="37" t="str">
        <f t="shared" si="524"/>
        <v/>
      </c>
      <c r="T4818" s="38" t="str">
        <f t="shared" si="525"/>
        <v/>
      </c>
      <c r="U4818" s="37" t="str">
        <f t="shared" si="526"/>
        <v/>
      </c>
    </row>
    <row r="4819" spans="2:21" ht="17.25">
      <c r="B4819" s="156"/>
      <c r="C4819" s="156"/>
      <c r="D4819" s="157"/>
      <c r="E4819" s="155"/>
      <c r="F4819" s="151"/>
      <c r="G4819" s="152"/>
      <c r="H4819" s="153"/>
      <c r="I4819" s="154"/>
      <c r="J4819" s="154"/>
      <c r="K4819" s="30" t="str">
        <f>IF(H4819="","",IF($C$30="간이법","",FPR(H4819,I4819,J4819)))</f>
        <v/>
      </c>
      <c r="L4819" s="30" t="str">
        <f>IF(H4819="","",IF($C$30="상세법",FPV(H4819,K4819),IF(H4819="EI",4,IF(H4819="EO",5.2,IF(H4819="EQ",3.9,IF(H4819="ILF",7.5,IF(H4819="EIF",5.4)))))))</f>
        <v/>
      </c>
      <c r="M4819" s="30" t="str">
        <f t="shared" si="520"/>
        <v/>
      </c>
      <c r="N4819" s="134"/>
      <c r="O4819" s="29"/>
      <c r="P4819" s="37" t="str">
        <f t="shared" si="521"/>
        <v/>
      </c>
      <c r="Q4819" s="38" t="str">
        <f t="shared" si="522"/>
        <v/>
      </c>
      <c r="R4819" s="37" t="str">
        <f t="shared" si="523"/>
        <v/>
      </c>
      <c r="S4819" s="37" t="str">
        <f t="shared" si="524"/>
        <v/>
      </c>
      <c r="T4819" s="38" t="str">
        <f t="shared" si="525"/>
        <v/>
      </c>
      <c r="U4819" s="37" t="str">
        <f t="shared" si="526"/>
        <v/>
      </c>
    </row>
    <row r="4820" spans="2:21" ht="17.25">
      <c r="B4820" s="156"/>
      <c r="C4820" s="156"/>
      <c r="D4820" s="157"/>
      <c r="E4820" s="155"/>
      <c r="F4820" s="151"/>
      <c r="G4820" s="152"/>
      <c r="H4820" s="153"/>
      <c r="I4820" s="154"/>
      <c r="J4820" s="154"/>
      <c r="K4820" s="30" t="str">
        <f>IF(H4820="","",IF($C$30="간이법","",FPR(H4820,I4820,J4820)))</f>
        <v/>
      </c>
      <c r="L4820" s="30" t="str">
        <f>IF(H4820="","",IF($C$30="상세법",FPV(H4820,K4820),IF(H4820="EI",4,IF(H4820="EO",5.2,IF(H4820="EQ",3.9,IF(H4820="ILF",7.5,IF(H4820="EIF",5.4)))))))</f>
        <v/>
      </c>
      <c r="M4820" s="30" t="str">
        <f t="shared" si="520"/>
        <v/>
      </c>
      <c r="N4820" s="134"/>
      <c r="O4820" s="29"/>
      <c r="P4820" s="37" t="str">
        <f t="shared" si="521"/>
        <v/>
      </c>
      <c r="Q4820" s="38" t="str">
        <f t="shared" si="522"/>
        <v/>
      </c>
      <c r="R4820" s="37" t="str">
        <f t="shared" si="523"/>
        <v/>
      </c>
      <c r="S4820" s="37" t="str">
        <f t="shared" si="524"/>
        <v/>
      </c>
      <c r="T4820" s="38" t="str">
        <f t="shared" si="525"/>
        <v/>
      </c>
      <c r="U4820" s="37" t="str">
        <f t="shared" si="526"/>
        <v/>
      </c>
    </row>
    <row r="4821" spans="2:21" ht="17.25">
      <c r="B4821" s="156"/>
      <c r="C4821" s="156"/>
      <c r="D4821" s="157"/>
      <c r="E4821" s="155"/>
      <c r="F4821" s="151"/>
      <c r="G4821" s="152"/>
      <c r="H4821" s="153"/>
      <c r="I4821" s="154"/>
      <c r="J4821" s="154"/>
      <c r="K4821" s="30" t="str">
        <f>IF(H4821="","",IF($C$30="간이법","",FPR(H4821,I4821,J4821)))</f>
        <v/>
      </c>
      <c r="L4821" s="30" t="str">
        <f>IF(H4821="","",IF($C$30="상세법",FPV(H4821,K4821),IF(H4821="EI",4,IF(H4821="EO",5.2,IF(H4821="EQ",3.9,IF(H4821="ILF",7.5,IF(H4821="EIF",5.4)))))))</f>
        <v/>
      </c>
      <c r="M4821" s="30" t="str">
        <f t="shared" si="520"/>
        <v/>
      </c>
      <c r="N4821" s="134"/>
      <c r="O4821" s="29"/>
      <c r="P4821" s="37" t="str">
        <f t="shared" si="521"/>
        <v/>
      </c>
      <c r="Q4821" s="38" t="str">
        <f t="shared" si="522"/>
        <v/>
      </c>
      <c r="R4821" s="37" t="str">
        <f t="shared" si="523"/>
        <v/>
      </c>
      <c r="S4821" s="37" t="str">
        <f t="shared" si="524"/>
        <v/>
      </c>
      <c r="T4821" s="38" t="str">
        <f t="shared" si="525"/>
        <v/>
      </c>
      <c r="U4821" s="37" t="str">
        <f t="shared" si="526"/>
        <v/>
      </c>
    </row>
    <row r="4822" spans="2:21" ht="17.25">
      <c r="B4822" s="156"/>
      <c r="C4822" s="156"/>
      <c r="D4822" s="157"/>
      <c r="E4822" s="155"/>
      <c r="F4822" s="151"/>
      <c r="G4822" s="152"/>
      <c r="H4822" s="153"/>
      <c r="I4822" s="154"/>
      <c r="J4822" s="154"/>
      <c r="K4822" s="30" t="str">
        <f>IF(H4822="","",IF($C$30="간이법","",FPR(H4822,I4822,J4822)))</f>
        <v/>
      </c>
      <c r="L4822" s="30" t="str">
        <f>IF(H4822="","",IF($C$30="상세법",FPV(H4822,K4822),IF(H4822="EI",4,IF(H4822="EO",5.2,IF(H4822="EQ",3.9,IF(H4822="ILF",7.5,IF(H4822="EIF",5.4)))))))</f>
        <v/>
      </c>
      <c r="M4822" s="30" t="str">
        <f t="shared" si="520"/>
        <v/>
      </c>
      <c r="N4822" s="134"/>
      <c r="O4822" s="29"/>
      <c r="P4822" s="37" t="str">
        <f t="shared" si="521"/>
        <v/>
      </c>
      <c r="Q4822" s="38" t="str">
        <f t="shared" si="522"/>
        <v/>
      </c>
      <c r="R4822" s="37" t="str">
        <f t="shared" si="523"/>
        <v/>
      </c>
      <c r="S4822" s="37" t="str">
        <f t="shared" si="524"/>
        <v/>
      </c>
      <c r="T4822" s="38" t="str">
        <f t="shared" si="525"/>
        <v/>
      </c>
      <c r="U4822" s="37" t="str">
        <f t="shared" si="526"/>
        <v/>
      </c>
    </row>
    <row r="4823" spans="2:21" ht="17.25">
      <c r="B4823" s="156"/>
      <c r="C4823" s="156"/>
      <c r="D4823" s="157"/>
      <c r="E4823" s="155"/>
      <c r="F4823" s="151"/>
      <c r="G4823" s="152"/>
      <c r="H4823" s="153"/>
      <c r="I4823" s="154"/>
      <c r="J4823" s="154"/>
      <c r="K4823" s="30" t="str">
        <f>IF(H4823="","",IF($C$30="간이법","",FPR(H4823,I4823,J4823)))</f>
        <v/>
      </c>
      <c r="L4823" s="30" t="str">
        <f>IF(H4823="","",IF($C$30="상세법",FPV(H4823,K4823),IF(H4823="EI",4,IF(H4823="EO",5.2,IF(H4823="EQ",3.9,IF(H4823="ILF",7.5,IF(H4823="EIF",5.4)))))))</f>
        <v/>
      </c>
      <c r="M4823" s="30" t="str">
        <f t="shared" si="520"/>
        <v/>
      </c>
      <c r="N4823" s="134"/>
      <c r="O4823" s="29"/>
      <c r="P4823" s="37" t="str">
        <f t="shared" si="521"/>
        <v/>
      </c>
      <c r="Q4823" s="38" t="str">
        <f t="shared" si="522"/>
        <v/>
      </c>
      <c r="R4823" s="37" t="str">
        <f t="shared" si="523"/>
        <v/>
      </c>
      <c r="S4823" s="37" t="str">
        <f t="shared" si="524"/>
        <v/>
      </c>
      <c r="T4823" s="38" t="str">
        <f t="shared" si="525"/>
        <v/>
      </c>
      <c r="U4823" s="37" t="str">
        <f t="shared" si="526"/>
        <v/>
      </c>
    </row>
    <row r="4824" spans="2:21" ht="17.25">
      <c r="B4824" s="156"/>
      <c r="C4824" s="156"/>
      <c r="D4824" s="157"/>
      <c r="E4824" s="155"/>
      <c r="F4824" s="151"/>
      <c r="G4824" s="152"/>
      <c r="H4824" s="153"/>
      <c r="I4824" s="154"/>
      <c r="J4824" s="154"/>
      <c r="K4824" s="30" t="str">
        <f>IF(H4824="","",IF($C$30="간이법","",FPR(H4824,I4824,J4824)))</f>
        <v/>
      </c>
      <c r="L4824" s="30" t="str">
        <f>IF(H4824="","",IF($C$30="상세법",FPV(H4824,K4824),IF(H4824="EI",4,IF(H4824="EO",5.2,IF(H4824="EQ",3.9,IF(H4824="ILF",7.5,IF(H4824="EIF",5.4)))))))</f>
        <v/>
      </c>
      <c r="M4824" s="30" t="str">
        <f t="shared" si="520"/>
        <v/>
      </c>
      <c r="N4824" s="134"/>
      <c r="O4824" s="29"/>
      <c r="P4824" s="37" t="str">
        <f t="shared" si="521"/>
        <v/>
      </c>
      <c r="Q4824" s="38" t="str">
        <f t="shared" si="522"/>
        <v/>
      </c>
      <c r="R4824" s="37" t="str">
        <f t="shared" si="523"/>
        <v/>
      </c>
      <c r="S4824" s="37" t="str">
        <f t="shared" si="524"/>
        <v/>
      </c>
      <c r="T4824" s="38" t="str">
        <f t="shared" si="525"/>
        <v/>
      </c>
      <c r="U4824" s="37" t="str">
        <f t="shared" si="526"/>
        <v/>
      </c>
    </row>
    <row r="4825" spans="2:21" ht="17.25">
      <c r="B4825" s="156"/>
      <c r="C4825" s="156"/>
      <c r="D4825" s="157"/>
      <c r="E4825" s="155"/>
      <c r="F4825" s="151"/>
      <c r="G4825" s="152"/>
      <c r="H4825" s="153"/>
      <c r="I4825" s="154"/>
      <c r="J4825" s="154"/>
      <c r="K4825" s="30" t="str">
        <f>IF(H4825="","",IF($C$30="간이법","",FPR(H4825,I4825,J4825)))</f>
        <v/>
      </c>
      <c r="L4825" s="30" t="str">
        <f>IF(H4825="","",IF($C$30="상세법",FPV(H4825,K4825),IF(H4825="EI",4,IF(H4825="EO",5.2,IF(H4825="EQ",3.9,IF(H4825="ILF",7.5,IF(H4825="EIF",5.4)))))))</f>
        <v/>
      </c>
      <c r="M4825" s="30" t="str">
        <f t="shared" si="520"/>
        <v/>
      </c>
      <c r="N4825" s="134"/>
      <c r="O4825" s="29"/>
      <c r="P4825" s="37" t="str">
        <f t="shared" si="521"/>
        <v/>
      </c>
      <c r="Q4825" s="38" t="str">
        <f t="shared" si="522"/>
        <v/>
      </c>
      <c r="R4825" s="37" t="str">
        <f t="shared" si="523"/>
        <v/>
      </c>
      <c r="S4825" s="37" t="str">
        <f t="shared" si="524"/>
        <v/>
      </c>
      <c r="T4825" s="38" t="str">
        <f t="shared" si="525"/>
        <v/>
      </c>
      <c r="U4825" s="37" t="str">
        <f t="shared" si="526"/>
        <v/>
      </c>
    </row>
    <row r="4826" spans="2:21" ht="17.25">
      <c r="B4826" s="156"/>
      <c r="C4826" s="156"/>
      <c r="D4826" s="157"/>
      <c r="E4826" s="155"/>
      <c r="F4826" s="151"/>
      <c r="G4826" s="152"/>
      <c r="H4826" s="153"/>
      <c r="I4826" s="154"/>
      <c r="J4826" s="154"/>
      <c r="K4826" s="30" t="str">
        <f>IF(H4826="","",IF($C$30="간이법","",FPR(H4826,I4826,J4826)))</f>
        <v/>
      </c>
      <c r="L4826" s="30" t="str">
        <f>IF(H4826="","",IF($C$30="상세법",FPV(H4826,K4826),IF(H4826="EI",4,IF(H4826="EO",5.2,IF(H4826="EQ",3.9,IF(H4826="ILF",7.5,IF(H4826="EIF",5.4)))))))</f>
        <v/>
      </c>
      <c r="M4826" s="30" t="str">
        <f t="shared" si="520"/>
        <v/>
      </c>
      <c r="N4826" s="134"/>
      <c r="O4826" s="29"/>
      <c r="P4826" s="37" t="str">
        <f t="shared" si="521"/>
        <v/>
      </c>
      <c r="Q4826" s="38" t="str">
        <f t="shared" si="522"/>
        <v/>
      </c>
      <c r="R4826" s="37" t="str">
        <f t="shared" si="523"/>
        <v/>
      </c>
      <c r="S4826" s="37" t="str">
        <f t="shared" si="524"/>
        <v/>
      </c>
      <c r="T4826" s="38" t="str">
        <f t="shared" si="525"/>
        <v/>
      </c>
      <c r="U4826" s="37" t="str">
        <f t="shared" si="526"/>
        <v/>
      </c>
    </row>
    <row r="4827" spans="2:21" ht="17.25">
      <c r="B4827" s="156"/>
      <c r="C4827" s="156"/>
      <c r="D4827" s="157"/>
      <c r="E4827" s="155"/>
      <c r="F4827" s="151"/>
      <c r="G4827" s="152"/>
      <c r="H4827" s="153"/>
      <c r="I4827" s="154"/>
      <c r="J4827" s="154"/>
      <c r="K4827" s="30" t="str">
        <f>IF(H4827="","",IF($C$30="간이법","",FPR(H4827,I4827,J4827)))</f>
        <v/>
      </c>
      <c r="L4827" s="30" t="str">
        <f>IF(H4827="","",IF($C$30="상세법",FPV(H4827,K4827),IF(H4827="EI",4,IF(H4827="EO",5.2,IF(H4827="EQ",3.9,IF(H4827="ILF",7.5,IF(H4827="EIF",5.4)))))))</f>
        <v/>
      </c>
      <c r="M4827" s="30" t="str">
        <f t="shared" si="520"/>
        <v/>
      </c>
      <c r="N4827" s="134"/>
      <c r="O4827" s="29"/>
      <c r="P4827" s="37" t="str">
        <f t="shared" si="521"/>
        <v/>
      </c>
      <c r="Q4827" s="38" t="str">
        <f t="shared" si="522"/>
        <v/>
      </c>
      <c r="R4827" s="37" t="str">
        <f t="shared" si="523"/>
        <v/>
      </c>
      <c r="S4827" s="37" t="str">
        <f t="shared" si="524"/>
        <v/>
      </c>
      <c r="T4827" s="38" t="str">
        <f t="shared" si="525"/>
        <v/>
      </c>
      <c r="U4827" s="37" t="str">
        <f t="shared" si="526"/>
        <v/>
      </c>
    </row>
    <row r="4828" spans="2:21" ht="17.25">
      <c r="B4828" s="156"/>
      <c r="C4828" s="156"/>
      <c r="D4828" s="157"/>
      <c r="E4828" s="155"/>
      <c r="F4828" s="151"/>
      <c r="G4828" s="152"/>
      <c r="H4828" s="153"/>
      <c r="I4828" s="154"/>
      <c r="J4828" s="154"/>
      <c r="K4828" s="30" t="str">
        <f>IF(H4828="","",IF($C$30="간이법","",FPR(H4828,I4828,J4828)))</f>
        <v/>
      </c>
      <c r="L4828" s="30" t="str">
        <f>IF(H4828="","",IF($C$30="상세법",FPV(H4828,K4828),IF(H4828="EI",4,IF(H4828="EO",5.2,IF(H4828="EQ",3.9,IF(H4828="ILF",7.5,IF(H4828="EIF",5.4)))))))</f>
        <v/>
      </c>
      <c r="M4828" s="30" t="str">
        <f t="shared" si="520"/>
        <v/>
      </c>
      <c r="N4828" s="134"/>
      <c r="O4828" s="29"/>
      <c r="P4828" s="37" t="str">
        <f t="shared" si="521"/>
        <v/>
      </c>
      <c r="Q4828" s="38" t="str">
        <f t="shared" si="522"/>
        <v/>
      </c>
      <c r="R4828" s="37" t="str">
        <f t="shared" si="523"/>
        <v/>
      </c>
      <c r="S4828" s="37" t="str">
        <f t="shared" si="524"/>
        <v/>
      </c>
      <c r="T4828" s="38" t="str">
        <f t="shared" si="525"/>
        <v/>
      </c>
      <c r="U4828" s="37" t="str">
        <f t="shared" si="526"/>
        <v/>
      </c>
    </row>
    <row r="4829" spans="2:21" ht="17.25">
      <c r="B4829" s="156"/>
      <c r="C4829" s="156"/>
      <c r="D4829" s="157"/>
      <c r="E4829" s="155"/>
      <c r="F4829" s="151"/>
      <c r="G4829" s="152"/>
      <c r="H4829" s="153"/>
      <c r="I4829" s="154"/>
      <c r="J4829" s="154"/>
      <c r="K4829" s="30" t="str">
        <f>IF(H4829="","",IF($C$30="간이법","",FPR(H4829,I4829,J4829)))</f>
        <v/>
      </c>
      <c r="L4829" s="30" t="str">
        <f>IF(H4829="","",IF($C$30="상세법",FPV(H4829,K4829),IF(H4829="EI",4,IF(H4829="EO",5.2,IF(H4829="EQ",3.9,IF(H4829="ILF",7.5,IF(H4829="EIF",5.4)))))))</f>
        <v/>
      </c>
      <c r="M4829" s="30" t="str">
        <f t="shared" si="520"/>
        <v/>
      </c>
      <c r="N4829" s="134"/>
      <c r="O4829" s="29"/>
      <c r="P4829" s="37" t="str">
        <f t="shared" si="521"/>
        <v/>
      </c>
      <c r="Q4829" s="38" t="str">
        <f t="shared" si="522"/>
        <v/>
      </c>
      <c r="R4829" s="37" t="str">
        <f t="shared" si="523"/>
        <v/>
      </c>
      <c r="S4829" s="37" t="str">
        <f t="shared" si="524"/>
        <v/>
      </c>
      <c r="T4829" s="38" t="str">
        <f t="shared" si="525"/>
        <v/>
      </c>
      <c r="U4829" s="37" t="str">
        <f t="shared" si="526"/>
        <v/>
      </c>
    </row>
    <row r="4830" spans="2:21" ht="17.25">
      <c r="B4830" s="156"/>
      <c r="C4830" s="156"/>
      <c r="D4830" s="157"/>
      <c r="E4830" s="155"/>
      <c r="F4830" s="151"/>
      <c r="G4830" s="152"/>
      <c r="H4830" s="153"/>
      <c r="I4830" s="154"/>
      <c r="J4830" s="154"/>
      <c r="K4830" s="30" t="str">
        <f>IF(H4830="","",IF($C$30="간이법","",FPR(H4830,I4830,J4830)))</f>
        <v/>
      </c>
      <c r="L4830" s="30" t="str">
        <f>IF(H4830="","",IF($C$30="상세법",FPV(H4830,K4830),IF(H4830="EI",4,IF(H4830="EO",5.2,IF(H4830="EQ",3.9,IF(H4830="ILF",7.5,IF(H4830="EIF",5.4)))))))</f>
        <v/>
      </c>
      <c r="M4830" s="30" t="str">
        <f t="shared" si="520"/>
        <v/>
      </c>
      <c r="N4830" s="134"/>
      <c r="O4830" s="29"/>
      <c r="P4830" s="37" t="str">
        <f t="shared" si="521"/>
        <v/>
      </c>
      <c r="Q4830" s="38" t="str">
        <f t="shared" si="522"/>
        <v/>
      </c>
      <c r="R4830" s="37" t="str">
        <f t="shared" si="523"/>
        <v/>
      </c>
      <c r="S4830" s="37" t="str">
        <f t="shared" si="524"/>
        <v/>
      </c>
      <c r="T4830" s="38" t="str">
        <f t="shared" si="525"/>
        <v/>
      </c>
      <c r="U4830" s="37" t="str">
        <f t="shared" si="526"/>
        <v/>
      </c>
    </row>
    <row r="4831" spans="2:21" ht="17.25">
      <c r="B4831" s="156"/>
      <c r="C4831" s="156"/>
      <c r="D4831" s="157"/>
      <c r="E4831" s="155"/>
      <c r="F4831" s="151"/>
      <c r="G4831" s="152"/>
      <c r="H4831" s="153"/>
      <c r="I4831" s="154"/>
      <c r="J4831" s="154"/>
      <c r="K4831" s="30" t="str">
        <f>IF(H4831="","",IF($C$30="간이법","",FPR(H4831,I4831,J4831)))</f>
        <v/>
      </c>
      <c r="L4831" s="30" t="str">
        <f>IF(H4831="","",IF($C$30="상세법",FPV(H4831,K4831),IF(H4831="EI",4,IF(H4831="EO",5.2,IF(H4831="EQ",3.9,IF(H4831="ILF",7.5,IF(H4831="EIF",5.4)))))))</f>
        <v/>
      </c>
      <c r="M4831" s="30" t="str">
        <f t="shared" si="520"/>
        <v/>
      </c>
      <c r="N4831" s="134"/>
      <c r="O4831" s="29"/>
      <c r="P4831" s="37" t="str">
        <f t="shared" si="521"/>
        <v/>
      </c>
      <c r="Q4831" s="38" t="str">
        <f t="shared" si="522"/>
        <v/>
      </c>
      <c r="R4831" s="37" t="str">
        <f t="shared" si="523"/>
        <v/>
      </c>
      <c r="S4831" s="37" t="str">
        <f t="shared" si="524"/>
        <v/>
      </c>
      <c r="T4831" s="38" t="str">
        <f t="shared" si="525"/>
        <v/>
      </c>
      <c r="U4831" s="37" t="str">
        <f t="shared" si="526"/>
        <v/>
      </c>
    </row>
    <row r="4832" spans="2:21" ht="17.25">
      <c r="B4832" s="156"/>
      <c r="C4832" s="156"/>
      <c r="D4832" s="157"/>
      <c r="E4832" s="155"/>
      <c r="F4832" s="151"/>
      <c r="G4832" s="152"/>
      <c r="H4832" s="153"/>
      <c r="I4832" s="154"/>
      <c r="J4832" s="154"/>
      <c r="K4832" s="30" t="str">
        <f>IF(H4832="","",IF($C$30="간이법","",FPR(H4832,I4832,J4832)))</f>
        <v/>
      </c>
      <c r="L4832" s="30" t="str">
        <f>IF(H4832="","",IF($C$30="상세법",FPV(H4832,K4832),IF(H4832="EI",4,IF(H4832="EO",5.2,IF(H4832="EQ",3.9,IF(H4832="ILF",7.5,IF(H4832="EIF",5.4)))))))</f>
        <v/>
      </c>
      <c r="M4832" s="30" t="str">
        <f t="shared" si="520"/>
        <v/>
      </c>
      <c r="N4832" s="134"/>
      <c r="O4832" s="29"/>
      <c r="P4832" s="37" t="str">
        <f t="shared" si="521"/>
        <v/>
      </c>
      <c r="Q4832" s="38" t="str">
        <f t="shared" si="522"/>
        <v/>
      </c>
      <c r="R4832" s="37" t="str">
        <f t="shared" si="523"/>
        <v/>
      </c>
      <c r="S4832" s="37" t="str">
        <f t="shared" si="524"/>
        <v/>
      </c>
      <c r="T4832" s="38" t="str">
        <f t="shared" si="525"/>
        <v/>
      </c>
      <c r="U4832" s="37" t="str">
        <f t="shared" si="526"/>
        <v/>
      </c>
    </row>
    <row r="4833" spans="2:21" ht="17.25">
      <c r="B4833" s="156"/>
      <c r="C4833" s="156"/>
      <c r="D4833" s="157"/>
      <c r="E4833" s="155"/>
      <c r="F4833" s="151"/>
      <c r="G4833" s="152"/>
      <c r="H4833" s="153"/>
      <c r="I4833" s="154"/>
      <c r="J4833" s="154"/>
      <c r="K4833" s="30" t="str">
        <f>IF(H4833="","",IF($C$30="간이법","",FPR(H4833,I4833,J4833)))</f>
        <v/>
      </c>
      <c r="L4833" s="30" t="str">
        <f>IF(H4833="","",IF($C$30="상세법",FPV(H4833,K4833),IF(H4833="EI",4,IF(H4833="EO",5.2,IF(H4833="EQ",3.9,IF(H4833="ILF",7.5,IF(H4833="EIF",5.4)))))))</f>
        <v/>
      </c>
      <c r="M4833" s="30" t="str">
        <f t="shared" si="520"/>
        <v/>
      </c>
      <c r="N4833" s="134"/>
      <c r="O4833" s="29"/>
      <c r="P4833" s="37" t="str">
        <f t="shared" si="521"/>
        <v/>
      </c>
      <c r="Q4833" s="38" t="str">
        <f t="shared" si="522"/>
        <v/>
      </c>
      <c r="R4833" s="37" t="str">
        <f t="shared" si="523"/>
        <v/>
      </c>
      <c r="S4833" s="37" t="str">
        <f t="shared" si="524"/>
        <v/>
      </c>
      <c r="T4833" s="38" t="str">
        <f t="shared" si="525"/>
        <v/>
      </c>
      <c r="U4833" s="37" t="str">
        <f t="shared" si="526"/>
        <v/>
      </c>
    </row>
    <row r="4834" spans="2:21" ht="17.25">
      <c r="B4834" s="156"/>
      <c r="C4834" s="156"/>
      <c r="D4834" s="157"/>
      <c r="E4834" s="155"/>
      <c r="F4834" s="151"/>
      <c r="G4834" s="152"/>
      <c r="H4834" s="153"/>
      <c r="I4834" s="154"/>
      <c r="J4834" s="154"/>
      <c r="K4834" s="30" t="str">
        <f>IF(H4834="","",IF($C$30="간이법","",FPR(H4834,I4834,J4834)))</f>
        <v/>
      </c>
      <c r="L4834" s="30" t="str">
        <f>IF(H4834="","",IF($C$30="상세법",FPV(H4834,K4834),IF(H4834="EI",4,IF(H4834="EO",5.2,IF(H4834="EQ",3.9,IF(H4834="ILF",7.5,IF(H4834="EIF",5.4)))))))</f>
        <v/>
      </c>
      <c r="M4834" s="30" t="str">
        <f t="shared" si="520"/>
        <v/>
      </c>
      <c r="N4834" s="134"/>
      <c r="O4834" s="29"/>
      <c r="P4834" s="37" t="str">
        <f t="shared" si="521"/>
        <v/>
      </c>
      <c r="Q4834" s="38" t="str">
        <f t="shared" si="522"/>
        <v/>
      </c>
      <c r="R4834" s="37" t="str">
        <f t="shared" si="523"/>
        <v/>
      </c>
      <c r="S4834" s="37" t="str">
        <f t="shared" si="524"/>
        <v/>
      </c>
      <c r="T4834" s="38" t="str">
        <f t="shared" si="525"/>
        <v/>
      </c>
      <c r="U4834" s="37" t="str">
        <f t="shared" si="526"/>
        <v/>
      </c>
    </row>
    <row r="4835" spans="2:21" ht="17.25">
      <c r="B4835" s="156"/>
      <c r="C4835" s="156"/>
      <c r="D4835" s="157"/>
      <c r="E4835" s="155"/>
      <c r="F4835" s="151"/>
      <c r="G4835" s="152"/>
      <c r="H4835" s="153"/>
      <c r="I4835" s="154"/>
      <c r="J4835" s="154"/>
      <c r="K4835" s="30" t="str">
        <f>IF(H4835="","",IF($C$30="간이법","",FPR(H4835,I4835,J4835)))</f>
        <v/>
      </c>
      <c r="L4835" s="30" t="str">
        <f>IF(H4835="","",IF($C$30="상세법",FPV(H4835,K4835),IF(H4835="EI",4,IF(H4835="EO",5.2,IF(H4835="EQ",3.9,IF(H4835="ILF",7.5,IF(H4835="EIF",5.4)))))))</f>
        <v/>
      </c>
      <c r="M4835" s="30" t="str">
        <f t="shared" si="520"/>
        <v/>
      </c>
      <c r="N4835" s="134"/>
      <c r="O4835" s="29"/>
      <c r="P4835" s="37" t="str">
        <f t="shared" si="521"/>
        <v/>
      </c>
      <c r="Q4835" s="38" t="str">
        <f t="shared" si="522"/>
        <v/>
      </c>
      <c r="R4835" s="37" t="str">
        <f t="shared" si="523"/>
        <v/>
      </c>
      <c r="S4835" s="37" t="str">
        <f t="shared" si="524"/>
        <v/>
      </c>
      <c r="T4835" s="38" t="str">
        <f t="shared" si="525"/>
        <v/>
      </c>
      <c r="U4835" s="37" t="str">
        <f t="shared" si="526"/>
        <v/>
      </c>
    </row>
    <row r="4836" spans="2:21" ht="17.25">
      <c r="B4836" s="156"/>
      <c r="C4836" s="156"/>
      <c r="D4836" s="157"/>
      <c r="E4836" s="155"/>
      <c r="F4836" s="151"/>
      <c r="G4836" s="152"/>
      <c r="H4836" s="153"/>
      <c r="I4836" s="154"/>
      <c r="J4836" s="154"/>
      <c r="K4836" s="30" t="str">
        <f>IF(H4836="","",IF($C$30="간이법","",FPR(H4836,I4836,J4836)))</f>
        <v/>
      </c>
      <c r="L4836" s="30" t="str">
        <f>IF(H4836="","",IF($C$30="상세법",FPV(H4836,K4836),IF(H4836="EI",4,IF(H4836="EO",5.2,IF(H4836="EQ",3.9,IF(H4836="ILF",7.5,IF(H4836="EIF",5.4)))))))</f>
        <v/>
      </c>
      <c r="M4836" s="30" t="str">
        <f t="shared" si="520"/>
        <v/>
      </c>
      <c r="N4836" s="134"/>
      <c r="O4836" s="29"/>
      <c r="P4836" s="37" t="str">
        <f t="shared" si="521"/>
        <v/>
      </c>
      <c r="Q4836" s="38" t="str">
        <f t="shared" si="522"/>
        <v/>
      </c>
      <c r="R4836" s="37" t="str">
        <f t="shared" si="523"/>
        <v/>
      </c>
      <c r="S4836" s="37" t="str">
        <f t="shared" si="524"/>
        <v/>
      </c>
      <c r="T4836" s="38" t="str">
        <f t="shared" si="525"/>
        <v/>
      </c>
      <c r="U4836" s="37" t="str">
        <f t="shared" si="526"/>
        <v/>
      </c>
    </row>
    <row r="4837" spans="2:21" ht="17.25">
      <c r="B4837" s="156"/>
      <c r="C4837" s="156"/>
      <c r="D4837" s="157"/>
      <c r="E4837" s="155"/>
      <c r="F4837" s="151"/>
      <c r="G4837" s="152"/>
      <c r="H4837" s="153"/>
      <c r="I4837" s="154"/>
      <c r="J4837" s="154"/>
      <c r="K4837" s="30" t="str">
        <f>IF(H4837="","",IF($C$30="간이법","",FPR(H4837,I4837,J4837)))</f>
        <v/>
      </c>
      <c r="L4837" s="30" t="str">
        <f>IF(H4837="","",IF($C$30="상세법",FPV(H4837,K4837),IF(H4837="EI",4,IF(H4837="EO",5.2,IF(H4837="EQ",3.9,IF(H4837="ILF",7.5,IF(H4837="EIF",5.4)))))))</f>
        <v/>
      </c>
      <c r="M4837" s="30" t="str">
        <f t="shared" si="520"/>
        <v/>
      </c>
      <c r="N4837" s="134"/>
      <c r="O4837" s="29"/>
      <c r="P4837" s="37" t="str">
        <f t="shared" si="521"/>
        <v/>
      </c>
      <c r="Q4837" s="38" t="str">
        <f t="shared" si="522"/>
        <v/>
      </c>
      <c r="R4837" s="37" t="str">
        <f t="shared" si="523"/>
        <v/>
      </c>
      <c r="S4837" s="37" t="str">
        <f t="shared" si="524"/>
        <v/>
      </c>
      <c r="T4837" s="38" t="str">
        <f t="shared" si="525"/>
        <v/>
      </c>
      <c r="U4837" s="37" t="str">
        <f t="shared" si="526"/>
        <v/>
      </c>
    </row>
    <row r="4838" spans="2:21" ht="17.25">
      <c r="B4838" s="156"/>
      <c r="C4838" s="156"/>
      <c r="D4838" s="157"/>
      <c r="E4838" s="155"/>
      <c r="F4838" s="151"/>
      <c r="G4838" s="152"/>
      <c r="H4838" s="153"/>
      <c r="I4838" s="154"/>
      <c r="J4838" s="154"/>
      <c r="K4838" s="30" t="str">
        <f>IF(H4838="","",IF($C$30="간이법","",FPR(H4838,I4838,J4838)))</f>
        <v/>
      </c>
      <c r="L4838" s="30" t="str">
        <f>IF(H4838="","",IF($C$30="상세법",FPV(H4838,K4838),IF(H4838="EI",4,IF(H4838="EO",5.2,IF(H4838="EQ",3.9,IF(H4838="ILF",7.5,IF(H4838="EIF",5.4)))))))</f>
        <v/>
      </c>
      <c r="M4838" s="30" t="str">
        <f t="shared" si="520"/>
        <v/>
      </c>
      <c r="N4838" s="134"/>
      <c r="O4838" s="29"/>
      <c r="P4838" s="37" t="str">
        <f t="shared" si="521"/>
        <v/>
      </c>
      <c r="Q4838" s="38" t="str">
        <f t="shared" si="522"/>
        <v/>
      </c>
      <c r="R4838" s="37" t="str">
        <f t="shared" si="523"/>
        <v/>
      </c>
      <c r="S4838" s="37" t="str">
        <f t="shared" si="524"/>
        <v/>
      </c>
      <c r="T4838" s="38" t="str">
        <f t="shared" si="525"/>
        <v/>
      </c>
      <c r="U4838" s="37" t="str">
        <f t="shared" si="526"/>
        <v/>
      </c>
    </row>
    <row r="4839" spans="2:21" ht="17.25">
      <c r="B4839" s="156"/>
      <c r="C4839" s="156"/>
      <c r="D4839" s="157"/>
      <c r="E4839" s="155"/>
      <c r="F4839" s="151"/>
      <c r="G4839" s="152"/>
      <c r="H4839" s="153"/>
      <c r="I4839" s="154"/>
      <c r="J4839" s="154"/>
      <c r="K4839" s="30" t="str">
        <f>IF(H4839="","",IF($C$30="간이법","",FPR(H4839,I4839,J4839)))</f>
        <v/>
      </c>
      <c r="L4839" s="30" t="str">
        <f>IF(H4839="","",IF($C$30="상세법",FPV(H4839,K4839),IF(H4839="EI",4,IF(H4839="EO",5.2,IF(H4839="EQ",3.9,IF(H4839="ILF",7.5,IF(H4839="EIF",5.4)))))))</f>
        <v/>
      </c>
      <c r="M4839" s="30" t="str">
        <f t="shared" si="520"/>
        <v/>
      </c>
      <c r="N4839" s="134"/>
      <c r="O4839" s="29"/>
      <c r="P4839" s="37" t="str">
        <f t="shared" si="521"/>
        <v/>
      </c>
      <c r="Q4839" s="38" t="str">
        <f t="shared" si="522"/>
        <v/>
      </c>
      <c r="R4839" s="37" t="str">
        <f t="shared" si="523"/>
        <v/>
      </c>
      <c r="S4839" s="37" t="str">
        <f t="shared" si="524"/>
        <v/>
      </c>
      <c r="T4839" s="38" t="str">
        <f t="shared" si="525"/>
        <v/>
      </c>
      <c r="U4839" s="37" t="str">
        <f t="shared" si="526"/>
        <v/>
      </c>
    </row>
    <row r="4840" spans="2:21" ht="17.25">
      <c r="B4840" s="156"/>
      <c r="C4840" s="156"/>
      <c r="D4840" s="157"/>
      <c r="E4840" s="155"/>
      <c r="F4840" s="151"/>
      <c r="G4840" s="152"/>
      <c r="H4840" s="153"/>
      <c r="I4840" s="154"/>
      <c r="J4840" s="154"/>
      <c r="K4840" s="30" t="str">
        <f>IF(H4840="","",IF($C$30="간이법","",FPR(H4840,I4840,J4840)))</f>
        <v/>
      </c>
      <c r="L4840" s="30" t="str">
        <f>IF(H4840="","",IF($C$30="상세법",FPV(H4840,K4840),IF(H4840="EI",4,IF(H4840="EO",5.2,IF(H4840="EQ",3.9,IF(H4840="ILF",7.5,IF(H4840="EIF",5.4)))))))</f>
        <v/>
      </c>
      <c r="M4840" s="30" t="str">
        <f t="shared" si="520"/>
        <v/>
      </c>
      <c r="N4840" s="134"/>
      <c r="O4840" s="29"/>
      <c r="P4840" s="37" t="str">
        <f t="shared" si="521"/>
        <v/>
      </c>
      <c r="Q4840" s="38" t="str">
        <f t="shared" si="522"/>
        <v/>
      </c>
      <c r="R4840" s="37" t="str">
        <f t="shared" si="523"/>
        <v/>
      </c>
      <c r="S4840" s="37" t="str">
        <f t="shared" si="524"/>
        <v/>
      </c>
      <c r="T4840" s="38" t="str">
        <f t="shared" si="525"/>
        <v/>
      </c>
      <c r="U4840" s="37" t="str">
        <f t="shared" si="526"/>
        <v/>
      </c>
    </row>
    <row r="4841" spans="2:21" ht="17.25">
      <c r="B4841" s="156"/>
      <c r="C4841" s="156"/>
      <c r="D4841" s="157"/>
      <c r="E4841" s="155"/>
      <c r="F4841" s="151"/>
      <c r="G4841" s="152"/>
      <c r="H4841" s="153"/>
      <c r="I4841" s="154"/>
      <c r="J4841" s="154"/>
      <c r="K4841" s="30" t="str">
        <f>IF(H4841="","",IF($C$30="간이법","",FPR(H4841,I4841,J4841)))</f>
        <v/>
      </c>
      <c r="L4841" s="30" t="str">
        <f>IF(H4841="","",IF($C$30="상세법",FPV(H4841,K4841),IF(H4841="EI",4,IF(H4841="EO",5.2,IF(H4841="EQ",3.9,IF(H4841="ILF",7.5,IF(H4841="EIF",5.4)))))))</f>
        <v/>
      </c>
      <c r="M4841" s="30" t="str">
        <f t="shared" si="520"/>
        <v/>
      </c>
      <c r="N4841" s="134"/>
      <c r="O4841" s="29"/>
      <c r="P4841" s="37" t="str">
        <f t="shared" si="521"/>
        <v/>
      </c>
      <c r="Q4841" s="38" t="str">
        <f t="shared" si="522"/>
        <v/>
      </c>
      <c r="R4841" s="37" t="str">
        <f t="shared" si="523"/>
        <v/>
      </c>
      <c r="S4841" s="37" t="str">
        <f t="shared" si="524"/>
        <v/>
      </c>
      <c r="T4841" s="38" t="str">
        <f t="shared" si="525"/>
        <v/>
      </c>
      <c r="U4841" s="37" t="str">
        <f t="shared" si="526"/>
        <v/>
      </c>
    </row>
    <row r="4842" spans="2:21" ht="17.25">
      <c r="B4842" s="156"/>
      <c r="C4842" s="156"/>
      <c r="D4842" s="157"/>
      <c r="E4842" s="155"/>
      <c r="F4842" s="151"/>
      <c r="G4842" s="152"/>
      <c r="H4842" s="153"/>
      <c r="I4842" s="154"/>
      <c r="J4842" s="154"/>
      <c r="K4842" s="30" t="str">
        <f>IF(H4842="","",IF($C$30="간이법","",FPR(H4842,I4842,J4842)))</f>
        <v/>
      </c>
      <c r="L4842" s="30" t="str">
        <f>IF(H4842="","",IF($C$30="상세법",FPV(H4842,K4842),IF(H4842="EI",4,IF(H4842="EO",5.2,IF(H4842="EQ",3.9,IF(H4842="ILF",7.5,IF(H4842="EIF",5.4)))))))</f>
        <v/>
      </c>
      <c r="M4842" s="30" t="str">
        <f t="shared" si="520"/>
        <v/>
      </c>
      <c r="N4842" s="134"/>
      <c r="O4842" s="29"/>
      <c r="P4842" s="37" t="str">
        <f t="shared" si="521"/>
        <v/>
      </c>
      <c r="Q4842" s="38" t="str">
        <f t="shared" si="522"/>
        <v/>
      </c>
      <c r="R4842" s="37" t="str">
        <f t="shared" si="523"/>
        <v/>
      </c>
      <c r="S4842" s="37" t="str">
        <f t="shared" si="524"/>
        <v/>
      </c>
      <c r="T4842" s="38" t="str">
        <f t="shared" si="525"/>
        <v/>
      </c>
      <c r="U4842" s="37" t="str">
        <f t="shared" si="526"/>
        <v/>
      </c>
    </row>
    <row r="4843" spans="2:21" ht="17.25">
      <c r="B4843" s="156"/>
      <c r="C4843" s="156"/>
      <c r="D4843" s="157"/>
      <c r="E4843" s="155"/>
      <c r="F4843" s="151"/>
      <c r="G4843" s="152"/>
      <c r="H4843" s="153"/>
      <c r="I4843" s="154"/>
      <c r="J4843" s="154"/>
      <c r="K4843" s="30" t="str">
        <f>IF(H4843="","",IF($C$30="간이법","",FPR(H4843,I4843,J4843)))</f>
        <v/>
      </c>
      <c r="L4843" s="30" t="str">
        <f>IF(H4843="","",IF($C$30="상세법",FPV(H4843,K4843),IF(H4843="EI",4,IF(H4843="EO",5.2,IF(H4843="EQ",3.9,IF(H4843="ILF",7.5,IF(H4843="EIF",5.4)))))))</f>
        <v/>
      </c>
      <c r="M4843" s="30" t="str">
        <f t="shared" si="520"/>
        <v/>
      </c>
      <c r="N4843" s="134"/>
      <c r="O4843" s="29"/>
      <c r="P4843" s="37" t="str">
        <f t="shared" si="521"/>
        <v/>
      </c>
      <c r="Q4843" s="38" t="str">
        <f t="shared" si="522"/>
        <v/>
      </c>
      <c r="R4843" s="37" t="str">
        <f t="shared" si="523"/>
        <v/>
      </c>
      <c r="S4843" s="37" t="str">
        <f t="shared" si="524"/>
        <v/>
      </c>
      <c r="T4843" s="38" t="str">
        <f t="shared" si="525"/>
        <v/>
      </c>
      <c r="U4843" s="37" t="str">
        <f t="shared" si="526"/>
        <v/>
      </c>
    </row>
    <row r="4844" spans="2:21" ht="17.25">
      <c r="B4844" s="156"/>
      <c r="C4844" s="156"/>
      <c r="D4844" s="157"/>
      <c r="E4844" s="155"/>
      <c r="F4844" s="151"/>
      <c r="G4844" s="152"/>
      <c r="H4844" s="153"/>
      <c r="I4844" s="154"/>
      <c r="J4844" s="154"/>
      <c r="K4844" s="30" t="str">
        <f>IF(H4844="","",IF($C$30="간이법","",FPR(H4844,I4844,J4844)))</f>
        <v/>
      </c>
      <c r="L4844" s="30" t="str">
        <f>IF(H4844="","",IF($C$30="상세법",FPV(H4844,K4844),IF(H4844="EI",4,IF(H4844="EO",5.2,IF(H4844="EQ",3.9,IF(H4844="ILF",7.5,IF(H4844="EIF",5.4)))))))</f>
        <v/>
      </c>
      <c r="M4844" s="30" t="str">
        <f t="shared" si="520"/>
        <v/>
      </c>
      <c r="N4844" s="134"/>
      <c r="O4844" s="29"/>
      <c r="P4844" s="37" t="str">
        <f t="shared" si="521"/>
        <v/>
      </c>
      <c r="Q4844" s="38" t="str">
        <f t="shared" si="522"/>
        <v/>
      </c>
      <c r="R4844" s="37" t="str">
        <f t="shared" si="523"/>
        <v/>
      </c>
      <c r="S4844" s="37" t="str">
        <f t="shared" si="524"/>
        <v/>
      </c>
      <c r="T4844" s="38" t="str">
        <f t="shared" si="525"/>
        <v/>
      </c>
      <c r="U4844" s="37" t="str">
        <f t="shared" si="526"/>
        <v/>
      </c>
    </row>
    <row r="4845" spans="2:21" ht="17.25">
      <c r="B4845" s="156"/>
      <c r="C4845" s="156"/>
      <c r="D4845" s="157"/>
      <c r="E4845" s="155"/>
      <c r="F4845" s="151"/>
      <c r="G4845" s="152"/>
      <c r="H4845" s="153"/>
      <c r="I4845" s="154"/>
      <c r="J4845" s="154"/>
      <c r="K4845" s="30" t="str">
        <f>IF(H4845="","",IF($C$30="간이법","",FPR(H4845,I4845,J4845)))</f>
        <v/>
      </c>
      <c r="L4845" s="30" t="str">
        <f>IF(H4845="","",IF($C$30="상세법",FPV(H4845,K4845),IF(H4845="EI",4,IF(H4845="EO",5.2,IF(H4845="EQ",3.9,IF(H4845="ILF",7.5,IF(H4845="EIF",5.4)))))))</f>
        <v/>
      </c>
      <c r="M4845" s="30" t="str">
        <f t="shared" si="520"/>
        <v/>
      </c>
      <c r="N4845" s="134"/>
      <c r="O4845" s="29"/>
      <c r="P4845" s="37" t="str">
        <f t="shared" si="521"/>
        <v/>
      </c>
      <c r="Q4845" s="38" t="str">
        <f t="shared" si="522"/>
        <v/>
      </c>
      <c r="R4845" s="37" t="str">
        <f t="shared" si="523"/>
        <v/>
      </c>
      <c r="S4845" s="37" t="str">
        <f t="shared" si="524"/>
        <v/>
      </c>
      <c r="T4845" s="38" t="str">
        <f t="shared" si="525"/>
        <v/>
      </c>
      <c r="U4845" s="37" t="str">
        <f t="shared" si="526"/>
        <v/>
      </c>
    </row>
    <row r="4846" spans="2:21" ht="17.25">
      <c r="B4846" s="156"/>
      <c r="C4846" s="156"/>
      <c r="D4846" s="157"/>
      <c r="E4846" s="155"/>
      <c r="F4846" s="151"/>
      <c r="G4846" s="152"/>
      <c r="H4846" s="153"/>
      <c r="I4846" s="154"/>
      <c r="J4846" s="154"/>
      <c r="K4846" s="30" t="str">
        <f>IF(H4846="","",IF($C$30="간이법","",FPR(H4846,I4846,J4846)))</f>
        <v/>
      </c>
      <c r="L4846" s="30" t="str">
        <f>IF(H4846="","",IF($C$30="상세법",FPV(H4846,K4846),IF(H4846="EI",4,IF(H4846="EO",5.2,IF(H4846="EQ",3.9,IF(H4846="ILF",7.5,IF(H4846="EIF",5.4)))))))</f>
        <v/>
      </c>
      <c r="M4846" s="30" t="str">
        <f t="shared" si="520"/>
        <v/>
      </c>
      <c r="N4846" s="134"/>
      <c r="O4846" s="29"/>
      <c r="P4846" s="37" t="str">
        <f t="shared" si="521"/>
        <v/>
      </c>
      <c r="Q4846" s="38" t="str">
        <f t="shared" si="522"/>
        <v/>
      </c>
      <c r="R4846" s="37" t="str">
        <f t="shared" si="523"/>
        <v/>
      </c>
      <c r="S4846" s="37" t="str">
        <f t="shared" si="524"/>
        <v/>
      </c>
      <c r="T4846" s="38" t="str">
        <f t="shared" si="525"/>
        <v/>
      </c>
      <c r="U4846" s="37" t="str">
        <f t="shared" si="526"/>
        <v/>
      </c>
    </row>
    <row r="4847" spans="2:21" ht="17.25">
      <c r="B4847" s="156"/>
      <c r="C4847" s="156"/>
      <c r="D4847" s="157"/>
      <c r="E4847" s="155"/>
      <c r="F4847" s="151"/>
      <c r="G4847" s="152"/>
      <c r="H4847" s="153"/>
      <c r="I4847" s="154"/>
      <c r="J4847" s="154"/>
      <c r="K4847" s="30" t="str">
        <f>IF(H4847="","",IF($C$30="간이법","",FPR(H4847,I4847,J4847)))</f>
        <v/>
      </c>
      <c r="L4847" s="30" t="str">
        <f>IF(H4847="","",IF($C$30="상세법",FPV(H4847,K4847),IF(H4847="EI",4,IF(H4847="EO",5.2,IF(H4847="EQ",3.9,IF(H4847="ILF",7.5,IF(H4847="EIF",5.4)))))))</f>
        <v/>
      </c>
      <c r="M4847" s="30" t="str">
        <f t="shared" si="520"/>
        <v/>
      </c>
      <c r="N4847" s="134"/>
      <c r="O4847" s="29"/>
      <c r="P4847" s="37" t="str">
        <f t="shared" si="521"/>
        <v/>
      </c>
      <c r="Q4847" s="38" t="str">
        <f t="shared" si="522"/>
        <v/>
      </c>
      <c r="R4847" s="37" t="str">
        <f t="shared" si="523"/>
        <v/>
      </c>
      <c r="S4847" s="37" t="str">
        <f t="shared" si="524"/>
        <v/>
      </c>
      <c r="T4847" s="38" t="str">
        <f t="shared" si="525"/>
        <v/>
      </c>
      <c r="U4847" s="37" t="str">
        <f t="shared" si="526"/>
        <v/>
      </c>
    </row>
    <row r="4848" spans="2:21" ht="17.25">
      <c r="B4848" s="156"/>
      <c r="C4848" s="156"/>
      <c r="D4848" s="157"/>
      <c r="E4848" s="155"/>
      <c r="F4848" s="151"/>
      <c r="G4848" s="152"/>
      <c r="H4848" s="153"/>
      <c r="I4848" s="154"/>
      <c r="J4848" s="154"/>
      <c r="K4848" s="30" t="str">
        <f>IF(H4848="","",IF($C$30="간이법","",FPR(H4848,I4848,J4848)))</f>
        <v/>
      </c>
      <c r="L4848" s="30" t="str">
        <f>IF(H4848="","",IF($C$30="상세법",FPV(H4848,K4848),IF(H4848="EI",4,IF(H4848="EO",5.2,IF(H4848="EQ",3.9,IF(H4848="ILF",7.5,IF(H4848="EIF",5.4)))))))</f>
        <v/>
      </c>
      <c r="M4848" s="30" t="str">
        <f t="shared" si="520"/>
        <v/>
      </c>
      <c r="N4848" s="134"/>
      <c r="O4848" s="29"/>
      <c r="P4848" s="37" t="str">
        <f t="shared" si="521"/>
        <v/>
      </c>
      <c r="Q4848" s="38" t="str">
        <f t="shared" si="522"/>
        <v/>
      </c>
      <c r="R4848" s="37" t="str">
        <f t="shared" si="523"/>
        <v/>
      </c>
      <c r="S4848" s="37" t="str">
        <f t="shared" si="524"/>
        <v/>
      </c>
      <c r="T4848" s="38" t="str">
        <f t="shared" si="525"/>
        <v/>
      </c>
      <c r="U4848" s="37" t="str">
        <f t="shared" si="526"/>
        <v/>
      </c>
    </row>
    <row r="4849" spans="2:21" ht="17.25">
      <c r="B4849" s="156"/>
      <c r="C4849" s="156"/>
      <c r="D4849" s="157"/>
      <c r="E4849" s="155"/>
      <c r="F4849" s="151"/>
      <c r="G4849" s="152"/>
      <c r="H4849" s="153"/>
      <c r="I4849" s="154"/>
      <c r="J4849" s="154"/>
      <c r="K4849" s="30" t="str">
        <f>IF(H4849="","",IF($C$30="간이법","",FPR(H4849,I4849,J4849)))</f>
        <v/>
      </c>
      <c r="L4849" s="30" t="str">
        <f>IF(H4849="","",IF($C$30="상세법",FPV(H4849,K4849),IF(H4849="EI",4,IF(H4849="EO",5.2,IF(H4849="EQ",3.9,IF(H4849="ILF",7.5,IF(H4849="EIF",5.4)))))))</f>
        <v/>
      </c>
      <c r="M4849" s="30" t="str">
        <f t="shared" si="520"/>
        <v/>
      </c>
      <c r="N4849" s="134"/>
      <c r="O4849" s="29"/>
      <c r="P4849" s="37" t="str">
        <f t="shared" si="521"/>
        <v/>
      </c>
      <c r="Q4849" s="38" t="str">
        <f t="shared" si="522"/>
        <v/>
      </c>
      <c r="R4849" s="37" t="str">
        <f t="shared" si="523"/>
        <v/>
      </c>
      <c r="S4849" s="37" t="str">
        <f t="shared" si="524"/>
        <v/>
      </c>
      <c r="T4849" s="38" t="str">
        <f t="shared" si="525"/>
        <v/>
      </c>
      <c r="U4849" s="37" t="str">
        <f t="shared" si="526"/>
        <v/>
      </c>
    </row>
    <row r="4850" spans="2:21" ht="17.25">
      <c r="B4850" s="156"/>
      <c r="C4850" s="156"/>
      <c r="D4850" s="157"/>
      <c r="E4850" s="155"/>
      <c r="F4850" s="151"/>
      <c r="G4850" s="152"/>
      <c r="H4850" s="153"/>
      <c r="I4850" s="154"/>
      <c r="J4850" s="154"/>
      <c r="K4850" s="30" t="str">
        <f>IF(H4850="","",IF($C$30="간이법","",FPR(H4850,I4850,J4850)))</f>
        <v/>
      </c>
      <c r="L4850" s="30" t="str">
        <f>IF(H4850="","",IF($C$30="상세법",FPV(H4850,K4850),IF(H4850="EI",4,IF(H4850="EO",5.2,IF(H4850="EQ",3.9,IF(H4850="ILF",7.5,IF(H4850="EIF",5.4)))))))</f>
        <v/>
      </c>
      <c r="M4850" s="30" t="str">
        <f t="shared" si="520"/>
        <v/>
      </c>
      <c r="N4850" s="134"/>
      <c r="O4850" s="29"/>
      <c r="P4850" s="37" t="str">
        <f t="shared" si="521"/>
        <v/>
      </c>
      <c r="Q4850" s="38" t="str">
        <f t="shared" si="522"/>
        <v/>
      </c>
      <c r="R4850" s="37" t="str">
        <f t="shared" si="523"/>
        <v/>
      </c>
      <c r="S4850" s="37" t="str">
        <f t="shared" si="524"/>
        <v/>
      </c>
      <c r="T4850" s="38" t="str">
        <f t="shared" si="525"/>
        <v/>
      </c>
      <c r="U4850" s="37" t="str">
        <f t="shared" si="526"/>
        <v/>
      </c>
    </row>
    <row r="4851" spans="2:21" ht="17.25">
      <c r="B4851" s="156"/>
      <c r="C4851" s="156"/>
      <c r="D4851" s="157"/>
      <c r="E4851" s="155"/>
      <c r="F4851" s="151"/>
      <c r="G4851" s="152"/>
      <c r="H4851" s="153"/>
      <c r="I4851" s="154"/>
      <c r="J4851" s="154"/>
      <c r="K4851" s="30" t="str">
        <f>IF(H4851="","",IF($C$30="간이법","",FPR(H4851,I4851,J4851)))</f>
        <v/>
      </c>
      <c r="L4851" s="30" t="str">
        <f>IF(H4851="","",IF($C$30="상세법",FPV(H4851,K4851),IF(H4851="EI",4,IF(H4851="EO",5.2,IF(H4851="EQ",3.9,IF(H4851="ILF",7.5,IF(H4851="EIF",5.4)))))))</f>
        <v/>
      </c>
      <c r="M4851" s="30" t="str">
        <f t="shared" si="520"/>
        <v/>
      </c>
      <c r="N4851" s="134"/>
      <c r="O4851" s="29"/>
      <c r="P4851" s="37" t="str">
        <f t="shared" si="521"/>
        <v/>
      </c>
      <c r="Q4851" s="38" t="str">
        <f t="shared" si="522"/>
        <v/>
      </c>
      <c r="R4851" s="37" t="str">
        <f t="shared" si="523"/>
        <v/>
      </c>
      <c r="S4851" s="37" t="str">
        <f t="shared" si="524"/>
        <v/>
      </c>
      <c r="T4851" s="38" t="str">
        <f t="shared" si="525"/>
        <v/>
      </c>
      <c r="U4851" s="37" t="str">
        <f t="shared" si="526"/>
        <v/>
      </c>
    </row>
    <row r="4852" spans="2:21" ht="17.25">
      <c r="B4852" s="156"/>
      <c r="C4852" s="156"/>
      <c r="D4852" s="157"/>
      <c r="E4852" s="155"/>
      <c r="F4852" s="151"/>
      <c r="G4852" s="152"/>
      <c r="H4852" s="153"/>
      <c r="I4852" s="154"/>
      <c r="J4852" s="154"/>
      <c r="K4852" s="30" t="str">
        <f>IF(H4852="","",IF($C$30="간이법","",FPR(H4852,I4852,J4852)))</f>
        <v/>
      </c>
      <c r="L4852" s="30" t="str">
        <f>IF(H4852="","",IF($C$30="상세법",FPV(H4852,K4852),IF(H4852="EI",4,IF(H4852="EO",5.2,IF(H4852="EQ",3.9,IF(H4852="ILF",7.5,IF(H4852="EIF",5.4)))))))</f>
        <v/>
      </c>
      <c r="M4852" s="30" t="str">
        <f t="shared" si="520"/>
        <v/>
      </c>
      <c r="N4852" s="134"/>
      <c r="O4852" s="29"/>
      <c r="P4852" s="37" t="str">
        <f t="shared" si="521"/>
        <v/>
      </c>
      <c r="Q4852" s="38" t="str">
        <f t="shared" si="522"/>
        <v/>
      </c>
      <c r="R4852" s="37" t="str">
        <f t="shared" si="523"/>
        <v/>
      </c>
      <c r="S4852" s="37" t="str">
        <f t="shared" si="524"/>
        <v/>
      </c>
      <c r="T4852" s="38" t="str">
        <f t="shared" si="525"/>
        <v/>
      </c>
      <c r="U4852" s="37" t="str">
        <f t="shared" si="526"/>
        <v/>
      </c>
    </row>
    <row r="4853" spans="2:21" ht="17.25">
      <c r="B4853" s="156"/>
      <c r="C4853" s="156"/>
      <c r="D4853" s="157"/>
      <c r="E4853" s="155"/>
      <c r="F4853" s="151"/>
      <c r="G4853" s="152"/>
      <c r="H4853" s="153"/>
      <c r="I4853" s="154"/>
      <c r="J4853" s="154"/>
      <c r="K4853" s="30" t="str">
        <f>IF(H4853="","",IF($C$30="간이법","",FPR(H4853,I4853,J4853)))</f>
        <v/>
      </c>
      <c r="L4853" s="30" t="str">
        <f>IF(H4853="","",IF($C$30="상세법",FPV(H4853,K4853),IF(H4853="EI",4,IF(H4853="EO",5.2,IF(H4853="EQ",3.9,IF(H4853="ILF",7.5,IF(H4853="EIF",5.4)))))))</f>
        <v/>
      </c>
      <c r="M4853" s="30" t="str">
        <f t="shared" si="520"/>
        <v/>
      </c>
      <c r="N4853" s="134"/>
      <c r="O4853" s="29"/>
      <c r="P4853" s="37" t="str">
        <f t="shared" si="521"/>
        <v/>
      </c>
      <c r="Q4853" s="38" t="str">
        <f t="shared" si="522"/>
        <v/>
      </c>
      <c r="R4853" s="37" t="str">
        <f t="shared" si="523"/>
        <v/>
      </c>
      <c r="S4853" s="37" t="str">
        <f t="shared" si="524"/>
        <v/>
      </c>
      <c r="T4853" s="38" t="str">
        <f t="shared" si="525"/>
        <v/>
      </c>
      <c r="U4853" s="37" t="str">
        <f t="shared" si="526"/>
        <v/>
      </c>
    </row>
    <row r="4854" spans="2:21" ht="17.25">
      <c r="B4854" s="156"/>
      <c r="C4854" s="156"/>
      <c r="D4854" s="157"/>
      <c r="E4854" s="155"/>
      <c r="F4854" s="151"/>
      <c r="G4854" s="152"/>
      <c r="H4854" s="153"/>
      <c r="I4854" s="154"/>
      <c r="J4854" s="154"/>
      <c r="K4854" s="30" t="str">
        <f>IF(H4854="","",IF($C$30="간이법","",FPR(H4854,I4854,J4854)))</f>
        <v/>
      </c>
      <c r="L4854" s="30" t="str">
        <f>IF(H4854="","",IF($C$30="상세법",FPV(H4854,K4854),IF(H4854="EI",4,IF(H4854="EO",5.2,IF(H4854="EQ",3.9,IF(H4854="ILF",7.5,IF(H4854="EIF",5.4)))))))</f>
        <v/>
      </c>
      <c r="M4854" s="30" t="str">
        <f t="shared" si="520"/>
        <v/>
      </c>
      <c r="N4854" s="134"/>
      <c r="O4854" s="29"/>
      <c r="P4854" s="37" t="str">
        <f t="shared" si="521"/>
        <v/>
      </c>
      <c r="Q4854" s="38" t="str">
        <f t="shared" si="522"/>
        <v/>
      </c>
      <c r="R4854" s="37" t="str">
        <f t="shared" si="523"/>
        <v/>
      </c>
      <c r="S4854" s="37" t="str">
        <f t="shared" si="524"/>
        <v/>
      </c>
      <c r="T4854" s="38" t="str">
        <f t="shared" si="525"/>
        <v/>
      </c>
      <c r="U4854" s="37" t="str">
        <f t="shared" si="526"/>
        <v/>
      </c>
    </row>
    <row r="4855" spans="2:21" ht="17.25">
      <c r="B4855" s="156"/>
      <c r="C4855" s="156"/>
      <c r="D4855" s="157"/>
      <c r="E4855" s="155"/>
      <c r="F4855" s="151"/>
      <c r="G4855" s="152"/>
      <c r="H4855" s="153"/>
      <c r="I4855" s="154"/>
      <c r="J4855" s="154"/>
      <c r="K4855" s="30" t="str">
        <f>IF(H4855="","",IF($C$30="간이법","",FPR(H4855,I4855,J4855)))</f>
        <v/>
      </c>
      <c r="L4855" s="30" t="str">
        <f>IF(H4855="","",IF($C$30="상세법",FPV(H4855,K4855),IF(H4855="EI",4,IF(H4855="EO",5.2,IF(H4855="EQ",3.9,IF(H4855="ILF",7.5,IF(H4855="EIF",5.4)))))))</f>
        <v/>
      </c>
      <c r="M4855" s="30" t="str">
        <f t="shared" si="520"/>
        <v/>
      </c>
      <c r="N4855" s="134"/>
      <c r="O4855" s="29"/>
      <c r="P4855" s="37" t="str">
        <f t="shared" si="521"/>
        <v/>
      </c>
      <c r="Q4855" s="38" t="str">
        <f t="shared" si="522"/>
        <v/>
      </c>
      <c r="R4855" s="37" t="str">
        <f t="shared" si="523"/>
        <v/>
      </c>
      <c r="S4855" s="37" t="str">
        <f t="shared" si="524"/>
        <v/>
      </c>
      <c r="T4855" s="38" t="str">
        <f t="shared" si="525"/>
        <v/>
      </c>
      <c r="U4855" s="37" t="str">
        <f t="shared" si="526"/>
        <v/>
      </c>
    </row>
    <row r="4856" spans="2:21" ht="17.25">
      <c r="B4856" s="156"/>
      <c r="C4856" s="156"/>
      <c r="D4856" s="157"/>
      <c r="E4856" s="155"/>
      <c r="F4856" s="151"/>
      <c r="G4856" s="152"/>
      <c r="H4856" s="153"/>
      <c r="I4856" s="154"/>
      <c r="J4856" s="154"/>
      <c r="K4856" s="30" t="str">
        <f>IF(H4856="","",IF($C$30="간이법","",FPR(H4856,I4856,J4856)))</f>
        <v/>
      </c>
      <c r="L4856" s="30" t="str">
        <f>IF(H4856="","",IF($C$30="상세법",FPV(H4856,K4856),IF(H4856="EI",4,IF(H4856="EO",5.2,IF(H4856="EQ",3.9,IF(H4856="ILF",7.5,IF(H4856="EIF",5.4)))))))</f>
        <v/>
      </c>
      <c r="M4856" s="30" t="str">
        <f t="shared" si="520"/>
        <v/>
      </c>
      <c r="N4856" s="134"/>
      <c r="O4856" s="29"/>
      <c r="P4856" s="37" t="str">
        <f t="shared" si="521"/>
        <v/>
      </c>
      <c r="Q4856" s="38" t="str">
        <f t="shared" si="522"/>
        <v/>
      </c>
      <c r="R4856" s="37" t="str">
        <f t="shared" si="523"/>
        <v/>
      </c>
      <c r="S4856" s="37" t="str">
        <f t="shared" si="524"/>
        <v/>
      </c>
      <c r="T4856" s="38" t="str">
        <f t="shared" si="525"/>
        <v/>
      </c>
      <c r="U4856" s="37" t="str">
        <f t="shared" si="526"/>
        <v/>
      </c>
    </row>
    <row r="4857" spans="2:21" ht="17.25">
      <c r="B4857" s="156"/>
      <c r="C4857" s="156"/>
      <c r="D4857" s="157"/>
      <c r="E4857" s="155"/>
      <c r="F4857" s="151"/>
      <c r="G4857" s="152"/>
      <c r="H4857" s="153"/>
      <c r="I4857" s="154"/>
      <c r="J4857" s="154"/>
      <c r="K4857" s="30" t="str">
        <f>IF(H4857="","",IF($C$30="간이법","",FPR(H4857,I4857,J4857)))</f>
        <v/>
      </c>
      <c r="L4857" s="30" t="str">
        <f>IF(H4857="","",IF($C$30="상세법",FPV(H4857,K4857),IF(H4857="EI",4,IF(H4857="EO",5.2,IF(H4857="EQ",3.9,IF(H4857="ILF",7.5,IF(H4857="EIF",5.4)))))))</f>
        <v/>
      </c>
      <c r="M4857" s="30" t="str">
        <f t="shared" si="520"/>
        <v/>
      </c>
      <c r="N4857" s="134"/>
      <c r="O4857" s="29"/>
      <c r="P4857" s="37" t="str">
        <f t="shared" si="521"/>
        <v/>
      </c>
      <c r="Q4857" s="38" t="str">
        <f t="shared" si="522"/>
        <v/>
      </c>
      <c r="R4857" s="37" t="str">
        <f t="shared" si="523"/>
        <v/>
      </c>
      <c r="S4857" s="37" t="str">
        <f t="shared" si="524"/>
        <v/>
      </c>
      <c r="T4857" s="38" t="str">
        <f t="shared" si="525"/>
        <v/>
      </c>
      <c r="U4857" s="37" t="str">
        <f t="shared" si="526"/>
        <v/>
      </c>
    </row>
    <row r="4858" spans="2:21" ht="17.25">
      <c r="B4858" s="156"/>
      <c r="C4858" s="156"/>
      <c r="D4858" s="157"/>
      <c r="E4858" s="155"/>
      <c r="F4858" s="151"/>
      <c r="G4858" s="152"/>
      <c r="H4858" s="153"/>
      <c r="I4858" s="154"/>
      <c r="J4858" s="154"/>
      <c r="K4858" s="30" t="str">
        <f>IF(H4858="","",IF($C$30="간이법","",FPR(H4858,I4858,J4858)))</f>
        <v/>
      </c>
      <c r="L4858" s="30" t="str">
        <f>IF(H4858="","",IF($C$30="상세법",FPV(H4858,K4858),IF(H4858="EI",4,IF(H4858="EO",5.2,IF(H4858="EQ",3.9,IF(H4858="ILF",7.5,IF(H4858="EIF",5.4)))))))</f>
        <v/>
      </c>
      <c r="M4858" s="30" t="str">
        <f t="shared" si="520"/>
        <v/>
      </c>
      <c r="N4858" s="134"/>
      <c r="O4858" s="29"/>
      <c r="P4858" s="37" t="str">
        <f t="shared" si="521"/>
        <v/>
      </c>
      <c r="Q4858" s="38" t="str">
        <f t="shared" si="522"/>
        <v/>
      </c>
      <c r="R4858" s="37" t="str">
        <f t="shared" si="523"/>
        <v/>
      </c>
      <c r="S4858" s="37" t="str">
        <f t="shared" si="524"/>
        <v/>
      </c>
      <c r="T4858" s="38" t="str">
        <f t="shared" si="525"/>
        <v/>
      </c>
      <c r="U4858" s="37" t="str">
        <f t="shared" si="526"/>
        <v/>
      </c>
    </row>
    <row r="4859" spans="2:21" ht="17.25">
      <c r="B4859" s="156"/>
      <c r="C4859" s="156"/>
      <c r="D4859" s="157"/>
      <c r="E4859" s="155"/>
      <c r="F4859" s="151"/>
      <c r="G4859" s="152"/>
      <c r="H4859" s="153"/>
      <c r="I4859" s="154"/>
      <c r="J4859" s="154"/>
      <c r="K4859" s="30" t="str">
        <f>IF(H4859="","",IF($C$30="간이법","",FPR(H4859,I4859,J4859)))</f>
        <v/>
      </c>
      <c r="L4859" s="30" t="str">
        <f>IF(H4859="","",IF($C$30="상세법",FPV(H4859,K4859),IF(H4859="EI",4,IF(H4859="EO",5.2,IF(H4859="EQ",3.9,IF(H4859="ILF",7.5,IF(H4859="EIF",5.4)))))))</f>
        <v/>
      </c>
      <c r="M4859" s="30" t="str">
        <f t="shared" si="520"/>
        <v/>
      </c>
      <c r="N4859" s="134"/>
      <c r="O4859" s="29"/>
      <c r="P4859" s="37" t="str">
        <f t="shared" si="521"/>
        <v/>
      </c>
      <c r="Q4859" s="38" t="str">
        <f t="shared" si="522"/>
        <v/>
      </c>
      <c r="R4859" s="37" t="str">
        <f t="shared" si="523"/>
        <v/>
      </c>
      <c r="S4859" s="37" t="str">
        <f t="shared" si="524"/>
        <v/>
      </c>
      <c r="T4859" s="38" t="str">
        <f t="shared" si="525"/>
        <v/>
      </c>
      <c r="U4859" s="37" t="str">
        <f t="shared" si="526"/>
        <v/>
      </c>
    </row>
    <row r="4860" spans="2:21" ht="17.25">
      <c r="B4860" s="156"/>
      <c r="C4860" s="156"/>
      <c r="D4860" s="157"/>
      <c r="E4860" s="155"/>
      <c r="F4860" s="151"/>
      <c r="G4860" s="152"/>
      <c r="H4860" s="153"/>
      <c r="I4860" s="154"/>
      <c r="J4860" s="154"/>
      <c r="K4860" s="30" t="str">
        <f>IF(H4860="","",IF($C$30="간이법","",FPR(H4860,I4860,J4860)))</f>
        <v/>
      </c>
      <c r="L4860" s="30" t="str">
        <f>IF(H4860="","",IF($C$30="상세법",FPV(H4860,K4860),IF(H4860="EI",4,IF(H4860="EO",5.2,IF(H4860="EQ",3.9,IF(H4860="ILF",7.5,IF(H4860="EIF",5.4)))))))</f>
        <v/>
      </c>
      <c r="M4860" s="30" t="str">
        <f t="shared" ref="M4860:M4923" si="527">IF(OR(G4860="",$E$36="(선택)",$E$40="(선택)",$E$41="(선택)",F4860="신규 개발",F4860="수정 없이 재사용"),"",(IF(F4860="수정 후 재사용",IF($E$50&lt;=0.5,L4860*($E$36+$E$50*100*(1+0.02*($E$40*$E$41)))/100,L4860*($E$36+$E$50*100+($E$40*$E$41))/100))))</f>
        <v/>
      </c>
      <c r="N4860" s="134"/>
      <c r="O4860" s="29"/>
      <c r="P4860" s="37" t="str">
        <f t="shared" ref="P4860:P4923" si="528">IF(F4860="수정 후 재사용",IF(H4860="ILF",G4860,IF(H4860="EIF",G4860,"")),"")</f>
        <v/>
      </c>
      <c r="Q4860" s="38" t="str">
        <f t="shared" ref="Q4860:Q4923" si="529">IF(P4860&lt;&gt;"",IF(H4860="ILF", L4860/$E$46,IF(H4860="EIF", L4860/$E$46,"")),"")</f>
        <v/>
      </c>
      <c r="R4860" s="37" t="str">
        <f t="shared" ref="R4860:R4923" si="530">IF(P4860&lt;&gt;"",P4860*Q4860,"")</f>
        <v/>
      </c>
      <c r="S4860" s="37" t="str">
        <f t="shared" ref="S4860:S4923" si="531">IF(F4860="수정 후 재사용",IF(H4860="EI",G4860,IF(H4860="EO",G4860,IF(H4860="EQ",G4860,""))),"")</f>
        <v/>
      </c>
      <c r="T4860" s="38" t="str">
        <f t="shared" ref="T4860:T4923" si="532">IF(S4860&lt;&gt;"",IF(H4860="EI",L4860/$E$47,IF(H4860="EO",L4860/$E$47,IF(H4860="EQ",L4860/$E$47,""))),"")</f>
        <v/>
      </c>
      <c r="U4860" s="37" t="str">
        <f t="shared" ref="U4860:U4923" si="533">IF(S4860&lt;&gt;"",S4860*T4860,"")</f>
        <v/>
      </c>
    </row>
    <row r="4861" spans="2:21" ht="17.25">
      <c r="B4861" s="156"/>
      <c r="C4861" s="156"/>
      <c r="D4861" s="157"/>
      <c r="E4861" s="155"/>
      <c r="F4861" s="151"/>
      <c r="G4861" s="152"/>
      <c r="H4861" s="153"/>
      <c r="I4861" s="154"/>
      <c r="J4861" s="154"/>
      <c r="K4861" s="30" t="str">
        <f>IF(H4861="","",IF($C$30="간이법","",FPR(H4861,I4861,J4861)))</f>
        <v/>
      </c>
      <c r="L4861" s="30" t="str">
        <f>IF(H4861="","",IF($C$30="상세법",FPV(H4861,K4861),IF(H4861="EI",4,IF(H4861="EO",5.2,IF(H4861="EQ",3.9,IF(H4861="ILF",7.5,IF(H4861="EIF",5.4)))))))</f>
        <v/>
      </c>
      <c r="M4861" s="30" t="str">
        <f t="shared" si="527"/>
        <v/>
      </c>
      <c r="N4861" s="134"/>
      <c r="O4861" s="29"/>
      <c r="P4861" s="37" t="str">
        <f t="shared" si="528"/>
        <v/>
      </c>
      <c r="Q4861" s="38" t="str">
        <f t="shared" si="529"/>
        <v/>
      </c>
      <c r="R4861" s="37" t="str">
        <f t="shared" si="530"/>
        <v/>
      </c>
      <c r="S4861" s="37" t="str">
        <f t="shared" si="531"/>
        <v/>
      </c>
      <c r="T4861" s="38" t="str">
        <f t="shared" si="532"/>
        <v/>
      </c>
      <c r="U4861" s="37" t="str">
        <f t="shared" si="533"/>
        <v/>
      </c>
    </row>
    <row r="4862" spans="2:21" ht="17.25">
      <c r="B4862" s="156"/>
      <c r="C4862" s="156"/>
      <c r="D4862" s="157"/>
      <c r="E4862" s="155"/>
      <c r="F4862" s="151"/>
      <c r="G4862" s="152"/>
      <c r="H4862" s="153"/>
      <c r="I4862" s="154"/>
      <c r="J4862" s="154"/>
      <c r="K4862" s="30" t="str">
        <f>IF(H4862="","",IF($C$30="간이법","",FPR(H4862,I4862,J4862)))</f>
        <v/>
      </c>
      <c r="L4862" s="30" t="str">
        <f>IF(H4862="","",IF($C$30="상세법",FPV(H4862,K4862),IF(H4862="EI",4,IF(H4862="EO",5.2,IF(H4862="EQ",3.9,IF(H4862="ILF",7.5,IF(H4862="EIF",5.4)))))))</f>
        <v/>
      </c>
      <c r="M4862" s="30" t="str">
        <f t="shared" si="527"/>
        <v/>
      </c>
      <c r="N4862" s="134"/>
      <c r="O4862" s="29"/>
      <c r="P4862" s="37" t="str">
        <f t="shared" si="528"/>
        <v/>
      </c>
      <c r="Q4862" s="38" t="str">
        <f t="shared" si="529"/>
        <v/>
      </c>
      <c r="R4862" s="37" t="str">
        <f t="shared" si="530"/>
        <v/>
      </c>
      <c r="S4862" s="37" t="str">
        <f t="shared" si="531"/>
        <v/>
      </c>
      <c r="T4862" s="38" t="str">
        <f t="shared" si="532"/>
        <v/>
      </c>
      <c r="U4862" s="37" t="str">
        <f t="shared" si="533"/>
        <v/>
      </c>
    </row>
    <row r="4863" spans="2:21" ht="17.25">
      <c r="B4863" s="156"/>
      <c r="C4863" s="156"/>
      <c r="D4863" s="157"/>
      <c r="E4863" s="155"/>
      <c r="F4863" s="151"/>
      <c r="G4863" s="152"/>
      <c r="H4863" s="153"/>
      <c r="I4863" s="154"/>
      <c r="J4863" s="154"/>
      <c r="K4863" s="30" t="str">
        <f>IF(H4863="","",IF($C$30="간이법","",FPR(H4863,I4863,J4863)))</f>
        <v/>
      </c>
      <c r="L4863" s="30" t="str">
        <f>IF(H4863="","",IF($C$30="상세법",FPV(H4863,K4863),IF(H4863="EI",4,IF(H4863="EO",5.2,IF(H4863="EQ",3.9,IF(H4863="ILF",7.5,IF(H4863="EIF",5.4)))))))</f>
        <v/>
      </c>
      <c r="M4863" s="30" t="str">
        <f t="shared" si="527"/>
        <v/>
      </c>
      <c r="N4863" s="134"/>
      <c r="O4863" s="29"/>
      <c r="P4863" s="37" t="str">
        <f t="shared" si="528"/>
        <v/>
      </c>
      <c r="Q4863" s="38" t="str">
        <f t="shared" si="529"/>
        <v/>
      </c>
      <c r="R4863" s="37" t="str">
        <f t="shared" si="530"/>
        <v/>
      </c>
      <c r="S4863" s="37" t="str">
        <f t="shared" si="531"/>
        <v/>
      </c>
      <c r="T4863" s="38" t="str">
        <f t="shared" si="532"/>
        <v/>
      </c>
      <c r="U4863" s="37" t="str">
        <f t="shared" si="533"/>
        <v/>
      </c>
    </row>
    <row r="4864" spans="2:21" ht="17.25">
      <c r="B4864" s="156"/>
      <c r="C4864" s="156"/>
      <c r="D4864" s="157"/>
      <c r="E4864" s="155"/>
      <c r="F4864" s="151"/>
      <c r="G4864" s="152"/>
      <c r="H4864" s="153"/>
      <c r="I4864" s="154"/>
      <c r="J4864" s="154"/>
      <c r="K4864" s="30" t="str">
        <f>IF(H4864="","",IF($C$30="간이법","",FPR(H4864,I4864,J4864)))</f>
        <v/>
      </c>
      <c r="L4864" s="30" t="str">
        <f>IF(H4864="","",IF($C$30="상세법",FPV(H4864,K4864),IF(H4864="EI",4,IF(H4864="EO",5.2,IF(H4864="EQ",3.9,IF(H4864="ILF",7.5,IF(H4864="EIF",5.4)))))))</f>
        <v/>
      </c>
      <c r="M4864" s="30" t="str">
        <f t="shared" si="527"/>
        <v/>
      </c>
      <c r="N4864" s="134"/>
      <c r="O4864" s="29"/>
      <c r="P4864" s="37" t="str">
        <f t="shared" si="528"/>
        <v/>
      </c>
      <c r="Q4864" s="38" t="str">
        <f t="shared" si="529"/>
        <v/>
      </c>
      <c r="R4864" s="37" t="str">
        <f t="shared" si="530"/>
        <v/>
      </c>
      <c r="S4864" s="37" t="str">
        <f t="shared" si="531"/>
        <v/>
      </c>
      <c r="T4864" s="38" t="str">
        <f t="shared" si="532"/>
        <v/>
      </c>
      <c r="U4864" s="37" t="str">
        <f t="shared" si="533"/>
        <v/>
      </c>
    </row>
    <row r="4865" spans="2:21" ht="17.25">
      <c r="B4865" s="156"/>
      <c r="C4865" s="156"/>
      <c r="D4865" s="157"/>
      <c r="E4865" s="155"/>
      <c r="F4865" s="151"/>
      <c r="G4865" s="152"/>
      <c r="H4865" s="153"/>
      <c r="I4865" s="154"/>
      <c r="J4865" s="154"/>
      <c r="K4865" s="30" t="str">
        <f>IF(H4865="","",IF($C$30="간이법","",FPR(H4865,I4865,J4865)))</f>
        <v/>
      </c>
      <c r="L4865" s="30" t="str">
        <f>IF(H4865="","",IF($C$30="상세법",FPV(H4865,K4865),IF(H4865="EI",4,IF(H4865="EO",5.2,IF(H4865="EQ",3.9,IF(H4865="ILF",7.5,IF(H4865="EIF",5.4)))))))</f>
        <v/>
      </c>
      <c r="M4865" s="30" t="str">
        <f t="shared" si="527"/>
        <v/>
      </c>
      <c r="N4865" s="134"/>
      <c r="O4865" s="29"/>
      <c r="P4865" s="37" t="str">
        <f t="shared" si="528"/>
        <v/>
      </c>
      <c r="Q4865" s="38" t="str">
        <f t="shared" si="529"/>
        <v/>
      </c>
      <c r="R4865" s="37" t="str">
        <f t="shared" si="530"/>
        <v/>
      </c>
      <c r="S4865" s="37" t="str">
        <f t="shared" si="531"/>
        <v/>
      </c>
      <c r="T4865" s="38" t="str">
        <f t="shared" si="532"/>
        <v/>
      </c>
      <c r="U4865" s="37" t="str">
        <f t="shared" si="533"/>
        <v/>
      </c>
    </row>
    <row r="4866" spans="2:21" ht="17.25">
      <c r="B4866" s="156"/>
      <c r="C4866" s="156"/>
      <c r="D4866" s="157"/>
      <c r="E4866" s="155"/>
      <c r="F4866" s="151"/>
      <c r="G4866" s="152"/>
      <c r="H4866" s="153"/>
      <c r="I4866" s="154"/>
      <c r="J4866" s="154"/>
      <c r="K4866" s="30" t="str">
        <f>IF(H4866="","",IF($C$30="간이법","",FPR(H4866,I4866,J4866)))</f>
        <v/>
      </c>
      <c r="L4866" s="30" t="str">
        <f>IF(H4866="","",IF($C$30="상세법",FPV(H4866,K4866),IF(H4866="EI",4,IF(H4866="EO",5.2,IF(H4866="EQ",3.9,IF(H4866="ILF",7.5,IF(H4866="EIF",5.4)))))))</f>
        <v/>
      </c>
      <c r="M4866" s="30" t="str">
        <f t="shared" si="527"/>
        <v/>
      </c>
      <c r="N4866" s="134"/>
      <c r="O4866" s="29"/>
      <c r="P4866" s="37" t="str">
        <f t="shared" si="528"/>
        <v/>
      </c>
      <c r="Q4866" s="38" t="str">
        <f t="shared" si="529"/>
        <v/>
      </c>
      <c r="R4866" s="37" t="str">
        <f t="shared" si="530"/>
        <v/>
      </c>
      <c r="S4866" s="37" t="str">
        <f t="shared" si="531"/>
        <v/>
      </c>
      <c r="T4866" s="38" t="str">
        <f t="shared" si="532"/>
        <v/>
      </c>
      <c r="U4866" s="37" t="str">
        <f t="shared" si="533"/>
        <v/>
      </c>
    </row>
    <row r="4867" spans="2:21" ht="17.25">
      <c r="B4867" s="156"/>
      <c r="C4867" s="156"/>
      <c r="D4867" s="157"/>
      <c r="E4867" s="155"/>
      <c r="F4867" s="151"/>
      <c r="G4867" s="152"/>
      <c r="H4867" s="153"/>
      <c r="I4867" s="154"/>
      <c r="J4867" s="154"/>
      <c r="K4867" s="30" t="str">
        <f>IF(H4867="","",IF($C$30="간이법","",FPR(H4867,I4867,J4867)))</f>
        <v/>
      </c>
      <c r="L4867" s="30" t="str">
        <f>IF(H4867="","",IF($C$30="상세법",FPV(H4867,K4867),IF(H4867="EI",4,IF(H4867="EO",5.2,IF(H4867="EQ",3.9,IF(H4867="ILF",7.5,IF(H4867="EIF",5.4)))))))</f>
        <v/>
      </c>
      <c r="M4867" s="30" t="str">
        <f t="shared" si="527"/>
        <v/>
      </c>
      <c r="N4867" s="134"/>
      <c r="O4867" s="29"/>
      <c r="P4867" s="37" t="str">
        <f t="shared" si="528"/>
        <v/>
      </c>
      <c r="Q4867" s="38" t="str">
        <f t="shared" si="529"/>
        <v/>
      </c>
      <c r="R4867" s="37" t="str">
        <f t="shared" si="530"/>
        <v/>
      </c>
      <c r="S4867" s="37" t="str">
        <f t="shared" si="531"/>
        <v/>
      </c>
      <c r="T4867" s="38" t="str">
        <f t="shared" si="532"/>
        <v/>
      </c>
      <c r="U4867" s="37" t="str">
        <f t="shared" si="533"/>
        <v/>
      </c>
    </row>
    <row r="4868" spans="2:21" ht="17.25">
      <c r="B4868" s="156"/>
      <c r="C4868" s="156"/>
      <c r="D4868" s="157"/>
      <c r="E4868" s="155"/>
      <c r="F4868" s="151"/>
      <c r="G4868" s="152"/>
      <c r="H4868" s="153"/>
      <c r="I4868" s="154"/>
      <c r="J4868" s="154"/>
      <c r="K4868" s="30" t="str">
        <f>IF(H4868="","",IF($C$30="간이법","",FPR(H4868,I4868,J4868)))</f>
        <v/>
      </c>
      <c r="L4868" s="30" t="str">
        <f>IF(H4868="","",IF($C$30="상세법",FPV(H4868,K4868),IF(H4868="EI",4,IF(H4868="EO",5.2,IF(H4868="EQ",3.9,IF(H4868="ILF",7.5,IF(H4868="EIF",5.4)))))))</f>
        <v/>
      </c>
      <c r="M4868" s="30" t="str">
        <f t="shared" si="527"/>
        <v/>
      </c>
      <c r="N4868" s="134"/>
      <c r="O4868" s="29"/>
      <c r="P4868" s="37" t="str">
        <f t="shared" si="528"/>
        <v/>
      </c>
      <c r="Q4868" s="38" t="str">
        <f t="shared" si="529"/>
        <v/>
      </c>
      <c r="R4868" s="37" t="str">
        <f t="shared" si="530"/>
        <v/>
      </c>
      <c r="S4868" s="37" t="str">
        <f t="shared" si="531"/>
        <v/>
      </c>
      <c r="T4868" s="38" t="str">
        <f t="shared" si="532"/>
        <v/>
      </c>
      <c r="U4868" s="37" t="str">
        <f t="shared" si="533"/>
        <v/>
      </c>
    </row>
    <row r="4869" spans="2:21" ht="17.25">
      <c r="B4869" s="156"/>
      <c r="C4869" s="156"/>
      <c r="D4869" s="157"/>
      <c r="E4869" s="155"/>
      <c r="F4869" s="151"/>
      <c r="G4869" s="152"/>
      <c r="H4869" s="153"/>
      <c r="I4869" s="154"/>
      <c r="J4869" s="154"/>
      <c r="K4869" s="30" t="str">
        <f>IF(H4869="","",IF($C$30="간이법","",FPR(H4869,I4869,J4869)))</f>
        <v/>
      </c>
      <c r="L4869" s="30" t="str">
        <f>IF(H4869="","",IF($C$30="상세법",FPV(H4869,K4869),IF(H4869="EI",4,IF(H4869="EO",5.2,IF(H4869="EQ",3.9,IF(H4869="ILF",7.5,IF(H4869="EIF",5.4)))))))</f>
        <v/>
      </c>
      <c r="M4869" s="30" t="str">
        <f t="shared" si="527"/>
        <v/>
      </c>
      <c r="N4869" s="134"/>
      <c r="O4869" s="29"/>
      <c r="P4869" s="37" t="str">
        <f t="shared" si="528"/>
        <v/>
      </c>
      <c r="Q4869" s="38" t="str">
        <f t="shared" si="529"/>
        <v/>
      </c>
      <c r="R4869" s="37" t="str">
        <f t="shared" si="530"/>
        <v/>
      </c>
      <c r="S4869" s="37" t="str">
        <f t="shared" si="531"/>
        <v/>
      </c>
      <c r="T4869" s="38" t="str">
        <f t="shared" si="532"/>
        <v/>
      </c>
      <c r="U4869" s="37" t="str">
        <f t="shared" si="533"/>
        <v/>
      </c>
    </row>
    <row r="4870" spans="2:21" ht="17.25">
      <c r="B4870" s="156"/>
      <c r="C4870" s="156"/>
      <c r="D4870" s="157"/>
      <c r="E4870" s="155"/>
      <c r="F4870" s="151"/>
      <c r="G4870" s="152"/>
      <c r="H4870" s="153"/>
      <c r="I4870" s="154"/>
      <c r="J4870" s="154"/>
      <c r="K4870" s="30" t="str">
        <f>IF(H4870="","",IF($C$30="간이법","",FPR(H4870,I4870,J4870)))</f>
        <v/>
      </c>
      <c r="L4870" s="30" t="str">
        <f>IF(H4870="","",IF($C$30="상세법",FPV(H4870,K4870),IF(H4870="EI",4,IF(H4870="EO",5.2,IF(H4870="EQ",3.9,IF(H4870="ILF",7.5,IF(H4870="EIF",5.4)))))))</f>
        <v/>
      </c>
      <c r="M4870" s="30" t="str">
        <f t="shared" si="527"/>
        <v/>
      </c>
      <c r="N4870" s="134"/>
      <c r="O4870" s="29"/>
      <c r="P4870" s="37" t="str">
        <f t="shared" si="528"/>
        <v/>
      </c>
      <c r="Q4870" s="38" t="str">
        <f t="shared" si="529"/>
        <v/>
      </c>
      <c r="R4870" s="37" t="str">
        <f t="shared" si="530"/>
        <v/>
      </c>
      <c r="S4870" s="37" t="str">
        <f t="shared" si="531"/>
        <v/>
      </c>
      <c r="T4870" s="38" t="str">
        <f t="shared" si="532"/>
        <v/>
      </c>
      <c r="U4870" s="37" t="str">
        <f t="shared" si="533"/>
        <v/>
      </c>
    </row>
    <row r="4871" spans="2:21" ht="17.25">
      <c r="B4871" s="156"/>
      <c r="C4871" s="156"/>
      <c r="D4871" s="157"/>
      <c r="E4871" s="155"/>
      <c r="F4871" s="151"/>
      <c r="G4871" s="152"/>
      <c r="H4871" s="153"/>
      <c r="I4871" s="154"/>
      <c r="J4871" s="154"/>
      <c r="K4871" s="30" t="str">
        <f>IF(H4871="","",IF($C$30="간이법","",FPR(H4871,I4871,J4871)))</f>
        <v/>
      </c>
      <c r="L4871" s="30" t="str">
        <f>IF(H4871="","",IF($C$30="상세법",FPV(H4871,K4871),IF(H4871="EI",4,IF(H4871="EO",5.2,IF(H4871="EQ",3.9,IF(H4871="ILF",7.5,IF(H4871="EIF",5.4)))))))</f>
        <v/>
      </c>
      <c r="M4871" s="30" t="str">
        <f t="shared" si="527"/>
        <v/>
      </c>
      <c r="N4871" s="134"/>
      <c r="O4871" s="29"/>
      <c r="P4871" s="37" t="str">
        <f t="shared" si="528"/>
        <v/>
      </c>
      <c r="Q4871" s="38" t="str">
        <f t="shared" si="529"/>
        <v/>
      </c>
      <c r="R4871" s="37" t="str">
        <f t="shared" si="530"/>
        <v/>
      </c>
      <c r="S4871" s="37" t="str">
        <f t="shared" si="531"/>
        <v/>
      </c>
      <c r="T4871" s="38" t="str">
        <f t="shared" si="532"/>
        <v/>
      </c>
      <c r="U4871" s="37" t="str">
        <f t="shared" si="533"/>
        <v/>
      </c>
    </row>
    <row r="4872" spans="2:21" ht="17.25">
      <c r="B4872" s="156"/>
      <c r="C4872" s="156"/>
      <c r="D4872" s="157"/>
      <c r="E4872" s="155"/>
      <c r="F4872" s="151"/>
      <c r="G4872" s="152"/>
      <c r="H4872" s="153"/>
      <c r="I4872" s="154"/>
      <c r="J4872" s="154"/>
      <c r="K4872" s="30" t="str">
        <f>IF(H4872="","",IF($C$30="간이법","",FPR(H4872,I4872,J4872)))</f>
        <v/>
      </c>
      <c r="L4872" s="30" t="str">
        <f>IF(H4872="","",IF($C$30="상세법",FPV(H4872,K4872),IF(H4872="EI",4,IF(H4872="EO",5.2,IF(H4872="EQ",3.9,IF(H4872="ILF",7.5,IF(H4872="EIF",5.4)))))))</f>
        <v/>
      </c>
      <c r="M4872" s="30" t="str">
        <f t="shared" si="527"/>
        <v/>
      </c>
      <c r="N4872" s="134"/>
      <c r="O4872" s="29"/>
      <c r="P4872" s="37" t="str">
        <f t="shared" si="528"/>
        <v/>
      </c>
      <c r="Q4872" s="38" t="str">
        <f t="shared" si="529"/>
        <v/>
      </c>
      <c r="R4872" s="37" t="str">
        <f t="shared" si="530"/>
        <v/>
      </c>
      <c r="S4872" s="37" t="str">
        <f t="shared" si="531"/>
        <v/>
      </c>
      <c r="T4872" s="38" t="str">
        <f t="shared" si="532"/>
        <v/>
      </c>
      <c r="U4872" s="37" t="str">
        <f t="shared" si="533"/>
        <v/>
      </c>
    </row>
    <row r="4873" spans="2:21" ht="17.25">
      <c r="B4873" s="156"/>
      <c r="C4873" s="156"/>
      <c r="D4873" s="157"/>
      <c r="E4873" s="155"/>
      <c r="F4873" s="151"/>
      <c r="G4873" s="152"/>
      <c r="H4873" s="153"/>
      <c r="I4873" s="154"/>
      <c r="J4873" s="154"/>
      <c r="K4873" s="30" t="str">
        <f>IF(H4873="","",IF($C$30="간이법","",FPR(H4873,I4873,J4873)))</f>
        <v/>
      </c>
      <c r="L4873" s="30" t="str">
        <f>IF(H4873="","",IF($C$30="상세법",FPV(H4873,K4873),IF(H4873="EI",4,IF(H4873="EO",5.2,IF(H4873="EQ",3.9,IF(H4873="ILF",7.5,IF(H4873="EIF",5.4)))))))</f>
        <v/>
      </c>
      <c r="M4873" s="30" t="str">
        <f t="shared" si="527"/>
        <v/>
      </c>
      <c r="N4873" s="134"/>
      <c r="O4873" s="29"/>
      <c r="P4873" s="37" t="str">
        <f t="shared" si="528"/>
        <v/>
      </c>
      <c r="Q4873" s="38" t="str">
        <f t="shared" si="529"/>
        <v/>
      </c>
      <c r="R4873" s="37" t="str">
        <f t="shared" si="530"/>
        <v/>
      </c>
      <c r="S4873" s="37" t="str">
        <f t="shared" si="531"/>
        <v/>
      </c>
      <c r="T4873" s="38" t="str">
        <f t="shared" si="532"/>
        <v/>
      </c>
      <c r="U4873" s="37" t="str">
        <f t="shared" si="533"/>
        <v/>
      </c>
    </row>
    <row r="4874" spans="2:21" ht="17.25">
      <c r="B4874" s="156"/>
      <c r="C4874" s="156"/>
      <c r="D4874" s="157"/>
      <c r="E4874" s="155"/>
      <c r="F4874" s="151"/>
      <c r="G4874" s="152"/>
      <c r="H4874" s="153"/>
      <c r="I4874" s="154"/>
      <c r="J4874" s="154"/>
      <c r="K4874" s="30" t="str">
        <f>IF(H4874="","",IF($C$30="간이법","",FPR(H4874,I4874,J4874)))</f>
        <v/>
      </c>
      <c r="L4874" s="30" t="str">
        <f>IF(H4874="","",IF($C$30="상세법",FPV(H4874,K4874),IF(H4874="EI",4,IF(H4874="EO",5.2,IF(H4874="EQ",3.9,IF(H4874="ILF",7.5,IF(H4874="EIF",5.4)))))))</f>
        <v/>
      </c>
      <c r="M4874" s="30" t="str">
        <f t="shared" si="527"/>
        <v/>
      </c>
      <c r="N4874" s="134"/>
      <c r="O4874" s="29"/>
      <c r="P4874" s="37" t="str">
        <f t="shared" si="528"/>
        <v/>
      </c>
      <c r="Q4874" s="38" t="str">
        <f t="shared" si="529"/>
        <v/>
      </c>
      <c r="R4874" s="37" t="str">
        <f t="shared" si="530"/>
        <v/>
      </c>
      <c r="S4874" s="37" t="str">
        <f t="shared" si="531"/>
        <v/>
      </c>
      <c r="T4874" s="38" t="str">
        <f t="shared" si="532"/>
        <v/>
      </c>
      <c r="U4874" s="37" t="str">
        <f t="shared" si="533"/>
        <v/>
      </c>
    </row>
    <row r="4875" spans="2:21" ht="17.25">
      <c r="B4875" s="156"/>
      <c r="C4875" s="156"/>
      <c r="D4875" s="157"/>
      <c r="E4875" s="155"/>
      <c r="F4875" s="151"/>
      <c r="G4875" s="152"/>
      <c r="H4875" s="153"/>
      <c r="I4875" s="154"/>
      <c r="J4875" s="154"/>
      <c r="K4875" s="30" t="str">
        <f>IF(H4875="","",IF($C$30="간이법","",FPR(H4875,I4875,J4875)))</f>
        <v/>
      </c>
      <c r="L4875" s="30" t="str">
        <f>IF(H4875="","",IF($C$30="상세법",FPV(H4875,K4875),IF(H4875="EI",4,IF(H4875="EO",5.2,IF(H4875="EQ",3.9,IF(H4875="ILF",7.5,IF(H4875="EIF",5.4)))))))</f>
        <v/>
      </c>
      <c r="M4875" s="30" t="str">
        <f t="shared" si="527"/>
        <v/>
      </c>
      <c r="N4875" s="134"/>
      <c r="O4875" s="29"/>
      <c r="P4875" s="37" t="str">
        <f t="shared" si="528"/>
        <v/>
      </c>
      <c r="Q4875" s="38" t="str">
        <f t="shared" si="529"/>
        <v/>
      </c>
      <c r="R4875" s="37" t="str">
        <f t="shared" si="530"/>
        <v/>
      </c>
      <c r="S4875" s="37" t="str">
        <f t="shared" si="531"/>
        <v/>
      </c>
      <c r="T4875" s="38" t="str">
        <f t="shared" si="532"/>
        <v/>
      </c>
      <c r="U4875" s="37" t="str">
        <f t="shared" si="533"/>
        <v/>
      </c>
    </row>
    <row r="4876" spans="2:21" ht="17.25">
      <c r="B4876" s="156"/>
      <c r="C4876" s="156"/>
      <c r="D4876" s="157"/>
      <c r="E4876" s="155"/>
      <c r="F4876" s="151"/>
      <c r="G4876" s="152"/>
      <c r="H4876" s="153"/>
      <c r="I4876" s="154"/>
      <c r="J4876" s="154"/>
      <c r="K4876" s="30" t="str">
        <f>IF(H4876="","",IF($C$30="간이법","",FPR(H4876,I4876,J4876)))</f>
        <v/>
      </c>
      <c r="L4876" s="30" t="str">
        <f>IF(H4876="","",IF($C$30="상세법",FPV(H4876,K4876),IF(H4876="EI",4,IF(H4876="EO",5.2,IF(H4876="EQ",3.9,IF(H4876="ILF",7.5,IF(H4876="EIF",5.4)))))))</f>
        <v/>
      </c>
      <c r="M4876" s="30" t="str">
        <f t="shared" si="527"/>
        <v/>
      </c>
      <c r="N4876" s="134"/>
      <c r="O4876" s="29"/>
      <c r="P4876" s="37" t="str">
        <f t="shared" si="528"/>
        <v/>
      </c>
      <c r="Q4876" s="38" t="str">
        <f t="shared" si="529"/>
        <v/>
      </c>
      <c r="R4876" s="37" t="str">
        <f t="shared" si="530"/>
        <v/>
      </c>
      <c r="S4876" s="37" t="str">
        <f t="shared" si="531"/>
        <v/>
      </c>
      <c r="T4876" s="38" t="str">
        <f t="shared" si="532"/>
        <v/>
      </c>
      <c r="U4876" s="37" t="str">
        <f t="shared" si="533"/>
        <v/>
      </c>
    </row>
    <row r="4877" spans="2:21" ht="17.25">
      <c r="B4877" s="156"/>
      <c r="C4877" s="156"/>
      <c r="D4877" s="157"/>
      <c r="E4877" s="155"/>
      <c r="F4877" s="151"/>
      <c r="G4877" s="152"/>
      <c r="H4877" s="153"/>
      <c r="I4877" s="154"/>
      <c r="J4877" s="154"/>
      <c r="K4877" s="30" t="str">
        <f>IF(H4877="","",IF($C$30="간이법","",FPR(H4877,I4877,J4877)))</f>
        <v/>
      </c>
      <c r="L4877" s="30" t="str">
        <f>IF(H4877="","",IF($C$30="상세법",FPV(H4877,K4877),IF(H4877="EI",4,IF(H4877="EO",5.2,IF(H4877="EQ",3.9,IF(H4877="ILF",7.5,IF(H4877="EIF",5.4)))))))</f>
        <v/>
      </c>
      <c r="M4877" s="30" t="str">
        <f t="shared" si="527"/>
        <v/>
      </c>
      <c r="N4877" s="134"/>
      <c r="O4877" s="29"/>
      <c r="P4877" s="37" t="str">
        <f t="shared" si="528"/>
        <v/>
      </c>
      <c r="Q4877" s="38" t="str">
        <f t="shared" si="529"/>
        <v/>
      </c>
      <c r="R4877" s="37" t="str">
        <f t="shared" si="530"/>
        <v/>
      </c>
      <c r="S4877" s="37" t="str">
        <f t="shared" si="531"/>
        <v/>
      </c>
      <c r="T4877" s="38" t="str">
        <f t="shared" si="532"/>
        <v/>
      </c>
      <c r="U4877" s="37" t="str">
        <f t="shared" si="533"/>
        <v/>
      </c>
    </row>
    <row r="4878" spans="2:21" ht="17.25">
      <c r="B4878" s="156"/>
      <c r="C4878" s="156"/>
      <c r="D4878" s="157"/>
      <c r="E4878" s="155"/>
      <c r="F4878" s="151"/>
      <c r="G4878" s="152"/>
      <c r="H4878" s="153"/>
      <c r="I4878" s="154"/>
      <c r="J4878" s="154"/>
      <c r="K4878" s="30" t="str">
        <f>IF(H4878="","",IF($C$30="간이법","",FPR(H4878,I4878,J4878)))</f>
        <v/>
      </c>
      <c r="L4878" s="30" t="str">
        <f>IF(H4878="","",IF($C$30="상세법",FPV(H4878,K4878),IF(H4878="EI",4,IF(H4878="EO",5.2,IF(H4878="EQ",3.9,IF(H4878="ILF",7.5,IF(H4878="EIF",5.4)))))))</f>
        <v/>
      </c>
      <c r="M4878" s="30" t="str">
        <f t="shared" si="527"/>
        <v/>
      </c>
      <c r="N4878" s="134"/>
      <c r="O4878" s="29"/>
      <c r="P4878" s="37" t="str">
        <f t="shared" si="528"/>
        <v/>
      </c>
      <c r="Q4878" s="38" t="str">
        <f t="shared" si="529"/>
        <v/>
      </c>
      <c r="R4878" s="37" t="str">
        <f t="shared" si="530"/>
        <v/>
      </c>
      <c r="S4878" s="37" t="str">
        <f t="shared" si="531"/>
        <v/>
      </c>
      <c r="T4878" s="38" t="str">
        <f t="shared" si="532"/>
        <v/>
      </c>
      <c r="U4878" s="37" t="str">
        <f t="shared" si="533"/>
        <v/>
      </c>
    </row>
    <row r="4879" spans="2:21" ht="17.25">
      <c r="B4879" s="156"/>
      <c r="C4879" s="156"/>
      <c r="D4879" s="157"/>
      <c r="E4879" s="155"/>
      <c r="F4879" s="151"/>
      <c r="G4879" s="152"/>
      <c r="H4879" s="153"/>
      <c r="I4879" s="154"/>
      <c r="J4879" s="154"/>
      <c r="K4879" s="30" t="str">
        <f>IF(H4879="","",IF($C$30="간이법","",FPR(H4879,I4879,J4879)))</f>
        <v/>
      </c>
      <c r="L4879" s="30" t="str">
        <f>IF(H4879="","",IF($C$30="상세법",FPV(H4879,K4879),IF(H4879="EI",4,IF(H4879="EO",5.2,IF(H4879="EQ",3.9,IF(H4879="ILF",7.5,IF(H4879="EIF",5.4)))))))</f>
        <v/>
      </c>
      <c r="M4879" s="30" t="str">
        <f t="shared" si="527"/>
        <v/>
      </c>
      <c r="N4879" s="134"/>
      <c r="O4879" s="29"/>
      <c r="P4879" s="37" t="str">
        <f t="shared" si="528"/>
        <v/>
      </c>
      <c r="Q4879" s="38" t="str">
        <f t="shared" si="529"/>
        <v/>
      </c>
      <c r="R4879" s="37" t="str">
        <f t="shared" si="530"/>
        <v/>
      </c>
      <c r="S4879" s="37" t="str">
        <f t="shared" si="531"/>
        <v/>
      </c>
      <c r="T4879" s="38" t="str">
        <f t="shared" si="532"/>
        <v/>
      </c>
      <c r="U4879" s="37" t="str">
        <f t="shared" si="533"/>
        <v/>
      </c>
    </row>
    <row r="4880" spans="2:21" ht="17.25">
      <c r="B4880" s="156"/>
      <c r="C4880" s="156"/>
      <c r="D4880" s="157"/>
      <c r="E4880" s="155"/>
      <c r="F4880" s="151"/>
      <c r="G4880" s="152"/>
      <c r="H4880" s="153"/>
      <c r="I4880" s="154"/>
      <c r="J4880" s="154"/>
      <c r="K4880" s="30" t="str">
        <f>IF(H4880="","",IF($C$30="간이법","",FPR(H4880,I4880,J4880)))</f>
        <v/>
      </c>
      <c r="L4880" s="30" t="str">
        <f>IF(H4880="","",IF($C$30="상세법",FPV(H4880,K4880),IF(H4880="EI",4,IF(H4880="EO",5.2,IF(H4880="EQ",3.9,IF(H4880="ILF",7.5,IF(H4880="EIF",5.4)))))))</f>
        <v/>
      </c>
      <c r="M4880" s="30" t="str">
        <f t="shared" si="527"/>
        <v/>
      </c>
      <c r="N4880" s="134"/>
      <c r="O4880" s="29"/>
      <c r="P4880" s="37" t="str">
        <f t="shared" si="528"/>
        <v/>
      </c>
      <c r="Q4880" s="38" t="str">
        <f t="shared" si="529"/>
        <v/>
      </c>
      <c r="R4880" s="37" t="str">
        <f t="shared" si="530"/>
        <v/>
      </c>
      <c r="S4880" s="37" t="str">
        <f t="shared" si="531"/>
        <v/>
      </c>
      <c r="T4880" s="38" t="str">
        <f t="shared" si="532"/>
        <v/>
      </c>
      <c r="U4880" s="37" t="str">
        <f t="shared" si="533"/>
        <v/>
      </c>
    </row>
    <row r="4881" spans="2:21" ht="17.25">
      <c r="B4881" s="156"/>
      <c r="C4881" s="156"/>
      <c r="D4881" s="157"/>
      <c r="E4881" s="155"/>
      <c r="F4881" s="151"/>
      <c r="G4881" s="152"/>
      <c r="H4881" s="153"/>
      <c r="I4881" s="154"/>
      <c r="J4881" s="154"/>
      <c r="K4881" s="30" t="str">
        <f>IF(H4881="","",IF($C$30="간이법","",FPR(H4881,I4881,J4881)))</f>
        <v/>
      </c>
      <c r="L4881" s="30" t="str">
        <f>IF(H4881="","",IF($C$30="상세법",FPV(H4881,K4881),IF(H4881="EI",4,IF(H4881="EO",5.2,IF(H4881="EQ",3.9,IF(H4881="ILF",7.5,IF(H4881="EIF",5.4)))))))</f>
        <v/>
      </c>
      <c r="M4881" s="30" t="str">
        <f t="shared" si="527"/>
        <v/>
      </c>
      <c r="N4881" s="134"/>
      <c r="O4881" s="29"/>
      <c r="P4881" s="37" t="str">
        <f t="shared" si="528"/>
        <v/>
      </c>
      <c r="Q4881" s="38" t="str">
        <f t="shared" si="529"/>
        <v/>
      </c>
      <c r="R4881" s="37" t="str">
        <f t="shared" si="530"/>
        <v/>
      </c>
      <c r="S4881" s="37" t="str">
        <f t="shared" si="531"/>
        <v/>
      </c>
      <c r="T4881" s="38" t="str">
        <f t="shared" si="532"/>
        <v/>
      </c>
      <c r="U4881" s="37" t="str">
        <f t="shared" si="533"/>
        <v/>
      </c>
    </row>
    <row r="4882" spans="2:21" ht="17.25">
      <c r="B4882" s="156"/>
      <c r="C4882" s="156"/>
      <c r="D4882" s="157"/>
      <c r="E4882" s="155"/>
      <c r="F4882" s="151"/>
      <c r="G4882" s="152"/>
      <c r="H4882" s="153"/>
      <c r="I4882" s="154"/>
      <c r="J4882" s="154"/>
      <c r="K4882" s="30" t="str">
        <f>IF(H4882="","",IF($C$30="간이법","",FPR(H4882,I4882,J4882)))</f>
        <v/>
      </c>
      <c r="L4882" s="30" t="str">
        <f>IF(H4882="","",IF($C$30="상세법",FPV(H4882,K4882),IF(H4882="EI",4,IF(H4882="EO",5.2,IF(H4882="EQ",3.9,IF(H4882="ILF",7.5,IF(H4882="EIF",5.4)))))))</f>
        <v/>
      </c>
      <c r="M4882" s="30" t="str">
        <f t="shared" si="527"/>
        <v/>
      </c>
      <c r="N4882" s="134"/>
      <c r="O4882" s="29"/>
      <c r="P4882" s="37" t="str">
        <f t="shared" si="528"/>
        <v/>
      </c>
      <c r="Q4882" s="38" t="str">
        <f t="shared" si="529"/>
        <v/>
      </c>
      <c r="R4882" s="37" t="str">
        <f t="shared" si="530"/>
        <v/>
      </c>
      <c r="S4882" s="37" t="str">
        <f t="shared" si="531"/>
        <v/>
      </c>
      <c r="T4882" s="38" t="str">
        <f t="shared" si="532"/>
        <v/>
      </c>
      <c r="U4882" s="37" t="str">
        <f t="shared" si="533"/>
        <v/>
      </c>
    </row>
    <row r="4883" spans="2:21" ht="17.25">
      <c r="B4883" s="156"/>
      <c r="C4883" s="156"/>
      <c r="D4883" s="157"/>
      <c r="E4883" s="155"/>
      <c r="F4883" s="151"/>
      <c r="G4883" s="152"/>
      <c r="H4883" s="153"/>
      <c r="I4883" s="154"/>
      <c r="J4883" s="154"/>
      <c r="K4883" s="30" t="str">
        <f>IF(H4883="","",IF($C$30="간이법","",FPR(H4883,I4883,J4883)))</f>
        <v/>
      </c>
      <c r="L4883" s="30" t="str">
        <f>IF(H4883="","",IF($C$30="상세법",FPV(H4883,K4883),IF(H4883="EI",4,IF(H4883="EO",5.2,IF(H4883="EQ",3.9,IF(H4883="ILF",7.5,IF(H4883="EIF",5.4)))))))</f>
        <v/>
      </c>
      <c r="M4883" s="30" t="str">
        <f t="shared" si="527"/>
        <v/>
      </c>
      <c r="N4883" s="134"/>
      <c r="O4883" s="29"/>
      <c r="P4883" s="37" t="str">
        <f t="shared" si="528"/>
        <v/>
      </c>
      <c r="Q4883" s="38" t="str">
        <f t="shared" si="529"/>
        <v/>
      </c>
      <c r="R4883" s="37" t="str">
        <f t="shared" si="530"/>
        <v/>
      </c>
      <c r="S4883" s="37" t="str">
        <f t="shared" si="531"/>
        <v/>
      </c>
      <c r="T4883" s="38" t="str">
        <f t="shared" si="532"/>
        <v/>
      </c>
      <c r="U4883" s="37" t="str">
        <f t="shared" si="533"/>
        <v/>
      </c>
    </row>
    <row r="4884" spans="2:21" ht="17.25">
      <c r="B4884" s="156"/>
      <c r="C4884" s="156"/>
      <c r="D4884" s="157"/>
      <c r="E4884" s="155"/>
      <c r="F4884" s="151"/>
      <c r="G4884" s="152"/>
      <c r="H4884" s="153"/>
      <c r="I4884" s="154"/>
      <c r="J4884" s="154"/>
      <c r="K4884" s="30" t="str">
        <f>IF(H4884="","",IF($C$30="간이법","",FPR(H4884,I4884,J4884)))</f>
        <v/>
      </c>
      <c r="L4884" s="30" t="str">
        <f>IF(H4884="","",IF($C$30="상세법",FPV(H4884,K4884),IF(H4884="EI",4,IF(H4884="EO",5.2,IF(H4884="EQ",3.9,IF(H4884="ILF",7.5,IF(H4884="EIF",5.4)))))))</f>
        <v/>
      </c>
      <c r="M4884" s="30" t="str">
        <f t="shared" si="527"/>
        <v/>
      </c>
      <c r="N4884" s="134"/>
      <c r="O4884" s="29"/>
      <c r="P4884" s="37" t="str">
        <f t="shared" si="528"/>
        <v/>
      </c>
      <c r="Q4884" s="38" t="str">
        <f t="shared" si="529"/>
        <v/>
      </c>
      <c r="R4884" s="37" t="str">
        <f t="shared" si="530"/>
        <v/>
      </c>
      <c r="S4884" s="37" t="str">
        <f t="shared" si="531"/>
        <v/>
      </c>
      <c r="T4884" s="38" t="str">
        <f t="shared" si="532"/>
        <v/>
      </c>
      <c r="U4884" s="37" t="str">
        <f t="shared" si="533"/>
        <v/>
      </c>
    </row>
    <row r="4885" spans="2:21" ht="17.25">
      <c r="B4885" s="156"/>
      <c r="C4885" s="156"/>
      <c r="D4885" s="157"/>
      <c r="E4885" s="155"/>
      <c r="F4885" s="151"/>
      <c r="G4885" s="152"/>
      <c r="H4885" s="153"/>
      <c r="I4885" s="154"/>
      <c r="J4885" s="154"/>
      <c r="K4885" s="30" t="str">
        <f>IF(H4885="","",IF($C$30="간이법","",FPR(H4885,I4885,J4885)))</f>
        <v/>
      </c>
      <c r="L4885" s="30" t="str">
        <f>IF(H4885="","",IF($C$30="상세법",FPV(H4885,K4885),IF(H4885="EI",4,IF(H4885="EO",5.2,IF(H4885="EQ",3.9,IF(H4885="ILF",7.5,IF(H4885="EIF",5.4)))))))</f>
        <v/>
      </c>
      <c r="M4885" s="30" t="str">
        <f t="shared" si="527"/>
        <v/>
      </c>
      <c r="N4885" s="134"/>
      <c r="O4885" s="29"/>
      <c r="P4885" s="37" t="str">
        <f t="shared" si="528"/>
        <v/>
      </c>
      <c r="Q4885" s="38" t="str">
        <f t="shared" si="529"/>
        <v/>
      </c>
      <c r="R4885" s="37" t="str">
        <f t="shared" si="530"/>
        <v/>
      </c>
      <c r="S4885" s="37" t="str">
        <f t="shared" si="531"/>
        <v/>
      </c>
      <c r="T4885" s="38" t="str">
        <f t="shared" si="532"/>
        <v/>
      </c>
      <c r="U4885" s="37" t="str">
        <f t="shared" si="533"/>
        <v/>
      </c>
    </row>
    <row r="4886" spans="2:21" ht="17.25">
      <c r="B4886" s="156"/>
      <c r="C4886" s="156"/>
      <c r="D4886" s="157"/>
      <c r="E4886" s="155"/>
      <c r="F4886" s="151"/>
      <c r="G4886" s="152"/>
      <c r="H4886" s="153"/>
      <c r="I4886" s="154"/>
      <c r="J4886" s="154"/>
      <c r="K4886" s="30" t="str">
        <f>IF(H4886="","",IF($C$30="간이법","",FPR(H4886,I4886,J4886)))</f>
        <v/>
      </c>
      <c r="L4886" s="30" t="str">
        <f>IF(H4886="","",IF($C$30="상세법",FPV(H4886,K4886),IF(H4886="EI",4,IF(H4886="EO",5.2,IF(H4886="EQ",3.9,IF(H4886="ILF",7.5,IF(H4886="EIF",5.4)))))))</f>
        <v/>
      </c>
      <c r="M4886" s="30" t="str">
        <f t="shared" si="527"/>
        <v/>
      </c>
      <c r="N4886" s="134"/>
      <c r="O4886" s="29"/>
      <c r="P4886" s="37" t="str">
        <f t="shared" si="528"/>
        <v/>
      </c>
      <c r="Q4886" s="38" t="str">
        <f t="shared" si="529"/>
        <v/>
      </c>
      <c r="R4886" s="37" t="str">
        <f t="shared" si="530"/>
        <v/>
      </c>
      <c r="S4886" s="37" t="str">
        <f t="shared" si="531"/>
        <v/>
      </c>
      <c r="T4886" s="38" t="str">
        <f t="shared" si="532"/>
        <v/>
      </c>
      <c r="U4886" s="37" t="str">
        <f t="shared" si="533"/>
        <v/>
      </c>
    </row>
    <row r="4887" spans="2:21" ht="17.25">
      <c r="B4887" s="156"/>
      <c r="C4887" s="156"/>
      <c r="D4887" s="157"/>
      <c r="E4887" s="155"/>
      <c r="F4887" s="151"/>
      <c r="G4887" s="152"/>
      <c r="H4887" s="153"/>
      <c r="I4887" s="154"/>
      <c r="J4887" s="154"/>
      <c r="K4887" s="30" t="str">
        <f>IF(H4887="","",IF($C$30="간이법","",FPR(H4887,I4887,J4887)))</f>
        <v/>
      </c>
      <c r="L4887" s="30" t="str">
        <f>IF(H4887="","",IF($C$30="상세법",FPV(H4887,K4887),IF(H4887="EI",4,IF(H4887="EO",5.2,IF(H4887="EQ",3.9,IF(H4887="ILF",7.5,IF(H4887="EIF",5.4)))))))</f>
        <v/>
      </c>
      <c r="M4887" s="30" t="str">
        <f t="shared" si="527"/>
        <v/>
      </c>
      <c r="N4887" s="134"/>
      <c r="O4887" s="29"/>
      <c r="P4887" s="37" t="str">
        <f t="shared" si="528"/>
        <v/>
      </c>
      <c r="Q4887" s="38" t="str">
        <f t="shared" si="529"/>
        <v/>
      </c>
      <c r="R4887" s="37" t="str">
        <f t="shared" si="530"/>
        <v/>
      </c>
      <c r="S4887" s="37" t="str">
        <f t="shared" si="531"/>
        <v/>
      </c>
      <c r="T4887" s="38" t="str">
        <f t="shared" si="532"/>
        <v/>
      </c>
      <c r="U4887" s="37" t="str">
        <f t="shared" si="533"/>
        <v/>
      </c>
    </row>
    <row r="4888" spans="2:21" ht="17.25">
      <c r="B4888" s="156"/>
      <c r="C4888" s="156"/>
      <c r="D4888" s="157"/>
      <c r="E4888" s="155"/>
      <c r="F4888" s="151"/>
      <c r="G4888" s="152"/>
      <c r="H4888" s="153"/>
      <c r="I4888" s="154"/>
      <c r="J4888" s="154"/>
      <c r="K4888" s="30" t="str">
        <f>IF(H4888="","",IF($C$30="간이법","",FPR(H4888,I4888,J4888)))</f>
        <v/>
      </c>
      <c r="L4888" s="30" t="str">
        <f>IF(H4888="","",IF($C$30="상세법",FPV(H4888,K4888),IF(H4888="EI",4,IF(H4888="EO",5.2,IF(H4888="EQ",3.9,IF(H4888="ILF",7.5,IF(H4888="EIF",5.4)))))))</f>
        <v/>
      </c>
      <c r="M4888" s="30" t="str">
        <f t="shared" si="527"/>
        <v/>
      </c>
      <c r="N4888" s="134"/>
      <c r="O4888" s="29"/>
      <c r="P4888" s="37" t="str">
        <f t="shared" si="528"/>
        <v/>
      </c>
      <c r="Q4888" s="38" t="str">
        <f t="shared" si="529"/>
        <v/>
      </c>
      <c r="R4888" s="37" t="str">
        <f t="shared" si="530"/>
        <v/>
      </c>
      <c r="S4888" s="37" t="str">
        <f t="shared" si="531"/>
        <v/>
      </c>
      <c r="T4888" s="38" t="str">
        <f t="shared" si="532"/>
        <v/>
      </c>
      <c r="U4888" s="37" t="str">
        <f t="shared" si="533"/>
        <v/>
      </c>
    </row>
    <row r="4889" spans="2:21" ht="17.25">
      <c r="B4889" s="156"/>
      <c r="C4889" s="156"/>
      <c r="D4889" s="157"/>
      <c r="E4889" s="155"/>
      <c r="F4889" s="151"/>
      <c r="G4889" s="152"/>
      <c r="H4889" s="153"/>
      <c r="I4889" s="154"/>
      <c r="J4889" s="154"/>
      <c r="K4889" s="30" t="str">
        <f>IF(H4889="","",IF($C$30="간이법","",FPR(H4889,I4889,J4889)))</f>
        <v/>
      </c>
      <c r="L4889" s="30" t="str">
        <f>IF(H4889="","",IF($C$30="상세법",FPV(H4889,K4889),IF(H4889="EI",4,IF(H4889="EO",5.2,IF(H4889="EQ",3.9,IF(H4889="ILF",7.5,IF(H4889="EIF",5.4)))))))</f>
        <v/>
      </c>
      <c r="M4889" s="30" t="str">
        <f t="shared" si="527"/>
        <v/>
      </c>
      <c r="N4889" s="134"/>
      <c r="O4889" s="29"/>
      <c r="P4889" s="37" t="str">
        <f t="shared" si="528"/>
        <v/>
      </c>
      <c r="Q4889" s="38" t="str">
        <f t="shared" si="529"/>
        <v/>
      </c>
      <c r="R4889" s="37" t="str">
        <f t="shared" si="530"/>
        <v/>
      </c>
      <c r="S4889" s="37" t="str">
        <f t="shared" si="531"/>
        <v/>
      </c>
      <c r="T4889" s="38" t="str">
        <f t="shared" si="532"/>
        <v/>
      </c>
      <c r="U4889" s="37" t="str">
        <f t="shared" si="533"/>
        <v/>
      </c>
    </row>
    <row r="4890" spans="2:21" ht="17.25">
      <c r="B4890" s="156"/>
      <c r="C4890" s="156"/>
      <c r="D4890" s="157"/>
      <c r="E4890" s="155"/>
      <c r="F4890" s="151"/>
      <c r="G4890" s="152"/>
      <c r="H4890" s="153"/>
      <c r="I4890" s="154"/>
      <c r="J4890" s="154"/>
      <c r="K4890" s="30" t="str">
        <f>IF(H4890="","",IF($C$30="간이법","",FPR(H4890,I4890,J4890)))</f>
        <v/>
      </c>
      <c r="L4890" s="30" t="str">
        <f>IF(H4890="","",IF($C$30="상세법",FPV(H4890,K4890),IF(H4890="EI",4,IF(H4890="EO",5.2,IF(H4890="EQ",3.9,IF(H4890="ILF",7.5,IF(H4890="EIF",5.4)))))))</f>
        <v/>
      </c>
      <c r="M4890" s="30" t="str">
        <f t="shared" si="527"/>
        <v/>
      </c>
      <c r="N4890" s="134"/>
      <c r="O4890" s="29"/>
      <c r="P4890" s="37" t="str">
        <f t="shared" si="528"/>
        <v/>
      </c>
      <c r="Q4890" s="38" t="str">
        <f t="shared" si="529"/>
        <v/>
      </c>
      <c r="R4890" s="37" t="str">
        <f t="shared" si="530"/>
        <v/>
      </c>
      <c r="S4890" s="37" t="str">
        <f t="shared" si="531"/>
        <v/>
      </c>
      <c r="T4890" s="38" t="str">
        <f t="shared" si="532"/>
        <v/>
      </c>
      <c r="U4890" s="37" t="str">
        <f t="shared" si="533"/>
        <v/>
      </c>
    </row>
    <row r="4891" spans="2:21" ht="17.25">
      <c r="B4891" s="156"/>
      <c r="C4891" s="156"/>
      <c r="D4891" s="157"/>
      <c r="E4891" s="155"/>
      <c r="F4891" s="151"/>
      <c r="G4891" s="152"/>
      <c r="H4891" s="153"/>
      <c r="I4891" s="154"/>
      <c r="J4891" s="154"/>
      <c r="K4891" s="30" t="str">
        <f>IF(H4891="","",IF($C$30="간이법","",FPR(H4891,I4891,J4891)))</f>
        <v/>
      </c>
      <c r="L4891" s="30" t="str">
        <f>IF(H4891="","",IF($C$30="상세법",FPV(H4891,K4891),IF(H4891="EI",4,IF(H4891="EO",5.2,IF(H4891="EQ",3.9,IF(H4891="ILF",7.5,IF(H4891="EIF",5.4)))))))</f>
        <v/>
      </c>
      <c r="M4891" s="30" t="str">
        <f t="shared" si="527"/>
        <v/>
      </c>
      <c r="N4891" s="134"/>
      <c r="O4891" s="29"/>
      <c r="P4891" s="37" t="str">
        <f t="shared" si="528"/>
        <v/>
      </c>
      <c r="Q4891" s="38" t="str">
        <f t="shared" si="529"/>
        <v/>
      </c>
      <c r="R4891" s="37" t="str">
        <f t="shared" si="530"/>
        <v/>
      </c>
      <c r="S4891" s="37" t="str">
        <f t="shared" si="531"/>
        <v/>
      </c>
      <c r="T4891" s="38" t="str">
        <f t="shared" si="532"/>
        <v/>
      </c>
      <c r="U4891" s="37" t="str">
        <f t="shared" si="533"/>
        <v/>
      </c>
    </row>
    <row r="4892" spans="2:21" ht="17.25">
      <c r="B4892" s="156"/>
      <c r="C4892" s="156"/>
      <c r="D4892" s="157"/>
      <c r="E4892" s="155"/>
      <c r="F4892" s="151"/>
      <c r="G4892" s="152"/>
      <c r="H4892" s="153"/>
      <c r="I4892" s="154"/>
      <c r="J4892" s="154"/>
      <c r="K4892" s="30" t="str">
        <f>IF(H4892="","",IF($C$30="간이법","",FPR(H4892,I4892,J4892)))</f>
        <v/>
      </c>
      <c r="L4892" s="30" t="str">
        <f>IF(H4892="","",IF($C$30="상세법",FPV(H4892,K4892),IF(H4892="EI",4,IF(H4892="EO",5.2,IF(H4892="EQ",3.9,IF(H4892="ILF",7.5,IF(H4892="EIF",5.4)))))))</f>
        <v/>
      </c>
      <c r="M4892" s="30" t="str">
        <f t="shared" si="527"/>
        <v/>
      </c>
      <c r="N4892" s="134"/>
      <c r="O4892" s="29"/>
      <c r="P4892" s="37" t="str">
        <f t="shared" si="528"/>
        <v/>
      </c>
      <c r="Q4892" s="38" t="str">
        <f t="shared" si="529"/>
        <v/>
      </c>
      <c r="R4892" s="37" t="str">
        <f t="shared" si="530"/>
        <v/>
      </c>
      <c r="S4892" s="37" t="str">
        <f t="shared" si="531"/>
        <v/>
      </c>
      <c r="T4892" s="38" t="str">
        <f t="shared" si="532"/>
        <v/>
      </c>
      <c r="U4892" s="37" t="str">
        <f t="shared" si="533"/>
        <v/>
      </c>
    </row>
    <row r="4893" spans="2:21" ht="17.25">
      <c r="B4893" s="156"/>
      <c r="C4893" s="156"/>
      <c r="D4893" s="157"/>
      <c r="E4893" s="155"/>
      <c r="F4893" s="151"/>
      <c r="G4893" s="152"/>
      <c r="H4893" s="153"/>
      <c r="I4893" s="154"/>
      <c r="J4893" s="154"/>
      <c r="K4893" s="30" t="str">
        <f>IF(H4893="","",IF($C$30="간이법","",FPR(H4893,I4893,J4893)))</f>
        <v/>
      </c>
      <c r="L4893" s="30" t="str">
        <f>IF(H4893="","",IF($C$30="상세법",FPV(H4893,K4893),IF(H4893="EI",4,IF(H4893="EO",5.2,IF(H4893="EQ",3.9,IF(H4893="ILF",7.5,IF(H4893="EIF",5.4)))))))</f>
        <v/>
      </c>
      <c r="M4893" s="30" t="str">
        <f t="shared" si="527"/>
        <v/>
      </c>
      <c r="N4893" s="134"/>
      <c r="O4893" s="29"/>
      <c r="P4893" s="37" t="str">
        <f t="shared" si="528"/>
        <v/>
      </c>
      <c r="Q4893" s="38" t="str">
        <f t="shared" si="529"/>
        <v/>
      </c>
      <c r="R4893" s="37" t="str">
        <f t="shared" si="530"/>
        <v/>
      </c>
      <c r="S4893" s="37" t="str">
        <f t="shared" si="531"/>
        <v/>
      </c>
      <c r="T4893" s="38" t="str">
        <f t="shared" si="532"/>
        <v/>
      </c>
      <c r="U4893" s="37" t="str">
        <f t="shared" si="533"/>
        <v/>
      </c>
    </row>
    <row r="4894" spans="2:21" ht="17.25">
      <c r="B4894" s="156"/>
      <c r="C4894" s="156"/>
      <c r="D4894" s="157"/>
      <c r="E4894" s="155"/>
      <c r="F4894" s="151"/>
      <c r="G4894" s="152"/>
      <c r="H4894" s="153"/>
      <c r="I4894" s="154"/>
      <c r="J4894" s="154"/>
      <c r="K4894" s="30" t="str">
        <f>IF(H4894="","",IF($C$30="간이법","",FPR(H4894,I4894,J4894)))</f>
        <v/>
      </c>
      <c r="L4894" s="30" t="str">
        <f>IF(H4894="","",IF($C$30="상세법",FPV(H4894,K4894),IF(H4894="EI",4,IF(H4894="EO",5.2,IF(H4894="EQ",3.9,IF(H4894="ILF",7.5,IF(H4894="EIF",5.4)))))))</f>
        <v/>
      </c>
      <c r="M4894" s="30" t="str">
        <f t="shared" si="527"/>
        <v/>
      </c>
      <c r="N4894" s="134"/>
      <c r="O4894" s="29"/>
      <c r="P4894" s="37" t="str">
        <f t="shared" si="528"/>
        <v/>
      </c>
      <c r="Q4894" s="38" t="str">
        <f t="shared" si="529"/>
        <v/>
      </c>
      <c r="R4894" s="37" t="str">
        <f t="shared" si="530"/>
        <v/>
      </c>
      <c r="S4894" s="37" t="str">
        <f t="shared" si="531"/>
        <v/>
      </c>
      <c r="T4894" s="38" t="str">
        <f t="shared" si="532"/>
        <v/>
      </c>
      <c r="U4894" s="37" t="str">
        <f t="shared" si="533"/>
        <v/>
      </c>
    </row>
    <row r="4895" spans="2:21" ht="17.25">
      <c r="B4895" s="156"/>
      <c r="C4895" s="156"/>
      <c r="D4895" s="157"/>
      <c r="E4895" s="155"/>
      <c r="F4895" s="151"/>
      <c r="G4895" s="152"/>
      <c r="H4895" s="153"/>
      <c r="I4895" s="154"/>
      <c r="J4895" s="154"/>
      <c r="K4895" s="30" t="str">
        <f>IF(H4895="","",IF($C$30="간이법","",FPR(H4895,I4895,J4895)))</f>
        <v/>
      </c>
      <c r="L4895" s="30" t="str">
        <f>IF(H4895="","",IF($C$30="상세법",FPV(H4895,K4895),IF(H4895="EI",4,IF(H4895="EO",5.2,IF(H4895="EQ",3.9,IF(H4895="ILF",7.5,IF(H4895="EIF",5.4)))))))</f>
        <v/>
      </c>
      <c r="M4895" s="30" t="str">
        <f t="shared" si="527"/>
        <v/>
      </c>
      <c r="N4895" s="134"/>
      <c r="O4895" s="29"/>
      <c r="P4895" s="37" t="str">
        <f t="shared" si="528"/>
        <v/>
      </c>
      <c r="Q4895" s="38" t="str">
        <f t="shared" si="529"/>
        <v/>
      </c>
      <c r="R4895" s="37" t="str">
        <f t="shared" si="530"/>
        <v/>
      </c>
      <c r="S4895" s="37" t="str">
        <f t="shared" si="531"/>
        <v/>
      </c>
      <c r="T4895" s="38" t="str">
        <f t="shared" si="532"/>
        <v/>
      </c>
      <c r="U4895" s="37" t="str">
        <f t="shared" si="533"/>
        <v/>
      </c>
    </row>
    <row r="4896" spans="2:21" ht="17.25">
      <c r="B4896" s="156"/>
      <c r="C4896" s="156"/>
      <c r="D4896" s="157"/>
      <c r="E4896" s="155"/>
      <c r="F4896" s="151"/>
      <c r="G4896" s="152"/>
      <c r="H4896" s="153"/>
      <c r="I4896" s="154"/>
      <c r="J4896" s="154"/>
      <c r="K4896" s="30" t="str">
        <f>IF(H4896="","",IF($C$30="간이법","",FPR(H4896,I4896,J4896)))</f>
        <v/>
      </c>
      <c r="L4896" s="30" t="str">
        <f>IF(H4896="","",IF($C$30="상세법",FPV(H4896,K4896),IF(H4896="EI",4,IF(H4896="EO",5.2,IF(H4896="EQ",3.9,IF(H4896="ILF",7.5,IF(H4896="EIF",5.4)))))))</f>
        <v/>
      </c>
      <c r="M4896" s="30" t="str">
        <f t="shared" si="527"/>
        <v/>
      </c>
      <c r="N4896" s="134"/>
      <c r="O4896" s="29"/>
      <c r="P4896" s="37" t="str">
        <f t="shared" si="528"/>
        <v/>
      </c>
      <c r="Q4896" s="38" t="str">
        <f t="shared" si="529"/>
        <v/>
      </c>
      <c r="R4896" s="37" t="str">
        <f t="shared" si="530"/>
        <v/>
      </c>
      <c r="S4896" s="37" t="str">
        <f t="shared" si="531"/>
        <v/>
      </c>
      <c r="T4896" s="38" t="str">
        <f t="shared" si="532"/>
        <v/>
      </c>
      <c r="U4896" s="37" t="str">
        <f t="shared" si="533"/>
        <v/>
      </c>
    </row>
    <row r="4897" spans="2:21" ht="17.25">
      <c r="B4897" s="156"/>
      <c r="C4897" s="156"/>
      <c r="D4897" s="157"/>
      <c r="E4897" s="155"/>
      <c r="F4897" s="151"/>
      <c r="G4897" s="152"/>
      <c r="H4897" s="153"/>
      <c r="I4897" s="154"/>
      <c r="J4897" s="154"/>
      <c r="K4897" s="30" t="str">
        <f>IF(H4897="","",IF($C$30="간이법","",FPR(H4897,I4897,J4897)))</f>
        <v/>
      </c>
      <c r="L4897" s="30" t="str">
        <f>IF(H4897="","",IF($C$30="상세법",FPV(H4897,K4897),IF(H4897="EI",4,IF(H4897="EO",5.2,IF(H4897="EQ",3.9,IF(H4897="ILF",7.5,IF(H4897="EIF",5.4)))))))</f>
        <v/>
      </c>
      <c r="M4897" s="30" t="str">
        <f t="shared" si="527"/>
        <v/>
      </c>
      <c r="N4897" s="134"/>
      <c r="O4897" s="29"/>
      <c r="P4897" s="37" t="str">
        <f t="shared" si="528"/>
        <v/>
      </c>
      <c r="Q4897" s="38" t="str">
        <f t="shared" si="529"/>
        <v/>
      </c>
      <c r="R4897" s="37" t="str">
        <f t="shared" si="530"/>
        <v/>
      </c>
      <c r="S4897" s="37" t="str">
        <f t="shared" si="531"/>
        <v/>
      </c>
      <c r="T4897" s="38" t="str">
        <f t="shared" si="532"/>
        <v/>
      </c>
      <c r="U4897" s="37" t="str">
        <f t="shared" si="533"/>
        <v/>
      </c>
    </row>
    <row r="4898" spans="2:21" ht="17.25">
      <c r="B4898" s="156"/>
      <c r="C4898" s="156"/>
      <c r="D4898" s="157"/>
      <c r="E4898" s="155"/>
      <c r="F4898" s="151"/>
      <c r="G4898" s="152"/>
      <c r="H4898" s="153"/>
      <c r="I4898" s="154"/>
      <c r="J4898" s="154"/>
      <c r="K4898" s="30" t="str">
        <f>IF(H4898="","",IF($C$30="간이법","",FPR(H4898,I4898,J4898)))</f>
        <v/>
      </c>
      <c r="L4898" s="30" t="str">
        <f>IF(H4898="","",IF($C$30="상세법",FPV(H4898,K4898),IF(H4898="EI",4,IF(H4898="EO",5.2,IF(H4898="EQ",3.9,IF(H4898="ILF",7.5,IF(H4898="EIF",5.4)))))))</f>
        <v/>
      </c>
      <c r="M4898" s="30" t="str">
        <f t="shared" si="527"/>
        <v/>
      </c>
      <c r="N4898" s="134"/>
      <c r="O4898" s="29"/>
      <c r="P4898" s="37" t="str">
        <f t="shared" si="528"/>
        <v/>
      </c>
      <c r="Q4898" s="38" t="str">
        <f t="shared" si="529"/>
        <v/>
      </c>
      <c r="R4898" s="37" t="str">
        <f t="shared" si="530"/>
        <v/>
      </c>
      <c r="S4898" s="37" t="str">
        <f t="shared" si="531"/>
        <v/>
      </c>
      <c r="T4898" s="38" t="str">
        <f t="shared" si="532"/>
        <v/>
      </c>
      <c r="U4898" s="37" t="str">
        <f t="shared" si="533"/>
        <v/>
      </c>
    </row>
    <row r="4899" spans="2:21" ht="17.25">
      <c r="B4899" s="156"/>
      <c r="C4899" s="156"/>
      <c r="D4899" s="157"/>
      <c r="E4899" s="155"/>
      <c r="F4899" s="151"/>
      <c r="G4899" s="152"/>
      <c r="H4899" s="153"/>
      <c r="I4899" s="154"/>
      <c r="J4899" s="154"/>
      <c r="K4899" s="30" t="str">
        <f>IF(H4899="","",IF($C$30="간이법","",FPR(H4899,I4899,J4899)))</f>
        <v/>
      </c>
      <c r="L4899" s="30" t="str">
        <f>IF(H4899="","",IF($C$30="상세법",FPV(H4899,K4899),IF(H4899="EI",4,IF(H4899="EO",5.2,IF(H4899="EQ",3.9,IF(H4899="ILF",7.5,IF(H4899="EIF",5.4)))))))</f>
        <v/>
      </c>
      <c r="M4899" s="30" t="str">
        <f t="shared" si="527"/>
        <v/>
      </c>
      <c r="N4899" s="134"/>
      <c r="O4899" s="29"/>
      <c r="P4899" s="37" t="str">
        <f t="shared" si="528"/>
        <v/>
      </c>
      <c r="Q4899" s="38" t="str">
        <f t="shared" si="529"/>
        <v/>
      </c>
      <c r="R4899" s="37" t="str">
        <f t="shared" si="530"/>
        <v/>
      </c>
      <c r="S4899" s="37" t="str">
        <f t="shared" si="531"/>
        <v/>
      </c>
      <c r="T4899" s="38" t="str">
        <f t="shared" si="532"/>
        <v/>
      </c>
      <c r="U4899" s="37" t="str">
        <f t="shared" si="533"/>
        <v/>
      </c>
    </row>
    <row r="4900" spans="2:21" ht="17.25">
      <c r="B4900" s="156"/>
      <c r="C4900" s="156"/>
      <c r="D4900" s="157"/>
      <c r="E4900" s="155"/>
      <c r="F4900" s="151"/>
      <c r="G4900" s="152"/>
      <c r="H4900" s="153"/>
      <c r="I4900" s="154"/>
      <c r="J4900" s="154"/>
      <c r="K4900" s="30" t="str">
        <f>IF(H4900="","",IF($C$30="간이법","",FPR(H4900,I4900,J4900)))</f>
        <v/>
      </c>
      <c r="L4900" s="30" t="str">
        <f>IF(H4900="","",IF($C$30="상세법",FPV(H4900,K4900),IF(H4900="EI",4,IF(H4900="EO",5.2,IF(H4900="EQ",3.9,IF(H4900="ILF",7.5,IF(H4900="EIF",5.4)))))))</f>
        <v/>
      </c>
      <c r="M4900" s="30" t="str">
        <f t="shared" si="527"/>
        <v/>
      </c>
      <c r="N4900" s="134"/>
      <c r="O4900" s="29"/>
      <c r="P4900" s="37" t="str">
        <f t="shared" si="528"/>
        <v/>
      </c>
      <c r="Q4900" s="38" t="str">
        <f t="shared" si="529"/>
        <v/>
      </c>
      <c r="R4900" s="37" t="str">
        <f t="shared" si="530"/>
        <v/>
      </c>
      <c r="S4900" s="37" t="str">
        <f t="shared" si="531"/>
        <v/>
      </c>
      <c r="T4900" s="38" t="str">
        <f t="shared" si="532"/>
        <v/>
      </c>
      <c r="U4900" s="37" t="str">
        <f t="shared" si="533"/>
        <v/>
      </c>
    </row>
    <row r="4901" spans="2:21" ht="17.25">
      <c r="B4901" s="156"/>
      <c r="C4901" s="156"/>
      <c r="D4901" s="157"/>
      <c r="E4901" s="155"/>
      <c r="F4901" s="151"/>
      <c r="G4901" s="152"/>
      <c r="H4901" s="153"/>
      <c r="I4901" s="154"/>
      <c r="J4901" s="154"/>
      <c r="K4901" s="30" t="str">
        <f>IF(H4901="","",IF($C$30="간이법","",FPR(H4901,I4901,J4901)))</f>
        <v/>
      </c>
      <c r="L4901" s="30" t="str">
        <f>IF(H4901="","",IF($C$30="상세법",FPV(H4901,K4901),IF(H4901="EI",4,IF(H4901="EO",5.2,IF(H4901="EQ",3.9,IF(H4901="ILF",7.5,IF(H4901="EIF",5.4)))))))</f>
        <v/>
      </c>
      <c r="M4901" s="30" t="str">
        <f t="shared" si="527"/>
        <v/>
      </c>
      <c r="N4901" s="134"/>
      <c r="O4901" s="29"/>
      <c r="P4901" s="37" t="str">
        <f t="shared" si="528"/>
        <v/>
      </c>
      <c r="Q4901" s="38" t="str">
        <f t="shared" si="529"/>
        <v/>
      </c>
      <c r="R4901" s="37" t="str">
        <f t="shared" si="530"/>
        <v/>
      </c>
      <c r="S4901" s="37" t="str">
        <f t="shared" si="531"/>
        <v/>
      </c>
      <c r="T4901" s="38" t="str">
        <f t="shared" si="532"/>
        <v/>
      </c>
      <c r="U4901" s="37" t="str">
        <f t="shared" si="533"/>
        <v/>
      </c>
    </row>
    <row r="4902" spans="2:21" ht="17.25">
      <c r="B4902" s="156"/>
      <c r="C4902" s="156"/>
      <c r="D4902" s="157"/>
      <c r="E4902" s="155"/>
      <c r="F4902" s="151"/>
      <c r="G4902" s="152"/>
      <c r="H4902" s="153"/>
      <c r="I4902" s="154"/>
      <c r="J4902" s="154"/>
      <c r="K4902" s="30" t="str">
        <f>IF(H4902="","",IF($C$30="간이법","",FPR(H4902,I4902,J4902)))</f>
        <v/>
      </c>
      <c r="L4902" s="30" t="str">
        <f>IF(H4902="","",IF($C$30="상세법",FPV(H4902,K4902),IF(H4902="EI",4,IF(H4902="EO",5.2,IF(H4902="EQ",3.9,IF(H4902="ILF",7.5,IF(H4902="EIF",5.4)))))))</f>
        <v/>
      </c>
      <c r="M4902" s="30" t="str">
        <f t="shared" si="527"/>
        <v/>
      </c>
      <c r="N4902" s="134"/>
      <c r="O4902" s="29"/>
      <c r="P4902" s="37" t="str">
        <f t="shared" si="528"/>
        <v/>
      </c>
      <c r="Q4902" s="38" t="str">
        <f t="shared" si="529"/>
        <v/>
      </c>
      <c r="R4902" s="37" t="str">
        <f t="shared" si="530"/>
        <v/>
      </c>
      <c r="S4902" s="37" t="str">
        <f t="shared" si="531"/>
        <v/>
      </c>
      <c r="T4902" s="38" t="str">
        <f t="shared" si="532"/>
        <v/>
      </c>
      <c r="U4902" s="37" t="str">
        <f t="shared" si="533"/>
        <v/>
      </c>
    </row>
    <row r="4903" spans="2:21" ht="17.25">
      <c r="B4903" s="156"/>
      <c r="C4903" s="156"/>
      <c r="D4903" s="157"/>
      <c r="E4903" s="155"/>
      <c r="F4903" s="151"/>
      <c r="G4903" s="152"/>
      <c r="H4903" s="153"/>
      <c r="I4903" s="154"/>
      <c r="J4903" s="154"/>
      <c r="K4903" s="30" t="str">
        <f>IF(H4903="","",IF($C$30="간이법","",FPR(H4903,I4903,J4903)))</f>
        <v/>
      </c>
      <c r="L4903" s="30" t="str">
        <f>IF(H4903="","",IF($C$30="상세법",FPV(H4903,K4903),IF(H4903="EI",4,IF(H4903="EO",5.2,IF(H4903="EQ",3.9,IF(H4903="ILF",7.5,IF(H4903="EIF",5.4)))))))</f>
        <v/>
      </c>
      <c r="M4903" s="30" t="str">
        <f t="shared" si="527"/>
        <v/>
      </c>
      <c r="N4903" s="134"/>
      <c r="O4903" s="29"/>
      <c r="P4903" s="37" t="str">
        <f t="shared" si="528"/>
        <v/>
      </c>
      <c r="Q4903" s="38" t="str">
        <f t="shared" si="529"/>
        <v/>
      </c>
      <c r="R4903" s="37" t="str">
        <f t="shared" si="530"/>
        <v/>
      </c>
      <c r="S4903" s="37" t="str">
        <f t="shared" si="531"/>
        <v/>
      </c>
      <c r="T4903" s="38" t="str">
        <f t="shared" si="532"/>
        <v/>
      </c>
      <c r="U4903" s="37" t="str">
        <f t="shared" si="533"/>
        <v/>
      </c>
    </row>
    <row r="4904" spans="2:21" ht="17.25">
      <c r="B4904" s="156"/>
      <c r="C4904" s="156"/>
      <c r="D4904" s="157"/>
      <c r="E4904" s="155"/>
      <c r="F4904" s="151"/>
      <c r="G4904" s="152"/>
      <c r="H4904" s="153"/>
      <c r="I4904" s="154"/>
      <c r="J4904" s="154"/>
      <c r="K4904" s="30" t="str">
        <f>IF(H4904="","",IF($C$30="간이법","",FPR(H4904,I4904,J4904)))</f>
        <v/>
      </c>
      <c r="L4904" s="30" t="str">
        <f>IF(H4904="","",IF($C$30="상세법",FPV(H4904,K4904),IF(H4904="EI",4,IF(H4904="EO",5.2,IF(H4904="EQ",3.9,IF(H4904="ILF",7.5,IF(H4904="EIF",5.4)))))))</f>
        <v/>
      </c>
      <c r="M4904" s="30" t="str">
        <f t="shared" si="527"/>
        <v/>
      </c>
      <c r="N4904" s="134"/>
      <c r="O4904" s="29"/>
      <c r="P4904" s="37" t="str">
        <f t="shared" si="528"/>
        <v/>
      </c>
      <c r="Q4904" s="38" t="str">
        <f t="shared" si="529"/>
        <v/>
      </c>
      <c r="R4904" s="37" t="str">
        <f t="shared" si="530"/>
        <v/>
      </c>
      <c r="S4904" s="37" t="str">
        <f t="shared" si="531"/>
        <v/>
      </c>
      <c r="T4904" s="38" t="str">
        <f t="shared" si="532"/>
        <v/>
      </c>
      <c r="U4904" s="37" t="str">
        <f t="shared" si="533"/>
        <v/>
      </c>
    </row>
    <row r="4905" spans="2:21" ht="17.25">
      <c r="B4905" s="156"/>
      <c r="C4905" s="156"/>
      <c r="D4905" s="157"/>
      <c r="E4905" s="155"/>
      <c r="F4905" s="151"/>
      <c r="G4905" s="152"/>
      <c r="H4905" s="153"/>
      <c r="I4905" s="154"/>
      <c r="J4905" s="154"/>
      <c r="K4905" s="30" t="str">
        <f>IF(H4905="","",IF($C$30="간이법","",FPR(H4905,I4905,J4905)))</f>
        <v/>
      </c>
      <c r="L4905" s="30" t="str">
        <f>IF(H4905="","",IF($C$30="상세법",FPV(H4905,K4905),IF(H4905="EI",4,IF(H4905="EO",5.2,IF(H4905="EQ",3.9,IF(H4905="ILF",7.5,IF(H4905="EIF",5.4)))))))</f>
        <v/>
      </c>
      <c r="M4905" s="30" t="str">
        <f t="shared" si="527"/>
        <v/>
      </c>
      <c r="N4905" s="134"/>
      <c r="O4905" s="29"/>
      <c r="P4905" s="37" t="str">
        <f t="shared" si="528"/>
        <v/>
      </c>
      <c r="Q4905" s="38" t="str">
        <f t="shared" si="529"/>
        <v/>
      </c>
      <c r="R4905" s="37" t="str">
        <f t="shared" si="530"/>
        <v/>
      </c>
      <c r="S4905" s="37" t="str">
        <f t="shared" si="531"/>
        <v/>
      </c>
      <c r="T4905" s="38" t="str">
        <f t="shared" si="532"/>
        <v/>
      </c>
      <c r="U4905" s="37" t="str">
        <f t="shared" si="533"/>
        <v/>
      </c>
    </row>
    <row r="4906" spans="2:21" ht="17.25">
      <c r="B4906" s="156"/>
      <c r="C4906" s="156"/>
      <c r="D4906" s="157"/>
      <c r="E4906" s="155"/>
      <c r="F4906" s="151"/>
      <c r="G4906" s="152"/>
      <c r="H4906" s="153"/>
      <c r="I4906" s="154"/>
      <c r="J4906" s="154"/>
      <c r="K4906" s="30" t="str">
        <f>IF(H4906="","",IF($C$30="간이법","",FPR(H4906,I4906,J4906)))</f>
        <v/>
      </c>
      <c r="L4906" s="30" t="str">
        <f>IF(H4906="","",IF($C$30="상세법",FPV(H4906,K4906),IF(H4906="EI",4,IF(H4906="EO",5.2,IF(H4906="EQ",3.9,IF(H4906="ILF",7.5,IF(H4906="EIF",5.4)))))))</f>
        <v/>
      </c>
      <c r="M4906" s="30" t="str">
        <f t="shared" si="527"/>
        <v/>
      </c>
      <c r="N4906" s="134"/>
      <c r="O4906" s="29"/>
      <c r="P4906" s="37" t="str">
        <f t="shared" si="528"/>
        <v/>
      </c>
      <c r="Q4906" s="38" t="str">
        <f t="shared" si="529"/>
        <v/>
      </c>
      <c r="R4906" s="37" t="str">
        <f t="shared" si="530"/>
        <v/>
      </c>
      <c r="S4906" s="37" t="str">
        <f t="shared" si="531"/>
        <v/>
      </c>
      <c r="T4906" s="38" t="str">
        <f t="shared" si="532"/>
        <v/>
      </c>
      <c r="U4906" s="37" t="str">
        <f t="shared" si="533"/>
        <v/>
      </c>
    </row>
    <row r="4907" spans="2:21" ht="17.25">
      <c r="B4907" s="156"/>
      <c r="C4907" s="156"/>
      <c r="D4907" s="157"/>
      <c r="E4907" s="155"/>
      <c r="F4907" s="151"/>
      <c r="G4907" s="152"/>
      <c r="H4907" s="153"/>
      <c r="I4907" s="154"/>
      <c r="J4907" s="154"/>
      <c r="K4907" s="30" t="str">
        <f>IF(H4907="","",IF($C$30="간이법","",FPR(H4907,I4907,J4907)))</f>
        <v/>
      </c>
      <c r="L4907" s="30" t="str">
        <f>IF(H4907="","",IF($C$30="상세법",FPV(H4907,K4907),IF(H4907="EI",4,IF(H4907="EO",5.2,IF(H4907="EQ",3.9,IF(H4907="ILF",7.5,IF(H4907="EIF",5.4)))))))</f>
        <v/>
      </c>
      <c r="M4907" s="30" t="str">
        <f t="shared" si="527"/>
        <v/>
      </c>
      <c r="N4907" s="134"/>
      <c r="O4907" s="29"/>
      <c r="P4907" s="37" t="str">
        <f t="shared" si="528"/>
        <v/>
      </c>
      <c r="Q4907" s="38" t="str">
        <f t="shared" si="529"/>
        <v/>
      </c>
      <c r="R4907" s="37" t="str">
        <f t="shared" si="530"/>
        <v/>
      </c>
      <c r="S4907" s="37" t="str">
        <f t="shared" si="531"/>
        <v/>
      </c>
      <c r="T4907" s="38" t="str">
        <f t="shared" si="532"/>
        <v/>
      </c>
      <c r="U4907" s="37" t="str">
        <f t="shared" si="533"/>
        <v/>
      </c>
    </row>
    <row r="4908" spans="2:21" ht="17.25">
      <c r="B4908" s="156"/>
      <c r="C4908" s="156"/>
      <c r="D4908" s="157"/>
      <c r="E4908" s="155"/>
      <c r="F4908" s="151"/>
      <c r="G4908" s="152"/>
      <c r="H4908" s="153"/>
      <c r="I4908" s="154"/>
      <c r="J4908" s="154"/>
      <c r="K4908" s="30" t="str">
        <f>IF(H4908="","",IF($C$30="간이법","",FPR(H4908,I4908,J4908)))</f>
        <v/>
      </c>
      <c r="L4908" s="30" t="str">
        <f>IF(H4908="","",IF($C$30="상세법",FPV(H4908,K4908),IF(H4908="EI",4,IF(H4908="EO",5.2,IF(H4908="EQ",3.9,IF(H4908="ILF",7.5,IF(H4908="EIF",5.4)))))))</f>
        <v/>
      </c>
      <c r="M4908" s="30" t="str">
        <f t="shared" si="527"/>
        <v/>
      </c>
      <c r="N4908" s="134"/>
      <c r="O4908" s="29"/>
      <c r="P4908" s="37" t="str">
        <f t="shared" si="528"/>
        <v/>
      </c>
      <c r="Q4908" s="38" t="str">
        <f t="shared" si="529"/>
        <v/>
      </c>
      <c r="R4908" s="37" t="str">
        <f t="shared" si="530"/>
        <v/>
      </c>
      <c r="S4908" s="37" t="str">
        <f t="shared" si="531"/>
        <v/>
      </c>
      <c r="T4908" s="38" t="str">
        <f t="shared" si="532"/>
        <v/>
      </c>
      <c r="U4908" s="37" t="str">
        <f t="shared" si="533"/>
        <v/>
      </c>
    </row>
    <row r="4909" spans="2:21" ht="17.25">
      <c r="B4909" s="156"/>
      <c r="C4909" s="156"/>
      <c r="D4909" s="157"/>
      <c r="E4909" s="155"/>
      <c r="F4909" s="151"/>
      <c r="G4909" s="152"/>
      <c r="H4909" s="153"/>
      <c r="I4909" s="154"/>
      <c r="J4909" s="154"/>
      <c r="K4909" s="30" t="str">
        <f>IF(H4909="","",IF($C$30="간이법","",FPR(H4909,I4909,J4909)))</f>
        <v/>
      </c>
      <c r="L4909" s="30" t="str">
        <f>IF(H4909="","",IF($C$30="상세법",FPV(H4909,K4909),IF(H4909="EI",4,IF(H4909="EO",5.2,IF(H4909="EQ",3.9,IF(H4909="ILF",7.5,IF(H4909="EIF",5.4)))))))</f>
        <v/>
      </c>
      <c r="M4909" s="30" t="str">
        <f t="shared" si="527"/>
        <v/>
      </c>
      <c r="N4909" s="134"/>
      <c r="O4909" s="29"/>
      <c r="P4909" s="37" t="str">
        <f t="shared" si="528"/>
        <v/>
      </c>
      <c r="Q4909" s="38" t="str">
        <f t="shared" si="529"/>
        <v/>
      </c>
      <c r="R4909" s="37" t="str">
        <f t="shared" si="530"/>
        <v/>
      </c>
      <c r="S4909" s="37" t="str">
        <f t="shared" si="531"/>
        <v/>
      </c>
      <c r="T4909" s="38" t="str">
        <f t="shared" si="532"/>
        <v/>
      </c>
      <c r="U4909" s="37" t="str">
        <f t="shared" si="533"/>
        <v/>
      </c>
    </row>
    <row r="4910" spans="2:21" ht="17.25">
      <c r="B4910" s="156"/>
      <c r="C4910" s="156"/>
      <c r="D4910" s="157"/>
      <c r="E4910" s="155"/>
      <c r="F4910" s="151"/>
      <c r="G4910" s="152"/>
      <c r="H4910" s="153"/>
      <c r="I4910" s="154"/>
      <c r="J4910" s="154"/>
      <c r="K4910" s="30" t="str">
        <f>IF(H4910="","",IF($C$30="간이법","",FPR(H4910,I4910,J4910)))</f>
        <v/>
      </c>
      <c r="L4910" s="30" t="str">
        <f>IF(H4910="","",IF($C$30="상세법",FPV(H4910,K4910),IF(H4910="EI",4,IF(H4910="EO",5.2,IF(H4910="EQ",3.9,IF(H4910="ILF",7.5,IF(H4910="EIF",5.4)))))))</f>
        <v/>
      </c>
      <c r="M4910" s="30" t="str">
        <f t="shared" si="527"/>
        <v/>
      </c>
      <c r="N4910" s="134"/>
      <c r="O4910" s="29"/>
      <c r="P4910" s="37" t="str">
        <f t="shared" si="528"/>
        <v/>
      </c>
      <c r="Q4910" s="38" t="str">
        <f t="shared" si="529"/>
        <v/>
      </c>
      <c r="R4910" s="37" t="str">
        <f t="shared" si="530"/>
        <v/>
      </c>
      <c r="S4910" s="37" t="str">
        <f t="shared" si="531"/>
        <v/>
      </c>
      <c r="T4910" s="38" t="str">
        <f t="shared" si="532"/>
        <v/>
      </c>
      <c r="U4910" s="37" t="str">
        <f t="shared" si="533"/>
        <v/>
      </c>
    </row>
    <row r="4911" spans="2:21" ht="17.25">
      <c r="B4911" s="156"/>
      <c r="C4911" s="156"/>
      <c r="D4911" s="157"/>
      <c r="E4911" s="155"/>
      <c r="F4911" s="151"/>
      <c r="G4911" s="152"/>
      <c r="H4911" s="153"/>
      <c r="I4911" s="154"/>
      <c r="J4911" s="154"/>
      <c r="K4911" s="30" t="str">
        <f>IF(H4911="","",IF($C$30="간이법","",FPR(H4911,I4911,J4911)))</f>
        <v/>
      </c>
      <c r="L4911" s="30" t="str">
        <f>IF(H4911="","",IF($C$30="상세법",FPV(H4911,K4911),IF(H4911="EI",4,IF(H4911="EO",5.2,IF(H4911="EQ",3.9,IF(H4911="ILF",7.5,IF(H4911="EIF",5.4)))))))</f>
        <v/>
      </c>
      <c r="M4911" s="30" t="str">
        <f t="shared" si="527"/>
        <v/>
      </c>
      <c r="N4911" s="134"/>
      <c r="O4911" s="29"/>
      <c r="P4911" s="37" t="str">
        <f t="shared" si="528"/>
        <v/>
      </c>
      <c r="Q4911" s="38" t="str">
        <f t="shared" si="529"/>
        <v/>
      </c>
      <c r="R4911" s="37" t="str">
        <f t="shared" si="530"/>
        <v/>
      </c>
      <c r="S4911" s="37" t="str">
        <f t="shared" si="531"/>
        <v/>
      </c>
      <c r="T4911" s="38" t="str">
        <f t="shared" si="532"/>
        <v/>
      </c>
      <c r="U4911" s="37" t="str">
        <f t="shared" si="533"/>
        <v/>
      </c>
    </row>
    <row r="4912" spans="2:21" ht="17.25">
      <c r="B4912" s="156"/>
      <c r="C4912" s="156"/>
      <c r="D4912" s="157"/>
      <c r="E4912" s="155"/>
      <c r="F4912" s="151"/>
      <c r="G4912" s="152"/>
      <c r="H4912" s="153"/>
      <c r="I4912" s="154"/>
      <c r="J4912" s="154"/>
      <c r="K4912" s="30" t="str">
        <f>IF(H4912="","",IF($C$30="간이법","",FPR(H4912,I4912,J4912)))</f>
        <v/>
      </c>
      <c r="L4912" s="30" t="str">
        <f>IF(H4912="","",IF($C$30="상세법",FPV(H4912,K4912),IF(H4912="EI",4,IF(H4912="EO",5.2,IF(H4912="EQ",3.9,IF(H4912="ILF",7.5,IF(H4912="EIF",5.4)))))))</f>
        <v/>
      </c>
      <c r="M4912" s="30" t="str">
        <f t="shared" si="527"/>
        <v/>
      </c>
      <c r="N4912" s="134"/>
      <c r="O4912" s="29"/>
      <c r="P4912" s="37" t="str">
        <f t="shared" si="528"/>
        <v/>
      </c>
      <c r="Q4912" s="38" t="str">
        <f t="shared" si="529"/>
        <v/>
      </c>
      <c r="R4912" s="37" t="str">
        <f t="shared" si="530"/>
        <v/>
      </c>
      <c r="S4912" s="37" t="str">
        <f t="shared" si="531"/>
        <v/>
      </c>
      <c r="T4912" s="38" t="str">
        <f t="shared" si="532"/>
        <v/>
      </c>
      <c r="U4912" s="37" t="str">
        <f t="shared" si="533"/>
        <v/>
      </c>
    </row>
    <row r="4913" spans="2:21" ht="17.25">
      <c r="B4913" s="156"/>
      <c r="C4913" s="156"/>
      <c r="D4913" s="157"/>
      <c r="E4913" s="155"/>
      <c r="F4913" s="151"/>
      <c r="G4913" s="152"/>
      <c r="H4913" s="153"/>
      <c r="I4913" s="154"/>
      <c r="J4913" s="154"/>
      <c r="K4913" s="30" t="str">
        <f>IF(H4913="","",IF($C$30="간이법","",FPR(H4913,I4913,J4913)))</f>
        <v/>
      </c>
      <c r="L4913" s="30" t="str">
        <f>IF(H4913="","",IF($C$30="상세법",FPV(H4913,K4913),IF(H4913="EI",4,IF(H4913="EO",5.2,IF(H4913="EQ",3.9,IF(H4913="ILF",7.5,IF(H4913="EIF",5.4)))))))</f>
        <v/>
      </c>
      <c r="M4913" s="30" t="str">
        <f t="shared" si="527"/>
        <v/>
      </c>
      <c r="N4913" s="134"/>
      <c r="O4913" s="29"/>
      <c r="P4913" s="37" t="str">
        <f t="shared" si="528"/>
        <v/>
      </c>
      <c r="Q4913" s="38" t="str">
        <f t="shared" si="529"/>
        <v/>
      </c>
      <c r="R4913" s="37" t="str">
        <f t="shared" si="530"/>
        <v/>
      </c>
      <c r="S4913" s="37" t="str">
        <f t="shared" si="531"/>
        <v/>
      </c>
      <c r="T4913" s="38" t="str">
        <f t="shared" si="532"/>
        <v/>
      </c>
      <c r="U4913" s="37" t="str">
        <f t="shared" si="533"/>
        <v/>
      </c>
    </row>
    <row r="4914" spans="2:21" ht="17.25">
      <c r="B4914" s="156"/>
      <c r="C4914" s="156"/>
      <c r="D4914" s="157"/>
      <c r="E4914" s="155"/>
      <c r="F4914" s="151"/>
      <c r="G4914" s="152"/>
      <c r="H4914" s="153"/>
      <c r="I4914" s="154"/>
      <c r="J4914" s="154"/>
      <c r="K4914" s="30" t="str">
        <f>IF(H4914="","",IF($C$30="간이법","",FPR(H4914,I4914,J4914)))</f>
        <v/>
      </c>
      <c r="L4914" s="30" t="str">
        <f>IF(H4914="","",IF($C$30="상세법",FPV(H4914,K4914),IF(H4914="EI",4,IF(H4914="EO",5.2,IF(H4914="EQ",3.9,IF(H4914="ILF",7.5,IF(H4914="EIF",5.4)))))))</f>
        <v/>
      </c>
      <c r="M4914" s="30" t="str">
        <f t="shared" si="527"/>
        <v/>
      </c>
      <c r="N4914" s="134"/>
      <c r="O4914" s="29"/>
      <c r="P4914" s="37" t="str">
        <f t="shared" si="528"/>
        <v/>
      </c>
      <c r="Q4914" s="38" t="str">
        <f t="shared" si="529"/>
        <v/>
      </c>
      <c r="R4914" s="37" t="str">
        <f t="shared" si="530"/>
        <v/>
      </c>
      <c r="S4914" s="37" t="str">
        <f t="shared" si="531"/>
        <v/>
      </c>
      <c r="T4914" s="38" t="str">
        <f t="shared" si="532"/>
        <v/>
      </c>
      <c r="U4914" s="37" t="str">
        <f t="shared" si="533"/>
        <v/>
      </c>
    </row>
    <row r="4915" spans="2:21" ht="17.25">
      <c r="B4915" s="156"/>
      <c r="C4915" s="156"/>
      <c r="D4915" s="157"/>
      <c r="E4915" s="155"/>
      <c r="F4915" s="151"/>
      <c r="G4915" s="152"/>
      <c r="H4915" s="153"/>
      <c r="I4915" s="154"/>
      <c r="J4915" s="154"/>
      <c r="K4915" s="30" t="str">
        <f>IF(H4915="","",IF($C$30="간이법","",FPR(H4915,I4915,J4915)))</f>
        <v/>
      </c>
      <c r="L4915" s="30" t="str">
        <f>IF(H4915="","",IF($C$30="상세법",FPV(H4915,K4915),IF(H4915="EI",4,IF(H4915="EO",5.2,IF(H4915="EQ",3.9,IF(H4915="ILF",7.5,IF(H4915="EIF",5.4)))))))</f>
        <v/>
      </c>
      <c r="M4915" s="30" t="str">
        <f t="shared" si="527"/>
        <v/>
      </c>
      <c r="N4915" s="134"/>
      <c r="O4915" s="29"/>
      <c r="P4915" s="37" t="str">
        <f t="shared" si="528"/>
        <v/>
      </c>
      <c r="Q4915" s="38" t="str">
        <f t="shared" si="529"/>
        <v/>
      </c>
      <c r="R4915" s="37" t="str">
        <f t="shared" si="530"/>
        <v/>
      </c>
      <c r="S4915" s="37" t="str">
        <f t="shared" si="531"/>
        <v/>
      </c>
      <c r="T4915" s="38" t="str">
        <f t="shared" si="532"/>
        <v/>
      </c>
      <c r="U4915" s="37" t="str">
        <f t="shared" si="533"/>
        <v/>
      </c>
    </row>
    <row r="4916" spans="2:21" ht="17.25">
      <c r="B4916" s="156"/>
      <c r="C4916" s="156"/>
      <c r="D4916" s="157"/>
      <c r="E4916" s="155"/>
      <c r="F4916" s="151"/>
      <c r="G4916" s="152"/>
      <c r="H4916" s="153"/>
      <c r="I4916" s="154"/>
      <c r="J4916" s="154"/>
      <c r="K4916" s="30" t="str">
        <f>IF(H4916="","",IF($C$30="간이법","",FPR(H4916,I4916,J4916)))</f>
        <v/>
      </c>
      <c r="L4916" s="30" t="str">
        <f>IF(H4916="","",IF($C$30="상세법",FPV(H4916,K4916),IF(H4916="EI",4,IF(H4916="EO",5.2,IF(H4916="EQ",3.9,IF(H4916="ILF",7.5,IF(H4916="EIF",5.4)))))))</f>
        <v/>
      </c>
      <c r="M4916" s="30" t="str">
        <f t="shared" si="527"/>
        <v/>
      </c>
      <c r="N4916" s="134"/>
      <c r="O4916" s="29"/>
      <c r="P4916" s="37" t="str">
        <f t="shared" si="528"/>
        <v/>
      </c>
      <c r="Q4916" s="38" t="str">
        <f t="shared" si="529"/>
        <v/>
      </c>
      <c r="R4916" s="37" t="str">
        <f t="shared" si="530"/>
        <v/>
      </c>
      <c r="S4916" s="37" t="str">
        <f t="shared" si="531"/>
        <v/>
      </c>
      <c r="T4916" s="38" t="str">
        <f t="shared" si="532"/>
        <v/>
      </c>
      <c r="U4916" s="37" t="str">
        <f t="shared" si="533"/>
        <v/>
      </c>
    </row>
    <row r="4917" spans="2:21" ht="17.25">
      <c r="B4917" s="156"/>
      <c r="C4917" s="156"/>
      <c r="D4917" s="157"/>
      <c r="E4917" s="155"/>
      <c r="F4917" s="151"/>
      <c r="G4917" s="152"/>
      <c r="H4917" s="153"/>
      <c r="I4917" s="154"/>
      <c r="J4917" s="154"/>
      <c r="K4917" s="30" t="str">
        <f>IF(H4917="","",IF($C$30="간이법","",FPR(H4917,I4917,J4917)))</f>
        <v/>
      </c>
      <c r="L4917" s="30" t="str">
        <f>IF(H4917="","",IF($C$30="상세법",FPV(H4917,K4917),IF(H4917="EI",4,IF(H4917="EO",5.2,IF(H4917="EQ",3.9,IF(H4917="ILF",7.5,IF(H4917="EIF",5.4)))))))</f>
        <v/>
      </c>
      <c r="M4917" s="30" t="str">
        <f t="shared" si="527"/>
        <v/>
      </c>
      <c r="N4917" s="134"/>
      <c r="O4917" s="29"/>
      <c r="P4917" s="37" t="str">
        <f t="shared" si="528"/>
        <v/>
      </c>
      <c r="Q4917" s="38" t="str">
        <f t="shared" si="529"/>
        <v/>
      </c>
      <c r="R4917" s="37" t="str">
        <f t="shared" si="530"/>
        <v/>
      </c>
      <c r="S4917" s="37" t="str">
        <f t="shared" si="531"/>
        <v/>
      </c>
      <c r="T4917" s="38" t="str">
        <f t="shared" si="532"/>
        <v/>
      </c>
      <c r="U4917" s="37" t="str">
        <f t="shared" si="533"/>
        <v/>
      </c>
    </row>
    <row r="4918" spans="2:21" ht="17.25">
      <c r="B4918" s="156"/>
      <c r="C4918" s="156"/>
      <c r="D4918" s="157"/>
      <c r="E4918" s="155"/>
      <c r="F4918" s="151"/>
      <c r="G4918" s="152"/>
      <c r="H4918" s="153"/>
      <c r="I4918" s="154"/>
      <c r="J4918" s="154"/>
      <c r="K4918" s="30" t="str">
        <f>IF(H4918="","",IF($C$30="간이법","",FPR(H4918,I4918,J4918)))</f>
        <v/>
      </c>
      <c r="L4918" s="30" t="str">
        <f>IF(H4918="","",IF($C$30="상세법",FPV(H4918,K4918),IF(H4918="EI",4,IF(H4918="EO",5.2,IF(H4918="EQ",3.9,IF(H4918="ILF",7.5,IF(H4918="EIF",5.4)))))))</f>
        <v/>
      </c>
      <c r="M4918" s="30" t="str">
        <f t="shared" si="527"/>
        <v/>
      </c>
      <c r="N4918" s="134"/>
      <c r="O4918" s="29"/>
      <c r="P4918" s="37" t="str">
        <f t="shared" si="528"/>
        <v/>
      </c>
      <c r="Q4918" s="38" t="str">
        <f t="shared" si="529"/>
        <v/>
      </c>
      <c r="R4918" s="37" t="str">
        <f t="shared" si="530"/>
        <v/>
      </c>
      <c r="S4918" s="37" t="str">
        <f t="shared" si="531"/>
        <v/>
      </c>
      <c r="T4918" s="38" t="str">
        <f t="shared" si="532"/>
        <v/>
      </c>
      <c r="U4918" s="37" t="str">
        <f t="shared" si="533"/>
        <v/>
      </c>
    </row>
    <row r="4919" spans="2:21" ht="17.25">
      <c r="B4919" s="156"/>
      <c r="C4919" s="156"/>
      <c r="D4919" s="157"/>
      <c r="E4919" s="155"/>
      <c r="F4919" s="151"/>
      <c r="G4919" s="152"/>
      <c r="H4919" s="153"/>
      <c r="I4919" s="154"/>
      <c r="J4919" s="154"/>
      <c r="K4919" s="30" t="str">
        <f>IF(H4919="","",IF($C$30="간이법","",FPR(H4919,I4919,J4919)))</f>
        <v/>
      </c>
      <c r="L4919" s="30" t="str">
        <f>IF(H4919="","",IF($C$30="상세법",FPV(H4919,K4919),IF(H4919="EI",4,IF(H4919="EO",5.2,IF(H4919="EQ",3.9,IF(H4919="ILF",7.5,IF(H4919="EIF",5.4)))))))</f>
        <v/>
      </c>
      <c r="M4919" s="30" t="str">
        <f t="shared" si="527"/>
        <v/>
      </c>
      <c r="N4919" s="134"/>
      <c r="O4919" s="29"/>
      <c r="P4919" s="37" t="str">
        <f t="shared" si="528"/>
        <v/>
      </c>
      <c r="Q4919" s="38" t="str">
        <f t="shared" si="529"/>
        <v/>
      </c>
      <c r="R4919" s="37" t="str">
        <f t="shared" si="530"/>
        <v/>
      </c>
      <c r="S4919" s="37" t="str">
        <f t="shared" si="531"/>
        <v/>
      </c>
      <c r="T4919" s="38" t="str">
        <f t="shared" si="532"/>
        <v/>
      </c>
      <c r="U4919" s="37" t="str">
        <f t="shared" si="533"/>
        <v/>
      </c>
    </row>
    <row r="4920" spans="2:21" ht="17.25">
      <c r="B4920" s="156"/>
      <c r="C4920" s="156"/>
      <c r="D4920" s="157"/>
      <c r="E4920" s="155"/>
      <c r="F4920" s="151"/>
      <c r="G4920" s="152"/>
      <c r="H4920" s="153"/>
      <c r="I4920" s="154"/>
      <c r="J4920" s="154"/>
      <c r="K4920" s="30" t="str">
        <f>IF(H4920="","",IF($C$30="간이법","",FPR(H4920,I4920,J4920)))</f>
        <v/>
      </c>
      <c r="L4920" s="30" t="str">
        <f>IF(H4920="","",IF($C$30="상세법",FPV(H4920,K4920),IF(H4920="EI",4,IF(H4920="EO",5.2,IF(H4920="EQ",3.9,IF(H4920="ILF",7.5,IF(H4920="EIF",5.4)))))))</f>
        <v/>
      </c>
      <c r="M4920" s="30" t="str">
        <f t="shared" si="527"/>
        <v/>
      </c>
      <c r="N4920" s="134"/>
      <c r="O4920" s="29"/>
      <c r="P4920" s="37" t="str">
        <f t="shared" si="528"/>
        <v/>
      </c>
      <c r="Q4920" s="38" t="str">
        <f t="shared" si="529"/>
        <v/>
      </c>
      <c r="R4920" s="37" t="str">
        <f t="shared" si="530"/>
        <v/>
      </c>
      <c r="S4920" s="37" t="str">
        <f t="shared" si="531"/>
        <v/>
      </c>
      <c r="T4920" s="38" t="str">
        <f t="shared" si="532"/>
        <v/>
      </c>
      <c r="U4920" s="37" t="str">
        <f t="shared" si="533"/>
        <v/>
      </c>
    </row>
    <row r="4921" spans="2:21" ht="17.25">
      <c r="B4921" s="156"/>
      <c r="C4921" s="156"/>
      <c r="D4921" s="157"/>
      <c r="E4921" s="155"/>
      <c r="F4921" s="151"/>
      <c r="G4921" s="152"/>
      <c r="H4921" s="153"/>
      <c r="I4921" s="154"/>
      <c r="J4921" s="154"/>
      <c r="K4921" s="30" t="str">
        <f>IF(H4921="","",IF($C$30="간이법","",FPR(H4921,I4921,J4921)))</f>
        <v/>
      </c>
      <c r="L4921" s="30" t="str">
        <f>IF(H4921="","",IF($C$30="상세법",FPV(H4921,K4921),IF(H4921="EI",4,IF(H4921="EO",5.2,IF(H4921="EQ",3.9,IF(H4921="ILF",7.5,IF(H4921="EIF",5.4)))))))</f>
        <v/>
      </c>
      <c r="M4921" s="30" t="str">
        <f t="shared" si="527"/>
        <v/>
      </c>
      <c r="N4921" s="134"/>
      <c r="O4921" s="29"/>
      <c r="P4921" s="37" t="str">
        <f t="shared" si="528"/>
        <v/>
      </c>
      <c r="Q4921" s="38" t="str">
        <f t="shared" si="529"/>
        <v/>
      </c>
      <c r="R4921" s="37" t="str">
        <f t="shared" si="530"/>
        <v/>
      </c>
      <c r="S4921" s="37" t="str">
        <f t="shared" si="531"/>
        <v/>
      </c>
      <c r="T4921" s="38" t="str">
        <f t="shared" si="532"/>
        <v/>
      </c>
      <c r="U4921" s="37" t="str">
        <f t="shared" si="533"/>
        <v/>
      </c>
    </row>
    <row r="4922" spans="2:21" ht="17.25">
      <c r="B4922" s="156"/>
      <c r="C4922" s="156"/>
      <c r="D4922" s="157"/>
      <c r="E4922" s="155"/>
      <c r="F4922" s="151"/>
      <c r="G4922" s="152"/>
      <c r="H4922" s="153"/>
      <c r="I4922" s="154"/>
      <c r="J4922" s="154"/>
      <c r="K4922" s="30" t="str">
        <f>IF(H4922="","",IF($C$30="간이법","",FPR(H4922,I4922,J4922)))</f>
        <v/>
      </c>
      <c r="L4922" s="30" t="str">
        <f>IF(H4922="","",IF($C$30="상세법",FPV(H4922,K4922),IF(H4922="EI",4,IF(H4922="EO",5.2,IF(H4922="EQ",3.9,IF(H4922="ILF",7.5,IF(H4922="EIF",5.4)))))))</f>
        <v/>
      </c>
      <c r="M4922" s="30" t="str">
        <f t="shared" si="527"/>
        <v/>
      </c>
      <c r="N4922" s="134"/>
      <c r="O4922" s="29"/>
      <c r="P4922" s="37" t="str">
        <f t="shared" si="528"/>
        <v/>
      </c>
      <c r="Q4922" s="38" t="str">
        <f t="shared" si="529"/>
        <v/>
      </c>
      <c r="R4922" s="37" t="str">
        <f t="shared" si="530"/>
        <v/>
      </c>
      <c r="S4922" s="37" t="str">
        <f t="shared" si="531"/>
        <v/>
      </c>
      <c r="T4922" s="38" t="str">
        <f t="shared" si="532"/>
        <v/>
      </c>
      <c r="U4922" s="37" t="str">
        <f t="shared" si="533"/>
        <v/>
      </c>
    </row>
    <row r="4923" spans="2:21" ht="17.25">
      <c r="B4923" s="156"/>
      <c r="C4923" s="156"/>
      <c r="D4923" s="157"/>
      <c r="E4923" s="155"/>
      <c r="F4923" s="151"/>
      <c r="G4923" s="152"/>
      <c r="H4923" s="153"/>
      <c r="I4923" s="154"/>
      <c r="J4923" s="154"/>
      <c r="K4923" s="30" t="str">
        <f>IF(H4923="","",IF($C$30="간이법","",FPR(H4923,I4923,J4923)))</f>
        <v/>
      </c>
      <c r="L4923" s="30" t="str">
        <f>IF(H4923="","",IF($C$30="상세법",FPV(H4923,K4923),IF(H4923="EI",4,IF(H4923="EO",5.2,IF(H4923="EQ",3.9,IF(H4923="ILF",7.5,IF(H4923="EIF",5.4)))))))</f>
        <v/>
      </c>
      <c r="M4923" s="30" t="str">
        <f t="shared" si="527"/>
        <v/>
      </c>
      <c r="N4923" s="134"/>
      <c r="O4923" s="29"/>
      <c r="P4923" s="37" t="str">
        <f t="shared" si="528"/>
        <v/>
      </c>
      <c r="Q4923" s="38" t="str">
        <f t="shared" si="529"/>
        <v/>
      </c>
      <c r="R4923" s="37" t="str">
        <f t="shared" si="530"/>
        <v/>
      </c>
      <c r="S4923" s="37" t="str">
        <f t="shared" si="531"/>
        <v/>
      </c>
      <c r="T4923" s="38" t="str">
        <f t="shared" si="532"/>
        <v/>
      </c>
      <c r="U4923" s="37" t="str">
        <f t="shared" si="533"/>
        <v/>
      </c>
    </row>
    <row r="4924" spans="2:21" ht="17.25">
      <c r="B4924" s="156"/>
      <c r="C4924" s="156"/>
      <c r="D4924" s="157"/>
      <c r="E4924" s="155"/>
      <c r="F4924" s="151"/>
      <c r="G4924" s="152"/>
      <c r="H4924" s="153"/>
      <c r="I4924" s="154"/>
      <c r="J4924" s="154"/>
      <c r="K4924" s="30" t="str">
        <f>IF(H4924="","",IF($C$30="간이법","",FPR(H4924,I4924,J4924)))</f>
        <v/>
      </c>
      <c r="L4924" s="30" t="str">
        <f>IF(H4924="","",IF($C$30="상세법",FPV(H4924,K4924),IF(H4924="EI",4,IF(H4924="EO",5.2,IF(H4924="EQ",3.9,IF(H4924="ILF",7.5,IF(H4924="EIF",5.4)))))))</f>
        <v/>
      </c>
      <c r="M4924" s="30" t="str">
        <f t="shared" ref="M4924:M4987" si="534">IF(OR(G4924="",$E$36="(선택)",$E$40="(선택)",$E$41="(선택)",F4924="신규 개발",F4924="수정 없이 재사용"),"",(IF(F4924="수정 후 재사용",IF($E$50&lt;=0.5,L4924*($E$36+$E$50*100*(1+0.02*($E$40*$E$41)))/100,L4924*($E$36+$E$50*100+($E$40*$E$41))/100))))</f>
        <v/>
      </c>
      <c r="N4924" s="134"/>
      <c r="O4924" s="29"/>
      <c r="P4924" s="37" t="str">
        <f t="shared" ref="P4924:P4987" si="535">IF(F4924="수정 후 재사용",IF(H4924="ILF",G4924,IF(H4924="EIF",G4924,"")),"")</f>
        <v/>
      </c>
      <c r="Q4924" s="38" t="str">
        <f t="shared" ref="Q4924:Q4987" si="536">IF(P4924&lt;&gt;"",IF(H4924="ILF", L4924/$E$46,IF(H4924="EIF", L4924/$E$46,"")),"")</f>
        <v/>
      </c>
      <c r="R4924" s="37" t="str">
        <f t="shared" ref="R4924:R4987" si="537">IF(P4924&lt;&gt;"",P4924*Q4924,"")</f>
        <v/>
      </c>
      <c r="S4924" s="37" t="str">
        <f t="shared" ref="S4924:S4987" si="538">IF(F4924="수정 후 재사용",IF(H4924="EI",G4924,IF(H4924="EO",G4924,IF(H4924="EQ",G4924,""))),"")</f>
        <v/>
      </c>
      <c r="T4924" s="38" t="str">
        <f t="shared" ref="T4924:T4987" si="539">IF(S4924&lt;&gt;"",IF(H4924="EI",L4924/$E$47,IF(H4924="EO",L4924/$E$47,IF(H4924="EQ",L4924/$E$47,""))),"")</f>
        <v/>
      </c>
      <c r="U4924" s="37" t="str">
        <f t="shared" ref="U4924:U4987" si="540">IF(S4924&lt;&gt;"",S4924*T4924,"")</f>
        <v/>
      </c>
    </row>
    <row r="4925" spans="2:21" ht="17.25">
      <c r="B4925" s="156"/>
      <c r="C4925" s="156"/>
      <c r="D4925" s="157"/>
      <c r="E4925" s="155"/>
      <c r="F4925" s="151"/>
      <c r="G4925" s="152"/>
      <c r="H4925" s="153"/>
      <c r="I4925" s="154"/>
      <c r="J4925" s="154"/>
      <c r="K4925" s="30" t="str">
        <f>IF(H4925="","",IF($C$30="간이법","",FPR(H4925,I4925,J4925)))</f>
        <v/>
      </c>
      <c r="L4925" s="30" t="str">
        <f>IF(H4925="","",IF($C$30="상세법",FPV(H4925,K4925),IF(H4925="EI",4,IF(H4925="EO",5.2,IF(H4925="EQ",3.9,IF(H4925="ILF",7.5,IF(H4925="EIF",5.4)))))))</f>
        <v/>
      </c>
      <c r="M4925" s="30" t="str">
        <f t="shared" si="534"/>
        <v/>
      </c>
      <c r="N4925" s="134"/>
      <c r="O4925" s="29"/>
      <c r="P4925" s="37" t="str">
        <f t="shared" si="535"/>
        <v/>
      </c>
      <c r="Q4925" s="38" t="str">
        <f t="shared" si="536"/>
        <v/>
      </c>
      <c r="R4925" s="37" t="str">
        <f t="shared" si="537"/>
        <v/>
      </c>
      <c r="S4925" s="37" t="str">
        <f t="shared" si="538"/>
        <v/>
      </c>
      <c r="T4925" s="38" t="str">
        <f t="shared" si="539"/>
        <v/>
      </c>
      <c r="U4925" s="37" t="str">
        <f t="shared" si="540"/>
        <v/>
      </c>
    </row>
    <row r="4926" spans="2:21" ht="17.25">
      <c r="B4926" s="156"/>
      <c r="C4926" s="156"/>
      <c r="D4926" s="157"/>
      <c r="E4926" s="155"/>
      <c r="F4926" s="151"/>
      <c r="G4926" s="152"/>
      <c r="H4926" s="153"/>
      <c r="I4926" s="154"/>
      <c r="J4926" s="154"/>
      <c r="K4926" s="30" t="str">
        <f>IF(H4926="","",IF($C$30="간이법","",FPR(H4926,I4926,J4926)))</f>
        <v/>
      </c>
      <c r="L4926" s="30" t="str">
        <f>IF(H4926="","",IF($C$30="상세법",FPV(H4926,K4926),IF(H4926="EI",4,IF(H4926="EO",5.2,IF(H4926="EQ",3.9,IF(H4926="ILF",7.5,IF(H4926="EIF",5.4)))))))</f>
        <v/>
      </c>
      <c r="M4926" s="30" t="str">
        <f t="shared" si="534"/>
        <v/>
      </c>
      <c r="N4926" s="134"/>
      <c r="O4926" s="29"/>
      <c r="P4926" s="37" t="str">
        <f t="shared" si="535"/>
        <v/>
      </c>
      <c r="Q4926" s="38" t="str">
        <f t="shared" si="536"/>
        <v/>
      </c>
      <c r="R4926" s="37" t="str">
        <f t="shared" si="537"/>
        <v/>
      </c>
      <c r="S4926" s="37" t="str">
        <f t="shared" si="538"/>
        <v/>
      </c>
      <c r="T4926" s="38" t="str">
        <f t="shared" si="539"/>
        <v/>
      </c>
      <c r="U4926" s="37" t="str">
        <f t="shared" si="540"/>
        <v/>
      </c>
    </row>
    <row r="4927" spans="2:21" ht="17.25">
      <c r="B4927" s="156"/>
      <c r="C4927" s="156"/>
      <c r="D4927" s="157"/>
      <c r="E4927" s="155"/>
      <c r="F4927" s="151"/>
      <c r="G4927" s="152"/>
      <c r="H4927" s="153"/>
      <c r="I4927" s="154"/>
      <c r="J4927" s="154"/>
      <c r="K4927" s="30" t="str">
        <f>IF(H4927="","",IF($C$30="간이법","",FPR(H4927,I4927,J4927)))</f>
        <v/>
      </c>
      <c r="L4927" s="30" t="str">
        <f>IF(H4927="","",IF($C$30="상세법",FPV(H4927,K4927),IF(H4927="EI",4,IF(H4927="EO",5.2,IF(H4927="EQ",3.9,IF(H4927="ILF",7.5,IF(H4927="EIF",5.4)))))))</f>
        <v/>
      </c>
      <c r="M4927" s="30" t="str">
        <f t="shared" si="534"/>
        <v/>
      </c>
      <c r="N4927" s="134"/>
      <c r="O4927" s="29"/>
      <c r="P4927" s="37" t="str">
        <f t="shared" si="535"/>
        <v/>
      </c>
      <c r="Q4927" s="38" t="str">
        <f t="shared" si="536"/>
        <v/>
      </c>
      <c r="R4927" s="37" t="str">
        <f t="shared" si="537"/>
        <v/>
      </c>
      <c r="S4927" s="37" t="str">
        <f t="shared" si="538"/>
        <v/>
      </c>
      <c r="T4927" s="38" t="str">
        <f t="shared" si="539"/>
        <v/>
      </c>
      <c r="U4927" s="37" t="str">
        <f t="shared" si="540"/>
        <v/>
      </c>
    </row>
    <row r="4928" spans="2:21" ht="17.25">
      <c r="B4928" s="156"/>
      <c r="C4928" s="156"/>
      <c r="D4928" s="157"/>
      <c r="E4928" s="155"/>
      <c r="F4928" s="151"/>
      <c r="G4928" s="152"/>
      <c r="H4928" s="153"/>
      <c r="I4928" s="154"/>
      <c r="J4928" s="154"/>
      <c r="K4928" s="30" t="str">
        <f>IF(H4928="","",IF($C$30="간이법","",FPR(H4928,I4928,J4928)))</f>
        <v/>
      </c>
      <c r="L4928" s="30" t="str">
        <f>IF(H4928="","",IF($C$30="상세법",FPV(H4928,K4928),IF(H4928="EI",4,IF(H4928="EO",5.2,IF(H4928="EQ",3.9,IF(H4928="ILF",7.5,IF(H4928="EIF",5.4)))))))</f>
        <v/>
      </c>
      <c r="M4928" s="30" t="str">
        <f t="shared" si="534"/>
        <v/>
      </c>
      <c r="N4928" s="134"/>
      <c r="O4928" s="29"/>
      <c r="P4928" s="37" t="str">
        <f t="shared" si="535"/>
        <v/>
      </c>
      <c r="Q4928" s="38" t="str">
        <f t="shared" si="536"/>
        <v/>
      </c>
      <c r="R4928" s="37" t="str">
        <f t="shared" si="537"/>
        <v/>
      </c>
      <c r="S4928" s="37" t="str">
        <f t="shared" si="538"/>
        <v/>
      </c>
      <c r="T4928" s="38" t="str">
        <f t="shared" si="539"/>
        <v/>
      </c>
      <c r="U4928" s="37" t="str">
        <f t="shared" si="540"/>
        <v/>
      </c>
    </row>
    <row r="4929" spans="2:21" ht="17.25">
      <c r="B4929" s="156"/>
      <c r="C4929" s="156"/>
      <c r="D4929" s="157"/>
      <c r="E4929" s="155"/>
      <c r="F4929" s="151"/>
      <c r="G4929" s="152"/>
      <c r="H4929" s="153"/>
      <c r="I4929" s="154"/>
      <c r="J4929" s="154"/>
      <c r="K4929" s="30" t="str">
        <f>IF(H4929="","",IF($C$30="간이법","",FPR(H4929,I4929,J4929)))</f>
        <v/>
      </c>
      <c r="L4929" s="30" t="str">
        <f>IF(H4929="","",IF($C$30="상세법",FPV(H4929,K4929),IF(H4929="EI",4,IF(H4929="EO",5.2,IF(H4929="EQ",3.9,IF(H4929="ILF",7.5,IF(H4929="EIF",5.4)))))))</f>
        <v/>
      </c>
      <c r="M4929" s="30" t="str">
        <f t="shared" si="534"/>
        <v/>
      </c>
      <c r="N4929" s="134"/>
      <c r="O4929" s="29"/>
      <c r="P4929" s="37" t="str">
        <f t="shared" si="535"/>
        <v/>
      </c>
      <c r="Q4929" s="38" t="str">
        <f t="shared" si="536"/>
        <v/>
      </c>
      <c r="R4929" s="37" t="str">
        <f t="shared" si="537"/>
        <v/>
      </c>
      <c r="S4929" s="37" t="str">
        <f t="shared" si="538"/>
        <v/>
      </c>
      <c r="T4929" s="38" t="str">
        <f t="shared" si="539"/>
        <v/>
      </c>
      <c r="U4929" s="37" t="str">
        <f t="shared" si="540"/>
        <v/>
      </c>
    </row>
    <row r="4930" spans="2:21" ht="17.25">
      <c r="B4930" s="156"/>
      <c r="C4930" s="156"/>
      <c r="D4930" s="157"/>
      <c r="E4930" s="155"/>
      <c r="F4930" s="151"/>
      <c r="G4930" s="152"/>
      <c r="H4930" s="153"/>
      <c r="I4930" s="154"/>
      <c r="J4930" s="154"/>
      <c r="K4930" s="30" t="str">
        <f>IF(H4930="","",IF($C$30="간이법","",FPR(H4930,I4930,J4930)))</f>
        <v/>
      </c>
      <c r="L4930" s="30" t="str">
        <f>IF(H4930="","",IF($C$30="상세법",FPV(H4930,K4930),IF(H4930="EI",4,IF(H4930="EO",5.2,IF(H4930="EQ",3.9,IF(H4930="ILF",7.5,IF(H4930="EIF",5.4)))))))</f>
        <v/>
      </c>
      <c r="M4930" s="30" t="str">
        <f t="shared" si="534"/>
        <v/>
      </c>
      <c r="N4930" s="134"/>
      <c r="O4930" s="29"/>
      <c r="P4930" s="37" t="str">
        <f t="shared" si="535"/>
        <v/>
      </c>
      <c r="Q4930" s="38" t="str">
        <f t="shared" si="536"/>
        <v/>
      </c>
      <c r="R4930" s="37" t="str">
        <f t="shared" si="537"/>
        <v/>
      </c>
      <c r="S4930" s="37" t="str">
        <f t="shared" si="538"/>
        <v/>
      </c>
      <c r="T4930" s="38" t="str">
        <f t="shared" si="539"/>
        <v/>
      </c>
      <c r="U4930" s="37" t="str">
        <f t="shared" si="540"/>
        <v/>
      </c>
    </row>
    <row r="4931" spans="2:21" ht="17.25">
      <c r="B4931" s="156"/>
      <c r="C4931" s="156"/>
      <c r="D4931" s="157"/>
      <c r="E4931" s="155"/>
      <c r="F4931" s="151"/>
      <c r="G4931" s="152"/>
      <c r="H4931" s="153"/>
      <c r="I4931" s="154"/>
      <c r="J4931" s="154"/>
      <c r="K4931" s="30" t="str">
        <f>IF(H4931="","",IF($C$30="간이법","",FPR(H4931,I4931,J4931)))</f>
        <v/>
      </c>
      <c r="L4931" s="30" t="str">
        <f>IF(H4931="","",IF($C$30="상세법",FPV(H4931,K4931),IF(H4931="EI",4,IF(H4931="EO",5.2,IF(H4931="EQ",3.9,IF(H4931="ILF",7.5,IF(H4931="EIF",5.4)))))))</f>
        <v/>
      </c>
      <c r="M4931" s="30" t="str">
        <f t="shared" si="534"/>
        <v/>
      </c>
      <c r="N4931" s="134"/>
      <c r="O4931" s="29"/>
      <c r="P4931" s="37" t="str">
        <f t="shared" si="535"/>
        <v/>
      </c>
      <c r="Q4931" s="38" t="str">
        <f t="shared" si="536"/>
        <v/>
      </c>
      <c r="R4931" s="37" t="str">
        <f t="shared" si="537"/>
        <v/>
      </c>
      <c r="S4931" s="37" t="str">
        <f t="shared" si="538"/>
        <v/>
      </c>
      <c r="T4931" s="38" t="str">
        <f t="shared" si="539"/>
        <v/>
      </c>
      <c r="U4931" s="37" t="str">
        <f t="shared" si="540"/>
        <v/>
      </c>
    </row>
    <row r="4932" spans="2:21" ht="17.25">
      <c r="B4932" s="156"/>
      <c r="C4932" s="156"/>
      <c r="D4932" s="157"/>
      <c r="E4932" s="155"/>
      <c r="F4932" s="151"/>
      <c r="G4932" s="152"/>
      <c r="H4932" s="153"/>
      <c r="I4932" s="154"/>
      <c r="J4932" s="154"/>
      <c r="K4932" s="30" t="str">
        <f>IF(H4932="","",IF($C$30="간이법","",FPR(H4932,I4932,J4932)))</f>
        <v/>
      </c>
      <c r="L4932" s="30" t="str">
        <f>IF(H4932="","",IF($C$30="상세법",FPV(H4932,K4932),IF(H4932="EI",4,IF(H4932="EO",5.2,IF(H4932="EQ",3.9,IF(H4932="ILF",7.5,IF(H4932="EIF",5.4)))))))</f>
        <v/>
      </c>
      <c r="M4932" s="30" t="str">
        <f t="shared" si="534"/>
        <v/>
      </c>
      <c r="N4932" s="134"/>
      <c r="O4932" s="29"/>
      <c r="P4932" s="37" t="str">
        <f t="shared" si="535"/>
        <v/>
      </c>
      <c r="Q4932" s="38" t="str">
        <f t="shared" si="536"/>
        <v/>
      </c>
      <c r="R4932" s="37" t="str">
        <f t="shared" si="537"/>
        <v/>
      </c>
      <c r="S4932" s="37" t="str">
        <f t="shared" si="538"/>
        <v/>
      </c>
      <c r="T4932" s="38" t="str">
        <f t="shared" si="539"/>
        <v/>
      </c>
      <c r="U4932" s="37" t="str">
        <f t="shared" si="540"/>
        <v/>
      </c>
    </row>
    <row r="4933" spans="2:21" ht="17.25">
      <c r="B4933" s="156"/>
      <c r="C4933" s="156"/>
      <c r="D4933" s="157"/>
      <c r="E4933" s="155"/>
      <c r="F4933" s="151"/>
      <c r="G4933" s="152"/>
      <c r="H4933" s="153"/>
      <c r="I4933" s="154"/>
      <c r="J4933" s="154"/>
      <c r="K4933" s="30" t="str">
        <f>IF(H4933="","",IF($C$30="간이법","",FPR(H4933,I4933,J4933)))</f>
        <v/>
      </c>
      <c r="L4933" s="30" t="str">
        <f>IF(H4933="","",IF($C$30="상세법",FPV(H4933,K4933),IF(H4933="EI",4,IF(H4933="EO",5.2,IF(H4933="EQ",3.9,IF(H4933="ILF",7.5,IF(H4933="EIF",5.4)))))))</f>
        <v/>
      </c>
      <c r="M4933" s="30" t="str">
        <f t="shared" si="534"/>
        <v/>
      </c>
      <c r="N4933" s="134"/>
      <c r="O4933" s="29"/>
      <c r="P4933" s="37" t="str">
        <f t="shared" si="535"/>
        <v/>
      </c>
      <c r="Q4933" s="38" t="str">
        <f t="shared" si="536"/>
        <v/>
      </c>
      <c r="R4933" s="37" t="str">
        <f t="shared" si="537"/>
        <v/>
      </c>
      <c r="S4933" s="37" t="str">
        <f t="shared" si="538"/>
        <v/>
      </c>
      <c r="T4933" s="38" t="str">
        <f t="shared" si="539"/>
        <v/>
      </c>
      <c r="U4933" s="37" t="str">
        <f t="shared" si="540"/>
        <v/>
      </c>
    </row>
    <row r="4934" spans="2:21" ht="17.25">
      <c r="B4934" s="156"/>
      <c r="C4934" s="156"/>
      <c r="D4934" s="157"/>
      <c r="E4934" s="155"/>
      <c r="F4934" s="151"/>
      <c r="G4934" s="152"/>
      <c r="H4934" s="153"/>
      <c r="I4934" s="154"/>
      <c r="J4934" s="154"/>
      <c r="K4934" s="30" t="str">
        <f>IF(H4934="","",IF($C$30="간이법","",FPR(H4934,I4934,J4934)))</f>
        <v/>
      </c>
      <c r="L4934" s="30" t="str">
        <f>IF(H4934="","",IF($C$30="상세법",FPV(H4934,K4934),IF(H4934="EI",4,IF(H4934="EO",5.2,IF(H4934="EQ",3.9,IF(H4934="ILF",7.5,IF(H4934="EIF",5.4)))))))</f>
        <v/>
      </c>
      <c r="M4934" s="30" t="str">
        <f t="shared" si="534"/>
        <v/>
      </c>
      <c r="N4934" s="134"/>
      <c r="O4934" s="29"/>
      <c r="P4934" s="37" t="str">
        <f t="shared" si="535"/>
        <v/>
      </c>
      <c r="Q4934" s="38" t="str">
        <f t="shared" si="536"/>
        <v/>
      </c>
      <c r="R4934" s="37" t="str">
        <f t="shared" si="537"/>
        <v/>
      </c>
      <c r="S4934" s="37" t="str">
        <f t="shared" si="538"/>
        <v/>
      </c>
      <c r="T4934" s="38" t="str">
        <f t="shared" si="539"/>
        <v/>
      </c>
      <c r="U4934" s="37" t="str">
        <f t="shared" si="540"/>
        <v/>
      </c>
    </row>
    <row r="4935" spans="2:21" ht="17.25">
      <c r="B4935" s="156"/>
      <c r="C4935" s="156"/>
      <c r="D4935" s="157"/>
      <c r="E4935" s="155"/>
      <c r="F4935" s="151"/>
      <c r="G4935" s="152"/>
      <c r="H4935" s="153"/>
      <c r="I4935" s="154"/>
      <c r="J4935" s="154"/>
      <c r="K4935" s="30" t="str">
        <f>IF(H4935="","",IF($C$30="간이법","",FPR(H4935,I4935,J4935)))</f>
        <v/>
      </c>
      <c r="L4935" s="30" t="str">
        <f>IF(H4935="","",IF($C$30="상세법",FPV(H4935,K4935),IF(H4935="EI",4,IF(H4935="EO",5.2,IF(H4935="EQ",3.9,IF(H4935="ILF",7.5,IF(H4935="EIF",5.4)))))))</f>
        <v/>
      </c>
      <c r="M4935" s="30" t="str">
        <f t="shared" si="534"/>
        <v/>
      </c>
      <c r="N4935" s="134"/>
      <c r="O4935" s="29"/>
      <c r="P4935" s="37" t="str">
        <f t="shared" si="535"/>
        <v/>
      </c>
      <c r="Q4935" s="38" t="str">
        <f t="shared" si="536"/>
        <v/>
      </c>
      <c r="R4935" s="37" t="str">
        <f t="shared" si="537"/>
        <v/>
      </c>
      <c r="S4935" s="37" t="str">
        <f t="shared" si="538"/>
        <v/>
      </c>
      <c r="T4935" s="38" t="str">
        <f t="shared" si="539"/>
        <v/>
      </c>
      <c r="U4935" s="37" t="str">
        <f t="shared" si="540"/>
        <v/>
      </c>
    </row>
    <row r="4936" spans="2:21" ht="17.25">
      <c r="B4936" s="156"/>
      <c r="C4936" s="156"/>
      <c r="D4936" s="157"/>
      <c r="E4936" s="155"/>
      <c r="F4936" s="151"/>
      <c r="G4936" s="152"/>
      <c r="H4936" s="153"/>
      <c r="I4936" s="154"/>
      <c r="J4936" s="154"/>
      <c r="K4936" s="30" t="str">
        <f>IF(H4936="","",IF($C$30="간이법","",FPR(H4936,I4936,J4936)))</f>
        <v/>
      </c>
      <c r="L4936" s="30" t="str">
        <f>IF(H4936="","",IF($C$30="상세법",FPV(H4936,K4936),IF(H4936="EI",4,IF(H4936="EO",5.2,IF(H4936="EQ",3.9,IF(H4936="ILF",7.5,IF(H4936="EIF",5.4)))))))</f>
        <v/>
      </c>
      <c r="M4936" s="30" t="str">
        <f t="shared" si="534"/>
        <v/>
      </c>
      <c r="N4936" s="134"/>
      <c r="O4936" s="29"/>
      <c r="P4936" s="37" t="str">
        <f t="shared" si="535"/>
        <v/>
      </c>
      <c r="Q4936" s="38" t="str">
        <f t="shared" si="536"/>
        <v/>
      </c>
      <c r="R4936" s="37" t="str">
        <f t="shared" si="537"/>
        <v/>
      </c>
      <c r="S4936" s="37" t="str">
        <f t="shared" si="538"/>
        <v/>
      </c>
      <c r="T4936" s="38" t="str">
        <f t="shared" si="539"/>
        <v/>
      </c>
      <c r="U4936" s="37" t="str">
        <f t="shared" si="540"/>
        <v/>
      </c>
    </row>
    <row r="4937" spans="2:21" ht="17.25">
      <c r="B4937" s="156"/>
      <c r="C4937" s="156"/>
      <c r="D4937" s="157"/>
      <c r="E4937" s="155"/>
      <c r="F4937" s="151"/>
      <c r="G4937" s="152"/>
      <c r="H4937" s="153"/>
      <c r="I4937" s="154"/>
      <c r="J4937" s="154"/>
      <c r="K4937" s="30" t="str">
        <f>IF(H4937="","",IF($C$30="간이법","",FPR(H4937,I4937,J4937)))</f>
        <v/>
      </c>
      <c r="L4937" s="30" t="str">
        <f>IF(H4937="","",IF($C$30="상세법",FPV(H4937,K4937),IF(H4937="EI",4,IF(H4937="EO",5.2,IF(H4937="EQ",3.9,IF(H4937="ILF",7.5,IF(H4937="EIF",5.4)))))))</f>
        <v/>
      </c>
      <c r="M4937" s="30" t="str">
        <f t="shared" si="534"/>
        <v/>
      </c>
      <c r="N4937" s="134"/>
      <c r="O4937" s="29"/>
      <c r="P4937" s="37" t="str">
        <f t="shared" si="535"/>
        <v/>
      </c>
      <c r="Q4937" s="38" t="str">
        <f t="shared" si="536"/>
        <v/>
      </c>
      <c r="R4937" s="37" t="str">
        <f t="shared" si="537"/>
        <v/>
      </c>
      <c r="S4937" s="37" t="str">
        <f t="shared" si="538"/>
        <v/>
      </c>
      <c r="T4937" s="38" t="str">
        <f t="shared" si="539"/>
        <v/>
      </c>
      <c r="U4937" s="37" t="str">
        <f t="shared" si="540"/>
        <v/>
      </c>
    </row>
    <row r="4938" spans="2:21" ht="17.25">
      <c r="B4938" s="156"/>
      <c r="C4938" s="156"/>
      <c r="D4938" s="157"/>
      <c r="E4938" s="155"/>
      <c r="F4938" s="151"/>
      <c r="G4938" s="152"/>
      <c r="H4938" s="153"/>
      <c r="I4938" s="154"/>
      <c r="J4938" s="154"/>
      <c r="K4938" s="30" t="str">
        <f>IF(H4938="","",IF($C$30="간이법","",FPR(H4938,I4938,J4938)))</f>
        <v/>
      </c>
      <c r="L4938" s="30" t="str">
        <f>IF(H4938="","",IF($C$30="상세법",FPV(H4938,K4938),IF(H4938="EI",4,IF(H4938="EO",5.2,IF(H4938="EQ",3.9,IF(H4938="ILF",7.5,IF(H4938="EIF",5.4)))))))</f>
        <v/>
      </c>
      <c r="M4938" s="30" t="str">
        <f t="shared" si="534"/>
        <v/>
      </c>
      <c r="N4938" s="134"/>
      <c r="O4938" s="29"/>
      <c r="P4938" s="37" t="str">
        <f t="shared" si="535"/>
        <v/>
      </c>
      <c r="Q4938" s="38" t="str">
        <f t="shared" si="536"/>
        <v/>
      </c>
      <c r="R4938" s="37" t="str">
        <f t="shared" si="537"/>
        <v/>
      </c>
      <c r="S4938" s="37" t="str">
        <f t="shared" si="538"/>
        <v/>
      </c>
      <c r="T4938" s="38" t="str">
        <f t="shared" si="539"/>
        <v/>
      </c>
      <c r="U4938" s="37" t="str">
        <f t="shared" si="540"/>
        <v/>
      </c>
    </row>
    <row r="4939" spans="2:21" ht="17.25">
      <c r="B4939" s="156"/>
      <c r="C4939" s="156"/>
      <c r="D4939" s="157"/>
      <c r="E4939" s="155"/>
      <c r="F4939" s="151"/>
      <c r="G4939" s="152"/>
      <c r="H4939" s="153"/>
      <c r="I4939" s="154"/>
      <c r="J4939" s="154"/>
      <c r="K4939" s="30" t="str">
        <f>IF(H4939="","",IF($C$30="간이법","",FPR(H4939,I4939,J4939)))</f>
        <v/>
      </c>
      <c r="L4939" s="30" t="str">
        <f>IF(H4939="","",IF($C$30="상세법",FPV(H4939,K4939),IF(H4939="EI",4,IF(H4939="EO",5.2,IF(H4939="EQ",3.9,IF(H4939="ILF",7.5,IF(H4939="EIF",5.4)))))))</f>
        <v/>
      </c>
      <c r="M4939" s="30" t="str">
        <f t="shared" si="534"/>
        <v/>
      </c>
      <c r="N4939" s="134"/>
      <c r="O4939" s="29"/>
      <c r="P4939" s="37" t="str">
        <f t="shared" si="535"/>
        <v/>
      </c>
      <c r="Q4939" s="38" t="str">
        <f t="shared" si="536"/>
        <v/>
      </c>
      <c r="R4939" s="37" t="str">
        <f t="shared" si="537"/>
        <v/>
      </c>
      <c r="S4939" s="37" t="str">
        <f t="shared" si="538"/>
        <v/>
      </c>
      <c r="T4939" s="38" t="str">
        <f t="shared" si="539"/>
        <v/>
      </c>
      <c r="U4939" s="37" t="str">
        <f t="shared" si="540"/>
        <v/>
      </c>
    </row>
    <row r="4940" spans="2:21" ht="17.25">
      <c r="B4940" s="156"/>
      <c r="C4940" s="156"/>
      <c r="D4940" s="157"/>
      <c r="E4940" s="155"/>
      <c r="F4940" s="151"/>
      <c r="G4940" s="152"/>
      <c r="H4940" s="153"/>
      <c r="I4940" s="154"/>
      <c r="J4940" s="154"/>
      <c r="K4940" s="30" t="str">
        <f>IF(H4940="","",IF($C$30="간이법","",FPR(H4940,I4940,J4940)))</f>
        <v/>
      </c>
      <c r="L4940" s="30" t="str">
        <f>IF(H4940="","",IF($C$30="상세법",FPV(H4940,K4940),IF(H4940="EI",4,IF(H4940="EO",5.2,IF(H4940="EQ",3.9,IF(H4940="ILF",7.5,IF(H4940="EIF",5.4)))))))</f>
        <v/>
      </c>
      <c r="M4940" s="30" t="str">
        <f t="shared" si="534"/>
        <v/>
      </c>
      <c r="N4940" s="134"/>
      <c r="O4940" s="29"/>
      <c r="P4940" s="37" t="str">
        <f t="shared" si="535"/>
        <v/>
      </c>
      <c r="Q4940" s="38" t="str">
        <f t="shared" si="536"/>
        <v/>
      </c>
      <c r="R4940" s="37" t="str">
        <f t="shared" si="537"/>
        <v/>
      </c>
      <c r="S4940" s="37" t="str">
        <f t="shared" si="538"/>
        <v/>
      </c>
      <c r="T4940" s="38" t="str">
        <f t="shared" si="539"/>
        <v/>
      </c>
      <c r="U4940" s="37" t="str">
        <f t="shared" si="540"/>
        <v/>
      </c>
    </row>
    <row r="4941" spans="2:21" ht="17.25">
      <c r="B4941" s="156"/>
      <c r="C4941" s="156"/>
      <c r="D4941" s="157"/>
      <c r="E4941" s="155"/>
      <c r="F4941" s="151"/>
      <c r="G4941" s="152"/>
      <c r="H4941" s="153"/>
      <c r="I4941" s="154"/>
      <c r="J4941" s="154"/>
      <c r="K4941" s="30" t="str">
        <f>IF(H4941="","",IF($C$30="간이법","",FPR(H4941,I4941,J4941)))</f>
        <v/>
      </c>
      <c r="L4941" s="30" t="str">
        <f>IF(H4941="","",IF($C$30="상세법",FPV(H4941,K4941),IF(H4941="EI",4,IF(H4941="EO",5.2,IF(H4941="EQ",3.9,IF(H4941="ILF",7.5,IF(H4941="EIF",5.4)))))))</f>
        <v/>
      </c>
      <c r="M4941" s="30" t="str">
        <f t="shared" si="534"/>
        <v/>
      </c>
      <c r="N4941" s="134"/>
      <c r="O4941" s="29"/>
      <c r="P4941" s="37" t="str">
        <f t="shared" si="535"/>
        <v/>
      </c>
      <c r="Q4941" s="38" t="str">
        <f t="shared" si="536"/>
        <v/>
      </c>
      <c r="R4941" s="37" t="str">
        <f t="shared" si="537"/>
        <v/>
      </c>
      <c r="S4941" s="37" t="str">
        <f t="shared" si="538"/>
        <v/>
      </c>
      <c r="T4941" s="38" t="str">
        <f t="shared" si="539"/>
        <v/>
      </c>
      <c r="U4941" s="37" t="str">
        <f t="shared" si="540"/>
        <v/>
      </c>
    </row>
    <row r="4942" spans="2:21" ht="17.25">
      <c r="B4942" s="156"/>
      <c r="C4942" s="156"/>
      <c r="D4942" s="157"/>
      <c r="E4942" s="155"/>
      <c r="F4942" s="151"/>
      <c r="G4942" s="152"/>
      <c r="H4942" s="153"/>
      <c r="I4942" s="154"/>
      <c r="J4942" s="154"/>
      <c r="K4942" s="30" t="str">
        <f>IF(H4942="","",IF($C$30="간이법","",FPR(H4942,I4942,J4942)))</f>
        <v/>
      </c>
      <c r="L4942" s="30" t="str">
        <f>IF(H4942="","",IF($C$30="상세법",FPV(H4942,K4942),IF(H4942="EI",4,IF(H4942="EO",5.2,IF(H4942="EQ",3.9,IF(H4942="ILF",7.5,IF(H4942="EIF",5.4)))))))</f>
        <v/>
      </c>
      <c r="M4942" s="30" t="str">
        <f t="shared" si="534"/>
        <v/>
      </c>
      <c r="N4942" s="134"/>
      <c r="O4942" s="29"/>
      <c r="P4942" s="37" t="str">
        <f t="shared" si="535"/>
        <v/>
      </c>
      <c r="Q4942" s="38" t="str">
        <f t="shared" si="536"/>
        <v/>
      </c>
      <c r="R4942" s="37" t="str">
        <f t="shared" si="537"/>
        <v/>
      </c>
      <c r="S4942" s="37" t="str">
        <f t="shared" si="538"/>
        <v/>
      </c>
      <c r="T4942" s="38" t="str">
        <f t="shared" si="539"/>
        <v/>
      </c>
      <c r="U4942" s="37" t="str">
        <f t="shared" si="540"/>
        <v/>
      </c>
    </row>
    <row r="4943" spans="2:21" ht="17.25">
      <c r="B4943" s="156"/>
      <c r="C4943" s="156"/>
      <c r="D4943" s="157"/>
      <c r="E4943" s="155"/>
      <c r="F4943" s="151"/>
      <c r="G4943" s="152"/>
      <c r="H4943" s="153"/>
      <c r="I4943" s="154"/>
      <c r="J4943" s="154"/>
      <c r="K4943" s="30" t="str">
        <f>IF(H4943="","",IF($C$30="간이법","",FPR(H4943,I4943,J4943)))</f>
        <v/>
      </c>
      <c r="L4943" s="30" t="str">
        <f>IF(H4943="","",IF($C$30="상세법",FPV(H4943,K4943),IF(H4943="EI",4,IF(H4943="EO",5.2,IF(H4943="EQ",3.9,IF(H4943="ILF",7.5,IF(H4943="EIF",5.4)))))))</f>
        <v/>
      </c>
      <c r="M4943" s="30" t="str">
        <f t="shared" si="534"/>
        <v/>
      </c>
      <c r="N4943" s="134"/>
      <c r="O4943" s="29"/>
      <c r="P4943" s="37" t="str">
        <f t="shared" si="535"/>
        <v/>
      </c>
      <c r="Q4943" s="38" t="str">
        <f t="shared" si="536"/>
        <v/>
      </c>
      <c r="R4943" s="37" t="str">
        <f t="shared" si="537"/>
        <v/>
      </c>
      <c r="S4943" s="37" t="str">
        <f t="shared" si="538"/>
        <v/>
      </c>
      <c r="T4943" s="38" t="str">
        <f t="shared" si="539"/>
        <v/>
      </c>
      <c r="U4943" s="37" t="str">
        <f t="shared" si="540"/>
        <v/>
      </c>
    </row>
    <row r="4944" spans="2:21" ht="17.25">
      <c r="B4944" s="156"/>
      <c r="C4944" s="156"/>
      <c r="D4944" s="157"/>
      <c r="E4944" s="155"/>
      <c r="F4944" s="151"/>
      <c r="G4944" s="152"/>
      <c r="H4944" s="153"/>
      <c r="I4944" s="154"/>
      <c r="J4944" s="154"/>
      <c r="K4944" s="30" t="str">
        <f>IF(H4944="","",IF($C$30="간이법","",FPR(H4944,I4944,J4944)))</f>
        <v/>
      </c>
      <c r="L4944" s="30" t="str">
        <f>IF(H4944="","",IF($C$30="상세법",FPV(H4944,K4944),IF(H4944="EI",4,IF(H4944="EO",5.2,IF(H4944="EQ",3.9,IF(H4944="ILF",7.5,IF(H4944="EIF",5.4)))))))</f>
        <v/>
      </c>
      <c r="M4944" s="30" t="str">
        <f t="shared" si="534"/>
        <v/>
      </c>
      <c r="N4944" s="134"/>
      <c r="O4944" s="29"/>
      <c r="P4944" s="37" t="str">
        <f t="shared" si="535"/>
        <v/>
      </c>
      <c r="Q4944" s="38" t="str">
        <f t="shared" si="536"/>
        <v/>
      </c>
      <c r="R4944" s="37" t="str">
        <f t="shared" si="537"/>
        <v/>
      </c>
      <c r="S4944" s="37" t="str">
        <f t="shared" si="538"/>
        <v/>
      </c>
      <c r="T4944" s="38" t="str">
        <f t="shared" si="539"/>
        <v/>
      </c>
      <c r="U4944" s="37" t="str">
        <f t="shared" si="540"/>
        <v/>
      </c>
    </row>
    <row r="4945" spans="2:21" ht="17.25">
      <c r="B4945" s="156"/>
      <c r="C4945" s="156"/>
      <c r="D4945" s="157"/>
      <c r="E4945" s="155"/>
      <c r="F4945" s="151"/>
      <c r="G4945" s="152"/>
      <c r="H4945" s="153"/>
      <c r="I4945" s="154"/>
      <c r="J4945" s="154"/>
      <c r="K4945" s="30" t="str">
        <f>IF(H4945="","",IF($C$30="간이법","",FPR(H4945,I4945,J4945)))</f>
        <v/>
      </c>
      <c r="L4945" s="30" t="str">
        <f>IF(H4945="","",IF($C$30="상세법",FPV(H4945,K4945),IF(H4945="EI",4,IF(H4945="EO",5.2,IF(H4945="EQ",3.9,IF(H4945="ILF",7.5,IF(H4945="EIF",5.4)))))))</f>
        <v/>
      </c>
      <c r="M4945" s="30" t="str">
        <f t="shared" si="534"/>
        <v/>
      </c>
      <c r="N4945" s="134"/>
      <c r="O4945" s="29"/>
      <c r="P4945" s="37" t="str">
        <f t="shared" si="535"/>
        <v/>
      </c>
      <c r="Q4945" s="38" t="str">
        <f t="shared" si="536"/>
        <v/>
      </c>
      <c r="R4945" s="37" t="str">
        <f t="shared" si="537"/>
        <v/>
      </c>
      <c r="S4945" s="37" t="str">
        <f t="shared" si="538"/>
        <v/>
      </c>
      <c r="T4945" s="38" t="str">
        <f t="shared" si="539"/>
        <v/>
      </c>
      <c r="U4945" s="37" t="str">
        <f t="shared" si="540"/>
        <v/>
      </c>
    </row>
    <row r="4946" spans="2:21" ht="17.25">
      <c r="B4946" s="156"/>
      <c r="C4946" s="156"/>
      <c r="D4946" s="157"/>
      <c r="E4946" s="155"/>
      <c r="F4946" s="151"/>
      <c r="G4946" s="152"/>
      <c r="H4946" s="153"/>
      <c r="I4946" s="154"/>
      <c r="J4946" s="154"/>
      <c r="K4946" s="30" t="str">
        <f>IF(H4946="","",IF($C$30="간이법","",FPR(H4946,I4946,J4946)))</f>
        <v/>
      </c>
      <c r="L4946" s="30" t="str">
        <f>IF(H4946="","",IF($C$30="상세법",FPV(H4946,K4946),IF(H4946="EI",4,IF(H4946="EO",5.2,IF(H4946="EQ",3.9,IF(H4946="ILF",7.5,IF(H4946="EIF",5.4)))))))</f>
        <v/>
      </c>
      <c r="M4946" s="30" t="str">
        <f t="shared" si="534"/>
        <v/>
      </c>
      <c r="N4946" s="134"/>
      <c r="O4946" s="29"/>
      <c r="P4946" s="37" t="str">
        <f t="shared" si="535"/>
        <v/>
      </c>
      <c r="Q4946" s="38" t="str">
        <f t="shared" si="536"/>
        <v/>
      </c>
      <c r="R4946" s="37" t="str">
        <f t="shared" si="537"/>
        <v/>
      </c>
      <c r="S4946" s="37" t="str">
        <f t="shared" si="538"/>
        <v/>
      </c>
      <c r="T4946" s="38" t="str">
        <f t="shared" si="539"/>
        <v/>
      </c>
      <c r="U4946" s="37" t="str">
        <f t="shared" si="540"/>
        <v/>
      </c>
    </row>
    <row r="4947" spans="2:21" ht="17.25">
      <c r="B4947" s="156"/>
      <c r="C4947" s="156"/>
      <c r="D4947" s="157"/>
      <c r="E4947" s="155"/>
      <c r="F4947" s="151"/>
      <c r="G4947" s="152"/>
      <c r="H4947" s="153"/>
      <c r="I4947" s="154"/>
      <c r="J4947" s="154"/>
      <c r="K4947" s="30" t="str">
        <f>IF(H4947="","",IF($C$30="간이법","",FPR(H4947,I4947,J4947)))</f>
        <v/>
      </c>
      <c r="L4947" s="30" t="str">
        <f>IF(H4947="","",IF($C$30="상세법",FPV(H4947,K4947),IF(H4947="EI",4,IF(H4947="EO",5.2,IF(H4947="EQ",3.9,IF(H4947="ILF",7.5,IF(H4947="EIF",5.4)))))))</f>
        <v/>
      </c>
      <c r="M4947" s="30" t="str">
        <f t="shared" si="534"/>
        <v/>
      </c>
      <c r="N4947" s="134"/>
      <c r="O4947" s="29"/>
      <c r="P4947" s="37" t="str">
        <f t="shared" si="535"/>
        <v/>
      </c>
      <c r="Q4947" s="38" t="str">
        <f t="shared" si="536"/>
        <v/>
      </c>
      <c r="R4947" s="37" t="str">
        <f t="shared" si="537"/>
        <v/>
      </c>
      <c r="S4947" s="37" t="str">
        <f t="shared" si="538"/>
        <v/>
      </c>
      <c r="T4947" s="38" t="str">
        <f t="shared" si="539"/>
        <v/>
      </c>
      <c r="U4947" s="37" t="str">
        <f t="shared" si="540"/>
        <v/>
      </c>
    </row>
    <row r="4948" spans="2:21" ht="17.25">
      <c r="B4948" s="156"/>
      <c r="C4948" s="156"/>
      <c r="D4948" s="157"/>
      <c r="E4948" s="155"/>
      <c r="F4948" s="151"/>
      <c r="G4948" s="152"/>
      <c r="H4948" s="153"/>
      <c r="I4948" s="154"/>
      <c r="J4948" s="154"/>
      <c r="K4948" s="30" t="str">
        <f>IF(H4948="","",IF($C$30="간이법","",FPR(H4948,I4948,J4948)))</f>
        <v/>
      </c>
      <c r="L4948" s="30" t="str">
        <f>IF(H4948="","",IF($C$30="상세법",FPV(H4948,K4948),IF(H4948="EI",4,IF(H4948="EO",5.2,IF(H4948="EQ",3.9,IF(H4948="ILF",7.5,IF(H4948="EIF",5.4)))))))</f>
        <v/>
      </c>
      <c r="M4948" s="30" t="str">
        <f t="shared" si="534"/>
        <v/>
      </c>
      <c r="N4948" s="134"/>
      <c r="O4948" s="29"/>
      <c r="P4948" s="37" t="str">
        <f t="shared" si="535"/>
        <v/>
      </c>
      <c r="Q4948" s="38" t="str">
        <f t="shared" si="536"/>
        <v/>
      </c>
      <c r="R4948" s="37" t="str">
        <f t="shared" si="537"/>
        <v/>
      </c>
      <c r="S4948" s="37" t="str">
        <f t="shared" si="538"/>
        <v/>
      </c>
      <c r="T4948" s="38" t="str">
        <f t="shared" si="539"/>
        <v/>
      </c>
      <c r="U4948" s="37" t="str">
        <f t="shared" si="540"/>
        <v/>
      </c>
    </row>
    <row r="4949" spans="2:21" ht="17.25">
      <c r="B4949" s="156"/>
      <c r="C4949" s="156"/>
      <c r="D4949" s="157"/>
      <c r="E4949" s="155"/>
      <c r="F4949" s="151"/>
      <c r="G4949" s="152"/>
      <c r="H4949" s="153"/>
      <c r="I4949" s="154"/>
      <c r="J4949" s="154"/>
      <c r="K4949" s="30" t="str">
        <f>IF(H4949="","",IF($C$30="간이법","",FPR(H4949,I4949,J4949)))</f>
        <v/>
      </c>
      <c r="L4949" s="30" t="str">
        <f>IF(H4949="","",IF($C$30="상세법",FPV(H4949,K4949),IF(H4949="EI",4,IF(H4949="EO",5.2,IF(H4949="EQ",3.9,IF(H4949="ILF",7.5,IF(H4949="EIF",5.4)))))))</f>
        <v/>
      </c>
      <c r="M4949" s="30" t="str">
        <f t="shared" si="534"/>
        <v/>
      </c>
      <c r="N4949" s="134"/>
      <c r="O4949" s="29"/>
      <c r="P4949" s="37" t="str">
        <f t="shared" si="535"/>
        <v/>
      </c>
      <c r="Q4949" s="38" t="str">
        <f t="shared" si="536"/>
        <v/>
      </c>
      <c r="R4949" s="37" t="str">
        <f t="shared" si="537"/>
        <v/>
      </c>
      <c r="S4949" s="37" t="str">
        <f t="shared" si="538"/>
        <v/>
      </c>
      <c r="T4949" s="38" t="str">
        <f t="shared" si="539"/>
        <v/>
      </c>
      <c r="U4949" s="37" t="str">
        <f t="shared" si="540"/>
        <v/>
      </c>
    </row>
    <row r="4950" spans="2:21" ht="17.25">
      <c r="B4950" s="156"/>
      <c r="C4950" s="156"/>
      <c r="D4950" s="157"/>
      <c r="E4950" s="155"/>
      <c r="F4950" s="151"/>
      <c r="G4950" s="152"/>
      <c r="H4950" s="153"/>
      <c r="I4950" s="154"/>
      <c r="J4950" s="154"/>
      <c r="K4950" s="30" t="str">
        <f>IF(H4950="","",IF($C$30="간이법","",FPR(H4950,I4950,J4950)))</f>
        <v/>
      </c>
      <c r="L4950" s="30" t="str">
        <f>IF(H4950="","",IF($C$30="상세법",FPV(H4950,K4950),IF(H4950="EI",4,IF(H4950="EO",5.2,IF(H4950="EQ",3.9,IF(H4950="ILF",7.5,IF(H4950="EIF",5.4)))))))</f>
        <v/>
      </c>
      <c r="M4950" s="30" t="str">
        <f t="shared" si="534"/>
        <v/>
      </c>
      <c r="N4950" s="134"/>
      <c r="O4950" s="29"/>
      <c r="P4950" s="37" t="str">
        <f t="shared" si="535"/>
        <v/>
      </c>
      <c r="Q4950" s="38" t="str">
        <f t="shared" si="536"/>
        <v/>
      </c>
      <c r="R4950" s="37" t="str">
        <f t="shared" si="537"/>
        <v/>
      </c>
      <c r="S4950" s="37" t="str">
        <f t="shared" si="538"/>
        <v/>
      </c>
      <c r="T4950" s="38" t="str">
        <f t="shared" si="539"/>
        <v/>
      </c>
      <c r="U4950" s="37" t="str">
        <f t="shared" si="540"/>
        <v/>
      </c>
    </row>
    <row r="4951" spans="2:21" ht="17.25">
      <c r="B4951" s="156"/>
      <c r="C4951" s="156"/>
      <c r="D4951" s="157"/>
      <c r="E4951" s="155"/>
      <c r="F4951" s="151"/>
      <c r="G4951" s="152"/>
      <c r="H4951" s="153"/>
      <c r="I4951" s="154"/>
      <c r="J4951" s="154"/>
      <c r="K4951" s="30" t="str">
        <f>IF(H4951="","",IF($C$30="간이법","",FPR(H4951,I4951,J4951)))</f>
        <v/>
      </c>
      <c r="L4951" s="30" t="str">
        <f>IF(H4951="","",IF($C$30="상세법",FPV(H4951,K4951),IF(H4951="EI",4,IF(H4951="EO",5.2,IF(H4951="EQ",3.9,IF(H4951="ILF",7.5,IF(H4951="EIF",5.4)))))))</f>
        <v/>
      </c>
      <c r="M4951" s="30" t="str">
        <f t="shared" si="534"/>
        <v/>
      </c>
      <c r="N4951" s="134"/>
      <c r="O4951" s="29"/>
      <c r="P4951" s="37" t="str">
        <f t="shared" si="535"/>
        <v/>
      </c>
      <c r="Q4951" s="38" t="str">
        <f t="shared" si="536"/>
        <v/>
      </c>
      <c r="R4951" s="37" t="str">
        <f t="shared" si="537"/>
        <v/>
      </c>
      <c r="S4951" s="37" t="str">
        <f t="shared" si="538"/>
        <v/>
      </c>
      <c r="T4951" s="38" t="str">
        <f t="shared" si="539"/>
        <v/>
      </c>
      <c r="U4951" s="37" t="str">
        <f t="shared" si="540"/>
        <v/>
      </c>
    </row>
    <row r="4952" spans="2:21" ht="17.25">
      <c r="B4952" s="156"/>
      <c r="C4952" s="156"/>
      <c r="D4952" s="157"/>
      <c r="E4952" s="155"/>
      <c r="F4952" s="151"/>
      <c r="G4952" s="152"/>
      <c r="H4952" s="153"/>
      <c r="I4952" s="154"/>
      <c r="J4952" s="154"/>
      <c r="K4952" s="30" t="str">
        <f>IF(H4952="","",IF($C$30="간이법","",FPR(H4952,I4952,J4952)))</f>
        <v/>
      </c>
      <c r="L4952" s="30" t="str">
        <f>IF(H4952="","",IF($C$30="상세법",FPV(H4952,K4952),IF(H4952="EI",4,IF(H4952="EO",5.2,IF(H4952="EQ",3.9,IF(H4952="ILF",7.5,IF(H4952="EIF",5.4)))))))</f>
        <v/>
      </c>
      <c r="M4952" s="30" t="str">
        <f t="shared" si="534"/>
        <v/>
      </c>
      <c r="N4952" s="134"/>
      <c r="O4952" s="29"/>
      <c r="P4952" s="37" t="str">
        <f t="shared" si="535"/>
        <v/>
      </c>
      <c r="Q4952" s="38" t="str">
        <f t="shared" si="536"/>
        <v/>
      </c>
      <c r="R4952" s="37" t="str">
        <f t="shared" si="537"/>
        <v/>
      </c>
      <c r="S4952" s="37" t="str">
        <f t="shared" si="538"/>
        <v/>
      </c>
      <c r="T4952" s="38" t="str">
        <f t="shared" si="539"/>
        <v/>
      </c>
      <c r="U4952" s="37" t="str">
        <f t="shared" si="540"/>
        <v/>
      </c>
    </row>
    <row r="4953" spans="2:21" ht="17.25">
      <c r="B4953" s="156"/>
      <c r="C4953" s="156"/>
      <c r="D4953" s="157"/>
      <c r="E4953" s="155"/>
      <c r="F4953" s="151"/>
      <c r="G4953" s="152"/>
      <c r="H4953" s="153"/>
      <c r="I4953" s="154"/>
      <c r="J4953" s="154"/>
      <c r="K4953" s="30" t="str">
        <f>IF(H4953="","",IF($C$30="간이법","",FPR(H4953,I4953,J4953)))</f>
        <v/>
      </c>
      <c r="L4953" s="30" t="str">
        <f>IF(H4953="","",IF($C$30="상세법",FPV(H4953,K4953),IF(H4953="EI",4,IF(H4953="EO",5.2,IF(H4953="EQ",3.9,IF(H4953="ILF",7.5,IF(H4953="EIF",5.4)))))))</f>
        <v/>
      </c>
      <c r="M4953" s="30" t="str">
        <f t="shared" si="534"/>
        <v/>
      </c>
      <c r="N4953" s="134"/>
      <c r="O4953" s="29"/>
      <c r="P4953" s="37" t="str">
        <f t="shared" si="535"/>
        <v/>
      </c>
      <c r="Q4953" s="38" t="str">
        <f t="shared" si="536"/>
        <v/>
      </c>
      <c r="R4953" s="37" t="str">
        <f t="shared" si="537"/>
        <v/>
      </c>
      <c r="S4953" s="37" t="str">
        <f t="shared" si="538"/>
        <v/>
      </c>
      <c r="T4953" s="38" t="str">
        <f t="shared" si="539"/>
        <v/>
      </c>
      <c r="U4953" s="37" t="str">
        <f t="shared" si="540"/>
        <v/>
      </c>
    </row>
    <row r="4954" spans="2:21" ht="17.25">
      <c r="B4954" s="156"/>
      <c r="C4954" s="156"/>
      <c r="D4954" s="157"/>
      <c r="E4954" s="155"/>
      <c r="F4954" s="151"/>
      <c r="G4954" s="152"/>
      <c r="H4954" s="153"/>
      <c r="I4954" s="154"/>
      <c r="J4954" s="154"/>
      <c r="K4954" s="30" t="str">
        <f>IF(H4954="","",IF($C$30="간이법","",FPR(H4954,I4954,J4954)))</f>
        <v/>
      </c>
      <c r="L4954" s="30" t="str">
        <f>IF(H4954="","",IF($C$30="상세법",FPV(H4954,K4954),IF(H4954="EI",4,IF(H4954="EO",5.2,IF(H4954="EQ",3.9,IF(H4954="ILF",7.5,IF(H4954="EIF",5.4)))))))</f>
        <v/>
      </c>
      <c r="M4954" s="30" t="str">
        <f t="shared" si="534"/>
        <v/>
      </c>
      <c r="N4954" s="134"/>
      <c r="O4954" s="29"/>
      <c r="P4954" s="37" t="str">
        <f t="shared" si="535"/>
        <v/>
      </c>
      <c r="Q4954" s="38" t="str">
        <f t="shared" si="536"/>
        <v/>
      </c>
      <c r="R4954" s="37" t="str">
        <f t="shared" si="537"/>
        <v/>
      </c>
      <c r="S4954" s="37" t="str">
        <f t="shared" si="538"/>
        <v/>
      </c>
      <c r="T4954" s="38" t="str">
        <f t="shared" si="539"/>
        <v/>
      </c>
      <c r="U4954" s="37" t="str">
        <f t="shared" si="540"/>
        <v/>
      </c>
    </row>
    <row r="4955" spans="2:21" ht="17.25">
      <c r="B4955" s="156"/>
      <c r="C4955" s="156"/>
      <c r="D4955" s="157"/>
      <c r="E4955" s="155"/>
      <c r="F4955" s="151"/>
      <c r="G4955" s="152"/>
      <c r="H4955" s="153"/>
      <c r="I4955" s="154"/>
      <c r="J4955" s="154"/>
      <c r="K4955" s="30" t="str">
        <f>IF(H4955="","",IF($C$30="간이법","",FPR(H4955,I4955,J4955)))</f>
        <v/>
      </c>
      <c r="L4955" s="30" t="str">
        <f>IF(H4955="","",IF($C$30="상세법",FPV(H4955,K4955),IF(H4955="EI",4,IF(H4955="EO",5.2,IF(H4955="EQ",3.9,IF(H4955="ILF",7.5,IF(H4955="EIF",5.4)))))))</f>
        <v/>
      </c>
      <c r="M4955" s="30" t="str">
        <f t="shared" si="534"/>
        <v/>
      </c>
      <c r="N4955" s="134"/>
      <c r="O4955" s="29"/>
      <c r="P4955" s="37" t="str">
        <f t="shared" si="535"/>
        <v/>
      </c>
      <c r="Q4955" s="38" t="str">
        <f t="shared" si="536"/>
        <v/>
      </c>
      <c r="R4955" s="37" t="str">
        <f t="shared" si="537"/>
        <v/>
      </c>
      <c r="S4955" s="37" t="str">
        <f t="shared" si="538"/>
        <v/>
      </c>
      <c r="T4955" s="38" t="str">
        <f t="shared" si="539"/>
        <v/>
      </c>
      <c r="U4955" s="37" t="str">
        <f t="shared" si="540"/>
        <v/>
      </c>
    </row>
    <row r="4956" spans="2:21" ht="17.25">
      <c r="B4956" s="156"/>
      <c r="C4956" s="156"/>
      <c r="D4956" s="157"/>
      <c r="E4956" s="155"/>
      <c r="F4956" s="151"/>
      <c r="G4956" s="152"/>
      <c r="H4956" s="153"/>
      <c r="I4956" s="154"/>
      <c r="J4956" s="154"/>
      <c r="K4956" s="30" t="str">
        <f>IF(H4956="","",IF($C$30="간이법","",FPR(H4956,I4956,J4956)))</f>
        <v/>
      </c>
      <c r="L4956" s="30" t="str">
        <f>IF(H4956="","",IF($C$30="상세법",FPV(H4956,K4956),IF(H4956="EI",4,IF(H4956="EO",5.2,IF(H4956="EQ",3.9,IF(H4956="ILF",7.5,IF(H4956="EIF",5.4)))))))</f>
        <v/>
      </c>
      <c r="M4956" s="30" t="str">
        <f t="shared" si="534"/>
        <v/>
      </c>
      <c r="N4956" s="134"/>
      <c r="O4956" s="29"/>
      <c r="P4956" s="37" t="str">
        <f t="shared" si="535"/>
        <v/>
      </c>
      <c r="Q4956" s="38" t="str">
        <f t="shared" si="536"/>
        <v/>
      </c>
      <c r="R4956" s="37" t="str">
        <f t="shared" si="537"/>
        <v/>
      </c>
      <c r="S4956" s="37" t="str">
        <f t="shared" si="538"/>
        <v/>
      </c>
      <c r="T4956" s="38" t="str">
        <f t="shared" si="539"/>
        <v/>
      </c>
      <c r="U4956" s="37" t="str">
        <f t="shared" si="540"/>
        <v/>
      </c>
    </row>
    <row r="4957" spans="2:21" ht="17.25">
      <c r="B4957" s="156"/>
      <c r="C4957" s="156"/>
      <c r="D4957" s="157"/>
      <c r="E4957" s="155"/>
      <c r="F4957" s="151"/>
      <c r="G4957" s="152"/>
      <c r="H4957" s="153"/>
      <c r="I4957" s="154"/>
      <c r="J4957" s="154"/>
      <c r="K4957" s="30" t="str">
        <f>IF(H4957="","",IF($C$30="간이법","",FPR(H4957,I4957,J4957)))</f>
        <v/>
      </c>
      <c r="L4957" s="30" t="str">
        <f>IF(H4957="","",IF($C$30="상세법",FPV(H4957,K4957),IF(H4957="EI",4,IF(H4957="EO",5.2,IF(H4957="EQ",3.9,IF(H4957="ILF",7.5,IF(H4957="EIF",5.4)))))))</f>
        <v/>
      </c>
      <c r="M4957" s="30" t="str">
        <f t="shared" si="534"/>
        <v/>
      </c>
      <c r="N4957" s="134"/>
      <c r="O4957" s="29"/>
      <c r="P4957" s="37" t="str">
        <f t="shared" si="535"/>
        <v/>
      </c>
      <c r="Q4957" s="38" t="str">
        <f t="shared" si="536"/>
        <v/>
      </c>
      <c r="R4957" s="37" t="str">
        <f t="shared" si="537"/>
        <v/>
      </c>
      <c r="S4957" s="37" t="str">
        <f t="shared" si="538"/>
        <v/>
      </c>
      <c r="T4957" s="38" t="str">
        <f t="shared" si="539"/>
        <v/>
      </c>
      <c r="U4957" s="37" t="str">
        <f t="shared" si="540"/>
        <v/>
      </c>
    </row>
    <row r="4958" spans="2:21" ht="17.25">
      <c r="B4958" s="156"/>
      <c r="C4958" s="156"/>
      <c r="D4958" s="157"/>
      <c r="E4958" s="155"/>
      <c r="F4958" s="151"/>
      <c r="G4958" s="152"/>
      <c r="H4958" s="153"/>
      <c r="I4958" s="154"/>
      <c r="J4958" s="154"/>
      <c r="K4958" s="30" t="str">
        <f>IF(H4958="","",IF($C$30="간이법","",FPR(H4958,I4958,J4958)))</f>
        <v/>
      </c>
      <c r="L4958" s="30" t="str">
        <f>IF(H4958="","",IF($C$30="상세법",FPV(H4958,K4958),IF(H4958="EI",4,IF(H4958="EO",5.2,IF(H4958="EQ",3.9,IF(H4958="ILF",7.5,IF(H4958="EIF",5.4)))))))</f>
        <v/>
      </c>
      <c r="M4958" s="30" t="str">
        <f t="shared" si="534"/>
        <v/>
      </c>
      <c r="N4958" s="134"/>
      <c r="O4958" s="29"/>
      <c r="P4958" s="37" t="str">
        <f t="shared" si="535"/>
        <v/>
      </c>
      <c r="Q4958" s="38" t="str">
        <f t="shared" si="536"/>
        <v/>
      </c>
      <c r="R4958" s="37" t="str">
        <f t="shared" si="537"/>
        <v/>
      </c>
      <c r="S4958" s="37" t="str">
        <f t="shared" si="538"/>
        <v/>
      </c>
      <c r="T4958" s="38" t="str">
        <f t="shared" si="539"/>
        <v/>
      </c>
      <c r="U4958" s="37" t="str">
        <f t="shared" si="540"/>
        <v/>
      </c>
    </row>
    <row r="4959" spans="2:21" ht="17.25">
      <c r="B4959" s="156"/>
      <c r="C4959" s="156"/>
      <c r="D4959" s="157"/>
      <c r="E4959" s="155"/>
      <c r="F4959" s="151"/>
      <c r="G4959" s="152"/>
      <c r="H4959" s="153"/>
      <c r="I4959" s="154"/>
      <c r="J4959" s="154"/>
      <c r="K4959" s="30" t="str">
        <f>IF(H4959="","",IF($C$30="간이법","",FPR(H4959,I4959,J4959)))</f>
        <v/>
      </c>
      <c r="L4959" s="30" t="str">
        <f>IF(H4959="","",IF($C$30="상세법",FPV(H4959,K4959),IF(H4959="EI",4,IF(H4959="EO",5.2,IF(H4959="EQ",3.9,IF(H4959="ILF",7.5,IF(H4959="EIF",5.4)))))))</f>
        <v/>
      </c>
      <c r="M4959" s="30" t="str">
        <f t="shared" si="534"/>
        <v/>
      </c>
      <c r="N4959" s="134"/>
      <c r="O4959" s="29"/>
      <c r="P4959" s="37" t="str">
        <f t="shared" si="535"/>
        <v/>
      </c>
      <c r="Q4959" s="38" t="str">
        <f t="shared" si="536"/>
        <v/>
      </c>
      <c r="R4959" s="37" t="str">
        <f t="shared" si="537"/>
        <v/>
      </c>
      <c r="S4959" s="37" t="str">
        <f t="shared" si="538"/>
        <v/>
      </c>
      <c r="T4959" s="38" t="str">
        <f t="shared" si="539"/>
        <v/>
      </c>
      <c r="U4959" s="37" t="str">
        <f t="shared" si="540"/>
        <v/>
      </c>
    </row>
    <row r="4960" spans="2:21" ht="17.25">
      <c r="B4960" s="156"/>
      <c r="C4960" s="156"/>
      <c r="D4960" s="157"/>
      <c r="E4960" s="155"/>
      <c r="F4960" s="151"/>
      <c r="G4960" s="152"/>
      <c r="H4960" s="153"/>
      <c r="I4960" s="154"/>
      <c r="J4960" s="154"/>
      <c r="K4960" s="30" t="str">
        <f>IF(H4960="","",IF($C$30="간이법","",FPR(H4960,I4960,J4960)))</f>
        <v/>
      </c>
      <c r="L4960" s="30" t="str">
        <f>IF(H4960="","",IF($C$30="상세법",FPV(H4960,K4960),IF(H4960="EI",4,IF(H4960="EO",5.2,IF(H4960="EQ",3.9,IF(H4960="ILF",7.5,IF(H4960="EIF",5.4)))))))</f>
        <v/>
      </c>
      <c r="M4960" s="30" t="str">
        <f t="shared" si="534"/>
        <v/>
      </c>
      <c r="N4960" s="134"/>
      <c r="O4960" s="29"/>
      <c r="P4960" s="37" t="str">
        <f t="shared" si="535"/>
        <v/>
      </c>
      <c r="Q4960" s="38" t="str">
        <f t="shared" si="536"/>
        <v/>
      </c>
      <c r="R4960" s="37" t="str">
        <f t="shared" si="537"/>
        <v/>
      </c>
      <c r="S4960" s="37" t="str">
        <f t="shared" si="538"/>
        <v/>
      </c>
      <c r="T4960" s="38" t="str">
        <f t="shared" si="539"/>
        <v/>
      </c>
      <c r="U4960" s="37" t="str">
        <f t="shared" si="540"/>
        <v/>
      </c>
    </row>
    <row r="4961" spans="2:21" ht="17.25">
      <c r="B4961" s="156"/>
      <c r="C4961" s="156"/>
      <c r="D4961" s="157"/>
      <c r="E4961" s="155"/>
      <c r="F4961" s="151"/>
      <c r="G4961" s="152"/>
      <c r="H4961" s="153"/>
      <c r="I4961" s="154"/>
      <c r="J4961" s="154"/>
      <c r="K4961" s="30" t="str">
        <f>IF(H4961="","",IF($C$30="간이법","",FPR(H4961,I4961,J4961)))</f>
        <v/>
      </c>
      <c r="L4961" s="30" t="str">
        <f>IF(H4961="","",IF($C$30="상세법",FPV(H4961,K4961),IF(H4961="EI",4,IF(H4961="EO",5.2,IF(H4961="EQ",3.9,IF(H4961="ILF",7.5,IF(H4961="EIF",5.4)))))))</f>
        <v/>
      </c>
      <c r="M4961" s="30" t="str">
        <f t="shared" si="534"/>
        <v/>
      </c>
      <c r="N4961" s="134"/>
      <c r="O4961" s="29"/>
      <c r="P4961" s="37" t="str">
        <f t="shared" si="535"/>
        <v/>
      </c>
      <c r="Q4961" s="38" t="str">
        <f t="shared" si="536"/>
        <v/>
      </c>
      <c r="R4961" s="37" t="str">
        <f t="shared" si="537"/>
        <v/>
      </c>
      <c r="S4961" s="37" t="str">
        <f t="shared" si="538"/>
        <v/>
      </c>
      <c r="T4961" s="38" t="str">
        <f t="shared" si="539"/>
        <v/>
      </c>
      <c r="U4961" s="37" t="str">
        <f t="shared" si="540"/>
        <v/>
      </c>
    </row>
    <row r="4962" spans="2:21" ht="17.25">
      <c r="B4962" s="156"/>
      <c r="C4962" s="156"/>
      <c r="D4962" s="157"/>
      <c r="E4962" s="155"/>
      <c r="F4962" s="151"/>
      <c r="G4962" s="152"/>
      <c r="H4962" s="153"/>
      <c r="I4962" s="154"/>
      <c r="J4962" s="154"/>
      <c r="K4962" s="30" t="str">
        <f>IF(H4962="","",IF($C$30="간이법","",FPR(H4962,I4962,J4962)))</f>
        <v/>
      </c>
      <c r="L4962" s="30" t="str">
        <f>IF(H4962="","",IF($C$30="상세법",FPV(H4962,K4962),IF(H4962="EI",4,IF(H4962="EO",5.2,IF(H4962="EQ",3.9,IF(H4962="ILF",7.5,IF(H4962="EIF",5.4)))))))</f>
        <v/>
      </c>
      <c r="M4962" s="30" t="str">
        <f t="shared" si="534"/>
        <v/>
      </c>
      <c r="N4962" s="134"/>
      <c r="O4962" s="29"/>
      <c r="P4962" s="37" t="str">
        <f t="shared" si="535"/>
        <v/>
      </c>
      <c r="Q4962" s="38" t="str">
        <f t="shared" si="536"/>
        <v/>
      </c>
      <c r="R4962" s="37" t="str">
        <f t="shared" si="537"/>
        <v/>
      </c>
      <c r="S4962" s="37" t="str">
        <f t="shared" si="538"/>
        <v/>
      </c>
      <c r="T4962" s="38" t="str">
        <f t="shared" si="539"/>
        <v/>
      </c>
      <c r="U4962" s="37" t="str">
        <f t="shared" si="540"/>
        <v/>
      </c>
    </row>
    <row r="4963" spans="2:21" ht="17.25">
      <c r="B4963" s="156"/>
      <c r="C4963" s="156"/>
      <c r="D4963" s="157"/>
      <c r="E4963" s="155"/>
      <c r="F4963" s="151"/>
      <c r="G4963" s="152"/>
      <c r="H4963" s="153"/>
      <c r="I4963" s="154"/>
      <c r="J4963" s="154"/>
      <c r="K4963" s="30" t="str">
        <f>IF(H4963="","",IF($C$30="간이법","",FPR(H4963,I4963,J4963)))</f>
        <v/>
      </c>
      <c r="L4963" s="30" t="str">
        <f>IF(H4963="","",IF($C$30="상세법",FPV(H4963,K4963),IF(H4963="EI",4,IF(H4963="EO",5.2,IF(H4963="EQ",3.9,IF(H4963="ILF",7.5,IF(H4963="EIF",5.4)))))))</f>
        <v/>
      </c>
      <c r="M4963" s="30" t="str">
        <f t="shared" si="534"/>
        <v/>
      </c>
      <c r="N4963" s="134"/>
      <c r="O4963" s="29"/>
      <c r="P4963" s="37" t="str">
        <f t="shared" si="535"/>
        <v/>
      </c>
      <c r="Q4963" s="38" t="str">
        <f t="shared" si="536"/>
        <v/>
      </c>
      <c r="R4963" s="37" t="str">
        <f t="shared" si="537"/>
        <v/>
      </c>
      <c r="S4963" s="37" t="str">
        <f t="shared" si="538"/>
        <v/>
      </c>
      <c r="T4963" s="38" t="str">
        <f t="shared" si="539"/>
        <v/>
      </c>
      <c r="U4963" s="37" t="str">
        <f t="shared" si="540"/>
        <v/>
      </c>
    </row>
    <row r="4964" spans="2:21" ht="17.25">
      <c r="B4964" s="156"/>
      <c r="C4964" s="156"/>
      <c r="D4964" s="157"/>
      <c r="E4964" s="155"/>
      <c r="F4964" s="151"/>
      <c r="G4964" s="152"/>
      <c r="H4964" s="153"/>
      <c r="I4964" s="154"/>
      <c r="J4964" s="154"/>
      <c r="K4964" s="30" t="str">
        <f>IF(H4964="","",IF($C$30="간이법","",FPR(H4964,I4964,J4964)))</f>
        <v/>
      </c>
      <c r="L4964" s="30" t="str">
        <f>IF(H4964="","",IF($C$30="상세법",FPV(H4964,K4964),IF(H4964="EI",4,IF(H4964="EO",5.2,IF(H4964="EQ",3.9,IF(H4964="ILF",7.5,IF(H4964="EIF",5.4)))))))</f>
        <v/>
      </c>
      <c r="M4964" s="30" t="str">
        <f t="shared" si="534"/>
        <v/>
      </c>
      <c r="N4964" s="134"/>
      <c r="O4964" s="29"/>
      <c r="P4964" s="37" t="str">
        <f t="shared" si="535"/>
        <v/>
      </c>
      <c r="Q4964" s="38" t="str">
        <f t="shared" si="536"/>
        <v/>
      </c>
      <c r="R4964" s="37" t="str">
        <f t="shared" si="537"/>
        <v/>
      </c>
      <c r="S4964" s="37" t="str">
        <f t="shared" si="538"/>
        <v/>
      </c>
      <c r="T4964" s="38" t="str">
        <f t="shared" si="539"/>
        <v/>
      </c>
      <c r="U4964" s="37" t="str">
        <f t="shared" si="540"/>
        <v/>
      </c>
    </row>
    <row r="4965" spans="2:21" ht="17.25">
      <c r="B4965" s="156"/>
      <c r="C4965" s="156"/>
      <c r="D4965" s="157"/>
      <c r="E4965" s="155"/>
      <c r="F4965" s="151"/>
      <c r="G4965" s="152"/>
      <c r="H4965" s="153"/>
      <c r="I4965" s="154"/>
      <c r="J4965" s="154"/>
      <c r="K4965" s="30" t="str">
        <f>IF(H4965="","",IF($C$30="간이법","",FPR(H4965,I4965,J4965)))</f>
        <v/>
      </c>
      <c r="L4965" s="30" t="str">
        <f>IF(H4965="","",IF($C$30="상세법",FPV(H4965,K4965),IF(H4965="EI",4,IF(H4965="EO",5.2,IF(H4965="EQ",3.9,IF(H4965="ILF",7.5,IF(H4965="EIF",5.4)))))))</f>
        <v/>
      </c>
      <c r="M4965" s="30" t="str">
        <f t="shared" si="534"/>
        <v/>
      </c>
      <c r="N4965" s="134"/>
      <c r="O4965" s="29"/>
      <c r="P4965" s="37" t="str">
        <f t="shared" si="535"/>
        <v/>
      </c>
      <c r="Q4965" s="38" t="str">
        <f t="shared" si="536"/>
        <v/>
      </c>
      <c r="R4965" s="37" t="str">
        <f t="shared" si="537"/>
        <v/>
      </c>
      <c r="S4965" s="37" t="str">
        <f t="shared" si="538"/>
        <v/>
      </c>
      <c r="T4965" s="38" t="str">
        <f t="shared" si="539"/>
        <v/>
      </c>
      <c r="U4965" s="37" t="str">
        <f t="shared" si="540"/>
        <v/>
      </c>
    </row>
    <row r="4966" spans="2:21" ht="17.25">
      <c r="B4966" s="156"/>
      <c r="C4966" s="156"/>
      <c r="D4966" s="157"/>
      <c r="E4966" s="155"/>
      <c r="F4966" s="151"/>
      <c r="G4966" s="152"/>
      <c r="H4966" s="153"/>
      <c r="I4966" s="154"/>
      <c r="J4966" s="154"/>
      <c r="K4966" s="30" t="str">
        <f>IF(H4966="","",IF($C$30="간이법","",FPR(H4966,I4966,J4966)))</f>
        <v/>
      </c>
      <c r="L4966" s="30" t="str">
        <f>IF(H4966="","",IF($C$30="상세법",FPV(H4966,K4966),IF(H4966="EI",4,IF(H4966="EO",5.2,IF(H4966="EQ",3.9,IF(H4966="ILF",7.5,IF(H4966="EIF",5.4)))))))</f>
        <v/>
      </c>
      <c r="M4966" s="30" t="str">
        <f t="shared" si="534"/>
        <v/>
      </c>
      <c r="N4966" s="134"/>
      <c r="O4966" s="29"/>
      <c r="P4966" s="37" t="str">
        <f t="shared" si="535"/>
        <v/>
      </c>
      <c r="Q4966" s="38" t="str">
        <f t="shared" si="536"/>
        <v/>
      </c>
      <c r="R4966" s="37" t="str">
        <f t="shared" si="537"/>
        <v/>
      </c>
      <c r="S4966" s="37" t="str">
        <f t="shared" si="538"/>
        <v/>
      </c>
      <c r="T4966" s="38" t="str">
        <f t="shared" si="539"/>
        <v/>
      </c>
      <c r="U4966" s="37" t="str">
        <f t="shared" si="540"/>
        <v/>
      </c>
    </row>
    <row r="4967" spans="2:21" ht="17.25">
      <c r="B4967" s="156"/>
      <c r="C4967" s="156"/>
      <c r="D4967" s="157"/>
      <c r="E4967" s="155"/>
      <c r="F4967" s="151"/>
      <c r="G4967" s="152"/>
      <c r="H4967" s="153"/>
      <c r="I4967" s="154"/>
      <c r="J4967" s="154"/>
      <c r="K4967" s="30" t="str">
        <f>IF(H4967="","",IF($C$30="간이법","",FPR(H4967,I4967,J4967)))</f>
        <v/>
      </c>
      <c r="L4967" s="30" t="str">
        <f>IF(H4967="","",IF($C$30="상세법",FPV(H4967,K4967),IF(H4967="EI",4,IF(H4967="EO",5.2,IF(H4967="EQ",3.9,IF(H4967="ILF",7.5,IF(H4967="EIF",5.4)))))))</f>
        <v/>
      </c>
      <c r="M4967" s="30" t="str">
        <f t="shared" si="534"/>
        <v/>
      </c>
      <c r="N4967" s="134"/>
      <c r="O4967" s="29"/>
      <c r="P4967" s="37" t="str">
        <f t="shared" si="535"/>
        <v/>
      </c>
      <c r="Q4967" s="38" t="str">
        <f t="shared" si="536"/>
        <v/>
      </c>
      <c r="R4967" s="37" t="str">
        <f t="shared" si="537"/>
        <v/>
      </c>
      <c r="S4967" s="37" t="str">
        <f t="shared" si="538"/>
        <v/>
      </c>
      <c r="T4967" s="38" t="str">
        <f t="shared" si="539"/>
        <v/>
      </c>
      <c r="U4967" s="37" t="str">
        <f t="shared" si="540"/>
        <v/>
      </c>
    </row>
    <row r="4968" spans="2:21" ht="17.25">
      <c r="B4968" s="156"/>
      <c r="C4968" s="156"/>
      <c r="D4968" s="157"/>
      <c r="E4968" s="155"/>
      <c r="F4968" s="151"/>
      <c r="G4968" s="152"/>
      <c r="H4968" s="153"/>
      <c r="I4968" s="154"/>
      <c r="J4968" s="154"/>
      <c r="K4968" s="30" t="str">
        <f>IF(H4968="","",IF($C$30="간이법","",FPR(H4968,I4968,J4968)))</f>
        <v/>
      </c>
      <c r="L4968" s="30" t="str">
        <f>IF(H4968="","",IF($C$30="상세법",FPV(H4968,K4968),IF(H4968="EI",4,IF(H4968="EO",5.2,IF(H4968="EQ",3.9,IF(H4968="ILF",7.5,IF(H4968="EIF",5.4)))))))</f>
        <v/>
      </c>
      <c r="M4968" s="30" t="str">
        <f t="shared" si="534"/>
        <v/>
      </c>
      <c r="N4968" s="134"/>
      <c r="O4968" s="29"/>
      <c r="P4968" s="37" t="str">
        <f t="shared" si="535"/>
        <v/>
      </c>
      <c r="Q4968" s="38" t="str">
        <f t="shared" si="536"/>
        <v/>
      </c>
      <c r="R4968" s="37" t="str">
        <f t="shared" si="537"/>
        <v/>
      </c>
      <c r="S4968" s="37" t="str">
        <f t="shared" si="538"/>
        <v/>
      </c>
      <c r="T4968" s="38" t="str">
        <f t="shared" si="539"/>
        <v/>
      </c>
      <c r="U4968" s="37" t="str">
        <f t="shared" si="540"/>
        <v/>
      </c>
    </row>
    <row r="4969" spans="2:21" ht="17.25">
      <c r="B4969" s="156"/>
      <c r="C4969" s="156"/>
      <c r="D4969" s="157"/>
      <c r="E4969" s="155"/>
      <c r="F4969" s="151"/>
      <c r="G4969" s="152"/>
      <c r="H4969" s="153"/>
      <c r="I4969" s="154"/>
      <c r="J4969" s="154"/>
      <c r="K4969" s="30" t="str">
        <f>IF(H4969="","",IF($C$30="간이법","",FPR(H4969,I4969,J4969)))</f>
        <v/>
      </c>
      <c r="L4969" s="30" t="str">
        <f>IF(H4969="","",IF($C$30="상세법",FPV(H4969,K4969),IF(H4969="EI",4,IF(H4969="EO",5.2,IF(H4969="EQ",3.9,IF(H4969="ILF",7.5,IF(H4969="EIF",5.4)))))))</f>
        <v/>
      </c>
      <c r="M4969" s="30" t="str">
        <f t="shared" si="534"/>
        <v/>
      </c>
      <c r="N4969" s="134"/>
      <c r="O4969" s="29"/>
      <c r="P4969" s="37" t="str">
        <f t="shared" si="535"/>
        <v/>
      </c>
      <c r="Q4969" s="38" t="str">
        <f t="shared" si="536"/>
        <v/>
      </c>
      <c r="R4969" s="37" t="str">
        <f t="shared" si="537"/>
        <v/>
      </c>
      <c r="S4969" s="37" t="str">
        <f t="shared" si="538"/>
        <v/>
      </c>
      <c r="T4969" s="38" t="str">
        <f t="shared" si="539"/>
        <v/>
      </c>
      <c r="U4969" s="37" t="str">
        <f t="shared" si="540"/>
        <v/>
      </c>
    </row>
    <row r="4970" spans="2:21" ht="17.25">
      <c r="B4970" s="156"/>
      <c r="C4970" s="156"/>
      <c r="D4970" s="157"/>
      <c r="E4970" s="155"/>
      <c r="F4970" s="151"/>
      <c r="G4970" s="152"/>
      <c r="H4970" s="153"/>
      <c r="I4970" s="154"/>
      <c r="J4970" s="154"/>
      <c r="K4970" s="30" t="str">
        <f>IF(H4970="","",IF($C$30="간이법","",FPR(H4970,I4970,J4970)))</f>
        <v/>
      </c>
      <c r="L4970" s="30" t="str">
        <f>IF(H4970="","",IF($C$30="상세법",FPV(H4970,K4970),IF(H4970="EI",4,IF(H4970="EO",5.2,IF(H4970="EQ",3.9,IF(H4970="ILF",7.5,IF(H4970="EIF",5.4)))))))</f>
        <v/>
      </c>
      <c r="M4970" s="30" t="str">
        <f t="shared" si="534"/>
        <v/>
      </c>
      <c r="N4970" s="134"/>
      <c r="O4970" s="29"/>
      <c r="P4970" s="37" t="str">
        <f t="shared" si="535"/>
        <v/>
      </c>
      <c r="Q4970" s="38" t="str">
        <f t="shared" si="536"/>
        <v/>
      </c>
      <c r="R4970" s="37" t="str">
        <f t="shared" si="537"/>
        <v/>
      </c>
      <c r="S4970" s="37" t="str">
        <f t="shared" si="538"/>
        <v/>
      </c>
      <c r="T4970" s="38" t="str">
        <f t="shared" si="539"/>
        <v/>
      </c>
      <c r="U4970" s="37" t="str">
        <f t="shared" si="540"/>
        <v/>
      </c>
    </row>
    <row r="4971" spans="2:21" ht="17.25">
      <c r="B4971" s="156"/>
      <c r="C4971" s="156"/>
      <c r="D4971" s="157"/>
      <c r="E4971" s="155"/>
      <c r="F4971" s="151"/>
      <c r="G4971" s="152"/>
      <c r="H4971" s="153"/>
      <c r="I4971" s="154"/>
      <c r="J4971" s="154"/>
      <c r="K4971" s="30" t="str">
        <f>IF(H4971="","",IF($C$30="간이법","",FPR(H4971,I4971,J4971)))</f>
        <v/>
      </c>
      <c r="L4971" s="30" t="str">
        <f>IF(H4971="","",IF($C$30="상세법",FPV(H4971,K4971),IF(H4971="EI",4,IF(H4971="EO",5.2,IF(H4971="EQ",3.9,IF(H4971="ILF",7.5,IF(H4971="EIF",5.4)))))))</f>
        <v/>
      </c>
      <c r="M4971" s="30" t="str">
        <f t="shared" si="534"/>
        <v/>
      </c>
      <c r="N4971" s="134"/>
      <c r="O4971" s="29"/>
      <c r="P4971" s="37" t="str">
        <f t="shared" si="535"/>
        <v/>
      </c>
      <c r="Q4971" s="38" t="str">
        <f t="shared" si="536"/>
        <v/>
      </c>
      <c r="R4971" s="37" t="str">
        <f t="shared" si="537"/>
        <v/>
      </c>
      <c r="S4971" s="37" t="str">
        <f t="shared" si="538"/>
        <v/>
      </c>
      <c r="T4971" s="38" t="str">
        <f t="shared" si="539"/>
        <v/>
      </c>
      <c r="U4971" s="37" t="str">
        <f t="shared" si="540"/>
        <v/>
      </c>
    </row>
    <row r="4972" spans="2:21" ht="17.25">
      <c r="B4972" s="156"/>
      <c r="C4972" s="156"/>
      <c r="D4972" s="157"/>
      <c r="E4972" s="155"/>
      <c r="F4972" s="151"/>
      <c r="G4972" s="152"/>
      <c r="H4972" s="153"/>
      <c r="I4972" s="154"/>
      <c r="J4972" s="154"/>
      <c r="K4972" s="30" t="str">
        <f>IF(H4972="","",IF($C$30="간이법","",FPR(H4972,I4972,J4972)))</f>
        <v/>
      </c>
      <c r="L4972" s="30" t="str">
        <f>IF(H4972="","",IF($C$30="상세법",FPV(H4972,K4972),IF(H4972="EI",4,IF(H4972="EO",5.2,IF(H4972="EQ",3.9,IF(H4972="ILF",7.5,IF(H4972="EIF",5.4)))))))</f>
        <v/>
      </c>
      <c r="M4972" s="30" t="str">
        <f t="shared" si="534"/>
        <v/>
      </c>
      <c r="N4972" s="134"/>
      <c r="O4972" s="29"/>
      <c r="P4972" s="37" t="str">
        <f t="shared" si="535"/>
        <v/>
      </c>
      <c r="Q4972" s="38" t="str">
        <f t="shared" si="536"/>
        <v/>
      </c>
      <c r="R4972" s="37" t="str">
        <f t="shared" si="537"/>
        <v/>
      </c>
      <c r="S4972" s="37" t="str">
        <f t="shared" si="538"/>
        <v/>
      </c>
      <c r="T4972" s="38" t="str">
        <f t="shared" si="539"/>
        <v/>
      </c>
      <c r="U4972" s="37" t="str">
        <f t="shared" si="540"/>
        <v/>
      </c>
    </row>
    <row r="4973" spans="2:21" ht="17.25">
      <c r="B4973" s="156"/>
      <c r="C4973" s="156"/>
      <c r="D4973" s="157"/>
      <c r="E4973" s="155"/>
      <c r="F4973" s="151"/>
      <c r="G4973" s="152"/>
      <c r="H4973" s="153"/>
      <c r="I4973" s="154"/>
      <c r="J4973" s="154"/>
      <c r="K4973" s="30" t="str">
        <f>IF(H4973="","",IF($C$30="간이법","",FPR(H4973,I4973,J4973)))</f>
        <v/>
      </c>
      <c r="L4973" s="30" t="str">
        <f>IF(H4973="","",IF($C$30="상세법",FPV(H4973,K4973),IF(H4973="EI",4,IF(H4973="EO",5.2,IF(H4973="EQ",3.9,IF(H4973="ILF",7.5,IF(H4973="EIF",5.4)))))))</f>
        <v/>
      </c>
      <c r="M4973" s="30" t="str">
        <f t="shared" si="534"/>
        <v/>
      </c>
      <c r="N4973" s="134"/>
      <c r="O4973" s="29"/>
      <c r="P4973" s="37" t="str">
        <f t="shared" si="535"/>
        <v/>
      </c>
      <c r="Q4973" s="38" t="str">
        <f t="shared" si="536"/>
        <v/>
      </c>
      <c r="R4973" s="37" t="str">
        <f t="shared" si="537"/>
        <v/>
      </c>
      <c r="S4973" s="37" t="str">
        <f t="shared" si="538"/>
        <v/>
      </c>
      <c r="T4973" s="38" t="str">
        <f t="shared" si="539"/>
        <v/>
      </c>
      <c r="U4973" s="37" t="str">
        <f t="shared" si="540"/>
        <v/>
      </c>
    </row>
    <row r="4974" spans="2:21" ht="17.25">
      <c r="B4974" s="156"/>
      <c r="C4974" s="156"/>
      <c r="D4974" s="157"/>
      <c r="E4974" s="155"/>
      <c r="F4974" s="151"/>
      <c r="G4974" s="152"/>
      <c r="H4974" s="153"/>
      <c r="I4974" s="154"/>
      <c r="J4974" s="154"/>
      <c r="K4974" s="30" t="str">
        <f>IF(H4974="","",IF($C$30="간이법","",FPR(H4974,I4974,J4974)))</f>
        <v/>
      </c>
      <c r="L4974" s="30" t="str">
        <f>IF(H4974="","",IF($C$30="상세법",FPV(H4974,K4974),IF(H4974="EI",4,IF(H4974="EO",5.2,IF(H4974="EQ",3.9,IF(H4974="ILF",7.5,IF(H4974="EIF",5.4)))))))</f>
        <v/>
      </c>
      <c r="M4974" s="30" t="str">
        <f t="shared" si="534"/>
        <v/>
      </c>
      <c r="N4974" s="134"/>
      <c r="O4974" s="29"/>
      <c r="P4974" s="37" t="str">
        <f t="shared" si="535"/>
        <v/>
      </c>
      <c r="Q4974" s="38" t="str">
        <f t="shared" si="536"/>
        <v/>
      </c>
      <c r="R4974" s="37" t="str">
        <f t="shared" si="537"/>
        <v/>
      </c>
      <c r="S4974" s="37" t="str">
        <f t="shared" si="538"/>
        <v/>
      </c>
      <c r="T4974" s="38" t="str">
        <f t="shared" si="539"/>
        <v/>
      </c>
      <c r="U4974" s="37" t="str">
        <f t="shared" si="540"/>
        <v/>
      </c>
    </row>
    <row r="4975" spans="2:21" ht="17.25">
      <c r="B4975" s="156"/>
      <c r="C4975" s="156"/>
      <c r="D4975" s="157"/>
      <c r="E4975" s="155"/>
      <c r="F4975" s="151"/>
      <c r="G4975" s="152"/>
      <c r="H4975" s="153"/>
      <c r="I4975" s="154"/>
      <c r="J4975" s="154"/>
      <c r="K4975" s="30" t="str">
        <f>IF(H4975="","",IF($C$30="간이법","",FPR(H4975,I4975,J4975)))</f>
        <v/>
      </c>
      <c r="L4975" s="30" t="str">
        <f>IF(H4975="","",IF($C$30="상세법",FPV(H4975,K4975),IF(H4975="EI",4,IF(H4975="EO",5.2,IF(H4975="EQ",3.9,IF(H4975="ILF",7.5,IF(H4975="EIF",5.4)))))))</f>
        <v/>
      </c>
      <c r="M4975" s="30" t="str">
        <f t="shared" si="534"/>
        <v/>
      </c>
      <c r="N4975" s="134"/>
      <c r="O4975" s="29"/>
      <c r="P4975" s="37" t="str">
        <f t="shared" si="535"/>
        <v/>
      </c>
      <c r="Q4975" s="38" t="str">
        <f t="shared" si="536"/>
        <v/>
      </c>
      <c r="R4975" s="37" t="str">
        <f t="shared" si="537"/>
        <v/>
      </c>
      <c r="S4975" s="37" t="str">
        <f t="shared" si="538"/>
        <v/>
      </c>
      <c r="T4975" s="38" t="str">
        <f t="shared" si="539"/>
        <v/>
      </c>
      <c r="U4975" s="37" t="str">
        <f t="shared" si="540"/>
        <v/>
      </c>
    </row>
    <row r="4976" spans="2:21" ht="17.25">
      <c r="B4976" s="156"/>
      <c r="C4976" s="156"/>
      <c r="D4976" s="157"/>
      <c r="E4976" s="155"/>
      <c r="F4976" s="151"/>
      <c r="G4976" s="152"/>
      <c r="H4976" s="153"/>
      <c r="I4976" s="154"/>
      <c r="J4976" s="154"/>
      <c r="K4976" s="30" t="str">
        <f>IF(H4976="","",IF($C$30="간이법","",FPR(H4976,I4976,J4976)))</f>
        <v/>
      </c>
      <c r="L4976" s="30" t="str">
        <f>IF(H4976="","",IF($C$30="상세법",FPV(H4976,K4976),IF(H4976="EI",4,IF(H4976="EO",5.2,IF(H4976="EQ",3.9,IF(H4976="ILF",7.5,IF(H4976="EIF",5.4)))))))</f>
        <v/>
      </c>
      <c r="M4976" s="30" t="str">
        <f t="shared" si="534"/>
        <v/>
      </c>
      <c r="N4976" s="134"/>
      <c r="O4976" s="29"/>
      <c r="P4976" s="37" t="str">
        <f t="shared" si="535"/>
        <v/>
      </c>
      <c r="Q4976" s="38" t="str">
        <f t="shared" si="536"/>
        <v/>
      </c>
      <c r="R4976" s="37" t="str">
        <f t="shared" si="537"/>
        <v/>
      </c>
      <c r="S4976" s="37" t="str">
        <f t="shared" si="538"/>
        <v/>
      </c>
      <c r="T4976" s="38" t="str">
        <f t="shared" si="539"/>
        <v/>
      </c>
      <c r="U4976" s="37" t="str">
        <f t="shared" si="540"/>
        <v/>
      </c>
    </row>
    <row r="4977" spans="2:21" ht="17.25">
      <c r="B4977" s="156"/>
      <c r="C4977" s="156"/>
      <c r="D4977" s="157"/>
      <c r="E4977" s="155"/>
      <c r="F4977" s="151"/>
      <c r="G4977" s="152"/>
      <c r="H4977" s="153"/>
      <c r="I4977" s="154"/>
      <c r="J4977" s="154"/>
      <c r="K4977" s="30" t="str">
        <f>IF(H4977="","",IF($C$30="간이법","",FPR(H4977,I4977,J4977)))</f>
        <v/>
      </c>
      <c r="L4977" s="30" t="str">
        <f>IF(H4977="","",IF($C$30="상세법",FPV(H4977,K4977),IF(H4977="EI",4,IF(H4977="EO",5.2,IF(H4977="EQ",3.9,IF(H4977="ILF",7.5,IF(H4977="EIF",5.4)))))))</f>
        <v/>
      </c>
      <c r="M4977" s="30" t="str">
        <f t="shared" si="534"/>
        <v/>
      </c>
      <c r="N4977" s="134"/>
      <c r="O4977" s="29"/>
      <c r="P4977" s="37" t="str">
        <f t="shared" si="535"/>
        <v/>
      </c>
      <c r="Q4977" s="38" t="str">
        <f t="shared" si="536"/>
        <v/>
      </c>
      <c r="R4977" s="37" t="str">
        <f t="shared" si="537"/>
        <v/>
      </c>
      <c r="S4977" s="37" t="str">
        <f t="shared" si="538"/>
        <v/>
      </c>
      <c r="T4977" s="38" t="str">
        <f t="shared" si="539"/>
        <v/>
      </c>
      <c r="U4977" s="37" t="str">
        <f t="shared" si="540"/>
        <v/>
      </c>
    </row>
    <row r="4978" spans="2:21" ht="17.25">
      <c r="B4978" s="156"/>
      <c r="C4978" s="156"/>
      <c r="D4978" s="157"/>
      <c r="E4978" s="155"/>
      <c r="F4978" s="151"/>
      <c r="G4978" s="152"/>
      <c r="H4978" s="153"/>
      <c r="I4978" s="154"/>
      <c r="J4978" s="154"/>
      <c r="K4978" s="30" t="str">
        <f>IF(H4978="","",IF($C$30="간이법","",FPR(H4978,I4978,J4978)))</f>
        <v/>
      </c>
      <c r="L4978" s="30" t="str">
        <f>IF(H4978="","",IF($C$30="상세법",FPV(H4978,K4978),IF(H4978="EI",4,IF(H4978="EO",5.2,IF(H4978="EQ",3.9,IF(H4978="ILF",7.5,IF(H4978="EIF",5.4)))))))</f>
        <v/>
      </c>
      <c r="M4978" s="30" t="str">
        <f t="shared" si="534"/>
        <v/>
      </c>
      <c r="N4978" s="134"/>
      <c r="O4978" s="29"/>
      <c r="P4978" s="37" t="str">
        <f t="shared" si="535"/>
        <v/>
      </c>
      <c r="Q4978" s="38" t="str">
        <f t="shared" si="536"/>
        <v/>
      </c>
      <c r="R4978" s="37" t="str">
        <f t="shared" si="537"/>
        <v/>
      </c>
      <c r="S4978" s="37" t="str">
        <f t="shared" si="538"/>
        <v/>
      </c>
      <c r="T4978" s="38" t="str">
        <f t="shared" si="539"/>
        <v/>
      </c>
      <c r="U4978" s="37" t="str">
        <f t="shared" si="540"/>
        <v/>
      </c>
    </row>
    <row r="4979" spans="2:21" ht="17.25">
      <c r="B4979" s="156"/>
      <c r="C4979" s="156"/>
      <c r="D4979" s="157"/>
      <c r="E4979" s="155"/>
      <c r="F4979" s="151"/>
      <c r="G4979" s="152"/>
      <c r="H4979" s="153"/>
      <c r="I4979" s="154"/>
      <c r="J4979" s="154"/>
      <c r="K4979" s="30" t="str">
        <f>IF(H4979="","",IF($C$30="간이법","",FPR(H4979,I4979,J4979)))</f>
        <v/>
      </c>
      <c r="L4979" s="30" t="str">
        <f>IF(H4979="","",IF($C$30="상세법",FPV(H4979,K4979),IF(H4979="EI",4,IF(H4979="EO",5.2,IF(H4979="EQ",3.9,IF(H4979="ILF",7.5,IF(H4979="EIF",5.4)))))))</f>
        <v/>
      </c>
      <c r="M4979" s="30" t="str">
        <f t="shared" si="534"/>
        <v/>
      </c>
      <c r="N4979" s="134"/>
      <c r="O4979" s="29"/>
      <c r="P4979" s="37" t="str">
        <f t="shared" si="535"/>
        <v/>
      </c>
      <c r="Q4979" s="38" t="str">
        <f t="shared" si="536"/>
        <v/>
      </c>
      <c r="R4979" s="37" t="str">
        <f t="shared" si="537"/>
        <v/>
      </c>
      <c r="S4979" s="37" t="str">
        <f t="shared" si="538"/>
        <v/>
      </c>
      <c r="T4979" s="38" t="str">
        <f t="shared" si="539"/>
        <v/>
      </c>
      <c r="U4979" s="37" t="str">
        <f t="shared" si="540"/>
        <v/>
      </c>
    </row>
    <row r="4980" spans="2:21" ht="17.25">
      <c r="B4980" s="156"/>
      <c r="C4980" s="156"/>
      <c r="D4980" s="157"/>
      <c r="E4980" s="155"/>
      <c r="F4980" s="151"/>
      <c r="G4980" s="152"/>
      <c r="H4980" s="153"/>
      <c r="I4980" s="154"/>
      <c r="J4980" s="154"/>
      <c r="K4980" s="30" t="str">
        <f>IF(H4980="","",IF($C$30="간이법","",FPR(H4980,I4980,J4980)))</f>
        <v/>
      </c>
      <c r="L4980" s="30" t="str">
        <f>IF(H4980="","",IF($C$30="상세법",FPV(H4980,K4980),IF(H4980="EI",4,IF(H4980="EO",5.2,IF(H4980="EQ",3.9,IF(H4980="ILF",7.5,IF(H4980="EIF",5.4)))))))</f>
        <v/>
      </c>
      <c r="M4980" s="30" t="str">
        <f t="shared" si="534"/>
        <v/>
      </c>
      <c r="N4980" s="134"/>
      <c r="O4980" s="29"/>
      <c r="P4980" s="37" t="str">
        <f t="shared" si="535"/>
        <v/>
      </c>
      <c r="Q4980" s="38" t="str">
        <f t="shared" si="536"/>
        <v/>
      </c>
      <c r="R4980" s="37" t="str">
        <f t="shared" si="537"/>
        <v/>
      </c>
      <c r="S4980" s="37" t="str">
        <f t="shared" si="538"/>
        <v/>
      </c>
      <c r="T4980" s="38" t="str">
        <f t="shared" si="539"/>
        <v/>
      </c>
      <c r="U4980" s="37" t="str">
        <f t="shared" si="540"/>
        <v/>
      </c>
    </row>
    <row r="4981" spans="2:21" ht="17.25">
      <c r="B4981" s="156"/>
      <c r="C4981" s="156"/>
      <c r="D4981" s="157"/>
      <c r="E4981" s="155"/>
      <c r="F4981" s="151"/>
      <c r="G4981" s="152"/>
      <c r="H4981" s="153"/>
      <c r="I4981" s="154"/>
      <c r="J4981" s="154"/>
      <c r="K4981" s="30" t="str">
        <f>IF(H4981="","",IF($C$30="간이법","",FPR(H4981,I4981,J4981)))</f>
        <v/>
      </c>
      <c r="L4981" s="30" t="str">
        <f>IF(H4981="","",IF($C$30="상세법",FPV(H4981,K4981),IF(H4981="EI",4,IF(H4981="EO",5.2,IF(H4981="EQ",3.9,IF(H4981="ILF",7.5,IF(H4981="EIF",5.4)))))))</f>
        <v/>
      </c>
      <c r="M4981" s="30" t="str">
        <f t="shared" si="534"/>
        <v/>
      </c>
      <c r="N4981" s="134"/>
      <c r="O4981" s="29"/>
      <c r="P4981" s="37" t="str">
        <f t="shared" si="535"/>
        <v/>
      </c>
      <c r="Q4981" s="38" t="str">
        <f t="shared" si="536"/>
        <v/>
      </c>
      <c r="R4981" s="37" t="str">
        <f t="shared" si="537"/>
        <v/>
      </c>
      <c r="S4981" s="37" t="str">
        <f t="shared" si="538"/>
        <v/>
      </c>
      <c r="T4981" s="38" t="str">
        <f t="shared" si="539"/>
        <v/>
      </c>
      <c r="U4981" s="37" t="str">
        <f t="shared" si="540"/>
        <v/>
      </c>
    </row>
    <row r="4982" spans="2:21" ht="17.25">
      <c r="B4982" s="156"/>
      <c r="C4982" s="156"/>
      <c r="D4982" s="157"/>
      <c r="E4982" s="155"/>
      <c r="F4982" s="151"/>
      <c r="G4982" s="152"/>
      <c r="H4982" s="153"/>
      <c r="I4982" s="154"/>
      <c r="J4982" s="154"/>
      <c r="K4982" s="30" t="str">
        <f>IF(H4982="","",IF($C$30="간이법","",FPR(H4982,I4982,J4982)))</f>
        <v/>
      </c>
      <c r="L4982" s="30" t="str">
        <f>IF(H4982="","",IF($C$30="상세법",FPV(H4982,K4982),IF(H4982="EI",4,IF(H4982="EO",5.2,IF(H4982="EQ",3.9,IF(H4982="ILF",7.5,IF(H4982="EIF",5.4)))))))</f>
        <v/>
      </c>
      <c r="M4982" s="30" t="str">
        <f t="shared" si="534"/>
        <v/>
      </c>
      <c r="N4982" s="134"/>
      <c r="O4982" s="29"/>
      <c r="P4982" s="37" t="str">
        <f t="shared" si="535"/>
        <v/>
      </c>
      <c r="Q4982" s="38" t="str">
        <f t="shared" si="536"/>
        <v/>
      </c>
      <c r="R4982" s="37" t="str">
        <f t="shared" si="537"/>
        <v/>
      </c>
      <c r="S4982" s="37" t="str">
        <f t="shared" si="538"/>
        <v/>
      </c>
      <c r="T4982" s="38" t="str">
        <f t="shared" si="539"/>
        <v/>
      </c>
      <c r="U4982" s="37" t="str">
        <f t="shared" si="540"/>
        <v/>
      </c>
    </row>
    <row r="4983" spans="2:21" ht="17.25">
      <c r="B4983" s="156"/>
      <c r="C4983" s="156"/>
      <c r="D4983" s="157"/>
      <c r="E4983" s="155"/>
      <c r="F4983" s="151"/>
      <c r="G4983" s="152"/>
      <c r="H4983" s="153"/>
      <c r="I4983" s="154"/>
      <c r="J4983" s="154"/>
      <c r="K4983" s="30" t="str">
        <f>IF(H4983="","",IF($C$30="간이법","",FPR(H4983,I4983,J4983)))</f>
        <v/>
      </c>
      <c r="L4983" s="30" t="str">
        <f>IF(H4983="","",IF($C$30="상세법",FPV(H4983,K4983),IF(H4983="EI",4,IF(H4983="EO",5.2,IF(H4983="EQ",3.9,IF(H4983="ILF",7.5,IF(H4983="EIF",5.4)))))))</f>
        <v/>
      </c>
      <c r="M4983" s="30" t="str">
        <f t="shared" si="534"/>
        <v/>
      </c>
      <c r="N4983" s="134"/>
      <c r="O4983" s="29"/>
      <c r="P4983" s="37" t="str">
        <f t="shared" si="535"/>
        <v/>
      </c>
      <c r="Q4983" s="38" t="str">
        <f t="shared" si="536"/>
        <v/>
      </c>
      <c r="R4983" s="37" t="str">
        <f t="shared" si="537"/>
        <v/>
      </c>
      <c r="S4983" s="37" t="str">
        <f t="shared" si="538"/>
        <v/>
      </c>
      <c r="T4983" s="38" t="str">
        <f t="shared" si="539"/>
        <v/>
      </c>
      <c r="U4983" s="37" t="str">
        <f t="shared" si="540"/>
        <v/>
      </c>
    </row>
    <row r="4984" spans="2:21" ht="17.25">
      <c r="B4984" s="156"/>
      <c r="C4984" s="156"/>
      <c r="D4984" s="157"/>
      <c r="E4984" s="155"/>
      <c r="F4984" s="151"/>
      <c r="G4984" s="152"/>
      <c r="H4984" s="153"/>
      <c r="I4984" s="154"/>
      <c r="J4984" s="154"/>
      <c r="K4984" s="30" t="str">
        <f>IF(H4984="","",IF($C$30="간이법","",FPR(H4984,I4984,J4984)))</f>
        <v/>
      </c>
      <c r="L4984" s="30" t="str">
        <f>IF(H4984="","",IF($C$30="상세법",FPV(H4984,K4984),IF(H4984="EI",4,IF(H4984="EO",5.2,IF(H4984="EQ",3.9,IF(H4984="ILF",7.5,IF(H4984="EIF",5.4)))))))</f>
        <v/>
      </c>
      <c r="M4984" s="30" t="str">
        <f t="shared" si="534"/>
        <v/>
      </c>
      <c r="N4984" s="134"/>
      <c r="O4984" s="29"/>
      <c r="P4984" s="37" t="str">
        <f t="shared" si="535"/>
        <v/>
      </c>
      <c r="Q4984" s="38" t="str">
        <f t="shared" si="536"/>
        <v/>
      </c>
      <c r="R4984" s="37" t="str">
        <f t="shared" si="537"/>
        <v/>
      </c>
      <c r="S4984" s="37" t="str">
        <f t="shared" si="538"/>
        <v/>
      </c>
      <c r="T4984" s="38" t="str">
        <f t="shared" si="539"/>
        <v/>
      </c>
      <c r="U4984" s="37" t="str">
        <f t="shared" si="540"/>
        <v/>
      </c>
    </row>
    <row r="4985" spans="2:21" ht="17.25">
      <c r="B4985" s="156"/>
      <c r="C4985" s="156"/>
      <c r="D4985" s="157"/>
      <c r="E4985" s="155"/>
      <c r="F4985" s="151"/>
      <c r="G4985" s="152"/>
      <c r="H4985" s="153"/>
      <c r="I4985" s="154"/>
      <c r="J4985" s="154"/>
      <c r="K4985" s="30" t="str">
        <f>IF(H4985="","",IF($C$30="간이법","",FPR(H4985,I4985,J4985)))</f>
        <v/>
      </c>
      <c r="L4985" s="30" t="str">
        <f>IF(H4985="","",IF($C$30="상세법",FPV(H4985,K4985),IF(H4985="EI",4,IF(H4985="EO",5.2,IF(H4985="EQ",3.9,IF(H4985="ILF",7.5,IF(H4985="EIF",5.4)))))))</f>
        <v/>
      </c>
      <c r="M4985" s="30" t="str">
        <f t="shared" si="534"/>
        <v/>
      </c>
      <c r="N4985" s="134"/>
      <c r="O4985" s="29"/>
      <c r="P4985" s="37" t="str">
        <f t="shared" si="535"/>
        <v/>
      </c>
      <c r="Q4985" s="38" t="str">
        <f t="shared" si="536"/>
        <v/>
      </c>
      <c r="R4985" s="37" t="str">
        <f t="shared" si="537"/>
        <v/>
      </c>
      <c r="S4985" s="37" t="str">
        <f t="shared" si="538"/>
        <v/>
      </c>
      <c r="T4985" s="38" t="str">
        <f t="shared" si="539"/>
        <v/>
      </c>
      <c r="U4985" s="37" t="str">
        <f t="shared" si="540"/>
        <v/>
      </c>
    </row>
    <row r="4986" spans="2:21" ht="17.25">
      <c r="B4986" s="156"/>
      <c r="C4986" s="156"/>
      <c r="D4986" s="157"/>
      <c r="E4986" s="155"/>
      <c r="F4986" s="151"/>
      <c r="G4986" s="152"/>
      <c r="H4986" s="153"/>
      <c r="I4986" s="154"/>
      <c r="J4986" s="154"/>
      <c r="K4986" s="30" t="str">
        <f>IF(H4986="","",IF($C$30="간이법","",FPR(H4986,I4986,J4986)))</f>
        <v/>
      </c>
      <c r="L4986" s="30" t="str">
        <f>IF(H4986="","",IF($C$30="상세법",FPV(H4986,K4986),IF(H4986="EI",4,IF(H4986="EO",5.2,IF(H4986="EQ",3.9,IF(H4986="ILF",7.5,IF(H4986="EIF",5.4)))))))</f>
        <v/>
      </c>
      <c r="M4986" s="30" t="str">
        <f t="shared" si="534"/>
        <v/>
      </c>
      <c r="N4986" s="134"/>
      <c r="O4986" s="29"/>
      <c r="P4986" s="37" t="str">
        <f t="shared" si="535"/>
        <v/>
      </c>
      <c r="Q4986" s="38" t="str">
        <f t="shared" si="536"/>
        <v/>
      </c>
      <c r="R4986" s="37" t="str">
        <f t="shared" si="537"/>
        <v/>
      </c>
      <c r="S4986" s="37" t="str">
        <f t="shared" si="538"/>
        <v/>
      </c>
      <c r="T4986" s="38" t="str">
        <f t="shared" si="539"/>
        <v/>
      </c>
      <c r="U4986" s="37" t="str">
        <f t="shared" si="540"/>
        <v/>
      </c>
    </row>
    <row r="4987" spans="2:21" ht="17.25">
      <c r="B4987" s="156"/>
      <c r="C4987" s="156"/>
      <c r="D4987" s="157"/>
      <c r="E4987" s="155"/>
      <c r="F4987" s="151"/>
      <c r="G4987" s="152"/>
      <c r="H4987" s="153"/>
      <c r="I4987" s="154"/>
      <c r="J4987" s="154"/>
      <c r="K4987" s="30" t="str">
        <f>IF(H4987="","",IF($C$30="간이법","",FPR(H4987,I4987,J4987)))</f>
        <v/>
      </c>
      <c r="L4987" s="30" t="str">
        <f>IF(H4987="","",IF($C$30="상세법",FPV(H4987,K4987),IF(H4987="EI",4,IF(H4987="EO",5.2,IF(H4987="EQ",3.9,IF(H4987="ILF",7.5,IF(H4987="EIF",5.4)))))))</f>
        <v/>
      </c>
      <c r="M4987" s="30" t="str">
        <f t="shared" si="534"/>
        <v/>
      </c>
      <c r="N4987" s="134"/>
      <c r="O4987" s="29"/>
      <c r="P4987" s="37" t="str">
        <f t="shared" si="535"/>
        <v/>
      </c>
      <c r="Q4987" s="38" t="str">
        <f t="shared" si="536"/>
        <v/>
      </c>
      <c r="R4987" s="37" t="str">
        <f t="shared" si="537"/>
        <v/>
      </c>
      <c r="S4987" s="37" t="str">
        <f t="shared" si="538"/>
        <v/>
      </c>
      <c r="T4987" s="38" t="str">
        <f t="shared" si="539"/>
        <v/>
      </c>
      <c r="U4987" s="37" t="str">
        <f t="shared" si="540"/>
        <v/>
      </c>
    </row>
    <row r="4988" spans="2:21" ht="17.25">
      <c r="B4988" s="156"/>
      <c r="C4988" s="156"/>
      <c r="D4988" s="157"/>
      <c r="E4988" s="155"/>
      <c r="F4988" s="151"/>
      <c r="G4988" s="152"/>
      <c r="H4988" s="153"/>
      <c r="I4988" s="154"/>
      <c r="J4988" s="154"/>
      <c r="K4988" s="30" t="str">
        <f>IF(H4988="","",IF($C$30="간이법","",FPR(H4988,I4988,J4988)))</f>
        <v/>
      </c>
      <c r="L4988" s="30" t="str">
        <f>IF(H4988="","",IF($C$30="상세법",FPV(H4988,K4988),IF(H4988="EI",4,IF(H4988="EO",5.2,IF(H4988="EQ",3.9,IF(H4988="ILF",7.5,IF(H4988="EIF",5.4)))))))</f>
        <v/>
      </c>
      <c r="M4988" s="30" t="str">
        <f t="shared" ref="M4988:M5002" si="541">IF(OR(G4988="",$E$36="(선택)",$E$40="(선택)",$E$41="(선택)",F4988="신규 개발",F4988="수정 없이 재사용"),"",(IF(F4988="수정 후 재사용",IF($E$50&lt;=0.5,L4988*($E$36+$E$50*100*(1+0.02*($E$40*$E$41)))/100,L4988*($E$36+$E$50*100+($E$40*$E$41))/100))))</f>
        <v/>
      </c>
      <c r="N4988" s="134"/>
      <c r="O4988" s="29"/>
      <c r="P4988" s="37" t="str">
        <f t="shared" ref="P4988:P5002" si="542">IF(F4988="수정 후 재사용",IF(H4988="ILF",G4988,IF(H4988="EIF",G4988,"")),"")</f>
        <v/>
      </c>
      <c r="Q4988" s="38" t="str">
        <f t="shared" ref="Q4988:Q5002" si="543">IF(P4988&lt;&gt;"",IF(H4988="ILF", L4988/$E$46,IF(H4988="EIF", L4988/$E$46,"")),"")</f>
        <v/>
      </c>
      <c r="R4988" s="37" t="str">
        <f t="shared" ref="R4988:R5002" si="544">IF(P4988&lt;&gt;"",P4988*Q4988,"")</f>
        <v/>
      </c>
      <c r="S4988" s="37" t="str">
        <f t="shared" ref="S4988:S5002" si="545">IF(F4988="수정 후 재사용",IF(H4988="EI",G4988,IF(H4988="EO",G4988,IF(H4988="EQ",G4988,""))),"")</f>
        <v/>
      </c>
      <c r="T4988" s="38" t="str">
        <f t="shared" ref="T4988:T5002" si="546">IF(S4988&lt;&gt;"",IF(H4988="EI",L4988/$E$47,IF(H4988="EO",L4988/$E$47,IF(H4988="EQ",L4988/$E$47,""))),"")</f>
        <v/>
      </c>
      <c r="U4988" s="37" t="str">
        <f t="shared" ref="U4988:U5002" si="547">IF(S4988&lt;&gt;"",S4988*T4988,"")</f>
        <v/>
      </c>
    </row>
    <row r="4989" spans="2:21" ht="17.25">
      <c r="B4989" s="156"/>
      <c r="C4989" s="156"/>
      <c r="D4989" s="157"/>
      <c r="E4989" s="155"/>
      <c r="F4989" s="151"/>
      <c r="G4989" s="152"/>
      <c r="H4989" s="153"/>
      <c r="I4989" s="154"/>
      <c r="J4989" s="154"/>
      <c r="K4989" s="30" t="str">
        <f>IF(H4989="","",IF($C$30="간이법","",FPR(H4989,I4989,J4989)))</f>
        <v/>
      </c>
      <c r="L4989" s="30" t="str">
        <f>IF(H4989="","",IF($C$30="상세법",FPV(H4989,K4989),IF(H4989="EI",4,IF(H4989="EO",5.2,IF(H4989="EQ",3.9,IF(H4989="ILF",7.5,IF(H4989="EIF",5.4)))))))</f>
        <v/>
      </c>
      <c r="M4989" s="30" t="str">
        <f t="shared" si="541"/>
        <v/>
      </c>
      <c r="N4989" s="134"/>
      <c r="O4989" s="29"/>
      <c r="P4989" s="37" t="str">
        <f t="shared" si="542"/>
        <v/>
      </c>
      <c r="Q4989" s="38" t="str">
        <f t="shared" si="543"/>
        <v/>
      </c>
      <c r="R4989" s="37" t="str">
        <f t="shared" si="544"/>
        <v/>
      </c>
      <c r="S4989" s="37" t="str">
        <f t="shared" si="545"/>
        <v/>
      </c>
      <c r="T4989" s="38" t="str">
        <f t="shared" si="546"/>
        <v/>
      </c>
      <c r="U4989" s="37" t="str">
        <f t="shared" si="547"/>
        <v/>
      </c>
    </row>
    <row r="4990" spans="2:21" ht="17.25">
      <c r="B4990" s="156"/>
      <c r="C4990" s="156"/>
      <c r="D4990" s="157"/>
      <c r="E4990" s="155"/>
      <c r="F4990" s="151"/>
      <c r="G4990" s="152"/>
      <c r="H4990" s="153"/>
      <c r="I4990" s="154"/>
      <c r="J4990" s="154"/>
      <c r="K4990" s="30" t="str">
        <f>IF(H4990="","",IF($C$30="간이법","",FPR(H4990,I4990,J4990)))</f>
        <v/>
      </c>
      <c r="L4990" s="30" t="str">
        <f>IF(H4990="","",IF($C$30="상세법",FPV(H4990,K4990),IF(H4990="EI",4,IF(H4990="EO",5.2,IF(H4990="EQ",3.9,IF(H4990="ILF",7.5,IF(H4990="EIF",5.4)))))))</f>
        <v/>
      </c>
      <c r="M4990" s="30" t="str">
        <f t="shared" si="541"/>
        <v/>
      </c>
      <c r="N4990" s="134"/>
      <c r="O4990" s="29"/>
      <c r="P4990" s="37" t="str">
        <f t="shared" si="542"/>
        <v/>
      </c>
      <c r="Q4990" s="38" t="str">
        <f t="shared" si="543"/>
        <v/>
      </c>
      <c r="R4990" s="37" t="str">
        <f t="shared" si="544"/>
        <v/>
      </c>
      <c r="S4990" s="37" t="str">
        <f t="shared" si="545"/>
        <v/>
      </c>
      <c r="T4990" s="38" t="str">
        <f t="shared" si="546"/>
        <v/>
      </c>
      <c r="U4990" s="37" t="str">
        <f t="shared" si="547"/>
        <v/>
      </c>
    </row>
    <row r="4991" spans="2:21" ht="17.25">
      <c r="B4991" s="156"/>
      <c r="C4991" s="156"/>
      <c r="D4991" s="157"/>
      <c r="E4991" s="155"/>
      <c r="F4991" s="151"/>
      <c r="G4991" s="152"/>
      <c r="H4991" s="153"/>
      <c r="I4991" s="154"/>
      <c r="J4991" s="154"/>
      <c r="K4991" s="30" t="str">
        <f>IF(H4991="","",IF($C$30="간이법","",FPR(H4991,I4991,J4991)))</f>
        <v/>
      </c>
      <c r="L4991" s="30" t="str">
        <f>IF(H4991="","",IF($C$30="상세법",FPV(H4991,K4991),IF(H4991="EI",4,IF(H4991="EO",5.2,IF(H4991="EQ",3.9,IF(H4991="ILF",7.5,IF(H4991="EIF",5.4)))))))</f>
        <v/>
      </c>
      <c r="M4991" s="30" t="str">
        <f t="shared" si="541"/>
        <v/>
      </c>
      <c r="N4991" s="134"/>
      <c r="O4991" s="29"/>
      <c r="P4991" s="37" t="str">
        <f t="shared" si="542"/>
        <v/>
      </c>
      <c r="Q4991" s="38" t="str">
        <f t="shared" si="543"/>
        <v/>
      </c>
      <c r="R4991" s="37" t="str">
        <f t="shared" si="544"/>
        <v/>
      </c>
      <c r="S4991" s="37" t="str">
        <f t="shared" si="545"/>
        <v/>
      </c>
      <c r="T4991" s="38" t="str">
        <f t="shared" si="546"/>
        <v/>
      </c>
      <c r="U4991" s="37" t="str">
        <f t="shared" si="547"/>
        <v/>
      </c>
    </row>
    <row r="4992" spans="2:21" ht="17.25">
      <c r="B4992" s="156"/>
      <c r="C4992" s="156"/>
      <c r="D4992" s="157"/>
      <c r="E4992" s="155"/>
      <c r="F4992" s="151"/>
      <c r="G4992" s="152"/>
      <c r="H4992" s="153"/>
      <c r="I4992" s="154"/>
      <c r="J4992" s="154"/>
      <c r="K4992" s="30" t="str">
        <f>IF(H4992="","",IF($C$30="간이법","",FPR(H4992,I4992,J4992)))</f>
        <v/>
      </c>
      <c r="L4992" s="30" t="str">
        <f>IF(H4992="","",IF($C$30="상세법",FPV(H4992,K4992),IF(H4992="EI",4,IF(H4992="EO",5.2,IF(H4992="EQ",3.9,IF(H4992="ILF",7.5,IF(H4992="EIF",5.4)))))))</f>
        <v/>
      </c>
      <c r="M4992" s="30" t="str">
        <f t="shared" si="541"/>
        <v/>
      </c>
      <c r="N4992" s="134"/>
      <c r="O4992" s="29"/>
      <c r="P4992" s="37" t="str">
        <f t="shared" si="542"/>
        <v/>
      </c>
      <c r="Q4992" s="38" t="str">
        <f t="shared" si="543"/>
        <v/>
      </c>
      <c r="R4992" s="37" t="str">
        <f t="shared" si="544"/>
        <v/>
      </c>
      <c r="S4992" s="37" t="str">
        <f t="shared" si="545"/>
        <v/>
      </c>
      <c r="T4992" s="38" t="str">
        <f t="shared" si="546"/>
        <v/>
      </c>
      <c r="U4992" s="37" t="str">
        <f t="shared" si="547"/>
        <v/>
      </c>
    </row>
    <row r="4993" spans="2:21" ht="17.25">
      <c r="B4993" s="156"/>
      <c r="C4993" s="156"/>
      <c r="D4993" s="157"/>
      <c r="E4993" s="155"/>
      <c r="F4993" s="151"/>
      <c r="G4993" s="152"/>
      <c r="H4993" s="153"/>
      <c r="I4993" s="154"/>
      <c r="J4993" s="154"/>
      <c r="K4993" s="30" t="str">
        <f>IF(H4993="","",IF($C$30="간이법","",FPR(H4993,I4993,J4993)))</f>
        <v/>
      </c>
      <c r="L4993" s="30" t="str">
        <f>IF(H4993="","",IF($C$30="상세법",FPV(H4993,K4993),IF(H4993="EI",4,IF(H4993="EO",5.2,IF(H4993="EQ",3.9,IF(H4993="ILF",7.5,IF(H4993="EIF",5.4)))))))</f>
        <v/>
      </c>
      <c r="M4993" s="30" t="str">
        <f t="shared" si="541"/>
        <v/>
      </c>
      <c r="N4993" s="134"/>
      <c r="O4993" s="29"/>
      <c r="P4993" s="37" t="str">
        <f t="shared" si="542"/>
        <v/>
      </c>
      <c r="Q4993" s="38" t="str">
        <f t="shared" si="543"/>
        <v/>
      </c>
      <c r="R4993" s="37" t="str">
        <f t="shared" si="544"/>
        <v/>
      </c>
      <c r="S4993" s="37" t="str">
        <f t="shared" si="545"/>
        <v/>
      </c>
      <c r="T4993" s="38" t="str">
        <f t="shared" si="546"/>
        <v/>
      </c>
      <c r="U4993" s="37" t="str">
        <f t="shared" si="547"/>
        <v/>
      </c>
    </row>
    <row r="4994" spans="2:21" ht="17.25">
      <c r="B4994" s="156"/>
      <c r="C4994" s="156"/>
      <c r="D4994" s="157"/>
      <c r="E4994" s="155"/>
      <c r="F4994" s="151"/>
      <c r="G4994" s="152"/>
      <c r="H4994" s="153"/>
      <c r="I4994" s="154"/>
      <c r="J4994" s="154"/>
      <c r="K4994" s="30" t="str">
        <f>IF(H4994="","",IF($C$30="간이법","",FPR(H4994,I4994,J4994)))</f>
        <v/>
      </c>
      <c r="L4994" s="30" t="str">
        <f>IF(H4994="","",IF($C$30="상세법",FPV(H4994,K4994),IF(H4994="EI",4,IF(H4994="EO",5.2,IF(H4994="EQ",3.9,IF(H4994="ILF",7.5,IF(H4994="EIF",5.4)))))))</f>
        <v/>
      </c>
      <c r="M4994" s="30" t="str">
        <f t="shared" si="541"/>
        <v/>
      </c>
      <c r="N4994" s="134"/>
      <c r="O4994" s="29"/>
      <c r="P4994" s="37" t="str">
        <f t="shared" si="542"/>
        <v/>
      </c>
      <c r="Q4994" s="38" t="str">
        <f t="shared" si="543"/>
        <v/>
      </c>
      <c r="R4994" s="37" t="str">
        <f t="shared" si="544"/>
        <v/>
      </c>
      <c r="S4994" s="37" t="str">
        <f t="shared" si="545"/>
        <v/>
      </c>
      <c r="T4994" s="38" t="str">
        <f t="shared" si="546"/>
        <v/>
      </c>
      <c r="U4994" s="37" t="str">
        <f t="shared" si="547"/>
        <v/>
      </c>
    </row>
    <row r="4995" spans="2:21" ht="17.25">
      <c r="B4995" s="156"/>
      <c r="C4995" s="156"/>
      <c r="D4995" s="157"/>
      <c r="E4995" s="155"/>
      <c r="F4995" s="151"/>
      <c r="G4995" s="152"/>
      <c r="H4995" s="153"/>
      <c r="I4995" s="154"/>
      <c r="J4995" s="154"/>
      <c r="K4995" s="30" t="str">
        <f>IF(H4995="","",IF($C$30="간이법","",FPR(H4995,I4995,J4995)))</f>
        <v/>
      </c>
      <c r="L4995" s="30" t="str">
        <f>IF(H4995="","",IF($C$30="상세법",FPV(H4995,K4995),IF(H4995="EI",4,IF(H4995="EO",5.2,IF(H4995="EQ",3.9,IF(H4995="ILF",7.5,IF(H4995="EIF",5.4)))))))</f>
        <v/>
      </c>
      <c r="M4995" s="30" t="str">
        <f t="shared" si="541"/>
        <v/>
      </c>
      <c r="N4995" s="134"/>
      <c r="O4995" s="29"/>
      <c r="P4995" s="37" t="str">
        <f t="shared" si="542"/>
        <v/>
      </c>
      <c r="Q4995" s="38" t="str">
        <f t="shared" si="543"/>
        <v/>
      </c>
      <c r="R4995" s="37" t="str">
        <f t="shared" si="544"/>
        <v/>
      </c>
      <c r="S4995" s="37" t="str">
        <f t="shared" si="545"/>
        <v/>
      </c>
      <c r="T4995" s="38" t="str">
        <f t="shared" si="546"/>
        <v/>
      </c>
      <c r="U4995" s="37" t="str">
        <f t="shared" si="547"/>
        <v/>
      </c>
    </row>
    <row r="4996" spans="2:21" ht="17.25">
      <c r="B4996" s="156"/>
      <c r="C4996" s="156"/>
      <c r="D4996" s="157"/>
      <c r="E4996" s="155"/>
      <c r="F4996" s="151"/>
      <c r="G4996" s="152"/>
      <c r="H4996" s="153"/>
      <c r="I4996" s="154"/>
      <c r="J4996" s="154"/>
      <c r="K4996" s="30" t="str">
        <f>IF(H4996="","",IF($C$30="간이법","",FPR(H4996,I4996,J4996)))</f>
        <v/>
      </c>
      <c r="L4996" s="30" t="str">
        <f>IF(H4996="","",IF($C$30="상세법",FPV(H4996,K4996),IF(H4996="EI",4,IF(H4996="EO",5.2,IF(H4996="EQ",3.9,IF(H4996="ILF",7.5,IF(H4996="EIF",5.4)))))))</f>
        <v/>
      </c>
      <c r="M4996" s="30" t="str">
        <f t="shared" si="541"/>
        <v/>
      </c>
      <c r="N4996" s="134"/>
      <c r="O4996" s="29"/>
      <c r="P4996" s="37" t="str">
        <f t="shared" si="542"/>
        <v/>
      </c>
      <c r="Q4996" s="38" t="str">
        <f t="shared" si="543"/>
        <v/>
      </c>
      <c r="R4996" s="37" t="str">
        <f t="shared" si="544"/>
        <v/>
      </c>
      <c r="S4996" s="37" t="str">
        <f t="shared" si="545"/>
        <v/>
      </c>
      <c r="T4996" s="38" t="str">
        <f t="shared" si="546"/>
        <v/>
      </c>
      <c r="U4996" s="37" t="str">
        <f t="shared" si="547"/>
        <v/>
      </c>
    </row>
    <row r="4997" spans="2:21" ht="17.25">
      <c r="B4997" s="156"/>
      <c r="C4997" s="156"/>
      <c r="D4997" s="157"/>
      <c r="E4997" s="155"/>
      <c r="F4997" s="151"/>
      <c r="G4997" s="152"/>
      <c r="H4997" s="153"/>
      <c r="I4997" s="154"/>
      <c r="J4997" s="154"/>
      <c r="K4997" s="30" t="str">
        <f>IF(H4997="","",IF($C$30="간이법","",FPR(H4997,I4997,J4997)))</f>
        <v/>
      </c>
      <c r="L4997" s="30" t="str">
        <f>IF(H4997="","",IF($C$30="상세법",FPV(H4997,K4997),IF(H4997="EI",4,IF(H4997="EO",5.2,IF(H4997="EQ",3.9,IF(H4997="ILF",7.5,IF(H4997="EIF",5.4)))))))</f>
        <v/>
      </c>
      <c r="M4997" s="30" t="str">
        <f t="shared" si="541"/>
        <v/>
      </c>
      <c r="N4997" s="134"/>
      <c r="O4997" s="29"/>
      <c r="P4997" s="37" t="str">
        <f t="shared" si="542"/>
        <v/>
      </c>
      <c r="Q4997" s="38" t="str">
        <f t="shared" si="543"/>
        <v/>
      </c>
      <c r="R4997" s="37" t="str">
        <f t="shared" si="544"/>
        <v/>
      </c>
      <c r="S4997" s="37" t="str">
        <f t="shared" si="545"/>
        <v/>
      </c>
      <c r="T4997" s="38" t="str">
        <f t="shared" si="546"/>
        <v/>
      </c>
      <c r="U4997" s="37" t="str">
        <f t="shared" si="547"/>
        <v/>
      </c>
    </row>
    <row r="4998" spans="2:21" ht="17.25">
      <c r="B4998" s="156"/>
      <c r="C4998" s="156"/>
      <c r="D4998" s="157"/>
      <c r="E4998" s="155"/>
      <c r="F4998" s="151"/>
      <c r="G4998" s="152"/>
      <c r="H4998" s="153"/>
      <c r="I4998" s="154"/>
      <c r="J4998" s="154"/>
      <c r="K4998" s="30" t="str">
        <f>IF(H4998="","",IF($C$30="간이법","",FPR(H4998,I4998,J4998)))</f>
        <v/>
      </c>
      <c r="L4998" s="30" t="str">
        <f>IF(H4998="","",IF($C$30="상세법",FPV(H4998,K4998),IF(H4998="EI",4,IF(H4998="EO",5.2,IF(H4998="EQ",3.9,IF(H4998="ILF",7.5,IF(H4998="EIF",5.4)))))))</f>
        <v/>
      </c>
      <c r="M4998" s="30" t="str">
        <f t="shared" si="541"/>
        <v/>
      </c>
      <c r="N4998" s="134"/>
      <c r="O4998" s="29"/>
      <c r="P4998" s="37" t="str">
        <f t="shared" si="542"/>
        <v/>
      </c>
      <c r="Q4998" s="38" t="str">
        <f t="shared" si="543"/>
        <v/>
      </c>
      <c r="R4998" s="37" t="str">
        <f t="shared" si="544"/>
        <v/>
      </c>
      <c r="S4998" s="37" t="str">
        <f t="shared" si="545"/>
        <v/>
      </c>
      <c r="T4998" s="38" t="str">
        <f t="shared" si="546"/>
        <v/>
      </c>
      <c r="U4998" s="37" t="str">
        <f t="shared" si="547"/>
        <v/>
      </c>
    </row>
    <row r="4999" spans="2:21" ht="17.25">
      <c r="B4999" s="156"/>
      <c r="C4999" s="156"/>
      <c r="D4999" s="157"/>
      <c r="E4999" s="155"/>
      <c r="F4999" s="151"/>
      <c r="G4999" s="152"/>
      <c r="H4999" s="153"/>
      <c r="I4999" s="154"/>
      <c r="J4999" s="154"/>
      <c r="K4999" s="30" t="str">
        <f>IF(H4999="","",IF($C$30="간이법","",FPR(H4999,I4999,J4999)))</f>
        <v/>
      </c>
      <c r="L4999" s="30" t="str">
        <f>IF(H4999="","",IF($C$30="상세법",FPV(H4999,K4999),IF(H4999="EI",4,IF(H4999="EO",5.2,IF(H4999="EQ",3.9,IF(H4999="ILF",7.5,IF(H4999="EIF",5.4)))))))</f>
        <v/>
      </c>
      <c r="M4999" s="30" t="str">
        <f t="shared" si="541"/>
        <v/>
      </c>
      <c r="N4999" s="134"/>
      <c r="O4999" s="29"/>
      <c r="P4999" s="37" t="str">
        <f t="shared" si="542"/>
        <v/>
      </c>
      <c r="Q4999" s="38" t="str">
        <f t="shared" si="543"/>
        <v/>
      </c>
      <c r="R4999" s="37" t="str">
        <f t="shared" si="544"/>
        <v/>
      </c>
      <c r="S4999" s="37" t="str">
        <f t="shared" si="545"/>
        <v/>
      </c>
      <c r="T4999" s="38" t="str">
        <f t="shared" si="546"/>
        <v/>
      </c>
      <c r="U4999" s="37" t="str">
        <f t="shared" si="547"/>
        <v/>
      </c>
    </row>
    <row r="5000" spans="2:21" ht="17.25">
      <c r="B5000" s="156"/>
      <c r="C5000" s="156"/>
      <c r="D5000" s="157"/>
      <c r="E5000" s="155"/>
      <c r="F5000" s="151"/>
      <c r="G5000" s="152"/>
      <c r="H5000" s="153"/>
      <c r="I5000" s="154"/>
      <c r="J5000" s="154"/>
      <c r="K5000" s="30" t="str">
        <f>IF(H5000="","",IF($C$30="간이법","",FPR(H5000,I5000,J5000)))</f>
        <v/>
      </c>
      <c r="L5000" s="30" t="str">
        <f>IF(H5000="","",IF($C$30="상세법",FPV(H5000,K5000),IF(H5000="EI",4,IF(H5000="EO",5.2,IF(H5000="EQ",3.9,IF(H5000="ILF",7.5,IF(H5000="EIF",5.4)))))))</f>
        <v/>
      </c>
      <c r="M5000" s="30" t="str">
        <f t="shared" si="541"/>
        <v/>
      </c>
      <c r="N5000" s="134"/>
      <c r="O5000" s="29"/>
      <c r="P5000" s="37" t="str">
        <f t="shared" si="542"/>
        <v/>
      </c>
      <c r="Q5000" s="38" t="str">
        <f t="shared" si="543"/>
        <v/>
      </c>
      <c r="R5000" s="37" t="str">
        <f t="shared" si="544"/>
        <v/>
      </c>
      <c r="S5000" s="37" t="str">
        <f t="shared" si="545"/>
        <v/>
      </c>
      <c r="T5000" s="38" t="str">
        <f t="shared" si="546"/>
        <v/>
      </c>
      <c r="U5000" s="37" t="str">
        <f t="shared" si="547"/>
        <v/>
      </c>
    </row>
    <row r="5001" spans="2:21" ht="17.25">
      <c r="B5001" s="156"/>
      <c r="C5001" s="156"/>
      <c r="D5001" s="157"/>
      <c r="E5001" s="155"/>
      <c r="F5001" s="151"/>
      <c r="G5001" s="152"/>
      <c r="H5001" s="153"/>
      <c r="I5001" s="154"/>
      <c r="J5001" s="154"/>
      <c r="K5001" s="30" t="str">
        <f>IF(H5001="","",IF($C$30="간이법","",FPR(H5001,I5001,J5001)))</f>
        <v/>
      </c>
      <c r="L5001" s="30" t="str">
        <f>IF(H5001="","",IF($C$30="상세법",FPV(H5001,K5001),IF(H5001="EI",4,IF(H5001="EO",5.2,IF(H5001="EQ",3.9,IF(H5001="ILF",7.5,IF(H5001="EIF",5.4)))))))</f>
        <v/>
      </c>
      <c r="M5001" s="30" t="str">
        <f t="shared" si="541"/>
        <v/>
      </c>
      <c r="N5001" s="134"/>
      <c r="O5001" s="29"/>
      <c r="P5001" s="37" t="str">
        <f t="shared" si="542"/>
        <v/>
      </c>
      <c r="Q5001" s="38" t="str">
        <f t="shared" si="543"/>
        <v/>
      </c>
      <c r="R5001" s="37" t="str">
        <f t="shared" si="544"/>
        <v/>
      </c>
      <c r="S5001" s="37" t="str">
        <f t="shared" si="545"/>
        <v/>
      </c>
      <c r="T5001" s="38" t="str">
        <f t="shared" si="546"/>
        <v/>
      </c>
      <c r="U5001" s="37" t="str">
        <f t="shared" si="547"/>
        <v/>
      </c>
    </row>
    <row r="5002" spans="2:21" ht="17.25">
      <c r="B5002" s="156"/>
      <c r="C5002" s="156"/>
      <c r="D5002" s="157"/>
      <c r="E5002" s="155"/>
      <c r="F5002" s="151"/>
      <c r="G5002" s="152"/>
      <c r="H5002" s="153"/>
      <c r="I5002" s="154"/>
      <c r="J5002" s="154"/>
      <c r="K5002" s="30" t="str">
        <f>IF(H5002="","",IF($C$30="간이법","",FPR(H5002,I5002,J5002)))</f>
        <v/>
      </c>
      <c r="L5002" s="30" t="str">
        <f>IF(H5002="","",IF($C$30="상세법",FPV(H5002,K5002),IF(H5002="EI",4,IF(H5002="EO",5.2,IF(H5002="EQ",3.9,IF(H5002="ILF",7.5,IF(H5002="EIF",5.4)))))))</f>
        <v/>
      </c>
      <c r="M5002" s="30" t="str">
        <f t="shared" si="541"/>
        <v/>
      </c>
      <c r="N5002" s="134"/>
      <c r="O5002" s="29"/>
      <c r="P5002" s="37" t="str">
        <f t="shared" si="542"/>
        <v/>
      </c>
      <c r="Q5002" s="38" t="str">
        <f t="shared" si="543"/>
        <v/>
      </c>
      <c r="R5002" s="37" t="str">
        <f t="shared" si="544"/>
        <v/>
      </c>
      <c r="S5002" s="37" t="str">
        <f t="shared" si="545"/>
        <v/>
      </c>
      <c r="T5002" s="38" t="str">
        <f t="shared" si="546"/>
        <v/>
      </c>
      <c r="U5002" s="37" t="str">
        <f t="shared" si="547"/>
        <v/>
      </c>
    </row>
  </sheetData>
  <sheetProtection sheet="1" selectLockedCells="1"/>
  <protectedRanges>
    <protectedRange sqref="B63:E67" name="범위1_2_2_2"/>
    <protectedRange sqref="B59:E62 H59:K8703" name="범위1_3_1_3_1_3"/>
    <protectedRange sqref="F59:F8703" name="범위1_3_1_3_1_3_1"/>
    <protectedRange sqref="G59:G8703" name="범위1_3_1_3_1_3_5"/>
  </protectedRanges>
  <mergeCells count="42">
    <mergeCell ref="B2:L2"/>
    <mergeCell ref="N57:N58"/>
    <mergeCell ref="H57:J57"/>
    <mergeCell ref="B57:E57"/>
    <mergeCell ref="B18:L18"/>
    <mergeCell ref="B21:L21"/>
    <mergeCell ref="B22:L22"/>
    <mergeCell ref="B23:L23"/>
    <mergeCell ref="B24:L24"/>
    <mergeCell ref="B3:L3"/>
    <mergeCell ref="B10:L10"/>
    <mergeCell ref="B11:L11"/>
    <mergeCell ref="B12:L12"/>
    <mergeCell ref="B9:L9"/>
    <mergeCell ref="F57:G57"/>
    <mergeCell ref="B13:L13"/>
    <mergeCell ref="K57:M57"/>
    <mergeCell ref="B25:L25"/>
    <mergeCell ref="B27:L27"/>
    <mergeCell ref="B26:L26"/>
    <mergeCell ref="B19:L19"/>
    <mergeCell ref="B20:L20"/>
    <mergeCell ref="B35:D35"/>
    <mergeCell ref="B36:D36"/>
    <mergeCell ref="B37:C40"/>
    <mergeCell ref="B41:D41"/>
    <mergeCell ref="B43:D43"/>
    <mergeCell ref="B44:D44"/>
    <mergeCell ref="B45:D45"/>
    <mergeCell ref="B46:D46"/>
    <mergeCell ref="B52:D52"/>
    <mergeCell ref="B53:D53"/>
    <mergeCell ref="B14:L14"/>
    <mergeCell ref="B15:L15"/>
    <mergeCell ref="B16:L16"/>
    <mergeCell ref="B17:L17"/>
    <mergeCell ref="B42:D42"/>
    <mergeCell ref="B47:D47"/>
    <mergeCell ref="B48:D48"/>
    <mergeCell ref="B49:D49"/>
    <mergeCell ref="B50:D50"/>
    <mergeCell ref="B51:D51"/>
  </mergeCells>
  <phoneticPr fontId="5" type="noConversion"/>
  <conditionalFormatting sqref="K59:L59 P59 N59 R59:S59">
    <cfRule type="expression" dxfId="665" priority="835" stopIfTrue="1">
      <formula>#REF!=1</formula>
    </cfRule>
    <cfRule type="expression" dxfId="664" priority="836" stopIfTrue="1">
      <formula>#REF!=1</formula>
    </cfRule>
    <cfRule type="expression" dxfId="663" priority="837" stopIfTrue="1">
      <formula>#REF!=1</formula>
    </cfRule>
  </conditionalFormatting>
  <conditionalFormatting sqref="L59 P59 R59:S59 N59">
    <cfRule type="expression" dxfId="662" priority="796" stopIfTrue="1">
      <formula>#REF!=1</formula>
    </cfRule>
    <cfRule type="expression" dxfId="661" priority="797" stopIfTrue="1">
      <formula>#REF!=1</formula>
    </cfRule>
    <cfRule type="expression" dxfId="660" priority="798" stopIfTrue="1">
      <formula>#REF!=1</formula>
    </cfRule>
  </conditionalFormatting>
  <conditionalFormatting sqref="G59">
    <cfRule type="expression" dxfId="659" priority="617" stopIfTrue="1">
      <formula>#REF!=1</formula>
    </cfRule>
    <cfRule type="expression" dxfId="658" priority="618" stopIfTrue="1">
      <formula>#REF!=1</formula>
    </cfRule>
    <cfRule type="expression" dxfId="657" priority="619" stopIfTrue="1">
      <formula>#REF!=1</formula>
    </cfRule>
  </conditionalFormatting>
  <conditionalFormatting sqref="F584:F5002">
    <cfRule type="cellIs" dxfId="656" priority="544" operator="equal">
      <formula>"수정 후 재사용"</formula>
    </cfRule>
  </conditionalFormatting>
  <conditionalFormatting sqref="Q59">
    <cfRule type="expression" dxfId="655" priority="524" stopIfTrue="1">
      <formula>#REF!=1</formula>
    </cfRule>
    <cfRule type="expression" dxfId="654" priority="525" stopIfTrue="1">
      <formula>#REF!=1</formula>
    </cfRule>
    <cfRule type="expression" dxfId="653" priority="526" stopIfTrue="1">
      <formula>#REF!=1</formula>
    </cfRule>
  </conditionalFormatting>
  <conditionalFormatting sqref="Q59">
    <cfRule type="expression" dxfId="652" priority="521" stopIfTrue="1">
      <formula>#REF!=1</formula>
    </cfRule>
    <cfRule type="expression" dxfId="651" priority="522" stopIfTrue="1">
      <formula>#REF!=1</formula>
    </cfRule>
    <cfRule type="expression" dxfId="650" priority="523" stopIfTrue="1">
      <formula>#REF!=1</formula>
    </cfRule>
  </conditionalFormatting>
  <conditionalFormatting sqref="T59">
    <cfRule type="expression" dxfId="649" priority="518" stopIfTrue="1">
      <formula>#REF!=1</formula>
    </cfRule>
    <cfRule type="expression" dxfId="648" priority="519" stopIfTrue="1">
      <formula>#REF!=1</formula>
    </cfRule>
    <cfRule type="expression" dxfId="647" priority="520" stopIfTrue="1">
      <formula>#REF!=1</formula>
    </cfRule>
  </conditionalFormatting>
  <conditionalFormatting sqref="T59">
    <cfRule type="expression" dxfId="646" priority="515" stopIfTrue="1">
      <formula>#REF!=1</formula>
    </cfRule>
    <cfRule type="expression" dxfId="645" priority="516" stopIfTrue="1">
      <formula>#REF!=1</formula>
    </cfRule>
    <cfRule type="expression" dxfId="644" priority="517" stopIfTrue="1">
      <formula>#REF!=1</formula>
    </cfRule>
  </conditionalFormatting>
  <conditionalFormatting sqref="U59">
    <cfRule type="expression" dxfId="643" priority="512" stopIfTrue="1">
      <formula>#REF!=1</formula>
    </cfRule>
    <cfRule type="expression" dxfId="642" priority="513" stopIfTrue="1">
      <formula>#REF!=1</formula>
    </cfRule>
    <cfRule type="expression" dxfId="641" priority="514" stopIfTrue="1">
      <formula>#REF!=1</formula>
    </cfRule>
  </conditionalFormatting>
  <conditionalFormatting sqref="U59">
    <cfRule type="expression" dxfId="640" priority="509" stopIfTrue="1">
      <formula>#REF!=1</formula>
    </cfRule>
    <cfRule type="expression" dxfId="639" priority="510" stopIfTrue="1">
      <formula>#REF!=1</formula>
    </cfRule>
    <cfRule type="expression" dxfId="638" priority="511" stopIfTrue="1">
      <formula>#REF!=1</formula>
    </cfRule>
  </conditionalFormatting>
  <conditionalFormatting sqref="L60:L5002 N60:N5002 F584:F5002">
    <cfRule type="expression" dxfId="637" priority="485" stopIfTrue="1">
      <formula>#REF!=1</formula>
    </cfRule>
    <cfRule type="expression" dxfId="636" priority="486" stopIfTrue="1">
      <formula>#REF!=1</formula>
    </cfRule>
    <cfRule type="expression" dxfId="635" priority="487" stopIfTrue="1">
      <formula>#REF!=1</formula>
    </cfRule>
  </conditionalFormatting>
  <conditionalFormatting sqref="N60:N5002 F584:L5002 K60:L583">
    <cfRule type="expression" dxfId="634" priority="482" stopIfTrue="1">
      <formula>#REF!=1</formula>
    </cfRule>
    <cfRule type="expression" dxfId="633" priority="483" stopIfTrue="1">
      <formula>#REF!=1</formula>
    </cfRule>
    <cfRule type="expression" dxfId="632" priority="484" stopIfTrue="1">
      <formula>#REF!=1</formula>
    </cfRule>
  </conditionalFormatting>
  <conditionalFormatting sqref="P60:P5002 R60:S5002">
    <cfRule type="expression" dxfId="585" priority="316" stopIfTrue="1">
      <formula>#REF!=1</formula>
    </cfRule>
    <cfRule type="expression" dxfId="584" priority="317" stopIfTrue="1">
      <formula>#REF!=1</formula>
    </cfRule>
    <cfRule type="expression" dxfId="583" priority="318" stopIfTrue="1">
      <formula>#REF!=1</formula>
    </cfRule>
  </conditionalFormatting>
  <conditionalFormatting sqref="P60:P5002 R60:S5002">
    <cfRule type="expression" dxfId="582" priority="313" stopIfTrue="1">
      <formula>#REF!=1</formula>
    </cfRule>
    <cfRule type="expression" dxfId="581" priority="314" stopIfTrue="1">
      <formula>#REF!=1</formula>
    </cfRule>
    <cfRule type="expression" dxfId="580" priority="315" stopIfTrue="1">
      <formula>#REF!=1</formula>
    </cfRule>
  </conditionalFormatting>
  <conditionalFormatting sqref="Q60:Q5002">
    <cfRule type="expression" dxfId="579" priority="310" stopIfTrue="1">
      <formula>#REF!=1</formula>
    </cfRule>
    <cfRule type="expression" dxfId="578" priority="311" stopIfTrue="1">
      <formula>#REF!=1</formula>
    </cfRule>
    <cfRule type="expression" dxfId="577" priority="312" stopIfTrue="1">
      <formula>#REF!=1</formula>
    </cfRule>
  </conditionalFormatting>
  <conditionalFormatting sqref="Q60:Q5002">
    <cfRule type="expression" dxfId="576" priority="307" stopIfTrue="1">
      <formula>#REF!=1</formula>
    </cfRule>
    <cfRule type="expression" dxfId="575" priority="308" stopIfTrue="1">
      <formula>#REF!=1</formula>
    </cfRule>
    <cfRule type="expression" dxfId="574" priority="309" stopIfTrue="1">
      <formula>#REF!=1</formula>
    </cfRule>
  </conditionalFormatting>
  <conditionalFormatting sqref="T60:T5002">
    <cfRule type="expression" dxfId="573" priority="304" stopIfTrue="1">
      <formula>#REF!=1</formula>
    </cfRule>
    <cfRule type="expression" dxfId="572" priority="305" stopIfTrue="1">
      <formula>#REF!=1</formula>
    </cfRule>
    <cfRule type="expression" dxfId="571" priority="306" stopIfTrue="1">
      <formula>#REF!=1</formula>
    </cfRule>
  </conditionalFormatting>
  <conditionalFormatting sqref="T60:T5002">
    <cfRule type="expression" dxfId="570" priority="301" stopIfTrue="1">
      <formula>#REF!=1</formula>
    </cfRule>
    <cfRule type="expression" dxfId="569" priority="302" stopIfTrue="1">
      <formula>#REF!=1</formula>
    </cfRule>
    <cfRule type="expression" dxfId="568" priority="303" stopIfTrue="1">
      <formula>#REF!=1</formula>
    </cfRule>
  </conditionalFormatting>
  <conditionalFormatting sqref="U60:U5002">
    <cfRule type="expression" dxfId="567" priority="298" stopIfTrue="1">
      <formula>#REF!=1</formula>
    </cfRule>
    <cfRule type="expression" dxfId="566" priority="299" stopIfTrue="1">
      <formula>#REF!=1</formula>
    </cfRule>
    <cfRule type="expression" dxfId="565" priority="300" stopIfTrue="1">
      <formula>#REF!=1</formula>
    </cfRule>
  </conditionalFormatting>
  <conditionalFormatting sqref="U60:U5002">
    <cfRule type="expression" dxfId="564" priority="295" stopIfTrue="1">
      <formula>#REF!=1</formula>
    </cfRule>
    <cfRule type="expression" dxfId="563" priority="296" stopIfTrue="1">
      <formula>#REF!=1</formula>
    </cfRule>
    <cfRule type="expression" dxfId="562" priority="297" stopIfTrue="1">
      <formula>#REF!=1</formula>
    </cfRule>
  </conditionalFormatting>
  <conditionalFormatting sqref="F59">
    <cfRule type="cellIs" dxfId="561" priority="287" operator="equal">
      <formula>"수정 후 재사용"</formula>
    </cfRule>
  </conditionalFormatting>
  <conditionalFormatting sqref="F59">
    <cfRule type="expression" dxfId="560" priority="284" stopIfTrue="1">
      <formula>#REF!=1</formula>
    </cfRule>
    <cfRule type="expression" dxfId="559" priority="285" stopIfTrue="1">
      <formula>#REF!=1</formula>
    </cfRule>
    <cfRule type="expression" dxfId="558" priority="286" stopIfTrue="1">
      <formula>#REF!=1</formula>
    </cfRule>
  </conditionalFormatting>
  <conditionalFormatting sqref="F59">
    <cfRule type="expression" dxfId="557" priority="281" stopIfTrue="1">
      <formula>#REF!=1</formula>
    </cfRule>
    <cfRule type="expression" dxfId="556" priority="282" stopIfTrue="1">
      <formula>#REF!=1</formula>
    </cfRule>
    <cfRule type="expression" dxfId="555" priority="283" stopIfTrue="1">
      <formula>#REF!=1</formula>
    </cfRule>
  </conditionalFormatting>
  <conditionalFormatting sqref="M59:M5002">
    <cfRule type="expression" dxfId="554" priority="278">
      <formula>AND(F59="수정 후 재사용",G59="")</formula>
    </cfRule>
  </conditionalFormatting>
  <conditionalFormatting sqref="B59:E62">
    <cfRule type="expression" dxfId="553" priority="275" stopIfTrue="1">
      <formula>#REF!=1</formula>
    </cfRule>
    <cfRule type="expression" dxfId="552" priority="276" stopIfTrue="1">
      <formula>#REF!=1</formula>
    </cfRule>
    <cfRule type="expression" dxfId="551" priority="277" stopIfTrue="1">
      <formula>#REF!=1</formula>
    </cfRule>
  </conditionalFormatting>
  <conditionalFormatting sqref="B63:E67">
    <cfRule type="expression" dxfId="547" priority="272" stopIfTrue="1">
      <formula>#REF!=1</formula>
    </cfRule>
    <cfRule type="expression" dxfId="546" priority="273" stopIfTrue="1">
      <formula>#REF!=1</formula>
    </cfRule>
    <cfRule type="expression" dxfId="545" priority="274" stopIfTrue="1">
      <formula>#REF!=1</formula>
    </cfRule>
  </conditionalFormatting>
  <conditionalFormatting sqref="B80:E82">
    <cfRule type="expression" dxfId="541" priority="269" stopIfTrue="1">
      <formula>#REF!=1</formula>
    </cfRule>
    <cfRule type="expression" dxfId="540" priority="270" stopIfTrue="1">
      <formula>#REF!=1</formula>
    </cfRule>
    <cfRule type="expression" dxfId="539" priority="271" stopIfTrue="1">
      <formula>#REF!=1</formula>
    </cfRule>
  </conditionalFormatting>
  <conditionalFormatting sqref="B83:E84">
    <cfRule type="expression" dxfId="535" priority="266" stopIfTrue="1">
      <formula>#REF!=1</formula>
    </cfRule>
    <cfRule type="expression" dxfId="534" priority="267" stopIfTrue="1">
      <formula>#REF!=1</formula>
    </cfRule>
    <cfRule type="expression" dxfId="533" priority="268" stopIfTrue="1">
      <formula>#REF!=1</formula>
    </cfRule>
  </conditionalFormatting>
  <conditionalFormatting sqref="B85:E85">
    <cfRule type="expression" dxfId="529" priority="263" stopIfTrue="1">
      <formula>#REF!=1</formula>
    </cfRule>
    <cfRule type="expression" dxfId="528" priority="264" stopIfTrue="1">
      <formula>#REF!=1</formula>
    </cfRule>
    <cfRule type="expression" dxfId="527" priority="265" stopIfTrue="1">
      <formula>#REF!=1</formula>
    </cfRule>
  </conditionalFormatting>
  <conditionalFormatting sqref="B86:E87">
    <cfRule type="expression" dxfId="523" priority="260" stopIfTrue="1">
      <formula>#REF!=1</formula>
    </cfRule>
    <cfRule type="expression" dxfId="522" priority="261" stopIfTrue="1">
      <formula>#REF!=1</formula>
    </cfRule>
    <cfRule type="expression" dxfId="521" priority="262" stopIfTrue="1">
      <formula>#REF!=1</formula>
    </cfRule>
  </conditionalFormatting>
  <conditionalFormatting sqref="B88:E88">
    <cfRule type="expression" dxfId="517" priority="257" stopIfTrue="1">
      <formula>#REF!=1</formula>
    </cfRule>
    <cfRule type="expression" dxfId="516" priority="258" stopIfTrue="1">
      <formula>#REF!=1</formula>
    </cfRule>
    <cfRule type="expression" dxfId="515" priority="259" stopIfTrue="1">
      <formula>#REF!=1</formula>
    </cfRule>
  </conditionalFormatting>
  <conditionalFormatting sqref="B89:E90">
    <cfRule type="expression" dxfId="511" priority="254" stopIfTrue="1">
      <formula>#REF!=1</formula>
    </cfRule>
    <cfRule type="expression" dxfId="510" priority="255" stopIfTrue="1">
      <formula>#REF!=1</formula>
    </cfRule>
    <cfRule type="expression" dxfId="509" priority="256" stopIfTrue="1">
      <formula>#REF!=1</formula>
    </cfRule>
  </conditionalFormatting>
  <conditionalFormatting sqref="B91:E91">
    <cfRule type="expression" dxfId="505" priority="251" stopIfTrue="1">
      <formula>#REF!=1</formula>
    </cfRule>
    <cfRule type="expression" dxfId="504" priority="252" stopIfTrue="1">
      <formula>#REF!=1</formula>
    </cfRule>
    <cfRule type="expression" dxfId="503" priority="253" stopIfTrue="1">
      <formula>#REF!=1</formula>
    </cfRule>
  </conditionalFormatting>
  <conditionalFormatting sqref="B92:E93">
    <cfRule type="expression" dxfId="499" priority="248" stopIfTrue="1">
      <formula>#REF!=1</formula>
    </cfRule>
    <cfRule type="expression" dxfId="498" priority="249" stopIfTrue="1">
      <formula>#REF!=1</formula>
    </cfRule>
    <cfRule type="expression" dxfId="497" priority="250" stopIfTrue="1">
      <formula>#REF!=1</formula>
    </cfRule>
  </conditionalFormatting>
  <conditionalFormatting sqref="B94:E94">
    <cfRule type="expression" dxfId="493" priority="245" stopIfTrue="1">
      <formula>#REF!=1</formula>
    </cfRule>
    <cfRule type="expression" dxfId="492" priority="246" stopIfTrue="1">
      <formula>#REF!=1</formula>
    </cfRule>
    <cfRule type="expression" dxfId="491" priority="247" stopIfTrue="1">
      <formula>#REF!=1</formula>
    </cfRule>
  </conditionalFormatting>
  <conditionalFormatting sqref="B95:E96">
    <cfRule type="expression" dxfId="487" priority="242" stopIfTrue="1">
      <formula>#REF!=1</formula>
    </cfRule>
    <cfRule type="expression" dxfId="486" priority="243" stopIfTrue="1">
      <formula>#REF!=1</formula>
    </cfRule>
    <cfRule type="expression" dxfId="485" priority="244" stopIfTrue="1">
      <formula>#REF!=1</formula>
    </cfRule>
  </conditionalFormatting>
  <conditionalFormatting sqref="B97:E97">
    <cfRule type="expression" dxfId="481" priority="239" stopIfTrue="1">
      <formula>#REF!=1</formula>
    </cfRule>
    <cfRule type="expression" dxfId="480" priority="240" stopIfTrue="1">
      <formula>#REF!=1</formula>
    </cfRule>
    <cfRule type="expression" dxfId="479" priority="241" stopIfTrue="1">
      <formula>#REF!=1</formula>
    </cfRule>
  </conditionalFormatting>
  <conditionalFormatting sqref="B98:E99">
    <cfRule type="expression" dxfId="475" priority="236" stopIfTrue="1">
      <formula>#REF!=1</formula>
    </cfRule>
    <cfRule type="expression" dxfId="474" priority="237" stopIfTrue="1">
      <formula>#REF!=1</formula>
    </cfRule>
    <cfRule type="expression" dxfId="473" priority="238" stopIfTrue="1">
      <formula>#REF!=1</formula>
    </cfRule>
  </conditionalFormatting>
  <conditionalFormatting sqref="B100:E100">
    <cfRule type="expression" dxfId="469" priority="233" stopIfTrue="1">
      <formula>#REF!=1</formula>
    </cfRule>
    <cfRule type="expression" dxfId="468" priority="234" stopIfTrue="1">
      <formula>#REF!=1</formula>
    </cfRule>
    <cfRule type="expression" dxfId="467" priority="235" stopIfTrue="1">
      <formula>#REF!=1</formula>
    </cfRule>
  </conditionalFormatting>
  <conditionalFormatting sqref="B101:E102">
    <cfRule type="expression" dxfId="463" priority="230" stopIfTrue="1">
      <formula>#REF!=1</formula>
    </cfRule>
    <cfRule type="expression" dxfId="462" priority="231" stopIfTrue="1">
      <formula>#REF!=1</formula>
    </cfRule>
    <cfRule type="expression" dxfId="461" priority="232" stopIfTrue="1">
      <formula>#REF!=1</formula>
    </cfRule>
  </conditionalFormatting>
  <conditionalFormatting sqref="B103:E103">
    <cfRule type="expression" dxfId="457" priority="227" stopIfTrue="1">
      <formula>#REF!=1</formula>
    </cfRule>
    <cfRule type="expression" dxfId="456" priority="228" stopIfTrue="1">
      <formula>#REF!=1</formula>
    </cfRule>
    <cfRule type="expression" dxfId="455" priority="229" stopIfTrue="1">
      <formula>#REF!=1</formula>
    </cfRule>
  </conditionalFormatting>
  <conditionalFormatting sqref="B104:E105">
    <cfRule type="expression" dxfId="451" priority="224" stopIfTrue="1">
      <formula>#REF!=1</formula>
    </cfRule>
    <cfRule type="expression" dxfId="450" priority="225" stopIfTrue="1">
      <formula>#REF!=1</formula>
    </cfRule>
    <cfRule type="expression" dxfId="449" priority="226" stopIfTrue="1">
      <formula>#REF!=1</formula>
    </cfRule>
  </conditionalFormatting>
  <conditionalFormatting sqref="B106:E106">
    <cfRule type="expression" dxfId="445" priority="221" stopIfTrue="1">
      <formula>#REF!=1</formula>
    </cfRule>
    <cfRule type="expression" dxfId="444" priority="222" stopIfTrue="1">
      <formula>#REF!=1</formula>
    </cfRule>
    <cfRule type="expression" dxfId="443" priority="223" stopIfTrue="1">
      <formula>#REF!=1</formula>
    </cfRule>
  </conditionalFormatting>
  <conditionalFormatting sqref="B107:E108">
    <cfRule type="expression" dxfId="439" priority="218" stopIfTrue="1">
      <formula>#REF!=1</formula>
    </cfRule>
    <cfRule type="expression" dxfId="438" priority="219" stopIfTrue="1">
      <formula>#REF!=1</formula>
    </cfRule>
    <cfRule type="expression" dxfId="437" priority="220" stopIfTrue="1">
      <formula>#REF!=1</formula>
    </cfRule>
  </conditionalFormatting>
  <conditionalFormatting sqref="B109:E109">
    <cfRule type="expression" dxfId="433" priority="215" stopIfTrue="1">
      <formula>#REF!=1</formula>
    </cfRule>
    <cfRule type="expression" dxfId="432" priority="216" stopIfTrue="1">
      <formula>#REF!=1</formula>
    </cfRule>
    <cfRule type="expression" dxfId="431" priority="217" stopIfTrue="1">
      <formula>#REF!=1</formula>
    </cfRule>
  </conditionalFormatting>
  <conditionalFormatting sqref="B110:E111">
    <cfRule type="expression" dxfId="427" priority="212" stopIfTrue="1">
      <formula>#REF!=1</formula>
    </cfRule>
    <cfRule type="expression" dxfId="426" priority="213" stopIfTrue="1">
      <formula>#REF!=1</formula>
    </cfRule>
    <cfRule type="expression" dxfId="425" priority="214" stopIfTrue="1">
      <formula>#REF!=1</formula>
    </cfRule>
  </conditionalFormatting>
  <conditionalFormatting sqref="B112:E112">
    <cfRule type="expression" dxfId="421" priority="209" stopIfTrue="1">
      <formula>#REF!=1</formula>
    </cfRule>
    <cfRule type="expression" dxfId="420" priority="210" stopIfTrue="1">
      <formula>#REF!=1</formula>
    </cfRule>
    <cfRule type="expression" dxfId="419" priority="211" stopIfTrue="1">
      <formula>#REF!=1</formula>
    </cfRule>
  </conditionalFormatting>
  <conditionalFormatting sqref="B113:E114">
    <cfRule type="expression" dxfId="415" priority="206" stopIfTrue="1">
      <formula>#REF!=1</formula>
    </cfRule>
    <cfRule type="expression" dxfId="414" priority="207" stopIfTrue="1">
      <formula>#REF!=1</formula>
    </cfRule>
    <cfRule type="expression" dxfId="413" priority="208" stopIfTrue="1">
      <formula>#REF!=1</formula>
    </cfRule>
  </conditionalFormatting>
  <conditionalFormatting sqref="B115:E115">
    <cfRule type="expression" dxfId="409" priority="203" stopIfTrue="1">
      <formula>#REF!=1</formula>
    </cfRule>
    <cfRule type="expression" dxfId="408" priority="204" stopIfTrue="1">
      <formula>#REF!=1</formula>
    </cfRule>
    <cfRule type="expression" dxfId="407" priority="205" stopIfTrue="1">
      <formula>#REF!=1</formula>
    </cfRule>
  </conditionalFormatting>
  <conditionalFormatting sqref="B116:E117">
    <cfRule type="expression" dxfId="403" priority="200" stopIfTrue="1">
      <formula>#REF!=1</formula>
    </cfRule>
    <cfRule type="expression" dxfId="402" priority="201" stopIfTrue="1">
      <formula>#REF!=1</formula>
    </cfRule>
    <cfRule type="expression" dxfId="401" priority="202" stopIfTrue="1">
      <formula>#REF!=1</formula>
    </cfRule>
  </conditionalFormatting>
  <conditionalFormatting sqref="B118:E118">
    <cfRule type="expression" dxfId="397" priority="197" stopIfTrue="1">
      <formula>#REF!=1</formula>
    </cfRule>
    <cfRule type="expression" dxfId="396" priority="198" stopIfTrue="1">
      <formula>#REF!=1</formula>
    </cfRule>
    <cfRule type="expression" dxfId="395" priority="199" stopIfTrue="1">
      <formula>#REF!=1</formula>
    </cfRule>
  </conditionalFormatting>
  <conditionalFormatting sqref="B119:E120">
    <cfRule type="expression" dxfId="391" priority="194" stopIfTrue="1">
      <formula>#REF!=1</formula>
    </cfRule>
    <cfRule type="expression" dxfId="390" priority="195" stopIfTrue="1">
      <formula>#REF!=1</formula>
    </cfRule>
    <cfRule type="expression" dxfId="389" priority="196" stopIfTrue="1">
      <formula>#REF!=1</formula>
    </cfRule>
  </conditionalFormatting>
  <conditionalFormatting sqref="B121:E121">
    <cfRule type="expression" dxfId="385" priority="191" stopIfTrue="1">
      <formula>#REF!=1</formula>
    </cfRule>
    <cfRule type="expression" dxfId="384" priority="192" stopIfTrue="1">
      <formula>#REF!=1</formula>
    </cfRule>
    <cfRule type="expression" dxfId="383" priority="193" stopIfTrue="1">
      <formula>#REF!=1</formula>
    </cfRule>
  </conditionalFormatting>
  <conditionalFormatting sqref="B122:E123">
    <cfRule type="expression" dxfId="379" priority="188" stopIfTrue="1">
      <formula>#REF!=1</formula>
    </cfRule>
    <cfRule type="expression" dxfId="378" priority="189" stopIfTrue="1">
      <formula>#REF!=1</formula>
    </cfRule>
    <cfRule type="expression" dxfId="377" priority="190" stopIfTrue="1">
      <formula>#REF!=1</formula>
    </cfRule>
  </conditionalFormatting>
  <conditionalFormatting sqref="B124:E124">
    <cfRule type="expression" dxfId="373" priority="185" stopIfTrue="1">
      <formula>#REF!=1</formula>
    </cfRule>
    <cfRule type="expression" dxfId="372" priority="186" stopIfTrue="1">
      <formula>#REF!=1</formula>
    </cfRule>
    <cfRule type="expression" dxfId="371" priority="187" stopIfTrue="1">
      <formula>#REF!=1</formula>
    </cfRule>
  </conditionalFormatting>
  <conditionalFormatting sqref="B125:E126">
    <cfRule type="expression" dxfId="367" priority="182" stopIfTrue="1">
      <formula>#REF!=1</formula>
    </cfRule>
    <cfRule type="expression" dxfId="366" priority="183" stopIfTrue="1">
      <formula>#REF!=1</formula>
    </cfRule>
    <cfRule type="expression" dxfId="365" priority="184" stopIfTrue="1">
      <formula>#REF!=1</formula>
    </cfRule>
  </conditionalFormatting>
  <conditionalFormatting sqref="B127:E127">
    <cfRule type="expression" dxfId="361" priority="179" stopIfTrue="1">
      <formula>#REF!=1</formula>
    </cfRule>
    <cfRule type="expression" dxfId="360" priority="180" stopIfTrue="1">
      <formula>#REF!=1</formula>
    </cfRule>
    <cfRule type="expression" dxfId="359" priority="181" stopIfTrue="1">
      <formula>#REF!=1</formula>
    </cfRule>
  </conditionalFormatting>
  <conditionalFormatting sqref="B128:E129">
    <cfRule type="expression" dxfId="355" priority="176" stopIfTrue="1">
      <formula>#REF!=1</formula>
    </cfRule>
    <cfRule type="expression" dxfId="354" priority="177" stopIfTrue="1">
      <formula>#REF!=1</formula>
    </cfRule>
    <cfRule type="expression" dxfId="353" priority="178" stopIfTrue="1">
      <formula>#REF!=1</formula>
    </cfRule>
  </conditionalFormatting>
  <conditionalFormatting sqref="B130:E130">
    <cfRule type="expression" dxfId="349" priority="173" stopIfTrue="1">
      <formula>#REF!=1</formula>
    </cfRule>
    <cfRule type="expression" dxfId="348" priority="174" stopIfTrue="1">
      <formula>#REF!=1</formula>
    </cfRule>
    <cfRule type="expression" dxfId="347" priority="175" stopIfTrue="1">
      <formula>#REF!=1</formula>
    </cfRule>
  </conditionalFormatting>
  <conditionalFormatting sqref="B131:E132">
    <cfRule type="expression" dxfId="343" priority="170" stopIfTrue="1">
      <formula>#REF!=1</formula>
    </cfRule>
    <cfRule type="expression" dxfId="342" priority="171" stopIfTrue="1">
      <formula>#REF!=1</formula>
    </cfRule>
    <cfRule type="expression" dxfId="341" priority="172" stopIfTrue="1">
      <formula>#REF!=1</formula>
    </cfRule>
  </conditionalFormatting>
  <conditionalFormatting sqref="B133:E133">
    <cfRule type="expression" dxfId="337" priority="167" stopIfTrue="1">
      <formula>#REF!=1</formula>
    </cfRule>
    <cfRule type="expression" dxfId="336" priority="168" stopIfTrue="1">
      <formula>#REF!=1</formula>
    </cfRule>
    <cfRule type="expression" dxfId="335" priority="169" stopIfTrue="1">
      <formula>#REF!=1</formula>
    </cfRule>
  </conditionalFormatting>
  <conditionalFormatting sqref="B134:E135">
    <cfRule type="expression" dxfId="331" priority="164" stopIfTrue="1">
      <formula>#REF!=1</formula>
    </cfRule>
    <cfRule type="expression" dxfId="330" priority="165" stopIfTrue="1">
      <formula>#REF!=1</formula>
    </cfRule>
    <cfRule type="expression" dxfId="329" priority="166" stopIfTrue="1">
      <formula>#REF!=1</formula>
    </cfRule>
  </conditionalFormatting>
  <conditionalFormatting sqref="B136:E136">
    <cfRule type="expression" dxfId="325" priority="161" stopIfTrue="1">
      <formula>#REF!=1</formula>
    </cfRule>
    <cfRule type="expression" dxfId="324" priority="162" stopIfTrue="1">
      <formula>#REF!=1</formula>
    </cfRule>
    <cfRule type="expression" dxfId="323" priority="163" stopIfTrue="1">
      <formula>#REF!=1</formula>
    </cfRule>
  </conditionalFormatting>
  <conditionalFormatting sqref="B137:E138">
    <cfRule type="expression" dxfId="319" priority="158" stopIfTrue="1">
      <formula>#REF!=1</formula>
    </cfRule>
    <cfRule type="expression" dxfId="318" priority="159" stopIfTrue="1">
      <formula>#REF!=1</formula>
    </cfRule>
    <cfRule type="expression" dxfId="317" priority="160" stopIfTrue="1">
      <formula>#REF!=1</formula>
    </cfRule>
  </conditionalFormatting>
  <conditionalFormatting sqref="B139:E139">
    <cfRule type="expression" dxfId="313" priority="155" stopIfTrue="1">
      <formula>#REF!=1</formula>
    </cfRule>
    <cfRule type="expression" dxfId="312" priority="156" stopIfTrue="1">
      <formula>#REF!=1</formula>
    </cfRule>
    <cfRule type="expression" dxfId="311" priority="157" stopIfTrue="1">
      <formula>#REF!=1</formula>
    </cfRule>
  </conditionalFormatting>
  <conditionalFormatting sqref="B140:E141">
    <cfRule type="expression" dxfId="307" priority="152" stopIfTrue="1">
      <formula>#REF!=1</formula>
    </cfRule>
    <cfRule type="expression" dxfId="306" priority="153" stopIfTrue="1">
      <formula>#REF!=1</formula>
    </cfRule>
    <cfRule type="expression" dxfId="305" priority="154" stopIfTrue="1">
      <formula>#REF!=1</formula>
    </cfRule>
  </conditionalFormatting>
  <conditionalFormatting sqref="B142:E142">
    <cfRule type="expression" dxfId="301" priority="149" stopIfTrue="1">
      <formula>#REF!=1</formula>
    </cfRule>
    <cfRule type="expression" dxfId="300" priority="150" stopIfTrue="1">
      <formula>#REF!=1</formula>
    </cfRule>
    <cfRule type="expression" dxfId="299" priority="151" stopIfTrue="1">
      <formula>#REF!=1</formula>
    </cfRule>
  </conditionalFormatting>
  <conditionalFormatting sqref="F60:F583">
    <cfRule type="cellIs" dxfId="295" priority="148" operator="equal">
      <formula>"수정 후 재사용"</formula>
    </cfRule>
  </conditionalFormatting>
  <conditionalFormatting sqref="F60:F583">
    <cfRule type="expression" dxfId="293" priority="145" stopIfTrue="1">
      <formula>#REF!=1</formula>
    </cfRule>
    <cfRule type="expression" dxfId="292" priority="146" stopIfTrue="1">
      <formula>#REF!=1</formula>
    </cfRule>
    <cfRule type="expression" dxfId="291" priority="147" stopIfTrue="1">
      <formula>#REF!=1</formula>
    </cfRule>
  </conditionalFormatting>
  <conditionalFormatting sqref="F60:F583">
    <cfRule type="expression" dxfId="287" priority="142" stopIfTrue="1">
      <formula>#REF!=1</formula>
    </cfRule>
    <cfRule type="expression" dxfId="286" priority="143" stopIfTrue="1">
      <formula>#REF!=1</formula>
    </cfRule>
    <cfRule type="expression" dxfId="285" priority="144" stopIfTrue="1">
      <formula>#REF!=1</formula>
    </cfRule>
  </conditionalFormatting>
  <conditionalFormatting sqref="G60:G583">
    <cfRule type="expression" dxfId="281" priority="139" stopIfTrue="1">
      <formula>#REF!=1</formula>
    </cfRule>
    <cfRule type="expression" dxfId="280" priority="140" stopIfTrue="1">
      <formula>#REF!=1</formula>
    </cfRule>
    <cfRule type="expression" dxfId="279" priority="141" stopIfTrue="1">
      <formula>#REF!=1</formula>
    </cfRule>
  </conditionalFormatting>
  <conditionalFormatting sqref="H59:J62 H63:H77">
    <cfRule type="expression" dxfId="275" priority="136" stopIfTrue="1">
      <formula>#REF!=1</formula>
    </cfRule>
    <cfRule type="expression" dxfId="274" priority="137" stopIfTrue="1">
      <formula>#REF!=1</formula>
    </cfRule>
    <cfRule type="expression" dxfId="273" priority="138" stopIfTrue="1">
      <formula>#REF!=1</formula>
    </cfRule>
  </conditionalFormatting>
  <conditionalFormatting sqref="H63:J67">
    <cfRule type="expression" dxfId="269" priority="133" stopIfTrue="1">
      <formula>#REF!=1</formula>
    </cfRule>
    <cfRule type="expression" dxfId="268" priority="134" stopIfTrue="1">
      <formula>#REF!=1</formula>
    </cfRule>
    <cfRule type="expression" dxfId="267" priority="135" stopIfTrue="1">
      <formula>#REF!=1</formula>
    </cfRule>
  </conditionalFormatting>
  <conditionalFormatting sqref="H143:H583">
    <cfRule type="expression" dxfId="263" priority="130" stopIfTrue="1">
      <formula>#REF!=1</formula>
    </cfRule>
    <cfRule type="expression" dxfId="262" priority="131" stopIfTrue="1">
      <formula>#REF!=1</formula>
    </cfRule>
    <cfRule type="expression" dxfId="261" priority="132" stopIfTrue="1">
      <formula>#REF!=1</formula>
    </cfRule>
  </conditionalFormatting>
  <conditionalFormatting sqref="H78:H79">
    <cfRule type="expression" dxfId="257" priority="127" stopIfTrue="1">
      <formula>#REF!=1</formula>
    </cfRule>
    <cfRule type="expression" dxfId="256" priority="128" stopIfTrue="1">
      <formula>#REF!=1</formula>
    </cfRule>
    <cfRule type="expression" dxfId="255" priority="129" stopIfTrue="1">
      <formula>#REF!=1</formula>
    </cfRule>
  </conditionalFormatting>
  <conditionalFormatting sqref="H80:H82">
    <cfRule type="expression" dxfId="251" priority="124" stopIfTrue="1">
      <formula>#REF!=1</formula>
    </cfRule>
    <cfRule type="expression" dxfId="250" priority="125" stopIfTrue="1">
      <formula>#REF!=1</formula>
    </cfRule>
    <cfRule type="expression" dxfId="249" priority="126" stopIfTrue="1">
      <formula>#REF!=1</formula>
    </cfRule>
  </conditionalFormatting>
  <conditionalFormatting sqref="H80:J82">
    <cfRule type="expression" dxfId="245" priority="121" stopIfTrue="1">
      <formula>#REF!=1</formula>
    </cfRule>
    <cfRule type="expression" dxfId="244" priority="122" stopIfTrue="1">
      <formula>#REF!=1</formula>
    </cfRule>
    <cfRule type="expression" dxfId="243" priority="123" stopIfTrue="1">
      <formula>#REF!=1</formula>
    </cfRule>
  </conditionalFormatting>
  <conditionalFormatting sqref="H83:J84 H85">
    <cfRule type="expression" dxfId="239" priority="118" stopIfTrue="1">
      <formula>#REF!=1</formula>
    </cfRule>
    <cfRule type="expression" dxfId="238" priority="119" stopIfTrue="1">
      <formula>#REF!=1</formula>
    </cfRule>
    <cfRule type="expression" dxfId="237" priority="120" stopIfTrue="1">
      <formula>#REF!=1</formula>
    </cfRule>
  </conditionalFormatting>
  <conditionalFormatting sqref="H85:J85">
    <cfRule type="expression" dxfId="233" priority="115" stopIfTrue="1">
      <formula>#REF!=1</formula>
    </cfRule>
    <cfRule type="expression" dxfId="232" priority="116" stopIfTrue="1">
      <formula>#REF!=1</formula>
    </cfRule>
    <cfRule type="expression" dxfId="231" priority="117" stopIfTrue="1">
      <formula>#REF!=1</formula>
    </cfRule>
  </conditionalFormatting>
  <conditionalFormatting sqref="H86:J87 H88">
    <cfRule type="expression" dxfId="227" priority="112" stopIfTrue="1">
      <formula>#REF!=1</formula>
    </cfRule>
    <cfRule type="expression" dxfId="226" priority="113" stopIfTrue="1">
      <formula>#REF!=1</formula>
    </cfRule>
    <cfRule type="expression" dxfId="225" priority="114" stopIfTrue="1">
      <formula>#REF!=1</formula>
    </cfRule>
  </conditionalFormatting>
  <conditionalFormatting sqref="H88:J88">
    <cfRule type="expression" dxfId="221" priority="109" stopIfTrue="1">
      <formula>#REF!=1</formula>
    </cfRule>
    <cfRule type="expression" dxfId="220" priority="110" stopIfTrue="1">
      <formula>#REF!=1</formula>
    </cfRule>
    <cfRule type="expression" dxfId="219" priority="111" stopIfTrue="1">
      <formula>#REF!=1</formula>
    </cfRule>
  </conditionalFormatting>
  <conditionalFormatting sqref="H89:J90 H91">
    <cfRule type="expression" dxfId="215" priority="106" stopIfTrue="1">
      <formula>#REF!=1</formula>
    </cfRule>
    <cfRule type="expression" dxfId="214" priority="107" stopIfTrue="1">
      <formula>#REF!=1</formula>
    </cfRule>
    <cfRule type="expression" dxfId="213" priority="108" stopIfTrue="1">
      <formula>#REF!=1</formula>
    </cfRule>
  </conditionalFormatting>
  <conditionalFormatting sqref="H91:J91">
    <cfRule type="expression" dxfId="209" priority="103" stopIfTrue="1">
      <formula>#REF!=1</formula>
    </cfRule>
    <cfRule type="expression" dxfId="208" priority="104" stopIfTrue="1">
      <formula>#REF!=1</formula>
    </cfRule>
    <cfRule type="expression" dxfId="207" priority="105" stopIfTrue="1">
      <formula>#REF!=1</formula>
    </cfRule>
  </conditionalFormatting>
  <conditionalFormatting sqref="H92:J93 H94">
    <cfRule type="expression" dxfId="203" priority="100" stopIfTrue="1">
      <formula>#REF!=1</formula>
    </cfRule>
    <cfRule type="expression" dxfId="202" priority="101" stopIfTrue="1">
      <formula>#REF!=1</formula>
    </cfRule>
    <cfRule type="expression" dxfId="201" priority="102" stopIfTrue="1">
      <formula>#REF!=1</formula>
    </cfRule>
  </conditionalFormatting>
  <conditionalFormatting sqref="H94:J94">
    <cfRule type="expression" dxfId="197" priority="97" stopIfTrue="1">
      <formula>#REF!=1</formula>
    </cfRule>
    <cfRule type="expression" dxfId="196" priority="98" stopIfTrue="1">
      <formula>#REF!=1</formula>
    </cfRule>
    <cfRule type="expression" dxfId="195" priority="99" stopIfTrue="1">
      <formula>#REF!=1</formula>
    </cfRule>
  </conditionalFormatting>
  <conditionalFormatting sqref="H97 H95:J96">
    <cfRule type="expression" dxfId="191" priority="94" stopIfTrue="1">
      <formula>#REF!=1</formula>
    </cfRule>
    <cfRule type="expression" dxfId="190" priority="95" stopIfTrue="1">
      <formula>#REF!=1</formula>
    </cfRule>
    <cfRule type="expression" dxfId="189" priority="96" stopIfTrue="1">
      <formula>#REF!=1</formula>
    </cfRule>
  </conditionalFormatting>
  <conditionalFormatting sqref="H97:J97">
    <cfRule type="expression" dxfId="185" priority="91" stopIfTrue="1">
      <formula>#REF!=1</formula>
    </cfRule>
    <cfRule type="expression" dxfId="184" priority="92" stopIfTrue="1">
      <formula>#REF!=1</formula>
    </cfRule>
    <cfRule type="expression" dxfId="183" priority="93" stopIfTrue="1">
      <formula>#REF!=1</formula>
    </cfRule>
  </conditionalFormatting>
  <conditionalFormatting sqref="H100 H98:J99">
    <cfRule type="expression" dxfId="179" priority="88" stopIfTrue="1">
      <formula>#REF!=1</formula>
    </cfRule>
    <cfRule type="expression" dxfId="178" priority="89" stopIfTrue="1">
      <formula>#REF!=1</formula>
    </cfRule>
    <cfRule type="expression" dxfId="177" priority="90" stopIfTrue="1">
      <formula>#REF!=1</formula>
    </cfRule>
  </conditionalFormatting>
  <conditionalFormatting sqref="H100:J100">
    <cfRule type="expression" dxfId="173" priority="85" stopIfTrue="1">
      <formula>#REF!=1</formula>
    </cfRule>
    <cfRule type="expression" dxfId="172" priority="86" stopIfTrue="1">
      <formula>#REF!=1</formula>
    </cfRule>
    <cfRule type="expression" dxfId="171" priority="87" stopIfTrue="1">
      <formula>#REF!=1</formula>
    </cfRule>
  </conditionalFormatting>
  <conditionalFormatting sqref="H101:J102 H103">
    <cfRule type="expression" dxfId="167" priority="82" stopIfTrue="1">
      <formula>#REF!=1</formula>
    </cfRule>
    <cfRule type="expression" dxfId="166" priority="83" stopIfTrue="1">
      <formula>#REF!=1</formula>
    </cfRule>
    <cfRule type="expression" dxfId="165" priority="84" stopIfTrue="1">
      <formula>#REF!=1</formula>
    </cfRule>
  </conditionalFormatting>
  <conditionalFormatting sqref="H103:J103">
    <cfRule type="expression" dxfId="161" priority="79" stopIfTrue="1">
      <formula>#REF!=1</formula>
    </cfRule>
    <cfRule type="expression" dxfId="160" priority="80" stopIfTrue="1">
      <formula>#REF!=1</formula>
    </cfRule>
    <cfRule type="expression" dxfId="159" priority="81" stopIfTrue="1">
      <formula>#REF!=1</formula>
    </cfRule>
  </conditionalFormatting>
  <conditionalFormatting sqref="H106 H104:J105">
    <cfRule type="expression" dxfId="155" priority="76" stopIfTrue="1">
      <formula>#REF!=1</formula>
    </cfRule>
    <cfRule type="expression" dxfId="154" priority="77" stopIfTrue="1">
      <formula>#REF!=1</formula>
    </cfRule>
    <cfRule type="expression" dxfId="153" priority="78" stopIfTrue="1">
      <formula>#REF!=1</formula>
    </cfRule>
  </conditionalFormatting>
  <conditionalFormatting sqref="H106:J106">
    <cfRule type="expression" dxfId="149" priority="73" stopIfTrue="1">
      <formula>#REF!=1</formula>
    </cfRule>
    <cfRule type="expression" dxfId="148" priority="74" stopIfTrue="1">
      <formula>#REF!=1</formula>
    </cfRule>
    <cfRule type="expression" dxfId="147" priority="75" stopIfTrue="1">
      <formula>#REF!=1</formula>
    </cfRule>
  </conditionalFormatting>
  <conditionalFormatting sqref="H109 H107:J108">
    <cfRule type="expression" dxfId="143" priority="70" stopIfTrue="1">
      <formula>#REF!=1</formula>
    </cfRule>
    <cfRule type="expression" dxfId="142" priority="71" stopIfTrue="1">
      <formula>#REF!=1</formula>
    </cfRule>
    <cfRule type="expression" dxfId="141" priority="72" stopIfTrue="1">
      <formula>#REF!=1</formula>
    </cfRule>
  </conditionalFormatting>
  <conditionalFormatting sqref="H109:J109">
    <cfRule type="expression" dxfId="137" priority="67" stopIfTrue="1">
      <formula>#REF!=1</formula>
    </cfRule>
    <cfRule type="expression" dxfId="136" priority="68" stopIfTrue="1">
      <formula>#REF!=1</formula>
    </cfRule>
    <cfRule type="expression" dxfId="135" priority="69" stopIfTrue="1">
      <formula>#REF!=1</formula>
    </cfRule>
  </conditionalFormatting>
  <conditionalFormatting sqref="H112 H110:J111">
    <cfRule type="expression" dxfId="131" priority="64" stopIfTrue="1">
      <formula>#REF!=1</formula>
    </cfRule>
    <cfRule type="expression" dxfId="130" priority="65" stopIfTrue="1">
      <formula>#REF!=1</formula>
    </cfRule>
    <cfRule type="expression" dxfId="129" priority="66" stopIfTrue="1">
      <formula>#REF!=1</formula>
    </cfRule>
  </conditionalFormatting>
  <conditionalFormatting sqref="H112:J112">
    <cfRule type="expression" dxfId="125" priority="61" stopIfTrue="1">
      <formula>#REF!=1</formula>
    </cfRule>
    <cfRule type="expression" dxfId="124" priority="62" stopIfTrue="1">
      <formula>#REF!=1</formula>
    </cfRule>
    <cfRule type="expression" dxfId="123" priority="63" stopIfTrue="1">
      <formula>#REF!=1</formula>
    </cfRule>
  </conditionalFormatting>
  <conditionalFormatting sqref="H115 H113:J114">
    <cfRule type="expression" dxfId="119" priority="58" stopIfTrue="1">
      <formula>#REF!=1</formula>
    </cfRule>
    <cfRule type="expression" dxfId="118" priority="59" stopIfTrue="1">
      <formula>#REF!=1</formula>
    </cfRule>
    <cfRule type="expression" dxfId="117" priority="60" stopIfTrue="1">
      <formula>#REF!=1</formula>
    </cfRule>
  </conditionalFormatting>
  <conditionalFormatting sqref="H115:J115">
    <cfRule type="expression" dxfId="113" priority="55" stopIfTrue="1">
      <formula>#REF!=1</formula>
    </cfRule>
    <cfRule type="expression" dxfId="112" priority="56" stopIfTrue="1">
      <formula>#REF!=1</formula>
    </cfRule>
    <cfRule type="expression" dxfId="111" priority="57" stopIfTrue="1">
      <formula>#REF!=1</formula>
    </cfRule>
  </conditionalFormatting>
  <conditionalFormatting sqref="H118 H116:J117">
    <cfRule type="expression" dxfId="107" priority="52" stopIfTrue="1">
      <formula>#REF!=1</formula>
    </cfRule>
    <cfRule type="expression" dxfId="106" priority="53" stopIfTrue="1">
      <formula>#REF!=1</formula>
    </cfRule>
    <cfRule type="expression" dxfId="105" priority="54" stopIfTrue="1">
      <formula>#REF!=1</formula>
    </cfRule>
  </conditionalFormatting>
  <conditionalFormatting sqref="H118:J118">
    <cfRule type="expression" dxfId="101" priority="49" stopIfTrue="1">
      <formula>#REF!=1</formula>
    </cfRule>
    <cfRule type="expression" dxfId="100" priority="50" stopIfTrue="1">
      <formula>#REF!=1</formula>
    </cfRule>
    <cfRule type="expression" dxfId="99" priority="51" stopIfTrue="1">
      <formula>#REF!=1</formula>
    </cfRule>
  </conditionalFormatting>
  <conditionalFormatting sqref="H121 H119:J120">
    <cfRule type="expression" dxfId="95" priority="46" stopIfTrue="1">
      <formula>#REF!=1</formula>
    </cfRule>
    <cfRule type="expression" dxfId="94" priority="47" stopIfTrue="1">
      <formula>#REF!=1</formula>
    </cfRule>
    <cfRule type="expression" dxfId="93" priority="48" stopIfTrue="1">
      <formula>#REF!=1</formula>
    </cfRule>
  </conditionalFormatting>
  <conditionalFormatting sqref="H121:J121">
    <cfRule type="expression" dxfId="89" priority="43" stopIfTrue="1">
      <formula>#REF!=1</formula>
    </cfRule>
    <cfRule type="expression" dxfId="88" priority="44" stopIfTrue="1">
      <formula>#REF!=1</formula>
    </cfRule>
    <cfRule type="expression" dxfId="87" priority="45" stopIfTrue="1">
      <formula>#REF!=1</formula>
    </cfRule>
  </conditionalFormatting>
  <conditionalFormatting sqref="H124 H122:J123">
    <cfRule type="expression" dxfId="83" priority="40" stopIfTrue="1">
      <formula>#REF!=1</formula>
    </cfRule>
    <cfRule type="expression" dxfId="82" priority="41" stopIfTrue="1">
      <formula>#REF!=1</formula>
    </cfRule>
    <cfRule type="expression" dxfId="81" priority="42" stopIfTrue="1">
      <formula>#REF!=1</formula>
    </cfRule>
  </conditionalFormatting>
  <conditionalFormatting sqref="H124:J124">
    <cfRule type="expression" dxfId="77" priority="37" stopIfTrue="1">
      <formula>#REF!=1</formula>
    </cfRule>
    <cfRule type="expression" dxfId="76" priority="38" stopIfTrue="1">
      <formula>#REF!=1</formula>
    </cfRule>
    <cfRule type="expression" dxfId="75" priority="39" stopIfTrue="1">
      <formula>#REF!=1</formula>
    </cfRule>
  </conditionalFormatting>
  <conditionalFormatting sqref="H127 H125:J126">
    <cfRule type="expression" dxfId="71" priority="34" stopIfTrue="1">
      <formula>#REF!=1</formula>
    </cfRule>
    <cfRule type="expression" dxfId="70" priority="35" stopIfTrue="1">
      <formula>#REF!=1</formula>
    </cfRule>
    <cfRule type="expression" dxfId="69" priority="36" stopIfTrue="1">
      <formula>#REF!=1</formula>
    </cfRule>
  </conditionalFormatting>
  <conditionalFormatting sqref="H127:J127">
    <cfRule type="expression" dxfId="65" priority="31" stopIfTrue="1">
      <formula>#REF!=1</formula>
    </cfRule>
    <cfRule type="expression" dxfId="64" priority="32" stopIfTrue="1">
      <formula>#REF!=1</formula>
    </cfRule>
    <cfRule type="expression" dxfId="63" priority="33" stopIfTrue="1">
      <formula>#REF!=1</formula>
    </cfRule>
  </conditionalFormatting>
  <conditionalFormatting sqref="H130 H128:J129">
    <cfRule type="expression" dxfId="59" priority="28" stopIfTrue="1">
      <formula>#REF!=1</formula>
    </cfRule>
    <cfRule type="expression" dxfId="58" priority="29" stopIfTrue="1">
      <formula>#REF!=1</formula>
    </cfRule>
    <cfRule type="expression" dxfId="57" priority="30" stopIfTrue="1">
      <formula>#REF!=1</formula>
    </cfRule>
  </conditionalFormatting>
  <conditionalFormatting sqref="H130:J130">
    <cfRule type="expression" dxfId="53" priority="25" stopIfTrue="1">
      <formula>#REF!=1</formula>
    </cfRule>
    <cfRule type="expression" dxfId="52" priority="26" stopIfTrue="1">
      <formula>#REF!=1</formula>
    </cfRule>
    <cfRule type="expression" dxfId="51" priority="27" stopIfTrue="1">
      <formula>#REF!=1</formula>
    </cfRule>
  </conditionalFormatting>
  <conditionalFormatting sqref="H133 H131:J132">
    <cfRule type="expression" dxfId="47" priority="22" stopIfTrue="1">
      <formula>#REF!=1</formula>
    </cfRule>
    <cfRule type="expression" dxfId="46" priority="23" stopIfTrue="1">
      <formula>#REF!=1</formula>
    </cfRule>
    <cfRule type="expression" dxfId="45" priority="24" stopIfTrue="1">
      <formula>#REF!=1</formula>
    </cfRule>
  </conditionalFormatting>
  <conditionalFormatting sqref="H133:J133">
    <cfRule type="expression" dxfId="41" priority="19" stopIfTrue="1">
      <formula>#REF!=1</formula>
    </cfRule>
    <cfRule type="expression" dxfId="40" priority="20" stopIfTrue="1">
      <formula>#REF!=1</formula>
    </cfRule>
    <cfRule type="expression" dxfId="39" priority="21" stopIfTrue="1">
      <formula>#REF!=1</formula>
    </cfRule>
  </conditionalFormatting>
  <conditionalFormatting sqref="H136 H134:J135">
    <cfRule type="expression" dxfId="35" priority="16" stopIfTrue="1">
      <formula>#REF!=1</formula>
    </cfRule>
    <cfRule type="expression" dxfId="34" priority="17" stopIfTrue="1">
      <formula>#REF!=1</formula>
    </cfRule>
    <cfRule type="expression" dxfId="33" priority="18" stopIfTrue="1">
      <formula>#REF!=1</formula>
    </cfRule>
  </conditionalFormatting>
  <conditionalFormatting sqref="H136:J136">
    <cfRule type="expression" dxfId="29" priority="13" stopIfTrue="1">
      <formula>#REF!=1</formula>
    </cfRule>
    <cfRule type="expression" dxfId="28" priority="14" stopIfTrue="1">
      <formula>#REF!=1</formula>
    </cfRule>
    <cfRule type="expression" dxfId="27" priority="15" stopIfTrue="1">
      <formula>#REF!=1</formula>
    </cfRule>
  </conditionalFormatting>
  <conditionalFormatting sqref="H137:J138 H139">
    <cfRule type="expression" dxfId="23" priority="10" stopIfTrue="1">
      <formula>#REF!=1</formula>
    </cfRule>
    <cfRule type="expression" dxfId="22" priority="11" stopIfTrue="1">
      <formula>#REF!=1</formula>
    </cfRule>
    <cfRule type="expression" dxfId="21" priority="12" stopIfTrue="1">
      <formula>#REF!=1</formula>
    </cfRule>
  </conditionalFormatting>
  <conditionalFormatting sqref="H139:J139">
    <cfRule type="expression" dxfId="17" priority="7" stopIfTrue="1">
      <formula>#REF!=1</formula>
    </cfRule>
    <cfRule type="expression" dxfId="16" priority="8" stopIfTrue="1">
      <formula>#REF!=1</formula>
    </cfRule>
    <cfRule type="expression" dxfId="15" priority="9" stopIfTrue="1">
      <formula>#REF!=1</formula>
    </cfRule>
  </conditionalFormatting>
  <conditionalFormatting sqref="H142 H140:J141">
    <cfRule type="expression" dxfId="11" priority="4" stopIfTrue="1">
      <formula>#REF!=1</formula>
    </cfRule>
    <cfRule type="expression" dxfId="10" priority="5" stopIfTrue="1">
      <formula>#REF!=1</formula>
    </cfRule>
    <cfRule type="expression" dxfId="9" priority="6" stopIfTrue="1">
      <formula>#REF!=1</formula>
    </cfRule>
  </conditionalFormatting>
  <conditionalFormatting sqref="H142:J142">
    <cfRule type="expression" dxfId="5" priority="1" stopIfTrue="1">
      <formula>#REF!=1</formula>
    </cfRule>
    <cfRule type="expression" dxfId="4" priority="2" stopIfTrue="1">
      <formula>#REF!=1</formula>
    </cfRule>
    <cfRule type="expression" dxfId="3" priority="3" stopIfTrue="1">
      <formula>#REF!=1</formula>
    </cfRule>
  </conditionalFormatting>
  <dataValidations count="9">
    <dataValidation type="list" allowBlank="1" showInputMessage="1" showErrorMessage="1" errorTitle="기능점수산정방법 선택" error="간이법 또는 상세법을 선택하세요." sqref="C30">
      <formula1>"간이법,상세법"</formula1>
    </dataValidation>
    <dataValidation type="list" allowBlank="1" showInputMessage="1" showErrorMessage="1" sqref="V16">
      <formula1>"0,2,4,6,8"</formula1>
    </dataValidation>
    <dataValidation type="list" allowBlank="1" showInputMessage="1" showErrorMessage="1" sqref="V17">
      <formula1>"10,20,30,40,50"</formula1>
    </dataValidation>
    <dataValidation type="list" allowBlank="1" showInputMessage="1" showErrorMessage="1" sqref="V18">
      <formula1>"0.0,0.2,0.4,0.6,0.8,1.0"</formula1>
    </dataValidation>
    <dataValidation type="list" allowBlank="1" showInputMessage="1" showErrorMessage="1" sqref="E37:E39">
      <formula1>"(선택),10,20,30,40,50"</formula1>
    </dataValidation>
    <dataValidation type="list" allowBlank="1" showInputMessage="1" showErrorMessage="1" sqref="E36">
      <formula1>"(선택),0,2,4,6,8"</formula1>
    </dataValidation>
    <dataValidation type="list" allowBlank="1" showInputMessage="1" showErrorMessage="1" sqref="E41">
      <formula1>"(선택),0.0,0.2,0.4,0.6,0.8,1.0"</formula1>
    </dataValidation>
    <dataValidation type="list" allowBlank="1" showInputMessage="1" showErrorMessage="1" sqref="H59:H5002">
      <formula1>"ILF,EIF,EI,EO,EQ"</formula1>
    </dataValidation>
    <dataValidation type="list" allowBlank="1" showInputMessage="1" showErrorMessage="1" sqref="F59:F5002">
      <formula1>"수정 후 재사용,수정 없이 재사용,신규 개발"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scale="38" orientation="landscape" r:id="rId1"/>
  <ignoredErrors>
    <ignoredError sqref="E40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W21"/>
  <sheetViews>
    <sheetView showGridLines="0" zoomScaleNormal="100" zoomScaleSheetLayoutView="100" workbookViewId="0">
      <selection activeCell="E10" sqref="E10"/>
    </sheetView>
  </sheetViews>
  <sheetFormatPr defaultColWidth="9" defaultRowHeight="13.5"/>
  <cols>
    <col min="1" max="1" width="2" style="76" customWidth="1"/>
    <col min="2" max="2" width="21.125" style="76" customWidth="1"/>
    <col min="3" max="3" width="14" style="76" customWidth="1"/>
    <col min="4" max="4" width="11.875" style="76" customWidth="1"/>
    <col min="5" max="5" width="10.875" style="76" customWidth="1"/>
    <col min="6" max="6" width="10.75" style="76" customWidth="1"/>
    <col min="7" max="7" width="8.625" style="76" customWidth="1"/>
    <col min="8" max="8" width="10.625" style="76" customWidth="1"/>
    <col min="9" max="16384" width="9" style="76"/>
  </cols>
  <sheetData>
    <row r="1" spans="2:23" ht="20.25">
      <c r="B1" s="226" t="s">
        <v>44</v>
      </c>
      <c r="C1" s="227"/>
      <c r="D1" s="227"/>
      <c r="E1" s="227"/>
      <c r="F1" s="227"/>
      <c r="G1" s="227"/>
      <c r="H1" s="227"/>
      <c r="I1" s="227"/>
      <c r="J1" s="228"/>
    </row>
    <row r="2" spans="2:23" ht="20.25">
      <c r="B2" s="77"/>
      <c r="C2" s="78"/>
      <c r="D2" s="78"/>
      <c r="E2" s="78"/>
      <c r="F2" s="78"/>
      <c r="G2" s="78"/>
      <c r="H2" s="79"/>
      <c r="I2" s="78"/>
      <c r="J2" s="80"/>
    </row>
    <row r="3" spans="2:23" s="82" customFormat="1">
      <c r="B3" s="88" t="s">
        <v>30</v>
      </c>
      <c r="C3" s="89"/>
      <c r="D3" s="90"/>
      <c r="E3" s="90"/>
      <c r="F3" s="90"/>
      <c r="G3" s="90"/>
      <c r="H3" s="90"/>
      <c r="I3" s="90"/>
      <c r="J3" s="91"/>
      <c r="K3" s="76"/>
      <c r="T3" s="83"/>
      <c r="U3" s="83"/>
      <c r="V3" s="84"/>
      <c r="W3" s="84"/>
    </row>
    <row r="4" spans="2:23" s="82" customFormat="1" ht="16.5">
      <c r="B4" s="221" t="s">
        <v>31</v>
      </c>
      <c r="C4" s="222"/>
      <c r="D4" s="223"/>
      <c r="E4" s="92" t="s">
        <v>6</v>
      </c>
      <c r="F4" s="92" t="s">
        <v>7</v>
      </c>
      <c r="G4" s="92" t="s">
        <v>8</v>
      </c>
      <c r="H4" s="92" t="s">
        <v>32</v>
      </c>
      <c r="I4" s="92" t="s">
        <v>33</v>
      </c>
      <c r="J4" s="93" t="s">
        <v>9</v>
      </c>
      <c r="K4" s="76"/>
      <c r="T4" s="83"/>
      <c r="U4" s="83"/>
      <c r="V4" s="84"/>
      <c r="W4" s="84"/>
    </row>
    <row r="5" spans="2:23" s="82" customFormat="1" ht="16.5">
      <c r="B5" s="242" t="s">
        <v>34</v>
      </c>
      <c r="C5" s="224" t="s">
        <v>47</v>
      </c>
      <c r="D5" s="225"/>
      <c r="E5" s="94">
        <f>COUNTIFS(FP산정!$F$59:$F$5002,"신규 개발",FP산정!$H$59:$H$5002,FP집계!E$4)</f>
        <v>0</v>
      </c>
      <c r="F5" s="95">
        <f>COUNTIFS(FP산정!$F$59:$F$5002,"신규 개발",FP산정!$H$59:$H$5002,FP집계!F$4)</f>
        <v>0</v>
      </c>
      <c r="G5" s="95">
        <f>COUNTIFS(FP산정!$F$59:$F$5002,"신규 개발",FP산정!$H$59:$H$5002,FP집계!G$4)</f>
        <v>0</v>
      </c>
      <c r="H5" s="95">
        <f>COUNTIFS(FP산정!$F$59:$F$5002,"신규 개발",FP산정!$H$59:$H$5002,FP집계!H$4)</f>
        <v>0</v>
      </c>
      <c r="I5" s="95">
        <f>COUNTIFS(FP산정!$F$59:$F$5002,"신규 개발",FP산정!$H$59:$H$5002,FP집계!I$4)</f>
        <v>0</v>
      </c>
      <c r="J5" s="96">
        <f t="shared" ref="J5:J14" si="0">SUM(E5:I5)</f>
        <v>0</v>
      </c>
      <c r="K5" s="76"/>
      <c r="T5" s="83"/>
      <c r="U5" s="83"/>
      <c r="V5" s="84"/>
      <c r="W5" s="84"/>
    </row>
    <row r="6" spans="2:23" s="82" customFormat="1" ht="16.5">
      <c r="B6" s="243"/>
      <c r="C6" s="224" t="s">
        <v>48</v>
      </c>
      <c r="D6" s="225"/>
      <c r="E6" s="94">
        <f>COUNTIFS(FP산정!$F$59:$F$5002,"수정 후 재사용",FP산정!$H$59:$H$5002,FP집계!E$4)</f>
        <v>1</v>
      </c>
      <c r="F6" s="95">
        <f>COUNTIFS(FP산정!$F$59:$F$5002,"수정 후 재사용",FP산정!$H$59:$H$5002,FP집계!F$4)</f>
        <v>0</v>
      </c>
      <c r="G6" s="95">
        <f>COUNTIFS(FP산정!$F$59:$F$5002,"수정 후 재사용",FP산정!$H$59:$H$5002,FP집계!G$4)</f>
        <v>5</v>
      </c>
      <c r="H6" s="95">
        <f>COUNTIFS(FP산정!$F$59:$F$5002,"수정 후 재사용",FP산정!$H$59:$H$5002,FP집계!H$4)</f>
        <v>2</v>
      </c>
      <c r="I6" s="95">
        <f>COUNTIFS(FP산정!$F$59:$F$5002,"수정 후 재사용",FP산정!$H$59:$H$5002,FP집계!I$4)</f>
        <v>7</v>
      </c>
      <c r="J6" s="96">
        <f t="shared" si="0"/>
        <v>15</v>
      </c>
      <c r="K6" s="76"/>
      <c r="T6" s="83"/>
      <c r="U6" s="83"/>
      <c r="V6" s="84"/>
      <c r="W6" s="84"/>
    </row>
    <row r="7" spans="2:23" s="82" customFormat="1" ht="16.5">
      <c r="B7" s="240"/>
      <c r="C7" s="237" t="s">
        <v>49</v>
      </c>
      <c r="D7" s="238"/>
      <c r="E7" s="95">
        <f>COUNTIFS(FP산정!$F$59:$F$5002,"수정 없이 재사용",FP산정!$H$59:$H$5002,FP집계!E$4)</f>
        <v>96</v>
      </c>
      <c r="F7" s="95">
        <f>COUNTIFS(FP산정!$F$59:$F$5002,"수정 없이 재사용",FP산정!$H$59:$H$5002,FP집계!F$4)</f>
        <v>0</v>
      </c>
      <c r="G7" s="95">
        <f>COUNTIFS(FP산정!$F$59:$F$5002,"수정 없이 재사용",FP산정!$H$59:$H$5002,FP집계!G$4)</f>
        <v>139</v>
      </c>
      <c r="H7" s="95">
        <f>COUNTIFS(FP산정!$F$59:$F$5002,"수정 없이 재사용",FP산정!$H$59:$H$5002,FP집계!H$4)</f>
        <v>59</v>
      </c>
      <c r="I7" s="95">
        <f>COUNTIFS(FP산정!$F$59:$F$5002,"수정 없이 재사용",FP산정!$H$59:$H$5002,FP집계!I$4)</f>
        <v>216</v>
      </c>
      <c r="J7" s="96">
        <f t="shared" si="0"/>
        <v>510</v>
      </c>
      <c r="K7" s="76"/>
      <c r="T7" s="83"/>
      <c r="U7" s="83"/>
      <c r="V7" s="84"/>
      <c r="W7" s="84"/>
    </row>
    <row r="8" spans="2:23" s="82" customFormat="1" ht="16.5">
      <c r="B8" s="241"/>
      <c r="C8" s="232" t="s">
        <v>42</v>
      </c>
      <c r="D8" s="233"/>
      <c r="E8" s="95">
        <f>SUM(E5:E7)</f>
        <v>97</v>
      </c>
      <c r="F8" s="95">
        <f>SUM(F5:F7)</f>
        <v>0</v>
      </c>
      <c r="G8" s="95">
        <f>SUM(G5:G7)</f>
        <v>144</v>
      </c>
      <c r="H8" s="95">
        <f>SUM(H5:H7)</f>
        <v>61</v>
      </c>
      <c r="I8" s="95">
        <f>SUM(I5:I7)</f>
        <v>223</v>
      </c>
      <c r="J8" s="96">
        <f t="shared" si="0"/>
        <v>525</v>
      </c>
      <c r="K8" s="76"/>
      <c r="T8" s="83"/>
      <c r="U8" s="83"/>
      <c r="V8" s="84"/>
      <c r="W8" s="84"/>
    </row>
    <row r="9" spans="2:23" s="82" customFormat="1" ht="16.5">
      <c r="B9" s="239" t="s">
        <v>35</v>
      </c>
      <c r="C9" s="232" t="s">
        <v>50</v>
      </c>
      <c r="D9" s="233"/>
      <c r="E9" s="97">
        <f>SUMIFS(FP산정!$L$59:$L$5002,FP산정!$F$59:$F$5002,"신규 개발",FP산정!$H$59:$H$5002,FP집계!E$4)</f>
        <v>0</v>
      </c>
      <c r="F9" s="97">
        <f>SUMIFS(FP산정!$L$59:$L$5002,FP산정!$F$59:$F$5002,"신규 개발",FP산정!$H$59:$H$5002,FP집계!F$4)</f>
        <v>0</v>
      </c>
      <c r="G9" s="97">
        <f>SUMIFS(FP산정!$L$59:$L$5002,FP산정!$F$59:$F$5002,"신규 개발",FP산정!$H$59:$H$5002,FP집계!G$4)</f>
        <v>0</v>
      </c>
      <c r="H9" s="97">
        <f>SUMIFS(FP산정!$L$59:$L$5002,FP산정!$F$59:$F$5002,"신규 개발",FP산정!$H$59:$H$5002,FP집계!H$4)</f>
        <v>0</v>
      </c>
      <c r="I9" s="97">
        <f>SUMIFS(FP산정!$L$59:$L$5002,FP산정!$F$59:$F$5002,"신규 개발",FP산정!$H$59:$H$5002,FP집계!I$4)</f>
        <v>0</v>
      </c>
      <c r="J9" s="96">
        <f t="shared" si="0"/>
        <v>0</v>
      </c>
      <c r="K9" s="76"/>
      <c r="T9" s="83"/>
      <c r="U9" s="83"/>
      <c r="V9" s="84"/>
      <c r="W9" s="84"/>
    </row>
    <row r="10" spans="2:23" s="82" customFormat="1" ht="34.5" customHeight="1">
      <c r="B10" s="240"/>
      <c r="C10" s="232" t="s">
        <v>75</v>
      </c>
      <c r="D10" s="233"/>
      <c r="E10" s="97">
        <f>SUMIFS(FP산정!$L$59:$L$5002,FP산정!$F$59:$F$5002,"수정 후 재사용",FP산정!$H$59:$H$5002,FP집계!E$4)</f>
        <v>7.5</v>
      </c>
      <c r="F10" s="97">
        <f>SUMIFS(FP산정!$L$59:$L$5002,FP산정!$F$59:$F$5002,"수정 후 재사용",FP산정!$H$59:$H$5002,FP집계!F$4)</f>
        <v>0</v>
      </c>
      <c r="G10" s="97">
        <f>SUMIFS(FP산정!$L$59:$L$5002,FP산정!$F$59:$F$5002,"수정 후 재사용",FP산정!$H$59:$H$5002,FP집계!G$4)</f>
        <v>20</v>
      </c>
      <c r="H10" s="97">
        <f>SUMIFS(FP산정!$L$59:$L$5002,FP산정!$F$59:$F$5002,"수정 후 재사용",FP산정!$H$59:$H$5002,FP집계!H$4)</f>
        <v>10.4</v>
      </c>
      <c r="I10" s="97">
        <f>SUMIFS(FP산정!$L$59:$L$5002,FP산정!$F$59:$F$5002,"수정 후 재사용",FP산정!$H$59:$H$5002,FP집계!I$4)</f>
        <v>27.299999999999997</v>
      </c>
      <c r="J10" s="96">
        <f t="shared" ref="J10" si="1">SUM(E10:I10)</f>
        <v>65.199999999999989</v>
      </c>
      <c r="K10" s="76"/>
      <c r="T10" s="83"/>
      <c r="U10" s="83"/>
      <c r="V10" s="84"/>
      <c r="W10" s="84"/>
    </row>
    <row r="11" spans="2:23" s="82" customFormat="1" ht="34.5" customHeight="1">
      <c r="B11" s="240"/>
      <c r="C11" s="232" t="s">
        <v>124</v>
      </c>
      <c r="D11" s="233"/>
      <c r="E11" s="97">
        <f>SUMIFS(FP산정!$M$59:$M$5002,FP산정!$F$59:$F$5002,"수정 후 재사용",FP산정!$H$59:$H$5002,FP집계!E$4)</f>
        <v>0.63651717791411044</v>
      </c>
      <c r="F11" s="97">
        <f>SUMIFS(FP산정!$M$59:$M$5002,FP산정!$F$59:$F$5002,"수정 후 재사용",FP산정!$H$59:$H$5002,FP집계!F$4)</f>
        <v>0</v>
      </c>
      <c r="G11" s="97">
        <f>SUMIFS(FP산정!$M$59:$M$5002,FP산정!$F$59:$F$5002,"수정 후 재사용",FP산정!$H$59:$H$5002,FP집계!G$4)</f>
        <v>1.6973791411042947</v>
      </c>
      <c r="H11" s="97">
        <f>SUMIFS(FP산정!$M$59:$M$5002,FP산정!$F$59:$F$5002,"수정 후 재사용",FP산정!$H$59:$H$5002,FP집계!H$4)</f>
        <v>0.88263715337423321</v>
      </c>
      <c r="I11" s="97">
        <f>SUMIFS(FP산정!$M$59:$M$5002,FP산정!$F$59:$F$5002,"수정 후 재사용",FP산정!$H$59:$H$5002,FP집계!I$4)</f>
        <v>2.3169225276073622</v>
      </c>
      <c r="J11" s="96">
        <f t="shared" si="0"/>
        <v>5.533456000000001</v>
      </c>
      <c r="K11" s="76"/>
      <c r="T11" s="83"/>
      <c r="U11" s="83"/>
      <c r="V11" s="84"/>
      <c r="W11" s="84"/>
    </row>
    <row r="12" spans="2:23" s="82" customFormat="1" ht="16.5">
      <c r="B12" s="241"/>
      <c r="C12" s="232" t="s">
        <v>51</v>
      </c>
      <c r="D12" s="233"/>
      <c r="E12" s="97">
        <f>SUMIFS(FP산정!$L$59:$L$5002,FP산정!$F$59:$F$5002,"수정 없이 재사용",FP산정!$H$59:$H$5002,FP집계!E$4)</f>
        <v>720</v>
      </c>
      <c r="F12" s="97">
        <f>SUMIFS(FP산정!$L$59:$L$5002,FP산정!$F$59:$F$5002,"수정 없이 재사용",FP산정!$H$59:$H$5002,FP집계!F$4)</f>
        <v>0</v>
      </c>
      <c r="G12" s="97">
        <f>SUMIFS(FP산정!$L$59:$L$5002,FP산정!$F$59:$F$5002,"수정 없이 재사용",FP산정!$H$59:$H$5002,FP집계!G$4)</f>
        <v>556</v>
      </c>
      <c r="H12" s="97">
        <f>SUMIFS(FP산정!$L$59:$L$5002,FP산정!$F$59:$F$5002,"수정 없이 재사용",FP산정!$H$59:$H$5002,FP집계!H$4)</f>
        <v>306.79999999999967</v>
      </c>
      <c r="I12" s="97">
        <f>SUMIFS(FP산정!$L$59:$L$5002,FP산정!$F$59:$F$5002,"수정 없이 재사용",FP산정!$H$59:$H$5002,FP집계!I$4)</f>
        <v>842.39999999999691</v>
      </c>
      <c r="J12" s="96">
        <f t="shared" si="0"/>
        <v>2425.1999999999966</v>
      </c>
      <c r="K12" s="76"/>
    </row>
    <row r="13" spans="2:23" s="82" customFormat="1" ht="39.75" customHeight="1">
      <c r="B13" s="234" t="s">
        <v>126</v>
      </c>
      <c r="C13" s="235"/>
      <c r="D13" s="236"/>
      <c r="E13" s="98">
        <f>SUM(E10,E9,E12)</f>
        <v>727.5</v>
      </c>
      <c r="F13" s="98">
        <f t="shared" ref="F13:I13" si="2">SUM(F10,F9,F12)</f>
        <v>0</v>
      </c>
      <c r="G13" s="98">
        <f t="shared" si="2"/>
        <v>576</v>
      </c>
      <c r="H13" s="98">
        <f t="shared" si="2"/>
        <v>317.19999999999965</v>
      </c>
      <c r="I13" s="98">
        <f t="shared" si="2"/>
        <v>869.69999999999686</v>
      </c>
      <c r="J13" s="99">
        <f t="shared" si="0"/>
        <v>2490.3999999999965</v>
      </c>
      <c r="K13" s="76"/>
    </row>
    <row r="14" spans="2:23" s="82" customFormat="1" ht="40.15" customHeight="1" thickBot="1">
      <c r="B14" s="229" t="s">
        <v>125</v>
      </c>
      <c r="C14" s="230"/>
      <c r="D14" s="231"/>
      <c r="E14" s="100">
        <f>E9+E11</f>
        <v>0.63651717791411044</v>
      </c>
      <c r="F14" s="100">
        <f t="shared" ref="F14:I14" si="3">F9+F11</f>
        <v>0</v>
      </c>
      <c r="G14" s="100">
        <f t="shared" si="3"/>
        <v>1.6973791411042947</v>
      </c>
      <c r="H14" s="100">
        <f t="shared" si="3"/>
        <v>0.88263715337423321</v>
      </c>
      <c r="I14" s="100">
        <f t="shared" si="3"/>
        <v>2.3169225276073622</v>
      </c>
      <c r="J14" s="101">
        <f t="shared" si="0"/>
        <v>5.533456000000001</v>
      </c>
      <c r="K14" s="76"/>
    </row>
    <row r="15" spans="2:23" ht="7.5" customHeight="1"/>
    <row r="16" spans="2:23" ht="16.5">
      <c r="C16" s="81"/>
      <c r="D16" s="85"/>
      <c r="E16" s="85"/>
      <c r="F16" s="85"/>
      <c r="G16" s="85"/>
      <c r="H16" s="85"/>
      <c r="I16" s="85"/>
      <c r="J16" s="85"/>
      <c r="K16" s="81"/>
    </row>
    <row r="17" spans="3:11" ht="16.5">
      <c r="C17" s="81"/>
      <c r="D17" s="86"/>
      <c r="E17" s="87"/>
      <c r="F17" s="87"/>
      <c r="G17" s="87"/>
      <c r="H17" s="87"/>
      <c r="I17" s="87"/>
      <c r="J17" s="87"/>
      <c r="K17" s="81"/>
    </row>
    <row r="18" spans="3:11" ht="16.5">
      <c r="C18" s="81"/>
      <c r="D18" s="86"/>
      <c r="E18" s="87"/>
      <c r="F18" s="87"/>
      <c r="G18" s="87"/>
      <c r="H18" s="87"/>
      <c r="I18" s="87"/>
      <c r="J18" s="87"/>
      <c r="K18" s="81"/>
    </row>
    <row r="19" spans="3:11" ht="16.5">
      <c r="C19" s="81"/>
      <c r="D19" s="86"/>
      <c r="E19" s="87"/>
      <c r="F19" s="87"/>
      <c r="G19" s="87"/>
      <c r="H19" s="87"/>
      <c r="I19" s="87"/>
      <c r="J19" s="87"/>
      <c r="K19" s="81"/>
    </row>
    <row r="20" spans="3:11" ht="16.5">
      <c r="C20" s="81"/>
      <c r="D20" s="86"/>
      <c r="E20" s="87"/>
      <c r="F20" s="87"/>
      <c r="G20" s="87"/>
      <c r="H20" s="87"/>
      <c r="I20" s="87"/>
      <c r="J20" s="87"/>
      <c r="K20" s="81"/>
    </row>
    <row r="21" spans="3:11">
      <c r="C21" s="81"/>
      <c r="D21" s="81"/>
      <c r="E21" s="81"/>
      <c r="F21" s="81"/>
      <c r="G21" s="81"/>
      <c r="H21" s="81"/>
      <c r="I21" s="81"/>
      <c r="J21" s="81"/>
      <c r="K21" s="81"/>
    </row>
  </sheetData>
  <mergeCells count="14">
    <mergeCell ref="B4:D4"/>
    <mergeCell ref="C5:D5"/>
    <mergeCell ref="B1:J1"/>
    <mergeCell ref="C6:D6"/>
    <mergeCell ref="B14:D14"/>
    <mergeCell ref="C11:D11"/>
    <mergeCell ref="B13:D13"/>
    <mergeCell ref="C7:D7"/>
    <mergeCell ref="B9:B12"/>
    <mergeCell ref="C9:D9"/>
    <mergeCell ref="C12:D12"/>
    <mergeCell ref="B5:B8"/>
    <mergeCell ref="C8:D8"/>
    <mergeCell ref="C10:D10"/>
  </mergeCells>
  <phoneticPr fontId="1" type="noConversion"/>
  <pageMargins left="0.7" right="0.7" top="0.75" bottom="0.75" header="0.3" footer="0.3"/>
  <pageSetup paperSize="9" orientation="landscape" r:id="rId1"/>
  <ignoredErrors>
    <ignoredError sqref="J1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27"/>
  <sheetViews>
    <sheetView showGridLines="0" topLeftCell="A16" zoomScale="85" zoomScaleNormal="85" workbookViewId="0">
      <selection activeCell="D22" sqref="D22:I22"/>
    </sheetView>
  </sheetViews>
  <sheetFormatPr defaultRowHeight="13.5"/>
  <cols>
    <col min="1" max="1" width="2" customWidth="1"/>
    <col min="2" max="9" width="23.625" customWidth="1"/>
  </cols>
  <sheetData>
    <row r="1" spans="2:9" ht="13.5" customHeight="1">
      <c r="B1" s="40"/>
      <c r="C1" s="41"/>
      <c r="D1" s="41"/>
      <c r="E1" s="42"/>
      <c r="F1" s="42"/>
      <c r="G1" s="42"/>
      <c r="H1" s="42"/>
      <c r="I1" s="43"/>
    </row>
    <row r="2" spans="2:9" ht="16.5">
      <c r="B2" s="44" t="s">
        <v>78</v>
      </c>
      <c r="C2" s="45"/>
      <c r="D2" s="45"/>
      <c r="E2" s="46"/>
      <c r="F2" s="46"/>
      <c r="G2" s="46"/>
      <c r="H2" s="46"/>
      <c r="I2" s="47"/>
    </row>
    <row r="3" spans="2:9" ht="33.75" customHeight="1">
      <c r="B3" s="271" t="s">
        <v>79</v>
      </c>
      <c r="C3" s="272"/>
      <c r="D3" s="273" t="s">
        <v>80</v>
      </c>
      <c r="E3" s="274"/>
      <c r="F3" s="274"/>
      <c r="G3" s="274"/>
      <c r="H3" s="274"/>
      <c r="I3" s="275"/>
    </row>
    <row r="4" spans="2:9" ht="16.5" customHeight="1">
      <c r="B4" s="276">
        <v>0</v>
      </c>
      <c r="C4" s="277"/>
      <c r="D4" s="255" t="s">
        <v>81</v>
      </c>
      <c r="E4" s="256"/>
      <c r="F4" s="256"/>
      <c r="G4" s="256"/>
      <c r="H4" s="256"/>
      <c r="I4" s="257"/>
    </row>
    <row r="5" spans="2:9" ht="16.5" customHeight="1">
      <c r="B5" s="276">
        <v>2</v>
      </c>
      <c r="C5" s="277"/>
      <c r="D5" s="255" t="s">
        <v>82</v>
      </c>
      <c r="E5" s="256"/>
      <c r="F5" s="256"/>
      <c r="G5" s="256"/>
      <c r="H5" s="256"/>
      <c r="I5" s="257"/>
    </row>
    <row r="6" spans="2:9" ht="16.5" customHeight="1">
      <c r="B6" s="276">
        <v>4</v>
      </c>
      <c r="C6" s="277"/>
      <c r="D6" s="255" t="s">
        <v>83</v>
      </c>
      <c r="E6" s="256"/>
      <c r="F6" s="256"/>
      <c r="G6" s="256"/>
      <c r="H6" s="256"/>
      <c r="I6" s="257"/>
    </row>
    <row r="7" spans="2:9" ht="16.5" customHeight="1">
      <c r="B7" s="276">
        <v>6</v>
      </c>
      <c r="C7" s="277"/>
      <c r="D7" s="255" t="s">
        <v>84</v>
      </c>
      <c r="E7" s="256"/>
      <c r="F7" s="256"/>
      <c r="G7" s="256"/>
      <c r="H7" s="256"/>
      <c r="I7" s="257"/>
    </row>
    <row r="8" spans="2:9" ht="16.5" customHeight="1" thickBot="1">
      <c r="B8" s="278">
        <v>8</v>
      </c>
      <c r="C8" s="279"/>
      <c r="D8" s="260" t="s">
        <v>85</v>
      </c>
      <c r="E8" s="261"/>
      <c r="F8" s="261"/>
      <c r="G8" s="261"/>
      <c r="H8" s="261"/>
      <c r="I8" s="262"/>
    </row>
    <row r="9" spans="2:9" ht="25.5" customHeight="1" thickBot="1">
      <c r="B9" s="247" t="s">
        <v>121</v>
      </c>
      <c r="C9" s="248"/>
      <c r="D9" s="248"/>
      <c r="E9" s="248"/>
      <c r="F9" s="248"/>
      <c r="G9" s="248"/>
      <c r="H9" s="248"/>
      <c r="I9" s="249"/>
    </row>
    <row r="10" spans="2:9">
      <c r="B10" s="48"/>
      <c r="C10" s="46"/>
      <c r="D10" s="46"/>
      <c r="E10" s="46"/>
      <c r="F10" s="46"/>
      <c r="G10" s="46"/>
      <c r="H10" s="46"/>
      <c r="I10" s="47"/>
    </row>
    <row r="11" spans="2:9" ht="16.5">
      <c r="B11" s="44" t="s">
        <v>86</v>
      </c>
      <c r="C11" s="45"/>
      <c r="D11" s="45"/>
      <c r="E11" s="46"/>
      <c r="F11" s="46"/>
      <c r="G11" s="46"/>
      <c r="H11" s="46"/>
      <c r="I11" s="47"/>
    </row>
    <row r="12" spans="2:9" ht="33.75" customHeight="1">
      <c r="B12" s="49" t="s">
        <v>87</v>
      </c>
      <c r="C12" s="50" t="s">
        <v>88</v>
      </c>
      <c r="D12" s="51" t="s">
        <v>89</v>
      </c>
      <c r="E12" s="50" t="s">
        <v>90</v>
      </c>
      <c r="F12" s="273" t="s">
        <v>91</v>
      </c>
      <c r="G12" s="272"/>
      <c r="H12" s="274" t="s">
        <v>92</v>
      </c>
      <c r="I12" s="275"/>
    </row>
    <row r="13" spans="2:9" ht="139.5" customHeight="1">
      <c r="B13" s="52" t="s">
        <v>93</v>
      </c>
      <c r="C13" s="53" t="s">
        <v>94</v>
      </c>
      <c r="D13" s="54" t="s">
        <v>95</v>
      </c>
      <c r="E13" s="53" t="s">
        <v>96</v>
      </c>
      <c r="F13" s="263" t="s">
        <v>97</v>
      </c>
      <c r="G13" s="264"/>
      <c r="H13" s="265" t="s">
        <v>98</v>
      </c>
      <c r="I13" s="266"/>
    </row>
    <row r="14" spans="2:9" ht="104.25" customHeight="1">
      <c r="B14" s="52" t="s">
        <v>99</v>
      </c>
      <c r="C14" s="53" t="s">
        <v>100</v>
      </c>
      <c r="D14" s="54" t="s">
        <v>101</v>
      </c>
      <c r="E14" s="53" t="s">
        <v>102</v>
      </c>
      <c r="F14" s="263" t="s">
        <v>103</v>
      </c>
      <c r="G14" s="264"/>
      <c r="H14" s="265" t="s">
        <v>104</v>
      </c>
      <c r="I14" s="266"/>
    </row>
    <row r="15" spans="2:9" ht="122.25" customHeight="1">
      <c r="B15" s="52" t="s">
        <v>105</v>
      </c>
      <c r="C15" s="53" t="s">
        <v>106</v>
      </c>
      <c r="D15" s="54" t="s">
        <v>107</v>
      </c>
      <c r="E15" s="53" t="s">
        <v>108</v>
      </c>
      <c r="F15" s="263" t="s">
        <v>109</v>
      </c>
      <c r="G15" s="264"/>
      <c r="H15" s="265" t="s">
        <v>110</v>
      </c>
      <c r="I15" s="266"/>
    </row>
    <row r="16" spans="2:9" ht="34.5" customHeight="1" thickBot="1">
      <c r="B16" s="55" t="s">
        <v>111</v>
      </c>
      <c r="C16" s="56">
        <v>50</v>
      </c>
      <c r="D16" s="57">
        <v>40</v>
      </c>
      <c r="E16" s="56">
        <v>30</v>
      </c>
      <c r="F16" s="267">
        <v>20</v>
      </c>
      <c r="G16" s="268"/>
      <c r="H16" s="269">
        <v>10</v>
      </c>
      <c r="I16" s="270"/>
    </row>
    <row r="17" spans="2:9" ht="72.75" customHeight="1" thickBot="1">
      <c r="B17" s="250" t="s">
        <v>123</v>
      </c>
      <c r="C17" s="251"/>
      <c r="D17" s="251"/>
      <c r="E17" s="251"/>
      <c r="F17" s="251"/>
      <c r="G17" s="251"/>
      <c r="H17" s="251"/>
      <c r="I17" s="252"/>
    </row>
    <row r="18" spans="2:9">
      <c r="B18" s="48"/>
      <c r="C18" s="46"/>
      <c r="D18" s="46"/>
      <c r="E18" s="46"/>
      <c r="F18" s="46"/>
      <c r="G18" s="46"/>
      <c r="H18" s="46"/>
      <c r="I18" s="47"/>
    </row>
    <row r="19" spans="2:9" ht="16.5">
      <c r="B19" s="44" t="s">
        <v>112</v>
      </c>
      <c r="C19" s="45"/>
      <c r="D19" s="45"/>
      <c r="E19" s="46"/>
      <c r="F19" s="46"/>
      <c r="G19" s="46"/>
      <c r="H19" s="46"/>
      <c r="I19" s="47"/>
    </row>
    <row r="20" spans="2:9" ht="33.75" customHeight="1">
      <c r="B20" s="271" t="s">
        <v>113</v>
      </c>
      <c r="C20" s="272"/>
      <c r="D20" s="273" t="s">
        <v>114</v>
      </c>
      <c r="E20" s="274"/>
      <c r="F20" s="274"/>
      <c r="G20" s="274"/>
      <c r="H20" s="274"/>
      <c r="I20" s="275"/>
    </row>
    <row r="21" spans="2:9" ht="16.5" customHeight="1">
      <c r="B21" s="253">
        <v>0</v>
      </c>
      <c r="C21" s="254"/>
      <c r="D21" s="255" t="s">
        <v>115</v>
      </c>
      <c r="E21" s="256"/>
      <c r="F21" s="256"/>
      <c r="G21" s="256"/>
      <c r="H21" s="256"/>
      <c r="I21" s="257"/>
    </row>
    <row r="22" spans="2:9" ht="16.5" customHeight="1">
      <c r="B22" s="253">
        <v>0.2</v>
      </c>
      <c r="C22" s="254"/>
      <c r="D22" s="255" t="s">
        <v>116</v>
      </c>
      <c r="E22" s="256"/>
      <c r="F22" s="256"/>
      <c r="G22" s="256"/>
      <c r="H22" s="256"/>
      <c r="I22" s="257"/>
    </row>
    <row r="23" spans="2:9" ht="16.5" customHeight="1">
      <c r="B23" s="253">
        <v>0.4</v>
      </c>
      <c r="C23" s="254"/>
      <c r="D23" s="255" t="s">
        <v>117</v>
      </c>
      <c r="E23" s="256"/>
      <c r="F23" s="256"/>
      <c r="G23" s="256"/>
      <c r="H23" s="256"/>
      <c r="I23" s="257"/>
    </row>
    <row r="24" spans="2:9" ht="16.5" customHeight="1">
      <c r="B24" s="253">
        <v>0.6</v>
      </c>
      <c r="C24" s="254"/>
      <c r="D24" s="255" t="s">
        <v>118</v>
      </c>
      <c r="E24" s="256"/>
      <c r="F24" s="256"/>
      <c r="G24" s="256"/>
      <c r="H24" s="256"/>
      <c r="I24" s="257"/>
    </row>
    <row r="25" spans="2:9" ht="16.5" customHeight="1">
      <c r="B25" s="253">
        <v>0.8</v>
      </c>
      <c r="C25" s="254"/>
      <c r="D25" s="255" t="s">
        <v>119</v>
      </c>
      <c r="E25" s="256"/>
      <c r="F25" s="256"/>
      <c r="G25" s="256"/>
      <c r="H25" s="256"/>
      <c r="I25" s="257"/>
    </row>
    <row r="26" spans="2:9" ht="16.5" customHeight="1" thickBot="1">
      <c r="B26" s="258">
        <v>1</v>
      </c>
      <c r="C26" s="259"/>
      <c r="D26" s="260" t="s">
        <v>120</v>
      </c>
      <c r="E26" s="261"/>
      <c r="F26" s="261"/>
      <c r="G26" s="261"/>
      <c r="H26" s="261"/>
      <c r="I26" s="262"/>
    </row>
    <row r="27" spans="2:9" ht="37.5" customHeight="1" thickBot="1">
      <c r="B27" s="244" t="s">
        <v>122</v>
      </c>
      <c r="C27" s="245"/>
      <c r="D27" s="245"/>
      <c r="E27" s="245"/>
      <c r="F27" s="245"/>
      <c r="G27" s="245"/>
      <c r="H27" s="245"/>
      <c r="I27" s="246"/>
    </row>
  </sheetData>
  <mergeCells count="39">
    <mergeCell ref="B3:C3"/>
    <mergeCell ref="D3:I3"/>
    <mergeCell ref="B4:C4"/>
    <mergeCell ref="D4:I4"/>
    <mergeCell ref="B5:C5"/>
    <mergeCell ref="D5:I5"/>
    <mergeCell ref="B6:C6"/>
    <mergeCell ref="D6:I6"/>
    <mergeCell ref="B7:C7"/>
    <mergeCell ref="D7:I7"/>
    <mergeCell ref="B8:C8"/>
    <mergeCell ref="D8:I8"/>
    <mergeCell ref="F12:G12"/>
    <mergeCell ref="H12:I12"/>
    <mergeCell ref="F13:G13"/>
    <mergeCell ref="H13:I13"/>
    <mergeCell ref="F14:G14"/>
    <mergeCell ref="H14:I14"/>
    <mergeCell ref="H15:I15"/>
    <mergeCell ref="F16:G16"/>
    <mergeCell ref="H16:I16"/>
    <mergeCell ref="B20:C20"/>
    <mergeCell ref="D20:I20"/>
    <mergeCell ref="B27:I27"/>
    <mergeCell ref="B9:I9"/>
    <mergeCell ref="B17:I17"/>
    <mergeCell ref="B24:C24"/>
    <mergeCell ref="D24:I24"/>
    <mergeCell ref="B25:C25"/>
    <mergeCell ref="D25:I25"/>
    <mergeCell ref="B26:C26"/>
    <mergeCell ref="D26:I26"/>
    <mergeCell ref="B21:C21"/>
    <mergeCell ref="D21:I21"/>
    <mergeCell ref="B22:C22"/>
    <mergeCell ref="D22:I22"/>
    <mergeCell ref="B23:C23"/>
    <mergeCell ref="D23:I23"/>
    <mergeCell ref="F15:G15"/>
  </mergeCells>
  <phoneticPr fontId="1" type="noConversion"/>
  <pageMargins left="0.7" right="0.7" top="0.75" bottom="0.75" header="0.3" footer="0.3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10</vt:i4>
      </vt:variant>
    </vt:vector>
  </HeadingPairs>
  <TitlesOfParts>
    <vt:vector size="15" baseType="lpstr">
      <vt:lpstr>표지 </vt:lpstr>
      <vt:lpstr>개정이력</vt:lpstr>
      <vt:lpstr>FP산정</vt:lpstr>
      <vt:lpstr>FP집계</vt:lpstr>
      <vt:lpstr>재개발특성 작성 안내</vt:lpstr>
      <vt:lpstr>☞_기능점수__산정방법_선택</vt:lpstr>
      <vt:lpstr>FP산정!Print_Area</vt:lpstr>
      <vt:lpstr>FP집계!Print_Area</vt:lpstr>
      <vt:lpstr>'표지 '!Print_Area</vt:lpstr>
      <vt:lpstr>FP산정!Print_Titles</vt:lpstr>
      <vt:lpstr>개발유형</vt:lpstr>
      <vt:lpstr>삭제</vt:lpstr>
      <vt:lpstr>수정</vt:lpstr>
      <vt:lpstr>신규</vt:lpstr>
      <vt:lpstr>유지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사업대가 비용산정 템플릿</dc:title>
  <dc:creator>엠앤엠솔루션(주) 김종성</dc:creator>
  <cp:lastModifiedBy>Windows 사용자</cp:lastModifiedBy>
  <cp:lastPrinted>2017-09-14T01:49:17Z</cp:lastPrinted>
  <dcterms:created xsi:type="dcterms:W3CDTF">2010-06-22T02:05:17Z</dcterms:created>
  <dcterms:modified xsi:type="dcterms:W3CDTF">2018-06-13T05:50:54Z</dcterms:modified>
</cp:coreProperties>
</file>